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15570" windowHeight="6915" activeTab="6"/>
  </bookViews>
  <sheets>
    <sheet name="工作表1" sheetId="2" r:id="rId1"/>
    <sheet name="工作表3" sheetId="4" r:id="rId2"/>
    <sheet name="工作表2" sheetId="6" r:id="rId3"/>
    <sheet name="工作表4" sheetId="5" r:id="rId4"/>
    <sheet name="data0526" sheetId="1" r:id="rId5"/>
    <sheet name="工作表7" sheetId="9" r:id="rId6"/>
    <sheet name="Risk" sheetId="7" r:id="rId7"/>
  </sheet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N6" i="7" l="1"/>
  <c r="L4" i="7" l="1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L1001" i="7"/>
  <c r="L1002" i="7"/>
  <c r="L1003" i="7"/>
  <c r="L1004" i="7"/>
  <c r="L1005" i="7"/>
  <c r="L1006" i="7"/>
  <c r="L1007" i="7"/>
  <c r="L1008" i="7"/>
  <c r="L1009" i="7"/>
  <c r="L1010" i="7"/>
  <c r="L1011" i="7"/>
  <c r="L1012" i="7"/>
  <c r="L1013" i="7"/>
  <c r="L1014" i="7"/>
  <c r="L1015" i="7"/>
  <c r="L1016" i="7"/>
  <c r="L1017" i="7"/>
  <c r="L1018" i="7"/>
  <c r="L1019" i="7"/>
  <c r="L1020" i="7"/>
  <c r="L1021" i="7"/>
  <c r="L1022" i="7"/>
  <c r="L1023" i="7"/>
  <c r="L1024" i="7"/>
  <c r="L1025" i="7"/>
  <c r="L1026" i="7"/>
  <c r="L1027" i="7"/>
  <c r="L1028" i="7"/>
  <c r="L1029" i="7"/>
  <c r="L1030" i="7"/>
  <c r="L1031" i="7"/>
  <c r="L1032" i="7"/>
  <c r="L1033" i="7"/>
  <c r="L1034" i="7"/>
  <c r="L1035" i="7"/>
  <c r="L1036" i="7"/>
  <c r="L1037" i="7"/>
  <c r="L1038" i="7"/>
  <c r="L1039" i="7"/>
  <c r="L1040" i="7"/>
  <c r="L1041" i="7"/>
  <c r="L1042" i="7"/>
  <c r="L1043" i="7"/>
  <c r="L1044" i="7"/>
  <c r="L1045" i="7"/>
  <c r="L1046" i="7"/>
  <c r="L1047" i="7"/>
  <c r="L1048" i="7"/>
  <c r="L1049" i="7"/>
  <c r="L1050" i="7"/>
  <c r="L1051" i="7"/>
  <c r="L1052" i="7"/>
  <c r="L1053" i="7"/>
  <c r="L1054" i="7"/>
  <c r="L1055" i="7"/>
  <c r="L1056" i="7"/>
  <c r="L1057" i="7"/>
  <c r="L1058" i="7"/>
  <c r="L1059" i="7"/>
  <c r="L1060" i="7"/>
  <c r="L1061" i="7"/>
  <c r="L1062" i="7"/>
  <c r="L1063" i="7"/>
  <c r="L1064" i="7"/>
  <c r="L1065" i="7"/>
  <c r="L1066" i="7"/>
  <c r="L1067" i="7"/>
  <c r="L1068" i="7"/>
  <c r="L1069" i="7"/>
  <c r="L1070" i="7"/>
  <c r="L1071" i="7"/>
  <c r="L1072" i="7"/>
  <c r="L1073" i="7"/>
  <c r="L1074" i="7"/>
  <c r="L1075" i="7"/>
  <c r="L1076" i="7"/>
  <c r="L1077" i="7"/>
  <c r="L1078" i="7"/>
  <c r="L1079" i="7"/>
  <c r="L1080" i="7"/>
  <c r="L1081" i="7"/>
  <c r="L1082" i="7"/>
  <c r="L1083" i="7"/>
  <c r="L1084" i="7"/>
  <c r="L1085" i="7"/>
  <c r="L1086" i="7"/>
  <c r="L1087" i="7"/>
  <c r="L1088" i="7"/>
  <c r="L1089" i="7"/>
  <c r="L1090" i="7"/>
  <c r="L1091" i="7"/>
  <c r="L1092" i="7"/>
  <c r="L1093" i="7"/>
  <c r="L1094" i="7"/>
  <c r="L1095" i="7"/>
  <c r="L1096" i="7"/>
  <c r="L1097" i="7"/>
  <c r="L1098" i="7"/>
  <c r="L1099" i="7"/>
  <c r="L1100" i="7"/>
  <c r="L1101" i="7"/>
  <c r="L1102" i="7"/>
  <c r="L1103" i="7"/>
  <c r="L1104" i="7"/>
  <c r="L1105" i="7"/>
  <c r="L1106" i="7"/>
  <c r="L1107" i="7"/>
  <c r="L1108" i="7"/>
  <c r="L1109" i="7"/>
  <c r="L1110" i="7"/>
  <c r="L1111" i="7"/>
  <c r="L1112" i="7"/>
  <c r="L1113" i="7"/>
  <c r="L1114" i="7"/>
  <c r="L1115" i="7"/>
  <c r="L1116" i="7"/>
  <c r="L1117" i="7"/>
  <c r="L1118" i="7"/>
  <c r="L1119" i="7"/>
  <c r="L1120" i="7"/>
  <c r="L1121" i="7"/>
  <c r="L1122" i="7"/>
  <c r="L1123" i="7"/>
  <c r="L1124" i="7"/>
  <c r="L1125" i="7"/>
  <c r="L1126" i="7"/>
  <c r="L1127" i="7"/>
  <c r="L1128" i="7"/>
  <c r="L1129" i="7"/>
  <c r="L1130" i="7"/>
  <c r="L1131" i="7"/>
  <c r="L1132" i="7"/>
  <c r="L1133" i="7"/>
  <c r="L1134" i="7"/>
  <c r="L1135" i="7"/>
  <c r="L1136" i="7"/>
  <c r="L1137" i="7"/>
  <c r="L1138" i="7"/>
  <c r="L1139" i="7"/>
  <c r="L1140" i="7"/>
  <c r="L1141" i="7"/>
  <c r="L1142" i="7"/>
  <c r="L1143" i="7"/>
  <c r="L1144" i="7"/>
  <c r="L1145" i="7"/>
  <c r="L1146" i="7"/>
  <c r="L1147" i="7"/>
  <c r="L1148" i="7"/>
  <c r="L1149" i="7"/>
  <c r="L1150" i="7"/>
  <c r="L1151" i="7"/>
  <c r="L1152" i="7"/>
  <c r="L1153" i="7"/>
  <c r="L1154" i="7"/>
  <c r="L1155" i="7"/>
  <c r="L1156" i="7"/>
  <c r="L1157" i="7"/>
  <c r="L1158" i="7"/>
  <c r="L1159" i="7"/>
  <c r="L1160" i="7"/>
  <c r="L1161" i="7"/>
  <c r="L1162" i="7"/>
  <c r="L1163" i="7"/>
  <c r="L1164" i="7"/>
  <c r="L1165" i="7"/>
  <c r="L1166" i="7"/>
  <c r="L1167" i="7"/>
  <c r="L1168" i="7"/>
  <c r="L1169" i="7"/>
  <c r="L1170" i="7"/>
  <c r="L1171" i="7"/>
  <c r="L1172" i="7"/>
  <c r="L1173" i="7"/>
  <c r="L1174" i="7"/>
  <c r="L1175" i="7"/>
  <c r="L1176" i="7"/>
  <c r="L1177" i="7"/>
  <c r="L1178" i="7"/>
  <c r="L1179" i="7"/>
  <c r="L1180" i="7"/>
  <c r="L1181" i="7"/>
  <c r="L1182" i="7"/>
  <c r="L1183" i="7"/>
  <c r="L1184" i="7"/>
  <c r="L1185" i="7"/>
  <c r="L1186" i="7"/>
  <c r="L1187" i="7"/>
  <c r="L1188" i="7"/>
  <c r="L1189" i="7"/>
  <c r="L1190" i="7"/>
  <c r="L1191" i="7"/>
  <c r="L1192" i="7"/>
  <c r="L1193" i="7"/>
  <c r="L1194" i="7"/>
  <c r="L1195" i="7"/>
  <c r="L1196" i="7"/>
  <c r="L1197" i="7"/>
  <c r="L1198" i="7"/>
  <c r="L1199" i="7"/>
  <c r="L1200" i="7"/>
  <c r="L1201" i="7"/>
  <c r="L1202" i="7"/>
  <c r="L1203" i="7"/>
  <c r="L1204" i="7"/>
  <c r="L1205" i="7"/>
  <c r="L1206" i="7"/>
  <c r="L1207" i="7"/>
  <c r="L1208" i="7"/>
  <c r="L1209" i="7"/>
  <c r="L1210" i="7"/>
  <c r="L1211" i="7"/>
  <c r="L1212" i="7"/>
  <c r="L1213" i="7"/>
  <c r="L1214" i="7"/>
  <c r="L1215" i="7"/>
  <c r="L1216" i="7"/>
  <c r="L1217" i="7"/>
  <c r="L1218" i="7"/>
  <c r="L1219" i="7"/>
  <c r="L1220" i="7"/>
  <c r="L1221" i="7"/>
  <c r="L1222" i="7"/>
  <c r="L1223" i="7"/>
  <c r="L1224" i="7"/>
  <c r="L1225" i="7"/>
  <c r="L1226" i="7"/>
  <c r="L1227" i="7"/>
  <c r="L1228" i="7"/>
  <c r="L1229" i="7"/>
  <c r="L1230" i="7"/>
  <c r="L1231" i="7"/>
  <c r="L1232" i="7"/>
  <c r="L1233" i="7"/>
  <c r="L1234" i="7"/>
  <c r="L1235" i="7"/>
  <c r="L1236" i="7"/>
  <c r="L1237" i="7"/>
  <c r="L1238" i="7"/>
  <c r="L1239" i="7"/>
  <c r="L1240" i="7"/>
  <c r="L1241" i="7"/>
  <c r="L1242" i="7"/>
  <c r="L1243" i="7"/>
  <c r="L1244" i="7"/>
  <c r="L1245" i="7"/>
  <c r="L1246" i="7"/>
  <c r="L1247" i="7"/>
  <c r="L1248" i="7"/>
  <c r="L1249" i="7"/>
  <c r="L1250" i="7"/>
  <c r="L1251" i="7"/>
  <c r="L1252" i="7"/>
  <c r="L1253" i="7"/>
  <c r="L1254" i="7"/>
  <c r="L1255" i="7"/>
  <c r="L1256" i="7"/>
  <c r="L1257" i="7"/>
  <c r="L1258" i="7"/>
  <c r="L1259" i="7"/>
  <c r="L1260" i="7"/>
  <c r="L1261" i="7"/>
  <c r="L1262" i="7"/>
  <c r="L1263" i="7"/>
  <c r="L1264" i="7"/>
  <c r="L1265" i="7"/>
  <c r="L1266" i="7"/>
  <c r="L1267" i="7"/>
  <c r="L1268" i="7"/>
  <c r="L1269" i="7"/>
  <c r="L1270" i="7"/>
  <c r="L1271" i="7"/>
  <c r="L1272" i="7"/>
  <c r="L1273" i="7"/>
  <c r="L1274" i="7"/>
  <c r="L1275" i="7"/>
  <c r="L1276" i="7"/>
  <c r="L1277" i="7"/>
  <c r="L1278" i="7"/>
  <c r="L1279" i="7"/>
  <c r="L1280" i="7"/>
  <c r="L1281" i="7"/>
  <c r="L1282" i="7"/>
  <c r="L1283" i="7"/>
  <c r="L1284" i="7"/>
  <c r="L1285" i="7"/>
  <c r="L1286" i="7"/>
  <c r="L1287" i="7"/>
  <c r="L1288" i="7"/>
  <c r="L1289" i="7"/>
  <c r="L1290" i="7"/>
  <c r="L1291" i="7"/>
  <c r="L1292" i="7"/>
  <c r="L1293" i="7"/>
  <c r="L1294" i="7"/>
  <c r="L1295" i="7"/>
  <c r="L1296" i="7"/>
  <c r="L1297" i="7"/>
  <c r="L1298" i="7"/>
  <c r="L1299" i="7"/>
  <c r="L1300" i="7"/>
  <c r="L1301" i="7"/>
  <c r="L1302" i="7"/>
  <c r="L1303" i="7"/>
  <c r="L1304" i="7"/>
  <c r="L1305" i="7"/>
  <c r="L1306" i="7"/>
  <c r="L1307" i="7"/>
  <c r="L1308" i="7"/>
  <c r="L1309" i="7"/>
  <c r="L1310" i="7"/>
  <c r="L1311" i="7"/>
  <c r="L1312" i="7"/>
  <c r="L1313" i="7"/>
  <c r="L1314" i="7"/>
  <c r="L1315" i="7"/>
  <c r="L1316" i="7"/>
  <c r="L1317" i="7"/>
  <c r="L1318" i="7"/>
  <c r="L1319" i="7"/>
  <c r="L1320" i="7"/>
  <c r="L1321" i="7"/>
  <c r="L1322" i="7"/>
  <c r="L1323" i="7"/>
  <c r="L1324" i="7"/>
  <c r="L1325" i="7"/>
  <c r="L1326" i="7"/>
  <c r="L1327" i="7"/>
  <c r="L1328" i="7"/>
  <c r="L1329" i="7"/>
  <c r="L1330" i="7"/>
  <c r="L1331" i="7"/>
  <c r="L1332" i="7"/>
  <c r="L1333" i="7"/>
  <c r="L1334" i="7"/>
  <c r="L1335" i="7"/>
  <c r="L1336" i="7"/>
  <c r="L1337" i="7"/>
  <c r="L1338" i="7"/>
  <c r="L1339" i="7"/>
  <c r="L1340" i="7"/>
  <c r="L1341" i="7"/>
  <c r="L1342" i="7"/>
  <c r="L1343" i="7"/>
  <c r="L1344" i="7"/>
  <c r="L1345" i="7"/>
  <c r="L1346" i="7"/>
  <c r="L1347" i="7"/>
  <c r="L1348" i="7"/>
  <c r="L1349" i="7"/>
  <c r="L1350" i="7"/>
  <c r="L1351" i="7"/>
  <c r="L1352" i="7"/>
  <c r="L1353" i="7"/>
  <c r="L1354" i="7"/>
  <c r="L1355" i="7"/>
  <c r="L1356" i="7"/>
  <c r="L1357" i="7"/>
  <c r="L1358" i="7"/>
  <c r="L1359" i="7"/>
  <c r="L1360" i="7"/>
  <c r="L1361" i="7"/>
  <c r="L1362" i="7"/>
  <c r="L1363" i="7"/>
  <c r="L1364" i="7"/>
  <c r="L1365" i="7"/>
  <c r="L1366" i="7"/>
  <c r="L1367" i="7"/>
  <c r="L1368" i="7"/>
  <c r="L1369" i="7"/>
  <c r="L1370" i="7"/>
  <c r="L1371" i="7"/>
  <c r="L1372" i="7"/>
  <c r="L1373" i="7"/>
  <c r="L1374" i="7"/>
  <c r="L1375" i="7"/>
  <c r="L1376" i="7"/>
  <c r="L1377" i="7"/>
  <c r="L1378" i="7"/>
  <c r="L1379" i="7"/>
  <c r="L1380" i="7"/>
  <c r="L1381" i="7"/>
  <c r="L1382" i="7"/>
  <c r="L1383" i="7"/>
  <c r="L1384" i="7"/>
  <c r="L1385" i="7"/>
  <c r="L1386" i="7"/>
  <c r="L1387" i="7"/>
  <c r="L1388" i="7"/>
  <c r="L1389" i="7"/>
  <c r="L1390" i="7"/>
  <c r="L1391" i="7"/>
  <c r="L1392" i="7"/>
  <c r="L1393" i="7"/>
  <c r="L1394" i="7"/>
  <c r="L1395" i="7"/>
  <c r="L1396" i="7"/>
  <c r="L1397" i="7"/>
  <c r="L1398" i="7"/>
  <c r="L1399" i="7"/>
  <c r="L1400" i="7"/>
  <c r="L1401" i="7"/>
  <c r="L1402" i="7"/>
  <c r="L1403" i="7"/>
  <c r="L1404" i="7"/>
  <c r="L1405" i="7"/>
  <c r="L1406" i="7"/>
  <c r="L1407" i="7"/>
  <c r="L1408" i="7"/>
  <c r="L1409" i="7"/>
  <c r="L1410" i="7"/>
  <c r="L1411" i="7"/>
  <c r="L1412" i="7"/>
  <c r="L1413" i="7"/>
  <c r="L1414" i="7"/>
  <c r="L1415" i="7"/>
  <c r="L1416" i="7"/>
  <c r="L1417" i="7"/>
  <c r="L1418" i="7"/>
  <c r="L1419" i="7"/>
  <c r="L1420" i="7"/>
  <c r="L1421" i="7"/>
  <c r="L1422" i="7"/>
  <c r="L1423" i="7"/>
  <c r="L1424" i="7"/>
  <c r="L1425" i="7"/>
  <c r="L1426" i="7"/>
  <c r="L1427" i="7"/>
  <c r="L1428" i="7"/>
  <c r="L1429" i="7"/>
  <c r="L1430" i="7"/>
  <c r="L1431" i="7"/>
  <c r="L1432" i="7"/>
  <c r="L1433" i="7"/>
  <c r="L1434" i="7"/>
  <c r="L1435" i="7"/>
  <c r="L1436" i="7"/>
  <c r="L1437" i="7"/>
  <c r="L1438" i="7"/>
  <c r="L1439" i="7"/>
  <c r="L1440" i="7"/>
  <c r="L1441" i="7"/>
  <c r="L1442" i="7"/>
  <c r="L1443" i="7"/>
  <c r="L1444" i="7"/>
  <c r="L1445" i="7"/>
  <c r="L1446" i="7"/>
  <c r="L1447" i="7"/>
  <c r="L1448" i="7"/>
  <c r="L1449" i="7"/>
  <c r="L1450" i="7"/>
  <c r="L1451" i="7"/>
  <c r="L1452" i="7"/>
  <c r="L1453" i="7"/>
  <c r="L1454" i="7"/>
  <c r="L1455" i="7"/>
  <c r="L1456" i="7"/>
  <c r="L1457" i="7"/>
  <c r="L1458" i="7"/>
  <c r="L1459" i="7"/>
  <c r="L1460" i="7"/>
  <c r="L1461" i="7"/>
  <c r="L1462" i="7"/>
  <c r="L1463" i="7"/>
  <c r="L1464" i="7"/>
  <c r="L1465" i="7"/>
  <c r="L1466" i="7"/>
  <c r="L1467" i="7"/>
  <c r="L1468" i="7"/>
  <c r="L1469" i="7"/>
  <c r="L1470" i="7"/>
  <c r="L1471" i="7"/>
  <c r="L1472" i="7"/>
  <c r="L1473" i="7"/>
  <c r="L1474" i="7"/>
  <c r="L1475" i="7"/>
  <c r="L1476" i="7"/>
  <c r="L1477" i="7"/>
  <c r="L1478" i="7"/>
  <c r="L1479" i="7"/>
  <c r="L1480" i="7"/>
  <c r="L1481" i="7"/>
  <c r="L1482" i="7"/>
  <c r="L1483" i="7"/>
  <c r="L1484" i="7"/>
  <c r="L1485" i="7"/>
  <c r="L1486" i="7"/>
  <c r="L1487" i="7"/>
  <c r="L1488" i="7"/>
  <c r="L1489" i="7"/>
  <c r="L1490" i="7"/>
  <c r="L1491" i="7"/>
  <c r="L1492" i="7"/>
  <c r="L1493" i="7"/>
  <c r="L1494" i="7"/>
  <c r="L1495" i="7"/>
  <c r="L1496" i="7"/>
  <c r="L1497" i="7"/>
  <c r="L1498" i="7"/>
  <c r="L1499" i="7"/>
  <c r="L1500" i="7"/>
  <c r="L1501" i="7"/>
  <c r="L1502" i="7"/>
  <c r="L1503" i="7"/>
  <c r="L1504" i="7"/>
  <c r="L1505" i="7"/>
  <c r="L1506" i="7"/>
  <c r="L1507" i="7"/>
  <c r="L1508" i="7"/>
  <c r="L1509" i="7"/>
  <c r="L1510" i="7"/>
  <c r="L1511" i="7"/>
  <c r="L1512" i="7"/>
  <c r="L1513" i="7"/>
  <c r="L1514" i="7"/>
  <c r="L1515" i="7"/>
  <c r="L1516" i="7"/>
  <c r="L1517" i="7"/>
  <c r="L1518" i="7"/>
  <c r="L1519" i="7"/>
  <c r="L1520" i="7"/>
  <c r="L1521" i="7"/>
  <c r="L1522" i="7"/>
  <c r="L1523" i="7"/>
  <c r="L1524" i="7"/>
  <c r="L1525" i="7"/>
  <c r="L1526" i="7"/>
  <c r="L1527" i="7"/>
  <c r="L1528" i="7"/>
  <c r="L1529" i="7"/>
  <c r="L1530" i="7"/>
  <c r="L1531" i="7"/>
  <c r="L1532" i="7"/>
  <c r="L1533" i="7"/>
  <c r="L1534" i="7"/>
  <c r="L1535" i="7"/>
  <c r="L1536" i="7"/>
  <c r="L1537" i="7"/>
  <c r="L1538" i="7"/>
  <c r="L1539" i="7"/>
  <c r="L1540" i="7"/>
  <c r="L1541" i="7"/>
  <c r="L1542" i="7"/>
  <c r="L1543" i="7"/>
  <c r="L1544" i="7"/>
  <c r="L1545" i="7"/>
  <c r="L1546" i="7"/>
  <c r="L1547" i="7"/>
  <c r="L1548" i="7"/>
  <c r="L1549" i="7"/>
  <c r="L1550" i="7"/>
  <c r="L1551" i="7"/>
  <c r="L1552" i="7"/>
  <c r="L1553" i="7"/>
  <c r="L1554" i="7"/>
  <c r="L1555" i="7"/>
  <c r="L1556" i="7"/>
  <c r="L1557" i="7"/>
  <c r="L1558" i="7"/>
  <c r="L1559" i="7"/>
  <c r="L1560" i="7"/>
  <c r="L1561" i="7"/>
  <c r="L1562" i="7"/>
  <c r="L1563" i="7"/>
  <c r="L1564" i="7"/>
  <c r="L1565" i="7"/>
  <c r="L1566" i="7"/>
  <c r="L1567" i="7"/>
  <c r="L1568" i="7"/>
  <c r="L1569" i="7"/>
  <c r="L1570" i="7"/>
  <c r="L1571" i="7"/>
  <c r="L1572" i="7"/>
  <c r="L1573" i="7"/>
  <c r="L1574" i="7"/>
  <c r="L1575" i="7"/>
  <c r="L1576" i="7"/>
  <c r="L1577" i="7"/>
  <c r="L1578" i="7"/>
  <c r="L1579" i="7"/>
  <c r="L1580" i="7"/>
  <c r="L1581" i="7"/>
  <c r="L1582" i="7"/>
  <c r="L1583" i="7"/>
  <c r="L1584" i="7"/>
  <c r="L1585" i="7"/>
  <c r="L1586" i="7"/>
  <c r="L1587" i="7"/>
  <c r="L1588" i="7"/>
  <c r="L1589" i="7"/>
  <c r="L1590" i="7"/>
  <c r="L1591" i="7"/>
  <c r="L1592" i="7"/>
  <c r="L1593" i="7"/>
  <c r="L1594" i="7"/>
  <c r="L1595" i="7"/>
  <c r="L1596" i="7"/>
  <c r="L1597" i="7"/>
  <c r="L1598" i="7"/>
  <c r="L1599" i="7"/>
  <c r="L1600" i="7"/>
  <c r="L1601" i="7"/>
  <c r="L1602" i="7"/>
  <c r="L1603" i="7"/>
  <c r="L1604" i="7"/>
  <c r="L1605" i="7"/>
  <c r="L1606" i="7"/>
  <c r="L1607" i="7"/>
  <c r="L1608" i="7"/>
  <c r="L1609" i="7"/>
  <c r="L1610" i="7"/>
  <c r="L1611" i="7"/>
  <c r="L1612" i="7"/>
  <c r="L1613" i="7"/>
  <c r="L1614" i="7"/>
  <c r="L1615" i="7"/>
  <c r="L1616" i="7"/>
  <c r="L1617" i="7"/>
  <c r="L1618" i="7"/>
  <c r="L1619" i="7"/>
  <c r="L1620" i="7"/>
  <c r="L1621" i="7"/>
  <c r="L1622" i="7"/>
  <c r="L1623" i="7"/>
  <c r="L1624" i="7"/>
  <c r="L1625" i="7"/>
  <c r="L1626" i="7"/>
  <c r="L1627" i="7"/>
  <c r="L1628" i="7"/>
  <c r="L1629" i="7"/>
  <c r="L1630" i="7"/>
  <c r="L1631" i="7"/>
  <c r="L1632" i="7"/>
  <c r="L1633" i="7"/>
  <c r="L1634" i="7"/>
  <c r="L1635" i="7"/>
  <c r="L1636" i="7"/>
  <c r="L1637" i="7"/>
  <c r="L1638" i="7"/>
  <c r="L1639" i="7"/>
  <c r="L1640" i="7"/>
  <c r="L1641" i="7"/>
  <c r="L1642" i="7"/>
  <c r="L1643" i="7"/>
  <c r="L1644" i="7"/>
  <c r="L1645" i="7"/>
  <c r="L1646" i="7"/>
  <c r="L1647" i="7"/>
  <c r="L1648" i="7"/>
  <c r="L1649" i="7"/>
  <c r="L1650" i="7"/>
  <c r="L1651" i="7"/>
  <c r="L1652" i="7"/>
  <c r="L1653" i="7"/>
  <c r="L1654" i="7"/>
  <c r="L1655" i="7"/>
  <c r="L1656" i="7"/>
  <c r="L1657" i="7"/>
  <c r="L1658" i="7"/>
  <c r="L1659" i="7"/>
  <c r="L1660" i="7"/>
  <c r="L1661" i="7"/>
  <c r="L1662" i="7"/>
  <c r="L1663" i="7"/>
  <c r="L1664" i="7"/>
  <c r="L1665" i="7"/>
  <c r="L1666" i="7"/>
  <c r="L1667" i="7"/>
  <c r="L1668" i="7"/>
  <c r="L1669" i="7"/>
  <c r="L1670" i="7"/>
  <c r="L1671" i="7"/>
  <c r="L1672" i="7"/>
  <c r="L1673" i="7"/>
  <c r="L1674" i="7"/>
  <c r="L1675" i="7"/>
  <c r="L1676" i="7"/>
  <c r="L1677" i="7"/>
  <c r="L1678" i="7"/>
  <c r="L1679" i="7"/>
  <c r="L1680" i="7"/>
  <c r="L1681" i="7"/>
  <c r="L1682" i="7"/>
  <c r="L1683" i="7"/>
  <c r="L1684" i="7"/>
  <c r="L1685" i="7"/>
  <c r="L1686" i="7"/>
  <c r="L1687" i="7"/>
  <c r="L1688" i="7"/>
  <c r="L1689" i="7"/>
  <c r="L1690" i="7"/>
  <c r="L1691" i="7"/>
  <c r="L1692" i="7"/>
  <c r="L1693" i="7"/>
  <c r="L1694" i="7"/>
  <c r="L1695" i="7"/>
  <c r="L1696" i="7"/>
  <c r="L1697" i="7"/>
  <c r="L1698" i="7"/>
  <c r="L1699" i="7"/>
  <c r="L1700" i="7"/>
  <c r="L1701" i="7"/>
  <c r="L1702" i="7"/>
  <c r="L1703" i="7"/>
  <c r="L1704" i="7"/>
  <c r="L1705" i="7"/>
  <c r="L1706" i="7"/>
  <c r="L1707" i="7"/>
  <c r="L1708" i="7"/>
  <c r="L1709" i="7"/>
  <c r="L1710" i="7"/>
  <c r="L1711" i="7"/>
  <c r="L1712" i="7"/>
  <c r="L1713" i="7"/>
  <c r="L1714" i="7"/>
  <c r="L1715" i="7"/>
  <c r="L1716" i="7"/>
  <c r="L1717" i="7"/>
  <c r="L1718" i="7"/>
  <c r="L1719" i="7"/>
  <c r="L1720" i="7"/>
  <c r="L1721" i="7"/>
  <c r="L1722" i="7"/>
  <c r="L1723" i="7"/>
  <c r="L1724" i="7"/>
  <c r="L1725" i="7"/>
  <c r="L1726" i="7"/>
  <c r="L1727" i="7"/>
  <c r="L1728" i="7"/>
  <c r="L1729" i="7"/>
  <c r="L1730" i="7"/>
  <c r="L1731" i="7"/>
  <c r="L1732" i="7"/>
  <c r="L1733" i="7"/>
  <c r="L1734" i="7"/>
  <c r="L1735" i="7"/>
  <c r="L1736" i="7"/>
  <c r="L1737" i="7"/>
  <c r="L1738" i="7"/>
  <c r="L1739" i="7"/>
  <c r="L1740" i="7"/>
  <c r="L1741" i="7"/>
  <c r="L1742" i="7"/>
  <c r="L1743" i="7"/>
  <c r="L1744" i="7"/>
  <c r="L1745" i="7"/>
  <c r="L1746" i="7"/>
  <c r="L1747" i="7"/>
  <c r="L1748" i="7"/>
  <c r="L1749" i="7"/>
  <c r="L1750" i="7"/>
  <c r="L1751" i="7"/>
  <c r="L1752" i="7"/>
  <c r="L1753" i="7"/>
  <c r="L1754" i="7"/>
  <c r="L1755" i="7"/>
  <c r="L1756" i="7"/>
  <c r="L1757" i="7"/>
  <c r="L1758" i="7"/>
  <c r="L1759" i="7"/>
  <c r="L1760" i="7"/>
  <c r="L1761" i="7"/>
  <c r="L1762" i="7"/>
  <c r="L1763" i="7"/>
  <c r="L1764" i="7"/>
  <c r="L1765" i="7"/>
  <c r="L1766" i="7"/>
  <c r="L1767" i="7"/>
  <c r="L1768" i="7"/>
  <c r="L1769" i="7"/>
  <c r="L1770" i="7"/>
  <c r="L1771" i="7"/>
  <c r="L1772" i="7"/>
  <c r="L1773" i="7"/>
  <c r="L1774" i="7"/>
  <c r="L1775" i="7"/>
  <c r="L1776" i="7"/>
  <c r="L1777" i="7"/>
  <c r="L1778" i="7"/>
  <c r="L1779" i="7"/>
  <c r="L1780" i="7"/>
  <c r="L1781" i="7"/>
  <c r="L1782" i="7"/>
  <c r="L1783" i="7"/>
  <c r="L1784" i="7"/>
  <c r="L1785" i="7"/>
  <c r="L1786" i="7"/>
  <c r="L1787" i="7"/>
  <c r="L1788" i="7"/>
  <c r="L1789" i="7"/>
  <c r="L1790" i="7"/>
  <c r="L1791" i="7"/>
  <c r="L1792" i="7"/>
  <c r="L1793" i="7"/>
  <c r="L1794" i="7"/>
  <c r="L1795" i="7"/>
  <c r="L1796" i="7"/>
  <c r="L1797" i="7"/>
  <c r="L1798" i="7"/>
  <c r="L1799" i="7"/>
  <c r="L1800" i="7"/>
  <c r="L1801" i="7"/>
  <c r="L1802" i="7"/>
  <c r="L1803" i="7"/>
  <c r="L1804" i="7"/>
  <c r="L1805" i="7"/>
  <c r="L1806" i="7"/>
  <c r="L1807" i="7"/>
  <c r="L1808" i="7"/>
  <c r="L1809" i="7"/>
  <c r="L1810" i="7"/>
  <c r="L1811" i="7"/>
  <c r="L1812" i="7"/>
  <c r="L1813" i="7"/>
  <c r="L1814" i="7"/>
  <c r="L1815" i="7"/>
  <c r="L1816" i="7"/>
  <c r="L1817" i="7"/>
  <c r="L1818" i="7"/>
  <c r="L1819" i="7"/>
  <c r="L1820" i="7"/>
  <c r="L1821" i="7"/>
  <c r="L1822" i="7"/>
  <c r="L1823" i="7"/>
  <c r="L1824" i="7"/>
  <c r="L1825" i="7"/>
  <c r="L1826" i="7"/>
  <c r="L1827" i="7"/>
  <c r="L1828" i="7"/>
  <c r="L1829" i="7"/>
  <c r="L1830" i="7"/>
  <c r="L1831" i="7"/>
  <c r="L1832" i="7"/>
  <c r="L1833" i="7"/>
  <c r="L1834" i="7"/>
  <c r="L1835" i="7"/>
  <c r="L1836" i="7"/>
  <c r="L1837" i="7"/>
  <c r="L1838" i="7"/>
  <c r="L1839" i="7"/>
  <c r="L1840" i="7"/>
  <c r="L1841" i="7"/>
  <c r="L1842" i="7"/>
  <c r="L1843" i="7"/>
  <c r="L1844" i="7"/>
  <c r="L1845" i="7"/>
  <c r="L1846" i="7"/>
  <c r="L1847" i="7"/>
  <c r="L1848" i="7"/>
  <c r="L1849" i="7"/>
  <c r="L1850" i="7"/>
  <c r="L1851" i="7"/>
  <c r="L1852" i="7"/>
  <c r="L1853" i="7"/>
  <c r="L1854" i="7"/>
  <c r="L1855" i="7"/>
  <c r="L1856" i="7"/>
  <c r="L1857" i="7"/>
  <c r="L1858" i="7"/>
  <c r="L1859" i="7"/>
  <c r="L1860" i="7"/>
  <c r="L1861" i="7"/>
  <c r="L1862" i="7"/>
  <c r="L1863" i="7"/>
  <c r="L1864" i="7"/>
  <c r="L1865" i="7"/>
  <c r="L1866" i="7"/>
  <c r="L1867" i="7"/>
  <c r="L1868" i="7"/>
  <c r="L1869" i="7"/>
  <c r="L1870" i="7"/>
  <c r="L1871" i="7"/>
  <c r="L1872" i="7"/>
  <c r="L1873" i="7"/>
  <c r="L1874" i="7"/>
  <c r="L1875" i="7"/>
  <c r="L1876" i="7"/>
  <c r="L1877" i="7"/>
  <c r="L1878" i="7"/>
  <c r="L1879" i="7"/>
  <c r="L1880" i="7"/>
  <c r="L1881" i="7"/>
  <c r="L1882" i="7"/>
  <c r="L1883" i="7"/>
  <c r="L1884" i="7"/>
  <c r="L1885" i="7"/>
  <c r="L1886" i="7"/>
  <c r="L1887" i="7"/>
  <c r="L1888" i="7"/>
  <c r="L1889" i="7"/>
  <c r="L1890" i="7"/>
  <c r="L1891" i="7"/>
  <c r="L1892" i="7"/>
  <c r="L1893" i="7"/>
  <c r="L1894" i="7"/>
  <c r="L1895" i="7"/>
  <c r="L1896" i="7"/>
  <c r="L1897" i="7"/>
  <c r="L1898" i="7"/>
  <c r="L1899" i="7"/>
  <c r="L1900" i="7"/>
  <c r="L1901" i="7"/>
  <c r="L1902" i="7"/>
  <c r="L1903" i="7"/>
  <c r="L1904" i="7"/>
  <c r="L1905" i="7"/>
  <c r="L1906" i="7"/>
  <c r="L1907" i="7"/>
  <c r="L1908" i="7"/>
  <c r="L1909" i="7"/>
  <c r="L1910" i="7"/>
  <c r="L1911" i="7"/>
  <c r="L1912" i="7"/>
  <c r="L1913" i="7"/>
  <c r="L1914" i="7"/>
  <c r="L1915" i="7"/>
  <c r="L1916" i="7"/>
  <c r="L1917" i="7"/>
  <c r="L1918" i="7"/>
  <c r="L1919" i="7"/>
  <c r="L1920" i="7"/>
  <c r="L1921" i="7"/>
  <c r="L1922" i="7"/>
  <c r="L1923" i="7"/>
  <c r="L1924" i="7"/>
  <c r="L1925" i="7"/>
  <c r="L1926" i="7"/>
  <c r="L1927" i="7"/>
  <c r="L1928" i="7"/>
  <c r="L1929" i="7"/>
  <c r="L1930" i="7"/>
  <c r="L1931" i="7"/>
  <c r="L1932" i="7"/>
  <c r="L1933" i="7"/>
  <c r="L1934" i="7"/>
  <c r="L1935" i="7"/>
  <c r="L1936" i="7"/>
  <c r="L1937" i="7"/>
  <c r="L1938" i="7"/>
  <c r="L1939" i="7"/>
  <c r="L1940" i="7"/>
  <c r="L1941" i="7"/>
  <c r="L1942" i="7"/>
  <c r="L1943" i="7"/>
  <c r="L1944" i="7"/>
  <c r="L1945" i="7"/>
  <c r="L1946" i="7"/>
  <c r="L1947" i="7"/>
  <c r="L1948" i="7"/>
  <c r="L1949" i="7"/>
  <c r="L1950" i="7"/>
  <c r="L1951" i="7"/>
  <c r="L1952" i="7"/>
  <c r="L1953" i="7"/>
  <c r="L1954" i="7"/>
  <c r="L1955" i="7"/>
  <c r="L1956" i="7"/>
  <c r="L1957" i="7"/>
  <c r="L1958" i="7"/>
  <c r="L1959" i="7"/>
  <c r="L1960" i="7"/>
  <c r="L1961" i="7"/>
  <c r="L1962" i="7"/>
  <c r="L1963" i="7"/>
  <c r="L1964" i="7"/>
  <c r="L1965" i="7"/>
  <c r="L1966" i="7"/>
  <c r="L1967" i="7"/>
  <c r="L1968" i="7"/>
  <c r="L1969" i="7"/>
  <c r="L1970" i="7"/>
  <c r="L1971" i="7"/>
  <c r="L1972" i="7"/>
  <c r="L1973" i="7"/>
  <c r="L1974" i="7"/>
  <c r="L1975" i="7"/>
  <c r="L1976" i="7"/>
  <c r="L1977" i="7"/>
  <c r="L1978" i="7"/>
  <c r="L1979" i="7"/>
  <c r="L1980" i="7"/>
  <c r="L1981" i="7"/>
  <c r="L1982" i="7"/>
  <c r="L1983" i="7"/>
  <c r="L1984" i="7"/>
  <c r="L1985" i="7"/>
  <c r="L1986" i="7"/>
  <c r="L1987" i="7"/>
  <c r="L1988" i="7"/>
  <c r="L1989" i="7"/>
  <c r="L1990" i="7"/>
  <c r="L1991" i="7"/>
  <c r="L1992" i="7"/>
  <c r="L1993" i="7"/>
  <c r="L1994" i="7"/>
  <c r="L1995" i="7"/>
  <c r="L1996" i="7"/>
  <c r="L1997" i="7"/>
  <c r="L1998" i="7"/>
  <c r="L1999" i="7"/>
  <c r="L2000" i="7"/>
  <c r="L2001" i="7"/>
  <c r="L2002" i="7"/>
  <c r="L2003" i="7"/>
  <c r="L2004" i="7"/>
  <c r="L2005" i="7"/>
  <c r="L2006" i="7"/>
  <c r="L2007" i="7"/>
  <c r="L2008" i="7"/>
  <c r="L2009" i="7"/>
  <c r="L2010" i="7"/>
  <c r="L2011" i="7"/>
  <c r="L2012" i="7"/>
  <c r="L2013" i="7"/>
  <c r="L2014" i="7"/>
  <c r="L2015" i="7"/>
  <c r="L2016" i="7"/>
  <c r="L2017" i="7"/>
  <c r="L2018" i="7"/>
  <c r="L2019" i="7"/>
  <c r="L2020" i="7"/>
  <c r="L2021" i="7"/>
  <c r="L2022" i="7"/>
  <c r="L2023" i="7"/>
  <c r="L2024" i="7"/>
  <c r="L2025" i="7"/>
  <c r="L2026" i="7"/>
  <c r="L2027" i="7"/>
  <c r="L2028" i="7"/>
  <c r="L2029" i="7"/>
  <c r="L2030" i="7"/>
  <c r="L2031" i="7"/>
  <c r="L2032" i="7"/>
  <c r="L2033" i="7"/>
  <c r="L2034" i="7"/>
  <c r="L2035" i="7"/>
  <c r="L2036" i="7"/>
  <c r="L2037" i="7"/>
  <c r="L2038" i="7"/>
  <c r="L2039" i="7"/>
  <c r="L2040" i="7"/>
  <c r="L2041" i="7"/>
  <c r="L2042" i="7"/>
  <c r="L2043" i="7"/>
  <c r="L2044" i="7"/>
  <c r="L2045" i="7"/>
  <c r="L2046" i="7"/>
  <c r="L2047" i="7"/>
  <c r="L2048" i="7"/>
  <c r="L2049" i="7"/>
  <c r="L2050" i="7"/>
  <c r="L2051" i="7"/>
  <c r="L2052" i="7"/>
  <c r="L2053" i="7"/>
  <c r="L2054" i="7"/>
  <c r="L2055" i="7"/>
  <c r="L2056" i="7"/>
  <c r="L2057" i="7"/>
  <c r="L2058" i="7"/>
  <c r="L2059" i="7"/>
  <c r="L2060" i="7"/>
  <c r="L2061" i="7"/>
  <c r="L2062" i="7"/>
  <c r="L2063" i="7"/>
  <c r="L2064" i="7"/>
  <c r="L2065" i="7"/>
  <c r="L2066" i="7"/>
  <c r="L2067" i="7"/>
  <c r="L2068" i="7"/>
  <c r="L2069" i="7"/>
  <c r="L2070" i="7"/>
  <c r="L2071" i="7"/>
  <c r="L2072" i="7"/>
  <c r="L2073" i="7"/>
  <c r="L2074" i="7"/>
  <c r="L2075" i="7"/>
  <c r="L2076" i="7"/>
  <c r="L2077" i="7"/>
  <c r="L2078" i="7"/>
  <c r="L2079" i="7"/>
  <c r="L2080" i="7"/>
  <c r="L2081" i="7"/>
  <c r="L2082" i="7"/>
  <c r="L2083" i="7"/>
  <c r="L2084" i="7"/>
  <c r="L2085" i="7"/>
  <c r="L2086" i="7"/>
  <c r="L2087" i="7"/>
  <c r="L2088" i="7"/>
  <c r="L2089" i="7"/>
  <c r="L2090" i="7"/>
  <c r="L2091" i="7"/>
  <c r="L2092" i="7"/>
  <c r="L2093" i="7"/>
  <c r="L2094" i="7"/>
  <c r="L2095" i="7"/>
  <c r="L2096" i="7"/>
  <c r="L2097" i="7"/>
  <c r="L2098" i="7"/>
  <c r="L2099" i="7"/>
  <c r="L2100" i="7"/>
  <c r="L2101" i="7"/>
  <c r="L2102" i="7"/>
  <c r="L2103" i="7"/>
  <c r="L2104" i="7"/>
  <c r="L2105" i="7"/>
  <c r="L2106" i="7"/>
  <c r="L2107" i="7"/>
  <c r="L2108" i="7"/>
  <c r="L2109" i="7"/>
  <c r="L2110" i="7"/>
  <c r="L2111" i="7"/>
  <c r="L2112" i="7"/>
  <c r="L2113" i="7"/>
  <c r="L2114" i="7"/>
  <c r="L2115" i="7"/>
  <c r="L2116" i="7"/>
  <c r="L2117" i="7"/>
  <c r="L2118" i="7"/>
  <c r="L2119" i="7"/>
  <c r="L2120" i="7"/>
  <c r="L2121" i="7"/>
  <c r="L2122" i="7"/>
  <c r="L2123" i="7"/>
  <c r="L2124" i="7"/>
  <c r="L2125" i="7"/>
  <c r="L2126" i="7"/>
  <c r="L2127" i="7"/>
  <c r="L2128" i="7"/>
  <c r="L2129" i="7"/>
  <c r="L2130" i="7"/>
  <c r="L2131" i="7"/>
  <c r="L2132" i="7"/>
  <c r="L2133" i="7"/>
  <c r="L2134" i="7"/>
  <c r="L2135" i="7"/>
  <c r="L2136" i="7"/>
  <c r="L2137" i="7"/>
  <c r="L2138" i="7"/>
  <c r="L2139" i="7"/>
  <c r="L2140" i="7"/>
  <c r="L2141" i="7"/>
  <c r="L2142" i="7"/>
  <c r="L2143" i="7"/>
  <c r="L2144" i="7"/>
  <c r="L2145" i="7"/>
  <c r="L2146" i="7"/>
  <c r="L2147" i="7"/>
  <c r="L2148" i="7"/>
  <c r="L2149" i="7"/>
  <c r="L2150" i="7"/>
  <c r="L2151" i="7"/>
  <c r="L2152" i="7"/>
  <c r="L2153" i="7"/>
  <c r="L2154" i="7"/>
  <c r="L2155" i="7"/>
  <c r="L2156" i="7"/>
  <c r="L2157" i="7"/>
  <c r="L2158" i="7"/>
  <c r="L2159" i="7"/>
  <c r="L2160" i="7"/>
  <c r="L2161" i="7"/>
  <c r="L2162" i="7"/>
  <c r="L2163" i="7"/>
  <c r="L2164" i="7"/>
  <c r="L2165" i="7"/>
  <c r="L2166" i="7"/>
  <c r="L2167" i="7"/>
  <c r="L2168" i="7"/>
  <c r="L2169" i="7"/>
  <c r="L2170" i="7"/>
  <c r="L2171" i="7"/>
  <c r="L2172" i="7"/>
  <c r="L2173" i="7"/>
  <c r="L2174" i="7"/>
  <c r="L2175" i="7"/>
  <c r="L2176" i="7"/>
  <c r="L2177" i="7"/>
  <c r="L2178" i="7"/>
  <c r="L2179" i="7"/>
  <c r="L2180" i="7"/>
  <c r="L2181" i="7"/>
  <c r="L2182" i="7"/>
  <c r="L2183" i="7"/>
  <c r="L2184" i="7"/>
  <c r="L2185" i="7"/>
  <c r="L2186" i="7"/>
  <c r="L2187" i="7"/>
  <c r="L2188" i="7"/>
  <c r="L2189" i="7"/>
  <c r="L2190" i="7"/>
  <c r="L2191" i="7"/>
  <c r="L2192" i="7"/>
  <c r="L2193" i="7"/>
  <c r="L2194" i="7"/>
  <c r="L2195" i="7"/>
  <c r="L2196" i="7"/>
  <c r="L2197" i="7"/>
  <c r="L2198" i="7"/>
  <c r="L2199" i="7"/>
  <c r="L2200" i="7"/>
  <c r="L2201" i="7"/>
  <c r="L2202" i="7"/>
  <c r="L2203" i="7"/>
  <c r="L2204" i="7"/>
  <c r="L2205" i="7"/>
  <c r="L2206" i="7"/>
  <c r="L2207" i="7"/>
  <c r="L2208" i="7"/>
  <c r="L2209" i="7"/>
  <c r="L2210" i="7"/>
  <c r="L2211" i="7"/>
  <c r="L2212" i="7"/>
  <c r="L2213" i="7"/>
  <c r="L2214" i="7"/>
  <c r="L2215" i="7"/>
  <c r="L2216" i="7"/>
  <c r="L2217" i="7"/>
  <c r="L2218" i="7"/>
  <c r="L2219" i="7"/>
  <c r="L2220" i="7"/>
  <c r="L2221" i="7"/>
  <c r="L2222" i="7"/>
  <c r="L2223" i="7"/>
  <c r="L2224" i="7"/>
  <c r="L2225" i="7"/>
  <c r="L2226" i="7"/>
  <c r="L2227" i="7"/>
  <c r="L2228" i="7"/>
  <c r="L2229" i="7"/>
  <c r="L2230" i="7"/>
  <c r="L2231" i="7"/>
  <c r="L2232" i="7"/>
  <c r="L2233" i="7"/>
  <c r="L2234" i="7"/>
  <c r="L2235" i="7"/>
  <c r="L2236" i="7"/>
  <c r="L2237" i="7"/>
  <c r="L2238" i="7"/>
  <c r="L2239" i="7"/>
  <c r="L2240" i="7"/>
  <c r="L2241" i="7"/>
  <c r="L2242" i="7"/>
  <c r="L2243" i="7"/>
  <c r="L2244" i="7"/>
  <c r="L2245" i="7"/>
  <c r="L2246" i="7"/>
  <c r="L2247" i="7"/>
  <c r="L2248" i="7"/>
  <c r="L2249" i="7"/>
  <c r="L2250" i="7"/>
  <c r="L2251" i="7"/>
  <c r="L2252" i="7"/>
  <c r="L2253" i="7"/>
  <c r="L2254" i="7"/>
  <c r="L2255" i="7"/>
  <c r="L2256" i="7"/>
  <c r="L2257" i="7"/>
  <c r="L2258" i="7"/>
  <c r="L2259" i="7"/>
  <c r="L2260" i="7"/>
  <c r="L2261" i="7"/>
  <c r="L2262" i="7"/>
  <c r="L2263" i="7"/>
  <c r="L2264" i="7"/>
  <c r="L2265" i="7"/>
  <c r="L2266" i="7"/>
  <c r="L2267" i="7"/>
  <c r="L2268" i="7"/>
  <c r="L2269" i="7"/>
  <c r="L2270" i="7"/>
  <c r="L2271" i="7"/>
  <c r="L2272" i="7"/>
  <c r="L2273" i="7"/>
  <c r="L2274" i="7"/>
  <c r="L2275" i="7"/>
  <c r="L2276" i="7"/>
  <c r="L2277" i="7"/>
  <c r="L2278" i="7"/>
  <c r="L2279" i="7"/>
  <c r="L2280" i="7"/>
  <c r="L2281" i="7"/>
  <c r="L2282" i="7"/>
  <c r="L2283" i="7"/>
  <c r="L2284" i="7"/>
  <c r="L2285" i="7"/>
  <c r="L2286" i="7"/>
  <c r="L2287" i="7"/>
  <c r="L2288" i="7"/>
  <c r="L2289" i="7"/>
  <c r="L2290" i="7"/>
  <c r="L2291" i="7"/>
  <c r="L2292" i="7"/>
  <c r="L2293" i="7"/>
  <c r="L2294" i="7"/>
  <c r="L2295" i="7"/>
  <c r="L2296" i="7"/>
  <c r="L2297" i="7"/>
  <c r="L2298" i="7"/>
  <c r="L2299" i="7"/>
  <c r="L2300" i="7"/>
  <c r="L2301" i="7"/>
  <c r="L2302" i="7"/>
  <c r="L2303" i="7"/>
  <c r="L2304" i="7"/>
  <c r="L2305" i="7"/>
  <c r="L2306" i="7"/>
  <c r="L2307" i="7"/>
  <c r="L2308" i="7"/>
  <c r="L2309" i="7"/>
  <c r="L2310" i="7"/>
  <c r="L2311" i="7"/>
  <c r="L2312" i="7"/>
  <c r="L2313" i="7"/>
  <c r="L2314" i="7"/>
  <c r="L2315" i="7"/>
  <c r="L2316" i="7"/>
  <c r="L2317" i="7"/>
  <c r="L2318" i="7"/>
  <c r="L2319" i="7"/>
  <c r="L2320" i="7"/>
  <c r="L2321" i="7"/>
  <c r="L2322" i="7"/>
  <c r="L2323" i="7"/>
  <c r="L2324" i="7"/>
  <c r="L2325" i="7"/>
  <c r="L2326" i="7"/>
  <c r="L2327" i="7"/>
  <c r="L2328" i="7"/>
  <c r="L2329" i="7"/>
  <c r="L2330" i="7"/>
  <c r="L2331" i="7"/>
  <c r="L2332" i="7"/>
  <c r="L2333" i="7"/>
  <c r="L2334" i="7"/>
  <c r="L2335" i="7"/>
  <c r="L2336" i="7"/>
  <c r="L2337" i="7"/>
  <c r="L2338" i="7"/>
  <c r="L2339" i="7"/>
  <c r="L2340" i="7"/>
  <c r="L2341" i="7"/>
  <c r="L2342" i="7"/>
  <c r="L2343" i="7"/>
  <c r="L2344" i="7"/>
  <c r="L2345" i="7"/>
  <c r="L2346" i="7"/>
  <c r="L2347" i="7"/>
  <c r="L2348" i="7"/>
  <c r="L2349" i="7"/>
  <c r="L2350" i="7"/>
  <c r="L2351" i="7"/>
  <c r="L2352" i="7"/>
  <c r="L2353" i="7"/>
  <c r="L2354" i="7"/>
  <c r="L2355" i="7"/>
  <c r="L2356" i="7"/>
  <c r="L2357" i="7"/>
  <c r="L2358" i="7"/>
  <c r="L2359" i="7"/>
  <c r="L2360" i="7"/>
  <c r="L2361" i="7"/>
  <c r="L2362" i="7"/>
  <c r="L2363" i="7"/>
  <c r="L2364" i="7"/>
  <c r="L2365" i="7"/>
  <c r="L2366" i="7"/>
  <c r="L2367" i="7"/>
  <c r="L2368" i="7"/>
  <c r="L2369" i="7"/>
  <c r="L2370" i="7"/>
  <c r="L2371" i="7"/>
  <c r="L2372" i="7"/>
  <c r="L2373" i="7"/>
  <c r="L2374" i="7"/>
  <c r="L2375" i="7"/>
  <c r="L2376" i="7"/>
  <c r="L2377" i="7"/>
  <c r="L2378" i="7"/>
  <c r="L2379" i="7"/>
  <c r="L2380" i="7"/>
  <c r="L2381" i="7"/>
  <c r="L2382" i="7"/>
  <c r="L2383" i="7"/>
  <c r="L2384" i="7"/>
  <c r="L2385" i="7"/>
  <c r="L2386" i="7"/>
  <c r="L2387" i="7"/>
  <c r="L2388" i="7"/>
  <c r="L2389" i="7"/>
  <c r="L2390" i="7"/>
  <c r="L2391" i="7"/>
  <c r="L2392" i="7"/>
  <c r="L2393" i="7"/>
  <c r="L2394" i="7"/>
  <c r="L2395" i="7"/>
  <c r="L2396" i="7"/>
  <c r="L2397" i="7"/>
  <c r="L2398" i="7"/>
  <c r="L2399" i="7"/>
  <c r="L2400" i="7"/>
  <c r="L2401" i="7"/>
  <c r="L2402" i="7"/>
  <c r="L2403" i="7"/>
  <c r="L2404" i="7"/>
  <c r="L2405" i="7"/>
  <c r="L2406" i="7"/>
  <c r="L2407" i="7"/>
  <c r="L2408" i="7"/>
  <c r="L2409" i="7"/>
  <c r="L2410" i="7"/>
  <c r="L2411" i="7"/>
  <c r="L2412" i="7"/>
  <c r="L2413" i="7"/>
  <c r="L2414" i="7"/>
  <c r="L2415" i="7"/>
  <c r="L2416" i="7"/>
  <c r="L2417" i="7"/>
  <c r="L2418" i="7"/>
  <c r="L2419" i="7"/>
  <c r="L2420" i="7"/>
  <c r="L2421" i="7"/>
  <c r="L2422" i="7"/>
  <c r="L2423" i="7"/>
  <c r="L2424" i="7"/>
  <c r="L2425" i="7"/>
  <c r="L2426" i="7"/>
  <c r="L2427" i="7"/>
  <c r="L2428" i="7"/>
  <c r="L2429" i="7"/>
  <c r="L2430" i="7"/>
  <c r="L2431" i="7"/>
  <c r="L2432" i="7"/>
  <c r="L2433" i="7"/>
  <c r="L2434" i="7"/>
  <c r="L2435" i="7"/>
  <c r="L2436" i="7"/>
  <c r="L2437" i="7"/>
  <c r="L2438" i="7"/>
  <c r="L2439" i="7"/>
  <c r="L2440" i="7"/>
  <c r="L2441" i="7"/>
  <c r="L2442" i="7"/>
  <c r="L2443" i="7"/>
  <c r="L2444" i="7"/>
  <c r="L2445" i="7"/>
  <c r="L2446" i="7"/>
  <c r="L2447" i="7"/>
  <c r="L2448" i="7"/>
  <c r="L2449" i="7"/>
  <c r="L2450" i="7"/>
  <c r="L2451" i="7"/>
  <c r="L2452" i="7"/>
  <c r="L2453" i="7"/>
  <c r="L2454" i="7"/>
  <c r="L2455" i="7"/>
  <c r="L2456" i="7"/>
  <c r="L2457" i="7"/>
  <c r="L2458" i="7"/>
  <c r="L2459" i="7"/>
  <c r="L2460" i="7"/>
  <c r="L2461" i="7"/>
  <c r="L2462" i="7"/>
  <c r="L2463" i="7"/>
  <c r="L2464" i="7"/>
  <c r="L2465" i="7"/>
  <c r="L2466" i="7"/>
  <c r="L2467" i="7"/>
  <c r="L2468" i="7"/>
  <c r="L2469" i="7"/>
  <c r="L2470" i="7"/>
  <c r="L2471" i="7"/>
  <c r="L2472" i="7"/>
  <c r="L2473" i="7"/>
  <c r="L2474" i="7"/>
  <c r="L2475" i="7"/>
  <c r="L2476" i="7"/>
  <c r="L2477" i="7"/>
  <c r="L2478" i="7"/>
  <c r="L2479" i="7"/>
  <c r="L2480" i="7"/>
  <c r="L2481" i="7"/>
  <c r="L2482" i="7"/>
  <c r="L2483" i="7"/>
  <c r="L2484" i="7"/>
  <c r="L2485" i="7"/>
  <c r="L2486" i="7"/>
  <c r="L2487" i="7"/>
  <c r="L2488" i="7"/>
  <c r="L2489" i="7"/>
  <c r="L2490" i="7"/>
  <c r="L2491" i="7"/>
  <c r="L2492" i="7"/>
  <c r="L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K1356" i="7"/>
  <c r="K1357" i="7"/>
  <c r="K1358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1375" i="7"/>
  <c r="K1376" i="7"/>
  <c r="K1377" i="7"/>
  <c r="K1378" i="7"/>
  <c r="K1379" i="7"/>
  <c r="K1380" i="7"/>
  <c r="K1381" i="7"/>
  <c r="K1382" i="7"/>
  <c r="K1383" i="7"/>
  <c r="K1384" i="7"/>
  <c r="K1385" i="7"/>
  <c r="K1386" i="7"/>
  <c r="K1387" i="7"/>
  <c r="K1388" i="7"/>
  <c r="K1389" i="7"/>
  <c r="K1390" i="7"/>
  <c r="K1391" i="7"/>
  <c r="K1392" i="7"/>
  <c r="K1393" i="7"/>
  <c r="K1394" i="7"/>
  <c r="K1395" i="7"/>
  <c r="K1396" i="7"/>
  <c r="K1397" i="7"/>
  <c r="K1398" i="7"/>
  <c r="K1399" i="7"/>
  <c r="K1400" i="7"/>
  <c r="K1401" i="7"/>
  <c r="K1402" i="7"/>
  <c r="K1403" i="7"/>
  <c r="K1404" i="7"/>
  <c r="K1405" i="7"/>
  <c r="K1406" i="7"/>
  <c r="K1407" i="7"/>
  <c r="K1408" i="7"/>
  <c r="K1409" i="7"/>
  <c r="K1410" i="7"/>
  <c r="K1411" i="7"/>
  <c r="K1412" i="7"/>
  <c r="K1413" i="7"/>
  <c r="K1414" i="7"/>
  <c r="K1415" i="7"/>
  <c r="K1416" i="7"/>
  <c r="K1417" i="7"/>
  <c r="K1418" i="7"/>
  <c r="K1419" i="7"/>
  <c r="K1420" i="7"/>
  <c r="K1421" i="7"/>
  <c r="K1422" i="7"/>
  <c r="K1423" i="7"/>
  <c r="K1424" i="7"/>
  <c r="K1425" i="7"/>
  <c r="K1426" i="7"/>
  <c r="K1427" i="7"/>
  <c r="K1428" i="7"/>
  <c r="K1429" i="7"/>
  <c r="K1430" i="7"/>
  <c r="K1431" i="7"/>
  <c r="K1432" i="7"/>
  <c r="K1433" i="7"/>
  <c r="K1434" i="7"/>
  <c r="K1435" i="7"/>
  <c r="K1436" i="7"/>
  <c r="K1437" i="7"/>
  <c r="K1438" i="7"/>
  <c r="K1439" i="7"/>
  <c r="K1440" i="7"/>
  <c r="K1441" i="7"/>
  <c r="K1442" i="7"/>
  <c r="K1443" i="7"/>
  <c r="K1444" i="7"/>
  <c r="K1445" i="7"/>
  <c r="K1446" i="7"/>
  <c r="K1447" i="7"/>
  <c r="K1448" i="7"/>
  <c r="K1449" i="7"/>
  <c r="K1450" i="7"/>
  <c r="K1451" i="7"/>
  <c r="K1452" i="7"/>
  <c r="K1453" i="7"/>
  <c r="K1454" i="7"/>
  <c r="K1455" i="7"/>
  <c r="K1456" i="7"/>
  <c r="K1457" i="7"/>
  <c r="K1458" i="7"/>
  <c r="K1459" i="7"/>
  <c r="K1460" i="7"/>
  <c r="K1461" i="7"/>
  <c r="K1462" i="7"/>
  <c r="K1463" i="7"/>
  <c r="K1464" i="7"/>
  <c r="K1465" i="7"/>
  <c r="K1466" i="7"/>
  <c r="K1467" i="7"/>
  <c r="K1468" i="7"/>
  <c r="K1469" i="7"/>
  <c r="K1470" i="7"/>
  <c r="K1471" i="7"/>
  <c r="K1472" i="7"/>
  <c r="K1473" i="7"/>
  <c r="K1474" i="7"/>
  <c r="K1475" i="7"/>
  <c r="K1476" i="7"/>
  <c r="K1477" i="7"/>
  <c r="K1478" i="7"/>
  <c r="K1479" i="7"/>
  <c r="K1480" i="7"/>
  <c r="K1481" i="7"/>
  <c r="K1482" i="7"/>
  <c r="K1483" i="7"/>
  <c r="K1484" i="7"/>
  <c r="K1485" i="7"/>
  <c r="K1486" i="7"/>
  <c r="K1487" i="7"/>
  <c r="K1488" i="7"/>
  <c r="K1489" i="7"/>
  <c r="K1490" i="7"/>
  <c r="K1491" i="7"/>
  <c r="K1492" i="7"/>
  <c r="K1493" i="7"/>
  <c r="K1494" i="7"/>
  <c r="K1495" i="7"/>
  <c r="K1496" i="7"/>
  <c r="K1497" i="7"/>
  <c r="K1498" i="7"/>
  <c r="K1499" i="7"/>
  <c r="K1500" i="7"/>
  <c r="K1501" i="7"/>
  <c r="K1502" i="7"/>
  <c r="K1503" i="7"/>
  <c r="K1504" i="7"/>
  <c r="K1505" i="7"/>
  <c r="K1506" i="7"/>
  <c r="K1507" i="7"/>
  <c r="K1508" i="7"/>
  <c r="K1509" i="7"/>
  <c r="K1510" i="7"/>
  <c r="K1511" i="7"/>
  <c r="K1512" i="7"/>
  <c r="K1513" i="7"/>
  <c r="K1514" i="7"/>
  <c r="K1515" i="7"/>
  <c r="K1516" i="7"/>
  <c r="K1517" i="7"/>
  <c r="K1518" i="7"/>
  <c r="K1519" i="7"/>
  <c r="K1520" i="7"/>
  <c r="K1521" i="7"/>
  <c r="K1522" i="7"/>
  <c r="K1523" i="7"/>
  <c r="K1524" i="7"/>
  <c r="K1525" i="7"/>
  <c r="K1526" i="7"/>
  <c r="K1527" i="7"/>
  <c r="K1528" i="7"/>
  <c r="K1529" i="7"/>
  <c r="K1530" i="7"/>
  <c r="K1531" i="7"/>
  <c r="K1532" i="7"/>
  <c r="K1533" i="7"/>
  <c r="K1534" i="7"/>
  <c r="K1535" i="7"/>
  <c r="K1536" i="7"/>
  <c r="K1537" i="7"/>
  <c r="K1538" i="7"/>
  <c r="K1539" i="7"/>
  <c r="K1540" i="7"/>
  <c r="K1541" i="7"/>
  <c r="K1542" i="7"/>
  <c r="K1543" i="7"/>
  <c r="K1544" i="7"/>
  <c r="K1545" i="7"/>
  <c r="K1546" i="7"/>
  <c r="K1547" i="7"/>
  <c r="K1548" i="7"/>
  <c r="K1549" i="7"/>
  <c r="K1550" i="7"/>
  <c r="K1551" i="7"/>
  <c r="K1552" i="7"/>
  <c r="K1553" i="7"/>
  <c r="K1554" i="7"/>
  <c r="K1555" i="7"/>
  <c r="K1556" i="7"/>
  <c r="K1557" i="7"/>
  <c r="K1558" i="7"/>
  <c r="K1559" i="7"/>
  <c r="K1560" i="7"/>
  <c r="K1561" i="7"/>
  <c r="K1562" i="7"/>
  <c r="K1563" i="7"/>
  <c r="K1564" i="7"/>
  <c r="K1565" i="7"/>
  <c r="K1566" i="7"/>
  <c r="K1567" i="7"/>
  <c r="K1568" i="7"/>
  <c r="K1569" i="7"/>
  <c r="K1570" i="7"/>
  <c r="K1571" i="7"/>
  <c r="K1572" i="7"/>
  <c r="K1573" i="7"/>
  <c r="K1574" i="7"/>
  <c r="K1575" i="7"/>
  <c r="K1576" i="7"/>
  <c r="K1577" i="7"/>
  <c r="K1578" i="7"/>
  <c r="K1579" i="7"/>
  <c r="K1580" i="7"/>
  <c r="K1581" i="7"/>
  <c r="K1582" i="7"/>
  <c r="K1583" i="7"/>
  <c r="K1584" i="7"/>
  <c r="K1585" i="7"/>
  <c r="K1586" i="7"/>
  <c r="K1587" i="7"/>
  <c r="K1588" i="7"/>
  <c r="K1589" i="7"/>
  <c r="K1590" i="7"/>
  <c r="K1591" i="7"/>
  <c r="K1592" i="7"/>
  <c r="K1593" i="7"/>
  <c r="K1594" i="7"/>
  <c r="K1595" i="7"/>
  <c r="K1596" i="7"/>
  <c r="K1597" i="7"/>
  <c r="K1598" i="7"/>
  <c r="K1599" i="7"/>
  <c r="K1600" i="7"/>
  <c r="K1601" i="7"/>
  <c r="K1602" i="7"/>
  <c r="K1603" i="7"/>
  <c r="K1604" i="7"/>
  <c r="K1605" i="7"/>
  <c r="K1606" i="7"/>
  <c r="K1607" i="7"/>
  <c r="K1608" i="7"/>
  <c r="K1609" i="7"/>
  <c r="K1610" i="7"/>
  <c r="K1611" i="7"/>
  <c r="K1612" i="7"/>
  <c r="K1613" i="7"/>
  <c r="K1614" i="7"/>
  <c r="K1615" i="7"/>
  <c r="K1616" i="7"/>
  <c r="K1617" i="7"/>
  <c r="K1618" i="7"/>
  <c r="K1619" i="7"/>
  <c r="K1620" i="7"/>
  <c r="K1621" i="7"/>
  <c r="K1622" i="7"/>
  <c r="K1623" i="7"/>
  <c r="K1624" i="7"/>
  <c r="K1625" i="7"/>
  <c r="K1626" i="7"/>
  <c r="K1627" i="7"/>
  <c r="K1628" i="7"/>
  <c r="K1629" i="7"/>
  <c r="K1630" i="7"/>
  <c r="K1631" i="7"/>
  <c r="K1632" i="7"/>
  <c r="K1633" i="7"/>
  <c r="K1634" i="7"/>
  <c r="K1635" i="7"/>
  <c r="K1636" i="7"/>
  <c r="K1637" i="7"/>
  <c r="K1638" i="7"/>
  <c r="K1639" i="7"/>
  <c r="K1640" i="7"/>
  <c r="K1641" i="7"/>
  <c r="K1642" i="7"/>
  <c r="K1643" i="7"/>
  <c r="K1644" i="7"/>
  <c r="K1645" i="7"/>
  <c r="K1646" i="7"/>
  <c r="K1647" i="7"/>
  <c r="K1648" i="7"/>
  <c r="K1649" i="7"/>
  <c r="K1650" i="7"/>
  <c r="K1651" i="7"/>
  <c r="K1652" i="7"/>
  <c r="K1653" i="7"/>
  <c r="K1654" i="7"/>
  <c r="K1655" i="7"/>
  <c r="K1656" i="7"/>
  <c r="K1657" i="7"/>
  <c r="K1658" i="7"/>
  <c r="K1659" i="7"/>
  <c r="K1660" i="7"/>
  <c r="K1661" i="7"/>
  <c r="K1662" i="7"/>
  <c r="K1663" i="7"/>
  <c r="K1664" i="7"/>
  <c r="K1665" i="7"/>
  <c r="K1666" i="7"/>
  <c r="K1667" i="7"/>
  <c r="K1668" i="7"/>
  <c r="K1669" i="7"/>
  <c r="K1670" i="7"/>
  <c r="K1671" i="7"/>
  <c r="K1672" i="7"/>
  <c r="K1673" i="7"/>
  <c r="K1674" i="7"/>
  <c r="K1675" i="7"/>
  <c r="K1676" i="7"/>
  <c r="K1677" i="7"/>
  <c r="K1678" i="7"/>
  <c r="K1679" i="7"/>
  <c r="K1680" i="7"/>
  <c r="K1681" i="7"/>
  <c r="K1682" i="7"/>
  <c r="K1683" i="7"/>
  <c r="K1684" i="7"/>
  <c r="K1685" i="7"/>
  <c r="K1686" i="7"/>
  <c r="K1687" i="7"/>
  <c r="K1688" i="7"/>
  <c r="K1689" i="7"/>
  <c r="K1690" i="7"/>
  <c r="K1691" i="7"/>
  <c r="K1692" i="7"/>
  <c r="K1693" i="7"/>
  <c r="K1694" i="7"/>
  <c r="K1695" i="7"/>
  <c r="K1696" i="7"/>
  <c r="K1697" i="7"/>
  <c r="K1698" i="7"/>
  <c r="K1699" i="7"/>
  <c r="K1700" i="7"/>
  <c r="K1701" i="7"/>
  <c r="K1702" i="7"/>
  <c r="K1703" i="7"/>
  <c r="K1704" i="7"/>
  <c r="K1705" i="7"/>
  <c r="K1706" i="7"/>
  <c r="K1707" i="7"/>
  <c r="K1708" i="7"/>
  <c r="K1709" i="7"/>
  <c r="K1710" i="7"/>
  <c r="K1711" i="7"/>
  <c r="K1712" i="7"/>
  <c r="K1713" i="7"/>
  <c r="K1714" i="7"/>
  <c r="K1715" i="7"/>
  <c r="K1716" i="7"/>
  <c r="K1717" i="7"/>
  <c r="K1718" i="7"/>
  <c r="K1719" i="7"/>
  <c r="K1720" i="7"/>
  <c r="K1721" i="7"/>
  <c r="K1722" i="7"/>
  <c r="K1723" i="7"/>
  <c r="K1724" i="7"/>
  <c r="K1725" i="7"/>
  <c r="K1726" i="7"/>
  <c r="K1727" i="7"/>
  <c r="K1728" i="7"/>
  <c r="K1729" i="7"/>
  <c r="K1730" i="7"/>
  <c r="K1731" i="7"/>
  <c r="K1732" i="7"/>
  <c r="K1733" i="7"/>
  <c r="K1734" i="7"/>
  <c r="K1735" i="7"/>
  <c r="K1736" i="7"/>
  <c r="K1737" i="7"/>
  <c r="K1738" i="7"/>
  <c r="K1739" i="7"/>
  <c r="K1740" i="7"/>
  <c r="K1741" i="7"/>
  <c r="K1742" i="7"/>
  <c r="K1743" i="7"/>
  <c r="K1744" i="7"/>
  <c r="K1745" i="7"/>
  <c r="K1746" i="7"/>
  <c r="K1747" i="7"/>
  <c r="K1748" i="7"/>
  <c r="K1749" i="7"/>
  <c r="K1750" i="7"/>
  <c r="K1751" i="7"/>
  <c r="K1752" i="7"/>
  <c r="K1753" i="7"/>
  <c r="K1754" i="7"/>
  <c r="K1755" i="7"/>
  <c r="K1756" i="7"/>
  <c r="K1757" i="7"/>
  <c r="K1758" i="7"/>
  <c r="K1759" i="7"/>
  <c r="K1760" i="7"/>
  <c r="K1761" i="7"/>
  <c r="K1762" i="7"/>
  <c r="K1763" i="7"/>
  <c r="K1764" i="7"/>
  <c r="K1765" i="7"/>
  <c r="K1766" i="7"/>
  <c r="K1767" i="7"/>
  <c r="K1768" i="7"/>
  <c r="K1769" i="7"/>
  <c r="K1770" i="7"/>
  <c r="K1771" i="7"/>
  <c r="K1772" i="7"/>
  <c r="K1773" i="7"/>
  <c r="K1774" i="7"/>
  <c r="K1775" i="7"/>
  <c r="K1776" i="7"/>
  <c r="K1777" i="7"/>
  <c r="K1778" i="7"/>
  <c r="K1779" i="7"/>
  <c r="K1780" i="7"/>
  <c r="K1781" i="7"/>
  <c r="K1782" i="7"/>
  <c r="K1783" i="7"/>
  <c r="K1784" i="7"/>
  <c r="K1785" i="7"/>
  <c r="K1786" i="7"/>
  <c r="K1787" i="7"/>
  <c r="K1788" i="7"/>
  <c r="K1789" i="7"/>
  <c r="K1790" i="7"/>
  <c r="K1791" i="7"/>
  <c r="K1792" i="7"/>
  <c r="K1793" i="7"/>
  <c r="K1794" i="7"/>
  <c r="K1795" i="7"/>
  <c r="K1796" i="7"/>
  <c r="K1797" i="7"/>
  <c r="K1798" i="7"/>
  <c r="K1799" i="7"/>
  <c r="K1800" i="7"/>
  <c r="K1801" i="7"/>
  <c r="K1802" i="7"/>
  <c r="K1803" i="7"/>
  <c r="K1804" i="7"/>
  <c r="K1805" i="7"/>
  <c r="K1806" i="7"/>
  <c r="K1807" i="7"/>
  <c r="K1808" i="7"/>
  <c r="K1809" i="7"/>
  <c r="K1810" i="7"/>
  <c r="K1811" i="7"/>
  <c r="K1812" i="7"/>
  <c r="K1813" i="7"/>
  <c r="K1814" i="7"/>
  <c r="K1815" i="7"/>
  <c r="K1816" i="7"/>
  <c r="K1817" i="7"/>
  <c r="K1818" i="7"/>
  <c r="K1819" i="7"/>
  <c r="K1820" i="7"/>
  <c r="K1821" i="7"/>
  <c r="K1822" i="7"/>
  <c r="K1823" i="7"/>
  <c r="K1824" i="7"/>
  <c r="K1825" i="7"/>
  <c r="K1826" i="7"/>
  <c r="K1827" i="7"/>
  <c r="K1828" i="7"/>
  <c r="K1829" i="7"/>
  <c r="K1830" i="7"/>
  <c r="K1831" i="7"/>
  <c r="K1832" i="7"/>
  <c r="K1833" i="7"/>
  <c r="K1834" i="7"/>
  <c r="K1835" i="7"/>
  <c r="K1836" i="7"/>
  <c r="K1837" i="7"/>
  <c r="K1838" i="7"/>
  <c r="K1839" i="7"/>
  <c r="K1840" i="7"/>
  <c r="K1841" i="7"/>
  <c r="K1842" i="7"/>
  <c r="K1843" i="7"/>
  <c r="K1844" i="7"/>
  <c r="K1845" i="7"/>
  <c r="K1846" i="7"/>
  <c r="K1847" i="7"/>
  <c r="K1848" i="7"/>
  <c r="K1849" i="7"/>
  <c r="K1850" i="7"/>
  <c r="K1851" i="7"/>
  <c r="K1852" i="7"/>
  <c r="K1853" i="7"/>
  <c r="K1854" i="7"/>
  <c r="K1855" i="7"/>
  <c r="K1856" i="7"/>
  <c r="K1857" i="7"/>
  <c r="K1858" i="7"/>
  <c r="K1859" i="7"/>
  <c r="K1860" i="7"/>
  <c r="K1861" i="7"/>
  <c r="K1862" i="7"/>
  <c r="K1863" i="7"/>
  <c r="K1864" i="7"/>
  <c r="K1865" i="7"/>
  <c r="K1866" i="7"/>
  <c r="K1867" i="7"/>
  <c r="K1868" i="7"/>
  <c r="K1869" i="7"/>
  <c r="K1870" i="7"/>
  <c r="K1871" i="7"/>
  <c r="K1872" i="7"/>
  <c r="K1873" i="7"/>
  <c r="K1874" i="7"/>
  <c r="K1875" i="7"/>
  <c r="K1876" i="7"/>
  <c r="K1877" i="7"/>
  <c r="K1878" i="7"/>
  <c r="K1879" i="7"/>
  <c r="K1880" i="7"/>
  <c r="K1881" i="7"/>
  <c r="K1882" i="7"/>
  <c r="K1883" i="7"/>
  <c r="K1884" i="7"/>
  <c r="K1885" i="7"/>
  <c r="K1886" i="7"/>
  <c r="K1887" i="7"/>
  <c r="K1888" i="7"/>
  <c r="K1889" i="7"/>
  <c r="K1890" i="7"/>
  <c r="K1891" i="7"/>
  <c r="K1892" i="7"/>
  <c r="K1893" i="7"/>
  <c r="K1894" i="7"/>
  <c r="K1895" i="7"/>
  <c r="K1896" i="7"/>
  <c r="K1897" i="7"/>
  <c r="K1898" i="7"/>
  <c r="K1899" i="7"/>
  <c r="K1900" i="7"/>
  <c r="K1901" i="7"/>
  <c r="K1902" i="7"/>
  <c r="K1903" i="7"/>
  <c r="K1904" i="7"/>
  <c r="K1905" i="7"/>
  <c r="K1906" i="7"/>
  <c r="K1907" i="7"/>
  <c r="K1908" i="7"/>
  <c r="K1909" i="7"/>
  <c r="K1910" i="7"/>
  <c r="K1911" i="7"/>
  <c r="K1912" i="7"/>
  <c r="K1913" i="7"/>
  <c r="K1914" i="7"/>
  <c r="K1915" i="7"/>
  <c r="K1916" i="7"/>
  <c r="K1917" i="7"/>
  <c r="K1918" i="7"/>
  <c r="K1919" i="7"/>
  <c r="K1920" i="7"/>
  <c r="K1921" i="7"/>
  <c r="K1922" i="7"/>
  <c r="K1923" i="7"/>
  <c r="K1924" i="7"/>
  <c r="K1925" i="7"/>
  <c r="K1926" i="7"/>
  <c r="K1927" i="7"/>
  <c r="K1928" i="7"/>
  <c r="K1929" i="7"/>
  <c r="K1930" i="7"/>
  <c r="K1931" i="7"/>
  <c r="K1932" i="7"/>
  <c r="K1933" i="7"/>
  <c r="K1934" i="7"/>
  <c r="K1935" i="7"/>
  <c r="K1936" i="7"/>
  <c r="K1937" i="7"/>
  <c r="K1938" i="7"/>
  <c r="K1939" i="7"/>
  <c r="K1940" i="7"/>
  <c r="K1941" i="7"/>
  <c r="K1942" i="7"/>
  <c r="K1943" i="7"/>
  <c r="K1944" i="7"/>
  <c r="K1945" i="7"/>
  <c r="K1946" i="7"/>
  <c r="K1947" i="7"/>
  <c r="K1948" i="7"/>
  <c r="K1949" i="7"/>
  <c r="K1950" i="7"/>
  <c r="K1951" i="7"/>
  <c r="K1952" i="7"/>
  <c r="K1953" i="7"/>
  <c r="K1954" i="7"/>
  <c r="K1955" i="7"/>
  <c r="K1956" i="7"/>
  <c r="K1957" i="7"/>
  <c r="K1958" i="7"/>
  <c r="K1959" i="7"/>
  <c r="K1960" i="7"/>
  <c r="K1961" i="7"/>
  <c r="K1962" i="7"/>
  <c r="K1963" i="7"/>
  <c r="K1964" i="7"/>
  <c r="K1965" i="7"/>
  <c r="K1966" i="7"/>
  <c r="K1967" i="7"/>
  <c r="K1968" i="7"/>
  <c r="K1969" i="7"/>
  <c r="K1970" i="7"/>
  <c r="K1971" i="7"/>
  <c r="K1972" i="7"/>
  <c r="K1973" i="7"/>
  <c r="K1974" i="7"/>
  <c r="K1975" i="7"/>
  <c r="K1976" i="7"/>
  <c r="K1977" i="7"/>
  <c r="K1978" i="7"/>
  <c r="K1979" i="7"/>
  <c r="K1980" i="7"/>
  <c r="K1981" i="7"/>
  <c r="K1982" i="7"/>
  <c r="K1983" i="7"/>
  <c r="K1984" i="7"/>
  <c r="K1985" i="7"/>
  <c r="K1986" i="7"/>
  <c r="K1987" i="7"/>
  <c r="K1988" i="7"/>
  <c r="K1989" i="7"/>
  <c r="K1990" i="7"/>
  <c r="K1991" i="7"/>
  <c r="K1992" i="7"/>
  <c r="K1993" i="7"/>
  <c r="K1994" i="7"/>
  <c r="K1995" i="7"/>
  <c r="K1996" i="7"/>
  <c r="K1997" i="7"/>
  <c r="K1998" i="7"/>
  <c r="K1999" i="7"/>
  <c r="K2000" i="7"/>
  <c r="K2001" i="7"/>
  <c r="K2002" i="7"/>
  <c r="K2003" i="7"/>
  <c r="K2004" i="7"/>
  <c r="K2005" i="7"/>
  <c r="K2006" i="7"/>
  <c r="K2007" i="7"/>
  <c r="K2008" i="7"/>
  <c r="K2009" i="7"/>
  <c r="K2010" i="7"/>
  <c r="K2011" i="7"/>
  <c r="K2012" i="7"/>
  <c r="K2013" i="7"/>
  <c r="K2014" i="7"/>
  <c r="K2015" i="7"/>
  <c r="K2016" i="7"/>
  <c r="K2017" i="7"/>
  <c r="K2018" i="7"/>
  <c r="K2019" i="7"/>
  <c r="K2020" i="7"/>
  <c r="K2021" i="7"/>
  <c r="K2022" i="7"/>
  <c r="K2023" i="7"/>
  <c r="K2024" i="7"/>
  <c r="K2025" i="7"/>
  <c r="K2026" i="7"/>
  <c r="K2027" i="7"/>
  <c r="K2028" i="7"/>
  <c r="K2029" i="7"/>
  <c r="K2030" i="7"/>
  <c r="K2031" i="7"/>
  <c r="K2032" i="7"/>
  <c r="K2033" i="7"/>
  <c r="K2034" i="7"/>
  <c r="K2035" i="7"/>
  <c r="K2036" i="7"/>
  <c r="K2037" i="7"/>
  <c r="K2038" i="7"/>
  <c r="K2039" i="7"/>
  <c r="K2040" i="7"/>
  <c r="K2041" i="7"/>
  <c r="K2042" i="7"/>
  <c r="K2043" i="7"/>
  <c r="K2044" i="7"/>
  <c r="K2045" i="7"/>
  <c r="K2046" i="7"/>
  <c r="K2047" i="7"/>
  <c r="K2048" i="7"/>
  <c r="K2049" i="7"/>
  <c r="K2050" i="7"/>
  <c r="K2051" i="7"/>
  <c r="K2052" i="7"/>
  <c r="K2053" i="7"/>
  <c r="K2054" i="7"/>
  <c r="K2055" i="7"/>
  <c r="K2056" i="7"/>
  <c r="K2057" i="7"/>
  <c r="K2058" i="7"/>
  <c r="K2059" i="7"/>
  <c r="K2060" i="7"/>
  <c r="K2061" i="7"/>
  <c r="K2062" i="7"/>
  <c r="K2063" i="7"/>
  <c r="K2064" i="7"/>
  <c r="K2065" i="7"/>
  <c r="K2066" i="7"/>
  <c r="K2067" i="7"/>
  <c r="K2068" i="7"/>
  <c r="K2069" i="7"/>
  <c r="K2070" i="7"/>
  <c r="K2071" i="7"/>
  <c r="K2072" i="7"/>
  <c r="K2073" i="7"/>
  <c r="K2074" i="7"/>
  <c r="K2075" i="7"/>
  <c r="K2076" i="7"/>
  <c r="K2077" i="7"/>
  <c r="K2078" i="7"/>
  <c r="K2079" i="7"/>
  <c r="K2080" i="7"/>
  <c r="K2081" i="7"/>
  <c r="K2082" i="7"/>
  <c r="K2083" i="7"/>
  <c r="K2084" i="7"/>
  <c r="K2085" i="7"/>
  <c r="K2086" i="7"/>
  <c r="K2087" i="7"/>
  <c r="K2088" i="7"/>
  <c r="K2089" i="7"/>
  <c r="K2090" i="7"/>
  <c r="K2091" i="7"/>
  <c r="K2092" i="7"/>
  <c r="K2093" i="7"/>
  <c r="K2094" i="7"/>
  <c r="K2095" i="7"/>
  <c r="K2096" i="7"/>
  <c r="K2097" i="7"/>
  <c r="K2098" i="7"/>
  <c r="K2099" i="7"/>
  <c r="K2100" i="7"/>
  <c r="K2101" i="7"/>
  <c r="K2102" i="7"/>
  <c r="K2103" i="7"/>
  <c r="K2104" i="7"/>
  <c r="K2105" i="7"/>
  <c r="K2106" i="7"/>
  <c r="K2107" i="7"/>
  <c r="K2108" i="7"/>
  <c r="K2109" i="7"/>
  <c r="K2110" i="7"/>
  <c r="K2111" i="7"/>
  <c r="K2112" i="7"/>
  <c r="K2113" i="7"/>
  <c r="K2114" i="7"/>
  <c r="K2115" i="7"/>
  <c r="K2116" i="7"/>
  <c r="K2117" i="7"/>
  <c r="K2118" i="7"/>
  <c r="K2119" i="7"/>
  <c r="K2120" i="7"/>
  <c r="K2121" i="7"/>
  <c r="K2122" i="7"/>
  <c r="K2123" i="7"/>
  <c r="K2124" i="7"/>
  <c r="K2125" i="7"/>
  <c r="K2126" i="7"/>
  <c r="K2127" i="7"/>
  <c r="K2128" i="7"/>
  <c r="K2129" i="7"/>
  <c r="K2130" i="7"/>
  <c r="K2131" i="7"/>
  <c r="K2132" i="7"/>
  <c r="K2133" i="7"/>
  <c r="K2134" i="7"/>
  <c r="K2135" i="7"/>
  <c r="K2136" i="7"/>
  <c r="K2137" i="7"/>
  <c r="K2138" i="7"/>
  <c r="K2139" i="7"/>
  <c r="K2140" i="7"/>
  <c r="K2141" i="7"/>
  <c r="K2142" i="7"/>
  <c r="K2143" i="7"/>
  <c r="K2144" i="7"/>
  <c r="K2145" i="7"/>
  <c r="K2146" i="7"/>
  <c r="K2147" i="7"/>
  <c r="K2148" i="7"/>
  <c r="K2149" i="7"/>
  <c r="K2150" i="7"/>
  <c r="K2151" i="7"/>
  <c r="K2152" i="7"/>
  <c r="K2153" i="7"/>
  <c r="K2154" i="7"/>
  <c r="K2155" i="7"/>
  <c r="K2156" i="7"/>
  <c r="K2157" i="7"/>
  <c r="K2158" i="7"/>
  <c r="K2159" i="7"/>
  <c r="K2160" i="7"/>
  <c r="K2161" i="7"/>
  <c r="K2162" i="7"/>
  <c r="K2163" i="7"/>
  <c r="K2164" i="7"/>
  <c r="K2165" i="7"/>
  <c r="K2166" i="7"/>
  <c r="K2167" i="7"/>
  <c r="K2168" i="7"/>
  <c r="K2169" i="7"/>
  <c r="K2170" i="7"/>
  <c r="K2171" i="7"/>
  <c r="K2172" i="7"/>
  <c r="K2173" i="7"/>
  <c r="K2174" i="7"/>
  <c r="K2175" i="7"/>
  <c r="K2176" i="7"/>
  <c r="K2177" i="7"/>
  <c r="K2178" i="7"/>
  <c r="K2179" i="7"/>
  <c r="K2180" i="7"/>
  <c r="K2181" i="7"/>
  <c r="K2182" i="7"/>
  <c r="K2183" i="7"/>
  <c r="K2184" i="7"/>
  <c r="K2185" i="7"/>
  <c r="K2186" i="7"/>
  <c r="K2187" i="7"/>
  <c r="K2188" i="7"/>
  <c r="K2189" i="7"/>
  <c r="K2190" i="7"/>
  <c r="K2191" i="7"/>
  <c r="K2192" i="7"/>
  <c r="K2193" i="7"/>
  <c r="K2194" i="7"/>
  <c r="K2195" i="7"/>
  <c r="K2196" i="7"/>
  <c r="K2197" i="7"/>
  <c r="K2198" i="7"/>
  <c r="K2199" i="7"/>
  <c r="K2200" i="7"/>
  <c r="K2201" i="7"/>
  <c r="K2202" i="7"/>
  <c r="K2203" i="7"/>
  <c r="K2204" i="7"/>
  <c r="K2205" i="7"/>
  <c r="K2206" i="7"/>
  <c r="K2207" i="7"/>
  <c r="K2208" i="7"/>
  <c r="K2209" i="7"/>
  <c r="K2210" i="7"/>
  <c r="K2211" i="7"/>
  <c r="K2212" i="7"/>
  <c r="K2213" i="7"/>
  <c r="K2214" i="7"/>
  <c r="K2215" i="7"/>
  <c r="K2216" i="7"/>
  <c r="K2217" i="7"/>
  <c r="K2218" i="7"/>
  <c r="K2219" i="7"/>
  <c r="K2220" i="7"/>
  <c r="K2221" i="7"/>
  <c r="K2222" i="7"/>
  <c r="K2223" i="7"/>
  <c r="K2224" i="7"/>
  <c r="K2225" i="7"/>
  <c r="K2226" i="7"/>
  <c r="K2227" i="7"/>
  <c r="K2228" i="7"/>
  <c r="K2229" i="7"/>
  <c r="K2230" i="7"/>
  <c r="K2231" i="7"/>
  <c r="K2232" i="7"/>
  <c r="K2233" i="7"/>
  <c r="K2234" i="7"/>
  <c r="K2235" i="7"/>
  <c r="K2236" i="7"/>
  <c r="K2237" i="7"/>
  <c r="K2238" i="7"/>
  <c r="K2239" i="7"/>
  <c r="K2240" i="7"/>
  <c r="K2241" i="7"/>
  <c r="K2242" i="7"/>
  <c r="K2243" i="7"/>
  <c r="K2244" i="7"/>
  <c r="K2245" i="7"/>
  <c r="K2246" i="7"/>
  <c r="K2247" i="7"/>
  <c r="K2248" i="7"/>
  <c r="K2249" i="7"/>
  <c r="K2250" i="7"/>
  <c r="K2251" i="7"/>
  <c r="K2252" i="7"/>
  <c r="K2253" i="7"/>
  <c r="K2254" i="7"/>
  <c r="K2255" i="7"/>
  <c r="K2256" i="7"/>
  <c r="K2257" i="7"/>
  <c r="K2258" i="7"/>
  <c r="K2259" i="7"/>
  <c r="K2260" i="7"/>
  <c r="K2261" i="7"/>
  <c r="K2262" i="7"/>
  <c r="K2263" i="7"/>
  <c r="K2264" i="7"/>
  <c r="K2265" i="7"/>
  <c r="K2266" i="7"/>
  <c r="K2267" i="7"/>
  <c r="K2268" i="7"/>
  <c r="K2269" i="7"/>
  <c r="K2270" i="7"/>
  <c r="K2271" i="7"/>
  <c r="K2272" i="7"/>
  <c r="K2273" i="7"/>
  <c r="K2274" i="7"/>
  <c r="K2275" i="7"/>
  <c r="K2276" i="7"/>
  <c r="K2277" i="7"/>
  <c r="K2278" i="7"/>
  <c r="K2279" i="7"/>
  <c r="K2280" i="7"/>
  <c r="K2281" i="7"/>
  <c r="K2282" i="7"/>
  <c r="K2283" i="7"/>
  <c r="K2284" i="7"/>
  <c r="K2285" i="7"/>
  <c r="K2286" i="7"/>
  <c r="K2287" i="7"/>
  <c r="K2288" i="7"/>
  <c r="K2289" i="7"/>
  <c r="K2290" i="7"/>
  <c r="K2291" i="7"/>
  <c r="K2292" i="7"/>
  <c r="K2293" i="7"/>
  <c r="K2294" i="7"/>
  <c r="K2295" i="7"/>
  <c r="K2296" i="7"/>
  <c r="K2297" i="7"/>
  <c r="K2298" i="7"/>
  <c r="K2299" i="7"/>
  <c r="K2300" i="7"/>
  <c r="K2301" i="7"/>
  <c r="K2302" i="7"/>
  <c r="K2303" i="7"/>
  <c r="K2304" i="7"/>
  <c r="K2305" i="7"/>
  <c r="K2306" i="7"/>
  <c r="K2307" i="7"/>
  <c r="K2308" i="7"/>
  <c r="K2309" i="7"/>
  <c r="K2310" i="7"/>
  <c r="K2311" i="7"/>
  <c r="K2312" i="7"/>
  <c r="K2313" i="7"/>
  <c r="K2314" i="7"/>
  <c r="K2315" i="7"/>
  <c r="K2316" i="7"/>
  <c r="K2317" i="7"/>
  <c r="K2318" i="7"/>
  <c r="K2319" i="7"/>
  <c r="K2320" i="7"/>
  <c r="K2321" i="7"/>
  <c r="K2322" i="7"/>
  <c r="K2323" i="7"/>
  <c r="K2324" i="7"/>
  <c r="K2325" i="7"/>
  <c r="K2326" i="7"/>
  <c r="K2327" i="7"/>
  <c r="K2328" i="7"/>
  <c r="K2329" i="7"/>
  <c r="K2330" i="7"/>
  <c r="K2331" i="7"/>
  <c r="K2332" i="7"/>
  <c r="K2333" i="7"/>
  <c r="K2334" i="7"/>
  <c r="K2335" i="7"/>
  <c r="K2336" i="7"/>
  <c r="K2337" i="7"/>
  <c r="K2338" i="7"/>
  <c r="K2339" i="7"/>
  <c r="K2340" i="7"/>
  <c r="K2341" i="7"/>
  <c r="K2342" i="7"/>
  <c r="K2343" i="7"/>
  <c r="K2344" i="7"/>
  <c r="K2345" i="7"/>
  <c r="K2346" i="7"/>
  <c r="K2347" i="7"/>
  <c r="K2348" i="7"/>
  <c r="K2349" i="7"/>
  <c r="K2350" i="7"/>
  <c r="K2351" i="7"/>
  <c r="K2352" i="7"/>
  <c r="K2353" i="7"/>
  <c r="K2354" i="7"/>
  <c r="K2355" i="7"/>
  <c r="K2356" i="7"/>
  <c r="K2357" i="7"/>
  <c r="K2358" i="7"/>
  <c r="K2359" i="7"/>
  <c r="K2360" i="7"/>
  <c r="K2361" i="7"/>
  <c r="K2362" i="7"/>
  <c r="K2363" i="7"/>
  <c r="K2364" i="7"/>
  <c r="K2365" i="7"/>
  <c r="K2366" i="7"/>
  <c r="K2367" i="7"/>
  <c r="K2368" i="7"/>
  <c r="K2369" i="7"/>
  <c r="K2370" i="7"/>
  <c r="K2371" i="7"/>
  <c r="K2372" i="7"/>
  <c r="K2373" i="7"/>
  <c r="K2374" i="7"/>
  <c r="K2375" i="7"/>
  <c r="K2376" i="7"/>
  <c r="K2377" i="7"/>
  <c r="K2378" i="7"/>
  <c r="K2379" i="7"/>
  <c r="K2380" i="7"/>
  <c r="K2381" i="7"/>
  <c r="K2382" i="7"/>
  <c r="K2383" i="7"/>
  <c r="K2384" i="7"/>
  <c r="K2385" i="7"/>
  <c r="K2386" i="7"/>
  <c r="K2387" i="7"/>
  <c r="K2388" i="7"/>
  <c r="K2389" i="7"/>
  <c r="K2390" i="7"/>
  <c r="K2391" i="7"/>
  <c r="K2392" i="7"/>
  <c r="K2393" i="7"/>
  <c r="K2394" i="7"/>
  <c r="K2395" i="7"/>
  <c r="K2396" i="7"/>
  <c r="K2397" i="7"/>
  <c r="K2398" i="7"/>
  <c r="K2399" i="7"/>
  <c r="K2400" i="7"/>
  <c r="K2401" i="7"/>
  <c r="K2402" i="7"/>
  <c r="K2403" i="7"/>
  <c r="K2404" i="7"/>
  <c r="K2405" i="7"/>
  <c r="K2406" i="7"/>
  <c r="K2407" i="7"/>
  <c r="K2408" i="7"/>
  <c r="K2409" i="7"/>
  <c r="K2410" i="7"/>
  <c r="K2411" i="7"/>
  <c r="K2412" i="7"/>
  <c r="K2413" i="7"/>
  <c r="K2414" i="7"/>
  <c r="K2415" i="7"/>
  <c r="K2416" i="7"/>
  <c r="K2417" i="7"/>
  <c r="K2418" i="7"/>
  <c r="K2419" i="7"/>
  <c r="K2420" i="7"/>
  <c r="K2421" i="7"/>
  <c r="K2422" i="7"/>
  <c r="K2423" i="7"/>
  <c r="K2424" i="7"/>
  <c r="K2425" i="7"/>
  <c r="K2426" i="7"/>
  <c r="K2427" i="7"/>
  <c r="K2428" i="7"/>
  <c r="K2429" i="7"/>
  <c r="K2430" i="7"/>
  <c r="K2431" i="7"/>
  <c r="K2432" i="7"/>
  <c r="K2433" i="7"/>
  <c r="K2434" i="7"/>
  <c r="K2435" i="7"/>
  <c r="K2436" i="7"/>
  <c r="K2437" i="7"/>
  <c r="K2438" i="7"/>
  <c r="K2439" i="7"/>
  <c r="K2440" i="7"/>
  <c r="K2441" i="7"/>
  <c r="K2442" i="7"/>
  <c r="K2443" i="7"/>
  <c r="K2444" i="7"/>
  <c r="K2445" i="7"/>
  <c r="K2446" i="7"/>
  <c r="K2447" i="7"/>
  <c r="K2448" i="7"/>
  <c r="K2449" i="7"/>
  <c r="K2450" i="7"/>
  <c r="K2451" i="7"/>
  <c r="K2452" i="7"/>
  <c r="K2453" i="7"/>
  <c r="K2454" i="7"/>
  <c r="K2455" i="7"/>
  <c r="K2456" i="7"/>
  <c r="K2457" i="7"/>
  <c r="K2458" i="7"/>
  <c r="K2459" i="7"/>
  <c r="K2460" i="7"/>
  <c r="K2461" i="7"/>
  <c r="K2462" i="7"/>
  <c r="K2463" i="7"/>
  <c r="K2464" i="7"/>
  <c r="K2465" i="7"/>
  <c r="K2466" i="7"/>
  <c r="K2467" i="7"/>
  <c r="K2468" i="7"/>
  <c r="K2469" i="7"/>
  <c r="K2470" i="7"/>
  <c r="K2471" i="7"/>
  <c r="K2472" i="7"/>
  <c r="K2473" i="7"/>
  <c r="K2474" i="7"/>
  <c r="K2475" i="7"/>
  <c r="K2476" i="7"/>
  <c r="K2477" i="7"/>
  <c r="K2478" i="7"/>
  <c r="K2479" i="7"/>
  <c r="K2480" i="7"/>
  <c r="K2481" i="7"/>
  <c r="K2482" i="7"/>
  <c r="K2483" i="7"/>
  <c r="K2484" i="7"/>
  <c r="K2485" i="7"/>
  <c r="K2486" i="7"/>
  <c r="K2487" i="7"/>
  <c r="K2488" i="7"/>
  <c r="K2489" i="7"/>
  <c r="K2490" i="7"/>
  <c r="K2491" i="7"/>
  <c r="K2492" i="7"/>
  <c r="K3" i="7"/>
  <c r="N4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989" i="7"/>
  <c r="J1990" i="7"/>
  <c r="J1991" i="7"/>
  <c r="J1992" i="7"/>
  <c r="J1993" i="7"/>
  <c r="J1994" i="7"/>
  <c r="J1995" i="7"/>
  <c r="J1996" i="7"/>
  <c r="J1997" i="7"/>
  <c r="J1998" i="7"/>
  <c r="J1999" i="7"/>
  <c r="J2000" i="7"/>
  <c r="J2001" i="7"/>
  <c r="J2002" i="7"/>
  <c r="J2003" i="7"/>
  <c r="J2004" i="7"/>
  <c r="J2005" i="7"/>
  <c r="J2006" i="7"/>
  <c r="J2007" i="7"/>
  <c r="J2008" i="7"/>
  <c r="J2009" i="7"/>
  <c r="J2010" i="7"/>
  <c r="J2011" i="7"/>
  <c r="J2012" i="7"/>
  <c r="J2013" i="7"/>
  <c r="J2014" i="7"/>
  <c r="J2015" i="7"/>
  <c r="J2016" i="7"/>
  <c r="J2017" i="7"/>
  <c r="J2018" i="7"/>
  <c r="J2019" i="7"/>
  <c r="J2020" i="7"/>
  <c r="J2021" i="7"/>
  <c r="J2022" i="7"/>
  <c r="J2023" i="7"/>
  <c r="J2024" i="7"/>
  <c r="J2025" i="7"/>
  <c r="J2026" i="7"/>
  <c r="J2027" i="7"/>
  <c r="J2028" i="7"/>
  <c r="J2029" i="7"/>
  <c r="J2030" i="7"/>
  <c r="J2031" i="7"/>
  <c r="J2032" i="7"/>
  <c r="J2033" i="7"/>
  <c r="J2034" i="7"/>
  <c r="J2035" i="7"/>
  <c r="J2036" i="7"/>
  <c r="J2037" i="7"/>
  <c r="J2038" i="7"/>
  <c r="J2039" i="7"/>
  <c r="J2040" i="7"/>
  <c r="J2041" i="7"/>
  <c r="J2042" i="7"/>
  <c r="J2043" i="7"/>
  <c r="J2044" i="7"/>
  <c r="J2045" i="7"/>
  <c r="J2046" i="7"/>
  <c r="J2047" i="7"/>
  <c r="J2048" i="7"/>
  <c r="J2049" i="7"/>
  <c r="J2050" i="7"/>
  <c r="J2051" i="7"/>
  <c r="J2052" i="7"/>
  <c r="J2053" i="7"/>
  <c r="J2054" i="7"/>
  <c r="J2055" i="7"/>
  <c r="J2056" i="7"/>
  <c r="J2057" i="7"/>
  <c r="J2058" i="7"/>
  <c r="J2059" i="7"/>
  <c r="J2060" i="7"/>
  <c r="J2061" i="7"/>
  <c r="J2062" i="7"/>
  <c r="J2063" i="7"/>
  <c r="J2064" i="7"/>
  <c r="J2065" i="7"/>
  <c r="J2066" i="7"/>
  <c r="J2067" i="7"/>
  <c r="J2068" i="7"/>
  <c r="J2069" i="7"/>
  <c r="J2070" i="7"/>
  <c r="J2071" i="7"/>
  <c r="J2072" i="7"/>
  <c r="J2073" i="7"/>
  <c r="J2074" i="7"/>
  <c r="J2075" i="7"/>
  <c r="J2076" i="7"/>
  <c r="J2077" i="7"/>
  <c r="J2078" i="7"/>
  <c r="J2079" i="7"/>
  <c r="J2080" i="7"/>
  <c r="J2081" i="7"/>
  <c r="J2082" i="7"/>
  <c r="J2083" i="7"/>
  <c r="J2084" i="7"/>
  <c r="J2085" i="7"/>
  <c r="J2086" i="7"/>
  <c r="J2087" i="7"/>
  <c r="J2088" i="7"/>
  <c r="J2089" i="7"/>
  <c r="J2090" i="7"/>
  <c r="J2091" i="7"/>
  <c r="J2092" i="7"/>
  <c r="J2093" i="7"/>
  <c r="J2094" i="7"/>
  <c r="J2095" i="7"/>
  <c r="J2096" i="7"/>
  <c r="J2097" i="7"/>
  <c r="J2098" i="7"/>
  <c r="J2099" i="7"/>
  <c r="J2100" i="7"/>
  <c r="J2101" i="7"/>
  <c r="J2102" i="7"/>
  <c r="J2103" i="7"/>
  <c r="J2104" i="7"/>
  <c r="J2105" i="7"/>
  <c r="J2106" i="7"/>
  <c r="J2107" i="7"/>
  <c r="J2108" i="7"/>
  <c r="J2109" i="7"/>
  <c r="J2110" i="7"/>
  <c r="J2111" i="7"/>
  <c r="J2112" i="7"/>
  <c r="J2113" i="7"/>
  <c r="J2114" i="7"/>
  <c r="J2115" i="7"/>
  <c r="J2116" i="7"/>
  <c r="J2117" i="7"/>
  <c r="J2118" i="7"/>
  <c r="J2119" i="7"/>
  <c r="J2120" i="7"/>
  <c r="J2121" i="7"/>
  <c r="J2122" i="7"/>
  <c r="J2123" i="7"/>
  <c r="J2124" i="7"/>
  <c r="J2125" i="7"/>
  <c r="J2126" i="7"/>
  <c r="J2127" i="7"/>
  <c r="J2128" i="7"/>
  <c r="J2129" i="7"/>
  <c r="J2130" i="7"/>
  <c r="J2131" i="7"/>
  <c r="J2132" i="7"/>
  <c r="J2133" i="7"/>
  <c r="J2134" i="7"/>
  <c r="J2135" i="7"/>
  <c r="J2136" i="7"/>
  <c r="J2137" i="7"/>
  <c r="J2138" i="7"/>
  <c r="J2139" i="7"/>
  <c r="J2140" i="7"/>
  <c r="J2141" i="7"/>
  <c r="J2142" i="7"/>
  <c r="J2143" i="7"/>
  <c r="J2144" i="7"/>
  <c r="J2145" i="7"/>
  <c r="J2146" i="7"/>
  <c r="J2147" i="7"/>
  <c r="J2148" i="7"/>
  <c r="J2149" i="7"/>
  <c r="J2150" i="7"/>
  <c r="J2151" i="7"/>
  <c r="J2152" i="7"/>
  <c r="J2153" i="7"/>
  <c r="J2154" i="7"/>
  <c r="J2155" i="7"/>
  <c r="J2156" i="7"/>
  <c r="J2157" i="7"/>
  <c r="J2158" i="7"/>
  <c r="J2159" i="7"/>
  <c r="J2160" i="7"/>
  <c r="J2161" i="7"/>
  <c r="J2162" i="7"/>
  <c r="J2163" i="7"/>
  <c r="J2164" i="7"/>
  <c r="J2165" i="7"/>
  <c r="J2166" i="7"/>
  <c r="J2167" i="7"/>
  <c r="J2168" i="7"/>
  <c r="J2169" i="7"/>
  <c r="J2170" i="7"/>
  <c r="J2171" i="7"/>
  <c r="J2172" i="7"/>
  <c r="J2173" i="7"/>
  <c r="J2174" i="7"/>
  <c r="J2175" i="7"/>
  <c r="J2176" i="7"/>
  <c r="J2177" i="7"/>
  <c r="J2178" i="7"/>
  <c r="J2179" i="7"/>
  <c r="J2180" i="7"/>
  <c r="J2181" i="7"/>
  <c r="J2182" i="7"/>
  <c r="J2183" i="7"/>
  <c r="J2184" i="7"/>
  <c r="J2185" i="7"/>
  <c r="J2186" i="7"/>
  <c r="J2187" i="7"/>
  <c r="J2188" i="7"/>
  <c r="J2189" i="7"/>
  <c r="J2190" i="7"/>
  <c r="J2191" i="7"/>
  <c r="J2192" i="7"/>
  <c r="J2193" i="7"/>
  <c r="J2194" i="7"/>
  <c r="J2195" i="7"/>
  <c r="J2196" i="7"/>
  <c r="J2197" i="7"/>
  <c r="J2198" i="7"/>
  <c r="J2199" i="7"/>
  <c r="J2200" i="7"/>
  <c r="J2201" i="7"/>
  <c r="J2202" i="7"/>
  <c r="J2203" i="7"/>
  <c r="J2204" i="7"/>
  <c r="J2205" i="7"/>
  <c r="J2206" i="7"/>
  <c r="J2207" i="7"/>
  <c r="J2208" i="7"/>
  <c r="J2209" i="7"/>
  <c r="J2210" i="7"/>
  <c r="J2211" i="7"/>
  <c r="J2212" i="7"/>
  <c r="J2213" i="7"/>
  <c r="J2214" i="7"/>
  <c r="J2215" i="7"/>
  <c r="J2216" i="7"/>
  <c r="J2217" i="7"/>
  <c r="J2218" i="7"/>
  <c r="J2219" i="7"/>
  <c r="J2220" i="7"/>
  <c r="J2221" i="7"/>
  <c r="J2222" i="7"/>
  <c r="J2223" i="7"/>
  <c r="J2224" i="7"/>
  <c r="J2225" i="7"/>
  <c r="J2226" i="7"/>
  <c r="J2227" i="7"/>
  <c r="J2228" i="7"/>
  <c r="J2229" i="7"/>
  <c r="J2230" i="7"/>
  <c r="J2231" i="7"/>
  <c r="J2232" i="7"/>
  <c r="J2233" i="7"/>
  <c r="J2234" i="7"/>
  <c r="J2235" i="7"/>
  <c r="J2236" i="7"/>
  <c r="J2237" i="7"/>
  <c r="J2238" i="7"/>
  <c r="J2239" i="7"/>
  <c r="J2240" i="7"/>
  <c r="J2241" i="7"/>
  <c r="J2242" i="7"/>
  <c r="J2243" i="7"/>
  <c r="J2244" i="7"/>
  <c r="J2245" i="7"/>
  <c r="J2246" i="7"/>
  <c r="J2247" i="7"/>
  <c r="J2248" i="7"/>
  <c r="J2249" i="7"/>
  <c r="J2250" i="7"/>
  <c r="J2251" i="7"/>
  <c r="J2252" i="7"/>
  <c r="J2253" i="7"/>
  <c r="J2254" i="7"/>
  <c r="J2255" i="7"/>
  <c r="J2256" i="7"/>
  <c r="J2257" i="7"/>
  <c r="J2258" i="7"/>
  <c r="J2259" i="7"/>
  <c r="J2260" i="7"/>
  <c r="J2261" i="7"/>
  <c r="J2262" i="7"/>
  <c r="J2263" i="7"/>
  <c r="J2264" i="7"/>
  <c r="J2265" i="7"/>
  <c r="J2266" i="7"/>
  <c r="J2267" i="7"/>
  <c r="J2268" i="7"/>
  <c r="J2269" i="7"/>
  <c r="J2270" i="7"/>
  <c r="J2271" i="7"/>
  <c r="J2272" i="7"/>
  <c r="J2273" i="7"/>
  <c r="J2274" i="7"/>
  <c r="J2275" i="7"/>
  <c r="J2276" i="7"/>
  <c r="J2277" i="7"/>
  <c r="J2278" i="7"/>
  <c r="J2279" i="7"/>
  <c r="J2280" i="7"/>
  <c r="J2281" i="7"/>
  <c r="J2282" i="7"/>
  <c r="J2283" i="7"/>
  <c r="J2284" i="7"/>
  <c r="J2285" i="7"/>
  <c r="J2286" i="7"/>
  <c r="J2287" i="7"/>
  <c r="J2288" i="7"/>
  <c r="J2289" i="7"/>
  <c r="J2290" i="7"/>
  <c r="J2291" i="7"/>
  <c r="J2292" i="7"/>
  <c r="J2293" i="7"/>
  <c r="J2294" i="7"/>
  <c r="J2295" i="7"/>
  <c r="J2296" i="7"/>
  <c r="J2297" i="7"/>
  <c r="J2298" i="7"/>
  <c r="J2299" i="7"/>
  <c r="J2300" i="7"/>
  <c r="J2301" i="7"/>
  <c r="J2302" i="7"/>
  <c r="J2303" i="7"/>
  <c r="J2304" i="7"/>
  <c r="J2305" i="7"/>
  <c r="J2306" i="7"/>
  <c r="J2307" i="7"/>
  <c r="J2308" i="7"/>
  <c r="J2309" i="7"/>
  <c r="J2310" i="7"/>
  <c r="J2311" i="7"/>
  <c r="J2312" i="7"/>
  <c r="J2313" i="7"/>
  <c r="J2314" i="7"/>
  <c r="J2315" i="7"/>
  <c r="J2316" i="7"/>
  <c r="J2317" i="7"/>
  <c r="J2318" i="7"/>
  <c r="J2319" i="7"/>
  <c r="J2320" i="7"/>
  <c r="J2321" i="7"/>
  <c r="J2322" i="7"/>
  <c r="J2323" i="7"/>
  <c r="J2324" i="7"/>
  <c r="J2325" i="7"/>
  <c r="J2326" i="7"/>
  <c r="J2327" i="7"/>
  <c r="J2328" i="7"/>
  <c r="J2329" i="7"/>
  <c r="J2330" i="7"/>
  <c r="J2331" i="7"/>
  <c r="J2332" i="7"/>
  <c r="J2333" i="7"/>
  <c r="J2334" i="7"/>
  <c r="J2335" i="7"/>
  <c r="J2336" i="7"/>
  <c r="J2337" i="7"/>
  <c r="J2338" i="7"/>
  <c r="J2339" i="7"/>
  <c r="J2340" i="7"/>
  <c r="J2341" i="7"/>
  <c r="J2342" i="7"/>
  <c r="J2343" i="7"/>
  <c r="J2344" i="7"/>
  <c r="J2345" i="7"/>
  <c r="J2346" i="7"/>
  <c r="J2347" i="7"/>
  <c r="J2348" i="7"/>
  <c r="J2349" i="7"/>
  <c r="J2350" i="7"/>
  <c r="J2351" i="7"/>
  <c r="J2352" i="7"/>
  <c r="J2353" i="7"/>
  <c r="J2354" i="7"/>
  <c r="J2355" i="7"/>
  <c r="J2356" i="7"/>
  <c r="J2357" i="7"/>
  <c r="J2358" i="7"/>
  <c r="J2359" i="7"/>
  <c r="J2360" i="7"/>
  <c r="J2361" i="7"/>
  <c r="J2362" i="7"/>
  <c r="J2363" i="7"/>
  <c r="J2364" i="7"/>
  <c r="J2365" i="7"/>
  <c r="J2366" i="7"/>
  <c r="J2367" i="7"/>
  <c r="J2368" i="7"/>
  <c r="J2369" i="7"/>
  <c r="J2370" i="7"/>
  <c r="J2371" i="7"/>
  <c r="J2372" i="7"/>
  <c r="J2373" i="7"/>
  <c r="J2374" i="7"/>
  <c r="J2375" i="7"/>
  <c r="J2376" i="7"/>
  <c r="J2377" i="7"/>
  <c r="J2378" i="7"/>
  <c r="J2379" i="7"/>
  <c r="J2380" i="7"/>
  <c r="J2381" i="7"/>
  <c r="J2382" i="7"/>
  <c r="J2383" i="7"/>
  <c r="J2384" i="7"/>
  <c r="J2385" i="7"/>
  <c r="J2386" i="7"/>
  <c r="J2387" i="7"/>
  <c r="J2388" i="7"/>
  <c r="J2389" i="7"/>
  <c r="J2390" i="7"/>
  <c r="J2391" i="7"/>
  <c r="J2392" i="7"/>
  <c r="J2393" i="7"/>
  <c r="J2394" i="7"/>
  <c r="J2395" i="7"/>
  <c r="J2396" i="7"/>
  <c r="J2397" i="7"/>
  <c r="J2398" i="7"/>
  <c r="J2399" i="7"/>
  <c r="J2400" i="7"/>
  <c r="J2401" i="7"/>
  <c r="J2402" i="7"/>
  <c r="J2403" i="7"/>
  <c r="J2404" i="7"/>
  <c r="J2405" i="7"/>
  <c r="J2406" i="7"/>
  <c r="J2407" i="7"/>
  <c r="J2408" i="7"/>
  <c r="J2409" i="7"/>
  <c r="J2410" i="7"/>
  <c r="J2411" i="7"/>
  <c r="J2412" i="7"/>
  <c r="J2413" i="7"/>
  <c r="J2414" i="7"/>
  <c r="J2415" i="7"/>
  <c r="J2416" i="7"/>
  <c r="J2417" i="7"/>
  <c r="J2418" i="7"/>
  <c r="J2419" i="7"/>
  <c r="J2420" i="7"/>
  <c r="J2421" i="7"/>
  <c r="J2422" i="7"/>
  <c r="J2423" i="7"/>
  <c r="J2424" i="7"/>
  <c r="J2425" i="7"/>
  <c r="J2426" i="7"/>
  <c r="J2427" i="7"/>
  <c r="J2428" i="7"/>
  <c r="J2429" i="7"/>
  <c r="J2430" i="7"/>
  <c r="J2431" i="7"/>
  <c r="J2432" i="7"/>
  <c r="J2433" i="7"/>
  <c r="J2434" i="7"/>
  <c r="J2435" i="7"/>
  <c r="J2436" i="7"/>
  <c r="J2437" i="7"/>
  <c r="J2438" i="7"/>
  <c r="J2439" i="7"/>
  <c r="J2440" i="7"/>
  <c r="J2441" i="7"/>
  <c r="J2442" i="7"/>
  <c r="J2443" i="7"/>
  <c r="J2444" i="7"/>
  <c r="J2445" i="7"/>
  <c r="J2446" i="7"/>
  <c r="J2447" i="7"/>
  <c r="J2448" i="7"/>
  <c r="J2449" i="7"/>
  <c r="J2450" i="7"/>
  <c r="J2451" i="7"/>
  <c r="J2452" i="7"/>
  <c r="J2453" i="7"/>
  <c r="J2454" i="7"/>
  <c r="J2455" i="7"/>
  <c r="J2456" i="7"/>
  <c r="J2457" i="7"/>
  <c r="J2458" i="7"/>
  <c r="J2459" i="7"/>
  <c r="J2460" i="7"/>
  <c r="J2461" i="7"/>
  <c r="J2462" i="7"/>
  <c r="J2463" i="7"/>
  <c r="J2464" i="7"/>
  <c r="J2465" i="7"/>
  <c r="J2466" i="7"/>
  <c r="J2467" i="7"/>
  <c r="J2468" i="7"/>
  <c r="J2469" i="7"/>
  <c r="J2470" i="7"/>
  <c r="J2471" i="7"/>
  <c r="J2472" i="7"/>
  <c r="J2473" i="7"/>
  <c r="J2474" i="7"/>
  <c r="J2475" i="7"/>
  <c r="J2476" i="7"/>
  <c r="J2477" i="7"/>
  <c r="J2478" i="7"/>
  <c r="J2479" i="7"/>
  <c r="J2480" i="7"/>
  <c r="J2481" i="7"/>
  <c r="J2482" i="7"/>
  <c r="J2483" i="7"/>
  <c r="J2484" i="7"/>
  <c r="J2485" i="7"/>
  <c r="J2486" i="7"/>
  <c r="J2487" i="7"/>
  <c r="J2488" i="7"/>
  <c r="J2489" i="7"/>
  <c r="J2490" i="7"/>
  <c r="J2491" i="7"/>
  <c r="J2492" i="7"/>
  <c r="J3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" i="7"/>
  <c r="G3" i="7"/>
  <c r="P2" i="7"/>
  <c r="O2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1414" i="7"/>
  <c r="H1415" i="7"/>
  <c r="H1416" i="7"/>
  <c r="H1417" i="7"/>
  <c r="H1418" i="7"/>
  <c r="H1419" i="7"/>
  <c r="H1420" i="7"/>
  <c r="H1421" i="7"/>
  <c r="H1422" i="7"/>
  <c r="H1423" i="7"/>
  <c r="H1424" i="7"/>
  <c r="H1425" i="7"/>
  <c r="H1426" i="7"/>
  <c r="H1427" i="7"/>
  <c r="H1428" i="7"/>
  <c r="H1429" i="7"/>
  <c r="H1430" i="7"/>
  <c r="H1431" i="7"/>
  <c r="H1432" i="7"/>
  <c r="H1433" i="7"/>
  <c r="H1434" i="7"/>
  <c r="H1435" i="7"/>
  <c r="H1436" i="7"/>
  <c r="H1437" i="7"/>
  <c r="H1438" i="7"/>
  <c r="H1439" i="7"/>
  <c r="H1440" i="7"/>
  <c r="H1441" i="7"/>
  <c r="H1442" i="7"/>
  <c r="H1443" i="7"/>
  <c r="H1444" i="7"/>
  <c r="H1445" i="7"/>
  <c r="H1446" i="7"/>
  <c r="H1447" i="7"/>
  <c r="H1448" i="7"/>
  <c r="H1449" i="7"/>
  <c r="H1450" i="7"/>
  <c r="H1451" i="7"/>
  <c r="H1452" i="7"/>
  <c r="H1453" i="7"/>
  <c r="H1454" i="7"/>
  <c r="H1455" i="7"/>
  <c r="H1456" i="7"/>
  <c r="H1457" i="7"/>
  <c r="H1458" i="7"/>
  <c r="H1459" i="7"/>
  <c r="H1460" i="7"/>
  <c r="H1461" i="7"/>
  <c r="H1462" i="7"/>
  <c r="H1463" i="7"/>
  <c r="H1464" i="7"/>
  <c r="H1465" i="7"/>
  <c r="H1466" i="7"/>
  <c r="H1467" i="7"/>
  <c r="H1468" i="7"/>
  <c r="H1469" i="7"/>
  <c r="H1470" i="7"/>
  <c r="H1471" i="7"/>
  <c r="H1472" i="7"/>
  <c r="H1473" i="7"/>
  <c r="H1474" i="7"/>
  <c r="H1475" i="7"/>
  <c r="H1476" i="7"/>
  <c r="H1477" i="7"/>
  <c r="H1478" i="7"/>
  <c r="H1479" i="7"/>
  <c r="H1480" i="7"/>
  <c r="H1481" i="7"/>
  <c r="H1482" i="7"/>
  <c r="H1483" i="7"/>
  <c r="H1484" i="7"/>
  <c r="H1485" i="7"/>
  <c r="H1486" i="7"/>
  <c r="H1487" i="7"/>
  <c r="H1488" i="7"/>
  <c r="H1489" i="7"/>
  <c r="H1490" i="7"/>
  <c r="H1491" i="7"/>
  <c r="H1492" i="7"/>
  <c r="H1493" i="7"/>
  <c r="H1494" i="7"/>
  <c r="H1495" i="7"/>
  <c r="H1496" i="7"/>
  <c r="H1497" i="7"/>
  <c r="H1498" i="7"/>
  <c r="H1499" i="7"/>
  <c r="H1500" i="7"/>
  <c r="H1501" i="7"/>
  <c r="H1502" i="7"/>
  <c r="H1503" i="7"/>
  <c r="H1504" i="7"/>
  <c r="H1505" i="7"/>
  <c r="H1506" i="7"/>
  <c r="H1507" i="7"/>
  <c r="H1508" i="7"/>
  <c r="H1509" i="7"/>
  <c r="H1510" i="7"/>
  <c r="H1511" i="7"/>
  <c r="H1512" i="7"/>
  <c r="H1513" i="7"/>
  <c r="H1514" i="7"/>
  <c r="H1515" i="7"/>
  <c r="H1516" i="7"/>
  <c r="H1517" i="7"/>
  <c r="H1518" i="7"/>
  <c r="H1519" i="7"/>
  <c r="H1520" i="7"/>
  <c r="H1521" i="7"/>
  <c r="H1522" i="7"/>
  <c r="H1523" i="7"/>
  <c r="H1524" i="7"/>
  <c r="H1525" i="7"/>
  <c r="H1526" i="7"/>
  <c r="H1527" i="7"/>
  <c r="H1528" i="7"/>
  <c r="H1529" i="7"/>
  <c r="H1530" i="7"/>
  <c r="H1531" i="7"/>
  <c r="H1532" i="7"/>
  <c r="H1533" i="7"/>
  <c r="H1534" i="7"/>
  <c r="H1535" i="7"/>
  <c r="H1536" i="7"/>
  <c r="H1537" i="7"/>
  <c r="H1538" i="7"/>
  <c r="H1539" i="7"/>
  <c r="H1540" i="7"/>
  <c r="H1541" i="7"/>
  <c r="H1542" i="7"/>
  <c r="H1543" i="7"/>
  <c r="H1544" i="7"/>
  <c r="H1545" i="7"/>
  <c r="H1546" i="7"/>
  <c r="H1547" i="7"/>
  <c r="H1548" i="7"/>
  <c r="H1549" i="7"/>
  <c r="H1550" i="7"/>
  <c r="H1551" i="7"/>
  <c r="H1552" i="7"/>
  <c r="H1553" i="7"/>
  <c r="H1554" i="7"/>
  <c r="H1555" i="7"/>
  <c r="H1556" i="7"/>
  <c r="H1557" i="7"/>
  <c r="H1558" i="7"/>
  <c r="H1559" i="7"/>
  <c r="H1560" i="7"/>
  <c r="H1561" i="7"/>
  <c r="H1562" i="7"/>
  <c r="H1563" i="7"/>
  <c r="H1564" i="7"/>
  <c r="H1565" i="7"/>
  <c r="H1566" i="7"/>
  <c r="H1567" i="7"/>
  <c r="H1568" i="7"/>
  <c r="H1569" i="7"/>
  <c r="H1570" i="7"/>
  <c r="H1571" i="7"/>
  <c r="H1572" i="7"/>
  <c r="H1573" i="7"/>
  <c r="H1574" i="7"/>
  <c r="H1575" i="7"/>
  <c r="H1576" i="7"/>
  <c r="H1577" i="7"/>
  <c r="H1578" i="7"/>
  <c r="H1579" i="7"/>
  <c r="H1580" i="7"/>
  <c r="H1581" i="7"/>
  <c r="H1582" i="7"/>
  <c r="H1583" i="7"/>
  <c r="H1584" i="7"/>
  <c r="H1585" i="7"/>
  <c r="H1586" i="7"/>
  <c r="H1587" i="7"/>
  <c r="H1588" i="7"/>
  <c r="H1589" i="7"/>
  <c r="H1590" i="7"/>
  <c r="H1591" i="7"/>
  <c r="H1592" i="7"/>
  <c r="H1593" i="7"/>
  <c r="H1594" i="7"/>
  <c r="H1595" i="7"/>
  <c r="H1596" i="7"/>
  <c r="H1597" i="7"/>
  <c r="H1598" i="7"/>
  <c r="H1599" i="7"/>
  <c r="H1600" i="7"/>
  <c r="H1601" i="7"/>
  <c r="H1602" i="7"/>
  <c r="H1603" i="7"/>
  <c r="H1604" i="7"/>
  <c r="H1605" i="7"/>
  <c r="H1606" i="7"/>
  <c r="H1607" i="7"/>
  <c r="H1608" i="7"/>
  <c r="H1609" i="7"/>
  <c r="H1610" i="7"/>
  <c r="H1611" i="7"/>
  <c r="H1612" i="7"/>
  <c r="H1613" i="7"/>
  <c r="H1614" i="7"/>
  <c r="H1615" i="7"/>
  <c r="H1616" i="7"/>
  <c r="H1617" i="7"/>
  <c r="H1618" i="7"/>
  <c r="H1619" i="7"/>
  <c r="H1620" i="7"/>
  <c r="H1621" i="7"/>
  <c r="H1622" i="7"/>
  <c r="H1623" i="7"/>
  <c r="H1624" i="7"/>
  <c r="H1625" i="7"/>
  <c r="H1626" i="7"/>
  <c r="H1627" i="7"/>
  <c r="H1628" i="7"/>
  <c r="H1629" i="7"/>
  <c r="H1630" i="7"/>
  <c r="H1631" i="7"/>
  <c r="H1632" i="7"/>
  <c r="H1633" i="7"/>
  <c r="H1634" i="7"/>
  <c r="H1635" i="7"/>
  <c r="H1636" i="7"/>
  <c r="H1637" i="7"/>
  <c r="H1638" i="7"/>
  <c r="H1639" i="7"/>
  <c r="H1640" i="7"/>
  <c r="H1641" i="7"/>
  <c r="H1642" i="7"/>
  <c r="H1643" i="7"/>
  <c r="H1644" i="7"/>
  <c r="H1645" i="7"/>
  <c r="H1646" i="7"/>
  <c r="H1647" i="7"/>
  <c r="H1648" i="7"/>
  <c r="H1649" i="7"/>
  <c r="H1650" i="7"/>
  <c r="H1651" i="7"/>
  <c r="H1652" i="7"/>
  <c r="H1653" i="7"/>
  <c r="H1654" i="7"/>
  <c r="H1655" i="7"/>
  <c r="H1656" i="7"/>
  <c r="H1657" i="7"/>
  <c r="H1658" i="7"/>
  <c r="H1659" i="7"/>
  <c r="H1660" i="7"/>
  <c r="H1661" i="7"/>
  <c r="H1662" i="7"/>
  <c r="H1663" i="7"/>
  <c r="H1664" i="7"/>
  <c r="H1665" i="7"/>
  <c r="H1666" i="7"/>
  <c r="H1667" i="7"/>
  <c r="H1668" i="7"/>
  <c r="H1669" i="7"/>
  <c r="H1670" i="7"/>
  <c r="H1671" i="7"/>
  <c r="H1672" i="7"/>
  <c r="H1673" i="7"/>
  <c r="H1674" i="7"/>
  <c r="H1675" i="7"/>
  <c r="H1676" i="7"/>
  <c r="H1677" i="7"/>
  <c r="H1678" i="7"/>
  <c r="H1679" i="7"/>
  <c r="H1680" i="7"/>
  <c r="H1681" i="7"/>
  <c r="H1682" i="7"/>
  <c r="H1683" i="7"/>
  <c r="H1684" i="7"/>
  <c r="H1685" i="7"/>
  <c r="H1686" i="7"/>
  <c r="H1687" i="7"/>
  <c r="H1688" i="7"/>
  <c r="H1689" i="7"/>
  <c r="H1690" i="7"/>
  <c r="H1691" i="7"/>
  <c r="H1692" i="7"/>
  <c r="H1693" i="7"/>
  <c r="H1694" i="7"/>
  <c r="H1695" i="7"/>
  <c r="H1696" i="7"/>
  <c r="H1697" i="7"/>
  <c r="H1698" i="7"/>
  <c r="H1699" i="7"/>
  <c r="H1700" i="7"/>
  <c r="H1701" i="7"/>
  <c r="H1702" i="7"/>
  <c r="H1703" i="7"/>
  <c r="H1704" i="7"/>
  <c r="H1705" i="7"/>
  <c r="H1706" i="7"/>
  <c r="H1707" i="7"/>
  <c r="H1708" i="7"/>
  <c r="H1709" i="7"/>
  <c r="H1710" i="7"/>
  <c r="H1711" i="7"/>
  <c r="H1712" i="7"/>
  <c r="H1713" i="7"/>
  <c r="H1714" i="7"/>
  <c r="H1715" i="7"/>
  <c r="H1716" i="7"/>
  <c r="H1717" i="7"/>
  <c r="H1718" i="7"/>
  <c r="H1719" i="7"/>
  <c r="H1720" i="7"/>
  <c r="H1721" i="7"/>
  <c r="H1722" i="7"/>
  <c r="H1723" i="7"/>
  <c r="H1724" i="7"/>
  <c r="H1725" i="7"/>
  <c r="H1726" i="7"/>
  <c r="H1727" i="7"/>
  <c r="H1728" i="7"/>
  <c r="H1729" i="7"/>
  <c r="H1730" i="7"/>
  <c r="H1731" i="7"/>
  <c r="H1732" i="7"/>
  <c r="H1733" i="7"/>
  <c r="H1734" i="7"/>
  <c r="H1735" i="7"/>
  <c r="H1736" i="7"/>
  <c r="H1737" i="7"/>
  <c r="H1738" i="7"/>
  <c r="H1739" i="7"/>
  <c r="H1740" i="7"/>
  <c r="H1741" i="7"/>
  <c r="H1742" i="7"/>
  <c r="H1743" i="7"/>
  <c r="H1744" i="7"/>
  <c r="H1745" i="7"/>
  <c r="H1746" i="7"/>
  <c r="H1747" i="7"/>
  <c r="H1748" i="7"/>
  <c r="H1749" i="7"/>
  <c r="H1750" i="7"/>
  <c r="H1751" i="7"/>
  <c r="H1752" i="7"/>
  <c r="H1753" i="7"/>
  <c r="H1754" i="7"/>
  <c r="H1755" i="7"/>
  <c r="H1756" i="7"/>
  <c r="H1757" i="7"/>
  <c r="H1758" i="7"/>
  <c r="H1759" i="7"/>
  <c r="H1760" i="7"/>
  <c r="H1761" i="7"/>
  <c r="H1762" i="7"/>
  <c r="H1763" i="7"/>
  <c r="H1764" i="7"/>
  <c r="H1765" i="7"/>
  <c r="H1766" i="7"/>
  <c r="H1767" i="7"/>
  <c r="H1768" i="7"/>
  <c r="H1769" i="7"/>
  <c r="H1770" i="7"/>
  <c r="H1771" i="7"/>
  <c r="H1772" i="7"/>
  <c r="H1773" i="7"/>
  <c r="H1774" i="7"/>
  <c r="H1775" i="7"/>
  <c r="H1776" i="7"/>
  <c r="H1777" i="7"/>
  <c r="H1778" i="7"/>
  <c r="H1779" i="7"/>
  <c r="H1780" i="7"/>
  <c r="H1781" i="7"/>
  <c r="H1782" i="7"/>
  <c r="H1783" i="7"/>
  <c r="H1784" i="7"/>
  <c r="H1785" i="7"/>
  <c r="H1786" i="7"/>
  <c r="H1787" i="7"/>
  <c r="H1788" i="7"/>
  <c r="H1789" i="7"/>
  <c r="H1790" i="7"/>
  <c r="H1791" i="7"/>
  <c r="H1792" i="7"/>
  <c r="H1793" i="7"/>
  <c r="H1794" i="7"/>
  <c r="H1795" i="7"/>
  <c r="H1796" i="7"/>
  <c r="H1797" i="7"/>
  <c r="H1798" i="7"/>
  <c r="H1799" i="7"/>
  <c r="H1800" i="7"/>
  <c r="H1801" i="7"/>
  <c r="H1802" i="7"/>
  <c r="H1803" i="7"/>
  <c r="H1804" i="7"/>
  <c r="H1805" i="7"/>
  <c r="H1806" i="7"/>
  <c r="H1807" i="7"/>
  <c r="H1808" i="7"/>
  <c r="H1809" i="7"/>
  <c r="H1810" i="7"/>
  <c r="H1811" i="7"/>
  <c r="H1812" i="7"/>
  <c r="H1813" i="7"/>
  <c r="H1814" i="7"/>
  <c r="H1815" i="7"/>
  <c r="H1816" i="7"/>
  <c r="H1817" i="7"/>
  <c r="H1818" i="7"/>
  <c r="H1819" i="7"/>
  <c r="H1820" i="7"/>
  <c r="H1821" i="7"/>
  <c r="H1822" i="7"/>
  <c r="H1823" i="7"/>
  <c r="H1824" i="7"/>
  <c r="H1825" i="7"/>
  <c r="H1826" i="7"/>
  <c r="H1827" i="7"/>
  <c r="H1828" i="7"/>
  <c r="H1829" i="7"/>
  <c r="H1830" i="7"/>
  <c r="H1831" i="7"/>
  <c r="H1832" i="7"/>
  <c r="H1833" i="7"/>
  <c r="H1834" i="7"/>
  <c r="H1835" i="7"/>
  <c r="H1836" i="7"/>
  <c r="H1837" i="7"/>
  <c r="H1838" i="7"/>
  <c r="H1839" i="7"/>
  <c r="H1840" i="7"/>
  <c r="H1841" i="7"/>
  <c r="H1842" i="7"/>
  <c r="H1843" i="7"/>
  <c r="H1844" i="7"/>
  <c r="H1845" i="7"/>
  <c r="H1846" i="7"/>
  <c r="H1847" i="7"/>
  <c r="H1848" i="7"/>
  <c r="H1849" i="7"/>
  <c r="H1850" i="7"/>
  <c r="H1851" i="7"/>
  <c r="H1852" i="7"/>
  <c r="H1853" i="7"/>
  <c r="H1854" i="7"/>
  <c r="H1855" i="7"/>
  <c r="H1856" i="7"/>
  <c r="H1857" i="7"/>
  <c r="H1858" i="7"/>
  <c r="H1859" i="7"/>
  <c r="H1860" i="7"/>
  <c r="H1861" i="7"/>
  <c r="H1862" i="7"/>
  <c r="H1863" i="7"/>
  <c r="H1864" i="7"/>
  <c r="H1865" i="7"/>
  <c r="H1866" i="7"/>
  <c r="H1867" i="7"/>
  <c r="H1868" i="7"/>
  <c r="H1869" i="7"/>
  <c r="H1870" i="7"/>
  <c r="H1871" i="7"/>
  <c r="H1872" i="7"/>
  <c r="H1873" i="7"/>
  <c r="H1874" i="7"/>
  <c r="H1875" i="7"/>
  <c r="H1876" i="7"/>
  <c r="H1877" i="7"/>
  <c r="H1878" i="7"/>
  <c r="H1879" i="7"/>
  <c r="H1880" i="7"/>
  <c r="H1881" i="7"/>
  <c r="H1882" i="7"/>
  <c r="H1883" i="7"/>
  <c r="H1884" i="7"/>
  <c r="H1885" i="7"/>
  <c r="H1886" i="7"/>
  <c r="H1887" i="7"/>
  <c r="H1888" i="7"/>
  <c r="H1889" i="7"/>
  <c r="H1890" i="7"/>
  <c r="H1891" i="7"/>
  <c r="H1892" i="7"/>
  <c r="H1893" i="7"/>
  <c r="H1894" i="7"/>
  <c r="H1895" i="7"/>
  <c r="H1896" i="7"/>
  <c r="H1897" i="7"/>
  <c r="H1898" i="7"/>
  <c r="H1899" i="7"/>
  <c r="H1900" i="7"/>
  <c r="H1901" i="7"/>
  <c r="H1902" i="7"/>
  <c r="H1903" i="7"/>
  <c r="H1904" i="7"/>
  <c r="H1905" i="7"/>
  <c r="H1906" i="7"/>
  <c r="H1907" i="7"/>
  <c r="H1908" i="7"/>
  <c r="H1909" i="7"/>
  <c r="H1910" i="7"/>
  <c r="H1911" i="7"/>
  <c r="H1912" i="7"/>
  <c r="H1913" i="7"/>
  <c r="H1914" i="7"/>
  <c r="H1915" i="7"/>
  <c r="H1916" i="7"/>
  <c r="H1917" i="7"/>
  <c r="H1918" i="7"/>
  <c r="H1919" i="7"/>
  <c r="H1920" i="7"/>
  <c r="H1921" i="7"/>
  <c r="H1922" i="7"/>
  <c r="H1923" i="7"/>
  <c r="H1924" i="7"/>
  <c r="H1925" i="7"/>
  <c r="H1926" i="7"/>
  <c r="H1927" i="7"/>
  <c r="H1928" i="7"/>
  <c r="H1929" i="7"/>
  <c r="H1930" i="7"/>
  <c r="H1931" i="7"/>
  <c r="H1932" i="7"/>
  <c r="H1933" i="7"/>
  <c r="H1934" i="7"/>
  <c r="H1935" i="7"/>
  <c r="H1936" i="7"/>
  <c r="H1937" i="7"/>
  <c r="H1938" i="7"/>
  <c r="H1939" i="7"/>
  <c r="H1940" i="7"/>
  <c r="H1941" i="7"/>
  <c r="H1942" i="7"/>
  <c r="H1943" i="7"/>
  <c r="H1944" i="7"/>
  <c r="H1945" i="7"/>
  <c r="H1946" i="7"/>
  <c r="H1947" i="7"/>
  <c r="H1948" i="7"/>
  <c r="H1949" i="7"/>
  <c r="H1950" i="7"/>
  <c r="H1951" i="7"/>
  <c r="H1952" i="7"/>
  <c r="H1953" i="7"/>
  <c r="H1954" i="7"/>
  <c r="H1955" i="7"/>
  <c r="H1956" i="7"/>
  <c r="H1957" i="7"/>
  <c r="H1958" i="7"/>
  <c r="H1959" i="7"/>
  <c r="H1960" i="7"/>
  <c r="H1961" i="7"/>
  <c r="H1962" i="7"/>
  <c r="H1963" i="7"/>
  <c r="H1964" i="7"/>
  <c r="H1965" i="7"/>
  <c r="H1966" i="7"/>
  <c r="H1967" i="7"/>
  <c r="H1968" i="7"/>
  <c r="H1969" i="7"/>
  <c r="H1970" i="7"/>
  <c r="H1971" i="7"/>
  <c r="H1972" i="7"/>
  <c r="H1973" i="7"/>
  <c r="H1974" i="7"/>
  <c r="H1975" i="7"/>
  <c r="H1976" i="7"/>
  <c r="H1977" i="7"/>
  <c r="H1978" i="7"/>
  <c r="H1979" i="7"/>
  <c r="H1980" i="7"/>
  <c r="H1981" i="7"/>
  <c r="H1982" i="7"/>
  <c r="H1983" i="7"/>
  <c r="H1984" i="7"/>
  <c r="H1985" i="7"/>
  <c r="H1986" i="7"/>
  <c r="H1987" i="7"/>
  <c r="H1988" i="7"/>
  <c r="H1989" i="7"/>
  <c r="H1990" i="7"/>
  <c r="H1991" i="7"/>
  <c r="H1992" i="7"/>
  <c r="H1993" i="7"/>
  <c r="H1994" i="7"/>
  <c r="H1995" i="7"/>
  <c r="H1996" i="7"/>
  <c r="H1997" i="7"/>
  <c r="H1998" i="7"/>
  <c r="H1999" i="7"/>
  <c r="H2000" i="7"/>
  <c r="H2001" i="7"/>
  <c r="H2002" i="7"/>
  <c r="H2003" i="7"/>
  <c r="H2004" i="7"/>
  <c r="H2005" i="7"/>
  <c r="H2006" i="7"/>
  <c r="H2007" i="7"/>
  <c r="H2008" i="7"/>
  <c r="H2009" i="7"/>
  <c r="H2010" i="7"/>
  <c r="H2011" i="7"/>
  <c r="H2012" i="7"/>
  <c r="H2013" i="7"/>
  <c r="H2014" i="7"/>
  <c r="H2015" i="7"/>
  <c r="H2016" i="7"/>
  <c r="H2017" i="7"/>
  <c r="H2018" i="7"/>
  <c r="H2019" i="7"/>
  <c r="H2020" i="7"/>
  <c r="H2021" i="7"/>
  <c r="H2022" i="7"/>
  <c r="H2023" i="7"/>
  <c r="H2024" i="7"/>
  <c r="H2025" i="7"/>
  <c r="H2026" i="7"/>
  <c r="H2027" i="7"/>
  <c r="H2028" i="7"/>
  <c r="H2029" i="7"/>
  <c r="H2030" i="7"/>
  <c r="H2031" i="7"/>
  <c r="H2032" i="7"/>
  <c r="H2033" i="7"/>
  <c r="H2034" i="7"/>
  <c r="H2035" i="7"/>
  <c r="H2036" i="7"/>
  <c r="H2037" i="7"/>
  <c r="H2038" i="7"/>
  <c r="H2039" i="7"/>
  <c r="H2040" i="7"/>
  <c r="H2041" i="7"/>
  <c r="H2042" i="7"/>
  <c r="H2043" i="7"/>
  <c r="H2044" i="7"/>
  <c r="H2045" i="7"/>
  <c r="H2046" i="7"/>
  <c r="H2047" i="7"/>
  <c r="H2048" i="7"/>
  <c r="H2049" i="7"/>
  <c r="H2050" i="7"/>
  <c r="H2051" i="7"/>
  <c r="H2052" i="7"/>
  <c r="H2053" i="7"/>
  <c r="H2054" i="7"/>
  <c r="H2055" i="7"/>
  <c r="H2056" i="7"/>
  <c r="H2057" i="7"/>
  <c r="H2058" i="7"/>
  <c r="H2059" i="7"/>
  <c r="H2060" i="7"/>
  <c r="H2061" i="7"/>
  <c r="H2062" i="7"/>
  <c r="H2063" i="7"/>
  <c r="H2064" i="7"/>
  <c r="H2065" i="7"/>
  <c r="H2066" i="7"/>
  <c r="H2067" i="7"/>
  <c r="H2068" i="7"/>
  <c r="H2069" i="7"/>
  <c r="H2070" i="7"/>
  <c r="H2071" i="7"/>
  <c r="H2072" i="7"/>
  <c r="H2073" i="7"/>
  <c r="H2074" i="7"/>
  <c r="H2075" i="7"/>
  <c r="H2076" i="7"/>
  <c r="H2077" i="7"/>
  <c r="H2078" i="7"/>
  <c r="H2079" i="7"/>
  <c r="H2080" i="7"/>
  <c r="H2081" i="7"/>
  <c r="H2082" i="7"/>
  <c r="H2083" i="7"/>
  <c r="H2084" i="7"/>
  <c r="H2085" i="7"/>
  <c r="H2086" i="7"/>
  <c r="H2087" i="7"/>
  <c r="H2088" i="7"/>
  <c r="H2089" i="7"/>
  <c r="H2090" i="7"/>
  <c r="H2091" i="7"/>
  <c r="H2092" i="7"/>
  <c r="H2093" i="7"/>
  <c r="H2094" i="7"/>
  <c r="H2095" i="7"/>
  <c r="H2096" i="7"/>
  <c r="H2097" i="7"/>
  <c r="H2098" i="7"/>
  <c r="H2099" i="7"/>
  <c r="H2100" i="7"/>
  <c r="H2101" i="7"/>
  <c r="H2102" i="7"/>
  <c r="H2103" i="7"/>
  <c r="H2104" i="7"/>
  <c r="H2105" i="7"/>
  <c r="H2106" i="7"/>
  <c r="H2107" i="7"/>
  <c r="H2108" i="7"/>
  <c r="H2109" i="7"/>
  <c r="H2110" i="7"/>
  <c r="H2111" i="7"/>
  <c r="H2112" i="7"/>
  <c r="H2113" i="7"/>
  <c r="H2114" i="7"/>
  <c r="H2115" i="7"/>
  <c r="H2116" i="7"/>
  <c r="H2117" i="7"/>
  <c r="H2118" i="7"/>
  <c r="H2119" i="7"/>
  <c r="H2120" i="7"/>
  <c r="H2121" i="7"/>
  <c r="H2122" i="7"/>
  <c r="H2123" i="7"/>
  <c r="H2124" i="7"/>
  <c r="H2125" i="7"/>
  <c r="H2126" i="7"/>
  <c r="H2127" i="7"/>
  <c r="H2128" i="7"/>
  <c r="H2129" i="7"/>
  <c r="H2130" i="7"/>
  <c r="H2131" i="7"/>
  <c r="H2132" i="7"/>
  <c r="H2133" i="7"/>
  <c r="H2134" i="7"/>
  <c r="H2135" i="7"/>
  <c r="H2136" i="7"/>
  <c r="H2137" i="7"/>
  <c r="H2138" i="7"/>
  <c r="H2139" i="7"/>
  <c r="H2140" i="7"/>
  <c r="H2141" i="7"/>
  <c r="H2142" i="7"/>
  <c r="H2143" i="7"/>
  <c r="H2144" i="7"/>
  <c r="H2145" i="7"/>
  <c r="H2146" i="7"/>
  <c r="H2147" i="7"/>
  <c r="H2148" i="7"/>
  <c r="H2149" i="7"/>
  <c r="H2150" i="7"/>
  <c r="H2151" i="7"/>
  <c r="H2152" i="7"/>
  <c r="H2153" i="7"/>
  <c r="H2154" i="7"/>
  <c r="H2155" i="7"/>
  <c r="H2156" i="7"/>
  <c r="H2157" i="7"/>
  <c r="H2158" i="7"/>
  <c r="H2159" i="7"/>
  <c r="H2160" i="7"/>
  <c r="H2161" i="7"/>
  <c r="H2162" i="7"/>
  <c r="H2163" i="7"/>
  <c r="H2164" i="7"/>
  <c r="H2165" i="7"/>
  <c r="H2166" i="7"/>
  <c r="H2167" i="7"/>
  <c r="H2168" i="7"/>
  <c r="H2169" i="7"/>
  <c r="H2170" i="7"/>
  <c r="H2171" i="7"/>
  <c r="H2172" i="7"/>
  <c r="H2173" i="7"/>
  <c r="H2174" i="7"/>
  <c r="H2175" i="7"/>
  <c r="H2176" i="7"/>
  <c r="H2177" i="7"/>
  <c r="H2178" i="7"/>
  <c r="H2179" i="7"/>
  <c r="H2180" i="7"/>
  <c r="H2181" i="7"/>
  <c r="H2182" i="7"/>
  <c r="H2183" i="7"/>
  <c r="H2184" i="7"/>
  <c r="H2185" i="7"/>
  <c r="H2186" i="7"/>
  <c r="H2187" i="7"/>
  <c r="H2188" i="7"/>
  <c r="H2189" i="7"/>
  <c r="H2190" i="7"/>
  <c r="H2191" i="7"/>
  <c r="H2192" i="7"/>
  <c r="H2193" i="7"/>
  <c r="H2194" i="7"/>
  <c r="H2195" i="7"/>
  <c r="H2196" i="7"/>
  <c r="H2197" i="7"/>
  <c r="H2198" i="7"/>
  <c r="H2199" i="7"/>
  <c r="H2200" i="7"/>
  <c r="H2201" i="7"/>
  <c r="H2202" i="7"/>
  <c r="H2203" i="7"/>
  <c r="H2204" i="7"/>
  <c r="H2205" i="7"/>
  <c r="H2206" i="7"/>
  <c r="H2207" i="7"/>
  <c r="H2208" i="7"/>
  <c r="H2209" i="7"/>
  <c r="H2210" i="7"/>
  <c r="H2211" i="7"/>
  <c r="H2212" i="7"/>
  <c r="H2213" i="7"/>
  <c r="H2214" i="7"/>
  <c r="H2215" i="7"/>
  <c r="H2216" i="7"/>
  <c r="H2217" i="7"/>
  <c r="H2218" i="7"/>
  <c r="H2219" i="7"/>
  <c r="H2220" i="7"/>
  <c r="H2221" i="7"/>
  <c r="H2222" i="7"/>
  <c r="H2223" i="7"/>
  <c r="H2224" i="7"/>
  <c r="H2225" i="7"/>
  <c r="H2226" i="7"/>
  <c r="H2227" i="7"/>
  <c r="H2228" i="7"/>
  <c r="H2229" i="7"/>
  <c r="H2230" i="7"/>
  <c r="H2231" i="7"/>
  <c r="H2232" i="7"/>
  <c r="H2233" i="7"/>
  <c r="H2234" i="7"/>
  <c r="H2235" i="7"/>
  <c r="H2236" i="7"/>
  <c r="H2237" i="7"/>
  <c r="H2238" i="7"/>
  <c r="H2239" i="7"/>
  <c r="H2240" i="7"/>
  <c r="H2241" i="7"/>
  <c r="H2242" i="7"/>
  <c r="H2243" i="7"/>
  <c r="H2244" i="7"/>
  <c r="H2245" i="7"/>
  <c r="H2246" i="7"/>
  <c r="H2247" i="7"/>
  <c r="H2248" i="7"/>
  <c r="H2249" i="7"/>
  <c r="H2250" i="7"/>
  <c r="H2251" i="7"/>
  <c r="H2252" i="7"/>
  <c r="H2253" i="7"/>
  <c r="H2254" i="7"/>
  <c r="H2255" i="7"/>
  <c r="H2256" i="7"/>
  <c r="H2257" i="7"/>
  <c r="H2258" i="7"/>
  <c r="H2259" i="7"/>
  <c r="H2260" i="7"/>
  <c r="H2261" i="7"/>
  <c r="H2262" i="7"/>
  <c r="H2263" i="7"/>
  <c r="H2264" i="7"/>
  <c r="H2265" i="7"/>
  <c r="H2266" i="7"/>
  <c r="H2267" i="7"/>
  <c r="H2268" i="7"/>
  <c r="H2269" i="7"/>
  <c r="H2270" i="7"/>
  <c r="H2271" i="7"/>
  <c r="H2272" i="7"/>
  <c r="H2273" i="7"/>
  <c r="H2274" i="7"/>
  <c r="H2275" i="7"/>
  <c r="H2276" i="7"/>
  <c r="H2277" i="7"/>
  <c r="H2278" i="7"/>
  <c r="H2279" i="7"/>
  <c r="H2280" i="7"/>
  <c r="H2281" i="7"/>
  <c r="H2282" i="7"/>
  <c r="H2283" i="7"/>
  <c r="H2284" i="7"/>
  <c r="H2285" i="7"/>
  <c r="H2286" i="7"/>
  <c r="H2287" i="7"/>
  <c r="H2288" i="7"/>
  <c r="H2289" i="7"/>
  <c r="H2290" i="7"/>
  <c r="H2291" i="7"/>
  <c r="H2292" i="7"/>
  <c r="H2293" i="7"/>
  <c r="H2294" i="7"/>
  <c r="H2295" i="7"/>
  <c r="H2296" i="7"/>
  <c r="H2297" i="7"/>
  <c r="H2298" i="7"/>
  <c r="H2299" i="7"/>
  <c r="H2300" i="7"/>
  <c r="H2301" i="7"/>
  <c r="H2302" i="7"/>
  <c r="H2303" i="7"/>
  <c r="H2304" i="7"/>
  <c r="H2305" i="7"/>
  <c r="H2306" i="7"/>
  <c r="H2307" i="7"/>
  <c r="H2308" i="7"/>
  <c r="H2309" i="7"/>
  <c r="H2310" i="7"/>
  <c r="H2311" i="7"/>
  <c r="H2312" i="7"/>
  <c r="H2313" i="7"/>
  <c r="H2314" i="7"/>
  <c r="H2315" i="7"/>
  <c r="H2316" i="7"/>
  <c r="H2317" i="7"/>
  <c r="H2318" i="7"/>
  <c r="H2319" i="7"/>
  <c r="H2320" i="7"/>
  <c r="H2321" i="7"/>
  <c r="H2322" i="7"/>
  <c r="H2323" i="7"/>
  <c r="H2324" i="7"/>
  <c r="H2325" i="7"/>
  <c r="H2326" i="7"/>
  <c r="H2327" i="7"/>
  <c r="H2328" i="7"/>
  <c r="H2329" i="7"/>
  <c r="H2330" i="7"/>
  <c r="H2331" i="7"/>
  <c r="H2332" i="7"/>
  <c r="H2333" i="7"/>
  <c r="H2334" i="7"/>
  <c r="H2335" i="7"/>
  <c r="H2336" i="7"/>
  <c r="H2337" i="7"/>
  <c r="H2338" i="7"/>
  <c r="H2339" i="7"/>
  <c r="H2340" i="7"/>
  <c r="H2341" i="7"/>
  <c r="H2342" i="7"/>
  <c r="H2343" i="7"/>
  <c r="H2344" i="7"/>
  <c r="H2345" i="7"/>
  <c r="H2346" i="7"/>
  <c r="H2347" i="7"/>
  <c r="H2348" i="7"/>
  <c r="H2349" i="7"/>
  <c r="H2350" i="7"/>
  <c r="H2351" i="7"/>
  <c r="H2352" i="7"/>
  <c r="H2353" i="7"/>
  <c r="H2354" i="7"/>
  <c r="H2355" i="7"/>
  <c r="H2356" i="7"/>
  <c r="H2357" i="7"/>
  <c r="H2358" i="7"/>
  <c r="H2359" i="7"/>
  <c r="H2360" i="7"/>
  <c r="H2361" i="7"/>
  <c r="H2362" i="7"/>
  <c r="H2363" i="7"/>
  <c r="H2364" i="7"/>
  <c r="H2365" i="7"/>
  <c r="H2366" i="7"/>
  <c r="H2367" i="7"/>
  <c r="H2368" i="7"/>
  <c r="H2369" i="7"/>
  <c r="H2370" i="7"/>
  <c r="H2371" i="7"/>
  <c r="H2372" i="7"/>
  <c r="H2373" i="7"/>
  <c r="H2374" i="7"/>
  <c r="H2375" i="7"/>
  <c r="H2376" i="7"/>
  <c r="H2377" i="7"/>
  <c r="H2378" i="7"/>
  <c r="H2379" i="7"/>
  <c r="H2380" i="7"/>
  <c r="H2381" i="7"/>
  <c r="H2382" i="7"/>
  <c r="H2383" i="7"/>
  <c r="H2384" i="7"/>
  <c r="H2385" i="7"/>
  <c r="H2386" i="7"/>
  <c r="H2387" i="7"/>
  <c r="H2388" i="7"/>
  <c r="H2389" i="7"/>
  <c r="H2390" i="7"/>
  <c r="H2391" i="7"/>
  <c r="H2392" i="7"/>
  <c r="H2393" i="7"/>
  <c r="H2394" i="7"/>
  <c r="H2395" i="7"/>
  <c r="H2396" i="7"/>
  <c r="H2397" i="7"/>
  <c r="H2398" i="7"/>
  <c r="H2399" i="7"/>
  <c r="H2400" i="7"/>
  <c r="H2401" i="7"/>
  <c r="H2402" i="7"/>
  <c r="H2403" i="7"/>
  <c r="H2404" i="7"/>
  <c r="H2405" i="7"/>
  <c r="H2406" i="7"/>
  <c r="H2407" i="7"/>
  <c r="H2408" i="7"/>
  <c r="H2409" i="7"/>
  <c r="H2410" i="7"/>
  <c r="H2411" i="7"/>
  <c r="H2412" i="7"/>
  <c r="H2413" i="7"/>
  <c r="H2414" i="7"/>
  <c r="H2415" i="7"/>
  <c r="H2416" i="7"/>
  <c r="H2417" i="7"/>
  <c r="H2418" i="7"/>
  <c r="H2419" i="7"/>
  <c r="H2420" i="7"/>
  <c r="H2421" i="7"/>
  <c r="H2422" i="7"/>
  <c r="H2423" i="7"/>
  <c r="H2424" i="7"/>
  <c r="H2425" i="7"/>
  <c r="H2426" i="7"/>
  <c r="H2427" i="7"/>
  <c r="H2428" i="7"/>
  <c r="H2429" i="7"/>
  <c r="H2430" i="7"/>
  <c r="H2431" i="7"/>
  <c r="H2432" i="7"/>
  <c r="H2433" i="7"/>
  <c r="H2434" i="7"/>
  <c r="H2435" i="7"/>
  <c r="H2436" i="7"/>
  <c r="H2437" i="7"/>
  <c r="H2438" i="7"/>
  <c r="H2439" i="7"/>
  <c r="H2440" i="7"/>
  <c r="H2441" i="7"/>
  <c r="H2442" i="7"/>
  <c r="H2443" i="7"/>
  <c r="H2444" i="7"/>
  <c r="H2445" i="7"/>
  <c r="H2446" i="7"/>
  <c r="H2447" i="7"/>
  <c r="H2448" i="7"/>
  <c r="H2449" i="7"/>
  <c r="H2450" i="7"/>
  <c r="H2451" i="7"/>
  <c r="H2452" i="7"/>
  <c r="H2453" i="7"/>
  <c r="H2454" i="7"/>
  <c r="H2455" i="7"/>
  <c r="H2456" i="7"/>
  <c r="H2457" i="7"/>
  <c r="H2458" i="7"/>
  <c r="H2459" i="7"/>
  <c r="H2460" i="7"/>
  <c r="H2461" i="7"/>
  <c r="H2462" i="7"/>
  <c r="H2463" i="7"/>
  <c r="H2464" i="7"/>
  <c r="H2465" i="7"/>
  <c r="H2466" i="7"/>
  <c r="H2467" i="7"/>
  <c r="H2468" i="7"/>
  <c r="H2469" i="7"/>
  <c r="H2470" i="7"/>
  <c r="H2471" i="7"/>
  <c r="H2472" i="7"/>
  <c r="H2473" i="7"/>
  <c r="H2474" i="7"/>
  <c r="H2475" i="7"/>
  <c r="H2476" i="7"/>
  <c r="H2477" i="7"/>
  <c r="H2478" i="7"/>
  <c r="H2479" i="7"/>
  <c r="H2480" i="7"/>
  <c r="H2481" i="7"/>
  <c r="H2482" i="7"/>
  <c r="H2483" i="7"/>
  <c r="H2484" i="7"/>
  <c r="H2485" i="7"/>
  <c r="H2486" i="7"/>
  <c r="H2487" i="7"/>
  <c r="H2488" i="7"/>
  <c r="H2489" i="7"/>
  <c r="H2490" i="7"/>
  <c r="H2491" i="7"/>
  <c r="H2492" i="7"/>
  <c r="H3" i="7"/>
  <c r="G359" i="7"/>
  <c r="N2" i="7" s="1"/>
  <c r="G360" i="7"/>
  <c r="N3" i="7" s="1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G1718" i="7"/>
  <c r="G1719" i="7"/>
  <c r="G1720" i="7"/>
  <c r="G1721" i="7"/>
  <c r="G1722" i="7"/>
  <c r="G1723" i="7"/>
  <c r="G1724" i="7"/>
  <c r="G1725" i="7"/>
  <c r="G1726" i="7"/>
  <c r="G1727" i="7"/>
  <c r="G1728" i="7"/>
  <c r="G1729" i="7"/>
  <c r="G1730" i="7"/>
  <c r="G1731" i="7"/>
  <c r="G1732" i="7"/>
  <c r="G1733" i="7"/>
  <c r="G1734" i="7"/>
  <c r="G1735" i="7"/>
  <c r="G1736" i="7"/>
  <c r="G1737" i="7"/>
  <c r="G1738" i="7"/>
  <c r="G1739" i="7"/>
  <c r="G1740" i="7"/>
  <c r="G1741" i="7"/>
  <c r="G1742" i="7"/>
  <c r="G1743" i="7"/>
  <c r="G1744" i="7"/>
  <c r="G1745" i="7"/>
  <c r="G1746" i="7"/>
  <c r="G1747" i="7"/>
  <c r="G1748" i="7"/>
  <c r="G1749" i="7"/>
  <c r="G1750" i="7"/>
  <c r="G1751" i="7"/>
  <c r="G1752" i="7"/>
  <c r="G1753" i="7"/>
  <c r="G1754" i="7"/>
  <c r="G1755" i="7"/>
  <c r="G1756" i="7"/>
  <c r="G1757" i="7"/>
  <c r="G1758" i="7"/>
  <c r="G1759" i="7"/>
  <c r="G1760" i="7"/>
  <c r="G1761" i="7"/>
  <c r="G1762" i="7"/>
  <c r="G1763" i="7"/>
  <c r="G1764" i="7"/>
  <c r="G1765" i="7"/>
  <c r="G1766" i="7"/>
  <c r="G1767" i="7"/>
  <c r="G1768" i="7"/>
  <c r="G1769" i="7"/>
  <c r="G1770" i="7"/>
  <c r="G1771" i="7"/>
  <c r="G1772" i="7"/>
  <c r="G1773" i="7"/>
  <c r="G1774" i="7"/>
  <c r="G1775" i="7"/>
  <c r="G1776" i="7"/>
  <c r="G1777" i="7"/>
  <c r="G1778" i="7"/>
  <c r="G1779" i="7"/>
  <c r="G1780" i="7"/>
  <c r="G1781" i="7"/>
  <c r="G1782" i="7"/>
  <c r="G1783" i="7"/>
  <c r="G1784" i="7"/>
  <c r="G1785" i="7"/>
  <c r="G1786" i="7"/>
  <c r="G1787" i="7"/>
  <c r="G1788" i="7"/>
  <c r="G1789" i="7"/>
  <c r="G1790" i="7"/>
  <c r="G1791" i="7"/>
  <c r="G1792" i="7"/>
  <c r="G1793" i="7"/>
  <c r="G1794" i="7"/>
  <c r="G1795" i="7"/>
  <c r="G1796" i="7"/>
  <c r="G1797" i="7"/>
  <c r="G1798" i="7"/>
  <c r="G1799" i="7"/>
  <c r="G1800" i="7"/>
  <c r="G1801" i="7"/>
  <c r="G1802" i="7"/>
  <c r="G1803" i="7"/>
  <c r="G1804" i="7"/>
  <c r="G1805" i="7"/>
  <c r="G1806" i="7"/>
  <c r="G1807" i="7"/>
  <c r="G1808" i="7"/>
  <c r="G1809" i="7"/>
  <c r="G1810" i="7"/>
  <c r="G1811" i="7"/>
  <c r="G1812" i="7"/>
  <c r="G1813" i="7"/>
  <c r="G1814" i="7"/>
  <c r="G1815" i="7"/>
  <c r="G1816" i="7"/>
  <c r="G1817" i="7"/>
  <c r="G1818" i="7"/>
  <c r="G1819" i="7"/>
  <c r="G1820" i="7"/>
  <c r="G1821" i="7"/>
  <c r="G1822" i="7"/>
  <c r="G1823" i="7"/>
  <c r="G1824" i="7"/>
  <c r="G1825" i="7"/>
  <c r="G1826" i="7"/>
  <c r="G1827" i="7"/>
  <c r="G1828" i="7"/>
  <c r="G1829" i="7"/>
  <c r="G1830" i="7"/>
  <c r="G1831" i="7"/>
  <c r="G1832" i="7"/>
  <c r="G1833" i="7"/>
  <c r="G1834" i="7"/>
  <c r="G1835" i="7"/>
  <c r="G1836" i="7"/>
  <c r="G1837" i="7"/>
  <c r="G1838" i="7"/>
  <c r="G1839" i="7"/>
  <c r="G1840" i="7"/>
  <c r="G1841" i="7"/>
  <c r="G1842" i="7"/>
  <c r="G1843" i="7"/>
  <c r="G1844" i="7"/>
  <c r="G1845" i="7"/>
  <c r="G1846" i="7"/>
  <c r="G1847" i="7"/>
  <c r="G1848" i="7"/>
  <c r="G1849" i="7"/>
  <c r="G1850" i="7"/>
  <c r="G1851" i="7"/>
  <c r="G1852" i="7"/>
  <c r="G1853" i="7"/>
  <c r="G1854" i="7"/>
  <c r="G1855" i="7"/>
  <c r="G1856" i="7"/>
  <c r="G1857" i="7"/>
  <c r="G1858" i="7"/>
  <c r="G1859" i="7"/>
  <c r="G1860" i="7"/>
  <c r="G1861" i="7"/>
  <c r="G1862" i="7"/>
  <c r="G1863" i="7"/>
  <c r="G1864" i="7"/>
  <c r="G1865" i="7"/>
  <c r="G1866" i="7"/>
  <c r="G1867" i="7"/>
  <c r="G1868" i="7"/>
  <c r="G1869" i="7"/>
  <c r="G1870" i="7"/>
  <c r="G1871" i="7"/>
  <c r="G1872" i="7"/>
  <c r="G1873" i="7"/>
  <c r="G1874" i="7"/>
  <c r="G1875" i="7"/>
  <c r="G1876" i="7"/>
  <c r="G1877" i="7"/>
  <c r="G1878" i="7"/>
  <c r="G1879" i="7"/>
  <c r="G1880" i="7"/>
  <c r="G1881" i="7"/>
  <c r="G1882" i="7"/>
  <c r="G1883" i="7"/>
  <c r="G1884" i="7"/>
  <c r="G1885" i="7"/>
  <c r="G1886" i="7"/>
  <c r="G1887" i="7"/>
  <c r="G1888" i="7"/>
  <c r="G1889" i="7"/>
  <c r="G1890" i="7"/>
  <c r="G1891" i="7"/>
  <c r="G1892" i="7"/>
  <c r="G1893" i="7"/>
  <c r="G1894" i="7"/>
  <c r="G1895" i="7"/>
  <c r="G1896" i="7"/>
  <c r="G1897" i="7"/>
  <c r="G1898" i="7"/>
  <c r="G1899" i="7"/>
  <c r="G1900" i="7"/>
  <c r="G1901" i="7"/>
  <c r="G1902" i="7"/>
  <c r="G1903" i="7"/>
  <c r="G1904" i="7"/>
  <c r="G1905" i="7"/>
  <c r="G1906" i="7"/>
  <c r="G1907" i="7"/>
  <c r="G1908" i="7"/>
  <c r="G1909" i="7"/>
  <c r="G1910" i="7"/>
  <c r="G1911" i="7"/>
  <c r="G1912" i="7"/>
  <c r="G1913" i="7"/>
  <c r="G1914" i="7"/>
  <c r="G1915" i="7"/>
  <c r="G1916" i="7"/>
  <c r="G1917" i="7"/>
  <c r="G1918" i="7"/>
  <c r="G1919" i="7"/>
  <c r="G1920" i="7"/>
  <c r="G1921" i="7"/>
  <c r="G1922" i="7"/>
  <c r="G1923" i="7"/>
  <c r="G1924" i="7"/>
  <c r="G1925" i="7"/>
  <c r="G1926" i="7"/>
  <c r="G1927" i="7"/>
  <c r="G1928" i="7"/>
  <c r="G1929" i="7"/>
  <c r="G1930" i="7"/>
  <c r="G1931" i="7"/>
  <c r="G1932" i="7"/>
  <c r="G1933" i="7"/>
  <c r="G1934" i="7"/>
  <c r="G1935" i="7"/>
  <c r="G1936" i="7"/>
  <c r="G1937" i="7"/>
  <c r="G1938" i="7"/>
  <c r="G1939" i="7"/>
  <c r="G1940" i="7"/>
  <c r="G1941" i="7"/>
  <c r="G1942" i="7"/>
  <c r="G1943" i="7"/>
  <c r="G1944" i="7"/>
  <c r="G1945" i="7"/>
  <c r="G1946" i="7"/>
  <c r="G1947" i="7"/>
  <c r="G1948" i="7"/>
  <c r="G1949" i="7"/>
  <c r="G1950" i="7"/>
  <c r="G1951" i="7"/>
  <c r="G1952" i="7"/>
  <c r="G1953" i="7"/>
  <c r="G1954" i="7"/>
  <c r="G1955" i="7"/>
  <c r="G1956" i="7"/>
  <c r="G1957" i="7"/>
  <c r="G1958" i="7"/>
  <c r="G1959" i="7"/>
  <c r="G1960" i="7"/>
  <c r="G1961" i="7"/>
  <c r="G1962" i="7"/>
  <c r="G1963" i="7"/>
  <c r="G1964" i="7"/>
  <c r="G1965" i="7"/>
  <c r="G1966" i="7"/>
  <c r="G1967" i="7"/>
  <c r="G1968" i="7"/>
  <c r="G1969" i="7"/>
  <c r="G1970" i="7"/>
  <c r="G1971" i="7"/>
  <c r="G1972" i="7"/>
  <c r="G1973" i="7"/>
  <c r="G1974" i="7"/>
  <c r="G1975" i="7"/>
  <c r="G1976" i="7"/>
  <c r="G1977" i="7"/>
  <c r="G1978" i="7"/>
  <c r="G1979" i="7"/>
  <c r="G1980" i="7"/>
  <c r="G1981" i="7"/>
  <c r="G1982" i="7"/>
  <c r="G1983" i="7"/>
  <c r="G1984" i="7"/>
  <c r="G1985" i="7"/>
  <c r="G1986" i="7"/>
  <c r="G1987" i="7"/>
  <c r="G1988" i="7"/>
  <c r="G1989" i="7"/>
  <c r="G1990" i="7"/>
  <c r="G1991" i="7"/>
  <c r="G1992" i="7"/>
  <c r="G1993" i="7"/>
  <c r="G1994" i="7"/>
  <c r="G1995" i="7"/>
  <c r="G1996" i="7"/>
  <c r="G1997" i="7"/>
  <c r="G1998" i="7"/>
  <c r="G1999" i="7"/>
  <c r="G2000" i="7"/>
  <c r="G2001" i="7"/>
  <c r="G2002" i="7"/>
  <c r="G2003" i="7"/>
  <c r="G2004" i="7"/>
  <c r="G2005" i="7"/>
  <c r="G2006" i="7"/>
  <c r="G2007" i="7"/>
  <c r="G2008" i="7"/>
  <c r="G2009" i="7"/>
  <c r="G2010" i="7"/>
  <c r="G2011" i="7"/>
  <c r="G2012" i="7"/>
  <c r="G2013" i="7"/>
  <c r="G2014" i="7"/>
  <c r="G2015" i="7"/>
  <c r="G2016" i="7"/>
  <c r="G2017" i="7"/>
  <c r="G2018" i="7"/>
  <c r="G2019" i="7"/>
  <c r="G2020" i="7"/>
  <c r="G2021" i="7"/>
  <c r="G2022" i="7"/>
  <c r="G2023" i="7"/>
  <c r="G2024" i="7"/>
  <c r="G2025" i="7"/>
  <c r="G2026" i="7"/>
  <c r="G2027" i="7"/>
  <c r="G2028" i="7"/>
  <c r="G2029" i="7"/>
  <c r="G2030" i="7"/>
  <c r="G2031" i="7"/>
  <c r="G2032" i="7"/>
  <c r="G2033" i="7"/>
  <c r="G2034" i="7"/>
  <c r="G2035" i="7"/>
  <c r="G2036" i="7"/>
  <c r="G2037" i="7"/>
  <c r="G2038" i="7"/>
  <c r="G2039" i="7"/>
  <c r="G2040" i="7"/>
  <c r="G2041" i="7"/>
  <c r="G2042" i="7"/>
  <c r="G2043" i="7"/>
  <c r="G2044" i="7"/>
  <c r="G2045" i="7"/>
  <c r="G2046" i="7"/>
  <c r="G2047" i="7"/>
  <c r="G2048" i="7"/>
  <c r="G2049" i="7"/>
  <c r="G2050" i="7"/>
  <c r="G2051" i="7"/>
  <c r="G2052" i="7"/>
  <c r="G2053" i="7"/>
  <c r="G2054" i="7"/>
  <c r="G2055" i="7"/>
  <c r="G2056" i="7"/>
  <c r="G2057" i="7"/>
  <c r="G2058" i="7"/>
  <c r="G2059" i="7"/>
  <c r="G2060" i="7"/>
  <c r="G2061" i="7"/>
  <c r="G2062" i="7"/>
  <c r="G2063" i="7"/>
  <c r="G2064" i="7"/>
  <c r="G2065" i="7"/>
  <c r="G2066" i="7"/>
  <c r="G2067" i="7"/>
  <c r="G2068" i="7"/>
  <c r="G2069" i="7"/>
  <c r="G2070" i="7"/>
  <c r="G2071" i="7"/>
  <c r="G2072" i="7"/>
  <c r="G2073" i="7"/>
  <c r="G2074" i="7"/>
  <c r="G2075" i="7"/>
  <c r="G2076" i="7"/>
  <c r="G2077" i="7"/>
  <c r="G2078" i="7"/>
  <c r="G2079" i="7"/>
  <c r="G2080" i="7"/>
  <c r="G2081" i="7"/>
  <c r="G2082" i="7"/>
  <c r="G2083" i="7"/>
  <c r="G2084" i="7"/>
  <c r="G2085" i="7"/>
  <c r="G2086" i="7"/>
  <c r="G2087" i="7"/>
  <c r="G2088" i="7"/>
  <c r="G2089" i="7"/>
  <c r="G2090" i="7"/>
  <c r="G2091" i="7"/>
  <c r="G2092" i="7"/>
  <c r="G2093" i="7"/>
  <c r="G2094" i="7"/>
  <c r="G2095" i="7"/>
  <c r="G2096" i="7"/>
  <c r="G2097" i="7"/>
  <c r="G2098" i="7"/>
  <c r="G2099" i="7"/>
  <c r="G2100" i="7"/>
  <c r="G2101" i="7"/>
  <c r="G2102" i="7"/>
  <c r="G2103" i="7"/>
  <c r="G2104" i="7"/>
  <c r="G2105" i="7"/>
  <c r="G2106" i="7"/>
  <c r="G2107" i="7"/>
  <c r="G2108" i="7"/>
  <c r="G2109" i="7"/>
  <c r="G2110" i="7"/>
  <c r="G2111" i="7"/>
  <c r="G2112" i="7"/>
  <c r="G2113" i="7"/>
  <c r="G2114" i="7"/>
  <c r="G2115" i="7"/>
  <c r="G2116" i="7"/>
  <c r="G2117" i="7"/>
  <c r="G2118" i="7"/>
  <c r="G2119" i="7"/>
  <c r="G2120" i="7"/>
  <c r="G2121" i="7"/>
  <c r="G2122" i="7"/>
  <c r="G2123" i="7"/>
  <c r="G2124" i="7"/>
  <c r="G2125" i="7"/>
  <c r="G2126" i="7"/>
  <c r="G2127" i="7"/>
  <c r="G2128" i="7"/>
  <c r="G2129" i="7"/>
  <c r="G2130" i="7"/>
  <c r="G2131" i="7"/>
  <c r="G2132" i="7"/>
  <c r="G2133" i="7"/>
  <c r="G2134" i="7"/>
  <c r="G2135" i="7"/>
  <c r="G2136" i="7"/>
  <c r="G2137" i="7"/>
  <c r="G2138" i="7"/>
  <c r="G2139" i="7"/>
  <c r="G2140" i="7"/>
  <c r="G2141" i="7"/>
  <c r="G2142" i="7"/>
  <c r="G2143" i="7"/>
  <c r="G2144" i="7"/>
  <c r="G2145" i="7"/>
  <c r="G2146" i="7"/>
  <c r="G2147" i="7"/>
  <c r="G2148" i="7"/>
  <c r="G2149" i="7"/>
  <c r="G2150" i="7"/>
  <c r="G2151" i="7"/>
  <c r="G2152" i="7"/>
  <c r="G2153" i="7"/>
  <c r="G2154" i="7"/>
  <c r="G2155" i="7"/>
  <c r="G2156" i="7"/>
  <c r="G2157" i="7"/>
  <c r="G2158" i="7"/>
  <c r="G2159" i="7"/>
  <c r="G2160" i="7"/>
  <c r="G2161" i="7"/>
  <c r="G2162" i="7"/>
  <c r="G2163" i="7"/>
  <c r="G2164" i="7"/>
  <c r="G2165" i="7"/>
  <c r="G2166" i="7"/>
  <c r="G2167" i="7"/>
  <c r="G2168" i="7"/>
  <c r="G2169" i="7"/>
  <c r="G2170" i="7"/>
  <c r="G2171" i="7"/>
  <c r="G2172" i="7"/>
  <c r="G2173" i="7"/>
  <c r="G2174" i="7"/>
  <c r="G2175" i="7"/>
  <c r="G2176" i="7"/>
  <c r="G2177" i="7"/>
  <c r="G2178" i="7"/>
  <c r="G2179" i="7"/>
  <c r="G2180" i="7"/>
  <c r="G2181" i="7"/>
  <c r="G2182" i="7"/>
  <c r="G2183" i="7"/>
  <c r="G2184" i="7"/>
  <c r="G2185" i="7"/>
  <c r="G2186" i="7"/>
  <c r="G2187" i="7"/>
  <c r="G2188" i="7"/>
  <c r="G2189" i="7"/>
  <c r="G2190" i="7"/>
  <c r="G2191" i="7"/>
  <c r="G2192" i="7"/>
  <c r="G2193" i="7"/>
  <c r="G2194" i="7"/>
  <c r="G2195" i="7"/>
  <c r="G2196" i="7"/>
  <c r="G2197" i="7"/>
  <c r="G2198" i="7"/>
  <c r="G2199" i="7"/>
  <c r="G2200" i="7"/>
  <c r="G2201" i="7"/>
  <c r="G2202" i="7"/>
  <c r="G2203" i="7"/>
  <c r="G2204" i="7"/>
  <c r="G2205" i="7"/>
  <c r="G2206" i="7"/>
  <c r="G2207" i="7"/>
  <c r="G2208" i="7"/>
  <c r="G2209" i="7"/>
  <c r="G2210" i="7"/>
  <c r="G2211" i="7"/>
  <c r="G2212" i="7"/>
  <c r="G2213" i="7"/>
  <c r="G2214" i="7"/>
  <c r="G2215" i="7"/>
  <c r="G2216" i="7"/>
  <c r="G2217" i="7"/>
  <c r="G2218" i="7"/>
  <c r="G2219" i="7"/>
  <c r="G2220" i="7"/>
  <c r="G2221" i="7"/>
  <c r="G2222" i="7"/>
  <c r="G2223" i="7"/>
  <c r="G2224" i="7"/>
  <c r="G2225" i="7"/>
  <c r="G2226" i="7"/>
  <c r="G2227" i="7"/>
  <c r="G2228" i="7"/>
  <c r="G2229" i="7"/>
  <c r="G2230" i="7"/>
  <c r="G2231" i="7"/>
  <c r="G2232" i="7"/>
  <c r="G2233" i="7"/>
  <c r="G2234" i="7"/>
  <c r="G2235" i="7"/>
  <c r="G2236" i="7"/>
  <c r="G2237" i="7"/>
  <c r="G2238" i="7"/>
  <c r="G2239" i="7"/>
  <c r="G2240" i="7"/>
  <c r="G2241" i="7"/>
  <c r="G2242" i="7"/>
  <c r="G2243" i="7"/>
  <c r="G2244" i="7"/>
  <c r="G2245" i="7"/>
  <c r="G2246" i="7"/>
  <c r="G2247" i="7"/>
  <c r="G2248" i="7"/>
  <c r="G2249" i="7"/>
  <c r="G2250" i="7"/>
  <c r="G2251" i="7"/>
  <c r="G2252" i="7"/>
  <c r="G2253" i="7"/>
  <c r="G2254" i="7"/>
  <c r="G2255" i="7"/>
  <c r="G2256" i="7"/>
  <c r="G2257" i="7"/>
  <c r="G2258" i="7"/>
  <c r="G2259" i="7"/>
  <c r="G2260" i="7"/>
  <c r="G2261" i="7"/>
  <c r="G2262" i="7"/>
  <c r="G2263" i="7"/>
  <c r="G2264" i="7"/>
  <c r="G2265" i="7"/>
  <c r="G2266" i="7"/>
  <c r="G2267" i="7"/>
  <c r="G2268" i="7"/>
  <c r="G2269" i="7"/>
  <c r="G2270" i="7"/>
  <c r="G2271" i="7"/>
  <c r="G2272" i="7"/>
  <c r="G2273" i="7"/>
  <c r="G2274" i="7"/>
  <c r="G2275" i="7"/>
  <c r="G2276" i="7"/>
  <c r="G2277" i="7"/>
  <c r="G2278" i="7"/>
  <c r="G2279" i="7"/>
  <c r="G2280" i="7"/>
  <c r="G2281" i="7"/>
  <c r="G2282" i="7"/>
  <c r="G2283" i="7"/>
  <c r="G2284" i="7"/>
  <c r="G2285" i="7"/>
  <c r="G2286" i="7"/>
  <c r="G2287" i="7"/>
  <c r="G2288" i="7"/>
  <c r="G2289" i="7"/>
  <c r="G2290" i="7"/>
  <c r="G2291" i="7"/>
  <c r="G2292" i="7"/>
  <c r="G2293" i="7"/>
  <c r="G2294" i="7"/>
  <c r="G2295" i="7"/>
  <c r="G2296" i="7"/>
  <c r="G2297" i="7"/>
  <c r="G2298" i="7"/>
  <c r="G2299" i="7"/>
  <c r="G2300" i="7"/>
  <c r="G2301" i="7"/>
  <c r="G2302" i="7"/>
  <c r="G2303" i="7"/>
  <c r="G2304" i="7"/>
  <c r="G2305" i="7"/>
  <c r="G2306" i="7"/>
  <c r="G2307" i="7"/>
  <c r="G2308" i="7"/>
  <c r="G2309" i="7"/>
  <c r="G2310" i="7"/>
  <c r="G2311" i="7"/>
  <c r="G2312" i="7"/>
  <c r="G2313" i="7"/>
  <c r="G2314" i="7"/>
  <c r="G2315" i="7"/>
  <c r="G2316" i="7"/>
  <c r="G2317" i="7"/>
  <c r="G2318" i="7"/>
  <c r="G2319" i="7"/>
  <c r="G2320" i="7"/>
  <c r="G2321" i="7"/>
  <c r="G2322" i="7"/>
  <c r="G2323" i="7"/>
  <c r="G2324" i="7"/>
  <c r="G2325" i="7"/>
  <c r="G2326" i="7"/>
  <c r="G2327" i="7"/>
  <c r="G2328" i="7"/>
  <c r="G2329" i="7"/>
  <c r="G2330" i="7"/>
  <c r="G2331" i="7"/>
  <c r="G2332" i="7"/>
  <c r="G2333" i="7"/>
  <c r="G2334" i="7"/>
  <c r="G2335" i="7"/>
  <c r="G2336" i="7"/>
  <c r="G2337" i="7"/>
  <c r="G2338" i="7"/>
  <c r="G2339" i="7"/>
  <c r="G2340" i="7"/>
  <c r="G2341" i="7"/>
  <c r="G2342" i="7"/>
  <c r="G2343" i="7"/>
  <c r="G2344" i="7"/>
  <c r="G2345" i="7"/>
  <c r="G2346" i="7"/>
  <c r="G2347" i="7"/>
  <c r="G2348" i="7"/>
  <c r="G2349" i="7"/>
  <c r="G2350" i="7"/>
  <c r="G2351" i="7"/>
  <c r="G2352" i="7"/>
  <c r="G2353" i="7"/>
  <c r="G2354" i="7"/>
  <c r="G2355" i="7"/>
  <c r="G2356" i="7"/>
  <c r="G2357" i="7"/>
  <c r="G2358" i="7"/>
  <c r="G2359" i="7"/>
  <c r="G2360" i="7"/>
  <c r="G2361" i="7"/>
  <c r="G2362" i="7"/>
  <c r="G2363" i="7"/>
  <c r="G2364" i="7"/>
  <c r="G2365" i="7"/>
  <c r="G2366" i="7"/>
  <c r="G2367" i="7"/>
  <c r="G2368" i="7"/>
  <c r="G2369" i="7"/>
  <c r="G2370" i="7"/>
  <c r="G2371" i="7"/>
  <c r="G2372" i="7"/>
  <c r="G2373" i="7"/>
  <c r="G2374" i="7"/>
  <c r="G2375" i="7"/>
  <c r="G2376" i="7"/>
  <c r="G2377" i="7"/>
  <c r="G2378" i="7"/>
  <c r="G2379" i="7"/>
  <c r="G2380" i="7"/>
  <c r="G2381" i="7"/>
  <c r="G2382" i="7"/>
  <c r="G2383" i="7"/>
  <c r="G2384" i="7"/>
  <c r="G2385" i="7"/>
  <c r="G2386" i="7"/>
  <c r="G2387" i="7"/>
  <c r="G2388" i="7"/>
  <c r="G2389" i="7"/>
  <c r="G2390" i="7"/>
  <c r="G2391" i="7"/>
  <c r="G2392" i="7"/>
  <c r="G2393" i="7"/>
  <c r="G2394" i="7"/>
  <c r="G2395" i="7"/>
  <c r="G2396" i="7"/>
  <c r="G2397" i="7"/>
  <c r="G2398" i="7"/>
  <c r="G2399" i="7"/>
  <c r="G2400" i="7"/>
  <c r="G2401" i="7"/>
  <c r="G2402" i="7"/>
  <c r="G2403" i="7"/>
  <c r="G2404" i="7"/>
  <c r="G2405" i="7"/>
  <c r="G2406" i="7"/>
  <c r="G2407" i="7"/>
  <c r="G2408" i="7"/>
  <c r="G2409" i="7"/>
  <c r="G2410" i="7"/>
  <c r="G2411" i="7"/>
  <c r="G2412" i="7"/>
  <c r="G2413" i="7"/>
  <c r="G2414" i="7"/>
  <c r="G2415" i="7"/>
  <c r="G2416" i="7"/>
  <c r="G2417" i="7"/>
  <c r="G2418" i="7"/>
  <c r="G2419" i="7"/>
  <c r="G2420" i="7"/>
  <c r="G2421" i="7"/>
  <c r="G2422" i="7"/>
  <c r="G2423" i="7"/>
  <c r="G2424" i="7"/>
  <c r="G2425" i="7"/>
  <c r="G2426" i="7"/>
  <c r="G2427" i="7"/>
  <c r="G2428" i="7"/>
  <c r="G2429" i="7"/>
  <c r="G2430" i="7"/>
  <c r="G2431" i="7"/>
  <c r="G2432" i="7"/>
  <c r="G2433" i="7"/>
  <c r="G2434" i="7"/>
  <c r="G2435" i="7"/>
  <c r="G2436" i="7"/>
  <c r="G2437" i="7"/>
  <c r="G2438" i="7"/>
  <c r="G2439" i="7"/>
  <c r="G2440" i="7"/>
  <c r="G2441" i="7"/>
  <c r="G2442" i="7"/>
  <c r="G2443" i="7"/>
  <c r="G2444" i="7"/>
  <c r="G2445" i="7"/>
  <c r="G2446" i="7"/>
  <c r="G2447" i="7"/>
  <c r="G2448" i="7"/>
  <c r="G2449" i="7"/>
  <c r="G2450" i="7"/>
  <c r="G2451" i="7"/>
  <c r="G2452" i="7"/>
  <c r="G2453" i="7"/>
  <c r="G2454" i="7"/>
  <c r="G2455" i="7"/>
  <c r="G2456" i="7"/>
  <c r="G2457" i="7"/>
  <c r="G2458" i="7"/>
  <c r="G2459" i="7"/>
  <c r="G2460" i="7"/>
  <c r="G2461" i="7"/>
  <c r="G2462" i="7"/>
  <c r="G2463" i="7"/>
  <c r="G2464" i="7"/>
  <c r="G2465" i="7"/>
  <c r="G2466" i="7"/>
  <c r="G2467" i="7"/>
  <c r="G2468" i="7"/>
  <c r="G2469" i="7"/>
  <c r="G2470" i="7"/>
  <c r="G2471" i="7"/>
  <c r="G2472" i="7"/>
  <c r="G2473" i="7"/>
  <c r="G2474" i="7"/>
  <c r="G2475" i="7"/>
  <c r="G2476" i="7"/>
  <c r="G2477" i="7"/>
  <c r="G2478" i="7"/>
  <c r="G2479" i="7"/>
  <c r="G2480" i="7"/>
  <c r="G2481" i="7"/>
  <c r="G2482" i="7"/>
  <c r="G2483" i="7"/>
  <c r="G2484" i="7"/>
  <c r="G2485" i="7"/>
  <c r="G2486" i="7"/>
  <c r="G2487" i="7"/>
  <c r="G2488" i="7"/>
  <c r="G2489" i="7"/>
  <c r="G2490" i="7"/>
  <c r="G2491" i="7"/>
  <c r="G2492" i="7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2" i="1"/>
</calcChain>
</file>

<file path=xl/sharedStrings.xml><?xml version="1.0" encoding="utf-8"?>
<sst xmlns="http://schemas.openxmlformats.org/spreadsheetml/2006/main" count="5008" uniqueCount="59">
  <si>
    <t>證券代碼</t>
  </si>
  <si>
    <t>簡稱</t>
  </si>
  <si>
    <t>年月日</t>
  </si>
  <si>
    <t>開盤價(元)</t>
  </si>
  <si>
    <t>最高價(元)</t>
  </si>
  <si>
    <t>最低價(元)</t>
  </si>
  <si>
    <t>收盤價(元)</t>
  </si>
  <si>
    <t>成交量(千股)</t>
  </si>
  <si>
    <t>報酬率-Ln</t>
  </si>
  <si>
    <t>高低價差%</t>
  </si>
  <si>
    <t xml:space="preserve">聯電         </t>
  </si>
  <si>
    <t xml:space="preserve">台積電       </t>
  </si>
  <si>
    <t>WeekDay</t>
    <phoneticPr fontId="18" type="noConversion"/>
  </si>
  <si>
    <t>欄標籤</t>
  </si>
  <si>
    <t>總計</t>
  </si>
  <si>
    <t>列標籤</t>
  </si>
  <si>
    <t>平均值 - 報酬率-Ln</t>
  </si>
  <si>
    <t>month</t>
    <phoneticPr fontId="18" type="noConversion"/>
  </si>
  <si>
    <t>平均值 - 高低價差%</t>
  </si>
  <si>
    <t>台積電</t>
    <phoneticPr fontId="18" type="noConversion"/>
  </si>
  <si>
    <t>聯電</t>
    <phoneticPr fontId="18" type="noConversion"/>
  </si>
  <si>
    <t>大盤</t>
    <phoneticPr fontId="18" type="noConversion"/>
  </si>
  <si>
    <t>三月定存</t>
  </si>
  <si>
    <t>rt_台積電</t>
    <phoneticPr fontId="18" type="noConversion"/>
  </si>
  <si>
    <t>rt_聯電</t>
    <phoneticPr fontId="18" type="noConversion"/>
  </si>
  <si>
    <t>rt_大盤</t>
    <phoneticPr fontId="18" type="noConversion"/>
  </si>
  <si>
    <t>變異數</t>
    <phoneticPr fontId="18" type="noConversion"/>
  </si>
  <si>
    <t>標準差</t>
    <phoneticPr fontId="18" type="noConversion"/>
  </si>
  <si>
    <t>rf</t>
    <phoneticPr fontId="18" type="noConversion"/>
  </si>
  <si>
    <t>sharpe ratio</t>
  </si>
  <si>
    <t>sharpe ratio</t>
    <phoneticPr fontId="18" type="noConversion"/>
  </si>
  <si>
    <t>Rpt</t>
    <phoneticPr fontId="18" type="noConversion"/>
  </si>
  <si>
    <t>Rmt</t>
    <phoneticPr fontId="18" type="noConversion"/>
  </si>
  <si>
    <t>摘要輸出</t>
  </si>
  <si>
    <t>迴歸統計</t>
  </si>
  <si>
    <t>R 的倍數</t>
  </si>
  <si>
    <t>R 平方</t>
  </si>
  <si>
    <t>調整的 R 平方</t>
  </si>
  <si>
    <t>標準誤</t>
  </si>
  <si>
    <t>觀察值個數</t>
  </si>
  <si>
    <t>ANOVA</t>
  </si>
  <si>
    <t>迴歸</t>
  </si>
  <si>
    <t>殘差</t>
  </si>
  <si>
    <t>總和</t>
  </si>
  <si>
    <t>截距</t>
  </si>
  <si>
    <t>自由度</t>
  </si>
  <si>
    <t>SS</t>
  </si>
  <si>
    <t>MS</t>
  </si>
  <si>
    <t>F</t>
  </si>
  <si>
    <t>顯著值</t>
  </si>
  <si>
    <t>係數</t>
  </si>
  <si>
    <t>t 統計</t>
  </si>
  <si>
    <t>P-值</t>
  </si>
  <si>
    <t>下限 95%</t>
  </si>
  <si>
    <t>上限 95%</t>
  </si>
  <si>
    <t>下限 95.0%</t>
  </si>
  <si>
    <t>上限 95.0%</t>
  </si>
  <si>
    <t>X 變數 1</t>
  </si>
  <si>
    <t>beta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</si>
</sst>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pivotButton="1">
      <alignment vertical="center"/>
    </xf>
    <xf numFmtId="176" fontId="0" fillId="0" borderId="0" xfId="0" applyNumberFormat="1" applyAlignment="1">
      <alignment horizontal="left" vertical="center"/>
    </xf>
    <xf numFmtId="0" fontId="0" fillId="0" borderId="0" xfId="0" applyNumberFormat="1">
      <alignment vertical="center"/>
    </xf>
    <xf numFmtId="0" fontId="0" fillId="33" borderId="0" xfId="0" applyFill="1">
      <alignment vertical="center"/>
    </xf>
    <xf numFmtId="0" fontId="0" fillId="0" borderId="0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Continuous"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3">
    <dxf>
      <numFmt numFmtId="176" formatCode="0_);[Red]\(0\)"/>
    </dxf>
    <dxf>
      <numFmt numFmtId="176" formatCode="0_);[Red]\(0\)"/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[Demo0526.xlsm]工作表1!樞紐分析表1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工作表1!$B$3:$B$4</c:f>
              <c:strCache>
                <c:ptCount val="1"/>
                <c:pt idx="0">
                  <c:v>台積電      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工作表1!$A$5:$A$11</c:f>
              <c:strCache>
                <c:ptCount val="6"/>
                <c:pt idx="0">
                  <c:v>1 </c:v>
                </c:pt>
                <c:pt idx="1">
                  <c:v>2 </c:v>
                </c:pt>
                <c:pt idx="2">
                  <c:v>3 </c:v>
                </c:pt>
                <c:pt idx="3">
                  <c:v>4 </c:v>
                </c:pt>
                <c:pt idx="4">
                  <c:v>5 </c:v>
                </c:pt>
                <c:pt idx="5">
                  <c:v>6 </c:v>
                </c:pt>
              </c:strCache>
            </c:strRef>
          </c:cat>
          <c:val>
            <c:numRef>
              <c:f>工作表1!$B$5:$B$11</c:f>
              <c:numCache>
                <c:formatCode>General</c:formatCode>
                <c:ptCount val="6"/>
                <c:pt idx="0">
                  <c:v>7.5499377593360992E-2</c:v>
                </c:pt>
                <c:pt idx="1">
                  <c:v>9.3126156941649885E-2</c:v>
                </c:pt>
                <c:pt idx="2">
                  <c:v>0.15930565656565648</c:v>
                </c:pt>
                <c:pt idx="3">
                  <c:v>9.6178498985801143E-3</c:v>
                </c:pt>
                <c:pt idx="4">
                  <c:v>6.7701449275362369E-2</c:v>
                </c:pt>
                <c:pt idx="5">
                  <c:v>5.0346666666666672E-2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F-4B09-91A4-18D60A7FD4CE}"/>
            </c:ext>
          </c:extLst>
        </c:ser>
        <c:ser>
          <c:idx val="1"/>
          <c:order val="1"/>
          <c:tx>
            <c:strRef>
              <c:f>工作表1!$C$3:$C$4</c:f>
              <c:strCache>
                <c:ptCount val="1"/>
                <c:pt idx="0">
                  <c:v>聯電        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工作表1!$A$5:$A$11</c:f>
              <c:strCache>
                <c:ptCount val="6"/>
                <c:pt idx="0">
                  <c:v>1 </c:v>
                </c:pt>
                <c:pt idx="1">
                  <c:v>2 </c:v>
                </c:pt>
                <c:pt idx="2">
                  <c:v>3 </c:v>
                </c:pt>
                <c:pt idx="3">
                  <c:v>4 </c:v>
                </c:pt>
                <c:pt idx="4">
                  <c:v>5 </c:v>
                </c:pt>
                <c:pt idx="5">
                  <c:v>6 </c:v>
                </c:pt>
              </c:strCache>
            </c:strRef>
          </c:cat>
          <c:val>
            <c:numRef>
              <c:f>工作表1!$C$5:$C$11</c:f>
              <c:numCache>
                <c:formatCode>General</c:formatCode>
                <c:ptCount val="6"/>
                <c:pt idx="0">
                  <c:v>-3.1513692946058089E-2</c:v>
                </c:pt>
                <c:pt idx="1">
                  <c:v>9.1068611670020061E-2</c:v>
                </c:pt>
                <c:pt idx="2">
                  <c:v>-4.783636363636338E-3</c:v>
                </c:pt>
                <c:pt idx="3">
                  <c:v>0.10797647058823535</c:v>
                </c:pt>
                <c:pt idx="4">
                  <c:v>-8.1482194616977144E-2</c:v>
                </c:pt>
                <c:pt idx="5">
                  <c:v>-0.27464666666666665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DF-4B09-91A4-18D60A7FD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8795711"/>
        <c:axId val="2018797375"/>
      </c:barChart>
      <c:catAx>
        <c:axId val="2018795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18797375"/>
        <c:crosses val="autoZero"/>
        <c:auto val="1"/>
        <c:lblAlgn val="ctr"/>
        <c:lblOffset val="100"/>
        <c:noMultiLvlLbl val="0"/>
      </c:catAx>
      <c:valAx>
        <c:axId val="201879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18795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[Demo0526.xlsm]工作表3!樞紐分析表3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工作表3!$B$3:$B$4</c:f>
              <c:strCache>
                <c:ptCount val="1"/>
                <c:pt idx="0">
                  <c:v>台積電      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工作表3!$A$5:$A$17</c:f>
              <c:strCache>
                <c:ptCount val="12"/>
                <c:pt idx="0">
                  <c:v>1 </c:v>
                </c:pt>
                <c:pt idx="1">
                  <c:v>2 </c:v>
                </c:pt>
                <c:pt idx="2">
                  <c:v>3 </c:v>
                </c:pt>
                <c:pt idx="3">
                  <c:v>4 </c:v>
                </c:pt>
                <c:pt idx="4">
                  <c:v>5 </c:v>
                </c:pt>
                <c:pt idx="5">
                  <c:v>6 </c:v>
                </c:pt>
                <c:pt idx="6">
                  <c:v>7 </c:v>
                </c:pt>
                <c:pt idx="7">
                  <c:v>8 </c:v>
                </c:pt>
                <c:pt idx="8">
                  <c:v>9 </c:v>
                </c:pt>
                <c:pt idx="9">
                  <c:v>10 </c:v>
                </c:pt>
                <c:pt idx="10">
                  <c:v>11 </c:v>
                </c:pt>
                <c:pt idx="11">
                  <c:v>12 </c:v>
                </c:pt>
              </c:strCache>
            </c:strRef>
          </c:cat>
          <c:val>
            <c:numRef>
              <c:f>工作表3!$B$5:$B$17</c:f>
              <c:numCache>
                <c:formatCode>General</c:formatCode>
                <c:ptCount val="12"/>
                <c:pt idx="0">
                  <c:v>0.10253692307692305</c:v>
                </c:pt>
                <c:pt idx="1">
                  <c:v>9.4804054054054038E-2</c:v>
                </c:pt>
                <c:pt idx="2">
                  <c:v>0.10298558558558557</c:v>
                </c:pt>
                <c:pt idx="3">
                  <c:v>3.9782653061224485E-2</c:v>
                </c:pt>
                <c:pt idx="4">
                  <c:v>-9.8858490566037741E-3</c:v>
                </c:pt>
                <c:pt idx="5">
                  <c:v>9.1930582524271859E-2</c:v>
                </c:pt>
                <c:pt idx="6">
                  <c:v>0.14900688073394502</c:v>
                </c:pt>
                <c:pt idx="7">
                  <c:v>-3.3038636363636346E-2</c:v>
                </c:pt>
                <c:pt idx="8">
                  <c:v>0.112769801980198</c:v>
                </c:pt>
                <c:pt idx="9">
                  <c:v>0.1880671428571429</c:v>
                </c:pt>
                <c:pt idx="10">
                  <c:v>3.2253488372093027E-2</c:v>
                </c:pt>
                <c:pt idx="11">
                  <c:v>0.10758552036199093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A-4E67-A104-B0DCF19600CD}"/>
            </c:ext>
          </c:extLst>
        </c:ser>
        <c:ser>
          <c:idx val="1"/>
          <c:order val="1"/>
          <c:tx>
            <c:strRef>
              <c:f>工作表3!$C$3:$C$4</c:f>
              <c:strCache>
                <c:ptCount val="1"/>
                <c:pt idx="0">
                  <c:v>聯電        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工作表3!$A$5:$A$17</c:f>
              <c:strCache>
                <c:ptCount val="12"/>
                <c:pt idx="0">
                  <c:v>1 </c:v>
                </c:pt>
                <c:pt idx="1">
                  <c:v>2 </c:v>
                </c:pt>
                <c:pt idx="2">
                  <c:v>3 </c:v>
                </c:pt>
                <c:pt idx="3">
                  <c:v>4 </c:v>
                </c:pt>
                <c:pt idx="4">
                  <c:v>5 </c:v>
                </c:pt>
                <c:pt idx="5">
                  <c:v>6 </c:v>
                </c:pt>
                <c:pt idx="6">
                  <c:v>7 </c:v>
                </c:pt>
                <c:pt idx="7">
                  <c:v>8 </c:v>
                </c:pt>
                <c:pt idx="8">
                  <c:v>9 </c:v>
                </c:pt>
                <c:pt idx="9">
                  <c:v>10 </c:v>
                </c:pt>
                <c:pt idx="10">
                  <c:v>11 </c:v>
                </c:pt>
                <c:pt idx="11">
                  <c:v>12 </c:v>
                </c:pt>
              </c:strCache>
            </c:strRef>
          </c:cat>
          <c:val>
            <c:numRef>
              <c:f>工作表3!$C$5:$C$17</c:f>
              <c:numCache>
                <c:formatCode>General</c:formatCode>
                <c:ptCount val="12"/>
                <c:pt idx="0">
                  <c:v>0.16459589743589739</c:v>
                </c:pt>
                <c:pt idx="1">
                  <c:v>-2.4902702702702697E-2</c:v>
                </c:pt>
                <c:pt idx="2">
                  <c:v>4.1280180180180183E-2</c:v>
                </c:pt>
                <c:pt idx="3">
                  <c:v>-2.1290816326530724E-3</c:v>
                </c:pt>
                <c:pt idx="4">
                  <c:v>7.2165094339622987E-3</c:v>
                </c:pt>
                <c:pt idx="5">
                  <c:v>0.13913300970873782</c:v>
                </c:pt>
                <c:pt idx="6">
                  <c:v>-4.413302752293579E-2</c:v>
                </c:pt>
                <c:pt idx="7">
                  <c:v>-0.19158454545454556</c:v>
                </c:pt>
                <c:pt idx="8">
                  <c:v>-1.6363366336633663E-2</c:v>
                </c:pt>
                <c:pt idx="9">
                  <c:v>5.9504761904761649E-3</c:v>
                </c:pt>
                <c:pt idx="10">
                  <c:v>2.0445581395348869E-2</c:v>
                </c:pt>
                <c:pt idx="11">
                  <c:v>8.8421719457013576E-2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A-4E67-A104-B0DCF1960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604559"/>
        <c:axId val="146606639"/>
      </c:barChart>
      <c:catAx>
        <c:axId val="14660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6606639"/>
        <c:crosses val="autoZero"/>
        <c:auto val="1"/>
        <c:lblAlgn val="ctr"/>
        <c:lblOffset val="100"/>
        <c:noMultiLvlLbl val="0"/>
      </c:catAx>
      <c:valAx>
        <c:axId val="14660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6604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[Demo0526.xlsm]工作表4!樞紐分析表4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工作表4!$B$3:$B$4</c:f>
              <c:strCache>
                <c:ptCount val="1"/>
                <c:pt idx="0">
                  <c:v>台積電      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工作表4!$A$5:$A$17</c:f>
              <c:strCache>
                <c:ptCount val="12"/>
                <c:pt idx="0">
                  <c:v>1 </c:v>
                </c:pt>
                <c:pt idx="1">
                  <c:v>2 </c:v>
                </c:pt>
                <c:pt idx="2">
                  <c:v>3 </c:v>
                </c:pt>
                <c:pt idx="3">
                  <c:v>4 </c:v>
                </c:pt>
                <c:pt idx="4">
                  <c:v>5 </c:v>
                </c:pt>
                <c:pt idx="5">
                  <c:v>6 </c:v>
                </c:pt>
                <c:pt idx="6">
                  <c:v>7 </c:v>
                </c:pt>
                <c:pt idx="7">
                  <c:v>8 </c:v>
                </c:pt>
                <c:pt idx="8">
                  <c:v>9 </c:v>
                </c:pt>
                <c:pt idx="9">
                  <c:v>10 </c:v>
                </c:pt>
                <c:pt idx="10">
                  <c:v>11 </c:v>
                </c:pt>
                <c:pt idx="11">
                  <c:v>12 </c:v>
                </c:pt>
              </c:strCache>
            </c:strRef>
          </c:cat>
          <c:val>
            <c:numRef>
              <c:f>工作表4!$B$5:$B$17</c:f>
              <c:numCache>
                <c:formatCode>General</c:formatCode>
                <c:ptCount val="12"/>
                <c:pt idx="0">
                  <c:v>1.5947210256410258</c:v>
                </c:pt>
                <c:pt idx="1">
                  <c:v>1.5393189189189189</c:v>
                </c:pt>
                <c:pt idx="2">
                  <c:v>1.5108324324324327</c:v>
                </c:pt>
                <c:pt idx="3">
                  <c:v>1.4898219387755101</c:v>
                </c:pt>
                <c:pt idx="4">
                  <c:v>1.5971146226415098</c:v>
                </c:pt>
                <c:pt idx="5">
                  <c:v>1.5270558252427178</c:v>
                </c:pt>
                <c:pt idx="6">
                  <c:v>1.5236458715596328</c:v>
                </c:pt>
                <c:pt idx="7">
                  <c:v>1.608733636363636</c:v>
                </c:pt>
                <c:pt idx="8">
                  <c:v>1.5296410891089109</c:v>
                </c:pt>
                <c:pt idx="9">
                  <c:v>1.4836652380952384</c:v>
                </c:pt>
                <c:pt idx="10">
                  <c:v>1.4849190697674426</c:v>
                </c:pt>
                <c:pt idx="11">
                  <c:v>1.4863171945701361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7-427E-832C-0A3491CFD89F}"/>
            </c:ext>
          </c:extLst>
        </c:ser>
        <c:ser>
          <c:idx val="1"/>
          <c:order val="1"/>
          <c:tx>
            <c:strRef>
              <c:f>工作表4!$C$3:$C$4</c:f>
              <c:strCache>
                <c:ptCount val="1"/>
                <c:pt idx="0">
                  <c:v>聯電        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工作表4!$A$5:$A$17</c:f>
              <c:strCache>
                <c:ptCount val="12"/>
                <c:pt idx="0">
                  <c:v>1 </c:v>
                </c:pt>
                <c:pt idx="1">
                  <c:v>2 </c:v>
                </c:pt>
                <c:pt idx="2">
                  <c:v>3 </c:v>
                </c:pt>
                <c:pt idx="3">
                  <c:v>4 </c:v>
                </c:pt>
                <c:pt idx="4">
                  <c:v>5 </c:v>
                </c:pt>
                <c:pt idx="5">
                  <c:v>6 </c:v>
                </c:pt>
                <c:pt idx="6">
                  <c:v>7 </c:v>
                </c:pt>
                <c:pt idx="7">
                  <c:v>8 </c:v>
                </c:pt>
                <c:pt idx="8">
                  <c:v>9 </c:v>
                </c:pt>
                <c:pt idx="9">
                  <c:v>10 </c:v>
                </c:pt>
                <c:pt idx="10">
                  <c:v>11 </c:v>
                </c:pt>
                <c:pt idx="11">
                  <c:v>12 </c:v>
                </c:pt>
              </c:strCache>
            </c:strRef>
          </c:cat>
          <c:val>
            <c:numRef>
              <c:f>工作表4!$C$5:$C$17</c:f>
              <c:numCache>
                <c:formatCode>General</c:formatCode>
                <c:ptCount val="12"/>
                <c:pt idx="0">
                  <c:v>2.1523615384615371</c:v>
                </c:pt>
                <c:pt idx="1">
                  <c:v>1.898312837837838</c:v>
                </c:pt>
                <c:pt idx="2">
                  <c:v>1.7508472972972975</c:v>
                </c:pt>
                <c:pt idx="3">
                  <c:v>1.7994168367346948</c:v>
                </c:pt>
                <c:pt idx="4">
                  <c:v>2.1202594339622642</c:v>
                </c:pt>
                <c:pt idx="5">
                  <c:v>2.0857917475728147</c:v>
                </c:pt>
                <c:pt idx="6">
                  <c:v>2.1866614678899081</c:v>
                </c:pt>
                <c:pt idx="7">
                  <c:v>1.8961072727272741</c:v>
                </c:pt>
                <c:pt idx="8">
                  <c:v>1.9345391089108921</c:v>
                </c:pt>
                <c:pt idx="9">
                  <c:v>2.0155419047619052</c:v>
                </c:pt>
                <c:pt idx="10">
                  <c:v>2.011901860465116</c:v>
                </c:pt>
                <c:pt idx="11">
                  <c:v>1.8825746606334834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27-427E-832C-0A3491CFD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00415"/>
        <c:axId val="216019679"/>
      </c:barChart>
      <c:catAx>
        <c:axId val="106800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6019679"/>
        <c:crosses val="autoZero"/>
        <c:auto val="1"/>
        <c:lblAlgn val="ctr"/>
        <c:lblOffset val="100"/>
        <c:noMultiLvlLbl val="0"/>
      </c:catAx>
      <c:valAx>
        <c:axId val="21601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680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214312</xdr:colOff>
      <xdr:row>2</xdr:row>
      <xdr:rowOff>33337</xdr:rowOff>
    </xdr:from>
    <xdr:to>
      <xdr:col>10</xdr:col>
      <xdr:colOff>671512</xdr:colOff>
      <xdr:row>15</xdr:row>
      <xdr:rowOff>52387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80962</xdr:colOff>
      <xdr:row>2</xdr:row>
      <xdr:rowOff>42862</xdr:rowOff>
    </xdr:from>
    <xdr:to>
      <xdr:col>10</xdr:col>
      <xdr:colOff>538162</xdr:colOff>
      <xdr:row>15</xdr:row>
      <xdr:rowOff>61912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214312</xdr:colOff>
      <xdr:row>3</xdr:row>
      <xdr:rowOff>176212</xdr:rowOff>
    </xdr:from>
    <xdr:to>
      <xdr:col>10</xdr:col>
      <xdr:colOff>671512</xdr:colOff>
      <xdr:row>16</xdr:row>
      <xdr:rowOff>195262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3977.812813773147" createdVersion="6" refreshedVersion="6" minRefreshableVersion="3" recordCount="4930">
  <cacheSource type="worksheet">
    <worksheetSource ref="A1:L4931" sheet="data0526"/>
  </cacheSource>
  <cacheFields count="12">
    <cacheField name="證券代碼" numFmtId="0">
      <sharedItems containsSemiMixedTypes="0" containsString="0" containsNumber="1" containsInteger="1" minValue="2303" maxValue="2330"/>
    </cacheField>
    <cacheField name="簡稱" numFmtId="0">
      <sharedItems count="2">
        <s v="聯電         "/>
        <s v="台積電       "/>
      </sharedItems>
    </cacheField>
    <cacheField name="年月日" numFmtId="14">
      <sharedItems containsSemiMixedTypes="0" containsNonDate="0" containsDate="1" containsString="0" minDate="2010-01-04T00:00:00" maxDate="2020-01-01T00:00:00"/>
    </cacheField>
    <cacheField name="WeekDay" numFmtId="176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month" numFmtId="176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開盤價(元)" numFmtId="0">
      <sharedItems containsSemiMixedTypes="0" containsString="0" containsNumber="1" minValue="7.4866000000000001" maxValue="336.73090000000002"/>
    </cacheField>
    <cacheField name="最高價(元)" numFmtId="0">
      <sharedItems containsSemiMixedTypes="0" containsString="0" containsNumber="1" minValue="7.8243" maxValue="339.20330000000001"/>
    </cacheField>
    <cacheField name="最低價(元)" numFmtId="0">
      <sharedItems containsSemiMixedTypes="0" containsString="0" containsNumber="1" minValue="7.4866000000000001" maxValue="335.76209999999998"/>
    </cacheField>
    <cacheField name="收盤價(元)" numFmtId="0">
      <sharedItems containsSemiMixedTypes="0" containsString="0" containsNumber="1" minValue="7.7079000000000004" maxValue="339.20330000000001"/>
    </cacheField>
    <cacheField name="成交量(千股)" numFmtId="0">
      <sharedItems containsSemiMixedTypes="0" containsString="0" containsNumber="1" containsInteger="1" minValue="0" maxValue="517994"/>
    </cacheField>
    <cacheField name="報酬率-Ln" numFmtId="0">
      <sharedItems containsSemiMixedTypes="0" containsString="0" containsNumber="1" minValue="-10.1633" maxValue="9.4986999999999995"/>
    </cacheField>
    <cacheField name="高低價差%" numFmtId="0">
      <sharedItems containsSemiMixedTypes="0" containsString="0" containsNumber="1" minValue="0" maxValue="8.9108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30">
  <r>
    <n v="2303"/>
    <x v="0"/>
    <d v="2010-01-04T00:00:00"/>
    <x v="0"/>
    <x v="0"/>
    <n v="11.3123"/>
    <n v="11.3123"/>
    <n v="11.049200000000001"/>
    <n v="11.1808"/>
    <n v="30268"/>
    <n v="-1.1696"/>
    <n v="2.3809999999999998"/>
  </r>
  <r>
    <n v="2330"/>
    <x v="1"/>
    <d v="2010-01-04T00:00:00"/>
    <x v="0"/>
    <x v="0"/>
    <n v="44.717100000000002"/>
    <n v="44.717100000000002"/>
    <n v="44.0291"/>
    <n v="44.648299999999999"/>
    <n v="39511"/>
    <n v="0.61819999999999997"/>
    <n v="1.5625"/>
  </r>
  <r>
    <n v="2303"/>
    <x v="0"/>
    <d v="2010-01-05T00:00:00"/>
    <x v="1"/>
    <x v="0"/>
    <n v="11.3123"/>
    <n v="11.411"/>
    <n v="11.213699999999999"/>
    <n v="11.3123"/>
    <n v="65133"/>
    <n v="1.1696"/>
    <n v="1.7595000000000001"/>
  </r>
  <r>
    <n v="2330"/>
    <x v="1"/>
    <d v="2010-01-05T00:00:00"/>
    <x v="1"/>
    <x v="0"/>
    <n v="44.717100000000002"/>
    <n v="44.785899999999998"/>
    <n v="43.960299999999997"/>
    <n v="44.373100000000001"/>
    <n v="38394"/>
    <n v="-0.61819999999999997"/>
    <n v="1.8778999999999999"/>
  </r>
  <r>
    <n v="2303"/>
    <x v="0"/>
    <d v="2010-01-06T00:00:00"/>
    <x v="2"/>
    <x v="0"/>
    <n v="11.3123"/>
    <n v="12.101599999999999"/>
    <n v="11.279400000000001"/>
    <n v="12.101599999999999"/>
    <n v="145046"/>
    <n v="6.7441000000000004"/>
    <n v="7.2885999999999997"/>
  </r>
  <r>
    <n v="2330"/>
    <x v="1"/>
    <d v="2010-01-06T00:00:00"/>
    <x v="2"/>
    <x v="0"/>
    <n v="44.373100000000001"/>
    <n v="44.648299999999999"/>
    <n v="43.822699999999998"/>
    <n v="44.648299999999999"/>
    <n v="52734"/>
    <n v="0.61819999999999997"/>
    <n v="1.8837999999999999"/>
  </r>
  <r>
    <n v="2303"/>
    <x v="0"/>
    <d v="2010-01-07T00:00:00"/>
    <x v="3"/>
    <x v="0"/>
    <n v="12.2331"/>
    <n v="12.5619"/>
    <n v="12.101599999999999"/>
    <n v="12.101599999999999"/>
    <n v="137964"/>
    <n v="0"/>
    <n v="3.8043"/>
  </r>
  <r>
    <n v="2330"/>
    <x v="1"/>
    <d v="2010-01-07T00:00:00"/>
    <x v="3"/>
    <x v="0"/>
    <n v="44.648299999999999"/>
    <n v="44.717100000000002"/>
    <n v="44.166699999999999"/>
    <n v="44.166699999999999"/>
    <n v="53294"/>
    <n v="-1.0844"/>
    <n v="1.2461"/>
  </r>
  <r>
    <n v="2303"/>
    <x v="0"/>
    <d v="2010-01-08T00:00:00"/>
    <x v="4"/>
    <x v="0"/>
    <n v="12.101599999999999"/>
    <n v="12.134399999999999"/>
    <n v="11.739800000000001"/>
    <n v="11.97"/>
    <n v="58947"/>
    <n v="-1.0929"/>
    <n v="3.3613"/>
  </r>
  <r>
    <n v="2330"/>
    <x v="1"/>
    <d v="2010-01-08T00:00:00"/>
    <x v="4"/>
    <x v="0"/>
    <n v="43.685099999999998"/>
    <n v="44.235500000000002"/>
    <n v="43.685099999999998"/>
    <n v="44.0291"/>
    <n v="48047"/>
    <n v="-0.312"/>
    <n v="1.2598"/>
  </r>
  <r>
    <n v="2303"/>
    <x v="0"/>
    <d v="2010-01-11T00:00:00"/>
    <x v="0"/>
    <x v="0"/>
    <n v="12.0358"/>
    <n v="12.4962"/>
    <n v="11.904199999999999"/>
    <n v="12.2331"/>
    <n v="108271"/>
    <n v="2.1739999999999999"/>
    <n v="4.9724000000000004"/>
  </r>
  <r>
    <n v="2330"/>
    <x v="1"/>
    <d v="2010-01-11T00:00:00"/>
    <x v="0"/>
    <x v="0"/>
    <n v="44.0291"/>
    <n v="44.648299999999999"/>
    <n v="43.685099999999998"/>
    <n v="44.373100000000001"/>
    <n v="37446"/>
    <n v="0.7782"/>
    <n v="2.2046999999999999"/>
  </r>
  <r>
    <n v="2303"/>
    <x v="0"/>
    <d v="2010-01-12T00:00:00"/>
    <x v="1"/>
    <x v="0"/>
    <n v="12.2331"/>
    <n v="12.397500000000001"/>
    <n v="11.937099999999999"/>
    <n v="12.0687"/>
    <n v="54024"/>
    <n v="-1.3532"/>
    <n v="3.8567"/>
  </r>
  <r>
    <n v="2330"/>
    <x v="1"/>
    <d v="2010-01-12T00:00:00"/>
    <x v="1"/>
    <x v="0"/>
    <n v="44.304299999999998"/>
    <n v="44.304299999999998"/>
    <n v="43.547600000000003"/>
    <n v="43.753900000000002"/>
    <n v="52444"/>
    <n v="-1.4052"/>
    <n v="1.7378"/>
  </r>
  <r>
    <n v="2303"/>
    <x v="0"/>
    <d v="2010-01-13T00:00:00"/>
    <x v="2"/>
    <x v="0"/>
    <n v="11.8385"/>
    <n v="11.8385"/>
    <n v="11.706899999999999"/>
    <n v="11.739800000000001"/>
    <n v="56187"/>
    <n v="-2.7625999999999999"/>
    <n v="1.1235999999999999"/>
  </r>
  <r>
    <n v="2330"/>
    <x v="1"/>
    <d v="2010-01-13T00:00:00"/>
    <x v="2"/>
    <x v="0"/>
    <n v="43.341200000000001"/>
    <n v="43.41"/>
    <n v="43.066000000000003"/>
    <n v="43.203600000000002"/>
    <n v="49806"/>
    <n v="-1.2658"/>
    <n v="0.79869999999999997"/>
  </r>
  <r>
    <n v="2303"/>
    <x v="0"/>
    <d v="2010-01-14T00:00:00"/>
    <x v="3"/>
    <x v="0"/>
    <n v="11.739800000000001"/>
    <n v="11.8714"/>
    <n v="11.739800000000001"/>
    <n v="11.8056"/>
    <n v="35850"/>
    <n v="0.55869999999999997"/>
    <n v="1.1204000000000001"/>
  </r>
  <r>
    <n v="2330"/>
    <x v="1"/>
    <d v="2010-01-14T00:00:00"/>
    <x v="3"/>
    <x v="0"/>
    <n v="43.753900000000002"/>
    <n v="43.753900000000002"/>
    <n v="43.341200000000001"/>
    <n v="43.4788"/>
    <n v="39254"/>
    <n v="0.63490000000000002"/>
    <n v="0.95240000000000002"/>
  </r>
  <r>
    <n v="2303"/>
    <x v="0"/>
    <d v="2010-01-15T00:00:00"/>
    <x v="4"/>
    <x v="0"/>
    <n v="11.8385"/>
    <n v="11.937099999999999"/>
    <n v="11.739800000000001"/>
    <n v="11.8385"/>
    <n v="35281"/>
    <n v="0.2782"/>
    <n v="1.6807000000000001"/>
  </r>
  <r>
    <n v="2330"/>
    <x v="1"/>
    <d v="2010-01-15T00:00:00"/>
    <x v="4"/>
    <x v="0"/>
    <n v="43.272399999999998"/>
    <n v="43.685099999999998"/>
    <n v="43.203600000000002"/>
    <n v="43.685099999999998"/>
    <n v="50011"/>
    <n v="0.47360000000000002"/>
    <n v="1.1146"/>
  </r>
  <r>
    <n v="2303"/>
    <x v="0"/>
    <d v="2010-01-18T00:00:00"/>
    <x v="0"/>
    <x v="0"/>
    <n v="11.706899999999999"/>
    <n v="11.904199999999999"/>
    <n v="11.5425"/>
    <n v="11.739800000000001"/>
    <n v="47704"/>
    <n v="-0.83679999999999999"/>
    <n v="3.1339000000000001"/>
  </r>
  <r>
    <n v="2330"/>
    <x v="1"/>
    <d v="2010-01-18T00:00:00"/>
    <x v="0"/>
    <x v="0"/>
    <n v="43.203600000000002"/>
    <n v="43.41"/>
    <n v="43.203600000000002"/>
    <n v="43.272399999999998"/>
    <n v="30586"/>
    <n v="-0.94940000000000002"/>
    <n v="0.47770000000000001"/>
  </r>
  <r>
    <n v="2303"/>
    <x v="0"/>
    <d v="2010-01-19T00:00:00"/>
    <x v="1"/>
    <x v="0"/>
    <n v="11.7727"/>
    <n v="11.904199999999999"/>
    <n v="11.5425"/>
    <n v="11.5425"/>
    <n v="45751"/>
    <n v="-1.6950000000000001"/>
    <n v="3.1339000000000001"/>
  </r>
  <r>
    <n v="2330"/>
    <x v="1"/>
    <d v="2010-01-19T00:00:00"/>
    <x v="1"/>
    <x v="0"/>
    <n v="43.341200000000001"/>
    <n v="43.4788"/>
    <n v="42.653199999999998"/>
    <n v="42.997199999999999"/>
    <n v="47541"/>
    <n v="-0.63800000000000001"/>
    <n v="1.9355"/>
  </r>
  <r>
    <n v="2303"/>
    <x v="0"/>
    <d v="2010-01-20T00:00:00"/>
    <x v="2"/>
    <x v="0"/>
    <n v="11.706899999999999"/>
    <n v="11.904199999999999"/>
    <n v="11.6083"/>
    <n v="11.904199999999999"/>
    <n v="65549"/>
    <n v="3.0857999999999999"/>
    <n v="2.5495999999999999"/>
  </r>
  <r>
    <n v="2330"/>
    <x v="1"/>
    <d v="2010-01-20T00:00:00"/>
    <x v="2"/>
    <x v="0"/>
    <n v="43.272399999999998"/>
    <n v="43.4788"/>
    <n v="42.790799999999997"/>
    <n v="43.341200000000001"/>
    <n v="52519"/>
    <n v="0.79679999999999995"/>
    <n v="1.6076999999999999"/>
  </r>
  <r>
    <n v="2303"/>
    <x v="0"/>
    <d v="2010-01-21T00:00:00"/>
    <x v="3"/>
    <x v="0"/>
    <n v="11.904199999999999"/>
    <n v="11.97"/>
    <n v="11.8056"/>
    <n v="11.8385"/>
    <n v="54920"/>
    <n v="-0.55400000000000005"/>
    <n v="1.3928"/>
  </r>
  <r>
    <n v="2330"/>
    <x v="1"/>
    <d v="2010-01-21T00:00:00"/>
    <x v="3"/>
    <x v="0"/>
    <n v="43.341200000000001"/>
    <n v="43.341200000000001"/>
    <n v="42.722000000000001"/>
    <n v="43.066000000000003"/>
    <n v="24842"/>
    <n v="-0.63690000000000002"/>
    <n v="1.4493"/>
  </r>
  <r>
    <n v="2303"/>
    <x v="0"/>
    <d v="2010-01-22T00:00:00"/>
    <x v="4"/>
    <x v="0"/>
    <n v="11.706899999999999"/>
    <n v="11.7727"/>
    <n v="11.509600000000001"/>
    <n v="11.6412"/>
    <n v="51483"/>
    <n v="-1.6807000000000001"/>
    <n v="2.2856999999999998"/>
  </r>
  <r>
    <n v="2330"/>
    <x v="1"/>
    <d v="2010-01-22T00:00:00"/>
    <x v="4"/>
    <x v="0"/>
    <n v="42.309199999999997"/>
    <n v="42.446800000000003"/>
    <n v="41.965299999999999"/>
    <n v="42.034100000000002"/>
    <n v="64001"/>
    <n v="-2.4253"/>
    <n v="1.1475"/>
  </r>
  <r>
    <n v="2303"/>
    <x v="0"/>
    <d v="2010-01-25T00:00:00"/>
    <x v="0"/>
    <x v="0"/>
    <n v="11.3781"/>
    <n v="11.5754"/>
    <n v="11.3452"/>
    <n v="11.443899999999999"/>
    <n v="50492"/>
    <n v="-1.7094"/>
    <n v="2.0289999999999999"/>
  </r>
  <r>
    <n v="2330"/>
    <x v="1"/>
    <d v="2010-01-25T00:00:00"/>
    <x v="0"/>
    <x v="0"/>
    <n v="41.3461"/>
    <n v="41.8277"/>
    <n v="41.3461"/>
    <n v="41.552500000000002"/>
    <n v="62230"/>
    <n v="-1.1523000000000001"/>
    <n v="1.1647000000000001"/>
  </r>
  <r>
    <n v="2303"/>
    <x v="0"/>
    <d v="2010-01-26T00:00:00"/>
    <x v="1"/>
    <x v="0"/>
    <n v="11.509600000000001"/>
    <n v="11.5425"/>
    <n v="10.786199999999999"/>
    <n v="10.851900000000001"/>
    <n v="78575"/>
    <n v="-5.3109999999999999"/>
    <n v="7.0122"/>
  </r>
  <r>
    <n v="2330"/>
    <x v="1"/>
    <d v="2010-01-26T00:00:00"/>
    <x v="1"/>
    <x v="0"/>
    <n v="41.690100000000001"/>
    <n v="42.102800000000002"/>
    <n v="41.277299999999997"/>
    <n v="41.3461"/>
    <n v="80078"/>
    <n v="-0.49790000000000001"/>
    <n v="2"/>
  </r>
  <r>
    <n v="2303"/>
    <x v="0"/>
    <d v="2010-01-27T00:00:00"/>
    <x v="2"/>
    <x v="0"/>
    <n v="10.9177"/>
    <n v="10.9177"/>
    <n v="10.753299999999999"/>
    <n v="10.786199999999999"/>
    <n v="48380"/>
    <n v="-0.6079"/>
    <n v="1.5290999999999999"/>
  </r>
  <r>
    <n v="2330"/>
    <x v="1"/>
    <d v="2010-01-27T00:00:00"/>
    <x v="2"/>
    <x v="0"/>
    <n v="41.3461"/>
    <n v="41.552500000000002"/>
    <n v="40.933300000000003"/>
    <n v="41.002099999999999"/>
    <n v="53876"/>
    <n v="-0.83540000000000003"/>
    <n v="1.5125999999999999"/>
  </r>
  <r>
    <n v="2303"/>
    <x v="0"/>
    <d v="2010-01-28T00:00:00"/>
    <x v="3"/>
    <x v="0"/>
    <n v="10.786199999999999"/>
    <n v="11.082100000000001"/>
    <n v="10.786199999999999"/>
    <n v="10.851900000000001"/>
    <n v="72488"/>
    <n v="0.6079"/>
    <n v="2.7439"/>
  </r>
  <r>
    <n v="2330"/>
    <x v="1"/>
    <d v="2010-01-28T00:00:00"/>
    <x v="3"/>
    <x v="0"/>
    <n v="41.621299999999998"/>
    <n v="42.309199999999997"/>
    <n v="41.139699999999998"/>
    <n v="41.277299999999997"/>
    <n v="44033"/>
    <n v="0.66890000000000005"/>
    <n v="2.8428"/>
  </r>
  <r>
    <n v="2303"/>
    <x v="0"/>
    <d v="2010-01-29T00:00:00"/>
    <x v="4"/>
    <x v="0"/>
    <n v="10.6546"/>
    <n v="10.6546"/>
    <n v="10.1942"/>
    <n v="10.555999999999999"/>
    <n v="107483"/>
    <n v="-2.7652000000000001"/>
    <n v="4.5160999999999998"/>
  </r>
  <r>
    <n v="2330"/>
    <x v="1"/>
    <d v="2010-01-29T00:00:00"/>
    <x v="4"/>
    <x v="0"/>
    <n v="41.3461"/>
    <n v="42.309199999999997"/>
    <n v="40.8645"/>
    <n v="42.309199999999997"/>
    <n v="98124"/>
    <n v="2.4693000000000001"/>
    <n v="3.5354000000000001"/>
  </r>
  <r>
    <n v="2303"/>
    <x v="0"/>
    <d v="2010-02-01T00:00:00"/>
    <x v="0"/>
    <x v="1"/>
    <n v="10.4573"/>
    <n v="10.4902"/>
    <n v="10.1942"/>
    <n v="10.1942"/>
    <n v="57786"/>
    <n v="-3.4868999999999999"/>
    <n v="2.9032"/>
  </r>
  <r>
    <n v="2330"/>
    <x v="1"/>
    <d v="2010-02-01T00:00:00"/>
    <x v="0"/>
    <x v="1"/>
    <n v="41.758899999999997"/>
    <n v="41.758899999999997"/>
    <n v="40.933300000000003"/>
    <n v="41.139699999999998"/>
    <n v="82234"/>
    <n v="-2.8031999999999999"/>
    <n v="2.0167999999999999"/>
  </r>
  <r>
    <n v="2303"/>
    <x v="0"/>
    <d v="2010-02-02T00:00:00"/>
    <x v="1"/>
    <x v="1"/>
    <n v="10.4573"/>
    <n v="10.4573"/>
    <n v="10.1614"/>
    <n v="10.26"/>
    <n v="49001"/>
    <n v="0.6431"/>
    <n v="2.9125999999999999"/>
  </r>
  <r>
    <n v="2330"/>
    <x v="1"/>
    <d v="2010-02-02T00:00:00"/>
    <x v="1"/>
    <x v="1"/>
    <n v="41.414900000000003"/>
    <n v="41.552500000000002"/>
    <n v="40.589300000000001"/>
    <n v="40.589300000000001"/>
    <n v="72141"/>
    <n v="-1.3468"/>
    <n v="2.3729"/>
  </r>
  <r>
    <n v="2303"/>
    <x v="0"/>
    <d v="2010-02-03T00:00:00"/>
    <x v="2"/>
    <x v="1"/>
    <n v="10.7204"/>
    <n v="10.9506"/>
    <n v="10.588900000000001"/>
    <n v="10.9506"/>
    <n v="93516"/>
    <n v="6.5138999999999996"/>
    <n v="3.4161000000000001"/>
  </r>
  <r>
    <n v="2330"/>
    <x v="1"/>
    <d v="2010-02-03T00:00:00"/>
    <x v="2"/>
    <x v="1"/>
    <n v="41.414900000000003"/>
    <n v="41.483699999999999"/>
    <n v="40.451799999999999"/>
    <n v="41.139699999999998"/>
    <n v="42627"/>
    <n v="1.3468"/>
    <n v="2.5510000000000002"/>
  </r>
  <r>
    <n v="2303"/>
    <x v="0"/>
    <d v="2010-02-04T00:00:00"/>
    <x v="3"/>
    <x v="1"/>
    <n v="11.049200000000001"/>
    <n v="11.279400000000001"/>
    <n v="10.851900000000001"/>
    <n v="10.851900000000001"/>
    <n v="129928"/>
    <n v="-0.90500000000000003"/>
    <n v="3.9394"/>
  </r>
  <r>
    <n v="2330"/>
    <x v="1"/>
    <d v="2010-02-04T00:00:00"/>
    <x v="3"/>
    <x v="1"/>
    <n v="41.277299999999997"/>
    <n v="41.277299999999997"/>
    <n v="40.589300000000001"/>
    <n v="40.658099999999997"/>
    <n v="46032"/>
    <n v="-1.1775"/>
    <n v="1.6949000000000001"/>
  </r>
  <r>
    <n v="2303"/>
    <x v="0"/>
    <d v="2010-02-05T00:00:00"/>
    <x v="4"/>
    <x v="1"/>
    <n v="10.325799999999999"/>
    <n v="10.4573"/>
    <n v="10.1942"/>
    <n v="10.325799999999999"/>
    <n v="158650"/>
    <n v="-4.97"/>
    <n v="2.5806"/>
  </r>
  <r>
    <n v="2330"/>
    <x v="1"/>
    <d v="2010-02-05T00:00:00"/>
    <x v="4"/>
    <x v="1"/>
    <n v="39.626199999999997"/>
    <n v="39.832599999999999"/>
    <n v="39.350999999999999"/>
    <n v="39.350999999999999"/>
    <n v="66295"/>
    <n v="-3.2677"/>
    <n v="1.2238"/>
  </r>
  <r>
    <n v="2303"/>
    <x v="0"/>
    <d v="2010-02-06T00:00:00"/>
    <x v="5"/>
    <x v="1"/>
    <n v="10.325799999999999"/>
    <n v="10.523099999999999"/>
    <n v="10.2271"/>
    <n v="10.523099999999999"/>
    <n v="53872"/>
    <n v="1.8928"/>
    <n v="2.8938999999999999"/>
  </r>
  <r>
    <n v="2330"/>
    <x v="1"/>
    <d v="2010-02-06T00:00:00"/>
    <x v="5"/>
    <x v="1"/>
    <n v="39.626199999999997"/>
    <n v="39.970199999999998"/>
    <n v="39.419800000000002"/>
    <n v="39.901400000000002"/>
    <n v="16391"/>
    <n v="1.3889"/>
    <n v="1.3962000000000001"/>
  </r>
  <r>
    <n v="2303"/>
    <x v="0"/>
    <d v="2010-02-08T00:00:00"/>
    <x v="0"/>
    <x v="1"/>
    <n v="10.588900000000001"/>
    <n v="10.621700000000001"/>
    <n v="10.4573"/>
    <n v="10.523099999999999"/>
    <n v="45149"/>
    <n v="0"/>
    <n v="1.5723"/>
  </r>
  <r>
    <n v="2330"/>
    <x v="1"/>
    <d v="2010-02-08T00:00:00"/>
    <x v="0"/>
    <x v="1"/>
    <n v="39.901400000000002"/>
    <n v="40.039000000000001"/>
    <n v="39.2134"/>
    <n v="39.488599999999998"/>
    <n v="45835"/>
    <n v="-1.0399"/>
    <n v="2.1053000000000002"/>
  </r>
  <r>
    <n v="2303"/>
    <x v="0"/>
    <d v="2010-02-09T00:00:00"/>
    <x v="1"/>
    <x v="1"/>
    <n v="10.523099999999999"/>
    <n v="10.753299999999999"/>
    <n v="10.523099999999999"/>
    <n v="10.6875"/>
    <n v="58121"/>
    <n v="1.5504"/>
    <n v="2.1875"/>
  </r>
  <r>
    <n v="2330"/>
    <x v="1"/>
    <d v="2010-02-09T00:00:00"/>
    <x v="1"/>
    <x v="1"/>
    <n v="40.176600000000001"/>
    <n v="40.726900000000001"/>
    <n v="39.695"/>
    <n v="40.3142"/>
    <n v="49551"/>
    <n v="2.069"/>
    <n v="2.5996999999999999"/>
  </r>
  <r>
    <n v="2303"/>
    <x v="0"/>
    <d v="2010-02-10T00:00:00"/>
    <x v="2"/>
    <x v="1"/>
    <n v="10.753299999999999"/>
    <n v="10.851900000000001"/>
    <n v="10.6546"/>
    <n v="10.6875"/>
    <n v="81428"/>
    <n v="0"/>
    <n v="1.8519000000000001"/>
  </r>
  <r>
    <n v="2330"/>
    <x v="1"/>
    <d v="2010-02-10T00:00:00"/>
    <x v="2"/>
    <x v="1"/>
    <n v="40.589300000000001"/>
    <n v="40.726900000000001"/>
    <n v="40.039000000000001"/>
    <n v="40.176600000000001"/>
    <n v="53809"/>
    <n v="-0.34189999999999998"/>
    <n v="1.7181999999999999"/>
  </r>
  <r>
    <n v="2303"/>
    <x v="0"/>
    <d v="2010-02-22T00:00:00"/>
    <x v="0"/>
    <x v="1"/>
    <n v="10.9177"/>
    <n v="10.983499999999999"/>
    <n v="10.6875"/>
    <n v="10.9177"/>
    <n v="61394"/>
    <n v="2.1309999999999998"/>
    <n v="2.7692000000000001"/>
  </r>
  <r>
    <n v="2330"/>
    <x v="1"/>
    <d v="2010-02-22T00:00:00"/>
    <x v="0"/>
    <x v="1"/>
    <n v="41.621299999999998"/>
    <n v="41.621299999999998"/>
    <n v="40.589300000000001"/>
    <n v="40.589300000000001"/>
    <n v="49684"/>
    <n v="1.0222"/>
    <n v="2.5424000000000002"/>
  </r>
  <r>
    <n v="2303"/>
    <x v="0"/>
    <d v="2010-02-23T00:00:00"/>
    <x v="1"/>
    <x v="1"/>
    <n v="10.523099999999999"/>
    <n v="10.7204"/>
    <n v="10.523099999999999"/>
    <n v="10.7204"/>
    <n v="69451"/>
    <n v="-1.8238000000000001"/>
    <n v="1.875"/>
  </r>
  <r>
    <n v="2330"/>
    <x v="1"/>
    <d v="2010-02-23T00:00:00"/>
    <x v="1"/>
    <x v="1"/>
    <n v="41.002099999999999"/>
    <n v="41.208500000000001"/>
    <n v="40.658099999999997"/>
    <n v="41.139699999999998"/>
    <n v="52030"/>
    <n v="1.3468"/>
    <n v="1.3535999999999999"/>
  </r>
  <r>
    <n v="2303"/>
    <x v="0"/>
    <d v="2010-02-24T00:00:00"/>
    <x v="2"/>
    <x v="1"/>
    <n v="10.621700000000001"/>
    <n v="10.621700000000001"/>
    <n v="10.391500000000001"/>
    <n v="10.4902"/>
    <n v="80917"/>
    <n v="-2.1705999999999999"/>
    <n v="2.2151999999999998"/>
  </r>
  <r>
    <n v="2330"/>
    <x v="1"/>
    <d v="2010-02-24T00:00:00"/>
    <x v="2"/>
    <x v="1"/>
    <n v="40.726900000000001"/>
    <n v="40.726900000000001"/>
    <n v="40.176600000000001"/>
    <n v="40.245399999999997"/>
    <n v="60489"/>
    <n v="-2.1979000000000002"/>
    <n v="1.3698999999999999"/>
  </r>
  <r>
    <n v="2303"/>
    <x v="0"/>
    <d v="2010-02-25T00:00:00"/>
    <x v="3"/>
    <x v="1"/>
    <n v="10.4902"/>
    <n v="10.4902"/>
    <n v="10.095599999999999"/>
    <n v="10.1942"/>
    <n v="122272"/>
    <n v="-2.8618999999999999"/>
    <n v="3.9087999999999998"/>
  </r>
  <r>
    <n v="2330"/>
    <x v="1"/>
    <d v="2010-02-25T00:00:00"/>
    <x v="3"/>
    <x v="1"/>
    <n v="40.245399999999997"/>
    <n v="40.520499999999998"/>
    <n v="39.832599999999999"/>
    <n v="40.039000000000001"/>
    <n v="57502"/>
    <n v="-0.5141"/>
    <n v="1.7271000000000001"/>
  </r>
  <r>
    <n v="2303"/>
    <x v="0"/>
    <d v="2010-02-26T00:00:00"/>
    <x v="4"/>
    <x v="1"/>
    <n v="10.128500000000001"/>
    <n v="10.1942"/>
    <n v="9.9969000000000001"/>
    <n v="10.1614"/>
    <n v="73356"/>
    <n v="-0.3231"/>
    <n v="1.9737"/>
  </r>
  <r>
    <n v="2330"/>
    <x v="1"/>
    <d v="2010-02-26T00:00:00"/>
    <x v="4"/>
    <x v="1"/>
    <n v="40.039000000000001"/>
    <n v="40.520499999999998"/>
    <n v="39.901400000000002"/>
    <n v="40.451799999999999"/>
    <n v="31376"/>
    <n v="1.0257000000000001"/>
    <n v="1.5517000000000001"/>
  </r>
  <r>
    <n v="2303"/>
    <x v="0"/>
    <d v="2010-03-01T00:00:00"/>
    <x v="0"/>
    <x v="2"/>
    <n v="10.2271"/>
    <n v="10.555999999999999"/>
    <n v="10.1614"/>
    <n v="10.523099999999999"/>
    <n v="66465"/>
    <n v="3.4980000000000002"/>
    <n v="3.8835000000000002"/>
  </r>
  <r>
    <n v="2330"/>
    <x v="1"/>
    <d v="2010-03-01T00:00:00"/>
    <x v="0"/>
    <x v="2"/>
    <n v="40.933300000000003"/>
    <n v="41.208500000000001"/>
    <n v="40.039000000000001"/>
    <n v="41.002099999999999"/>
    <n v="65860"/>
    <n v="1.3513999999999999"/>
    <n v="2.9209999999999998"/>
  </r>
  <r>
    <n v="2303"/>
    <x v="0"/>
    <d v="2010-03-02T00:00:00"/>
    <x v="1"/>
    <x v="2"/>
    <n v="10.555999999999999"/>
    <n v="10.588900000000001"/>
    <n v="10.325799999999999"/>
    <n v="10.358700000000001"/>
    <n v="55218"/>
    <n v="-1.5748"/>
    <n v="2.5478000000000001"/>
  </r>
  <r>
    <n v="2330"/>
    <x v="1"/>
    <d v="2010-03-02T00:00:00"/>
    <x v="1"/>
    <x v="2"/>
    <n v="41.621299999999998"/>
    <n v="41.621299999999998"/>
    <n v="40.933300000000003"/>
    <n v="41.208500000000001"/>
    <n v="54451"/>
    <n v="0.50209999999999999"/>
    <n v="1.6807000000000001"/>
  </r>
  <r>
    <n v="2303"/>
    <x v="0"/>
    <d v="2010-03-03T00:00:00"/>
    <x v="2"/>
    <x v="2"/>
    <n v="10.4244"/>
    <n v="10.4573"/>
    <n v="10.325799999999999"/>
    <n v="10.4573"/>
    <n v="40349"/>
    <n v="0.94789999999999996"/>
    <n v="1.2739"/>
  </r>
  <r>
    <n v="2330"/>
    <x v="1"/>
    <d v="2010-03-03T00:00:00"/>
    <x v="2"/>
    <x v="2"/>
    <n v="41.002099999999999"/>
    <n v="41.3461"/>
    <n v="41.002099999999999"/>
    <n v="41.277299999999997"/>
    <n v="34984"/>
    <n v="0.1668"/>
    <n v="0.83889999999999998"/>
  </r>
  <r>
    <n v="2303"/>
    <x v="0"/>
    <d v="2010-03-04T00:00:00"/>
    <x v="3"/>
    <x v="2"/>
    <n v="10.523099999999999"/>
    <n v="10.523099999999999"/>
    <n v="10.292899999999999"/>
    <n v="10.391500000000001"/>
    <n v="39247"/>
    <n v="-0.63090000000000002"/>
    <n v="2.2364000000000002"/>
  </r>
  <r>
    <n v="2330"/>
    <x v="1"/>
    <d v="2010-03-04T00:00:00"/>
    <x v="3"/>
    <x v="2"/>
    <n v="41.139699999999998"/>
    <n v="41.139699999999998"/>
    <n v="40.176600000000001"/>
    <n v="40.726900000000001"/>
    <n v="54471"/>
    <n v="-1.3423"/>
    <n v="2.3973"/>
  </r>
  <r>
    <n v="2303"/>
    <x v="0"/>
    <d v="2010-03-05T00:00:00"/>
    <x v="4"/>
    <x v="2"/>
    <n v="10.523099999999999"/>
    <n v="10.621700000000001"/>
    <n v="10.4573"/>
    <n v="10.588900000000001"/>
    <n v="61081"/>
    <n v="1.8809"/>
    <n v="1.5723"/>
  </r>
  <r>
    <n v="2330"/>
    <x v="1"/>
    <d v="2010-03-05T00:00:00"/>
    <x v="4"/>
    <x v="2"/>
    <n v="41.139699999999998"/>
    <n v="41.552500000000002"/>
    <n v="41.002099999999999"/>
    <n v="41.552500000000002"/>
    <n v="60054"/>
    <n v="2.0068000000000001"/>
    <n v="1.3423"/>
  </r>
  <r>
    <n v="2303"/>
    <x v="0"/>
    <d v="2010-03-08T00:00:00"/>
    <x v="0"/>
    <x v="2"/>
    <n v="10.6875"/>
    <n v="10.7204"/>
    <n v="10.555999999999999"/>
    <n v="10.6546"/>
    <n v="49332"/>
    <n v="0.61919999999999997"/>
    <n v="1.5576000000000001"/>
  </r>
  <r>
    <n v="2330"/>
    <x v="1"/>
    <d v="2010-03-08T00:00:00"/>
    <x v="0"/>
    <x v="2"/>
    <n v="41.896500000000003"/>
    <n v="42.102800000000002"/>
    <n v="41.690100000000001"/>
    <n v="42.102800000000002"/>
    <n v="44396"/>
    <n v="1.3158000000000001"/>
    <n v="0.99009999999999998"/>
  </r>
  <r>
    <n v="2303"/>
    <x v="0"/>
    <d v="2010-03-09T00:00:00"/>
    <x v="1"/>
    <x v="2"/>
    <n v="10.6875"/>
    <n v="10.753299999999999"/>
    <n v="10.523099999999999"/>
    <n v="10.753299999999999"/>
    <n v="54434"/>
    <n v="0.92169999999999996"/>
    <n v="2.1875"/>
  </r>
  <r>
    <n v="2330"/>
    <x v="1"/>
    <d v="2010-03-09T00:00:00"/>
    <x v="1"/>
    <x v="2"/>
    <n v="42.102800000000002"/>
    <n v="42.240400000000001"/>
    <n v="41.8277"/>
    <n v="42.171599999999998"/>
    <n v="31475"/>
    <n v="0.1633"/>
    <n v="0.98680000000000001"/>
  </r>
  <r>
    <n v="2303"/>
    <x v="0"/>
    <d v="2010-03-10T00:00:00"/>
    <x v="2"/>
    <x v="2"/>
    <n v="10.851900000000001"/>
    <n v="10.9177"/>
    <n v="10.786199999999999"/>
    <n v="10.9177"/>
    <n v="60376"/>
    <n v="1.5175000000000001"/>
    <n v="1.2195"/>
  </r>
  <r>
    <n v="2330"/>
    <x v="1"/>
    <d v="2010-03-10T00:00:00"/>
    <x v="2"/>
    <x v="2"/>
    <n v="42.171599999999998"/>
    <n v="42.240400000000001"/>
    <n v="41.8277"/>
    <n v="42.240400000000001"/>
    <n v="30588"/>
    <n v="0.16300000000000001"/>
    <n v="0.98680000000000001"/>
  </r>
  <r>
    <n v="2303"/>
    <x v="0"/>
    <d v="2010-03-11T00:00:00"/>
    <x v="3"/>
    <x v="2"/>
    <n v="10.983499999999999"/>
    <n v="11.082100000000001"/>
    <n v="10.8848"/>
    <n v="10.983499999999999"/>
    <n v="46081"/>
    <n v="0.60060000000000002"/>
    <n v="1.8127"/>
  </r>
  <r>
    <n v="2330"/>
    <x v="1"/>
    <d v="2010-03-11T00:00:00"/>
    <x v="3"/>
    <x v="2"/>
    <n v="42.378"/>
    <n v="42.515599999999999"/>
    <n v="42.102800000000002"/>
    <n v="42.240400000000001"/>
    <n v="30381"/>
    <n v="0"/>
    <n v="0.98040000000000005"/>
  </r>
  <r>
    <n v="2303"/>
    <x v="0"/>
    <d v="2010-03-12T00:00:00"/>
    <x v="4"/>
    <x v="2"/>
    <n v="10.983499999999999"/>
    <n v="11.016400000000001"/>
    <n v="10.851900000000001"/>
    <n v="11.016400000000001"/>
    <n v="28040"/>
    <n v="0.29899999999999999"/>
    <n v="1.5152000000000001"/>
  </r>
  <r>
    <n v="2330"/>
    <x v="1"/>
    <d v="2010-03-12T00:00:00"/>
    <x v="4"/>
    <x v="2"/>
    <n v="42.240400000000001"/>
    <n v="42.309199999999997"/>
    <n v="41.690100000000001"/>
    <n v="41.8277"/>
    <n v="69392"/>
    <n v="-0.98199999999999998"/>
    <n v="1.4851000000000001"/>
  </r>
  <r>
    <n v="2303"/>
    <x v="0"/>
    <d v="2010-03-15T00:00:00"/>
    <x v="0"/>
    <x v="2"/>
    <n v="10.9177"/>
    <n v="10.983499999999999"/>
    <n v="10.6875"/>
    <n v="10.7204"/>
    <n v="40635"/>
    <n v="-2.7233000000000001"/>
    <n v="2.7692000000000001"/>
  </r>
  <r>
    <n v="2330"/>
    <x v="1"/>
    <d v="2010-03-15T00:00:00"/>
    <x v="0"/>
    <x v="2"/>
    <n v="42.171599999999998"/>
    <n v="42.171599999999998"/>
    <n v="41.139699999999998"/>
    <n v="41.139699999999998"/>
    <n v="41567"/>
    <n v="-1.6584000000000001"/>
    <n v="2.5084"/>
  </r>
  <r>
    <n v="2303"/>
    <x v="0"/>
    <d v="2010-03-16T00:00:00"/>
    <x v="1"/>
    <x v="2"/>
    <n v="10.6546"/>
    <n v="10.851900000000001"/>
    <n v="10.621700000000001"/>
    <n v="10.851900000000001"/>
    <n v="33128"/>
    <n v="1.2195"/>
    <n v="2.1671999999999998"/>
  </r>
  <r>
    <n v="2330"/>
    <x v="1"/>
    <d v="2010-03-16T00:00:00"/>
    <x v="1"/>
    <x v="2"/>
    <n v="41.3461"/>
    <n v="41.414900000000003"/>
    <n v="41.070900000000002"/>
    <n v="41.070900000000002"/>
    <n v="29927"/>
    <n v="-0.16739999999999999"/>
    <n v="0.83750000000000002"/>
  </r>
  <r>
    <n v="2303"/>
    <x v="0"/>
    <d v="2010-03-17T00:00:00"/>
    <x v="2"/>
    <x v="2"/>
    <n v="10.983499999999999"/>
    <n v="11.049200000000001"/>
    <n v="10.851900000000001"/>
    <n v="11.049200000000001"/>
    <n v="57430"/>
    <n v="1.8019000000000001"/>
    <n v="1.8182"/>
  </r>
  <r>
    <n v="2330"/>
    <x v="1"/>
    <d v="2010-03-17T00:00:00"/>
    <x v="2"/>
    <x v="2"/>
    <n v="41.621299999999998"/>
    <n v="41.896500000000003"/>
    <n v="41.208500000000001"/>
    <n v="41.621299999999998"/>
    <n v="69118"/>
    <n v="1.3310999999999999"/>
    <n v="1.6694"/>
  </r>
  <r>
    <n v="2303"/>
    <x v="0"/>
    <d v="2010-03-18T00:00:00"/>
    <x v="3"/>
    <x v="2"/>
    <n v="11.049200000000001"/>
    <n v="11.115"/>
    <n v="10.9177"/>
    <n v="11.016400000000001"/>
    <n v="46556"/>
    <n v="-0.29809999999999998"/>
    <n v="1.8071999999999999"/>
  </r>
  <r>
    <n v="2330"/>
    <x v="1"/>
    <d v="2010-03-18T00:00:00"/>
    <x v="3"/>
    <x v="2"/>
    <n v="41.3461"/>
    <n v="41.690100000000001"/>
    <n v="41.277299999999997"/>
    <n v="41.552500000000002"/>
    <n v="70256"/>
    <n v="-0.16539999999999999"/>
    <n v="1"/>
  </r>
  <r>
    <n v="2303"/>
    <x v="0"/>
    <d v="2010-03-19T00:00:00"/>
    <x v="4"/>
    <x v="2"/>
    <n v="11.049200000000001"/>
    <n v="11.246600000000001"/>
    <n v="11.049200000000001"/>
    <n v="11.1479"/>
    <n v="47042"/>
    <n v="1.1870000000000001"/>
    <n v="1.7857000000000001"/>
  </r>
  <r>
    <n v="2330"/>
    <x v="1"/>
    <d v="2010-03-19T00:00:00"/>
    <x v="4"/>
    <x v="2"/>
    <n v="41.277299999999997"/>
    <n v="41.483699999999999"/>
    <n v="41.070900000000002"/>
    <n v="41.277299999999997"/>
    <n v="46018"/>
    <n v="-0.66449999999999998"/>
    <n v="1.0049999999999999"/>
  </r>
  <r>
    <n v="2303"/>
    <x v="0"/>
    <d v="2010-03-22T00:00:00"/>
    <x v="0"/>
    <x v="2"/>
    <n v="11.016400000000001"/>
    <n v="11.016400000000001"/>
    <n v="10.8848"/>
    <n v="11.016400000000001"/>
    <n v="38779"/>
    <n v="-1.1870000000000001"/>
    <n v="1.2084999999999999"/>
  </r>
  <r>
    <n v="2330"/>
    <x v="1"/>
    <d v="2010-03-22T00:00:00"/>
    <x v="0"/>
    <x v="2"/>
    <n v="41.002099999999999"/>
    <n v="41.002099999999999"/>
    <n v="40.451799999999999"/>
    <n v="40.589300000000001"/>
    <n v="47084"/>
    <n v="-1.6807000000000001"/>
    <n v="1.3605"/>
  </r>
  <r>
    <n v="2303"/>
    <x v="0"/>
    <d v="2010-03-23T00:00:00"/>
    <x v="1"/>
    <x v="2"/>
    <n v="11.115"/>
    <n v="11.115"/>
    <n v="10.8848"/>
    <n v="10.8848"/>
    <n v="30176"/>
    <n v="-1.2012"/>
    <n v="2.1147999999999998"/>
  </r>
  <r>
    <n v="2330"/>
    <x v="1"/>
    <d v="2010-03-23T00:00:00"/>
    <x v="1"/>
    <x v="2"/>
    <n v="40.933300000000003"/>
    <n v="41.3461"/>
    <n v="40.933300000000003"/>
    <n v="41.002099999999999"/>
    <n v="51751"/>
    <n v="1.0118"/>
    <n v="1.0084"/>
  </r>
  <r>
    <n v="2303"/>
    <x v="0"/>
    <d v="2010-03-24T00:00:00"/>
    <x v="2"/>
    <x v="2"/>
    <n v="11.082100000000001"/>
    <n v="11.115"/>
    <n v="11.016400000000001"/>
    <n v="11.016400000000001"/>
    <n v="31630"/>
    <n v="1.2012"/>
    <n v="0.89549999999999996"/>
  </r>
  <r>
    <n v="2330"/>
    <x v="1"/>
    <d v="2010-03-24T00:00:00"/>
    <x v="2"/>
    <x v="2"/>
    <n v="41.3461"/>
    <n v="41.8277"/>
    <n v="41.3461"/>
    <n v="41.690100000000001"/>
    <n v="48661"/>
    <n v="1.6638999999999999"/>
    <n v="1.1647000000000001"/>
  </r>
  <r>
    <n v="2303"/>
    <x v="0"/>
    <d v="2010-03-25T00:00:00"/>
    <x v="3"/>
    <x v="2"/>
    <n v="11.016400000000001"/>
    <n v="11.082100000000001"/>
    <n v="10.851900000000001"/>
    <n v="10.983499999999999"/>
    <n v="24779"/>
    <n v="-0.29899999999999999"/>
    <n v="2.1212"/>
  </r>
  <r>
    <n v="2330"/>
    <x v="1"/>
    <d v="2010-03-25T00:00:00"/>
    <x v="3"/>
    <x v="2"/>
    <n v="41.896500000000003"/>
    <n v="42.309199999999997"/>
    <n v="41.414900000000003"/>
    <n v="42.309199999999997"/>
    <n v="64155"/>
    <n v="1.4742"/>
    <n v="2.1595"/>
  </r>
  <r>
    <n v="2303"/>
    <x v="0"/>
    <d v="2010-03-26T00:00:00"/>
    <x v="4"/>
    <x v="2"/>
    <n v="10.9177"/>
    <n v="11.1808"/>
    <n v="10.851900000000001"/>
    <n v="11.1808"/>
    <n v="35100"/>
    <n v="1.7805"/>
    <n v="3.0303"/>
  </r>
  <r>
    <n v="2330"/>
    <x v="1"/>
    <d v="2010-03-26T00:00:00"/>
    <x v="4"/>
    <x v="2"/>
    <n v="42.171599999999998"/>
    <n v="42.653199999999998"/>
    <n v="41.483699999999999"/>
    <n v="42.653199999999998"/>
    <n v="81172"/>
    <n v="0.80969999999999998"/>
    <n v="2.8191999999999999"/>
  </r>
  <r>
    <n v="2303"/>
    <x v="0"/>
    <d v="2010-03-29T00:00:00"/>
    <x v="0"/>
    <x v="2"/>
    <n v="11.1808"/>
    <n v="11.213699999999999"/>
    <n v="11.016400000000001"/>
    <n v="11.016400000000001"/>
    <n v="45614"/>
    <n v="-1.4815"/>
    <n v="1.7909999999999999"/>
  </r>
  <r>
    <n v="2330"/>
    <x v="1"/>
    <d v="2010-03-29T00:00:00"/>
    <x v="0"/>
    <x v="2"/>
    <n v="42.653199999999998"/>
    <n v="42.8596"/>
    <n v="42.446800000000003"/>
    <n v="42.790799999999997"/>
    <n v="37559"/>
    <n v="0.3221"/>
    <n v="0.97240000000000004"/>
  </r>
  <r>
    <n v="2303"/>
    <x v="0"/>
    <d v="2010-03-30T00:00:00"/>
    <x v="1"/>
    <x v="2"/>
    <n v="11.082100000000001"/>
    <n v="11.082100000000001"/>
    <n v="11.016400000000001"/>
    <n v="11.049200000000001"/>
    <n v="23275"/>
    <n v="0.29809999999999998"/>
    <n v="0.59699999999999998"/>
  </r>
  <r>
    <n v="2330"/>
    <x v="1"/>
    <d v="2010-03-30T00:00:00"/>
    <x v="1"/>
    <x v="2"/>
    <n v="42.928400000000003"/>
    <n v="42.928400000000003"/>
    <n v="42.446800000000003"/>
    <n v="42.790799999999997"/>
    <n v="30055"/>
    <n v="0"/>
    <n v="1.1345000000000001"/>
  </r>
  <r>
    <n v="2303"/>
    <x v="0"/>
    <d v="2010-03-31T00:00:00"/>
    <x v="2"/>
    <x v="2"/>
    <n v="11.115"/>
    <n v="11.279400000000001"/>
    <n v="11.049200000000001"/>
    <n v="11.082100000000001"/>
    <n v="48935"/>
    <n v="0.29720000000000002"/>
    <n v="2.0832999999999999"/>
  </r>
  <r>
    <n v="2330"/>
    <x v="1"/>
    <d v="2010-03-31T00:00:00"/>
    <x v="2"/>
    <x v="2"/>
    <n v="42.790799999999997"/>
    <n v="42.790799999999997"/>
    <n v="42.309199999999997"/>
    <n v="42.309199999999997"/>
    <n v="39288"/>
    <n v="-1.1317999999999999"/>
    <n v="1.1382000000000001"/>
  </r>
  <r>
    <n v="2303"/>
    <x v="0"/>
    <d v="2010-04-01T00:00:00"/>
    <x v="3"/>
    <x v="3"/>
    <n v="11.082100000000001"/>
    <n v="11.246600000000001"/>
    <n v="11.049200000000001"/>
    <n v="11.115"/>
    <n v="53801"/>
    <n v="0.29630000000000001"/>
    <n v="1.7857000000000001"/>
  </r>
  <r>
    <n v="2330"/>
    <x v="1"/>
    <d v="2010-04-01T00:00:00"/>
    <x v="3"/>
    <x v="3"/>
    <n v="42.309199999999997"/>
    <n v="42.997199999999999"/>
    <n v="42.309199999999997"/>
    <n v="42.722000000000001"/>
    <n v="54739"/>
    <n v="0.97089999999999999"/>
    <n v="1.6259999999999999"/>
  </r>
  <r>
    <n v="2303"/>
    <x v="0"/>
    <d v="2010-04-02T00:00:00"/>
    <x v="4"/>
    <x v="3"/>
    <n v="11.115"/>
    <n v="11.1808"/>
    <n v="10.983499999999999"/>
    <n v="11.016400000000001"/>
    <n v="23279"/>
    <n v="-0.89149999999999996"/>
    <n v="1.7964"/>
  </r>
  <r>
    <n v="2330"/>
    <x v="1"/>
    <d v="2010-04-02T00:00:00"/>
    <x v="4"/>
    <x v="3"/>
    <n v="42.997199999999999"/>
    <n v="42.997199999999999"/>
    <n v="42.722000000000001"/>
    <n v="42.928400000000003"/>
    <n v="17373"/>
    <n v="0.4819"/>
    <n v="0.64410000000000001"/>
  </r>
  <r>
    <n v="2303"/>
    <x v="0"/>
    <d v="2010-04-06T00:00:00"/>
    <x v="1"/>
    <x v="3"/>
    <n v="11.082100000000001"/>
    <n v="11.279400000000001"/>
    <n v="11.082100000000001"/>
    <n v="11.213699999999999"/>
    <n v="44524"/>
    <n v="1.7751999999999999"/>
    <n v="1.7804"/>
  </r>
  <r>
    <n v="2330"/>
    <x v="1"/>
    <d v="2010-04-06T00:00:00"/>
    <x v="1"/>
    <x v="3"/>
    <n v="43.203600000000002"/>
    <n v="43.685099999999998"/>
    <n v="43.203600000000002"/>
    <n v="43.616300000000003"/>
    <n v="53216"/>
    <n v="1.5899000000000001"/>
    <n v="1.1146"/>
  </r>
  <r>
    <n v="2303"/>
    <x v="0"/>
    <d v="2010-04-07T00:00:00"/>
    <x v="2"/>
    <x v="3"/>
    <n v="11.246600000000001"/>
    <n v="11.3123"/>
    <n v="11.213699999999999"/>
    <n v="11.3123"/>
    <n v="29155"/>
    <n v="0.87590000000000001"/>
    <n v="0.87980000000000003"/>
  </r>
  <r>
    <n v="2330"/>
    <x v="1"/>
    <d v="2010-04-07T00:00:00"/>
    <x v="2"/>
    <x v="3"/>
    <n v="43.685099999999998"/>
    <n v="43.685099999999998"/>
    <n v="43.41"/>
    <n v="43.685099999999998"/>
    <n v="49685"/>
    <n v="0.15759999999999999"/>
    <n v="0.63390000000000002"/>
  </r>
  <r>
    <n v="2303"/>
    <x v="0"/>
    <d v="2010-04-08T00:00:00"/>
    <x v="3"/>
    <x v="3"/>
    <n v="11.3123"/>
    <n v="11.3452"/>
    <n v="11.213699999999999"/>
    <n v="11.213699999999999"/>
    <n v="34201"/>
    <n v="-0.87590000000000001"/>
    <n v="1.173"/>
  </r>
  <r>
    <n v="2330"/>
    <x v="1"/>
    <d v="2010-04-08T00:00:00"/>
    <x v="3"/>
    <x v="3"/>
    <n v="43.203600000000002"/>
    <n v="43.341200000000001"/>
    <n v="42.722000000000001"/>
    <n v="42.8596"/>
    <n v="48608"/>
    <n v="-1.9077999999999999"/>
    <n v="1.4493"/>
  </r>
  <r>
    <n v="2303"/>
    <x v="0"/>
    <d v="2010-04-09T00:00:00"/>
    <x v="4"/>
    <x v="3"/>
    <n v="11.3123"/>
    <n v="11.3123"/>
    <n v="11.115"/>
    <n v="11.1479"/>
    <n v="23996"/>
    <n v="-0.58819999999999995"/>
    <n v="1.7750999999999999"/>
  </r>
  <r>
    <n v="2330"/>
    <x v="1"/>
    <d v="2010-04-09T00:00:00"/>
    <x v="4"/>
    <x v="3"/>
    <n v="42.584400000000002"/>
    <n v="43.341200000000001"/>
    <n v="42.584400000000002"/>
    <n v="43.134799999999998"/>
    <n v="31648"/>
    <n v="0.64"/>
    <n v="1.7770999999999999"/>
  </r>
  <r>
    <n v="2303"/>
    <x v="0"/>
    <d v="2010-04-12T00:00:00"/>
    <x v="0"/>
    <x v="3"/>
    <n v="11.1808"/>
    <n v="11.1808"/>
    <n v="11.049200000000001"/>
    <n v="11.1479"/>
    <n v="16992"/>
    <n v="0"/>
    <n v="1.1904999999999999"/>
  </r>
  <r>
    <n v="2330"/>
    <x v="1"/>
    <d v="2010-04-12T00:00:00"/>
    <x v="0"/>
    <x v="3"/>
    <n v="43.547600000000003"/>
    <n v="43.616300000000003"/>
    <n v="43.203600000000002"/>
    <n v="43.41"/>
    <n v="36942"/>
    <n v="0.63590000000000002"/>
    <n v="0.95540000000000003"/>
  </r>
  <r>
    <n v="2303"/>
    <x v="0"/>
    <d v="2010-04-13T00:00:00"/>
    <x v="1"/>
    <x v="3"/>
    <n v="11.115"/>
    <n v="11.115"/>
    <n v="10.851900000000001"/>
    <n v="10.9177"/>
    <n v="38342"/>
    <n v="-2.0865"/>
    <n v="2.4241999999999999"/>
  </r>
  <r>
    <n v="2330"/>
    <x v="1"/>
    <d v="2010-04-13T00:00:00"/>
    <x v="1"/>
    <x v="3"/>
    <n v="43.341200000000001"/>
    <n v="43.41"/>
    <n v="42.722000000000001"/>
    <n v="43.272399999999998"/>
    <n v="42767"/>
    <n v="-0.3175"/>
    <n v="1.6103000000000001"/>
  </r>
  <r>
    <n v="2303"/>
    <x v="0"/>
    <d v="2010-04-14T00:00:00"/>
    <x v="2"/>
    <x v="3"/>
    <n v="10.983499999999999"/>
    <n v="11.016400000000001"/>
    <n v="10.753299999999999"/>
    <n v="10.9506"/>
    <n v="29363"/>
    <n v="0.30080000000000001"/>
    <n v="2.4464999999999999"/>
  </r>
  <r>
    <n v="2330"/>
    <x v="1"/>
    <d v="2010-04-14T00:00:00"/>
    <x v="2"/>
    <x v="3"/>
    <n v="43.41"/>
    <n v="43.891500000000001"/>
    <n v="43.272399999999998"/>
    <n v="43.891500000000001"/>
    <n v="55676"/>
    <n v="1.4207000000000001"/>
    <n v="1.4308000000000001"/>
  </r>
  <r>
    <n v="2303"/>
    <x v="0"/>
    <d v="2010-04-15T00:00:00"/>
    <x v="3"/>
    <x v="3"/>
    <n v="11.115"/>
    <n v="11.1479"/>
    <n v="10.851900000000001"/>
    <n v="10.9177"/>
    <n v="57329"/>
    <n v="-0.30080000000000001"/>
    <n v="2.7273000000000001"/>
  </r>
  <r>
    <n v="2330"/>
    <x v="1"/>
    <d v="2010-04-15T00:00:00"/>
    <x v="3"/>
    <x v="3"/>
    <n v="44.373100000000001"/>
    <n v="44.648299999999999"/>
    <n v="44.0291"/>
    <n v="44.304299999999998"/>
    <n v="72063"/>
    <n v="0.93600000000000005"/>
    <n v="1.4063000000000001"/>
  </r>
  <r>
    <n v="2303"/>
    <x v="0"/>
    <d v="2010-04-16T00:00:00"/>
    <x v="4"/>
    <x v="3"/>
    <n v="10.9177"/>
    <n v="10.983499999999999"/>
    <n v="10.851900000000001"/>
    <n v="10.983499999999999"/>
    <n v="27518"/>
    <n v="0.60060000000000002"/>
    <n v="1.2121"/>
  </r>
  <r>
    <n v="2330"/>
    <x v="1"/>
    <d v="2010-04-16T00:00:00"/>
    <x v="4"/>
    <x v="3"/>
    <n v="43.753900000000002"/>
    <n v="43.822699999999998"/>
    <n v="43.272399999999998"/>
    <n v="43.341200000000001"/>
    <n v="49739"/>
    <n v="-2.1979000000000002"/>
    <n v="1.2719"/>
  </r>
  <r>
    <n v="2303"/>
    <x v="0"/>
    <d v="2010-04-19T00:00:00"/>
    <x v="0"/>
    <x v="3"/>
    <n v="10.786199999999999"/>
    <n v="10.819000000000001"/>
    <n v="10.621700000000001"/>
    <n v="10.6546"/>
    <n v="45741"/>
    <n v="-3.0396999999999998"/>
    <n v="1.8575999999999999"/>
  </r>
  <r>
    <n v="2330"/>
    <x v="1"/>
    <d v="2010-04-19T00:00:00"/>
    <x v="0"/>
    <x v="3"/>
    <n v="42.997199999999999"/>
    <n v="43.4788"/>
    <n v="42.928400000000003"/>
    <n v="43.066000000000003"/>
    <n v="71160"/>
    <n v="-0.63690000000000002"/>
    <n v="1.2821"/>
  </r>
  <r>
    <n v="2303"/>
    <x v="0"/>
    <d v="2010-04-20T00:00:00"/>
    <x v="1"/>
    <x v="3"/>
    <n v="10.786199999999999"/>
    <n v="10.819000000000001"/>
    <n v="10.6546"/>
    <n v="10.753299999999999"/>
    <n v="21969"/>
    <n v="0.92169999999999996"/>
    <n v="1.5431999999999999"/>
  </r>
  <r>
    <n v="2330"/>
    <x v="1"/>
    <d v="2010-04-20T00:00:00"/>
    <x v="1"/>
    <x v="3"/>
    <n v="43.272399999999998"/>
    <n v="43.341200000000001"/>
    <n v="42.928400000000003"/>
    <n v="43.203600000000002"/>
    <n v="37544"/>
    <n v="0.31900000000000001"/>
    <n v="0.96150000000000002"/>
  </r>
  <r>
    <n v="2303"/>
    <x v="0"/>
    <d v="2010-04-21T00:00:00"/>
    <x v="2"/>
    <x v="3"/>
    <n v="10.753299999999999"/>
    <n v="10.851900000000001"/>
    <n v="10.7204"/>
    <n v="10.753299999999999"/>
    <n v="36412"/>
    <n v="0"/>
    <n v="1.2270000000000001"/>
  </r>
  <r>
    <n v="2330"/>
    <x v="1"/>
    <d v="2010-04-21T00:00:00"/>
    <x v="2"/>
    <x v="3"/>
    <n v="43.272399999999998"/>
    <n v="43.41"/>
    <n v="42.8596"/>
    <n v="42.928400000000003"/>
    <n v="46602"/>
    <n v="-0.63900000000000001"/>
    <n v="1.2841"/>
  </r>
  <r>
    <n v="2303"/>
    <x v="0"/>
    <d v="2010-04-22T00:00:00"/>
    <x v="3"/>
    <x v="3"/>
    <n v="10.6546"/>
    <n v="10.753299999999999"/>
    <n v="10.621700000000001"/>
    <n v="10.6875"/>
    <n v="26673"/>
    <n v="-0.61350000000000005"/>
    <n v="1.2383999999999999"/>
  </r>
  <r>
    <n v="2330"/>
    <x v="1"/>
    <d v="2010-04-22T00:00:00"/>
    <x v="3"/>
    <x v="3"/>
    <n v="42.515599999999999"/>
    <n v="42.515599999999999"/>
    <n v="41.8277"/>
    <n v="42.378"/>
    <n v="92244"/>
    <n v="-1.2903"/>
    <n v="1.6447000000000001"/>
  </r>
  <r>
    <n v="2303"/>
    <x v="0"/>
    <d v="2010-04-23T00:00:00"/>
    <x v="4"/>
    <x v="3"/>
    <n v="10.819000000000001"/>
    <n v="10.819000000000001"/>
    <n v="10.6546"/>
    <n v="10.6546"/>
    <n v="24184"/>
    <n v="-0.30819999999999997"/>
    <n v="1.5431999999999999"/>
  </r>
  <r>
    <n v="2330"/>
    <x v="1"/>
    <d v="2010-04-23T00:00:00"/>
    <x v="4"/>
    <x v="3"/>
    <n v="42.584400000000002"/>
    <n v="42.928400000000003"/>
    <n v="42.378"/>
    <n v="42.446800000000003"/>
    <n v="48952"/>
    <n v="0.16220000000000001"/>
    <n v="1.2987"/>
  </r>
  <r>
    <n v="2303"/>
    <x v="0"/>
    <d v="2010-04-26T00:00:00"/>
    <x v="0"/>
    <x v="3"/>
    <n v="10.786199999999999"/>
    <n v="11.1808"/>
    <n v="10.786199999999999"/>
    <n v="11.049200000000001"/>
    <n v="73063"/>
    <n v="3.6368"/>
    <n v="3.6585000000000001"/>
  </r>
  <r>
    <n v="2330"/>
    <x v="1"/>
    <d v="2010-04-26T00:00:00"/>
    <x v="0"/>
    <x v="3"/>
    <n v="42.928400000000003"/>
    <n v="43.753900000000002"/>
    <n v="42.928400000000003"/>
    <n v="43.685099999999998"/>
    <n v="67547"/>
    <n v="2.8755999999999999"/>
    <n v="1.9231"/>
  </r>
  <r>
    <n v="2303"/>
    <x v="0"/>
    <d v="2010-04-27T00:00:00"/>
    <x v="1"/>
    <x v="3"/>
    <n v="11.049200000000001"/>
    <n v="11.082100000000001"/>
    <n v="10.9177"/>
    <n v="10.9506"/>
    <n v="44909"/>
    <n v="-0.89690000000000003"/>
    <n v="1.506"/>
  </r>
  <r>
    <n v="2330"/>
    <x v="1"/>
    <d v="2010-04-27T00:00:00"/>
    <x v="1"/>
    <x v="3"/>
    <n v="43.685099999999998"/>
    <n v="43.822699999999998"/>
    <n v="43.41"/>
    <n v="43.822699999999998"/>
    <n v="25421"/>
    <n v="0.3145"/>
    <n v="0.95089999999999997"/>
  </r>
  <r>
    <n v="2303"/>
    <x v="0"/>
    <d v="2010-04-28T00:00:00"/>
    <x v="2"/>
    <x v="3"/>
    <n v="10.6546"/>
    <n v="10.819000000000001"/>
    <n v="10.6546"/>
    <n v="10.786199999999999"/>
    <n v="51366"/>
    <n v="-1.5128999999999999"/>
    <n v="1.5431999999999999"/>
  </r>
  <r>
    <n v="2330"/>
    <x v="1"/>
    <d v="2010-04-28T00:00:00"/>
    <x v="2"/>
    <x v="3"/>
    <n v="42.722000000000001"/>
    <n v="43.066000000000003"/>
    <n v="42.653199999999998"/>
    <n v="42.722000000000001"/>
    <n v="73211"/>
    <n v="-2.5438999999999998"/>
    <n v="0.9677"/>
  </r>
  <r>
    <n v="2303"/>
    <x v="0"/>
    <d v="2010-04-29T00:00:00"/>
    <x v="3"/>
    <x v="3"/>
    <n v="10.753299999999999"/>
    <n v="10.753299999999999"/>
    <n v="10.555999999999999"/>
    <n v="10.588900000000001"/>
    <n v="53507"/>
    <n v="-1.8462000000000001"/>
    <n v="1.8692"/>
  </r>
  <r>
    <n v="2330"/>
    <x v="1"/>
    <d v="2010-04-29T00:00:00"/>
    <x v="3"/>
    <x v="3"/>
    <n v="42.790799999999997"/>
    <n v="42.790799999999997"/>
    <n v="42.378"/>
    <n v="42.378"/>
    <n v="41236"/>
    <n v="-0.80840000000000001"/>
    <n v="0.97399999999999998"/>
  </r>
  <r>
    <n v="2303"/>
    <x v="0"/>
    <d v="2010-04-30T00:00:00"/>
    <x v="4"/>
    <x v="3"/>
    <n v="10.6546"/>
    <n v="10.786199999999999"/>
    <n v="10.4902"/>
    <n v="10.523099999999999"/>
    <n v="55997"/>
    <n v="-0.62309999999999999"/>
    <n v="2.8212999999999999"/>
  </r>
  <r>
    <n v="2330"/>
    <x v="1"/>
    <d v="2010-04-30T00:00:00"/>
    <x v="4"/>
    <x v="3"/>
    <n v="42.515599999999999"/>
    <n v="43.134799999999998"/>
    <n v="42.515599999999999"/>
    <n v="42.515599999999999"/>
    <n v="43450"/>
    <n v="0.3241"/>
    <n v="1.4562999999999999"/>
  </r>
  <r>
    <n v="2303"/>
    <x v="0"/>
    <d v="2010-05-03T00:00:00"/>
    <x v="0"/>
    <x v="4"/>
    <n v="10.4573"/>
    <n v="10.523099999999999"/>
    <n v="10.325799999999999"/>
    <n v="10.391500000000001"/>
    <n v="29139"/>
    <n v="-1.2579"/>
    <n v="1.9108000000000001"/>
  </r>
  <r>
    <n v="2330"/>
    <x v="1"/>
    <d v="2010-05-03T00:00:00"/>
    <x v="0"/>
    <x v="4"/>
    <n v="43.066000000000003"/>
    <n v="43.066000000000003"/>
    <n v="42.240400000000001"/>
    <n v="42.378"/>
    <n v="22439"/>
    <n v="-0.3241"/>
    <n v="1.9543999999999999"/>
  </r>
  <r>
    <n v="2303"/>
    <x v="0"/>
    <d v="2010-05-04T00:00:00"/>
    <x v="1"/>
    <x v="4"/>
    <n v="10.4902"/>
    <n v="10.4902"/>
    <n v="10.2271"/>
    <n v="10.292899999999999"/>
    <n v="39539"/>
    <n v="-0.95389999999999997"/>
    <n v="2.5722999999999998"/>
  </r>
  <r>
    <n v="2330"/>
    <x v="1"/>
    <d v="2010-05-04T00:00:00"/>
    <x v="1"/>
    <x v="4"/>
    <n v="42.584400000000002"/>
    <n v="42.653199999999998"/>
    <n v="41.8277"/>
    <n v="41.965299999999999"/>
    <n v="38777"/>
    <n v="-0.9788"/>
    <n v="1.9737"/>
  </r>
  <r>
    <n v="2303"/>
    <x v="0"/>
    <d v="2010-05-05T00:00:00"/>
    <x v="2"/>
    <x v="4"/>
    <n v="10.0627"/>
    <n v="10.0627"/>
    <n v="9.6681000000000008"/>
    <n v="9.6681000000000008"/>
    <n v="136550"/>
    <n v="-6.2622999999999998"/>
    <n v="4.0815999999999999"/>
  </r>
  <r>
    <n v="2330"/>
    <x v="1"/>
    <d v="2010-05-05T00:00:00"/>
    <x v="2"/>
    <x v="4"/>
    <n v="41.208500000000001"/>
    <n v="41.414900000000003"/>
    <n v="41.139699999999998"/>
    <n v="41.139699999999998"/>
    <n v="94194"/>
    <n v="-1.9867999999999999"/>
    <n v="0.66890000000000005"/>
  </r>
  <r>
    <n v="2303"/>
    <x v="0"/>
    <d v="2010-05-06T00:00:00"/>
    <x v="3"/>
    <x v="4"/>
    <n v="9.6681000000000008"/>
    <n v="9.9312000000000005"/>
    <n v="9.6681000000000008"/>
    <n v="9.7010000000000005"/>
    <n v="76812"/>
    <n v="0.33960000000000001"/>
    <n v="2.7210999999999999"/>
  </r>
  <r>
    <n v="2330"/>
    <x v="1"/>
    <d v="2010-05-06T00:00:00"/>
    <x v="3"/>
    <x v="4"/>
    <n v="41.139699999999998"/>
    <n v="41.208500000000001"/>
    <n v="40.726900000000001"/>
    <n v="40.933300000000003"/>
    <n v="52111"/>
    <n v="-0.50290000000000001"/>
    <n v="1.1823999999999999"/>
  </r>
  <r>
    <n v="2303"/>
    <x v="0"/>
    <d v="2010-05-07T00:00:00"/>
    <x v="4"/>
    <x v="4"/>
    <n v="9.6022999999999996"/>
    <n v="9.7995999999999999"/>
    <n v="9.5037000000000003"/>
    <n v="9.7339000000000002"/>
    <n v="58276"/>
    <n v="0.33839999999999998"/>
    <n v="3.1141999999999999"/>
  </r>
  <r>
    <n v="2330"/>
    <x v="1"/>
    <d v="2010-05-07T00:00:00"/>
    <x v="4"/>
    <x v="4"/>
    <n v="40.3142"/>
    <n v="41.3461"/>
    <n v="40.245399999999997"/>
    <n v="40.8645"/>
    <n v="61576"/>
    <n v="-0.16819999999999999"/>
    <n v="2.7349999999999999"/>
  </r>
  <r>
    <n v="2303"/>
    <x v="0"/>
    <d v="2010-05-10T00:00:00"/>
    <x v="0"/>
    <x v="4"/>
    <n v="9.8653999999999993"/>
    <n v="9.9312000000000005"/>
    <n v="9.7995999999999999"/>
    <n v="9.8653999999999993"/>
    <n v="43910"/>
    <n v="1.3423"/>
    <n v="1.3423"/>
  </r>
  <r>
    <n v="2330"/>
    <x v="1"/>
    <d v="2010-05-10T00:00:00"/>
    <x v="0"/>
    <x v="4"/>
    <n v="40.8645"/>
    <n v="41.277299999999997"/>
    <n v="40.589300000000001"/>
    <n v="41.139699999999998"/>
    <n v="56310"/>
    <n v="0.67110000000000003"/>
    <n v="1.6949000000000001"/>
  </r>
  <r>
    <n v="2303"/>
    <x v="0"/>
    <d v="2010-05-11T00:00:00"/>
    <x v="1"/>
    <x v="4"/>
    <n v="10.128500000000001"/>
    <n v="10.128500000000001"/>
    <n v="9.8653999999999993"/>
    <n v="9.9312000000000005"/>
    <n v="87477"/>
    <n v="0.66449999999999998"/>
    <n v="2.6667000000000001"/>
  </r>
  <r>
    <n v="2330"/>
    <x v="1"/>
    <d v="2010-05-11T00:00:00"/>
    <x v="1"/>
    <x v="4"/>
    <n v="41.552500000000002"/>
    <n v="41.690100000000001"/>
    <n v="41.208500000000001"/>
    <n v="41.3461"/>
    <n v="69348"/>
    <n v="0.50039999999999996"/>
    <n v="1.1686000000000001"/>
  </r>
  <r>
    <n v="2303"/>
    <x v="0"/>
    <d v="2010-05-12T00:00:00"/>
    <x v="2"/>
    <x v="4"/>
    <n v="10.0627"/>
    <n v="10.0627"/>
    <n v="9.7667000000000002"/>
    <n v="9.7995999999999999"/>
    <n v="39779"/>
    <n v="-1.3333999999999999"/>
    <n v="3.0303"/>
  </r>
  <r>
    <n v="2330"/>
    <x v="1"/>
    <d v="2010-05-12T00:00:00"/>
    <x v="2"/>
    <x v="4"/>
    <n v="41.965299999999999"/>
    <n v="41.965299999999999"/>
    <n v="41.277299999999997"/>
    <n v="41.3461"/>
    <n v="27731"/>
    <n v="0"/>
    <n v="1.6667000000000001"/>
  </r>
  <r>
    <n v="2303"/>
    <x v="0"/>
    <d v="2010-05-13T00:00:00"/>
    <x v="3"/>
    <x v="4"/>
    <n v="9.9969000000000001"/>
    <n v="10.095599999999999"/>
    <n v="9.9312000000000005"/>
    <n v="10.0627"/>
    <n v="40206"/>
    <n v="2.6492"/>
    <n v="1.6556"/>
  </r>
  <r>
    <n v="2330"/>
    <x v="1"/>
    <d v="2010-05-13T00:00:00"/>
    <x v="3"/>
    <x v="4"/>
    <n v="41.690100000000001"/>
    <n v="42.309199999999997"/>
    <n v="41.621299999999998"/>
    <n v="42.102800000000002"/>
    <n v="39908"/>
    <n v="1.8137000000000001"/>
    <n v="1.6529"/>
  </r>
  <r>
    <n v="2303"/>
    <x v="0"/>
    <d v="2010-05-14T00:00:00"/>
    <x v="4"/>
    <x v="4"/>
    <n v="9.9969000000000001"/>
    <n v="10.0627"/>
    <n v="9.9969000000000001"/>
    <n v="9.9969000000000001"/>
    <n v="23771"/>
    <n v="-0.65569999999999995"/>
    <n v="0.65790000000000004"/>
  </r>
  <r>
    <n v="2330"/>
    <x v="1"/>
    <d v="2010-05-14T00:00:00"/>
    <x v="4"/>
    <x v="4"/>
    <n v="41.758899999999997"/>
    <n v="42.309199999999997"/>
    <n v="41.621299999999998"/>
    <n v="42.102800000000002"/>
    <n v="35601"/>
    <n v="0"/>
    <n v="1.6529"/>
  </r>
  <r>
    <n v="2303"/>
    <x v="0"/>
    <d v="2010-05-17T00:00:00"/>
    <x v="0"/>
    <x v="4"/>
    <n v="9.8653999999999993"/>
    <n v="9.8983000000000008"/>
    <n v="9.6681000000000008"/>
    <n v="9.7995999999999999"/>
    <n v="41930"/>
    <n v="-1.9934000000000001"/>
    <n v="2.3809999999999998"/>
  </r>
  <r>
    <n v="2330"/>
    <x v="1"/>
    <d v="2010-05-17T00:00:00"/>
    <x v="0"/>
    <x v="4"/>
    <n v="41.621299999999998"/>
    <n v="41.621299999999998"/>
    <n v="40.658099999999997"/>
    <n v="40.726900000000001"/>
    <n v="73215"/>
    <n v="-3.3226"/>
    <n v="2.3689"/>
  </r>
  <r>
    <n v="2303"/>
    <x v="0"/>
    <d v="2010-05-18T00:00:00"/>
    <x v="1"/>
    <x v="4"/>
    <n v="9.7995999999999999"/>
    <n v="9.8653999999999993"/>
    <n v="9.6681000000000008"/>
    <n v="9.6681000000000008"/>
    <n v="34086"/>
    <n v="-1.3513999999999999"/>
    <n v="2.0407999999999999"/>
  </r>
  <r>
    <n v="2330"/>
    <x v="1"/>
    <d v="2010-05-18T00:00:00"/>
    <x v="1"/>
    <x v="4"/>
    <n v="41.002099999999999"/>
    <n v="41.277299999999997"/>
    <n v="40.8645"/>
    <n v="40.933300000000003"/>
    <n v="30477"/>
    <n v="0.50549999999999995"/>
    <n v="1.0101"/>
  </r>
  <r>
    <n v="2303"/>
    <x v="0"/>
    <d v="2010-05-19T00:00:00"/>
    <x v="2"/>
    <x v="4"/>
    <n v="9.5365000000000002"/>
    <n v="9.6022999999999996"/>
    <n v="9.4049999999999994"/>
    <n v="9.5037000000000003"/>
    <n v="50219"/>
    <n v="-1.7153"/>
    <n v="2.0979000000000001"/>
  </r>
  <r>
    <n v="2330"/>
    <x v="1"/>
    <d v="2010-05-19T00:00:00"/>
    <x v="2"/>
    <x v="4"/>
    <n v="40.589300000000001"/>
    <n v="41.002099999999999"/>
    <n v="40.3142"/>
    <n v="40.795699999999997"/>
    <n v="51605"/>
    <n v="-0.3367"/>
    <n v="1.7064999999999999"/>
  </r>
  <r>
    <n v="2303"/>
    <x v="0"/>
    <d v="2010-05-20T00:00:00"/>
    <x v="3"/>
    <x v="4"/>
    <n v="9.5365000000000002"/>
    <n v="9.5693999999999999"/>
    <n v="9.2077000000000009"/>
    <n v="9.2077000000000009"/>
    <n v="80716"/>
    <n v="-3.1637"/>
    <n v="3.9285999999999999"/>
  </r>
  <r>
    <n v="2330"/>
    <x v="1"/>
    <d v="2010-05-20T00:00:00"/>
    <x v="3"/>
    <x v="4"/>
    <n v="40.933300000000003"/>
    <n v="41.070900000000002"/>
    <n v="40.520499999999998"/>
    <n v="40.520499999999998"/>
    <n v="31740"/>
    <n v="-0.67679999999999996"/>
    <n v="1.3582000000000001"/>
  </r>
  <r>
    <n v="2303"/>
    <x v="0"/>
    <d v="2010-05-21T00:00:00"/>
    <x v="4"/>
    <x v="4"/>
    <n v="8.9445999999999994"/>
    <n v="9.3391999999999999"/>
    <n v="8.8788999999999998"/>
    <n v="9.2077000000000009"/>
    <n v="46456"/>
    <n v="0"/>
    <n v="5.1852"/>
  </r>
  <r>
    <n v="2330"/>
    <x v="1"/>
    <d v="2010-05-21T00:00:00"/>
    <x v="4"/>
    <x v="4"/>
    <n v="40.107799999999997"/>
    <n v="40.658099999999997"/>
    <n v="39.832599999999999"/>
    <n v="40.451799999999999"/>
    <n v="46257"/>
    <n v="-0.1699"/>
    <n v="2.0724999999999998"/>
  </r>
  <r>
    <n v="2303"/>
    <x v="0"/>
    <d v="2010-05-24T00:00:00"/>
    <x v="0"/>
    <x v="4"/>
    <n v="9.4379000000000008"/>
    <n v="9.4708000000000006"/>
    <n v="9.3391999999999999"/>
    <n v="9.4049999999999994"/>
    <n v="47786"/>
    <n v="2.1202000000000001"/>
    <n v="1.4085000000000001"/>
  </r>
  <r>
    <n v="2330"/>
    <x v="1"/>
    <d v="2010-05-24T00:00:00"/>
    <x v="0"/>
    <x v="4"/>
    <n v="41.002099999999999"/>
    <n v="41.002099999999999"/>
    <n v="40.383000000000003"/>
    <n v="40.589300000000001"/>
    <n v="19317"/>
    <n v="0.33960000000000001"/>
    <n v="1.5331999999999999"/>
  </r>
  <r>
    <n v="2303"/>
    <x v="0"/>
    <d v="2010-05-25T00:00:00"/>
    <x v="1"/>
    <x v="4"/>
    <n v="9.2077000000000009"/>
    <n v="9.2406000000000006"/>
    <n v="9.0762"/>
    <n v="9.0762"/>
    <n v="39108"/>
    <n v="-3.5590999999999999"/>
    <n v="1.8116000000000001"/>
  </r>
  <r>
    <n v="2330"/>
    <x v="1"/>
    <d v="2010-05-25T00:00:00"/>
    <x v="1"/>
    <x v="4"/>
    <n v="40.451799999999999"/>
    <n v="40.520499999999998"/>
    <n v="39.970199999999998"/>
    <n v="40.176600000000001"/>
    <n v="51282"/>
    <n v="-1.0222"/>
    <n v="1.3769"/>
  </r>
  <r>
    <n v="2303"/>
    <x v="0"/>
    <d v="2010-05-26T00:00:00"/>
    <x v="2"/>
    <x v="4"/>
    <n v="9.2406000000000006"/>
    <n v="9.3064"/>
    <n v="9.1747999999999994"/>
    <n v="9.2077000000000009"/>
    <n v="33503"/>
    <n v="1.4389000000000001"/>
    <n v="1.4337"/>
  </r>
  <r>
    <n v="2330"/>
    <x v="1"/>
    <d v="2010-05-26T00:00:00"/>
    <x v="2"/>
    <x v="4"/>
    <n v="40.520499999999998"/>
    <n v="40.589300000000001"/>
    <n v="40.245399999999997"/>
    <n v="40.520499999999998"/>
    <n v="42971"/>
    <n v="0.85250000000000004"/>
    <n v="0.85470000000000002"/>
  </r>
  <r>
    <n v="2303"/>
    <x v="0"/>
    <d v="2010-05-27T00:00:00"/>
    <x v="3"/>
    <x v="4"/>
    <n v="9.2077000000000009"/>
    <n v="9.3391999999999999"/>
    <n v="9.0762"/>
    <n v="9.2735000000000003"/>
    <n v="28136"/>
    <n v="0.7117"/>
    <n v="2.8986000000000001"/>
  </r>
  <r>
    <n v="2330"/>
    <x v="1"/>
    <d v="2010-05-27T00:00:00"/>
    <x v="3"/>
    <x v="4"/>
    <n v="40.245399999999997"/>
    <n v="40.795699999999997"/>
    <n v="39.695"/>
    <n v="40.383000000000003"/>
    <n v="55503"/>
    <n v="-0.34010000000000001"/>
    <n v="2.7730000000000001"/>
  </r>
  <r>
    <n v="2303"/>
    <x v="0"/>
    <d v="2010-05-28T00:00:00"/>
    <x v="4"/>
    <x v="4"/>
    <n v="9.4708000000000006"/>
    <n v="9.6022999999999996"/>
    <n v="9.3720999999999997"/>
    <n v="9.4379000000000008"/>
    <n v="45369"/>
    <n v="1.7575000000000001"/>
    <n v="2.4561000000000002"/>
  </r>
  <r>
    <n v="2330"/>
    <x v="1"/>
    <d v="2010-05-28T00:00:00"/>
    <x v="4"/>
    <x v="4"/>
    <n v="40.520499999999998"/>
    <n v="40.8645"/>
    <n v="40.107799999999997"/>
    <n v="40.383000000000003"/>
    <n v="61148"/>
    <n v="0"/>
    <n v="1.8868"/>
  </r>
  <r>
    <n v="2303"/>
    <x v="0"/>
    <d v="2010-05-31T00:00:00"/>
    <x v="0"/>
    <x v="4"/>
    <n v="9.6022999999999996"/>
    <n v="9.9312000000000005"/>
    <n v="9.4708000000000006"/>
    <n v="9.9312000000000005"/>
    <n v="49003"/>
    <n v="5.0945"/>
    <n v="4.8611000000000004"/>
  </r>
  <r>
    <n v="2330"/>
    <x v="1"/>
    <d v="2010-05-31T00:00:00"/>
    <x v="0"/>
    <x v="4"/>
    <n v="40.658099999999997"/>
    <n v="41.414900000000003"/>
    <n v="40.451799999999999"/>
    <n v="41.414900000000003"/>
    <n v="25401"/>
    <n v="2.5232999999999999"/>
    <n v="2.3809999999999998"/>
  </r>
  <r>
    <n v="2303"/>
    <x v="0"/>
    <d v="2010-06-01T00:00:00"/>
    <x v="1"/>
    <x v="5"/>
    <n v="9.8653999999999993"/>
    <n v="9.8653999999999993"/>
    <n v="9.6681000000000008"/>
    <n v="9.7339000000000002"/>
    <n v="32260"/>
    <n v="-2.0068000000000001"/>
    <n v="2.0407999999999999"/>
  </r>
  <r>
    <n v="2330"/>
    <x v="1"/>
    <d v="2010-06-01T00:00:00"/>
    <x v="1"/>
    <x v="5"/>
    <n v="41.208500000000001"/>
    <n v="41.277299999999997"/>
    <n v="40.726900000000001"/>
    <n v="41.139699999999998"/>
    <n v="28375"/>
    <n v="-0.66669999999999996"/>
    <n v="1.3513999999999999"/>
  </r>
  <r>
    <n v="2303"/>
    <x v="0"/>
    <d v="2010-06-02T00:00:00"/>
    <x v="2"/>
    <x v="5"/>
    <n v="9.4379000000000008"/>
    <n v="9.7010000000000005"/>
    <n v="9.4379000000000008"/>
    <n v="9.4708000000000006"/>
    <n v="52311"/>
    <n v="-2.7399"/>
    <n v="2.7875000000000001"/>
  </r>
  <r>
    <n v="2330"/>
    <x v="1"/>
    <d v="2010-06-02T00:00:00"/>
    <x v="2"/>
    <x v="5"/>
    <n v="41.139699999999998"/>
    <n v="41.552500000000002"/>
    <n v="40.795699999999997"/>
    <n v="41.139699999999998"/>
    <n v="35323"/>
    <n v="0"/>
    <n v="1.855"/>
  </r>
  <r>
    <n v="2303"/>
    <x v="0"/>
    <d v="2010-06-03T00:00:00"/>
    <x v="3"/>
    <x v="5"/>
    <n v="9.7339000000000002"/>
    <n v="9.8324999999999996"/>
    <n v="9.6351999999999993"/>
    <n v="9.7995999999999999"/>
    <n v="40879"/>
    <n v="3.4133"/>
    <n v="2.0478000000000001"/>
  </r>
  <r>
    <n v="2330"/>
    <x v="1"/>
    <d v="2010-06-03T00:00:00"/>
    <x v="3"/>
    <x v="5"/>
    <n v="41.8277"/>
    <n v="41.965299999999999"/>
    <n v="41.621299999999998"/>
    <n v="41.8277"/>
    <n v="49528"/>
    <n v="1.6584000000000001"/>
    <n v="0.82640000000000002"/>
  </r>
  <r>
    <n v="2303"/>
    <x v="0"/>
    <d v="2010-06-04T00:00:00"/>
    <x v="4"/>
    <x v="5"/>
    <n v="9.8653999999999993"/>
    <n v="9.8653999999999993"/>
    <n v="9.6351999999999993"/>
    <n v="9.6351999999999993"/>
    <n v="36327"/>
    <n v="-1.6920999999999999"/>
    <n v="2.3891"/>
  </r>
  <r>
    <n v="2330"/>
    <x v="1"/>
    <d v="2010-06-04T00:00:00"/>
    <x v="4"/>
    <x v="5"/>
    <n v="41.621299999999998"/>
    <n v="41.965299999999999"/>
    <n v="41.414900000000003"/>
    <n v="41.965299999999999"/>
    <n v="42722"/>
    <n v="0.32840000000000003"/>
    <n v="1.3289"/>
  </r>
  <r>
    <n v="2303"/>
    <x v="0"/>
    <d v="2010-06-07T00:00:00"/>
    <x v="0"/>
    <x v="5"/>
    <n v="9.2735000000000003"/>
    <n v="9.3720999999999997"/>
    <n v="9.2077000000000009"/>
    <n v="9.3391999999999999"/>
    <n v="46941"/>
    <n v="-3.1198000000000001"/>
    <n v="1.7857000000000001"/>
  </r>
  <r>
    <n v="2330"/>
    <x v="1"/>
    <d v="2010-06-07T00:00:00"/>
    <x v="0"/>
    <x v="5"/>
    <n v="41.070900000000002"/>
    <n v="41.070900000000002"/>
    <n v="40.383000000000003"/>
    <n v="40.726900000000001"/>
    <n v="70649"/>
    <n v="-2.9952000000000001"/>
    <n v="1.7036"/>
  </r>
  <r>
    <n v="2303"/>
    <x v="0"/>
    <d v="2010-06-08T00:00:00"/>
    <x v="1"/>
    <x v="5"/>
    <n v="9.2406000000000006"/>
    <n v="9.3064"/>
    <n v="9.1747999999999994"/>
    <n v="9.2077000000000009"/>
    <n v="66298"/>
    <n v="-1.4185000000000001"/>
    <n v="1.4337"/>
  </r>
  <r>
    <n v="2330"/>
    <x v="1"/>
    <d v="2010-06-08T00:00:00"/>
    <x v="1"/>
    <x v="5"/>
    <n v="40.520499999999998"/>
    <n v="40.726900000000001"/>
    <n v="40.176600000000001"/>
    <n v="40.245399999999997"/>
    <n v="40431"/>
    <n v="-1.1895"/>
    <n v="1.3698999999999999"/>
  </r>
  <r>
    <n v="2303"/>
    <x v="0"/>
    <d v="2010-06-09T00:00:00"/>
    <x v="2"/>
    <x v="5"/>
    <n v="9.1418999999999997"/>
    <n v="9.2406000000000006"/>
    <n v="9.0433000000000003"/>
    <n v="9.0762"/>
    <n v="83426"/>
    <n v="-1.4389000000000001"/>
    <n v="2.1818"/>
  </r>
  <r>
    <n v="2330"/>
    <x v="1"/>
    <d v="2010-06-09T00:00:00"/>
    <x v="2"/>
    <x v="5"/>
    <n v="40.176600000000001"/>
    <n v="40.589300000000001"/>
    <n v="40.107799999999997"/>
    <n v="40.3142"/>
    <n v="46104"/>
    <n v="0.17080000000000001"/>
    <n v="1.2007000000000001"/>
  </r>
  <r>
    <n v="2303"/>
    <x v="0"/>
    <d v="2010-06-10T00:00:00"/>
    <x v="3"/>
    <x v="5"/>
    <n v="9.2077000000000009"/>
    <n v="9.2406000000000006"/>
    <n v="9.109"/>
    <n v="9.1747999999999994"/>
    <n v="26406"/>
    <n v="1.0810999999999999"/>
    <n v="1.444"/>
  </r>
  <r>
    <n v="2330"/>
    <x v="1"/>
    <d v="2010-06-10T00:00:00"/>
    <x v="3"/>
    <x v="5"/>
    <n v="41.139699999999998"/>
    <n v="41.139699999999998"/>
    <n v="40.451799999999999"/>
    <n v="40.8645"/>
    <n v="28817"/>
    <n v="1.3560000000000001"/>
    <n v="1.7007000000000001"/>
  </r>
  <r>
    <n v="2303"/>
    <x v="0"/>
    <d v="2010-06-11T00:00:00"/>
    <x v="4"/>
    <x v="5"/>
    <n v="9.5365000000000002"/>
    <n v="9.5365000000000002"/>
    <n v="9.3391999999999999"/>
    <n v="9.4049999999999994"/>
    <n v="27573"/>
    <n v="2.4780000000000002"/>
    <n v="2.1126999999999998"/>
  </r>
  <r>
    <n v="2330"/>
    <x v="1"/>
    <d v="2010-06-11T00:00:00"/>
    <x v="4"/>
    <x v="5"/>
    <n v="41.414900000000003"/>
    <n v="41.621299999999998"/>
    <n v="41.277299999999997"/>
    <n v="41.621299999999998"/>
    <n v="42325"/>
    <n v="1.8349"/>
    <n v="0.83330000000000004"/>
  </r>
  <r>
    <n v="2303"/>
    <x v="0"/>
    <d v="2010-06-14T00:00:00"/>
    <x v="0"/>
    <x v="5"/>
    <n v="9.4708000000000006"/>
    <n v="9.5693999999999999"/>
    <n v="9.4379000000000008"/>
    <n v="9.5693999999999999"/>
    <n v="25756"/>
    <n v="1.7331000000000001"/>
    <n v="1.3936999999999999"/>
  </r>
  <r>
    <n v="2330"/>
    <x v="1"/>
    <d v="2010-06-14T00:00:00"/>
    <x v="0"/>
    <x v="5"/>
    <n v="41.896500000000003"/>
    <n v="42.240400000000001"/>
    <n v="41.896500000000003"/>
    <n v="42.034100000000002"/>
    <n v="44942"/>
    <n v="0.9869"/>
    <n v="0.82099999999999995"/>
  </r>
  <r>
    <n v="2303"/>
    <x v="0"/>
    <d v="2010-06-15T00:00:00"/>
    <x v="1"/>
    <x v="5"/>
    <n v="9.5693999999999999"/>
    <n v="9.7339000000000002"/>
    <n v="9.5037000000000003"/>
    <n v="9.6681000000000008"/>
    <n v="32458"/>
    <n v="1.0257000000000001"/>
    <n v="2.4220999999999999"/>
  </r>
  <r>
    <n v="2330"/>
    <x v="1"/>
    <d v="2010-06-15T00:00:00"/>
    <x v="1"/>
    <x v="5"/>
    <n v="42.171599999999998"/>
    <n v="42.584400000000002"/>
    <n v="41.758899999999997"/>
    <n v="42.240400000000001"/>
    <n v="37547"/>
    <n v="0.48980000000000001"/>
    <n v="1.9769000000000001"/>
  </r>
  <r>
    <n v="2303"/>
    <x v="0"/>
    <d v="2010-06-17T00:00:00"/>
    <x v="3"/>
    <x v="5"/>
    <n v="9.8983000000000008"/>
    <n v="10.0627"/>
    <n v="9.8324999999999996"/>
    <n v="9.8653999999999993"/>
    <n v="107752"/>
    <n v="2.0203000000000002"/>
    <n v="2.3411"/>
  </r>
  <r>
    <n v="2330"/>
    <x v="1"/>
    <d v="2010-06-17T00:00:00"/>
    <x v="3"/>
    <x v="5"/>
    <n v="42.653199999999998"/>
    <n v="42.8596"/>
    <n v="42.446800000000003"/>
    <n v="42.722000000000001"/>
    <n v="62015"/>
    <n v="1.1335999999999999"/>
    <n v="0.97240000000000004"/>
  </r>
  <r>
    <n v="2303"/>
    <x v="0"/>
    <d v="2010-06-18T00:00:00"/>
    <x v="4"/>
    <x v="5"/>
    <n v="9.8983000000000008"/>
    <n v="9.8983000000000008"/>
    <n v="9.7010000000000005"/>
    <n v="9.8324999999999996"/>
    <n v="41579"/>
    <n v="-0.33389999999999997"/>
    <n v="2.0339"/>
  </r>
  <r>
    <n v="2330"/>
    <x v="1"/>
    <d v="2010-06-18T00:00:00"/>
    <x v="4"/>
    <x v="5"/>
    <n v="42.928400000000003"/>
    <n v="43.134799999999998"/>
    <n v="42.515599999999999"/>
    <n v="43.134799999999998"/>
    <n v="46332"/>
    <n v="0.96150000000000002"/>
    <n v="1.4562999999999999"/>
  </r>
  <r>
    <n v="2303"/>
    <x v="0"/>
    <d v="2010-06-21T00:00:00"/>
    <x v="0"/>
    <x v="5"/>
    <n v="9.9312000000000005"/>
    <n v="9.9969000000000001"/>
    <n v="9.8324999999999996"/>
    <n v="9.8983000000000008"/>
    <n v="67706"/>
    <n v="0.66669999999999996"/>
    <n v="1.6721999999999999"/>
  </r>
  <r>
    <n v="2330"/>
    <x v="1"/>
    <d v="2010-06-21T00:00:00"/>
    <x v="0"/>
    <x v="5"/>
    <n v="43.41"/>
    <n v="43.822699999999998"/>
    <n v="43.41"/>
    <n v="43.547600000000003"/>
    <n v="68409"/>
    <n v="0.95240000000000002"/>
    <n v="0.95089999999999997"/>
  </r>
  <r>
    <n v="2303"/>
    <x v="0"/>
    <d v="2010-06-22T00:00:00"/>
    <x v="1"/>
    <x v="5"/>
    <n v="9.9312000000000005"/>
    <n v="9.9640000000000004"/>
    <n v="9.8324999999999996"/>
    <n v="9.8324999999999996"/>
    <n v="29516"/>
    <n v="-0.66669999999999996"/>
    <n v="1.3378000000000001"/>
  </r>
  <r>
    <n v="2330"/>
    <x v="1"/>
    <d v="2010-06-22T00:00:00"/>
    <x v="1"/>
    <x v="5"/>
    <n v="43.547600000000003"/>
    <n v="43.547600000000003"/>
    <n v="43.066000000000003"/>
    <n v="43.066000000000003"/>
    <n v="33389"/>
    <n v="-1.1120000000000001"/>
    <n v="1.1182000000000001"/>
  </r>
  <r>
    <n v="2303"/>
    <x v="0"/>
    <d v="2010-06-23T00:00:00"/>
    <x v="2"/>
    <x v="5"/>
    <n v="9.8324999999999996"/>
    <n v="9.8324999999999996"/>
    <n v="9.7339000000000002"/>
    <n v="9.7339000000000002"/>
    <n v="15397"/>
    <n v="-1.0084"/>
    <n v="1.0135000000000001"/>
  </r>
  <r>
    <n v="2330"/>
    <x v="1"/>
    <d v="2010-06-23T00:00:00"/>
    <x v="2"/>
    <x v="5"/>
    <n v="42.653199999999998"/>
    <n v="42.997199999999999"/>
    <n v="42.653199999999998"/>
    <n v="42.722000000000001"/>
    <n v="37195"/>
    <n v="-0.80189999999999995"/>
    <n v="0.80649999999999999"/>
  </r>
  <r>
    <n v="2303"/>
    <x v="0"/>
    <d v="2010-06-24T00:00:00"/>
    <x v="3"/>
    <x v="5"/>
    <n v="9.7667000000000002"/>
    <n v="9.7995999999999999"/>
    <n v="9.5693999999999999"/>
    <n v="9.6022999999999996"/>
    <n v="34260"/>
    <n v="-1.3606"/>
    <n v="2.4055"/>
  </r>
  <r>
    <n v="2330"/>
    <x v="1"/>
    <d v="2010-06-24T00:00:00"/>
    <x v="3"/>
    <x v="5"/>
    <n v="42.722000000000001"/>
    <n v="42.790799999999997"/>
    <n v="42.446800000000003"/>
    <n v="42.653199999999998"/>
    <n v="35361"/>
    <n v="-0.16120000000000001"/>
    <n v="0.81040000000000001"/>
  </r>
  <r>
    <n v="2303"/>
    <x v="0"/>
    <d v="2010-06-25T00:00:00"/>
    <x v="4"/>
    <x v="5"/>
    <n v="9.4708000000000006"/>
    <n v="9.5037000000000003"/>
    <n v="9.4049999999999994"/>
    <n v="9.4379000000000008"/>
    <n v="31658"/>
    <n v="-1.7272000000000001"/>
    <n v="1.0489999999999999"/>
  </r>
  <r>
    <n v="2330"/>
    <x v="1"/>
    <d v="2010-06-25T00:00:00"/>
    <x v="4"/>
    <x v="5"/>
    <n v="42.309199999999997"/>
    <n v="42.584400000000002"/>
    <n v="42.171599999999998"/>
    <n v="42.240400000000001"/>
    <n v="30579"/>
    <n v="-0.97250000000000003"/>
    <n v="0.9788"/>
  </r>
  <r>
    <n v="2303"/>
    <x v="0"/>
    <d v="2010-06-28T00:00:00"/>
    <x v="0"/>
    <x v="5"/>
    <n v="9.5365000000000002"/>
    <n v="9.5693999999999999"/>
    <n v="9.4379000000000008"/>
    <n v="9.4708000000000006"/>
    <n v="21229"/>
    <n v="0.3478"/>
    <n v="1.3936999999999999"/>
  </r>
  <r>
    <n v="2330"/>
    <x v="1"/>
    <d v="2010-06-28T00:00:00"/>
    <x v="0"/>
    <x v="5"/>
    <n v="42.102800000000002"/>
    <n v="42.446800000000003"/>
    <n v="42.034100000000002"/>
    <n v="42.446800000000003"/>
    <n v="20546"/>
    <n v="0.4874"/>
    <n v="0.98199999999999998"/>
  </r>
  <r>
    <n v="2303"/>
    <x v="0"/>
    <d v="2010-06-29T00:00:00"/>
    <x v="1"/>
    <x v="5"/>
    <n v="9.5365000000000002"/>
    <n v="9.6022999999999996"/>
    <n v="9.3720999999999997"/>
    <n v="9.3720999999999997"/>
    <n v="25428"/>
    <n v="-1.0470999999999999"/>
    <n v="2.4561000000000002"/>
  </r>
  <r>
    <n v="2330"/>
    <x v="1"/>
    <d v="2010-06-29T00:00:00"/>
    <x v="1"/>
    <x v="5"/>
    <n v="42.653199999999998"/>
    <n v="43.066000000000003"/>
    <n v="41.965299999999999"/>
    <n v="41.965299999999999"/>
    <n v="47953"/>
    <n v="-1.141"/>
    <n v="2.6230000000000002"/>
  </r>
  <r>
    <n v="2303"/>
    <x v="0"/>
    <d v="2010-06-30T00:00:00"/>
    <x v="2"/>
    <x v="5"/>
    <n v="9.2077000000000009"/>
    <n v="9.5037000000000003"/>
    <n v="9.1747999999999994"/>
    <n v="9.4379000000000008"/>
    <n v="49595"/>
    <n v="0.69930000000000003"/>
    <n v="3.5842000000000001"/>
  </r>
  <r>
    <n v="2330"/>
    <x v="1"/>
    <d v="2010-06-30T00:00:00"/>
    <x v="2"/>
    <x v="5"/>
    <n v="41.483699999999999"/>
    <n v="41.965299999999999"/>
    <n v="41.483699999999999"/>
    <n v="41.690100000000001"/>
    <n v="58319"/>
    <n v="-0.65790000000000004"/>
    <n v="1.1609"/>
  </r>
  <r>
    <n v="2303"/>
    <x v="0"/>
    <d v="2010-07-01T00:00:00"/>
    <x v="3"/>
    <x v="6"/>
    <n v="9.3720999999999997"/>
    <n v="9.3720999999999997"/>
    <n v="9.2077000000000009"/>
    <n v="9.2406000000000006"/>
    <n v="52069"/>
    <n v="-2.1128"/>
    <n v="1.7857000000000001"/>
  </r>
  <r>
    <n v="2330"/>
    <x v="1"/>
    <d v="2010-07-01T00:00:00"/>
    <x v="3"/>
    <x v="6"/>
    <n v="41.690100000000001"/>
    <n v="41.690100000000001"/>
    <n v="41.208500000000001"/>
    <n v="41.277299999999997"/>
    <n v="65215"/>
    <n v="-0.995"/>
    <n v="1.1686000000000001"/>
  </r>
  <r>
    <n v="2303"/>
    <x v="0"/>
    <d v="2010-07-02T00:00:00"/>
    <x v="4"/>
    <x v="6"/>
    <n v="9.1747999999999994"/>
    <n v="9.3391999999999999"/>
    <n v="9.1747999999999994"/>
    <n v="9.2735000000000003"/>
    <n v="39223"/>
    <n v="0.35520000000000002"/>
    <n v="1.7921"/>
  </r>
  <r>
    <n v="2330"/>
    <x v="1"/>
    <d v="2010-07-02T00:00:00"/>
    <x v="4"/>
    <x v="6"/>
    <n v="41.277299999999997"/>
    <n v="41.758899999999997"/>
    <n v="41.277299999999997"/>
    <n v="41.483699999999999"/>
    <n v="67300"/>
    <n v="0.49880000000000002"/>
    <n v="1.1667000000000001"/>
  </r>
  <r>
    <n v="2303"/>
    <x v="0"/>
    <d v="2010-07-05T00:00:00"/>
    <x v="0"/>
    <x v="6"/>
    <n v="9.3064"/>
    <n v="9.4708000000000006"/>
    <n v="9.2406000000000006"/>
    <n v="9.4049999999999994"/>
    <n v="26898"/>
    <n v="1.4085000000000001"/>
    <n v="2.4910999999999999"/>
  </r>
  <r>
    <n v="2330"/>
    <x v="1"/>
    <d v="2010-07-05T00:00:00"/>
    <x v="0"/>
    <x v="6"/>
    <n v="41.483699999999999"/>
    <n v="42.515599999999999"/>
    <n v="41.483699999999999"/>
    <n v="42.240400000000001"/>
    <n v="88484"/>
    <n v="1.8078000000000001"/>
    <n v="2.4876"/>
  </r>
  <r>
    <n v="2303"/>
    <x v="0"/>
    <d v="2010-07-06T00:00:00"/>
    <x v="1"/>
    <x v="6"/>
    <n v="9.3064"/>
    <n v="9.5693999999999999"/>
    <n v="9.2735000000000003"/>
    <n v="9.5693999999999999"/>
    <n v="43976"/>
    <n v="1.7331000000000001"/>
    <n v="3.1915"/>
  </r>
  <r>
    <n v="2330"/>
    <x v="1"/>
    <d v="2010-07-06T00:00:00"/>
    <x v="1"/>
    <x v="6"/>
    <n v="42.601900000000001"/>
    <n v="43.325200000000002"/>
    <n v="42.529600000000002"/>
    <n v="43.325200000000002"/>
    <n v="69857"/>
    <n v="2.4131999999999998"/>
    <n v="1.8707"/>
  </r>
  <r>
    <n v="2303"/>
    <x v="0"/>
    <d v="2010-07-07T00:00:00"/>
    <x v="2"/>
    <x v="6"/>
    <n v="9.6351999999999993"/>
    <n v="9.6681000000000008"/>
    <n v="9.6022999999999996"/>
    <n v="9.6681000000000008"/>
    <n v="70751"/>
    <n v="1.0257000000000001"/>
    <n v="0.68489999999999995"/>
  </r>
  <r>
    <n v="2330"/>
    <x v="1"/>
    <d v="2010-07-07T00:00:00"/>
    <x v="2"/>
    <x v="6"/>
    <n v="43.252899999999997"/>
    <n v="43.325200000000002"/>
    <n v="42.818899999999999"/>
    <n v="43.035899999999998"/>
    <n v="59168"/>
    <n v="-0.67"/>
    <n v="1.1823999999999999"/>
  </r>
  <r>
    <n v="2303"/>
    <x v="0"/>
    <d v="2010-07-08T00:00:00"/>
    <x v="3"/>
    <x v="6"/>
    <n v="9.8042999999999996"/>
    <n v="9.8042999999999996"/>
    <n v="9.6681000000000008"/>
    <n v="9.6681000000000008"/>
    <n v="55402"/>
    <n v="0"/>
    <n v="1.4085000000000001"/>
  </r>
  <r>
    <n v="2330"/>
    <x v="1"/>
    <d v="2010-07-08T00:00:00"/>
    <x v="3"/>
    <x v="6"/>
    <n v="43.469799999999999"/>
    <n v="43.686799999999998"/>
    <n v="43.180500000000002"/>
    <n v="43.686799999999998"/>
    <n v="50379"/>
    <n v="1.5013000000000001"/>
    <n v="1.1725000000000001"/>
  </r>
  <r>
    <n v="2303"/>
    <x v="0"/>
    <d v="2010-07-09T00:00:00"/>
    <x v="4"/>
    <x v="6"/>
    <n v="9.7702000000000009"/>
    <n v="9.8042999999999996"/>
    <n v="9.6681000000000008"/>
    <n v="9.7702000000000009"/>
    <n v="33557"/>
    <n v="1.0508"/>
    <n v="1.4085000000000001"/>
  </r>
  <r>
    <n v="2330"/>
    <x v="1"/>
    <d v="2010-07-09T00:00:00"/>
    <x v="4"/>
    <x v="6"/>
    <n v="43.686799999999998"/>
    <n v="43.7592"/>
    <n v="43.325200000000002"/>
    <n v="43.686799999999998"/>
    <n v="38073"/>
    <n v="0"/>
    <n v="1.0017"/>
  </r>
  <r>
    <n v="2303"/>
    <x v="0"/>
    <d v="2010-07-12T00:00:00"/>
    <x v="0"/>
    <x v="6"/>
    <n v="9.8042999999999996"/>
    <n v="9.8722999999999992"/>
    <n v="9.7362000000000002"/>
    <n v="9.7702000000000009"/>
    <n v="33967"/>
    <n v="0"/>
    <n v="1.3986000000000001"/>
  </r>
  <r>
    <n v="2330"/>
    <x v="1"/>
    <d v="2010-07-12T00:00:00"/>
    <x v="0"/>
    <x v="6"/>
    <n v="43.831499999999998"/>
    <n v="43.831499999999998"/>
    <n v="43.252899999999997"/>
    <n v="43.252899999999997"/>
    <n v="44197"/>
    <n v="-0.99829999999999997"/>
    <n v="1.3378000000000001"/>
  </r>
  <r>
    <n v="2303"/>
    <x v="0"/>
    <d v="2010-07-13T00:00:00"/>
    <x v="1"/>
    <x v="6"/>
    <n v="9.8383000000000003"/>
    <n v="9.8383000000000003"/>
    <n v="9.7020999999999997"/>
    <n v="9.8042999999999996"/>
    <n v="22801"/>
    <n v="0.3478"/>
    <n v="1.4035"/>
  </r>
  <r>
    <n v="2330"/>
    <x v="1"/>
    <d v="2010-07-13T00:00:00"/>
    <x v="1"/>
    <x v="6"/>
    <n v="43.325200000000002"/>
    <n v="43.542200000000001"/>
    <n v="43.035899999999998"/>
    <n v="43.108199999999997"/>
    <n v="37486"/>
    <n v="-0.33500000000000002"/>
    <n v="1.1765000000000001"/>
  </r>
  <r>
    <n v="2303"/>
    <x v="0"/>
    <d v="2010-07-14T00:00:00"/>
    <x v="2"/>
    <x v="6"/>
    <n v="9.8722999999999992"/>
    <n v="10.1447"/>
    <n v="9.8722999999999992"/>
    <n v="10.1106"/>
    <n v="73790"/>
    <n v="3.0771999999999999"/>
    <n v="2.7585999999999999"/>
  </r>
  <r>
    <n v="2330"/>
    <x v="1"/>
    <d v="2010-07-14T00:00:00"/>
    <x v="2"/>
    <x v="6"/>
    <n v="43.686799999999998"/>
    <n v="43.903799999999997"/>
    <n v="43.542200000000001"/>
    <n v="43.686799999999998"/>
    <n v="59847"/>
    <n v="1.3333999999999999"/>
    <n v="0.8306"/>
  </r>
  <r>
    <n v="2303"/>
    <x v="0"/>
    <d v="2010-07-15T00:00:00"/>
    <x v="3"/>
    <x v="6"/>
    <n v="10.1106"/>
    <n v="10.1106"/>
    <n v="9.9745000000000008"/>
    <n v="10.0426"/>
    <n v="27852"/>
    <n v="-0.67569999999999997"/>
    <n v="1.3652"/>
  </r>
  <r>
    <n v="2330"/>
    <x v="1"/>
    <d v="2010-07-15T00:00:00"/>
    <x v="3"/>
    <x v="6"/>
    <n v="43.686799999999998"/>
    <n v="43.7592"/>
    <n v="43.469799999999999"/>
    <n v="43.6145"/>
    <n v="36838"/>
    <n v="-0.16569999999999999"/>
    <n v="0.66559999999999997"/>
  </r>
  <r>
    <n v="2303"/>
    <x v="0"/>
    <d v="2010-07-16T00:00:00"/>
    <x v="4"/>
    <x v="6"/>
    <n v="10.0426"/>
    <n v="10.076599999999999"/>
    <n v="9.9063999999999997"/>
    <n v="10.076599999999999"/>
    <n v="40555"/>
    <n v="0.33839999999999998"/>
    <n v="1.7181999999999999"/>
  </r>
  <r>
    <n v="2330"/>
    <x v="1"/>
    <d v="2010-07-16T00:00:00"/>
    <x v="4"/>
    <x v="6"/>
    <n v="43.7592"/>
    <n v="43.7592"/>
    <n v="43.252899999999997"/>
    <n v="43.325200000000002"/>
    <n v="29941"/>
    <n v="-0.66559999999999997"/>
    <n v="1.1706000000000001"/>
  </r>
  <r>
    <n v="2303"/>
    <x v="0"/>
    <d v="2010-07-19T00:00:00"/>
    <x v="0"/>
    <x v="6"/>
    <n v="9.8722999999999992"/>
    <n v="10.076599999999999"/>
    <n v="9.8722999999999992"/>
    <n v="10.0085"/>
    <n v="20868"/>
    <n v="-0.67800000000000005"/>
    <n v="2.069"/>
  </r>
  <r>
    <n v="2330"/>
    <x v="1"/>
    <d v="2010-07-19T00:00:00"/>
    <x v="0"/>
    <x v="6"/>
    <n v="43.035899999999998"/>
    <n v="44.337800000000001"/>
    <n v="42.963500000000003"/>
    <n v="44.193100000000001"/>
    <n v="63786"/>
    <n v="1.9835"/>
    <n v="3.1987000000000001"/>
  </r>
  <r>
    <n v="2303"/>
    <x v="0"/>
    <d v="2010-07-20T00:00:00"/>
    <x v="1"/>
    <x v="6"/>
    <n v="10.076599999999999"/>
    <n v="10.1106"/>
    <n v="9.9745000000000008"/>
    <n v="10.0426"/>
    <n v="17622"/>
    <n v="0.33960000000000001"/>
    <n v="1.3652"/>
  </r>
  <r>
    <n v="2330"/>
    <x v="1"/>
    <d v="2010-07-20T00:00:00"/>
    <x v="1"/>
    <x v="6"/>
    <n v="44.337800000000001"/>
    <n v="44.699399999999997"/>
    <n v="44.120800000000003"/>
    <n v="44.482500000000002"/>
    <n v="53963"/>
    <n v="0.65249999999999997"/>
    <n v="1.3115000000000001"/>
  </r>
  <r>
    <n v="2303"/>
    <x v="0"/>
    <d v="2010-07-21T00:00:00"/>
    <x v="2"/>
    <x v="6"/>
    <n v="10.0426"/>
    <n v="10.1106"/>
    <n v="10.0085"/>
    <n v="10.076599999999999"/>
    <n v="22006"/>
    <n v="0.33839999999999998"/>
    <n v="1.0204"/>
  </r>
  <r>
    <n v="2330"/>
    <x v="1"/>
    <d v="2010-07-21T00:00:00"/>
    <x v="2"/>
    <x v="6"/>
    <n v="44.771799999999999"/>
    <n v="44.771799999999999"/>
    <n v="44.482500000000002"/>
    <n v="44.699399999999997"/>
    <n v="41276"/>
    <n v="0.48659999999999998"/>
    <n v="0.65039999999999998"/>
  </r>
  <r>
    <n v="2303"/>
    <x v="0"/>
    <d v="2010-07-22T00:00:00"/>
    <x v="3"/>
    <x v="6"/>
    <n v="10.076599999999999"/>
    <n v="10.076599999999999"/>
    <n v="9.9745000000000008"/>
    <n v="9.9745000000000008"/>
    <n v="20637"/>
    <n v="-1.0186999999999999"/>
    <n v="1.0239"/>
  </r>
  <r>
    <n v="2330"/>
    <x v="1"/>
    <d v="2010-07-22T00:00:00"/>
    <x v="3"/>
    <x v="6"/>
    <n v="44.771799999999999"/>
    <n v="45.061100000000003"/>
    <n v="44.337800000000001"/>
    <n v="44.844099999999997"/>
    <n v="45329"/>
    <n v="0.3231"/>
    <n v="1.6313"/>
  </r>
  <r>
    <n v="2303"/>
    <x v="0"/>
    <d v="2010-07-23T00:00:00"/>
    <x v="4"/>
    <x v="6"/>
    <n v="10.1106"/>
    <n v="10.1447"/>
    <n v="9.9404000000000003"/>
    <n v="9.9745000000000008"/>
    <n v="42708"/>
    <n v="0"/>
    <n v="2.0548000000000002"/>
  </r>
  <r>
    <n v="2330"/>
    <x v="1"/>
    <d v="2010-07-23T00:00:00"/>
    <x v="4"/>
    <x v="6"/>
    <n v="45.278100000000002"/>
    <n v="45.567399999999999"/>
    <n v="45.133400000000002"/>
    <n v="45.422699999999999"/>
    <n v="66046"/>
    <n v="1.2821"/>
    <n v="0.96150000000000002"/>
  </r>
  <r>
    <n v="2303"/>
    <x v="0"/>
    <d v="2010-07-26T00:00:00"/>
    <x v="0"/>
    <x v="6"/>
    <n v="10.076599999999999"/>
    <n v="10.1106"/>
    <n v="10.0085"/>
    <n v="10.076599999999999"/>
    <n v="30043"/>
    <n v="1.0186999999999999"/>
    <n v="1.0204"/>
  </r>
  <r>
    <n v="2330"/>
    <x v="1"/>
    <d v="2010-07-26T00:00:00"/>
    <x v="0"/>
    <x v="6"/>
    <n v="45.567399999999999"/>
    <n v="45.639699999999998"/>
    <n v="45.061100000000003"/>
    <n v="45.278100000000002"/>
    <n v="27031"/>
    <n v="-0.31900000000000001"/>
    <n v="1.2841"/>
  </r>
  <r>
    <n v="2303"/>
    <x v="0"/>
    <d v="2010-07-27T00:00:00"/>
    <x v="1"/>
    <x v="6"/>
    <n v="10.1447"/>
    <n v="10.178699999999999"/>
    <n v="10.0426"/>
    <n v="10.0426"/>
    <n v="38136"/>
    <n v="-0.33839999999999998"/>
    <n v="1.3559000000000001"/>
  </r>
  <r>
    <n v="2330"/>
    <x v="1"/>
    <d v="2010-07-27T00:00:00"/>
    <x v="1"/>
    <x v="6"/>
    <n v="45.567399999999999"/>
    <n v="45.567399999999999"/>
    <n v="45.061100000000003"/>
    <n v="45.205800000000004"/>
    <n v="21055"/>
    <n v="-0.15989999999999999"/>
    <n v="1.1235999999999999"/>
  </r>
  <r>
    <n v="2303"/>
    <x v="0"/>
    <d v="2010-07-28T00:00:00"/>
    <x v="2"/>
    <x v="6"/>
    <n v="10.0085"/>
    <n v="10.0426"/>
    <n v="9.9063999999999997"/>
    <n v="9.9404000000000003"/>
    <n v="40241"/>
    <n v="-1.0222"/>
    <n v="1.3746"/>
  </r>
  <r>
    <n v="2330"/>
    <x v="1"/>
    <d v="2010-07-28T00:00:00"/>
    <x v="2"/>
    <x v="6"/>
    <n v="45.061100000000003"/>
    <n v="45.567399999999999"/>
    <n v="44.988799999999998"/>
    <n v="45.567399999999999"/>
    <n v="27030"/>
    <n v="0.79679999999999995"/>
    <n v="1.2862"/>
  </r>
  <r>
    <n v="2303"/>
    <x v="0"/>
    <d v="2010-07-29T00:00:00"/>
    <x v="3"/>
    <x v="6"/>
    <n v="9.9404000000000003"/>
    <n v="9.9404000000000003"/>
    <n v="9.7702000000000009"/>
    <n v="9.8383000000000003"/>
    <n v="31310"/>
    <n v="-1.0327"/>
    <n v="1.7422"/>
  </r>
  <r>
    <n v="2330"/>
    <x v="1"/>
    <d v="2010-07-29T00:00:00"/>
    <x v="3"/>
    <x v="6"/>
    <n v="45.567399999999999"/>
    <n v="45.567399999999999"/>
    <n v="45.278100000000002"/>
    <n v="45.567399999999999"/>
    <n v="38609"/>
    <n v="0"/>
    <n v="0.63900000000000001"/>
  </r>
  <r>
    <n v="2303"/>
    <x v="0"/>
    <d v="2010-07-30T00:00:00"/>
    <x v="4"/>
    <x v="6"/>
    <n v="9.7362000000000002"/>
    <n v="9.7362000000000002"/>
    <n v="9.6340000000000003"/>
    <n v="9.6681000000000008"/>
    <n v="42399"/>
    <n v="-1.7452000000000001"/>
    <n v="1.0601"/>
  </r>
  <r>
    <n v="2330"/>
    <x v="1"/>
    <d v="2010-07-30T00:00:00"/>
    <x v="4"/>
    <x v="6"/>
    <n v="45.133400000000002"/>
    <n v="45.133400000000002"/>
    <n v="44.4101"/>
    <n v="45.133400000000002"/>
    <n v="43621"/>
    <n v="-0.95689999999999997"/>
    <n v="1.6287"/>
  </r>
  <r>
    <n v="2303"/>
    <x v="0"/>
    <d v="2010-08-02T00:00:00"/>
    <x v="0"/>
    <x v="7"/>
    <n v="9.8042999999999996"/>
    <n v="9.9404000000000003"/>
    <n v="9.8042999999999996"/>
    <n v="9.8722999999999992"/>
    <n v="41973"/>
    <n v="2.0907"/>
    <n v="1.3889"/>
  </r>
  <r>
    <n v="2330"/>
    <x v="1"/>
    <d v="2010-08-02T00:00:00"/>
    <x v="0"/>
    <x v="7"/>
    <n v="45.278100000000002"/>
    <n v="45.422699999999999"/>
    <n v="44.916400000000003"/>
    <n v="45.061100000000003"/>
    <n v="48140"/>
    <n v="-0.16039999999999999"/>
    <n v="1.1272"/>
  </r>
  <r>
    <n v="2303"/>
    <x v="0"/>
    <d v="2010-08-03T00:00:00"/>
    <x v="1"/>
    <x v="7"/>
    <n v="9.8722999999999992"/>
    <n v="9.9063999999999997"/>
    <n v="9.8042999999999996"/>
    <n v="9.8042999999999996"/>
    <n v="27021"/>
    <n v="-0.69199999999999995"/>
    <n v="1.0417000000000001"/>
  </r>
  <r>
    <n v="2330"/>
    <x v="1"/>
    <d v="2010-08-03T00:00:00"/>
    <x v="1"/>
    <x v="7"/>
    <n v="45.278100000000002"/>
    <n v="45.278100000000002"/>
    <n v="44.627099999999999"/>
    <n v="44.844099999999997"/>
    <n v="32996"/>
    <n v="-0.48270000000000002"/>
    <n v="1.4587000000000001"/>
  </r>
  <r>
    <n v="2303"/>
    <x v="0"/>
    <d v="2010-08-04T00:00:00"/>
    <x v="2"/>
    <x v="7"/>
    <n v="9.7702000000000009"/>
    <n v="9.8042999999999996"/>
    <n v="9.6340000000000003"/>
    <n v="9.7362000000000002"/>
    <n v="52106"/>
    <n v="-0.69689999999999996"/>
    <n v="1.7667999999999999"/>
  </r>
  <r>
    <n v="2330"/>
    <x v="1"/>
    <d v="2010-08-04T00:00:00"/>
    <x v="2"/>
    <x v="7"/>
    <n v="44.844099999999997"/>
    <n v="44.988799999999998"/>
    <n v="44.5548"/>
    <n v="44.844099999999997"/>
    <n v="28406"/>
    <n v="0"/>
    <n v="0.97399999999999998"/>
  </r>
  <r>
    <n v="2303"/>
    <x v="0"/>
    <d v="2010-08-05T00:00:00"/>
    <x v="3"/>
    <x v="7"/>
    <n v="9.8722999999999992"/>
    <n v="9.9745000000000008"/>
    <n v="9.7362000000000002"/>
    <n v="9.8042999999999996"/>
    <n v="90316"/>
    <n v="0.69689999999999996"/>
    <n v="2.4476"/>
  </r>
  <r>
    <n v="2330"/>
    <x v="1"/>
    <d v="2010-08-05T00:00:00"/>
    <x v="3"/>
    <x v="7"/>
    <n v="44.844099999999997"/>
    <n v="44.844099999999997"/>
    <n v="44.699399999999997"/>
    <n v="44.771799999999999"/>
    <n v="22212"/>
    <n v="-0.16139999999999999"/>
    <n v="0.3236"/>
  </r>
  <r>
    <n v="2303"/>
    <x v="0"/>
    <d v="2010-08-06T00:00:00"/>
    <x v="4"/>
    <x v="7"/>
    <n v="9.8383000000000003"/>
    <n v="9.8722999999999992"/>
    <n v="9.7702000000000009"/>
    <n v="9.7702000000000009"/>
    <n v="30662"/>
    <n v="-0.3478"/>
    <n v="1.0452999999999999"/>
  </r>
  <r>
    <n v="2330"/>
    <x v="1"/>
    <d v="2010-08-06T00:00:00"/>
    <x v="4"/>
    <x v="7"/>
    <n v="44.5548"/>
    <n v="44.627099999999999"/>
    <n v="43.831499999999998"/>
    <n v="44.048499999999997"/>
    <n v="62494"/>
    <n v="-1.6287"/>
    <n v="1.8151999999999999"/>
  </r>
  <r>
    <n v="2303"/>
    <x v="0"/>
    <d v="2010-08-09T00:00:00"/>
    <x v="0"/>
    <x v="7"/>
    <n v="9.7362000000000002"/>
    <n v="9.9063999999999997"/>
    <n v="9.7362000000000002"/>
    <n v="9.8383000000000003"/>
    <n v="31843"/>
    <n v="0.69440000000000002"/>
    <n v="1.7483"/>
  </r>
  <r>
    <n v="2330"/>
    <x v="1"/>
    <d v="2010-08-09T00:00:00"/>
    <x v="0"/>
    <x v="7"/>
    <n v="43.7592"/>
    <n v="44.048499999999997"/>
    <n v="43.686799999999998"/>
    <n v="43.903799999999997"/>
    <n v="57034"/>
    <n v="-0.32890000000000003"/>
    <n v="0.82779999999999998"/>
  </r>
  <r>
    <n v="2303"/>
    <x v="0"/>
    <d v="2010-08-10T00:00:00"/>
    <x v="1"/>
    <x v="7"/>
    <n v="9.9063999999999997"/>
    <n v="9.9404000000000003"/>
    <n v="9.7702000000000009"/>
    <n v="9.7702000000000009"/>
    <n v="33856"/>
    <n v="-0.69440000000000002"/>
    <n v="1.7422"/>
  </r>
  <r>
    <n v="2330"/>
    <x v="1"/>
    <d v="2010-08-10T00:00:00"/>
    <x v="1"/>
    <x v="7"/>
    <n v="44.048499999999997"/>
    <n v="44.4101"/>
    <n v="43.976199999999999"/>
    <n v="44.120800000000003"/>
    <n v="63934"/>
    <n v="0.49299999999999999"/>
    <n v="0.98680000000000001"/>
  </r>
  <r>
    <n v="2303"/>
    <x v="0"/>
    <d v="2010-08-11T00:00:00"/>
    <x v="2"/>
    <x v="7"/>
    <n v="9.7362000000000002"/>
    <n v="9.7702000000000009"/>
    <n v="9.6681000000000008"/>
    <n v="9.7020999999999997"/>
    <n v="26764"/>
    <n v="-0.69930000000000003"/>
    <n v="1.0563"/>
  </r>
  <r>
    <n v="2330"/>
    <x v="1"/>
    <d v="2010-08-11T00:00:00"/>
    <x v="2"/>
    <x v="7"/>
    <n v="43.976199999999999"/>
    <n v="44.265500000000003"/>
    <n v="43.903799999999997"/>
    <n v="44.120800000000003"/>
    <n v="28646"/>
    <n v="0"/>
    <n v="0.82369999999999999"/>
  </r>
  <r>
    <n v="2303"/>
    <x v="0"/>
    <d v="2010-08-12T00:00:00"/>
    <x v="3"/>
    <x v="7"/>
    <n v="9.6"/>
    <n v="9.6681000000000008"/>
    <n v="9.5660000000000007"/>
    <n v="9.6"/>
    <n v="46248"/>
    <n v="-1.0582"/>
    <n v="1.0676000000000001"/>
  </r>
  <r>
    <n v="2330"/>
    <x v="1"/>
    <d v="2010-08-12T00:00:00"/>
    <x v="3"/>
    <x v="7"/>
    <n v="43.542200000000001"/>
    <n v="43.831499999999998"/>
    <n v="43.469799999999999"/>
    <n v="43.542200000000001"/>
    <n v="66230"/>
    <n v="-1.3202"/>
    <n v="0.83189999999999997"/>
  </r>
  <r>
    <n v="2303"/>
    <x v="0"/>
    <d v="2010-08-13T00:00:00"/>
    <x v="4"/>
    <x v="7"/>
    <n v="9.6340000000000003"/>
    <n v="9.6681000000000008"/>
    <n v="9.5319000000000003"/>
    <n v="9.6"/>
    <n v="51073"/>
    <n v="0"/>
    <n v="1.4286000000000001"/>
  </r>
  <r>
    <n v="2330"/>
    <x v="1"/>
    <d v="2010-08-13T00:00:00"/>
    <x v="4"/>
    <x v="7"/>
    <n v="43.542200000000001"/>
    <n v="43.831499999999998"/>
    <n v="43.325200000000002"/>
    <n v="43.469799999999999"/>
    <n v="65690"/>
    <n v="-0.1663"/>
    <n v="1.1686000000000001"/>
  </r>
  <r>
    <n v="2303"/>
    <x v="0"/>
    <d v="2010-08-16T00:00:00"/>
    <x v="0"/>
    <x v="7"/>
    <n v="9.6340000000000003"/>
    <n v="9.6340000000000003"/>
    <n v="9.5319000000000003"/>
    <n v="9.5319000000000003"/>
    <n v="39745"/>
    <n v="-0.7117"/>
    <n v="1.0713999999999999"/>
  </r>
  <r>
    <n v="2330"/>
    <x v="1"/>
    <d v="2010-08-16T00:00:00"/>
    <x v="0"/>
    <x v="7"/>
    <n v="43.397500000000001"/>
    <n v="43.6145"/>
    <n v="43.108199999999997"/>
    <n v="43.6145"/>
    <n v="39763"/>
    <n v="0.3322"/>
    <n v="1.1745000000000001"/>
  </r>
  <r>
    <n v="2303"/>
    <x v="0"/>
    <d v="2010-08-17T00:00:00"/>
    <x v="1"/>
    <x v="7"/>
    <n v="9.5319000000000003"/>
    <n v="9.6"/>
    <n v="9.4638000000000009"/>
    <n v="9.4638000000000009"/>
    <n v="41223"/>
    <n v="-0.71679999999999999"/>
    <n v="1.4388000000000001"/>
  </r>
  <r>
    <n v="2330"/>
    <x v="1"/>
    <d v="2010-08-17T00:00:00"/>
    <x v="1"/>
    <x v="7"/>
    <n v="43.7592"/>
    <n v="43.7592"/>
    <n v="43.252899999999997"/>
    <n v="43.252899999999997"/>
    <n v="37585"/>
    <n v="-0.83260000000000001"/>
    <n v="1.1706000000000001"/>
  </r>
  <r>
    <n v="2303"/>
    <x v="0"/>
    <d v="2010-08-18T00:00:00"/>
    <x v="2"/>
    <x v="7"/>
    <n v="9.4978999999999996"/>
    <n v="9.6"/>
    <n v="9.4298000000000002"/>
    <n v="9.4298000000000002"/>
    <n v="40067"/>
    <n v="-0.3604"/>
    <n v="1.8050999999999999"/>
  </r>
  <r>
    <n v="2330"/>
    <x v="1"/>
    <d v="2010-08-18T00:00:00"/>
    <x v="2"/>
    <x v="7"/>
    <n v="43.397500000000001"/>
    <n v="43.6145"/>
    <n v="43.035899999999998"/>
    <n v="43.108199999999997"/>
    <n v="42902"/>
    <n v="-0.33500000000000002"/>
    <n v="1.3445"/>
  </r>
  <r>
    <n v="2303"/>
    <x v="0"/>
    <d v="2010-08-19T00:00:00"/>
    <x v="3"/>
    <x v="7"/>
    <n v="9.4298000000000002"/>
    <n v="9.5319000000000003"/>
    <n v="9.3956999999999997"/>
    <n v="9.4978999999999996"/>
    <n v="39278"/>
    <n v="0.71940000000000004"/>
    <n v="1.4493"/>
  </r>
  <r>
    <n v="2330"/>
    <x v="1"/>
    <d v="2010-08-19T00:00:00"/>
    <x v="3"/>
    <x v="7"/>
    <n v="43.035899999999998"/>
    <n v="43.686799999999998"/>
    <n v="43.035899999999998"/>
    <n v="43.469799999999999"/>
    <n v="45817"/>
    <n v="0.83540000000000003"/>
    <n v="1.5125999999999999"/>
  </r>
  <r>
    <n v="2303"/>
    <x v="0"/>
    <d v="2010-08-20T00:00:00"/>
    <x v="4"/>
    <x v="7"/>
    <n v="9.4638000000000009"/>
    <n v="9.5319000000000003"/>
    <n v="9.4298000000000002"/>
    <n v="9.4298000000000002"/>
    <n v="20931"/>
    <n v="-0.71940000000000004"/>
    <n v="1.083"/>
  </r>
  <r>
    <n v="2330"/>
    <x v="1"/>
    <d v="2010-08-20T00:00:00"/>
    <x v="4"/>
    <x v="7"/>
    <n v="43.252899999999997"/>
    <n v="43.542200000000001"/>
    <n v="43.180500000000002"/>
    <n v="43.325200000000002"/>
    <n v="30113"/>
    <n v="-0.33329999999999999"/>
    <n v="0.83750000000000002"/>
  </r>
  <r>
    <n v="2303"/>
    <x v="0"/>
    <d v="2010-08-23T00:00:00"/>
    <x v="0"/>
    <x v="7"/>
    <n v="9.3956999999999997"/>
    <n v="9.4638000000000009"/>
    <n v="9.3277000000000001"/>
    <n v="9.3617000000000008"/>
    <n v="37239"/>
    <n v="-0.72460000000000002"/>
    <n v="1.4599"/>
  </r>
  <r>
    <n v="2330"/>
    <x v="1"/>
    <d v="2010-08-23T00:00:00"/>
    <x v="0"/>
    <x v="7"/>
    <n v="43.325200000000002"/>
    <n v="44.048499999999997"/>
    <n v="43.108199999999997"/>
    <n v="43.469799999999999"/>
    <n v="27931"/>
    <n v="0.33329999999999999"/>
    <n v="2.1812"/>
  </r>
  <r>
    <n v="2303"/>
    <x v="0"/>
    <d v="2010-08-24T00:00:00"/>
    <x v="1"/>
    <x v="7"/>
    <n v="9.3617000000000008"/>
    <n v="9.3617000000000008"/>
    <n v="9.1914999999999996"/>
    <n v="9.1914999999999996"/>
    <n v="44815"/>
    <n v="-1.8349"/>
    <n v="1.8519000000000001"/>
  </r>
  <r>
    <n v="2330"/>
    <x v="1"/>
    <d v="2010-08-24T00:00:00"/>
    <x v="1"/>
    <x v="7"/>
    <n v="43.397500000000001"/>
    <n v="43.469799999999999"/>
    <n v="43.108199999999997"/>
    <n v="43.108199999999997"/>
    <n v="31275"/>
    <n v="-0.83540000000000003"/>
    <n v="0.83889999999999998"/>
  </r>
  <r>
    <n v="2303"/>
    <x v="0"/>
    <d v="2010-08-25T00:00:00"/>
    <x v="2"/>
    <x v="7"/>
    <n v="9.1234000000000002"/>
    <n v="9.1234000000000002"/>
    <n v="8.8850999999999996"/>
    <n v="8.9191000000000003"/>
    <n v="89113"/>
    <n v="-3.0076999999999998"/>
    <n v="2.6819999999999999"/>
  </r>
  <r>
    <n v="2330"/>
    <x v="1"/>
    <d v="2010-08-25T00:00:00"/>
    <x v="2"/>
    <x v="7"/>
    <n v="42.963500000000003"/>
    <n v="42.963500000000003"/>
    <n v="42.384900000000002"/>
    <n v="42.4572"/>
    <n v="70618"/>
    <n v="-1.5216000000000001"/>
    <n v="1.3652"/>
  </r>
  <r>
    <n v="2303"/>
    <x v="0"/>
    <d v="2010-08-26T00:00:00"/>
    <x v="3"/>
    <x v="7"/>
    <n v="8.9191000000000003"/>
    <n v="9.1574000000000009"/>
    <n v="8.8511000000000006"/>
    <n v="9.0213000000000001"/>
    <n v="89680"/>
    <n v="1.1385000000000001"/>
    <n v="3.4615"/>
  </r>
  <r>
    <n v="2330"/>
    <x v="1"/>
    <d v="2010-08-26T00:00:00"/>
    <x v="3"/>
    <x v="7"/>
    <n v="42.384900000000002"/>
    <n v="42.746600000000001"/>
    <n v="42.312600000000003"/>
    <n v="42.529600000000002"/>
    <n v="35255"/>
    <n v="0.17019999999999999"/>
    <n v="1.0256000000000001"/>
  </r>
  <r>
    <n v="2303"/>
    <x v="0"/>
    <d v="2010-08-27T00:00:00"/>
    <x v="4"/>
    <x v="7"/>
    <n v="8.9871999999999996"/>
    <n v="8.9871999999999996"/>
    <n v="8.8511000000000006"/>
    <n v="8.8850999999999996"/>
    <n v="53825"/>
    <n v="-1.5208999999999999"/>
    <n v="1.5385"/>
  </r>
  <r>
    <n v="2330"/>
    <x v="1"/>
    <d v="2010-08-27T00:00:00"/>
    <x v="4"/>
    <x v="7"/>
    <n v="42.4572"/>
    <n v="42.601900000000001"/>
    <n v="42.312600000000003"/>
    <n v="42.529600000000002"/>
    <n v="46789"/>
    <n v="0"/>
    <n v="0.68379999999999996"/>
  </r>
  <r>
    <n v="2303"/>
    <x v="0"/>
    <d v="2010-08-30T00:00:00"/>
    <x v="0"/>
    <x v="7"/>
    <n v="8.9871999999999996"/>
    <n v="9.0553000000000008"/>
    <n v="8.8850999999999996"/>
    <n v="8.8850999999999996"/>
    <n v="26609"/>
    <n v="0"/>
    <n v="1.9157"/>
  </r>
  <r>
    <n v="2330"/>
    <x v="1"/>
    <d v="2010-08-30T00:00:00"/>
    <x v="0"/>
    <x v="7"/>
    <n v="42.818899999999999"/>
    <n v="43.108199999999997"/>
    <n v="42.601900000000001"/>
    <n v="42.963500000000003"/>
    <n v="27638"/>
    <n v="1.0152000000000001"/>
    <n v="1.1884999999999999"/>
  </r>
  <r>
    <n v="2303"/>
    <x v="0"/>
    <d v="2010-08-31T00:00:00"/>
    <x v="1"/>
    <x v="7"/>
    <n v="8.8511000000000006"/>
    <n v="8.8511000000000006"/>
    <n v="8.6808999999999994"/>
    <n v="8.8511000000000006"/>
    <n v="46569"/>
    <n v="-0.38390000000000002"/>
    <n v="1.9608000000000001"/>
  </r>
  <r>
    <n v="2330"/>
    <x v="1"/>
    <d v="2010-08-31T00:00:00"/>
    <x v="1"/>
    <x v="7"/>
    <n v="42.674199999999999"/>
    <n v="42.674199999999999"/>
    <n v="42.240299999999998"/>
    <n v="42.601900000000001"/>
    <n v="78362"/>
    <n v="-0.84530000000000005"/>
    <n v="1.0274000000000001"/>
  </r>
  <r>
    <n v="2303"/>
    <x v="0"/>
    <d v="2010-09-01T00:00:00"/>
    <x v="2"/>
    <x v="8"/>
    <n v="8.8850999999999996"/>
    <n v="8.8850999999999996"/>
    <n v="8.8170000000000002"/>
    <n v="8.8170000000000002"/>
    <n v="29639"/>
    <n v="-0.38540000000000002"/>
    <n v="0.7722"/>
  </r>
  <r>
    <n v="2330"/>
    <x v="1"/>
    <d v="2010-09-01T00:00:00"/>
    <x v="2"/>
    <x v="8"/>
    <n v="42.891199999999998"/>
    <n v="42.891199999999998"/>
    <n v="42.4572"/>
    <n v="42.746600000000001"/>
    <n v="38480"/>
    <n v="0.33900000000000002"/>
    <n v="1.0221"/>
  </r>
  <r>
    <n v="2303"/>
    <x v="0"/>
    <d v="2010-09-02T00:00:00"/>
    <x v="3"/>
    <x v="8"/>
    <n v="9.0213000000000001"/>
    <n v="9.0553000000000008"/>
    <n v="8.9191000000000003"/>
    <n v="8.9871999999999996"/>
    <n v="43603"/>
    <n v="1.9120999999999999"/>
    <n v="1.5266999999999999"/>
  </r>
  <r>
    <n v="2330"/>
    <x v="1"/>
    <d v="2010-09-02T00:00:00"/>
    <x v="3"/>
    <x v="8"/>
    <n v="43.397500000000001"/>
    <n v="43.469799999999999"/>
    <n v="42.963500000000003"/>
    <n v="43.035899999999998"/>
    <n v="27402"/>
    <n v="0.67449999999999999"/>
    <n v="1.1785000000000001"/>
  </r>
  <r>
    <n v="2303"/>
    <x v="0"/>
    <d v="2010-09-03T00:00:00"/>
    <x v="4"/>
    <x v="8"/>
    <n v="8.9871999999999996"/>
    <n v="9.0893999999999995"/>
    <n v="8.9871999999999996"/>
    <n v="9.0893999999999995"/>
    <n v="35005"/>
    <n v="1.1299999999999999"/>
    <n v="1.1364000000000001"/>
  </r>
  <r>
    <n v="2330"/>
    <x v="1"/>
    <d v="2010-09-03T00:00:00"/>
    <x v="4"/>
    <x v="8"/>
    <n v="42.891199999999998"/>
    <n v="43.325200000000002"/>
    <n v="42.891199999999998"/>
    <n v="43.252899999999997"/>
    <n v="38339"/>
    <n v="0.50290000000000001"/>
    <n v="1.0118"/>
  </r>
  <r>
    <n v="2303"/>
    <x v="0"/>
    <d v="2010-09-06T00:00:00"/>
    <x v="0"/>
    <x v="8"/>
    <n v="9.1234000000000002"/>
    <n v="9.1574000000000009"/>
    <n v="9.0213000000000001"/>
    <n v="9.0553000000000008"/>
    <n v="31672"/>
    <n v="-0.37519999999999998"/>
    <n v="1.5094000000000001"/>
  </r>
  <r>
    <n v="2330"/>
    <x v="1"/>
    <d v="2010-09-06T00:00:00"/>
    <x v="0"/>
    <x v="8"/>
    <n v="43.686799999999998"/>
    <n v="43.7592"/>
    <n v="43.469799999999999"/>
    <n v="43.7592"/>
    <n v="28120"/>
    <n v="1.1637999999999999"/>
    <n v="0.66559999999999997"/>
  </r>
  <r>
    <n v="2303"/>
    <x v="0"/>
    <d v="2010-09-07T00:00:00"/>
    <x v="1"/>
    <x v="8"/>
    <n v="9.0553000000000008"/>
    <n v="9.0893999999999995"/>
    <n v="8.9532000000000007"/>
    <n v="8.9532000000000007"/>
    <n v="33611"/>
    <n v="-1.1342000000000001"/>
    <n v="1.5208999999999999"/>
  </r>
  <r>
    <n v="2330"/>
    <x v="1"/>
    <d v="2010-09-07T00:00:00"/>
    <x v="1"/>
    <x v="8"/>
    <n v="43.7592"/>
    <n v="43.831499999999998"/>
    <n v="43.469799999999999"/>
    <n v="43.542200000000001"/>
    <n v="20268"/>
    <n v="-0.49709999999999999"/>
    <n v="0.83189999999999997"/>
  </r>
  <r>
    <n v="2303"/>
    <x v="0"/>
    <d v="2010-09-08T00:00:00"/>
    <x v="2"/>
    <x v="8"/>
    <n v="8.9191000000000003"/>
    <n v="9.0213000000000001"/>
    <n v="8.9191000000000003"/>
    <n v="9.0213000000000001"/>
    <n v="29979"/>
    <n v="0.75760000000000005"/>
    <n v="1.145"/>
  </r>
  <r>
    <n v="2330"/>
    <x v="1"/>
    <d v="2010-09-08T00:00:00"/>
    <x v="2"/>
    <x v="8"/>
    <n v="43.108199999999997"/>
    <n v="43.325200000000002"/>
    <n v="42.601900000000001"/>
    <n v="42.891199999999998"/>
    <n v="67149"/>
    <n v="-1.5063"/>
    <n v="1.6978"/>
  </r>
  <r>
    <n v="2303"/>
    <x v="0"/>
    <d v="2010-09-09T00:00:00"/>
    <x v="3"/>
    <x v="8"/>
    <n v="9.0553000000000008"/>
    <n v="9.0893999999999995"/>
    <n v="8.9871999999999996"/>
    <n v="9.0213000000000001"/>
    <n v="35200"/>
    <n v="0"/>
    <n v="1.1364000000000001"/>
  </r>
  <r>
    <n v="2330"/>
    <x v="1"/>
    <d v="2010-09-09T00:00:00"/>
    <x v="3"/>
    <x v="8"/>
    <n v="43.180500000000002"/>
    <n v="43.180500000000002"/>
    <n v="42.818899999999999"/>
    <n v="43.035899999999998"/>
    <n v="21237"/>
    <n v="0.3367"/>
    <n v="0.84460000000000002"/>
  </r>
  <r>
    <n v="2303"/>
    <x v="0"/>
    <d v="2010-09-10T00:00:00"/>
    <x v="4"/>
    <x v="8"/>
    <n v="9.0893999999999995"/>
    <n v="9.1574000000000009"/>
    <n v="9.0553000000000008"/>
    <n v="9.1234000000000002"/>
    <n v="45422"/>
    <n v="1.1256999999999999"/>
    <n v="1.1277999999999999"/>
  </r>
  <r>
    <n v="2330"/>
    <x v="1"/>
    <d v="2010-09-10T00:00:00"/>
    <x v="4"/>
    <x v="8"/>
    <n v="43.035899999999998"/>
    <n v="43.180500000000002"/>
    <n v="42.746600000000001"/>
    <n v="42.891199999999998"/>
    <n v="32650"/>
    <n v="-0.3367"/>
    <n v="1.0152000000000001"/>
  </r>
  <r>
    <n v="2303"/>
    <x v="0"/>
    <d v="2010-09-13T00:00:00"/>
    <x v="0"/>
    <x v="8"/>
    <n v="9.1574000000000009"/>
    <n v="9.3277000000000001"/>
    <n v="9.1574000000000009"/>
    <n v="9.3277000000000001"/>
    <n v="59445"/>
    <n v="2.2141000000000002"/>
    <n v="1.8587"/>
  </r>
  <r>
    <n v="2330"/>
    <x v="1"/>
    <d v="2010-09-13T00:00:00"/>
    <x v="0"/>
    <x v="8"/>
    <n v="43.108199999999997"/>
    <n v="44.048499999999997"/>
    <n v="42.963500000000003"/>
    <n v="44.048499999999997"/>
    <n v="86955"/>
    <n v="2.6623999999999999"/>
    <n v="2.5253000000000001"/>
  </r>
  <r>
    <n v="2303"/>
    <x v="0"/>
    <d v="2010-09-14T00:00:00"/>
    <x v="1"/>
    <x v="8"/>
    <n v="9.3617000000000008"/>
    <n v="9.7702000000000009"/>
    <n v="9.2935999999999996"/>
    <n v="9.4978999999999996"/>
    <n v="107191"/>
    <n v="1.8084"/>
    <n v="5.1281999999999996"/>
  </r>
  <r>
    <n v="2330"/>
    <x v="1"/>
    <d v="2010-09-14T00:00:00"/>
    <x v="1"/>
    <x v="8"/>
    <n v="44.265500000000003"/>
    <n v="44.265500000000003"/>
    <n v="43.903799999999997"/>
    <n v="44.120800000000003"/>
    <n v="33545"/>
    <n v="0.1641"/>
    <n v="0.82369999999999999"/>
  </r>
  <r>
    <n v="2303"/>
    <x v="0"/>
    <d v="2010-09-15T00:00:00"/>
    <x v="2"/>
    <x v="8"/>
    <n v="9.5319000000000003"/>
    <n v="9.5319000000000003"/>
    <n v="9.3277000000000001"/>
    <n v="9.4298000000000002"/>
    <n v="64199"/>
    <n v="-0.71940000000000004"/>
    <n v="2.1898"/>
  </r>
  <r>
    <n v="2330"/>
    <x v="1"/>
    <d v="2010-09-15T00:00:00"/>
    <x v="2"/>
    <x v="8"/>
    <n v="44.265500000000003"/>
    <n v="44.265500000000003"/>
    <n v="43.7592"/>
    <n v="44.265500000000003"/>
    <n v="42375"/>
    <n v="0.32729999999999998"/>
    <n v="1.157"/>
  </r>
  <r>
    <n v="2303"/>
    <x v="0"/>
    <d v="2010-09-16T00:00:00"/>
    <x v="3"/>
    <x v="8"/>
    <n v="9.4298000000000002"/>
    <n v="9.4298000000000002"/>
    <n v="9.3277000000000001"/>
    <n v="9.3277000000000001"/>
    <n v="27542"/>
    <n v="-1.0889"/>
    <n v="1.0949"/>
  </r>
  <r>
    <n v="2330"/>
    <x v="1"/>
    <d v="2010-09-16T00:00:00"/>
    <x v="3"/>
    <x v="8"/>
    <n v="43.976199999999999"/>
    <n v="44.120800000000003"/>
    <n v="43.7592"/>
    <n v="43.7592"/>
    <n v="27918"/>
    <n v="-1.1504000000000001"/>
    <n v="0.82640000000000002"/>
  </r>
  <r>
    <n v="2303"/>
    <x v="0"/>
    <d v="2010-09-17T00:00:00"/>
    <x v="4"/>
    <x v="8"/>
    <n v="9.3277000000000001"/>
    <n v="9.4298000000000002"/>
    <n v="9.3277000000000001"/>
    <n v="9.3956999999999997"/>
    <n v="47724"/>
    <n v="0.72729999999999995"/>
    <n v="1.0949"/>
  </r>
  <r>
    <n v="2330"/>
    <x v="1"/>
    <d v="2010-09-17T00:00:00"/>
    <x v="4"/>
    <x v="8"/>
    <n v="44.120800000000003"/>
    <n v="44.4101"/>
    <n v="43.831499999999998"/>
    <n v="44.265500000000003"/>
    <n v="49430"/>
    <n v="1.1504000000000001"/>
    <n v="1.3201000000000001"/>
  </r>
  <r>
    <n v="2303"/>
    <x v="0"/>
    <d v="2010-09-20T00:00:00"/>
    <x v="0"/>
    <x v="8"/>
    <n v="9.3617000000000008"/>
    <n v="9.3956999999999997"/>
    <n v="9.2935999999999996"/>
    <n v="9.3617000000000008"/>
    <n v="28362"/>
    <n v="-0.36299999999999999"/>
    <n v="1.0989"/>
  </r>
  <r>
    <n v="2330"/>
    <x v="1"/>
    <d v="2010-09-20T00:00:00"/>
    <x v="0"/>
    <x v="8"/>
    <n v="44.482500000000002"/>
    <n v="44.844099999999997"/>
    <n v="44.337800000000001"/>
    <n v="44.844099999999997"/>
    <n v="66009"/>
    <n v="1.2987"/>
    <n v="1.1418999999999999"/>
  </r>
  <r>
    <n v="2303"/>
    <x v="0"/>
    <d v="2010-09-21T00:00:00"/>
    <x v="1"/>
    <x v="8"/>
    <n v="9.4298000000000002"/>
    <n v="9.5319000000000003"/>
    <n v="9.3956999999999997"/>
    <n v="9.4298000000000002"/>
    <n v="24948"/>
    <n v="0.72460000000000002"/>
    <n v="1.4493"/>
  </r>
  <r>
    <n v="2330"/>
    <x v="1"/>
    <d v="2010-09-21T00:00:00"/>
    <x v="1"/>
    <x v="8"/>
    <n v="45.061100000000003"/>
    <n v="45.061100000000003"/>
    <n v="44.5548"/>
    <n v="44.699399999999997"/>
    <n v="32745"/>
    <n v="-0.3231"/>
    <n v="1.1364000000000001"/>
  </r>
  <r>
    <n v="2303"/>
    <x v="0"/>
    <d v="2010-09-23T00:00:00"/>
    <x v="3"/>
    <x v="8"/>
    <n v="9.4298000000000002"/>
    <n v="9.4638000000000009"/>
    <n v="9.3277000000000001"/>
    <n v="9.4298000000000002"/>
    <n v="27504"/>
    <n v="0"/>
    <n v="1.4599"/>
  </r>
  <r>
    <n v="2330"/>
    <x v="1"/>
    <d v="2010-09-23T00:00:00"/>
    <x v="3"/>
    <x v="8"/>
    <n v="44.048499999999997"/>
    <n v="44.048499999999997"/>
    <n v="43.325200000000002"/>
    <n v="43.397500000000001"/>
    <n v="106308"/>
    <n v="-2.9559000000000002"/>
    <n v="1.6694"/>
  </r>
  <r>
    <n v="2303"/>
    <x v="0"/>
    <d v="2010-09-24T00:00:00"/>
    <x v="4"/>
    <x v="8"/>
    <n v="9.3617000000000008"/>
    <n v="9.3956999999999997"/>
    <n v="9.2596000000000007"/>
    <n v="9.3277000000000001"/>
    <n v="50056"/>
    <n v="-1.0889"/>
    <n v="1.4705999999999999"/>
  </r>
  <r>
    <n v="2330"/>
    <x v="1"/>
    <d v="2010-09-24T00:00:00"/>
    <x v="4"/>
    <x v="8"/>
    <n v="43.180500000000002"/>
    <n v="43.542200000000001"/>
    <n v="43.108199999999997"/>
    <n v="43.469799999999999"/>
    <n v="60417"/>
    <n v="0.16650000000000001"/>
    <n v="1.0066999999999999"/>
  </r>
  <r>
    <n v="2303"/>
    <x v="0"/>
    <d v="2010-09-27T00:00:00"/>
    <x v="0"/>
    <x v="8"/>
    <n v="9.3956999999999997"/>
    <n v="9.4298000000000002"/>
    <n v="9.3277000000000001"/>
    <n v="9.3617000000000008"/>
    <n v="20780"/>
    <n v="0.36430000000000001"/>
    <n v="1.0949"/>
  </r>
  <r>
    <n v="2330"/>
    <x v="1"/>
    <d v="2010-09-27T00:00:00"/>
    <x v="0"/>
    <x v="8"/>
    <n v="43.976199999999999"/>
    <n v="43.976199999999999"/>
    <n v="43.686799999999998"/>
    <n v="43.903799999999997"/>
    <n v="60795"/>
    <n v="0.99339999999999995"/>
    <n v="0.6623"/>
  </r>
  <r>
    <n v="2303"/>
    <x v="0"/>
    <d v="2010-09-28T00:00:00"/>
    <x v="1"/>
    <x v="8"/>
    <n v="9.2596000000000007"/>
    <n v="9.3617000000000008"/>
    <n v="9.2596000000000007"/>
    <n v="9.3617000000000008"/>
    <n v="30846"/>
    <n v="0"/>
    <n v="1.1029"/>
  </r>
  <r>
    <n v="2330"/>
    <x v="1"/>
    <d v="2010-09-28T00:00:00"/>
    <x v="1"/>
    <x v="8"/>
    <n v="43.903799999999997"/>
    <n v="44.265500000000003"/>
    <n v="43.831499999999998"/>
    <n v="44.120800000000003"/>
    <n v="48385"/>
    <n v="0.49299999999999999"/>
    <n v="0.99009999999999998"/>
  </r>
  <r>
    <n v="2303"/>
    <x v="0"/>
    <d v="2010-09-29T00:00:00"/>
    <x v="2"/>
    <x v="8"/>
    <n v="9.3617000000000008"/>
    <n v="9.4298000000000002"/>
    <n v="9.3277000000000001"/>
    <n v="9.3617000000000008"/>
    <n v="40403"/>
    <n v="0"/>
    <n v="1.0949"/>
  </r>
  <r>
    <n v="2330"/>
    <x v="1"/>
    <d v="2010-09-29T00:00:00"/>
    <x v="2"/>
    <x v="8"/>
    <n v="44.482500000000002"/>
    <n v="44.771799999999999"/>
    <n v="44.120800000000003"/>
    <n v="44.482500000000002"/>
    <n v="79797"/>
    <n v="0.81630000000000003"/>
    <n v="1.4754"/>
  </r>
  <r>
    <n v="2303"/>
    <x v="0"/>
    <d v="2010-09-30T00:00:00"/>
    <x v="3"/>
    <x v="8"/>
    <n v="9.3956999999999997"/>
    <n v="9.4638000000000009"/>
    <n v="9.3617000000000008"/>
    <n v="9.4298000000000002"/>
    <n v="31348"/>
    <n v="0.72460000000000002"/>
    <n v="1.0909"/>
  </r>
  <r>
    <n v="2330"/>
    <x v="1"/>
    <d v="2010-09-30T00:00:00"/>
    <x v="3"/>
    <x v="8"/>
    <n v="44.627099999999999"/>
    <n v="44.844099999999997"/>
    <n v="44.5548"/>
    <n v="44.844099999999997"/>
    <n v="59691"/>
    <n v="0.80969999999999998"/>
    <n v="0.64939999999999998"/>
  </r>
  <r>
    <n v="2303"/>
    <x v="0"/>
    <d v="2010-10-01T00:00:00"/>
    <x v="4"/>
    <x v="9"/>
    <n v="9.4298000000000002"/>
    <n v="9.4638000000000009"/>
    <n v="9.3617000000000008"/>
    <n v="9.4298000000000002"/>
    <n v="19078"/>
    <n v="0"/>
    <n v="1.0909"/>
  </r>
  <r>
    <n v="2330"/>
    <x v="1"/>
    <d v="2010-10-01T00:00:00"/>
    <x v="4"/>
    <x v="9"/>
    <n v="44.988799999999998"/>
    <n v="45.061100000000003"/>
    <n v="44.627099999999999"/>
    <n v="44.844099999999997"/>
    <n v="39000"/>
    <n v="0"/>
    <n v="0.97240000000000004"/>
  </r>
  <r>
    <n v="2303"/>
    <x v="0"/>
    <d v="2010-10-04T00:00:00"/>
    <x v="0"/>
    <x v="9"/>
    <n v="9.4298000000000002"/>
    <n v="9.4978999999999996"/>
    <n v="9.3617000000000008"/>
    <n v="9.3956999999999997"/>
    <n v="32424"/>
    <n v="-0.36170000000000002"/>
    <n v="1.4544999999999999"/>
  </r>
  <r>
    <n v="2330"/>
    <x v="1"/>
    <d v="2010-10-04T00:00:00"/>
    <x v="0"/>
    <x v="9"/>
    <n v="44.844099999999997"/>
    <n v="44.916400000000003"/>
    <n v="44.5548"/>
    <n v="44.771799999999999"/>
    <n v="25797"/>
    <n v="-0.16139999999999999"/>
    <n v="0.81169999999999998"/>
  </r>
  <r>
    <n v="2303"/>
    <x v="0"/>
    <d v="2010-10-05T00:00:00"/>
    <x v="1"/>
    <x v="9"/>
    <n v="9.3617000000000008"/>
    <n v="9.3956999999999997"/>
    <n v="9.2935999999999996"/>
    <n v="9.3277000000000001"/>
    <n v="27064"/>
    <n v="-0.72729999999999995"/>
    <n v="1.0989"/>
  </r>
  <r>
    <n v="2330"/>
    <x v="1"/>
    <d v="2010-10-05T00:00:00"/>
    <x v="1"/>
    <x v="9"/>
    <n v="44.627099999999999"/>
    <n v="44.627099999999999"/>
    <n v="44.048499999999997"/>
    <n v="44.193100000000001"/>
    <n v="30388"/>
    <n v="-1.3008"/>
    <n v="1.3136000000000001"/>
  </r>
  <r>
    <n v="2303"/>
    <x v="0"/>
    <d v="2010-10-06T00:00:00"/>
    <x v="2"/>
    <x v="9"/>
    <n v="9.3956999999999997"/>
    <n v="9.4978999999999996"/>
    <n v="9.3617000000000008"/>
    <n v="9.4638000000000009"/>
    <n v="46540"/>
    <n v="1.4493"/>
    <n v="1.4544999999999999"/>
  </r>
  <r>
    <n v="2330"/>
    <x v="1"/>
    <d v="2010-10-06T00:00:00"/>
    <x v="2"/>
    <x v="9"/>
    <n v="44.771799999999999"/>
    <n v="44.844099999999997"/>
    <n v="44.482500000000002"/>
    <n v="44.699399999999997"/>
    <n v="34183"/>
    <n v="1.1391"/>
    <n v="0.81299999999999994"/>
  </r>
  <r>
    <n v="2303"/>
    <x v="0"/>
    <d v="2010-10-07T00:00:00"/>
    <x v="3"/>
    <x v="9"/>
    <n v="9.4638000000000009"/>
    <n v="9.4978999999999996"/>
    <n v="9.4298000000000002"/>
    <n v="9.4638000000000009"/>
    <n v="39067"/>
    <n v="0"/>
    <n v="0.72199999999999998"/>
  </r>
  <r>
    <n v="2330"/>
    <x v="1"/>
    <d v="2010-10-07T00:00:00"/>
    <x v="3"/>
    <x v="9"/>
    <n v="44.4101"/>
    <n v="44.627099999999999"/>
    <n v="44.120800000000003"/>
    <n v="44.337800000000001"/>
    <n v="39333"/>
    <n v="-0.81240000000000001"/>
    <n v="1.1475"/>
  </r>
  <r>
    <n v="2303"/>
    <x v="0"/>
    <d v="2010-10-08T00:00:00"/>
    <x v="4"/>
    <x v="9"/>
    <n v="9.5319000000000003"/>
    <n v="9.5660000000000007"/>
    <n v="9.4638000000000009"/>
    <n v="9.4978999999999996"/>
    <n v="34456"/>
    <n v="0.35909999999999997"/>
    <n v="1.0790999999999999"/>
  </r>
  <r>
    <n v="2330"/>
    <x v="1"/>
    <d v="2010-10-08T00:00:00"/>
    <x v="4"/>
    <x v="9"/>
    <n v="44.120800000000003"/>
    <n v="44.699399999999997"/>
    <n v="44.120800000000003"/>
    <n v="44.699399999999997"/>
    <n v="58237"/>
    <n v="0.81240000000000001"/>
    <n v="1.3115000000000001"/>
  </r>
  <r>
    <n v="2303"/>
    <x v="0"/>
    <d v="2010-10-11T00:00:00"/>
    <x v="0"/>
    <x v="9"/>
    <n v="9.5319000000000003"/>
    <n v="9.5660000000000007"/>
    <n v="9.4298000000000002"/>
    <n v="9.4638000000000009"/>
    <n v="24506"/>
    <n v="-0.35909999999999997"/>
    <n v="1.444"/>
  </r>
  <r>
    <n v="2330"/>
    <x v="1"/>
    <d v="2010-10-11T00:00:00"/>
    <x v="0"/>
    <x v="9"/>
    <n v="44.844099999999997"/>
    <n v="44.844099999999997"/>
    <n v="44.193100000000001"/>
    <n v="44.482500000000002"/>
    <n v="24646"/>
    <n v="-0.48659999999999998"/>
    <n v="1.4730000000000001"/>
  </r>
  <r>
    <n v="2303"/>
    <x v="0"/>
    <d v="2010-10-12T00:00:00"/>
    <x v="1"/>
    <x v="9"/>
    <n v="9.3956999999999997"/>
    <n v="9.3956999999999997"/>
    <n v="9.1914999999999996"/>
    <n v="9.2596000000000007"/>
    <n v="52090"/>
    <n v="-2.1819000000000002"/>
    <n v="2.2222"/>
  </r>
  <r>
    <n v="2330"/>
    <x v="1"/>
    <d v="2010-10-12T00:00:00"/>
    <x v="1"/>
    <x v="9"/>
    <n v="44.482500000000002"/>
    <n v="44.482500000000002"/>
    <n v="43.686799999999998"/>
    <n v="44.120800000000003"/>
    <n v="28094"/>
    <n v="-0.81630000000000003"/>
    <n v="1.8211999999999999"/>
  </r>
  <r>
    <n v="2303"/>
    <x v="0"/>
    <d v="2010-10-13T00:00:00"/>
    <x v="2"/>
    <x v="9"/>
    <n v="9.3277000000000001"/>
    <n v="9.3277000000000001"/>
    <n v="9.1574000000000009"/>
    <n v="9.1914999999999996"/>
    <n v="45627"/>
    <n v="-0.73799999999999999"/>
    <n v="1.8587"/>
  </r>
  <r>
    <n v="2330"/>
    <x v="1"/>
    <d v="2010-10-13T00:00:00"/>
    <x v="2"/>
    <x v="9"/>
    <n v="44.337800000000001"/>
    <n v="44.337800000000001"/>
    <n v="43.686799999999998"/>
    <n v="44.120800000000003"/>
    <n v="31040"/>
    <n v="0"/>
    <n v="1.4901"/>
  </r>
  <r>
    <n v="2303"/>
    <x v="0"/>
    <d v="2010-10-14T00:00:00"/>
    <x v="3"/>
    <x v="9"/>
    <n v="9.2935999999999996"/>
    <n v="9.3617000000000008"/>
    <n v="9.2596000000000007"/>
    <n v="9.3277000000000001"/>
    <n v="32663"/>
    <n v="1.4705999999999999"/>
    <n v="1.1029"/>
  </r>
  <r>
    <n v="2330"/>
    <x v="1"/>
    <d v="2010-10-14T00:00:00"/>
    <x v="3"/>
    <x v="9"/>
    <n v="44.4101"/>
    <n v="44.844099999999997"/>
    <n v="44.337800000000001"/>
    <n v="44.699399999999997"/>
    <n v="48827"/>
    <n v="1.3029999999999999"/>
    <n v="1.1418999999999999"/>
  </r>
  <r>
    <n v="2303"/>
    <x v="0"/>
    <d v="2010-10-15T00:00:00"/>
    <x v="4"/>
    <x v="9"/>
    <n v="9.3617000000000008"/>
    <n v="9.3617000000000008"/>
    <n v="9.2255000000000003"/>
    <n v="9.2935999999999996"/>
    <n v="20074"/>
    <n v="-0.36559999999999998"/>
    <n v="1.476"/>
  </r>
  <r>
    <n v="2330"/>
    <x v="1"/>
    <d v="2010-10-15T00:00:00"/>
    <x v="4"/>
    <x v="9"/>
    <n v="44.337800000000001"/>
    <n v="44.771799999999999"/>
    <n v="44.265500000000003"/>
    <n v="44.771799999999999"/>
    <n v="30492"/>
    <n v="0.16170000000000001"/>
    <n v="1.1437999999999999"/>
  </r>
  <r>
    <n v="2303"/>
    <x v="0"/>
    <d v="2010-10-18T00:00:00"/>
    <x v="0"/>
    <x v="9"/>
    <n v="9.2935999999999996"/>
    <n v="9.3277000000000001"/>
    <n v="9.0893999999999995"/>
    <n v="9.0893999999999995"/>
    <n v="30407"/>
    <n v="-2.2223000000000002"/>
    <n v="2.6217000000000001"/>
  </r>
  <r>
    <n v="2330"/>
    <x v="1"/>
    <d v="2010-10-18T00:00:00"/>
    <x v="0"/>
    <x v="9"/>
    <n v="44.4101"/>
    <n v="44.699399999999997"/>
    <n v="43.686799999999998"/>
    <n v="43.7592"/>
    <n v="32530"/>
    <n v="-2.2877000000000001"/>
    <n v="2.3178999999999998"/>
  </r>
  <r>
    <n v="2303"/>
    <x v="0"/>
    <d v="2010-10-19T00:00:00"/>
    <x v="1"/>
    <x v="9"/>
    <n v="9.0893999999999995"/>
    <n v="9.1234000000000002"/>
    <n v="9.0553000000000008"/>
    <n v="9.0893999999999995"/>
    <n v="32551"/>
    <n v="0"/>
    <n v="0.75190000000000001"/>
  </r>
  <r>
    <n v="2330"/>
    <x v="1"/>
    <d v="2010-10-19T00:00:00"/>
    <x v="1"/>
    <x v="9"/>
    <n v="43.831499999999998"/>
    <n v="43.903799999999997"/>
    <n v="43.469799999999999"/>
    <n v="43.903799999999997"/>
    <n v="36089"/>
    <n v="0.33"/>
    <n v="0.99829999999999997"/>
  </r>
  <r>
    <n v="2303"/>
    <x v="0"/>
    <d v="2010-10-20T00:00:00"/>
    <x v="2"/>
    <x v="9"/>
    <n v="9.0553000000000008"/>
    <n v="9.2596000000000007"/>
    <n v="9.0213000000000001"/>
    <n v="9.2255000000000003"/>
    <n v="32001"/>
    <n v="1.4870000000000001"/>
    <n v="2.6415000000000002"/>
  </r>
  <r>
    <n v="2330"/>
    <x v="1"/>
    <d v="2010-10-20T00:00:00"/>
    <x v="2"/>
    <x v="9"/>
    <n v="43.7592"/>
    <n v="44.193100000000001"/>
    <n v="43.686799999999998"/>
    <n v="44.120800000000003"/>
    <n v="34490"/>
    <n v="0.49299999999999999"/>
    <n v="1.1589"/>
  </r>
  <r>
    <n v="2303"/>
    <x v="0"/>
    <d v="2010-10-21T00:00:00"/>
    <x v="3"/>
    <x v="9"/>
    <n v="9.2255000000000003"/>
    <n v="9.2596000000000007"/>
    <n v="9.0553000000000008"/>
    <n v="9.0553000000000008"/>
    <n v="26019"/>
    <n v="-1.8623000000000001"/>
    <n v="2.2555999999999998"/>
  </r>
  <r>
    <n v="2330"/>
    <x v="1"/>
    <d v="2010-10-21T00:00:00"/>
    <x v="3"/>
    <x v="9"/>
    <n v="44.337800000000001"/>
    <n v="44.4101"/>
    <n v="43.976199999999999"/>
    <n v="44.120800000000003"/>
    <n v="40237"/>
    <n v="0"/>
    <n v="0.98680000000000001"/>
  </r>
  <r>
    <n v="2303"/>
    <x v="0"/>
    <d v="2010-10-22T00:00:00"/>
    <x v="4"/>
    <x v="9"/>
    <n v="9.0893999999999995"/>
    <n v="9.2255000000000003"/>
    <n v="9.0893999999999995"/>
    <n v="9.1234000000000002"/>
    <n v="25606"/>
    <n v="0.74909999999999999"/>
    <n v="1.4981"/>
  </r>
  <r>
    <n v="2330"/>
    <x v="1"/>
    <d v="2010-10-22T00:00:00"/>
    <x v="4"/>
    <x v="9"/>
    <n v="44.627099999999999"/>
    <n v="44.699399999999997"/>
    <n v="44.4101"/>
    <n v="44.699399999999997"/>
    <n v="42971"/>
    <n v="1.3029999999999999"/>
    <n v="0.65149999999999997"/>
  </r>
  <r>
    <n v="2303"/>
    <x v="0"/>
    <d v="2010-10-25T00:00:00"/>
    <x v="0"/>
    <x v="9"/>
    <n v="9.1914999999999996"/>
    <n v="9.4298000000000002"/>
    <n v="9.1574000000000009"/>
    <n v="9.4298000000000002"/>
    <n v="68028"/>
    <n v="3.3031000000000001"/>
    <n v="2.9740000000000002"/>
  </r>
  <r>
    <n v="2330"/>
    <x v="1"/>
    <d v="2010-10-25T00:00:00"/>
    <x v="0"/>
    <x v="9"/>
    <n v="44.844099999999997"/>
    <n v="44.988799999999998"/>
    <n v="44.699399999999997"/>
    <n v="44.844099999999997"/>
    <n v="38700"/>
    <n v="0.3231"/>
    <n v="0.6472"/>
  </r>
  <r>
    <n v="2303"/>
    <x v="0"/>
    <d v="2010-10-26T00:00:00"/>
    <x v="1"/>
    <x v="9"/>
    <n v="9.4978999999999996"/>
    <n v="9.5319000000000003"/>
    <n v="9.3617000000000008"/>
    <n v="9.4298000000000002"/>
    <n v="45666"/>
    <n v="0"/>
    <n v="1.8182"/>
  </r>
  <r>
    <n v="2330"/>
    <x v="1"/>
    <d v="2010-10-26T00:00:00"/>
    <x v="1"/>
    <x v="9"/>
    <n v="44.988799999999998"/>
    <n v="45.061100000000003"/>
    <n v="44.844099999999997"/>
    <n v="45.061100000000003"/>
    <n v="37964"/>
    <n v="0.48270000000000002"/>
    <n v="0.4839"/>
  </r>
  <r>
    <n v="2303"/>
    <x v="0"/>
    <d v="2010-10-27T00:00:00"/>
    <x v="2"/>
    <x v="9"/>
    <n v="9.3956999999999997"/>
    <n v="9.4298000000000002"/>
    <n v="9.2935999999999996"/>
    <n v="9.3956999999999997"/>
    <n v="29918"/>
    <n v="-0.36170000000000002"/>
    <n v="1.4652000000000001"/>
  </r>
  <r>
    <n v="2330"/>
    <x v="1"/>
    <d v="2010-10-27T00:00:00"/>
    <x v="2"/>
    <x v="9"/>
    <n v="45.061100000000003"/>
    <n v="45.133400000000002"/>
    <n v="44.771799999999999"/>
    <n v="44.844099999999997"/>
    <n v="28106"/>
    <n v="-0.48270000000000002"/>
    <n v="0.80779999999999996"/>
  </r>
  <r>
    <n v="2303"/>
    <x v="0"/>
    <d v="2010-10-28T00:00:00"/>
    <x v="3"/>
    <x v="9"/>
    <n v="9.7702000000000009"/>
    <n v="10.0426"/>
    <n v="9.7020999999999997"/>
    <n v="9.8383000000000003"/>
    <n v="454580"/>
    <n v="4.6025999999999998"/>
    <n v="3.5087999999999999"/>
  </r>
  <r>
    <n v="2330"/>
    <x v="1"/>
    <d v="2010-10-28T00:00:00"/>
    <x v="3"/>
    <x v="9"/>
    <n v="45.133400000000002"/>
    <n v="45.567399999999999"/>
    <n v="44.916400000000003"/>
    <n v="45.3504"/>
    <n v="62152"/>
    <n v="1.1227"/>
    <n v="1.4493"/>
  </r>
  <r>
    <n v="2303"/>
    <x v="0"/>
    <d v="2010-10-29T00:00:00"/>
    <x v="4"/>
    <x v="9"/>
    <n v="9.8722999999999992"/>
    <n v="9.9745000000000008"/>
    <n v="9.7702000000000009"/>
    <n v="9.9063999999999997"/>
    <n v="232098"/>
    <n v="0.68969999999999998"/>
    <n v="2.0905999999999998"/>
  </r>
  <r>
    <n v="2330"/>
    <x v="1"/>
    <d v="2010-10-29T00:00:00"/>
    <x v="4"/>
    <x v="9"/>
    <n v="45.567399999999999"/>
    <n v="45.639699999999998"/>
    <n v="45.205800000000004"/>
    <n v="45.422699999999999"/>
    <n v="67950"/>
    <n v="0.15939999999999999"/>
    <n v="0.96"/>
  </r>
  <r>
    <n v="2303"/>
    <x v="0"/>
    <d v="2010-11-01T00:00:00"/>
    <x v="0"/>
    <x v="10"/>
    <n v="9.9404000000000003"/>
    <n v="9.9745000000000008"/>
    <n v="9.8042999999999996"/>
    <n v="9.8042999999999996"/>
    <n v="113523"/>
    <n v="-1.0363"/>
    <n v="1.7361"/>
  </r>
  <r>
    <n v="2330"/>
    <x v="1"/>
    <d v="2010-11-01T00:00:00"/>
    <x v="0"/>
    <x v="10"/>
    <n v="45.856699999999996"/>
    <n v="45.929000000000002"/>
    <n v="45.567399999999999"/>
    <n v="45.929000000000002"/>
    <n v="76412"/>
    <n v="1.1085"/>
    <n v="0.79369999999999996"/>
  </r>
  <r>
    <n v="2303"/>
    <x v="0"/>
    <d v="2010-11-02T00:00:00"/>
    <x v="1"/>
    <x v="10"/>
    <n v="9.7702000000000009"/>
    <n v="9.9404000000000003"/>
    <n v="9.7702000000000009"/>
    <n v="9.8383000000000003"/>
    <n v="74217"/>
    <n v="0.34660000000000002"/>
    <n v="1.7422"/>
  </r>
  <r>
    <n v="2330"/>
    <x v="1"/>
    <d v="2010-11-02T00:00:00"/>
    <x v="1"/>
    <x v="10"/>
    <n v="45.567399999999999"/>
    <n v="45.856699999999996"/>
    <n v="45.567399999999999"/>
    <n v="45.784399999999998"/>
    <n v="24422"/>
    <n v="-0.3155"/>
    <n v="0.63490000000000002"/>
  </r>
  <r>
    <n v="2303"/>
    <x v="0"/>
    <d v="2010-11-03T00:00:00"/>
    <x v="2"/>
    <x v="10"/>
    <n v="9.9063999999999997"/>
    <n v="9.9404000000000003"/>
    <n v="9.7362000000000002"/>
    <n v="9.8042999999999996"/>
    <n v="86425"/>
    <n v="-0.34660000000000002"/>
    <n v="2.0979000000000001"/>
  </r>
  <r>
    <n v="2330"/>
    <x v="1"/>
    <d v="2010-11-03T00:00:00"/>
    <x v="2"/>
    <x v="10"/>
    <n v="45.929000000000002"/>
    <n v="46.290700000000001"/>
    <n v="45.784399999999998"/>
    <n v="46.218400000000003"/>
    <n v="45944"/>
    <n v="0.94340000000000002"/>
    <n v="1.1057999999999999"/>
  </r>
  <r>
    <n v="2303"/>
    <x v="0"/>
    <d v="2010-11-04T00:00:00"/>
    <x v="3"/>
    <x v="10"/>
    <n v="9.8383000000000003"/>
    <n v="10.1106"/>
    <n v="9.8383000000000003"/>
    <n v="10.1106"/>
    <n v="162524"/>
    <n v="3.0771999999999999"/>
    <n v="2.7682000000000002"/>
  </r>
  <r>
    <n v="2330"/>
    <x v="1"/>
    <d v="2010-11-04T00:00:00"/>
    <x v="3"/>
    <x v="10"/>
    <n v="46.218400000000003"/>
    <n v="46.363"/>
    <n v="46.001399999999997"/>
    <n v="46.218400000000003"/>
    <n v="32789"/>
    <n v="0"/>
    <n v="0.78620000000000001"/>
  </r>
  <r>
    <n v="2303"/>
    <x v="0"/>
    <d v="2010-11-05T00:00:00"/>
    <x v="4"/>
    <x v="10"/>
    <n v="10.2128"/>
    <n v="10.485099999999999"/>
    <n v="10.1447"/>
    <n v="10.485099999999999"/>
    <n v="231845"/>
    <n v="3.6368"/>
    <n v="3.3557000000000001"/>
  </r>
  <r>
    <n v="2330"/>
    <x v="1"/>
    <d v="2010-11-05T00:00:00"/>
    <x v="4"/>
    <x v="10"/>
    <n v="46.652299999999997"/>
    <n v="46.724699999999999"/>
    <n v="46.146000000000001"/>
    <n v="46.435299999999998"/>
    <n v="44439"/>
    <n v="0.46839999999999998"/>
    <n v="1.2539"/>
  </r>
  <r>
    <n v="2303"/>
    <x v="0"/>
    <d v="2010-11-08T00:00:00"/>
    <x v="0"/>
    <x v="10"/>
    <n v="10.5532"/>
    <n v="10.5532"/>
    <n v="10.280900000000001"/>
    <n v="10.3149"/>
    <n v="76340"/>
    <n v="-1.6367"/>
    <n v="2.649"/>
  </r>
  <r>
    <n v="2330"/>
    <x v="1"/>
    <d v="2010-11-08T00:00:00"/>
    <x v="0"/>
    <x v="10"/>
    <n v="46.435299999999998"/>
    <n v="46.435299999999998"/>
    <n v="45.639699999999998"/>
    <n v="45.784399999999998"/>
    <n v="25993"/>
    <n v="-1.4117999999999999"/>
    <n v="1.7433000000000001"/>
  </r>
  <r>
    <n v="2303"/>
    <x v="0"/>
    <d v="2010-11-09T00:00:00"/>
    <x v="1"/>
    <x v="10"/>
    <n v="10.417"/>
    <n v="10.485099999999999"/>
    <n v="10.3149"/>
    <n v="10.3489"/>
    <n v="47305"/>
    <n v="0.32950000000000002"/>
    <n v="1.6501999999999999"/>
  </r>
  <r>
    <n v="2330"/>
    <x v="1"/>
    <d v="2010-11-09T00:00:00"/>
    <x v="1"/>
    <x v="10"/>
    <n v="45.784399999999998"/>
    <n v="46.290700000000001"/>
    <n v="45.639699999999998"/>
    <n v="46.290700000000001"/>
    <n v="25859"/>
    <n v="1.0998000000000001"/>
    <n v="1.4262999999999999"/>
  </r>
  <r>
    <n v="2303"/>
    <x v="0"/>
    <d v="2010-11-10T00:00:00"/>
    <x v="2"/>
    <x v="10"/>
    <n v="10.382999999999999"/>
    <n v="10.417"/>
    <n v="10.2468"/>
    <n v="10.3489"/>
    <n v="53151"/>
    <n v="0"/>
    <n v="1.6611"/>
  </r>
  <r>
    <n v="2330"/>
    <x v="1"/>
    <d v="2010-11-10T00:00:00"/>
    <x v="2"/>
    <x v="10"/>
    <n v="46.290700000000001"/>
    <n v="46.5077"/>
    <n v="46.073700000000002"/>
    <n v="46.435299999999998"/>
    <n v="40350"/>
    <n v="0.312"/>
    <n v="0.94189999999999996"/>
  </r>
  <r>
    <n v="2303"/>
    <x v="0"/>
    <d v="2010-11-11T00:00:00"/>
    <x v="3"/>
    <x v="10"/>
    <n v="10.382999999999999"/>
    <n v="10.417"/>
    <n v="10.2468"/>
    <n v="10.2468"/>
    <n v="46337"/>
    <n v="-0.99170000000000003"/>
    <n v="1.6611"/>
  </r>
  <r>
    <n v="2330"/>
    <x v="1"/>
    <d v="2010-11-11T00:00:00"/>
    <x v="3"/>
    <x v="10"/>
    <n v="46.218400000000003"/>
    <n v="46.435299999999998"/>
    <n v="46.073700000000002"/>
    <n v="46.073700000000002"/>
    <n v="31729"/>
    <n v="-0.78190000000000004"/>
    <n v="0.78490000000000004"/>
  </r>
  <r>
    <n v="2303"/>
    <x v="0"/>
    <d v="2010-11-12T00:00:00"/>
    <x v="4"/>
    <x v="10"/>
    <n v="10.2128"/>
    <n v="10.2128"/>
    <n v="9.9404000000000003"/>
    <n v="9.9404000000000003"/>
    <n v="75394"/>
    <n v="-3.0356000000000001"/>
    <n v="2.7397"/>
  </r>
  <r>
    <n v="2330"/>
    <x v="1"/>
    <d v="2010-11-12T00:00:00"/>
    <x v="4"/>
    <x v="10"/>
    <n v="46.001399999999997"/>
    <n v="46.290700000000001"/>
    <n v="45.567399999999999"/>
    <n v="45.567399999999999"/>
    <n v="29717"/>
    <n v="-1.105"/>
    <n v="1.5872999999999999"/>
  </r>
  <r>
    <n v="2303"/>
    <x v="0"/>
    <d v="2010-11-15T00:00:00"/>
    <x v="0"/>
    <x v="10"/>
    <n v="9.9404000000000003"/>
    <n v="10.1106"/>
    <n v="9.9404000000000003"/>
    <n v="10.1106"/>
    <n v="50422"/>
    <n v="1.6978"/>
    <n v="1.7122999999999999"/>
  </r>
  <r>
    <n v="2330"/>
    <x v="1"/>
    <d v="2010-11-15T00:00:00"/>
    <x v="0"/>
    <x v="10"/>
    <n v="46.146000000000001"/>
    <n v="46.290700000000001"/>
    <n v="45.7121"/>
    <n v="46.218400000000003"/>
    <n v="27654"/>
    <n v="1.4185000000000001"/>
    <n v="1.2658"/>
  </r>
  <r>
    <n v="2303"/>
    <x v="0"/>
    <d v="2010-11-16T00:00:00"/>
    <x v="1"/>
    <x v="10"/>
    <n v="10.178699999999999"/>
    <n v="10.178699999999999"/>
    <n v="10.0426"/>
    <n v="10.178699999999999"/>
    <n v="43916"/>
    <n v="0.67110000000000003"/>
    <n v="1.3559000000000001"/>
  </r>
  <r>
    <n v="2330"/>
    <x v="1"/>
    <d v="2010-11-16T00:00:00"/>
    <x v="1"/>
    <x v="10"/>
    <n v="46.5077"/>
    <n v="46.796999999999997"/>
    <n v="46.363"/>
    <n v="46.652299999999997"/>
    <n v="57574"/>
    <n v="0.93459999999999999"/>
    <n v="0.93600000000000005"/>
  </r>
  <r>
    <n v="2303"/>
    <x v="0"/>
    <d v="2010-11-17T00:00:00"/>
    <x v="2"/>
    <x v="10"/>
    <n v="10.1106"/>
    <n v="10.178699999999999"/>
    <n v="10.0085"/>
    <n v="10.1447"/>
    <n v="36654"/>
    <n v="-0.33500000000000002"/>
    <n v="1.7007000000000001"/>
  </r>
  <r>
    <n v="2330"/>
    <x v="1"/>
    <d v="2010-11-17T00:00:00"/>
    <x v="2"/>
    <x v="10"/>
    <n v="46.435299999999998"/>
    <n v="46.652299999999997"/>
    <n v="46.001399999999997"/>
    <n v="46.146000000000001"/>
    <n v="51389"/>
    <n v="-1.0911999999999999"/>
    <n v="1.4151"/>
  </r>
  <r>
    <n v="2303"/>
    <x v="0"/>
    <d v="2010-11-18T00:00:00"/>
    <x v="3"/>
    <x v="10"/>
    <n v="10.076599999999999"/>
    <n v="10.076599999999999"/>
    <n v="9.9063999999999997"/>
    <n v="10.0085"/>
    <n v="51395"/>
    <n v="-1.3513999999999999"/>
    <n v="1.7181999999999999"/>
  </r>
  <r>
    <n v="2330"/>
    <x v="1"/>
    <d v="2010-11-18T00:00:00"/>
    <x v="3"/>
    <x v="10"/>
    <n v="46.073700000000002"/>
    <n v="46.218400000000003"/>
    <n v="45.567399999999999"/>
    <n v="45.784399999999998"/>
    <n v="39098"/>
    <n v="-0.78680000000000005"/>
    <n v="1.4286000000000001"/>
  </r>
  <r>
    <n v="2303"/>
    <x v="0"/>
    <d v="2010-11-19T00:00:00"/>
    <x v="4"/>
    <x v="10"/>
    <n v="10.1447"/>
    <n v="10.1447"/>
    <n v="10.0085"/>
    <n v="10.0085"/>
    <n v="37459"/>
    <n v="0"/>
    <n v="1.3605"/>
  </r>
  <r>
    <n v="2330"/>
    <x v="1"/>
    <d v="2010-11-19T00:00:00"/>
    <x v="4"/>
    <x v="10"/>
    <n v="46.001399999999997"/>
    <n v="46.290700000000001"/>
    <n v="45.567399999999999"/>
    <n v="46.073700000000002"/>
    <n v="23828"/>
    <n v="0.62990000000000002"/>
    <n v="1.5872999999999999"/>
  </r>
  <r>
    <n v="2303"/>
    <x v="0"/>
    <d v="2010-11-22T00:00:00"/>
    <x v="0"/>
    <x v="10"/>
    <n v="10.1447"/>
    <n v="10.3149"/>
    <n v="10.0426"/>
    <n v="10.2468"/>
    <n v="56417"/>
    <n v="2.3530000000000002"/>
    <n v="2.7119"/>
  </r>
  <r>
    <n v="2330"/>
    <x v="1"/>
    <d v="2010-11-22T00:00:00"/>
    <x v="0"/>
    <x v="10"/>
    <n v="46.001399999999997"/>
    <n v="46.5077"/>
    <n v="45.7121"/>
    <n v="46.146000000000001"/>
    <n v="25455"/>
    <n v="0.15690000000000001"/>
    <n v="1.7404999999999999"/>
  </r>
  <r>
    <n v="2303"/>
    <x v="0"/>
    <d v="2010-11-23T00:00:00"/>
    <x v="1"/>
    <x v="10"/>
    <n v="10.2468"/>
    <n v="10.280900000000001"/>
    <n v="10.076599999999999"/>
    <n v="10.076599999999999"/>
    <n v="49746"/>
    <n v="-1.6751"/>
    <n v="2.0270000000000001"/>
  </r>
  <r>
    <n v="2330"/>
    <x v="1"/>
    <d v="2010-11-23T00:00:00"/>
    <x v="1"/>
    <x v="10"/>
    <n v="46.073700000000002"/>
    <n v="46.146000000000001"/>
    <n v="45.784399999999998"/>
    <n v="45.856699999999996"/>
    <n v="31197"/>
    <n v="-0.62890000000000001"/>
    <n v="0.78990000000000005"/>
  </r>
  <r>
    <n v="2303"/>
    <x v="0"/>
    <d v="2010-11-24T00:00:00"/>
    <x v="2"/>
    <x v="10"/>
    <n v="9.9404000000000003"/>
    <n v="10.076599999999999"/>
    <n v="9.9404000000000003"/>
    <n v="9.9745000000000008"/>
    <n v="34956"/>
    <n v="-1.0186999999999999"/>
    <n v="1.3698999999999999"/>
  </r>
  <r>
    <n v="2330"/>
    <x v="1"/>
    <d v="2010-11-24T00:00:00"/>
    <x v="2"/>
    <x v="10"/>
    <n v="45.567399999999999"/>
    <n v="46.290700000000001"/>
    <n v="45.567399999999999"/>
    <n v="45.7121"/>
    <n v="29838"/>
    <n v="-0.316"/>
    <n v="1.5872999999999999"/>
  </r>
  <r>
    <n v="2303"/>
    <x v="0"/>
    <d v="2010-11-25T00:00:00"/>
    <x v="3"/>
    <x v="10"/>
    <n v="10.076599999999999"/>
    <n v="10.2128"/>
    <n v="10.076599999999999"/>
    <n v="10.2128"/>
    <n v="55914"/>
    <n v="2.3610000000000002"/>
    <n v="1.3513999999999999"/>
  </r>
  <r>
    <n v="2330"/>
    <x v="1"/>
    <d v="2010-11-25T00:00:00"/>
    <x v="3"/>
    <x v="10"/>
    <n v="46.146000000000001"/>
    <n v="46.652299999999997"/>
    <n v="45.929000000000002"/>
    <n v="46.58"/>
    <n v="35239"/>
    <n v="1.8809"/>
    <n v="1.5748"/>
  </r>
  <r>
    <n v="2303"/>
    <x v="0"/>
    <d v="2010-11-26T00:00:00"/>
    <x v="4"/>
    <x v="10"/>
    <n v="10.280900000000001"/>
    <n v="10.3149"/>
    <n v="10.1447"/>
    <n v="10.1447"/>
    <n v="57957"/>
    <n v="-0.66890000000000005"/>
    <n v="1.6778999999999999"/>
  </r>
  <r>
    <n v="2330"/>
    <x v="1"/>
    <d v="2010-11-26T00:00:00"/>
    <x v="4"/>
    <x v="10"/>
    <n v="46.218400000000003"/>
    <n v="46.652299999999997"/>
    <n v="46.218400000000003"/>
    <n v="46.58"/>
    <n v="34464"/>
    <n v="0"/>
    <n v="0.93899999999999995"/>
  </r>
  <r>
    <n v="2303"/>
    <x v="0"/>
    <d v="2010-11-29T00:00:00"/>
    <x v="0"/>
    <x v="10"/>
    <n v="10.280900000000001"/>
    <n v="10.3149"/>
    <n v="10.178699999999999"/>
    <n v="10.280900000000001"/>
    <n v="61919"/>
    <n v="1.3333999999999999"/>
    <n v="1.3378000000000001"/>
  </r>
  <r>
    <n v="2330"/>
    <x v="1"/>
    <d v="2010-11-29T00:00:00"/>
    <x v="0"/>
    <x v="10"/>
    <n v="46.724699999999999"/>
    <n v="46.796999999999997"/>
    <n v="46.146000000000001"/>
    <n v="46.5077"/>
    <n v="35816"/>
    <n v="-0.15540000000000001"/>
    <n v="1.4107000000000001"/>
  </r>
  <r>
    <n v="2303"/>
    <x v="0"/>
    <d v="2010-11-30T00:00:00"/>
    <x v="1"/>
    <x v="10"/>
    <n v="10.280900000000001"/>
    <n v="10.4511"/>
    <n v="10.2128"/>
    <n v="10.280900000000001"/>
    <n v="82690"/>
    <n v="0"/>
    <n v="2.3332999999999999"/>
  </r>
  <r>
    <n v="2330"/>
    <x v="1"/>
    <d v="2010-11-30T00:00:00"/>
    <x v="1"/>
    <x v="10"/>
    <n v="46.146000000000001"/>
    <n v="46.58"/>
    <n v="45.856699999999996"/>
    <n v="45.856699999999996"/>
    <n v="70250"/>
    <n v="-1.4096"/>
    <n v="1.5772999999999999"/>
  </r>
  <r>
    <n v="2303"/>
    <x v="0"/>
    <d v="2010-12-01T00:00:00"/>
    <x v="2"/>
    <x v="11"/>
    <n v="10.3489"/>
    <n v="10.4511"/>
    <n v="10.280900000000001"/>
    <n v="10.4511"/>
    <n v="64448"/>
    <n v="1.6420999999999999"/>
    <n v="1.6556"/>
  </r>
  <r>
    <n v="2330"/>
    <x v="1"/>
    <d v="2010-12-01T00:00:00"/>
    <x v="2"/>
    <x v="11"/>
    <n v="46.146000000000001"/>
    <n v="46.724699999999999"/>
    <n v="46.146000000000001"/>
    <n v="46.724699999999999"/>
    <n v="58436"/>
    <n v="1.8751"/>
    <n v="1.2539"/>
  </r>
  <r>
    <n v="2303"/>
    <x v="0"/>
    <d v="2010-12-02T00:00:00"/>
    <x v="3"/>
    <x v="11"/>
    <n v="10.6213"/>
    <n v="10.9617"/>
    <n v="10.587199999999999"/>
    <n v="10.9617"/>
    <n v="195992"/>
    <n v="4.7704000000000004"/>
    <n v="3.5369999999999999"/>
  </r>
  <r>
    <n v="2330"/>
    <x v="1"/>
    <d v="2010-12-02T00:00:00"/>
    <x v="3"/>
    <x v="11"/>
    <n v="47.014000000000003"/>
    <n v="48.026600000000002"/>
    <n v="46.941699999999997"/>
    <n v="47.881900000000002"/>
    <n v="88027"/>
    <n v="2.4466000000000001"/>
    <n v="2.3111999999999999"/>
  </r>
  <r>
    <n v="2303"/>
    <x v="0"/>
    <d v="2010-12-03T00:00:00"/>
    <x v="4"/>
    <x v="11"/>
    <n v="11.166"/>
    <n v="11.472300000000001"/>
    <n v="11.063800000000001"/>
    <n v="11.166"/>
    <n v="195816"/>
    <n v="1.8462000000000001"/>
    <n v="3.6922999999999999"/>
  </r>
  <r>
    <n v="2330"/>
    <x v="1"/>
    <d v="2010-12-03T00:00:00"/>
    <x v="4"/>
    <x v="11"/>
    <n v="48.315899999999999"/>
    <n v="50.630400000000002"/>
    <n v="48.243600000000001"/>
    <n v="49.400799999999997"/>
    <n v="130917"/>
    <n v="3.1229"/>
    <n v="4.9474999999999998"/>
  </r>
  <r>
    <n v="2303"/>
    <x v="0"/>
    <d v="2010-12-06T00:00:00"/>
    <x v="0"/>
    <x v="11"/>
    <n v="11.234"/>
    <n v="11.302099999999999"/>
    <n v="11.0298"/>
    <n v="11.166"/>
    <n v="77010"/>
    <n v="0"/>
    <n v="2.4691000000000001"/>
  </r>
  <r>
    <n v="2330"/>
    <x v="1"/>
    <d v="2010-12-06T00:00:00"/>
    <x v="0"/>
    <x v="11"/>
    <n v="49.834800000000001"/>
    <n v="50.268799999999999"/>
    <n v="49.473199999999999"/>
    <n v="49.545499999999997"/>
    <n v="58841"/>
    <n v="0.29239999999999999"/>
    <n v="1.6082000000000001"/>
  </r>
  <r>
    <n v="2303"/>
    <x v="0"/>
    <d v="2010-12-07T00:00:00"/>
    <x v="1"/>
    <x v="11"/>
    <n v="11.166"/>
    <n v="11.166"/>
    <n v="10.9277"/>
    <n v="11.063800000000001"/>
    <n v="73773"/>
    <n v="-0.91879999999999995"/>
    <n v="2.1806999999999999"/>
  </r>
  <r>
    <n v="2330"/>
    <x v="1"/>
    <d v="2010-12-07T00:00:00"/>
    <x v="1"/>
    <x v="11"/>
    <n v="49.545499999999997"/>
    <n v="49.617800000000003"/>
    <n v="48.894500000000001"/>
    <n v="49.183900000000001"/>
    <n v="59039"/>
    <n v="-0.73260000000000003"/>
    <n v="1.4793000000000001"/>
  </r>
  <r>
    <n v="2303"/>
    <x v="0"/>
    <d v="2010-12-08T00:00:00"/>
    <x v="2"/>
    <x v="11"/>
    <n v="11.097899999999999"/>
    <n v="11.1319"/>
    <n v="10.9617"/>
    <n v="10.9617"/>
    <n v="45074"/>
    <n v="-0.9274"/>
    <n v="1.5528"/>
  </r>
  <r>
    <n v="2330"/>
    <x v="1"/>
    <d v="2010-12-08T00:00:00"/>
    <x v="2"/>
    <x v="11"/>
    <n v="49.617800000000003"/>
    <n v="49.690199999999997"/>
    <n v="49.039200000000001"/>
    <n v="49.183900000000001"/>
    <n v="47351"/>
    <n v="0"/>
    <n v="1.3273999999999999"/>
  </r>
  <r>
    <n v="2303"/>
    <x v="0"/>
    <d v="2010-12-09T00:00:00"/>
    <x v="3"/>
    <x v="11"/>
    <n v="11.063800000000001"/>
    <n v="11.404299999999999"/>
    <n v="11.0298"/>
    <n v="11.370200000000001"/>
    <n v="115060"/>
    <n v="3.6589"/>
    <n v="3.3950999999999998"/>
  </r>
  <r>
    <n v="2330"/>
    <x v="1"/>
    <d v="2010-12-09T00:00:00"/>
    <x v="3"/>
    <x v="11"/>
    <n v="49.9071"/>
    <n v="50.702800000000003"/>
    <n v="49.762500000000003"/>
    <n v="50.630400000000002"/>
    <n v="91627"/>
    <n v="2.8988"/>
    <n v="1.8895"/>
  </r>
  <r>
    <n v="2303"/>
    <x v="0"/>
    <d v="2010-12-10T00:00:00"/>
    <x v="4"/>
    <x v="11"/>
    <n v="11.2681"/>
    <n v="11.2681"/>
    <n v="11.0298"/>
    <n v="11.097899999999999"/>
    <n v="62653"/>
    <n v="-2.4243999999999999"/>
    <n v="2.1604999999999999"/>
  </r>
  <r>
    <n v="2330"/>
    <x v="1"/>
    <d v="2010-12-10T00:00:00"/>
    <x v="4"/>
    <x v="11"/>
    <n v="50.341099999999997"/>
    <n v="50.558100000000003"/>
    <n v="50.124099999999999"/>
    <n v="50.413499999999999"/>
    <n v="32865"/>
    <n v="-0.42949999999999999"/>
    <n v="0.86580000000000001"/>
  </r>
  <r>
    <n v="2303"/>
    <x v="0"/>
    <d v="2010-12-13T00:00:00"/>
    <x v="0"/>
    <x v="11"/>
    <n v="11.234"/>
    <n v="11.234"/>
    <n v="11.0298"/>
    <n v="11.0298"/>
    <n v="34157"/>
    <n v="-0.61539999999999995"/>
    <n v="1.8519000000000001"/>
  </r>
  <r>
    <n v="2330"/>
    <x v="1"/>
    <d v="2010-12-13T00:00:00"/>
    <x v="0"/>
    <x v="11"/>
    <n v="50.630400000000002"/>
    <n v="50.919800000000002"/>
    <n v="49.9071"/>
    <n v="50.1965"/>
    <n v="38255"/>
    <n v="-0.43130000000000002"/>
    <n v="2.0289999999999999"/>
  </r>
  <r>
    <n v="2303"/>
    <x v="0"/>
    <d v="2010-12-14T00:00:00"/>
    <x v="1"/>
    <x v="11"/>
    <n v="11.0298"/>
    <n v="11.097899999999999"/>
    <n v="10.893599999999999"/>
    <n v="10.9277"/>
    <n v="63379"/>
    <n v="-0.93020000000000003"/>
    <n v="1.875"/>
  </r>
  <r>
    <n v="2330"/>
    <x v="1"/>
    <d v="2010-12-14T00:00:00"/>
    <x v="1"/>
    <x v="11"/>
    <n v="50.558100000000003"/>
    <n v="50.558100000000003"/>
    <n v="49.690199999999997"/>
    <n v="49.9071"/>
    <n v="58489"/>
    <n v="-0.57799999999999996"/>
    <n v="1.7466999999999999"/>
  </r>
  <r>
    <n v="2303"/>
    <x v="0"/>
    <d v="2010-12-15T00:00:00"/>
    <x v="2"/>
    <x v="11"/>
    <n v="10.9277"/>
    <n v="11.063800000000001"/>
    <n v="10.893599999999999"/>
    <n v="11.063800000000001"/>
    <n v="47166"/>
    <n v="1.2383999999999999"/>
    <n v="1.5625"/>
  </r>
  <r>
    <n v="2330"/>
    <x v="1"/>
    <d v="2010-12-15T00:00:00"/>
    <x v="2"/>
    <x v="11"/>
    <n v="49.617800000000003"/>
    <n v="50.702800000000003"/>
    <n v="49.545499999999997"/>
    <n v="50.630400000000002"/>
    <n v="57589"/>
    <n v="1.4389000000000001"/>
    <n v="2.3357999999999999"/>
  </r>
  <r>
    <n v="2303"/>
    <x v="0"/>
    <d v="2010-12-16T00:00:00"/>
    <x v="3"/>
    <x v="11"/>
    <n v="11.0298"/>
    <n v="11.166"/>
    <n v="10.9617"/>
    <n v="11.166"/>
    <n v="69756"/>
    <n v="0.91879999999999995"/>
    <n v="1.8633999999999999"/>
  </r>
  <r>
    <n v="2330"/>
    <x v="1"/>
    <d v="2010-12-16T00:00:00"/>
    <x v="3"/>
    <x v="11"/>
    <n v="50.630400000000002"/>
    <n v="51.787700000000001"/>
    <n v="50.485799999999998"/>
    <n v="51.498399999999997"/>
    <n v="66209"/>
    <n v="1.6998"/>
    <n v="2.5788000000000002"/>
  </r>
  <r>
    <n v="2303"/>
    <x v="0"/>
    <d v="2010-12-17T00:00:00"/>
    <x v="4"/>
    <x v="11"/>
    <n v="11.302099999999999"/>
    <n v="11.5404"/>
    <n v="11.2681"/>
    <n v="11.370200000000001"/>
    <n v="145928"/>
    <n v="1.8127"/>
    <n v="2.4169"/>
  </r>
  <r>
    <n v="2330"/>
    <x v="1"/>
    <d v="2010-12-17T00:00:00"/>
    <x v="4"/>
    <x v="11"/>
    <n v="52.076999999999998"/>
    <n v="54.246899999999997"/>
    <n v="51.787700000000001"/>
    <n v="52.728000000000002"/>
    <n v="111499"/>
    <n v="2.3595999999999999"/>
    <n v="4.7485999999999997"/>
  </r>
  <r>
    <n v="2303"/>
    <x v="0"/>
    <d v="2010-12-20T00:00:00"/>
    <x v="0"/>
    <x v="11"/>
    <n v="11.4383"/>
    <n v="11.4383"/>
    <n v="11.2"/>
    <n v="11.2"/>
    <n v="63057"/>
    <n v="-1.5083"/>
    <n v="2.1276999999999999"/>
  </r>
  <r>
    <n v="2330"/>
    <x v="1"/>
    <d v="2010-12-20T00:00:00"/>
    <x v="0"/>
    <x v="11"/>
    <n v="52.8003"/>
    <n v="52.8003"/>
    <n v="51.281399999999998"/>
    <n v="51.498399999999997"/>
    <n v="93319"/>
    <n v="-2.3595999999999999"/>
    <n v="2.9619"/>
  </r>
  <r>
    <n v="2303"/>
    <x v="0"/>
    <d v="2010-12-21T00:00:00"/>
    <x v="1"/>
    <x v="11"/>
    <n v="11.234"/>
    <n v="11.302099999999999"/>
    <n v="11.1319"/>
    <n v="11.2"/>
    <n v="29225"/>
    <n v="0"/>
    <n v="1.5290999999999999"/>
  </r>
  <r>
    <n v="2330"/>
    <x v="1"/>
    <d v="2010-12-21T00:00:00"/>
    <x v="1"/>
    <x v="11"/>
    <n v="51.715400000000002"/>
    <n v="51.787700000000001"/>
    <n v="51.209099999999999"/>
    <n v="51.570700000000002"/>
    <n v="63310"/>
    <n v="0.1404"/>
    <n v="1.1298999999999999"/>
  </r>
  <r>
    <n v="2303"/>
    <x v="0"/>
    <d v="2010-12-22T00:00:00"/>
    <x v="2"/>
    <x v="11"/>
    <n v="11.2"/>
    <n v="11.302099999999999"/>
    <n v="11.097899999999999"/>
    <n v="11.1319"/>
    <n v="39519"/>
    <n v="-0.60980000000000001"/>
    <n v="1.8405"/>
  </r>
  <r>
    <n v="2330"/>
    <x v="1"/>
    <d v="2010-12-22T00:00:00"/>
    <x v="2"/>
    <x v="11"/>
    <n v="51.426099999999998"/>
    <n v="51.787700000000001"/>
    <n v="51.136699999999998"/>
    <n v="51.498399999999997"/>
    <n v="27073"/>
    <n v="-0.1404"/>
    <n v="1.2729999999999999"/>
  </r>
  <r>
    <n v="2303"/>
    <x v="0"/>
    <d v="2010-12-23T00:00:00"/>
    <x v="3"/>
    <x v="11"/>
    <n v="11.097899999999999"/>
    <n v="11.166"/>
    <n v="11.063800000000001"/>
    <n v="11.097899999999999"/>
    <n v="34454"/>
    <n v="-0.30630000000000002"/>
    <n v="0.92310000000000003"/>
  </r>
  <r>
    <n v="2330"/>
    <x v="1"/>
    <d v="2010-12-23T00:00:00"/>
    <x v="3"/>
    <x v="11"/>
    <n v="51.932400000000001"/>
    <n v="51.932400000000001"/>
    <n v="51.136699999999998"/>
    <n v="51.353700000000003"/>
    <n v="35614"/>
    <n v="-0.28129999999999999"/>
    <n v="1.5559000000000001"/>
  </r>
  <r>
    <n v="2303"/>
    <x v="0"/>
    <d v="2010-12-24T00:00:00"/>
    <x v="4"/>
    <x v="11"/>
    <n v="11.0298"/>
    <n v="11.166"/>
    <n v="11.0298"/>
    <n v="11.063800000000001"/>
    <n v="31442"/>
    <n v="-0.30719999999999997"/>
    <n v="1.2345999999999999"/>
  </r>
  <r>
    <n v="2330"/>
    <x v="1"/>
    <d v="2010-12-24T00:00:00"/>
    <x v="4"/>
    <x v="11"/>
    <n v="51.353700000000003"/>
    <n v="51.353700000000003"/>
    <n v="50.992100000000001"/>
    <n v="51.209099999999999"/>
    <n v="56586"/>
    <n v="-0.28210000000000002"/>
    <n v="0.70920000000000005"/>
  </r>
  <r>
    <n v="2303"/>
    <x v="0"/>
    <d v="2010-12-27T00:00:00"/>
    <x v="0"/>
    <x v="11"/>
    <n v="11.063800000000001"/>
    <n v="11.097899999999999"/>
    <n v="10.9617"/>
    <n v="11.063800000000001"/>
    <n v="29981"/>
    <n v="0"/>
    <n v="1.2422"/>
  </r>
  <r>
    <n v="2330"/>
    <x v="1"/>
    <d v="2010-12-27T00:00:00"/>
    <x v="0"/>
    <x v="11"/>
    <n v="51.209099999999999"/>
    <n v="51.209099999999999"/>
    <n v="50.630400000000002"/>
    <n v="51.136699999999998"/>
    <n v="45211"/>
    <n v="-0.14130000000000001"/>
    <n v="1.1429"/>
  </r>
  <r>
    <n v="2303"/>
    <x v="0"/>
    <d v="2010-12-28T00:00:00"/>
    <x v="1"/>
    <x v="11"/>
    <n v="11.097899999999999"/>
    <n v="11.166"/>
    <n v="10.995699999999999"/>
    <n v="11.0298"/>
    <n v="30895"/>
    <n v="-0.30819999999999997"/>
    <n v="1.548"/>
  </r>
  <r>
    <n v="2330"/>
    <x v="1"/>
    <d v="2010-12-28T00:00:00"/>
    <x v="1"/>
    <x v="11"/>
    <n v="51.281399999999998"/>
    <n v="51.353700000000003"/>
    <n v="51.064399999999999"/>
    <n v="51.281399999999998"/>
    <n v="36610"/>
    <n v="0.28249999999999997"/>
    <n v="0.56659999999999999"/>
  </r>
  <r>
    <n v="2303"/>
    <x v="0"/>
    <d v="2010-12-29T00:00:00"/>
    <x v="2"/>
    <x v="11"/>
    <n v="10.9617"/>
    <n v="11.0298"/>
    <n v="10.893599999999999"/>
    <n v="10.9277"/>
    <n v="45747"/>
    <n v="-0.93020000000000003"/>
    <n v="1.25"/>
  </r>
  <r>
    <n v="2330"/>
    <x v="1"/>
    <d v="2010-12-29T00:00:00"/>
    <x v="2"/>
    <x v="11"/>
    <n v="51.209099999999999"/>
    <n v="51.209099999999999"/>
    <n v="50.775100000000002"/>
    <n v="51.064399999999999"/>
    <n v="40414"/>
    <n v="-0.42399999999999999"/>
    <n v="0.85470000000000002"/>
  </r>
  <r>
    <n v="2303"/>
    <x v="0"/>
    <d v="2010-12-30T00:00:00"/>
    <x v="3"/>
    <x v="11"/>
    <n v="10.9277"/>
    <n v="11.0298"/>
    <n v="10.893599999999999"/>
    <n v="10.995699999999999"/>
    <n v="40438"/>
    <n v="0.62109999999999999"/>
    <n v="1.25"/>
  </r>
  <r>
    <n v="2330"/>
    <x v="1"/>
    <d v="2010-12-30T00:00:00"/>
    <x v="3"/>
    <x v="11"/>
    <n v="51.064399999999999"/>
    <n v="51.209099999999999"/>
    <n v="50.702800000000003"/>
    <n v="51.064399999999999"/>
    <n v="55579"/>
    <n v="0"/>
    <n v="0.99860000000000004"/>
  </r>
  <r>
    <n v="2303"/>
    <x v="0"/>
    <d v="2010-12-31T00:00:00"/>
    <x v="4"/>
    <x v="11"/>
    <n v="10.995699999999999"/>
    <n v="11.166"/>
    <n v="10.9277"/>
    <n v="11.097899999999999"/>
    <n v="57261"/>
    <n v="0.92449999999999999"/>
    <n v="2.1806999999999999"/>
  </r>
  <r>
    <n v="2330"/>
    <x v="1"/>
    <d v="2010-12-31T00:00:00"/>
    <x v="4"/>
    <x v="11"/>
    <n v="50.992100000000001"/>
    <n v="52.293999999999997"/>
    <n v="50.8474"/>
    <n v="51.353700000000003"/>
    <n v="143761"/>
    <n v="0.56499999999999995"/>
    <n v="2.8450000000000002"/>
  </r>
  <r>
    <n v="2303"/>
    <x v="0"/>
    <d v="2011-01-03T00:00:00"/>
    <x v="0"/>
    <x v="0"/>
    <n v="11.166"/>
    <n v="11.166"/>
    <n v="11.0298"/>
    <n v="11.0298"/>
    <n v="32430"/>
    <n v="-0.61539999999999995"/>
    <n v="1.2345999999999999"/>
  </r>
  <r>
    <n v="2330"/>
    <x v="1"/>
    <d v="2011-01-03T00:00:00"/>
    <x v="0"/>
    <x v="0"/>
    <n v="51.715400000000002"/>
    <n v="51.787700000000001"/>
    <n v="51.209099999999999"/>
    <n v="51.426099999999998"/>
    <n v="35747"/>
    <n v="0.14069999999999999"/>
    <n v="1.1298999999999999"/>
  </r>
  <r>
    <n v="2303"/>
    <x v="0"/>
    <d v="2011-01-04T00:00:00"/>
    <x v="1"/>
    <x v="0"/>
    <n v="11.0298"/>
    <n v="11.097899999999999"/>
    <n v="10.995699999999999"/>
    <n v="11.0298"/>
    <n v="27876"/>
    <n v="0"/>
    <n v="0.92879999999999996"/>
  </r>
  <r>
    <n v="2330"/>
    <x v="1"/>
    <d v="2011-01-04T00:00:00"/>
    <x v="1"/>
    <x v="0"/>
    <n v="51.353700000000003"/>
    <n v="51.787700000000001"/>
    <n v="51.209099999999999"/>
    <n v="51.498399999999997"/>
    <n v="36048"/>
    <n v="0.14050000000000001"/>
    <n v="1.1298999999999999"/>
  </r>
  <r>
    <n v="2303"/>
    <x v="0"/>
    <d v="2011-01-05T00:00:00"/>
    <x v="2"/>
    <x v="0"/>
    <n v="10.9617"/>
    <n v="10.995699999999999"/>
    <n v="10.587199999999999"/>
    <n v="10.587199999999999"/>
    <n v="89979"/>
    <n v="-4.0951000000000004"/>
    <n v="3.8584999999999998"/>
  </r>
  <r>
    <n v="2330"/>
    <x v="1"/>
    <d v="2011-01-05T00:00:00"/>
    <x v="2"/>
    <x v="0"/>
    <n v="51.281399999999998"/>
    <n v="51.426099999999998"/>
    <n v="50.341099999999997"/>
    <n v="50.485799999999998"/>
    <n v="54327"/>
    <n v="-1.9859"/>
    <n v="2.1551999999999998"/>
  </r>
  <r>
    <n v="2303"/>
    <x v="0"/>
    <d v="2011-01-06T00:00:00"/>
    <x v="3"/>
    <x v="0"/>
    <n v="10.6213"/>
    <n v="10.8255"/>
    <n v="10.5532"/>
    <n v="10.8255"/>
    <n v="42966"/>
    <n v="2.2258"/>
    <n v="2.5806"/>
  </r>
  <r>
    <n v="2330"/>
    <x v="1"/>
    <d v="2011-01-06T00:00:00"/>
    <x v="3"/>
    <x v="0"/>
    <n v="50.485799999999998"/>
    <n v="51.353700000000003"/>
    <n v="50.413499999999999"/>
    <n v="51.353700000000003"/>
    <n v="46802"/>
    <n v="1.7045999999999999"/>
    <n v="1.8651"/>
  </r>
  <r>
    <n v="2303"/>
    <x v="0"/>
    <d v="2011-01-07T00:00:00"/>
    <x v="4"/>
    <x v="0"/>
    <n v="10.8255"/>
    <n v="11.097899999999999"/>
    <n v="10.791499999999999"/>
    <n v="10.8255"/>
    <n v="70613"/>
    <n v="0"/>
    <n v="2.8391000000000002"/>
  </r>
  <r>
    <n v="2330"/>
    <x v="1"/>
    <d v="2011-01-07T00:00:00"/>
    <x v="4"/>
    <x v="0"/>
    <n v="52.0047"/>
    <n v="52.8003"/>
    <n v="52.0047"/>
    <n v="52.438699999999997"/>
    <n v="170328"/>
    <n v="2.0907"/>
    <n v="1.5299"/>
  </r>
  <r>
    <n v="2303"/>
    <x v="0"/>
    <d v="2011-01-10T00:00:00"/>
    <x v="0"/>
    <x v="0"/>
    <n v="10.893599999999999"/>
    <n v="11.0298"/>
    <n v="10.8596"/>
    <n v="11.0298"/>
    <n v="43138"/>
    <n v="1.8692"/>
    <n v="1.5673999999999999"/>
  </r>
  <r>
    <n v="2330"/>
    <x v="1"/>
    <d v="2011-01-10T00:00:00"/>
    <x v="0"/>
    <x v="0"/>
    <n v="52.8003"/>
    <n v="53.668300000000002"/>
    <n v="52.511000000000003"/>
    <n v="53.668300000000002"/>
    <n v="69703"/>
    <n v="2.3178000000000001"/>
    <n v="2.2039"/>
  </r>
  <r>
    <n v="2303"/>
    <x v="0"/>
    <d v="2011-01-11T00:00:00"/>
    <x v="1"/>
    <x v="0"/>
    <n v="11.063800000000001"/>
    <n v="11.370200000000001"/>
    <n v="10.9617"/>
    <n v="11.3362"/>
    <n v="133991"/>
    <n v="2.7399"/>
    <n v="3.7267000000000001"/>
  </r>
  <r>
    <n v="2330"/>
    <x v="1"/>
    <d v="2011-01-11T00:00:00"/>
    <x v="1"/>
    <x v="0"/>
    <n v="53.5959"/>
    <n v="54.174599999999998"/>
    <n v="53.378900000000002"/>
    <n v="53.885300000000001"/>
    <n v="82758"/>
    <n v="0.40350000000000003"/>
    <n v="1.4904999999999999"/>
  </r>
  <r>
    <n v="2303"/>
    <x v="0"/>
    <d v="2011-01-12T00:00:00"/>
    <x v="2"/>
    <x v="0"/>
    <n v="11.370200000000001"/>
    <n v="11.506399999999999"/>
    <n v="11.2681"/>
    <n v="11.3362"/>
    <n v="113275"/>
    <n v="0"/>
    <n v="2.1147999999999998"/>
  </r>
  <r>
    <n v="2330"/>
    <x v="1"/>
    <d v="2011-01-12T00:00:00"/>
    <x v="2"/>
    <x v="0"/>
    <n v="54.029899999999998"/>
    <n v="54.246899999999997"/>
    <n v="54.029899999999998"/>
    <n v="54.174599999999998"/>
    <n v="53637"/>
    <n v="0.53549999999999998"/>
    <n v="0.40160000000000001"/>
  </r>
  <r>
    <n v="2303"/>
    <x v="0"/>
    <d v="2011-01-13T00:00:00"/>
    <x v="3"/>
    <x v="0"/>
    <n v="11.3362"/>
    <n v="11.4383"/>
    <n v="11.2681"/>
    <n v="11.302099999999999"/>
    <n v="68798"/>
    <n v="-0.30080000000000001"/>
    <n v="1.5105999999999999"/>
  </r>
  <r>
    <n v="2330"/>
    <x v="1"/>
    <d v="2011-01-13T00:00:00"/>
    <x v="3"/>
    <x v="0"/>
    <n v="54.319200000000002"/>
    <n v="54.463900000000002"/>
    <n v="53.668300000000002"/>
    <n v="53.957599999999999"/>
    <n v="93105"/>
    <n v="-0.40129999999999999"/>
    <n v="1.4824999999999999"/>
  </r>
  <r>
    <n v="2303"/>
    <x v="0"/>
    <d v="2011-01-14T00:00:00"/>
    <x v="4"/>
    <x v="0"/>
    <n v="11.302099999999999"/>
    <n v="11.370200000000001"/>
    <n v="11.2681"/>
    <n v="11.370200000000001"/>
    <n v="45671"/>
    <n v="0.60060000000000002"/>
    <n v="0.90629999999999999"/>
  </r>
  <r>
    <n v="2330"/>
    <x v="1"/>
    <d v="2011-01-14T00:00:00"/>
    <x v="4"/>
    <x v="0"/>
    <n v="53.812899999999999"/>
    <n v="54.102200000000003"/>
    <n v="53.5959"/>
    <n v="54.102200000000003"/>
    <n v="29817"/>
    <n v="0.26769999999999999"/>
    <n v="0.94469999999999998"/>
  </r>
  <r>
    <n v="2303"/>
    <x v="0"/>
    <d v="2011-01-17T00:00:00"/>
    <x v="0"/>
    <x v="0"/>
    <n v="11.4383"/>
    <n v="11.8468"/>
    <n v="11.4383"/>
    <n v="11.7447"/>
    <n v="169483"/>
    <n v="3.2403"/>
    <n v="3.5714000000000001"/>
  </r>
  <r>
    <n v="2330"/>
    <x v="1"/>
    <d v="2011-01-17T00:00:00"/>
    <x v="0"/>
    <x v="0"/>
    <n v="54.536200000000001"/>
    <n v="54.8979"/>
    <n v="54.463900000000002"/>
    <n v="54.825499999999998"/>
    <n v="67400"/>
    <n v="1.3280000000000001"/>
    <n v="0.79679999999999995"/>
  </r>
  <r>
    <n v="2303"/>
    <x v="0"/>
    <d v="2011-01-18T00:00:00"/>
    <x v="1"/>
    <x v="0"/>
    <n v="11.7447"/>
    <n v="12.221299999999999"/>
    <n v="11.6426"/>
    <n v="12.1191"/>
    <n v="189962"/>
    <n v="3.1385999999999998"/>
    <n v="4.9707999999999997"/>
  </r>
  <r>
    <n v="2330"/>
    <x v="1"/>
    <d v="2011-01-18T00:00:00"/>
    <x v="1"/>
    <x v="0"/>
    <n v="54.608499999999999"/>
    <n v="55.982799999999997"/>
    <n v="54.391599999999997"/>
    <n v="55.5488"/>
    <n v="57357"/>
    <n v="1.3106"/>
    <n v="2.9255"/>
  </r>
  <r>
    <n v="2303"/>
    <x v="0"/>
    <d v="2011-01-19T00:00:00"/>
    <x v="2"/>
    <x v="0"/>
    <n v="12.187200000000001"/>
    <n v="12.391500000000001"/>
    <n v="12.016999999999999"/>
    <n v="12.289400000000001"/>
    <n v="188644"/>
    <n v="1.3947000000000001"/>
    <n v="3.1160999999999999"/>
  </r>
  <r>
    <n v="2330"/>
    <x v="1"/>
    <d v="2011-01-19T00:00:00"/>
    <x v="2"/>
    <x v="0"/>
    <n v="55.621200000000002"/>
    <n v="56.633800000000001"/>
    <n v="55.404200000000003"/>
    <n v="56.416800000000002"/>
    <n v="87297"/>
    <n v="1.5504"/>
    <n v="2.2193000000000001"/>
  </r>
  <r>
    <n v="2303"/>
    <x v="0"/>
    <d v="2011-01-20T00:00:00"/>
    <x v="3"/>
    <x v="0"/>
    <n v="12.2553"/>
    <n v="12.2553"/>
    <n v="12.016999999999999"/>
    <n v="12.016999999999999"/>
    <n v="86861"/>
    <n v="-2.2410000000000001"/>
    <n v="1.9830000000000001"/>
  </r>
  <r>
    <n v="2330"/>
    <x v="1"/>
    <d v="2011-01-20T00:00:00"/>
    <x v="3"/>
    <x v="0"/>
    <n v="55.6935"/>
    <n v="55.6935"/>
    <n v="55.042499999999997"/>
    <n v="55.259500000000003"/>
    <n v="43718"/>
    <n v="-2.0726"/>
    <n v="1.1827000000000001"/>
  </r>
  <r>
    <n v="2303"/>
    <x v="0"/>
    <d v="2011-01-21T00:00:00"/>
    <x v="4"/>
    <x v="0"/>
    <n v="11.8468"/>
    <n v="11.983000000000001"/>
    <n v="11.710599999999999"/>
    <n v="11.914899999999999"/>
    <n v="69003"/>
    <n v="-0.85350000000000004"/>
    <n v="2.3256000000000001"/>
  </r>
  <r>
    <n v="2330"/>
    <x v="1"/>
    <d v="2011-01-21T00:00:00"/>
    <x v="4"/>
    <x v="0"/>
    <n v="53.523600000000002"/>
    <n v="54.391599999999997"/>
    <n v="53.523600000000002"/>
    <n v="53.957599999999999"/>
    <n v="81475"/>
    <n v="-2.3841999999999999"/>
    <n v="1.6215999999999999"/>
  </r>
  <r>
    <n v="2303"/>
    <x v="0"/>
    <d v="2011-01-24T00:00:00"/>
    <x v="0"/>
    <x v="0"/>
    <n v="11.914899999999999"/>
    <n v="11.9489"/>
    <n v="11.7447"/>
    <n v="11.8468"/>
    <n v="34537"/>
    <n v="-0.57310000000000005"/>
    <n v="1.7391000000000001"/>
  </r>
  <r>
    <n v="2330"/>
    <x v="1"/>
    <d v="2011-01-24T00:00:00"/>
    <x v="0"/>
    <x v="0"/>
    <n v="54.391599999999997"/>
    <n v="54.536200000000001"/>
    <n v="53.957599999999999"/>
    <n v="54.463900000000002"/>
    <n v="46169"/>
    <n v="0.93400000000000005"/>
    <n v="1.0724"/>
  </r>
  <r>
    <n v="2303"/>
    <x v="0"/>
    <d v="2011-01-25T00:00:00"/>
    <x v="1"/>
    <x v="0"/>
    <n v="11.914899999999999"/>
    <n v="12.0511"/>
    <n v="11.812799999999999"/>
    <n v="11.8468"/>
    <n v="48210"/>
    <n v="0"/>
    <n v="2.0173000000000001"/>
  </r>
  <r>
    <n v="2330"/>
    <x v="1"/>
    <d v="2011-01-25T00:00:00"/>
    <x v="1"/>
    <x v="0"/>
    <n v="54.8979"/>
    <n v="54.8979"/>
    <n v="54.174599999999998"/>
    <n v="54.246899999999997"/>
    <n v="50794"/>
    <n v="-0.3992"/>
    <n v="1.3351"/>
  </r>
  <r>
    <n v="2303"/>
    <x v="0"/>
    <d v="2011-01-26T00:00:00"/>
    <x v="2"/>
    <x v="0"/>
    <n v="11.8468"/>
    <n v="12.0511"/>
    <n v="11.778700000000001"/>
    <n v="11.8468"/>
    <n v="61577"/>
    <n v="0"/>
    <n v="2.3121"/>
  </r>
  <r>
    <n v="2330"/>
    <x v="1"/>
    <d v="2011-01-26T00:00:00"/>
    <x v="2"/>
    <x v="0"/>
    <n v="53.957599999999999"/>
    <n v="54.391599999999997"/>
    <n v="53.740600000000001"/>
    <n v="53.957599999999999"/>
    <n v="66830"/>
    <n v="-0.53480000000000005"/>
    <n v="1.2113"/>
  </r>
  <r>
    <n v="2303"/>
    <x v="0"/>
    <d v="2011-01-27T00:00:00"/>
    <x v="3"/>
    <x v="0"/>
    <n v="11.983000000000001"/>
    <n v="12.391500000000001"/>
    <n v="11.983000000000001"/>
    <n v="12.2553"/>
    <n v="193592"/>
    <n v="3.3902000000000001"/>
    <n v="3.4091"/>
  </r>
  <r>
    <n v="2330"/>
    <x v="1"/>
    <d v="2011-01-27T00:00:00"/>
    <x v="3"/>
    <x v="0"/>
    <n v="54.174599999999998"/>
    <n v="54.536200000000001"/>
    <n v="54.102200000000003"/>
    <n v="54.391599999999997"/>
    <n v="69892"/>
    <n v="0.80110000000000003"/>
    <n v="0.80210000000000004"/>
  </r>
  <r>
    <n v="2303"/>
    <x v="0"/>
    <d v="2011-01-28T00:00:00"/>
    <x v="4"/>
    <x v="0"/>
    <n v="12.289400000000001"/>
    <n v="12.3574"/>
    <n v="12.1191"/>
    <n v="12.323399999999999"/>
    <n v="99034"/>
    <n v="0.55400000000000005"/>
    <n v="1.9662999999999999"/>
  </r>
  <r>
    <n v="2330"/>
    <x v="1"/>
    <d v="2011-01-28T00:00:00"/>
    <x v="4"/>
    <x v="0"/>
    <n v="54.391599999999997"/>
    <n v="55.621200000000002"/>
    <n v="54.174599999999998"/>
    <n v="55.187199999999997"/>
    <n v="110404"/>
    <n v="1.4521999999999999"/>
    <n v="2.6701999999999999"/>
  </r>
  <r>
    <n v="2303"/>
    <x v="0"/>
    <d v="2011-02-08T00:00:00"/>
    <x v="1"/>
    <x v="1"/>
    <n v="12.391500000000001"/>
    <n v="12.4596"/>
    <n v="11.9489"/>
    <n v="11.983000000000001"/>
    <n v="102075"/>
    <n v="-2.8012999999999999"/>
    <n v="4.2735000000000003"/>
  </r>
  <r>
    <n v="2330"/>
    <x v="1"/>
    <d v="2011-02-08T00:00:00"/>
    <x v="1"/>
    <x v="1"/>
    <n v="55.6935"/>
    <n v="55.6935"/>
    <n v="54.102200000000003"/>
    <n v="54.608499999999999"/>
    <n v="110969"/>
    <n v="-1.054"/>
    <n v="2.9411999999999998"/>
  </r>
  <r>
    <n v="2303"/>
    <x v="0"/>
    <d v="2011-02-09T00:00:00"/>
    <x v="2"/>
    <x v="1"/>
    <n v="11.914899999999999"/>
    <n v="12.0511"/>
    <n v="11.506399999999999"/>
    <n v="11.5745"/>
    <n v="97076"/>
    <n v="-3.4685999999999999"/>
    <n v="4.7336999999999998"/>
  </r>
  <r>
    <n v="2330"/>
    <x v="1"/>
    <d v="2011-02-09T00:00:00"/>
    <x v="2"/>
    <x v="1"/>
    <n v="54.608499999999999"/>
    <n v="54.680900000000001"/>
    <n v="53.378900000000002"/>
    <n v="53.378900000000002"/>
    <n v="81246"/>
    <n v="-2.2774000000000001"/>
    <n v="2.4390000000000001"/>
  </r>
  <r>
    <n v="2303"/>
    <x v="0"/>
    <d v="2011-02-10T00:00:00"/>
    <x v="3"/>
    <x v="1"/>
    <n v="11.5745"/>
    <n v="11.5745"/>
    <n v="11.3362"/>
    <n v="11.3362"/>
    <n v="63824"/>
    <n v="-2.0802999999999998"/>
    <n v="2.1021000000000001"/>
  </r>
  <r>
    <n v="2330"/>
    <x v="1"/>
    <d v="2011-02-10T00:00:00"/>
    <x v="3"/>
    <x v="1"/>
    <n v="52.872599999999998"/>
    <n v="53.089599999999997"/>
    <n v="52.076999999999998"/>
    <n v="52.076999999999998"/>
    <n v="83632"/>
    <n v="-2.4693000000000001"/>
    <n v="1.9443999999999999"/>
  </r>
  <r>
    <n v="2303"/>
    <x v="0"/>
    <d v="2011-02-11T00:00:00"/>
    <x v="4"/>
    <x v="1"/>
    <n v="11.2681"/>
    <n v="11.302099999999999"/>
    <n v="10.9617"/>
    <n v="11.0298"/>
    <n v="77373"/>
    <n v="-2.7399"/>
    <n v="3.1055999999999999"/>
  </r>
  <r>
    <n v="2330"/>
    <x v="1"/>
    <d v="2011-02-11T00:00:00"/>
    <x v="4"/>
    <x v="1"/>
    <n v="52.221699999999998"/>
    <n v="52.366300000000003"/>
    <n v="51.281399999999998"/>
    <n v="51.643000000000001"/>
    <n v="112430"/>
    <n v="-0.83679999999999999"/>
    <n v="2.1156999999999999"/>
  </r>
  <r>
    <n v="2303"/>
    <x v="0"/>
    <d v="2011-02-14T00:00:00"/>
    <x v="0"/>
    <x v="1"/>
    <n v="11.234"/>
    <n v="11.302099999999999"/>
    <n v="11.097899999999999"/>
    <n v="11.166"/>
    <n v="48081"/>
    <n v="1.2270000000000001"/>
    <n v="1.8405"/>
  </r>
  <r>
    <n v="2330"/>
    <x v="1"/>
    <d v="2011-02-14T00:00:00"/>
    <x v="0"/>
    <x v="1"/>
    <n v="52.076999999999998"/>
    <n v="52.728000000000002"/>
    <n v="51.715400000000002"/>
    <n v="52.438699999999997"/>
    <n v="66889"/>
    <n v="1.5288999999999999"/>
    <n v="1.958"/>
  </r>
  <r>
    <n v="2303"/>
    <x v="0"/>
    <d v="2011-02-15T00:00:00"/>
    <x v="1"/>
    <x v="1"/>
    <n v="11.0298"/>
    <n v="11.234"/>
    <n v="10.893599999999999"/>
    <n v="11.0298"/>
    <n v="47579"/>
    <n v="-1.2270000000000001"/>
    <n v="3.125"/>
  </r>
  <r>
    <n v="2330"/>
    <x v="1"/>
    <d v="2011-02-15T00:00:00"/>
    <x v="1"/>
    <x v="1"/>
    <n v="52.366300000000003"/>
    <n v="52.872599999999998"/>
    <n v="51.643000000000001"/>
    <n v="52.438699999999997"/>
    <n v="56495"/>
    <n v="0"/>
    <n v="2.3809999999999998"/>
  </r>
  <r>
    <n v="2303"/>
    <x v="0"/>
    <d v="2011-02-16T00:00:00"/>
    <x v="2"/>
    <x v="1"/>
    <n v="11.0298"/>
    <n v="11.2"/>
    <n v="10.9617"/>
    <n v="11.097899999999999"/>
    <n v="45947"/>
    <n v="0.61539999999999995"/>
    <n v="2.1739000000000002"/>
  </r>
  <r>
    <n v="2330"/>
    <x v="1"/>
    <d v="2011-02-16T00:00:00"/>
    <x v="2"/>
    <x v="1"/>
    <n v="52.366300000000003"/>
    <n v="52.583300000000001"/>
    <n v="52.0047"/>
    <n v="52.1494"/>
    <n v="54423"/>
    <n v="-0.55330000000000001"/>
    <n v="1.1127"/>
  </r>
  <r>
    <n v="2303"/>
    <x v="0"/>
    <d v="2011-02-17T00:00:00"/>
    <x v="3"/>
    <x v="1"/>
    <n v="11.166"/>
    <n v="11.166"/>
    <n v="10.9617"/>
    <n v="10.995699999999999"/>
    <n v="37500"/>
    <n v="-0.92449999999999999"/>
    <n v="1.8633999999999999"/>
  </r>
  <r>
    <n v="2330"/>
    <x v="1"/>
    <d v="2011-02-17T00:00:00"/>
    <x v="3"/>
    <x v="1"/>
    <n v="52.366300000000003"/>
    <n v="52.728000000000002"/>
    <n v="51.787700000000001"/>
    <n v="52.438699999999997"/>
    <n v="49330"/>
    <n v="0.55330000000000001"/>
    <n v="1.8156000000000001"/>
  </r>
  <r>
    <n v="2303"/>
    <x v="0"/>
    <d v="2011-02-18T00:00:00"/>
    <x v="4"/>
    <x v="1"/>
    <n v="11.166"/>
    <n v="11.3362"/>
    <n v="11.1319"/>
    <n v="11.166"/>
    <n v="51219"/>
    <n v="1.5361"/>
    <n v="1.8349"/>
  </r>
  <r>
    <n v="2330"/>
    <x v="1"/>
    <d v="2011-02-18T00:00:00"/>
    <x v="4"/>
    <x v="1"/>
    <n v="52.872599999999998"/>
    <n v="53.451300000000003"/>
    <n v="52.8003"/>
    <n v="52.8003"/>
    <n v="74599"/>
    <n v="0.68730000000000002"/>
    <n v="1.2329000000000001"/>
  </r>
  <r>
    <n v="2303"/>
    <x v="0"/>
    <d v="2011-02-21T00:00:00"/>
    <x v="0"/>
    <x v="1"/>
    <n v="11.2"/>
    <n v="11.2"/>
    <n v="11.063800000000001"/>
    <n v="11.097899999999999"/>
    <n v="27770"/>
    <n v="-0.61160000000000003"/>
    <n v="1.2307999999999999"/>
  </r>
  <r>
    <n v="2330"/>
    <x v="1"/>
    <d v="2011-02-21T00:00:00"/>
    <x v="0"/>
    <x v="1"/>
    <n v="52.872599999999998"/>
    <n v="53.089599999999997"/>
    <n v="52.293999999999997"/>
    <n v="53.089599999999997"/>
    <n v="39070"/>
    <n v="0.5464"/>
    <n v="1.5214000000000001"/>
  </r>
  <r>
    <n v="2303"/>
    <x v="0"/>
    <d v="2011-02-22T00:00:00"/>
    <x v="1"/>
    <x v="1"/>
    <n v="10.9617"/>
    <n v="10.9617"/>
    <n v="10.7234"/>
    <n v="10.8255"/>
    <n v="78793"/>
    <n v="-2.4845999999999999"/>
    <n v="2.2222"/>
  </r>
  <r>
    <n v="2330"/>
    <x v="1"/>
    <d v="2011-02-22T00:00:00"/>
    <x v="1"/>
    <x v="1"/>
    <n v="52.221699999999998"/>
    <n v="52.438699999999997"/>
    <n v="51.498399999999997"/>
    <n v="52.438699999999997"/>
    <n v="82661"/>
    <n v="-1.2337"/>
    <n v="1.8258000000000001"/>
  </r>
  <r>
    <n v="2303"/>
    <x v="0"/>
    <d v="2011-02-23T00:00:00"/>
    <x v="2"/>
    <x v="1"/>
    <n v="10.7234"/>
    <n v="10.791499999999999"/>
    <n v="10.417"/>
    <n v="10.485099999999999"/>
    <n v="92483"/>
    <n v="-3.1951999999999998"/>
    <n v="3.5948000000000002"/>
  </r>
  <r>
    <n v="2330"/>
    <x v="1"/>
    <d v="2011-02-23T00:00:00"/>
    <x v="2"/>
    <x v="1"/>
    <n v="51.715400000000002"/>
    <n v="52.0047"/>
    <n v="50.992100000000001"/>
    <n v="51.353700000000003"/>
    <n v="80262"/>
    <n v="-2.0907"/>
    <n v="1.9858"/>
  </r>
  <r>
    <n v="2303"/>
    <x v="0"/>
    <d v="2011-02-24T00:00:00"/>
    <x v="3"/>
    <x v="1"/>
    <n v="10.6213"/>
    <n v="10.6553"/>
    <n v="10.485099999999999"/>
    <n v="10.5532"/>
    <n v="53017"/>
    <n v="0.64729999999999999"/>
    <n v="1.6234"/>
  </r>
  <r>
    <n v="2330"/>
    <x v="1"/>
    <d v="2011-02-24T00:00:00"/>
    <x v="3"/>
    <x v="1"/>
    <n v="51.353700000000003"/>
    <n v="51.643000000000001"/>
    <n v="50.992100000000001"/>
    <n v="50.992100000000001"/>
    <n v="62768"/>
    <n v="-0.70669999999999999"/>
    <n v="1.2766"/>
  </r>
  <r>
    <n v="2303"/>
    <x v="0"/>
    <d v="2011-02-25T00:00:00"/>
    <x v="4"/>
    <x v="1"/>
    <n v="10.587199999999999"/>
    <n v="10.6553"/>
    <n v="10.417"/>
    <n v="10.485099999999999"/>
    <n v="76779"/>
    <n v="-0.64729999999999999"/>
    <n v="2.2875999999999999"/>
  </r>
  <r>
    <n v="2330"/>
    <x v="1"/>
    <d v="2011-02-25T00:00:00"/>
    <x v="4"/>
    <x v="1"/>
    <n v="51.064399999999999"/>
    <n v="51.426099999999998"/>
    <n v="50.558100000000003"/>
    <n v="50.992100000000001"/>
    <n v="78873"/>
    <n v="0"/>
    <n v="1.7166999999999999"/>
  </r>
  <r>
    <n v="2303"/>
    <x v="0"/>
    <d v="2011-03-01T00:00:00"/>
    <x v="1"/>
    <x v="2"/>
    <n v="10.485099999999999"/>
    <n v="10.791499999999999"/>
    <n v="10.485099999999999"/>
    <n v="10.757400000000001"/>
    <n v="67074"/>
    <n v="2.5642"/>
    <n v="2.9220999999999999"/>
  </r>
  <r>
    <n v="2330"/>
    <x v="1"/>
    <d v="2011-03-01T00:00:00"/>
    <x v="1"/>
    <x v="2"/>
    <n v="50.630400000000002"/>
    <n v="51.932400000000001"/>
    <n v="50.630400000000002"/>
    <n v="51.643000000000001"/>
    <n v="84618"/>
    <n v="1.2685"/>
    <n v="2.5714000000000001"/>
  </r>
  <r>
    <n v="2303"/>
    <x v="0"/>
    <d v="2011-03-02T00:00:00"/>
    <x v="2"/>
    <x v="2"/>
    <n v="10.689399999999999"/>
    <n v="10.689399999999999"/>
    <n v="10.5191"/>
    <n v="10.5191"/>
    <n v="38173"/>
    <n v="-2.2401"/>
    <n v="1.6181000000000001"/>
  </r>
  <r>
    <n v="2330"/>
    <x v="1"/>
    <d v="2011-03-02T00:00:00"/>
    <x v="2"/>
    <x v="2"/>
    <n v="51.209099999999999"/>
    <n v="51.353700000000003"/>
    <n v="50.919800000000002"/>
    <n v="50.919800000000002"/>
    <n v="53047"/>
    <n v="-1.4105000000000001"/>
    <n v="0.85229999999999995"/>
  </r>
  <r>
    <n v="2303"/>
    <x v="0"/>
    <d v="2011-03-03T00:00:00"/>
    <x v="3"/>
    <x v="2"/>
    <n v="10.6213"/>
    <n v="10.7234"/>
    <n v="10.5191"/>
    <n v="10.689399999999999"/>
    <n v="41368"/>
    <n v="1.6052"/>
    <n v="1.9417"/>
  </r>
  <r>
    <n v="2330"/>
    <x v="1"/>
    <d v="2011-03-03T00:00:00"/>
    <x v="3"/>
    <x v="2"/>
    <n v="50.702800000000003"/>
    <n v="51.787700000000001"/>
    <n v="50.702800000000003"/>
    <n v="51.209099999999999"/>
    <n v="59498"/>
    <n v="0.56659999999999999"/>
    <n v="2.1398000000000001"/>
  </r>
  <r>
    <n v="2303"/>
    <x v="0"/>
    <d v="2011-03-04T00:00:00"/>
    <x v="4"/>
    <x v="2"/>
    <n v="10.8255"/>
    <n v="10.9617"/>
    <n v="10.757400000000001"/>
    <n v="10.8255"/>
    <n v="72548"/>
    <n v="1.2658"/>
    <n v="1.8987000000000001"/>
  </r>
  <r>
    <n v="2330"/>
    <x v="1"/>
    <d v="2011-03-04T00:00:00"/>
    <x v="4"/>
    <x v="2"/>
    <n v="51.715400000000002"/>
    <n v="52.076999999999998"/>
    <n v="51.570700000000002"/>
    <n v="51.932400000000001"/>
    <n v="60659"/>
    <n v="1.4025000000000001"/>
    <n v="0.98180000000000001"/>
  </r>
  <r>
    <n v="2303"/>
    <x v="0"/>
    <d v="2011-03-07T00:00:00"/>
    <x v="0"/>
    <x v="2"/>
    <n v="10.8255"/>
    <n v="10.8255"/>
    <n v="10.6213"/>
    <n v="10.6213"/>
    <n v="27317"/>
    <n v="-1.9048"/>
    <n v="1.9231"/>
  </r>
  <r>
    <n v="2330"/>
    <x v="1"/>
    <d v="2011-03-07T00:00:00"/>
    <x v="0"/>
    <x v="2"/>
    <n v="51.787700000000001"/>
    <n v="51.86"/>
    <n v="51.281399999999998"/>
    <n v="51.281399999999998"/>
    <n v="30172"/>
    <n v="-1.2614000000000001"/>
    <n v="1.1283000000000001"/>
  </r>
  <r>
    <n v="2303"/>
    <x v="0"/>
    <d v="2011-03-08T00:00:00"/>
    <x v="1"/>
    <x v="2"/>
    <n v="10.5532"/>
    <n v="10.689399999999999"/>
    <n v="10.5191"/>
    <n v="10.5532"/>
    <n v="46162"/>
    <n v="-0.6431"/>
    <n v="1.6181000000000001"/>
  </r>
  <r>
    <n v="2330"/>
    <x v="1"/>
    <d v="2011-03-08T00:00:00"/>
    <x v="1"/>
    <x v="2"/>
    <n v="50.992100000000001"/>
    <n v="51.932400000000001"/>
    <n v="50.992100000000001"/>
    <n v="51.715400000000002"/>
    <n v="55818"/>
    <n v="0.8427"/>
    <n v="1.8440000000000001"/>
  </r>
  <r>
    <n v="2303"/>
    <x v="0"/>
    <d v="2011-03-09T00:00:00"/>
    <x v="2"/>
    <x v="2"/>
    <n v="10.6213"/>
    <n v="10.6213"/>
    <n v="10.2468"/>
    <n v="10.3149"/>
    <n v="114368"/>
    <n v="-2.2839"/>
    <n v="3.6545000000000001"/>
  </r>
  <r>
    <n v="2330"/>
    <x v="1"/>
    <d v="2011-03-09T00:00:00"/>
    <x v="2"/>
    <x v="2"/>
    <n v="52.221699999999998"/>
    <n v="52.221699999999998"/>
    <n v="51.426099999999998"/>
    <n v="51.643000000000001"/>
    <n v="46796"/>
    <n v="-0.14000000000000001"/>
    <n v="1.5470999999999999"/>
  </r>
  <r>
    <n v="2303"/>
    <x v="0"/>
    <d v="2011-03-10T00:00:00"/>
    <x v="3"/>
    <x v="2"/>
    <n v="10.2468"/>
    <n v="10.280900000000001"/>
    <n v="9.9745000000000008"/>
    <n v="10.0085"/>
    <n v="112005"/>
    <n v="-3.0152999999999999"/>
    <n v="3.0716999999999999"/>
  </r>
  <r>
    <n v="2330"/>
    <x v="1"/>
    <d v="2011-03-10T00:00:00"/>
    <x v="3"/>
    <x v="2"/>
    <n v="52.1494"/>
    <n v="52.1494"/>
    <n v="50.702800000000003"/>
    <n v="50.992100000000001"/>
    <n v="64180"/>
    <n v="-1.2685"/>
    <n v="2.8531"/>
  </r>
  <r>
    <n v="2303"/>
    <x v="0"/>
    <d v="2011-03-11T00:00:00"/>
    <x v="4"/>
    <x v="2"/>
    <n v="9.8722999999999992"/>
    <n v="10.1106"/>
    <n v="9.8722999999999992"/>
    <n v="10.1106"/>
    <n v="50726"/>
    <n v="1.0152000000000001"/>
    <n v="2.4138000000000002"/>
  </r>
  <r>
    <n v="2330"/>
    <x v="1"/>
    <d v="2011-03-11T00:00:00"/>
    <x v="4"/>
    <x v="2"/>
    <n v="50.630400000000002"/>
    <n v="51.064399999999999"/>
    <n v="50.268799999999999"/>
    <n v="50.630400000000002"/>
    <n v="52600"/>
    <n v="-0.7117"/>
    <n v="1.5827"/>
  </r>
  <r>
    <n v="2303"/>
    <x v="0"/>
    <d v="2011-03-14T00:00:00"/>
    <x v="0"/>
    <x v="2"/>
    <n v="10.0085"/>
    <n v="10.0426"/>
    <n v="9.8042999999999996"/>
    <n v="9.9404000000000003"/>
    <n v="62792"/>
    <n v="-1.6978"/>
    <n v="2.4306000000000001"/>
  </r>
  <r>
    <n v="2330"/>
    <x v="1"/>
    <d v="2011-03-14T00:00:00"/>
    <x v="0"/>
    <x v="2"/>
    <n v="50.8474"/>
    <n v="50.992100000000001"/>
    <n v="49.979500000000002"/>
    <n v="50.8474"/>
    <n v="48041"/>
    <n v="0.42770000000000002"/>
    <n v="2.0259999999999998"/>
  </r>
  <r>
    <n v="2303"/>
    <x v="0"/>
    <d v="2011-03-15T00:00:00"/>
    <x v="1"/>
    <x v="2"/>
    <n v="9.9063999999999997"/>
    <n v="9.9404000000000003"/>
    <n v="9.5319000000000003"/>
    <n v="9.7362000000000002"/>
    <n v="119091"/>
    <n v="-2.0762"/>
    <n v="4.2857000000000003"/>
  </r>
  <r>
    <n v="2330"/>
    <x v="1"/>
    <d v="2011-03-15T00:00:00"/>
    <x v="1"/>
    <x v="2"/>
    <n v="50.630400000000002"/>
    <n v="50.702800000000003"/>
    <n v="47.881900000000002"/>
    <n v="49.183900000000001"/>
    <n v="117025"/>
    <n v="-3.3264"/>
    <n v="5.8912000000000004"/>
  </r>
  <r>
    <n v="2303"/>
    <x v="0"/>
    <d v="2011-03-16T00:00:00"/>
    <x v="2"/>
    <x v="2"/>
    <n v="9.8042999999999996"/>
    <n v="9.9404000000000003"/>
    <n v="9.5319000000000003"/>
    <n v="9.6"/>
    <n v="91347"/>
    <n v="-1.4085000000000001"/>
    <n v="4.2857000000000003"/>
  </r>
  <r>
    <n v="2330"/>
    <x v="1"/>
    <d v="2011-03-16T00:00:00"/>
    <x v="2"/>
    <x v="2"/>
    <n v="49.762500000000003"/>
    <n v="49.979500000000002"/>
    <n v="49.2562"/>
    <n v="49.545499999999997"/>
    <n v="62389"/>
    <n v="0.73260000000000003"/>
    <n v="1.4683999999999999"/>
  </r>
  <r>
    <n v="2303"/>
    <x v="0"/>
    <d v="2011-03-17T00:00:00"/>
    <x v="3"/>
    <x v="2"/>
    <n v="9.5319000000000003"/>
    <n v="9.9404000000000003"/>
    <n v="9.4638000000000009"/>
    <n v="9.8383000000000003"/>
    <n v="92608"/>
    <n v="2.452"/>
    <n v="5.0359999999999996"/>
  </r>
  <r>
    <n v="2330"/>
    <x v="1"/>
    <d v="2011-03-17T00:00:00"/>
    <x v="3"/>
    <x v="2"/>
    <n v="48.315899999999999"/>
    <n v="48.822200000000002"/>
    <n v="47.520299999999999"/>
    <n v="48.749899999999997"/>
    <n v="105442"/>
    <n v="-1.6189"/>
    <n v="2.7397"/>
  </r>
  <r>
    <n v="2303"/>
    <x v="0"/>
    <d v="2011-03-18T00:00:00"/>
    <x v="4"/>
    <x v="2"/>
    <n v="9.9063999999999997"/>
    <n v="9.9404000000000003"/>
    <n v="9.7362000000000002"/>
    <n v="9.9404000000000003"/>
    <n v="56158"/>
    <n v="1.0327"/>
    <n v="2.0979000000000001"/>
  </r>
  <r>
    <n v="2330"/>
    <x v="1"/>
    <d v="2011-03-18T00:00:00"/>
    <x v="4"/>
    <x v="2"/>
    <n v="49.039200000000001"/>
    <n v="49.473199999999999"/>
    <n v="48.605200000000004"/>
    <n v="49.400799999999997"/>
    <n v="55721"/>
    <n v="1.3265"/>
    <n v="1.7857000000000001"/>
  </r>
  <r>
    <n v="2303"/>
    <x v="0"/>
    <d v="2011-03-21T00:00:00"/>
    <x v="0"/>
    <x v="2"/>
    <n v="9.9404000000000003"/>
    <n v="10.076599999999999"/>
    <n v="9.9063999999999997"/>
    <n v="10.076599999999999"/>
    <n v="34834"/>
    <n v="1.3606"/>
    <n v="1.7181999999999999"/>
  </r>
  <r>
    <n v="2330"/>
    <x v="1"/>
    <d v="2011-03-21T00:00:00"/>
    <x v="0"/>
    <x v="2"/>
    <n v="49.400799999999997"/>
    <n v="49.979500000000002"/>
    <n v="49.183900000000001"/>
    <n v="49.9071"/>
    <n v="36534"/>
    <n v="1.0197000000000001"/>
    <n v="1.6175999999999999"/>
  </r>
  <r>
    <n v="2303"/>
    <x v="0"/>
    <d v="2011-03-22T00:00:00"/>
    <x v="1"/>
    <x v="2"/>
    <n v="10.1447"/>
    <n v="10.1447"/>
    <n v="9.9745000000000008"/>
    <n v="10.0085"/>
    <n v="37552"/>
    <n v="-0.67800000000000005"/>
    <n v="1.7064999999999999"/>
  </r>
  <r>
    <n v="2330"/>
    <x v="1"/>
    <d v="2011-03-22T00:00:00"/>
    <x v="1"/>
    <x v="2"/>
    <n v="50.268799999999999"/>
    <n v="50.268799999999999"/>
    <n v="49.473199999999999"/>
    <n v="49.617800000000003"/>
    <n v="34736"/>
    <n v="-0.58140000000000003"/>
    <n v="1.6082000000000001"/>
  </r>
  <r>
    <n v="2303"/>
    <x v="0"/>
    <d v="2011-03-23T00:00:00"/>
    <x v="2"/>
    <x v="2"/>
    <n v="10.0085"/>
    <n v="10.1106"/>
    <n v="9.9404000000000003"/>
    <n v="10.1106"/>
    <n v="27537"/>
    <n v="1.0152000000000001"/>
    <n v="1.7122999999999999"/>
  </r>
  <r>
    <n v="2330"/>
    <x v="1"/>
    <d v="2011-03-23T00:00:00"/>
    <x v="2"/>
    <x v="2"/>
    <n v="49.979500000000002"/>
    <n v="49.979500000000002"/>
    <n v="49.2562"/>
    <n v="49.690199999999997"/>
    <n v="31238"/>
    <n v="0.1457"/>
    <n v="1.4683999999999999"/>
  </r>
  <r>
    <n v="2303"/>
    <x v="0"/>
    <d v="2011-03-24T00:00:00"/>
    <x v="3"/>
    <x v="2"/>
    <n v="10.1447"/>
    <n v="10.280900000000001"/>
    <n v="10.076599999999999"/>
    <n v="10.2128"/>
    <n v="39440"/>
    <n v="1.0049999999999999"/>
    <n v="2.0270000000000001"/>
  </r>
  <r>
    <n v="2330"/>
    <x v="1"/>
    <d v="2011-03-24T00:00:00"/>
    <x v="3"/>
    <x v="2"/>
    <n v="49.979500000000002"/>
    <n v="50.702800000000003"/>
    <n v="49.9071"/>
    <n v="50.1965"/>
    <n v="44747"/>
    <n v="1.0138"/>
    <n v="1.5942000000000001"/>
  </r>
  <r>
    <n v="2303"/>
    <x v="0"/>
    <d v="2011-03-25T00:00:00"/>
    <x v="4"/>
    <x v="2"/>
    <n v="10.280900000000001"/>
    <n v="10.3489"/>
    <n v="10.1447"/>
    <n v="10.280900000000001"/>
    <n v="52619"/>
    <n v="0.66449999999999998"/>
    <n v="2.0133999999999999"/>
  </r>
  <r>
    <n v="2330"/>
    <x v="1"/>
    <d v="2011-03-25T00:00:00"/>
    <x v="4"/>
    <x v="2"/>
    <n v="50.919800000000002"/>
    <n v="51.498399999999997"/>
    <n v="50.630400000000002"/>
    <n v="51.498399999999997"/>
    <n v="51712"/>
    <n v="2.5606"/>
    <n v="1.7142999999999999"/>
  </r>
  <r>
    <n v="2303"/>
    <x v="0"/>
    <d v="2011-03-28T00:00:00"/>
    <x v="0"/>
    <x v="2"/>
    <n v="10.2128"/>
    <n v="10.280900000000001"/>
    <n v="10.1447"/>
    <n v="10.2468"/>
    <n v="33744"/>
    <n v="-0.33169999999999999"/>
    <n v="1.3423"/>
  </r>
  <r>
    <n v="2330"/>
    <x v="1"/>
    <d v="2011-03-28T00:00:00"/>
    <x v="0"/>
    <x v="2"/>
    <n v="51.064399999999999"/>
    <n v="51.353700000000003"/>
    <n v="50.8474"/>
    <n v="51.353700000000003"/>
    <n v="31030"/>
    <n v="-0.28129999999999999"/>
    <n v="0.99570000000000003"/>
  </r>
  <r>
    <n v="2303"/>
    <x v="0"/>
    <d v="2011-03-29T00:00:00"/>
    <x v="1"/>
    <x v="2"/>
    <n v="10.2468"/>
    <n v="10.382999999999999"/>
    <n v="10.2468"/>
    <n v="10.3149"/>
    <n v="33649"/>
    <n v="0.6623"/>
    <n v="1.3289"/>
  </r>
  <r>
    <n v="2330"/>
    <x v="1"/>
    <d v="2011-03-29T00:00:00"/>
    <x v="1"/>
    <x v="2"/>
    <n v="51.064399999999999"/>
    <n v="51.498399999999997"/>
    <n v="50.919800000000002"/>
    <n v="51.209099999999999"/>
    <n v="34871"/>
    <n v="-0.28210000000000002"/>
    <n v="1.1364000000000001"/>
  </r>
  <r>
    <n v="2303"/>
    <x v="0"/>
    <d v="2011-03-30T00:00:00"/>
    <x v="2"/>
    <x v="2"/>
    <n v="10.3149"/>
    <n v="10.382999999999999"/>
    <n v="10.280900000000001"/>
    <n v="10.3149"/>
    <n v="34790"/>
    <n v="0"/>
    <n v="0.99339999999999995"/>
  </r>
  <r>
    <n v="2330"/>
    <x v="1"/>
    <d v="2011-03-30T00:00:00"/>
    <x v="2"/>
    <x v="2"/>
    <n v="50.8474"/>
    <n v="51.209099999999999"/>
    <n v="50.630400000000002"/>
    <n v="50.8474"/>
    <n v="60975"/>
    <n v="-0.7087"/>
    <n v="1.1429"/>
  </r>
  <r>
    <n v="2303"/>
    <x v="0"/>
    <d v="2011-03-31T00:00:00"/>
    <x v="3"/>
    <x v="2"/>
    <n v="10.382999999999999"/>
    <n v="10.417"/>
    <n v="10.2128"/>
    <n v="10.417"/>
    <n v="32649"/>
    <n v="0.98519999999999996"/>
    <n v="2"/>
  </r>
  <r>
    <n v="2330"/>
    <x v="1"/>
    <d v="2011-03-31T00:00:00"/>
    <x v="3"/>
    <x v="2"/>
    <n v="51.353700000000003"/>
    <n v="51.353700000000003"/>
    <n v="50.630400000000002"/>
    <n v="51.064399999999999"/>
    <n v="46429"/>
    <n v="0.42580000000000001"/>
    <n v="1.4286000000000001"/>
  </r>
  <r>
    <n v="2303"/>
    <x v="0"/>
    <d v="2011-04-01T00:00:00"/>
    <x v="4"/>
    <x v="3"/>
    <n v="10.417"/>
    <n v="10.417"/>
    <n v="10.280900000000001"/>
    <n v="10.3149"/>
    <n v="27301"/>
    <n v="-0.98519999999999996"/>
    <n v="1.3245"/>
  </r>
  <r>
    <n v="2330"/>
    <x v="1"/>
    <d v="2011-04-01T00:00:00"/>
    <x v="4"/>
    <x v="3"/>
    <n v="51.136699999999998"/>
    <n v="51.209099999999999"/>
    <n v="50.702800000000003"/>
    <n v="51.136699999999998"/>
    <n v="30274"/>
    <n v="0.14149999999999999"/>
    <n v="0.99860000000000004"/>
  </r>
  <r>
    <n v="2303"/>
    <x v="0"/>
    <d v="2011-04-06T00:00:00"/>
    <x v="2"/>
    <x v="3"/>
    <n v="10.5532"/>
    <n v="10.6213"/>
    <n v="10.4511"/>
    <n v="10.4511"/>
    <n v="87117"/>
    <n v="1.3115000000000001"/>
    <n v="1.6287"/>
  </r>
  <r>
    <n v="2330"/>
    <x v="1"/>
    <d v="2011-04-06T00:00:00"/>
    <x v="2"/>
    <x v="3"/>
    <n v="51.715400000000002"/>
    <n v="52.728000000000002"/>
    <n v="51.715400000000002"/>
    <n v="52.728000000000002"/>
    <n v="114460"/>
    <n v="3.0642999999999998"/>
    <n v="1.958"/>
  </r>
  <r>
    <n v="2303"/>
    <x v="0"/>
    <d v="2011-04-07T00:00:00"/>
    <x v="3"/>
    <x v="3"/>
    <n v="10.485099999999999"/>
    <n v="10.5532"/>
    <n v="10.4511"/>
    <n v="10.5532"/>
    <n v="44603"/>
    <n v="0.97250000000000003"/>
    <n v="0.97719999999999996"/>
  </r>
  <r>
    <n v="2330"/>
    <x v="1"/>
    <d v="2011-04-07T00:00:00"/>
    <x v="3"/>
    <x v="3"/>
    <n v="52.8003"/>
    <n v="52.8003"/>
    <n v="52.293999999999997"/>
    <n v="52.655700000000003"/>
    <n v="45215"/>
    <n v="-0.13730000000000001"/>
    <n v="0.96819999999999995"/>
  </r>
  <r>
    <n v="2303"/>
    <x v="0"/>
    <d v="2011-04-08T00:00:00"/>
    <x v="4"/>
    <x v="3"/>
    <n v="10.5532"/>
    <n v="10.6213"/>
    <n v="10.485099999999999"/>
    <n v="10.6213"/>
    <n v="51810"/>
    <n v="0.6431"/>
    <n v="1.2987"/>
  </r>
  <r>
    <n v="2330"/>
    <x v="1"/>
    <d v="2011-04-08T00:00:00"/>
    <x v="4"/>
    <x v="3"/>
    <n v="52.728000000000002"/>
    <n v="52.8003"/>
    <n v="52.366300000000003"/>
    <n v="52.728000000000002"/>
    <n v="65763"/>
    <n v="0.13730000000000001"/>
    <n v="0.82869999999999999"/>
  </r>
  <r>
    <n v="2303"/>
    <x v="0"/>
    <d v="2011-04-11T00:00:00"/>
    <x v="0"/>
    <x v="3"/>
    <n v="10.6213"/>
    <n v="10.6553"/>
    <n v="10.382999999999999"/>
    <n v="10.5191"/>
    <n v="40105"/>
    <n v="-0.96619999999999995"/>
    <n v="2.6230000000000002"/>
  </r>
  <r>
    <n v="2330"/>
    <x v="1"/>
    <d v="2011-04-11T00:00:00"/>
    <x v="0"/>
    <x v="3"/>
    <n v="52.8003"/>
    <n v="52.8003"/>
    <n v="51.281399999999998"/>
    <n v="51.426099999999998"/>
    <n v="62602"/>
    <n v="-2.5001000000000002"/>
    <n v="2.9619"/>
  </r>
  <r>
    <n v="2303"/>
    <x v="0"/>
    <d v="2011-04-12T00:00:00"/>
    <x v="1"/>
    <x v="3"/>
    <n v="10.485099999999999"/>
    <n v="10.485099999999999"/>
    <n v="10.3149"/>
    <n v="10.4511"/>
    <n v="23701"/>
    <n v="-0.64939999999999998"/>
    <n v="1.6501999999999999"/>
  </r>
  <r>
    <n v="2330"/>
    <x v="1"/>
    <d v="2011-04-12T00:00:00"/>
    <x v="1"/>
    <x v="3"/>
    <n v="50.992100000000001"/>
    <n v="51.136699999999998"/>
    <n v="50.702800000000003"/>
    <n v="50.702800000000003"/>
    <n v="45964"/>
    <n v="-1.4165000000000001"/>
    <n v="0.85589999999999999"/>
  </r>
  <r>
    <n v="2303"/>
    <x v="0"/>
    <d v="2011-04-13T00:00:00"/>
    <x v="2"/>
    <x v="3"/>
    <n v="10.4511"/>
    <n v="10.4511"/>
    <n v="10.3149"/>
    <n v="10.417"/>
    <n v="35062"/>
    <n v="-0.32629999999999998"/>
    <n v="1.3201000000000001"/>
  </r>
  <r>
    <n v="2330"/>
    <x v="1"/>
    <d v="2011-04-13T00:00:00"/>
    <x v="2"/>
    <x v="3"/>
    <n v="50.702800000000003"/>
    <n v="51.209099999999999"/>
    <n v="50.630400000000002"/>
    <n v="51.136699999999998"/>
    <n v="27891"/>
    <n v="0.85229999999999995"/>
    <n v="1.1429"/>
  </r>
  <r>
    <n v="2303"/>
    <x v="0"/>
    <d v="2011-04-14T00:00:00"/>
    <x v="3"/>
    <x v="3"/>
    <n v="10.417"/>
    <n v="10.417"/>
    <n v="10.3149"/>
    <n v="10.3149"/>
    <n v="30375"/>
    <n v="-0.98519999999999996"/>
    <n v="0.99009999999999998"/>
  </r>
  <r>
    <n v="2330"/>
    <x v="1"/>
    <d v="2011-04-14T00:00:00"/>
    <x v="3"/>
    <x v="3"/>
    <n v="50.8474"/>
    <n v="50.992100000000001"/>
    <n v="50.341099999999997"/>
    <n v="50.485799999999998"/>
    <n v="53756"/>
    <n v="-1.2811999999999999"/>
    <n v="1.2930999999999999"/>
  </r>
  <r>
    <n v="2303"/>
    <x v="0"/>
    <d v="2011-04-15T00:00:00"/>
    <x v="4"/>
    <x v="3"/>
    <n v="10.3489"/>
    <n v="10.382999999999999"/>
    <n v="10.1447"/>
    <n v="10.1447"/>
    <n v="47395"/>
    <n v="-1.6638999999999999"/>
    <n v="2.3490000000000002"/>
  </r>
  <r>
    <n v="2330"/>
    <x v="1"/>
    <d v="2011-04-15T00:00:00"/>
    <x v="4"/>
    <x v="3"/>
    <n v="50.630400000000002"/>
    <n v="50.630400000000002"/>
    <n v="49.979500000000002"/>
    <n v="50.0518"/>
    <n v="52231"/>
    <n v="-0.86329999999999996"/>
    <n v="1.3025"/>
  </r>
  <r>
    <n v="2303"/>
    <x v="0"/>
    <d v="2011-04-18T00:00:00"/>
    <x v="0"/>
    <x v="3"/>
    <n v="10.1106"/>
    <n v="10.1447"/>
    <n v="10.0085"/>
    <n v="10.0426"/>
    <n v="43462"/>
    <n v="-1.0118"/>
    <n v="1.3605"/>
  </r>
  <r>
    <n v="2330"/>
    <x v="1"/>
    <d v="2011-04-18T00:00:00"/>
    <x v="0"/>
    <x v="3"/>
    <n v="50.485799999999998"/>
    <n v="50.485799999999998"/>
    <n v="49.762500000000003"/>
    <n v="49.9071"/>
    <n v="27185"/>
    <n v="-0.28939999999999999"/>
    <n v="1.4535"/>
  </r>
  <r>
    <n v="2303"/>
    <x v="0"/>
    <d v="2011-04-19T00:00:00"/>
    <x v="1"/>
    <x v="3"/>
    <n v="10.0085"/>
    <n v="10.1447"/>
    <n v="9.9063999999999997"/>
    <n v="10.1447"/>
    <n v="34982"/>
    <n v="1.0118"/>
    <n v="2.4055"/>
  </r>
  <r>
    <n v="2330"/>
    <x v="1"/>
    <d v="2011-04-19T00:00:00"/>
    <x v="1"/>
    <x v="3"/>
    <n v="49.545499999999997"/>
    <n v="49.545499999999997"/>
    <n v="49.183900000000001"/>
    <n v="49.2562"/>
    <n v="42733"/>
    <n v="-1.3129"/>
    <n v="0.73529999999999995"/>
  </r>
  <r>
    <n v="2303"/>
    <x v="0"/>
    <d v="2011-04-20T00:00:00"/>
    <x v="2"/>
    <x v="3"/>
    <n v="10.280900000000001"/>
    <n v="10.3149"/>
    <n v="10.178699999999999"/>
    <n v="10.280900000000001"/>
    <n v="34081"/>
    <n v="1.3333999999999999"/>
    <n v="1.3378000000000001"/>
  </r>
  <r>
    <n v="2330"/>
    <x v="1"/>
    <d v="2011-04-20T00:00:00"/>
    <x v="2"/>
    <x v="3"/>
    <n v="49.9071"/>
    <n v="50.485799999999998"/>
    <n v="49.545499999999997"/>
    <n v="50.485799999999998"/>
    <n v="48244"/>
    <n v="2.4657"/>
    <n v="1.8977999999999999"/>
  </r>
  <r>
    <n v="2303"/>
    <x v="0"/>
    <d v="2011-04-21T00:00:00"/>
    <x v="3"/>
    <x v="3"/>
    <n v="10.417"/>
    <n v="10.5191"/>
    <n v="10.382999999999999"/>
    <n v="10.417"/>
    <n v="37156"/>
    <n v="1.3158000000000001"/>
    <n v="1.3115000000000001"/>
  </r>
  <r>
    <n v="2330"/>
    <x v="1"/>
    <d v="2011-04-21T00:00:00"/>
    <x v="3"/>
    <x v="3"/>
    <n v="51.136699999999998"/>
    <n v="51.570700000000002"/>
    <n v="50.8474"/>
    <n v="51.136699999999998"/>
    <n v="50937"/>
    <n v="1.2811999999999999"/>
    <n v="1.4225000000000001"/>
  </r>
  <r>
    <n v="2303"/>
    <x v="0"/>
    <d v="2011-04-22T00:00:00"/>
    <x v="4"/>
    <x v="3"/>
    <n v="10.417"/>
    <n v="10.4511"/>
    <n v="10.3489"/>
    <n v="10.3489"/>
    <n v="21761"/>
    <n v="-0.65569999999999995"/>
    <n v="0.98680000000000001"/>
  </r>
  <r>
    <n v="2330"/>
    <x v="1"/>
    <d v="2011-04-22T00:00:00"/>
    <x v="4"/>
    <x v="3"/>
    <n v="51.281399999999998"/>
    <n v="51.353700000000003"/>
    <n v="50.8474"/>
    <n v="51.281399999999998"/>
    <n v="25371"/>
    <n v="0.28249999999999997"/>
    <n v="0.99570000000000003"/>
  </r>
  <r>
    <n v="2303"/>
    <x v="0"/>
    <d v="2011-04-25T00:00:00"/>
    <x v="0"/>
    <x v="3"/>
    <n v="10.3489"/>
    <n v="10.382999999999999"/>
    <n v="10.2468"/>
    <n v="10.2468"/>
    <n v="17096"/>
    <n v="-0.99170000000000003"/>
    <n v="1.3289"/>
  </r>
  <r>
    <n v="2330"/>
    <x v="1"/>
    <d v="2011-04-25T00:00:00"/>
    <x v="0"/>
    <x v="3"/>
    <n v="51.353700000000003"/>
    <n v="51.426099999999998"/>
    <n v="50.702800000000003"/>
    <n v="50.8474"/>
    <n v="22103"/>
    <n v="-0.84989999999999999"/>
    <n v="1.4265000000000001"/>
  </r>
  <r>
    <n v="2303"/>
    <x v="0"/>
    <d v="2011-04-26T00:00:00"/>
    <x v="1"/>
    <x v="3"/>
    <n v="10.2128"/>
    <n v="10.382999999999999"/>
    <n v="10.178699999999999"/>
    <n v="10.382999999999999"/>
    <n v="30876"/>
    <n v="1.3202"/>
    <n v="2.0066999999999999"/>
  </r>
  <r>
    <n v="2330"/>
    <x v="1"/>
    <d v="2011-04-26T00:00:00"/>
    <x v="1"/>
    <x v="3"/>
    <n v="50.413499999999999"/>
    <n v="50.8474"/>
    <n v="49.979500000000002"/>
    <n v="50.8474"/>
    <n v="31931"/>
    <n v="0"/>
    <n v="1.7365999999999999"/>
  </r>
  <r>
    <n v="2303"/>
    <x v="0"/>
    <d v="2011-04-27T00:00:00"/>
    <x v="2"/>
    <x v="3"/>
    <n v="10.417"/>
    <n v="10.5191"/>
    <n v="10.417"/>
    <n v="10.417"/>
    <n v="41942"/>
    <n v="0.32729999999999998"/>
    <n v="0.98040000000000005"/>
  </r>
  <r>
    <n v="2330"/>
    <x v="1"/>
    <d v="2011-04-27T00:00:00"/>
    <x v="2"/>
    <x v="3"/>
    <n v="51.715400000000002"/>
    <n v="52.583300000000001"/>
    <n v="51.715400000000002"/>
    <n v="52.293999999999997"/>
    <n v="59307"/>
    <n v="2.8052000000000001"/>
    <n v="1.6782999999999999"/>
  </r>
  <r>
    <n v="2303"/>
    <x v="0"/>
    <d v="2011-04-28T00:00:00"/>
    <x v="3"/>
    <x v="3"/>
    <n v="10.417"/>
    <n v="10.4511"/>
    <n v="10.280900000000001"/>
    <n v="10.280900000000001"/>
    <n v="39215"/>
    <n v="-1.3158000000000001"/>
    <n v="1.6556"/>
  </r>
  <r>
    <n v="2330"/>
    <x v="1"/>
    <d v="2011-04-28T00:00:00"/>
    <x v="3"/>
    <x v="3"/>
    <n v="53.089599999999997"/>
    <n v="53.306600000000003"/>
    <n v="52.728000000000002"/>
    <n v="52.8003"/>
    <n v="83614"/>
    <n v="0.96350000000000002"/>
    <n v="1.0973999999999999"/>
  </r>
  <r>
    <n v="2303"/>
    <x v="0"/>
    <d v="2011-04-29T00:00:00"/>
    <x v="4"/>
    <x v="3"/>
    <n v="10.280900000000001"/>
    <n v="10.3149"/>
    <n v="10.0426"/>
    <n v="10.1106"/>
    <n v="57337"/>
    <n v="-1.6695"/>
    <n v="2.7119"/>
  </r>
  <r>
    <n v="2330"/>
    <x v="1"/>
    <d v="2011-04-29T00:00:00"/>
    <x v="4"/>
    <x v="3"/>
    <n v="53.3065"/>
    <n v="53.4512"/>
    <n v="52.727899999999998"/>
    <n v="52.944899999999997"/>
    <n v="93588"/>
    <n v="0.27360000000000001"/>
    <n v="1.3716999999999999"/>
  </r>
  <r>
    <n v="2303"/>
    <x v="0"/>
    <d v="2011-05-03T00:00:00"/>
    <x v="1"/>
    <x v="4"/>
    <n v="10.2128"/>
    <n v="10.2128"/>
    <n v="10.1106"/>
    <n v="10.178699999999999"/>
    <n v="27394"/>
    <n v="0.67110000000000003"/>
    <n v="1.0101"/>
  </r>
  <r>
    <n v="2330"/>
    <x v="1"/>
    <d v="2011-05-03T00:00:00"/>
    <x v="1"/>
    <x v="4"/>
    <n v="53.4512"/>
    <n v="54.102200000000003"/>
    <n v="53.234200000000001"/>
    <n v="53.957500000000003"/>
    <n v="81669"/>
    <n v="1.8945000000000001"/>
    <n v="1.6304000000000001"/>
  </r>
  <r>
    <n v="2303"/>
    <x v="0"/>
    <d v="2011-05-04T00:00:00"/>
    <x v="2"/>
    <x v="4"/>
    <n v="10.178699999999999"/>
    <n v="10.2468"/>
    <n v="10.076599999999999"/>
    <n v="10.178699999999999"/>
    <n v="32573"/>
    <n v="0"/>
    <n v="1.6892"/>
  </r>
  <r>
    <n v="2330"/>
    <x v="1"/>
    <d v="2011-05-04T00:00:00"/>
    <x v="2"/>
    <x v="4"/>
    <n v="53.812899999999999"/>
    <n v="53.812899999999999"/>
    <n v="52.800199999999997"/>
    <n v="53.378900000000002"/>
    <n v="46678"/>
    <n v="-1.0782"/>
    <n v="1.9177999999999999"/>
  </r>
  <r>
    <n v="2303"/>
    <x v="0"/>
    <d v="2011-05-05T00:00:00"/>
    <x v="3"/>
    <x v="4"/>
    <n v="10.178699999999999"/>
    <n v="10.280900000000001"/>
    <n v="10.1106"/>
    <n v="10.2128"/>
    <n v="15778"/>
    <n v="0.33389999999999997"/>
    <n v="1.6835"/>
  </r>
  <r>
    <n v="2330"/>
    <x v="1"/>
    <d v="2011-05-05T00:00:00"/>
    <x v="3"/>
    <x v="4"/>
    <n v="53.523499999999999"/>
    <n v="54.102200000000003"/>
    <n v="53.234200000000001"/>
    <n v="54.102200000000003"/>
    <n v="45484"/>
    <n v="1.3459000000000001"/>
    <n v="1.6304000000000001"/>
  </r>
  <r>
    <n v="2303"/>
    <x v="0"/>
    <d v="2011-05-06T00:00:00"/>
    <x v="4"/>
    <x v="4"/>
    <n v="10.2128"/>
    <n v="10.3149"/>
    <n v="10.1447"/>
    <n v="10.2128"/>
    <n v="24907"/>
    <n v="0"/>
    <n v="1.6778999999999999"/>
  </r>
  <r>
    <n v="2330"/>
    <x v="1"/>
    <d v="2011-05-06T00:00:00"/>
    <x v="4"/>
    <x v="4"/>
    <n v="54.2468"/>
    <n v="54.680799999999998"/>
    <n v="53.812899999999999"/>
    <n v="54.2468"/>
    <n v="54111"/>
    <n v="0.26700000000000002"/>
    <n v="1.6129"/>
  </r>
  <r>
    <n v="2303"/>
    <x v="0"/>
    <d v="2011-05-09T00:00:00"/>
    <x v="0"/>
    <x v="4"/>
    <n v="10.3149"/>
    <n v="10.382999999999999"/>
    <n v="10.2468"/>
    <n v="10.3489"/>
    <n v="28149"/>
    <n v="1.3245"/>
    <n v="1.3289"/>
  </r>
  <r>
    <n v="2330"/>
    <x v="1"/>
    <d v="2011-05-09T00:00:00"/>
    <x v="0"/>
    <x v="4"/>
    <n v="54.680799999999998"/>
    <n v="55.042400000000001"/>
    <n v="54.391500000000001"/>
    <n v="54.608499999999999"/>
    <n v="64708"/>
    <n v="0.66449999999999998"/>
    <n v="1.1968000000000001"/>
  </r>
  <r>
    <n v="2303"/>
    <x v="0"/>
    <d v="2011-05-10T00:00:00"/>
    <x v="1"/>
    <x v="4"/>
    <n v="10.417"/>
    <n v="10.417"/>
    <n v="10.2468"/>
    <n v="10.280900000000001"/>
    <n v="19493"/>
    <n v="-0.66010000000000002"/>
    <n v="1.6611"/>
  </r>
  <r>
    <n v="2330"/>
    <x v="1"/>
    <d v="2011-05-10T00:00:00"/>
    <x v="1"/>
    <x v="4"/>
    <n v="54.680799999999998"/>
    <n v="54.680799999999998"/>
    <n v="53.812899999999999"/>
    <n v="53.812899999999999"/>
    <n v="43355"/>
    <n v="-1.4677"/>
    <n v="1.6129"/>
  </r>
  <r>
    <n v="2303"/>
    <x v="0"/>
    <d v="2011-05-11T00:00:00"/>
    <x v="2"/>
    <x v="4"/>
    <n v="10.3489"/>
    <n v="10.3489"/>
    <n v="10.2128"/>
    <n v="10.2468"/>
    <n v="17515"/>
    <n v="-0.33169999999999999"/>
    <n v="1.3332999999999999"/>
  </r>
  <r>
    <n v="2330"/>
    <x v="1"/>
    <d v="2011-05-11T00:00:00"/>
    <x v="2"/>
    <x v="4"/>
    <n v="54.463799999999999"/>
    <n v="54.463799999999999"/>
    <n v="53.957500000000003"/>
    <n v="54.2468"/>
    <n v="43256"/>
    <n v="0.80320000000000003"/>
    <n v="0.93830000000000002"/>
  </r>
  <r>
    <n v="2303"/>
    <x v="0"/>
    <d v="2011-05-12T00:00:00"/>
    <x v="3"/>
    <x v="4"/>
    <n v="10.2128"/>
    <n v="10.280900000000001"/>
    <n v="10.1447"/>
    <n v="10.1447"/>
    <n v="35392"/>
    <n v="-1.0017"/>
    <n v="1.3423"/>
  </r>
  <r>
    <n v="2330"/>
    <x v="1"/>
    <d v="2011-05-12T00:00:00"/>
    <x v="3"/>
    <x v="4"/>
    <n v="53.668199999999999"/>
    <n v="54.970100000000002"/>
    <n v="53.5959"/>
    <n v="54.753100000000003"/>
    <n v="59055"/>
    <n v="0.92900000000000005"/>
    <n v="2.5640999999999998"/>
  </r>
  <r>
    <n v="2303"/>
    <x v="0"/>
    <d v="2011-05-13T00:00:00"/>
    <x v="4"/>
    <x v="4"/>
    <n v="10.2128"/>
    <n v="10.280900000000001"/>
    <n v="10.178699999999999"/>
    <n v="10.178699999999999"/>
    <n v="27241"/>
    <n v="0.33500000000000002"/>
    <n v="1.0033000000000001"/>
  </r>
  <r>
    <n v="2330"/>
    <x v="1"/>
    <d v="2011-05-13T00:00:00"/>
    <x v="4"/>
    <x v="4"/>
    <n v="54.970100000000002"/>
    <n v="55.042400000000001"/>
    <n v="54.608499999999999"/>
    <n v="54.897799999999997"/>
    <n v="40118"/>
    <n v="0.26390000000000002"/>
    <n v="0.79469999999999996"/>
  </r>
  <r>
    <n v="2303"/>
    <x v="0"/>
    <d v="2011-05-16T00:00:00"/>
    <x v="0"/>
    <x v="4"/>
    <n v="10.2468"/>
    <n v="10.280900000000001"/>
    <n v="10.1447"/>
    <n v="10.178699999999999"/>
    <n v="30982"/>
    <n v="0"/>
    <n v="1.3423"/>
  </r>
  <r>
    <n v="2330"/>
    <x v="1"/>
    <d v="2011-05-16T00:00:00"/>
    <x v="0"/>
    <x v="4"/>
    <n v="54.897799999999997"/>
    <n v="54.897799999999997"/>
    <n v="54.029800000000002"/>
    <n v="54.174500000000002"/>
    <n v="34105"/>
    <n v="-1.3263"/>
    <n v="1.6064000000000001"/>
  </r>
  <r>
    <n v="2303"/>
    <x v="0"/>
    <d v="2011-05-17T00:00:00"/>
    <x v="1"/>
    <x v="4"/>
    <n v="10.1447"/>
    <n v="10.2128"/>
    <n v="10.076599999999999"/>
    <n v="10.1106"/>
    <n v="39877"/>
    <n v="-0.67110000000000003"/>
    <n v="1.3513999999999999"/>
  </r>
  <r>
    <n v="2330"/>
    <x v="1"/>
    <d v="2011-05-17T00:00:00"/>
    <x v="1"/>
    <x v="4"/>
    <n v="53.957500000000003"/>
    <n v="54.970100000000002"/>
    <n v="53.957500000000003"/>
    <n v="54.680799999999998"/>
    <n v="41402"/>
    <n v="0.93020000000000003"/>
    <n v="1.8767"/>
  </r>
  <r>
    <n v="2303"/>
    <x v="0"/>
    <d v="2011-05-18T00:00:00"/>
    <x v="2"/>
    <x v="4"/>
    <n v="9.9745000000000008"/>
    <n v="10.0085"/>
    <n v="9.8722999999999992"/>
    <n v="9.9404000000000003"/>
    <n v="78595"/>
    <n v="-1.6978"/>
    <n v="1.3793"/>
  </r>
  <r>
    <n v="2330"/>
    <x v="1"/>
    <d v="2011-05-18T00:00:00"/>
    <x v="2"/>
    <x v="4"/>
    <n v="54.463799999999999"/>
    <n v="54.825499999999998"/>
    <n v="54.174500000000002"/>
    <n v="54.463799999999999"/>
    <n v="28263"/>
    <n v="-0.39760000000000001"/>
    <n v="1.2016"/>
  </r>
  <r>
    <n v="2303"/>
    <x v="0"/>
    <d v="2011-05-19T00:00:00"/>
    <x v="3"/>
    <x v="4"/>
    <n v="10.0085"/>
    <n v="10.076599999999999"/>
    <n v="9.9745000000000008"/>
    <n v="10.0426"/>
    <n v="40099"/>
    <n v="1.0222"/>
    <n v="1.0239"/>
  </r>
  <r>
    <n v="2330"/>
    <x v="1"/>
    <d v="2011-05-19T00:00:00"/>
    <x v="3"/>
    <x v="4"/>
    <n v="54.174500000000002"/>
    <n v="55.187100000000001"/>
    <n v="54.174500000000002"/>
    <n v="54.391500000000001"/>
    <n v="58823"/>
    <n v="-0.13289999999999999"/>
    <n v="1.8692"/>
  </r>
  <r>
    <n v="2303"/>
    <x v="0"/>
    <d v="2011-05-20T00:00:00"/>
    <x v="4"/>
    <x v="4"/>
    <n v="10.0426"/>
    <n v="10.076599999999999"/>
    <n v="9.9404000000000003"/>
    <n v="9.9404000000000003"/>
    <n v="42632"/>
    <n v="-1.0222"/>
    <n v="1.3698999999999999"/>
  </r>
  <r>
    <n v="2330"/>
    <x v="1"/>
    <d v="2011-05-20T00:00:00"/>
    <x v="4"/>
    <x v="4"/>
    <n v="54.970100000000002"/>
    <n v="54.970100000000002"/>
    <n v="54.174500000000002"/>
    <n v="54.608499999999999"/>
    <n v="33000"/>
    <n v="0.39810000000000001"/>
    <n v="1.4685999999999999"/>
  </r>
  <r>
    <n v="2303"/>
    <x v="0"/>
    <d v="2011-05-23T00:00:00"/>
    <x v="0"/>
    <x v="4"/>
    <n v="9.8722999999999992"/>
    <n v="9.9404000000000003"/>
    <n v="9.8042999999999996"/>
    <n v="9.8722999999999992"/>
    <n v="34465"/>
    <n v="-0.68730000000000002"/>
    <n v="1.3889"/>
  </r>
  <r>
    <n v="2330"/>
    <x v="1"/>
    <d v="2011-05-23T00:00:00"/>
    <x v="0"/>
    <x v="4"/>
    <n v="54.029800000000002"/>
    <n v="54.608499999999999"/>
    <n v="53.885199999999998"/>
    <n v="54.319200000000002"/>
    <n v="39033"/>
    <n v="-0.53120000000000001"/>
    <n v="1.3423"/>
  </r>
  <r>
    <n v="2303"/>
    <x v="0"/>
    <d v="2011-05-24T00:00:00"/>
    <x v="1"/>
    <x v="4"/>
    <n v="9.8383000000000003"/>
    <n v="9.8383000000000003"/>
    <n v="9.7020999999999997"/>
    <n v="9.8383000000000003"/>
    <n v="45750"/>
    <n v="-0.34539999999999998"/>
    <n v="1.4035"/>
  </r>
  <r>
    <n v="2330"/>
    <x v="1"/>
    <d v="2011-05-24T00:00:00"/>
    <x v="1"/>
    <x v="4"/>
    <n v="54.174500000000002"/>
    <n v="54.319200000000002"/>
    <n v="53.668199999999999"/>
    <n v="54.102200000000003"/>
    <n v="34788"/>
    <n v="-0.40029999999999999"/>
    <n v="1.2129000000000001"/>
  </r>
  <r>
    <n v="2303"/>
    <x v="0"/>
    <d v="2011-05-25T00:00:00"/>
    <x v="2"/>
    <x v="4"/>
    <n v="9.8383000000000003"/>
    <n v="9.9404000000000003"/>
    <n v="9.7702000000000009"/>
    <n v="9.9063999999999997"/>
    <n v="29928"/>
    <n v="0.68969999999999998"/>
    <n v="1.7422"/>
  </r>
  <r>
    <n v="2330"/>
    <x v="1"/>
    <d v="2011-05-25T00:00:00"/>
    <x v="2"/>
    <x v="4"/>
    <n v="53.668199999999999"/>
    <n v="54.174500000000002"/>
    <n v="53.017200000000003"/>
    <n v="53.885199999999998"/>
    <n v="59580"/>
    <n v="-0.40189999999999998"/>
    <n v="2.1827999999999999"/>
  </r>
  <r>
    <n v="2303"/>
    <x v="0"/>
    <d v="2011-05-26T00:00:00"/>
    <x v="3"/>
    <x v="4"/>
    <n v="10.0085"/>
    <n v="10.0085"/>
    <n v="9.8383000000000003"/>
    <n v="9.9063999999999997"/>
    <n v="26524"/>
    <n v="0"/>
    <n v="1.7301"/>
  </r>
  <r>
    <n v="2330"/>
    <x v="1"/>
    <d v="2011-05-26T00:00:00"/>
    <x v="3"/>
    <x v="4"/>
    <n v="54.2468"/>
    <n v="54.2468"/>
    <n v="53.523499999999999"/>
    <n v="53.668199999999999"/>
    <n v="33240"/>
    <n v="-0.40350000000000003"/>
    <n v="1.3513999999999999"/>
  </r>
  <r>
    <n v="2303"/>
    <x v="0"/>
    <d v="2011-05-27T00:00:00"/>
    <x v="4"/>
    <x v="4"/>
    <n v="9.8722999999999992"/>
    <n v="9.9404000000000003"/>
    <n v="9.7702000000000009"/>
    <n v="9.7702000000000009"/>
    <n v="34279"/>
    <n v="-1.3841000000000001"/>
    <n v="1.7422"/>
  </r>
  <r>
    <n v="2330"/>
    <x v="1"/>
    <d v="2011-05-27T00:00:00"/>
    <x v="4"/>
    <x v="4"/>
    <n v="53.378900000000002"/>
    <n v="53.885199999999998"/>
    <n v="53.378900000000002"/>
    <n v="53.523499999999999"/>
    <n v="49929"/>
    <n v="-0.26989999999999997"/>
    <n v="0.94850000000000001"/>
  </r>
  <r>
    <n v="2303"/>
    <x v="0"/>
    <d v="2011-05-30T00:00:00"/>
    <x v="0"/>
    <x v="4"/>
    <n v="9.8722999999999992"/>
    <n v="10.0426"/>
    <n v="9.8383000000000003"/>
    <n v="10.0085"/>
    <n v="42150"/>
    <n v="2.4098000000000002"/>
    <n v="2.0760999999999998"/>
  </r>
  <r>
    <n v="2330"/>
    <x v="1"/>
    <d v="2011-05-30T00:00:00"/>
    <x v="0"/>
    <x v="4"/>
    <n v="53.523499999999999"/>
    <n v="54.463799999999999"/>
    <n v="53.523499999999999"/>
    <n v="54.319200000000002"/>
    <n v="33733"/>
    <n v="1.4755"/>
    <n v="1.7567999999999999"/>
  </r>
  <r>
    <n v="2303"/>
    <x v="0"/>
    <d v="2011-05-31T00:00:00"/>
    <x v="1"/>
    <x v="4"/>
    <n v="10.0426"/>
    <n v="10.1447"/>
    <n v="10.0085"/>
    <n v="10.076599999999999"/>
    <n v="45122"/>
    <n v="0.67800000000000005"/>
    <n v="1.3605"/>
  </r>
  <r>
    <n v="2330"/>
    <x v="1"/>
    <d v="2011-05-31T00:00:00"/>
    <x v="1"/>
    <x v="4"/>
    <n v="54.608499999999999"/>
    <n v="55.621099999999998"/>
    <n v="54.536099999999998"/>
    <n v="55.476399999999998"/>
    <n v="62918"/>
    <n v="2.1080999999999999"/>
    <n v="1.9894000000000001"/>
  </r>
  <r>
    <n v="2303"/>
    <x v="0"/>
    <d v="2011-06-01T00:00:00"/>
    <x v="2"/>
    <x v="5"/>
    <n v="10.1106"/>
    <n v="10.3149"/>
    <n v="10.1106"/>
    <n v="10.2468"/>
    <n v="64511"/>
    <n v="1.6751"/>
    <n v="2.0202"/>
  </r>
  <r>
    <n v="2330"/>
    <x v="1"/>
    <d v="2011-06-01T00:00:00"/>
    <x v="2"/>
    <x v="5"/>
    <n v="55.187100000000001"/>
    <n v="55.910400000000003"/>
    <n v="55.187100000000001"/>
    <n v="55.693399999999997"/>
    <n v="45321"/>
    <n v="0.39040000000000002"/>
    <n v="1.3106"/>
  </r>
  <r>
    <n v="2303"/>
    <x v="0"/>
    <d v="2011-06-02T00:00:00"/>
    <x v="3"/>
    <x v="5"/>
    <n v="10.1447"/>
    <n v="10.2468"/>
    <n v="10.1106"/>
    <n v="10.2468"/>
    <n v="43762"/>
    <n v="0"/>
    <n v="1.3468"/>
  </r>
  <r>
    <n v="2330"/>
    <x v="1"/>
    <d v="2011-06-02T00:00:00"/>
    <x v="3"/>
    <x v="5"/>
    <n v="55.187100000000001"/>
    <n v="55.982700000000001"/>
    <n v="55.187100000000001"/>
    <n v="55.259399999999999"/>
    <n v="61881"/>
    <n v="-0.7823"/>
    <n v="1.4417"/>
  </r>
  <r>
    <n v="2303"/>
    <x v="0"/>
    <d v="2011-06-03T00:00:00"/>
    <x v="4"/>
    <x v="5"/>
    <n v="10.2468"/>
    <n v="10.2468"/>
    <n v="10.1106"/>
    <n v="10.2128"/>
    <n v="24455"/>
    <n v="-0.33279999999999998"/>
    <n v="1.3468"/>
  </r>
  <r>
    <n v="2330"/>
    <x v="1"/>
    <d v="2011-06-03T00:00:00"/>
    <x v="4"/>
    <x v="5"/>
    <n v="55.693399999999997"/>
    <n v="55.838099999999997"/>
    <n v="55.042400000000001"/>
    <n v="55.838099999999997"/>
    <n v="36770"/>
    <n v="1.0417000000000001"/>
    <n v="1.4455"/>
  </r>
  <r>
    <n v="2303"/>
    <x v="0"/>
    <d v="2011-06-07T00:00:00"/>
    <x v="1"/>
    <x v="5"/>
    <n v="10.1447"/>
    <n v="10.2128"/>
    <n v="10.076599999999999"/>
    <n v="10.1106"/>
    <n v="32265"/>
    <n v="-1.0049999999999999"/>
    <n v="1.3513999999999999"/>
  </r>
  <r>
    <n v="2330"/>
    <x v="1"/>
    <d v="2011-06-07T00:00:00"/>
    <x v="1"/>
    <x v="5"/>
    <n v="55.838099999999997"/>
    <n v="56.561399999999999"/>
    <n v="55.4041"/>
    <n v="56.055100000000003"/>
    <n v="41425"/>
    <n v="0.38779999999999998"/>
    <n v="2.0888"/>
  </r>
  <r>
    <n v="2303"/>
    <x v="0"/>
    <d v="2011-06-08T00:00:00"/>
    <x v="2"/>
    <x v="5"/>
    <n v="10.1106"/>
    <n v="10.280900000000001"/>
    <n v="10.1106"/>
    <n v="10.2128"/>
    <n v="29057"/>
    <n v="1.0049999999999999"/>
    <n v="1.6835"/>
  </r>
  <r>
    <n v="2330"/>
    <x v="1"/>
    <d v="2011-06-08T00:00:00"/>
    <x v="2"/>
    <x v="5"/>
    <n v="55.765700000000002"/>
    <n v="56.416699999999999"/>
    <n v="55.765700000000002"/>
    <n v="56.055100000000003"/>
    <n v="58253"/>
    <n v="0"/>
    <n v="1.1673"/>
  </r>
  <r>
    <n v="2303"/>
    <x v="0"/>
    <d v="2011-06-09T00:00:00"/>
    <x v="3"/>
    <x v="5"/>
    <n v="10.280900000000001"/>
    <n v="10.280900000000001"/>
    <n v="10.178699999999999"/>
    <n v="10.178699999999999"/>
    <n v="16829"/>
    <n v="-0.33389999999999997"/>
    <n v="1.0033000000000001"/>
  </r>
  <r>
    <n v="2330"/>
    <x v="1"/>
    <d v="2011-06-09T00:00:00"/>
    <x v="3"/>
    <x v="5"/>
    <n v="56.416699999999999"/>
    <n v="56.416699999999999"/>
    <n v="55.548699999999997"/>
    <n v="55.621099999999998"/>
    <n v="36964"/>
    <n v="-0.7772"/>
    <n v="1.5625"/>
  </r>
  <r>
    <n v="2303"/>
    <x v="0"/>
    <d v="2011-06-10T00:00:00"/>
    <x v="4"/>
    <x v="5"/>
    <n v="10.280900000000001"/>
    <n v="10.280900000000001"/>
    <n v="10.1447"/>
    <n v="10.1447"/>
    <n v="18996"/>
    <n v="-0.33500000000000002"/>
    <n v="1.3423"/>
  </r>
  <r>
    <n v="2330"/>
    <x v="1"/>
    <d v="2011-06-10T00:00:00"/>
    <x v="4"/>
    <x v="5"/>
    <n v="55.693399999999997"/>
    <n v="56.055100000000003"/>
    <n v="54.319200000000002"/>
    <n v="54.463799999999999"/>
    <n v="55348"/>
    <n v="-2.1025999999999998"/>
    <n v="3.1957"/>
  </r>
  <r>
    <n v="2303"/>
    <x v="0"/>
    <d v="2011-06-13T00:00:00"/>
    <x v="0"/>
    <x v="5"/>
    <n v="10.076599999999999"/>
    <n v="10.1106"/>
    <n v="9.9063999999999997"/>
    <n v="9.9745000000000008"/>
    <n v="34063"/>
    <n v="-1.6920999999999999"/>
    <n v="2.0619000000000001"/>
  </r>
  <r>
    <n v="2330"/>
    <x v="1"/>
    <d v="2011-06-13T00:00:00"/>
    <x v="0"/>
    <x v="5"/>
    <n v="53.885199999999998"/>
    <n v="54.2468"/>
    <n v="53.4512"/>
    <n v="54.029800000000002"/>
    <n v="72548"/>
    <n v="-0.8"/>
    <n v="1.4884999999999999"/>
  </r>
  <r>
    <n v="2303"/>
    <x v="0"/>
    <d v="2011-06-14T00:00:00"/>
    <x v="1"/>
    <x v="5"/>
    <n v="9.9404000000000003"/>
    <n v="10.0426"/>
    <n v="9.9063999999999997"/>
    <n v="10.0426"/>
    <n v="65755"/>
    <n v="0.68030000000000002"/>
    <n v="1.3746"/>
  </r>
  <r>
    <n v="2330"/>
    <x v="1"/>
    <d v="2011-06-14T00:00:00"/>
    <x v="1"/>
    <x v="5"/>
    <n v="53.885199999999998"/>
    <n v="55.259399999999999"/>
    <n v="53.885199999999998"/>
    <n v="55.114800000000002"/>
    <n v="52975"/>
    <n v="1.9881"/>
    <n v="2.5503"/>
  </r>
  <r>
    <n v="2303"/>
    <x v="0"/>
    <d v="2011-06-15T00:00:00"/>
    <x v="2"/>
    <x v="5"/>
    <n v="10.0085"/>
    <n v="10.1106"/>
    <n v="9.9063999999999997"/>
    <n v="10.076599999999999"/>
    <n v="48014"/>
    <n v="0.33839999999999998"/>
    <n v="2.0619000000000001"/>
  </r>
  <r>
    <n v="2330"/>
    <x v="1"/>
    <d v="2011-06-15T00:00:00"/>
    <x v="2"/>
    <x v="5"/>
    <n v="55.693399999999997"/>
    <n v="55.982700000000001"/>
    <n v="55.042400000000001"/>
    <n v="55.693399999999997"/>
    <n v="91840"/>
    <n v="1.0444"/>
    <n v="1.7082999999999999"/>
  </r>
  <r>
    <n v="2303"/>
    <x v="0"/>
    <d v="2011-06-16T00:00:00"/>
    <x v="3"/>
    <x v="5"/>
    <n v="9.8722999999999992"/>
    <n v="9.9404000000000003"/>
    <n v="9.7362000000000002"/>
    <n v="9.8042999999999996"/>
    <n v="54390"/>
    <n v="-2.7399"/>
    <n v="2.0979000000000001"/>
  </r>
  <r>
    <n v="2330"/>
    <x v="1"/>
    <d v="2011-06-16T00:00:00"/>
    <x v="3"/>
    <x v="5"/>
    <n v="54.970100000000002"/>
    <n v="55.114800000000002"/>
    <n v="54.536099999999998"/>
    <n v="54.608499999999999"/>
    <n v="63134"/>
    <n v="-1.9673"/>
    <n v="1.0609999999999999"/>
  </r>
  <r>
    <n v="2303"/>
    <x v="0"/>
    <d v="2011-06-17T00:00:00"/>
    <x v="4"/>
    <x v="5"/>
    <n v="9.7362000000000002"/>
    <n v="9.8722999999999992"/>
    <n v="9.7362000000000002"/>
    <n v="9.7362000000000002"/>
    <n v="37083"/>
    <n v="-0.69689999999999996"/>
    <n v="1.3986000000000001"/>
  </r>
  <r>
    <n v="2330"/>
    <x v="1"/>
    <d v="2011-06-17T00:00:00"/>
    <x v="4"/>
    <x v="5"/>
    <n v="54.2468"/>
    <n v="54.319200000000002"/>
    <n v="53.5959"/>
    <n v="53.668199999999999"/>
    <n v="91732"/>
    <n v="-1.7369000000000001"/>
    <n v="1.3494999999999999"/>
  </r>
  <r>
    <n v="2303"/>
    <x v="0"/>
    <d v="2011-06-20T00:00:00"/>
    <x v="0"/>
    <x v="5"/>
    <n v="9.8383000000000003"/>
    <n v="9.8383000000000003"/>
    <n v="9.6340000000000003"/>
    <n v="9.6681000000000008"/>
    <n v="29063"/>
    <n v="-0.70179999999999998"/>
    <n v="2.1200999999999999"/>
  </r>
  <r>
    <n v="2330"/>
    <x v="1"/>
    <d v="2011-06-20T00:00:00"/>
    <x v="0"/>
    <x v="5"/>
    <n v="53.957500000000003"/>
    <n v="54.536099999999998"/>
    <n v="53.5959"/>
    <n v="54.174500000000002"/>
    <n v="31787"/>
    <n v="0.93899999999999995"/>
    <n v="1.7544"/>
  </r>
  <r>
    <n v="2303"/>
    <x v="0"/>
    <d v="2011-06-21T00:00:00"/>
    <x v="1"/>
    <x v="5"/>
    <n v="9.7020999999999997"/>
    <n v="9.8042999999999996"/>
    <n v="9.7020999999999997"/>
    <n v="9.7362000000000002"/>
    <n v="26414"/>
    <n v="0.70179999999999998"/>
    <n v="1.0526"/>
  </r>
  <r>
    <n v="2330"/>
    <x v="1"/>
    <d v="2011-06-21T00:00:00"/>
    <x v="1"/>
    <x v="5"/>
    <n v="54.536099999999998"/>
    <n v="55.114800000000002"/>
    <n v="54.463799999999999"/>
    <n v="54.897799999999997"/>
    <n v="42663"/>
    <n v="1.3263"/>
    <n v="1.1952"/>
  </r>
  <r>
    <n v="2303"/>
    <x v="0"/>
    <d v="2011-06-22T00:00:00"/>
    <x v="2"/>
    <x v="5"/>
    <n v="9.8042999999999996"/>
    <n v="9.8383000000000003"/>
    <n v="9.7362000000000002"/>
    <n v="9.7362000000000002"/>
    <n v="29246"/>
    <n v="0"/>
    <n v="1.0489999999999999"/>
  </r>
  <r>
    <n v="2330"/>
    <x v="1"/>
    <d v="2011-06-22T00:00:00"/>
    <x v="2"/>
    <x v="5"/>
    <n v="55.187100000000001"/>
    <n v="55.187100000000001"/>
    <n v="53.957500000000003"/>
    <n v="54.2468"/>
    <n v="46702"/>
    <n v="-1.1929000000000001"/>
    <n v="2.2787999999999999"/>
  </r>
  <r>
    <n v="2303"/>
    <x v="0"/>
    <d v="2011-06-23T00:00:00"/>
    <x v="3"/>
    <x v="5"/>
    <n v="9.6681000000000008"/>
    <n v="9.8042999999999996"/>
    <n v="9.6340000000000003"/>
    <n v="9.6681000000000008"/>
    <n v="26270"/>
    <n v="-0.70179999999999998"/>
    <n v="1.7667999999999999"/>
  </r>
  <r>
    <n v="2330"/>
    <x v="1"/>
    <d v="2011-06-23T00:00:00"/>
    <x v="3"/>
    <x v="5"/>
    <n v="54.029800000000002"/>
    <n v="54.174500000000002"/>
    <n v="53.378900000000002"/>
    <n v="53.668199999999999"/>
    <n v="70233"/>
    <n v="-1.0724"/>
    <n v="1.4904999999999999"/>
  </r>
  <r>
    <n v="2303"/>
    <x v="0"/>
    <d v="2011-06-24T00:00:00"/>
    <x v="4"/>
    <x v="5"/>
    <n v="9.6340000000000003"/>
    <n v="9.6681000000000008"/>
    <n v="9.5319000000000003"/>
    <n v="9.5660000000000007"/>
    <n v="42812"/>
    <n v="-1.0620000000000001"/>
    <n v="1.4286000000000001"/>
  </r>
  <r>
    <n v="2330"/>
    <x v="1"/>
    <d v="2011-06-24T00:00:00"/>
    <x v="4"/>
    <x v="5"/>
    <n v="53.234200000000001"/>
    <n v="53.234200000000001"/>
    <n v="52.004600000000003"/>
    <n v="52.727899999999998"/>
    <n v="86769"/>
    <n v="-1.7676000000000001"/>
    <n v="2.3643999999999998"/>
  </r>
  <r>
    <n v="2303"/>
    <x v="0"/>
    <d v="2011-06-27T00:00:00"/>
    <x v="0"/>
    <x v="5"/>
    <n v="9.5319000000000003"/>
    <n v="9.5319000000000003"/>
    <n v="9.4298000000000002"/>
    <n v="9.4978999999999996"/>
    <n v="44460"/>
    <n v="-0.71430000000000005"/>
    <n v="1.083"/>
  </r>
  <r>
    <n v="2330"/>
    <x v="1"/>
    <d v="2011-06-27T00:00:00"/>
    <x v="0"/>
    <x v="5"/>
    <n v="52.076999999999998"/>
    <n v="52.149299999999997"/>
    <n v="51.787599999999998"/>
    <n v="52.076999999999998"/>
    <n v="65176"/>
    <n v="-1.2423"/>
    <n v="0.69830000000000003"/>
  </r>
  <r>
    <n v="2303"/>
    <x v="0"/>
    <d v="2011-06-28T00:00:00"/>
    <x v="1"/>
    <x v="5"/>
    <n v="9.5319000000000003"/>
    <n v="9.5660000000000007"/>
    <n v="9.4638000000000009"/>
    <n v="9.5319000000000003"/>
    <n v="42807"/>
    <n v="0.35780000000000001"/>
    <n v="1.0790999999999999"/>
  </r>
  <r>
    <n v="2330"/>
    <x v="1"/>
    <d v="2011-06-28T00:00:00"/>
    <x v="1"/>
    <x v="5"/>
    <n v="52.149299999999997"/>
    <n v="52.510899999999999"/>
    <n v="51.932299999999998"/>
    <n v="52.438600000000001"/>
    <n v="101716"/>
    <n v="0.69199999999999995"/>
    <n v="1.1142000000000001"/>
  </r>
  <r>
    <n v="2303"/>
    <x v="0"/>
    <d v="2011-06-29T00:00:00"/>
    <x v="2"/>
    <x v="5"/>
    <n v="9.6340000000000003"/>
    <n v="9.7362000000000002"/>
    <n v="9.6"/>
    <n v="9.7020999999999997"/>
    <n v="49504"/>
    <n v="1.77"/>
    <n v="1.4184000000000001"/>
  </r>
  <r>
    <n v="2330"/>
    <x v="1"/>
    <d v="2011-06-29T00:00:00"/>
    <x v="2"/>
    <x v="5"/>
    <n v="53.494500000000002"/>
    <n v="54.4"/>
    <n v="53.1173"/>
    <n v="53.8718"/>
    <n v="93105"/>
    <n v="2.5863"/>
    <n v="2.4148000000000001"/>
  </r>
  <r>
    <n v="2303"/>
    <x v="0"/>
    <d v="2011-06-30T00:00:00"/>
    <x v="3"/>
    <x v="5"/>
    <n v="9.7020999999999997"/>
    <n v="9.7362000000000002"/>
    <n v="9.6681000000000008"/>
    <n v="9.7020999999999997"/>
    <n v="42804"/>
    <n v="0"/>
    <n v="0.70420000000000005"/>
  </r>
  <r>
    <n v="2330"/>
    <x v="1"/>
    <d v="2011-06-30T00:00:00"/>
    <x v="3"/>
    <x v="5"/>
    <n v="53.8718"/>
    <n v="54.4754"/>
    <n v="53.796300000000002"/>
    <n v="54.4754"/>
    <n v="48913"/>
    <n v="1.1142000000000001"/>
    <n v="1.2623"/>
  </r>
  <r>
    <n v="2303"/>
    <x v="0"/>
    <d v="2011-07-01T00:00:00"/>
    <x v="4"/>
    <x v="6"/>
    <n v="9.7362000000000002"/>
    <n v="9.7702000000000009"/>
    <n v="9.6681000000000008"/>
    <n v="9.7020999999999997"/>
    <n v="40912"/>
    <n v="0"/>
    <n v="1.0563"/>
  </r>
  <r>
    <n v="2330"/>
    <x v="1"/>
    <d v="2011-07-01T00:00:00"/>
    <x v="4"/>
    <x v="6"/>
    <n v="54.4754"/>
    <n v="55.079000000000001"/>
    <n v="54.3245"/>
    <n v="54.928100000000001"/>
    <n v="41924"/>
    <n v="0.8276"/>
    <n v="1.3889"/>
  </r>
  <r>
    <n v="2303"/>
    <x v="0"/>
    <d v="2011-07-04T00:00:00"/>
    <x v="0"/>
    <x v="6"/>
    <n v="9.7702000000000009"/>
    <n v="9.8042999999999996"/>
    <n v="9.7020999999999997"/>
    <n v="9.7702000000000009"/>
    <n v="40109"/>
    <n v="0.69930000000000003"/>
    <n v="1.0526"/>
  </r>
  <r>
    <n v="2330"/>
    <x v="1"/>
    <d v="2011-07-04T00:00:00"/>
    <x v="0"/>
    <x v="6"/>
    <n v="55.758099999999999"/>
    <n v="55.758099999999999"/>
    <n v="55.154499999999999"/>
    <n v="55.456299999999999"/>
    <n v="44330"/>
    <n v="0.95689999999999997"/>
    <n v="1.0944"/>
  </r>
  <r>
    <n v="2303"/>
    <x v="0"/>
    <d v="2011-07-05T00:00:00"/>
    <x v="1"/>
    <x v="6"/>
    <n v="9.8042999999999996"/>
    <n v="9.8042999999999996"/>
    <n v="9.6681000000000008"/>
    <n v="9.7020999999999997"/>
    <n v="42942"/>
    <n v="-0.69930000000000003"/>
    <n v="1.4085000000000001"/>
  </r>
  <r>
    <n v="2330"/>
    <x v="1"/>
    <d v="2011-07-05T00:00:00"/>
    <x v="1"/>
    <x v="6"/>
    <n v="55.229900000000001"/>
    <n v="55.305399999999999"/>
    <n v="54.626300000000001"/>
    <n v="55.229900000000001"/>
    <n v="39009"/>
    <n v="-0.40899999999999997"/>
    <n v="1.2431000000000001"/>
  </r>
  <r>
    <n v="2303"/>
    <x v="0"/>
    <d v="2011-07-06T00:00:00"/>
    <x v="2"/>
    <x v="6"/>
    <n v="9.7020999999999997"/>
    <n v="9.7362000000000002"/>
    <n v="9.6340000000000003"/>
    <n v="9.7362000000000002"/>
    <n v="25161"/>
    <n v="0.3503"/>
    <n v="1.0601"/>
  </r>
  <r>
    <n v="2330"/>
    <x v="1"/>
    <d v="2011-07-06T00:00:00"/>
    <x v="2"/>
    <x v="6"/>
    <n v="55.229900000000001"/>
    <n v="55.380800000000001"/>
    <n v="54.701799999999999"/>
    <n v="54.928100000000001"/>
    <n v="43443"/>
    <n v="-0.54790000000000005"/>
    <n v="1.2414000000000001"/>
  </r>
  <r>
    <n v="2303"/>
    <x v="0"/>
    <d v="2011-07-07T00:00:00"/>
    <x v="3"/>
    <x v="6"/>
    <n v="9.7362000000000002"/>
    <n v="9.8722999999999992"/>
    <n v="9.7020999999999997"/>
    <n v="9.7702000000000009"/>
    <n v="46697"/>
    <n v="0.34899999999999998"/>
    <n v="1.7544"/>
  </r>
  <r>
    <n v="2330"/>
    <x v="1"/>
    <d v="2011-07-07T00:00:00"/>
    <x v="3"/>
    <x v="6"/>
    <n v="54.4"/>
    <n v="54.550899999999999"/>
    <n v="53.947299999999998"/>
    <n v="54.0227"/>
    <n v="47743"/>
    <n v="-1.6620999999999999"/>
    <n v="1.1189"/>
  </r>
  <r>
    <n v="2303"/>
    <x v="0"/>
    <d v="2011-07-08T00:00:00"/>
    <x v="4"/>
    <x v="6"/>
    <n v="9.7702000000000009"/>
    <n v="9.8383000000000003"/>
    <n v="9.7020999999999997"/>
    <n v="9.7020999999999997"/>
    <n v="29842"/>
    <n v="-0.69930000000000003"/>
    <n v="1.4035"/>
  </r>
  <r>
    <n v="2330"/>
    <x v="1"/>
    <d v="2011-07-08T00:00:00"/>
    <x v="4"/>
    <x v="6"/>
    <n v="54.4"/>
    <n v="54.928100000000001"/>
    <n v="54.3245"/>
    <n v="54.701799999999999"/>
    <n v="52961"/>
    <n v="1.2491000000000001"/>
    <n v="1.1111"/>
  </r>
  <r>
    <n v="2303"/>
    <x v="0"/>
    <d v="2011-07-11T00:00:00"/>
    <x v="0"/>
    <x v="6"/>
    <n v="9.6681000000000008"/>
    <n v="9.7362000000000002"/>
    <n v="9.5658999999999992"/>
    <n v="9.5658999999999992"/>
    <n v="27890"/>
    <n v="-1.4135"/>
    <n v="1.7794000000000001"/>
  </r>
  <r>
    <n v="2330"/>
    <x v="1"/>
    <d v="2011-07-11T00:00:00"/>
    <x v="0"/>
    <x v="6"/>
    <n v="54.777200000000001"/>
    <n v="54.777200000000001"/>
    <n v="52.9664"/>
    <n v="53.796300000000002"/>
    <n v="52112"/>
    <n v="-1.669"/>
    <n v="3.4188000000000001"/>
  </r>
  <r>
    <n v="2303"/>
    <x v="0"/>
    <d v="2011-07-12T00:00:00"/>
    <x v="1"/>
    <x v="6"/>
    <n v="9.4638000000000009"/>
    <n v="9.5319000000000003"/>
    <n v="9.4298000000000002"/>
    <n v="9.4638000000000009"/>
    <n v="47648"/>
    <n v="-1.0733999999999999"/>
    <n v="1.083"/>
  </r>
  <r>
    <n v="2330"/>
    <x v="1"/>
    <d v="2011-07-12T00:00:00"/>
    <x v="1"/>
    <x v="6"/>
    <n v="53.2682"/>
    <n v="53.4191"/>
    <n v="52.890900000000002"/>
    <n v="53.041800000000002"/>
    <n v="40008"/>
    <n v="-1.4125000000000001"/>
    <n v="0.99860000000000004"/>
  </r>
  <r>
    <n v="2303"/>
    <x v="0"/>
    <d v="2011-07-13T00:00:00"/>
    <x v="2"/>
    <x v="6"/>
    <n v="9.4298000000000002"/>
    <n v="9.5319000000000003"/>
    <n v="9.4298000000000002"/>
    <n v="9.4638000000000009"/>
    <n v="24658"/>
    <n v="0"/>
    <n v="1.083"/>
  </r>
  <r>
    <n v="2330"/>
    <x v="1"/>
    <d v="2011-07-13T00:00:00"/>
    <x v="2"/>
    <x v="6"/>
    <n v="53.192700000000002"/>
    <n v="54.701799999999999"/>
    <n v="52.890900000000002"/>
    <n v="54.4754"/>
    <n v="69109"/>
    <n v="2.6667999999999998"/>
    <n v="3.4237000000000002"/>
  </r>
  <r>
    <n v="2303"/>
    <x v="0"/>
    <d v="2011-07-14T00:00:00"/>
    <x v="3"/>
    <x v="6"/>
    <n v="9.4638000000000009"/>
    <n v="9.5319000000000003"/>
    <n v="9.2596000000000007"/>
    <n v="9.3617000000000008"/>
    <n v="39898"/>
    <n v="-1.085"/>
    <n v="2.9411999999999998"/>
  </r>
  <r>
    <n v="2330"/>
    <x v="1"/>
    <d v="2011-07-14T00:00:00"/>
    <x v="3"/>
    <x v="6"/>
    <n v="53.192700000000002"/>
    <n v="53.8718"/>
    <n v="52.890900000000002"/>
    <n v="53.343600000000002"/>
    <n v="54411"/>
    <n v="-2.0994000000000002"/>
    <n v="1.8545"/>
  </r>
  <r>
    <n v="2303"/>
    <x v="0"/>
    <d v="2011-07-15T00:00:00"/>
    <x v="4"/>
    <x v="6"/>
    <n v="9.3617000000000008"/>
    <n v="9.4638000000000009"/>
    <n v="9.2935999999999996"/>
    <n v="9.4638000000000009"/>
    <n v="28865"/>
    <n v="1.085"/>
    <n v="1.8314999999999999"/>
  </r>
  <r>
    <n v="2330"/>
    <x v="1"/>
    <d v="2011-07-15T00:00:00"/>
    <x v="4"/>
    <x v="6"/>
    <n v="52.8155"/>
    <n v="52.9664"/>
    <n v="52.438200000000002"/>
    <n v="52.74"/>
    <n v="89121"/>
    <n v="-1.1379999999999999"/>
    <n v="1.0072000000000001"/>
  </r>
  <r>
    <n v="2303"/>
    <x v="0"/>
    <d v="2011-07-18T00:00:00"/>
    <x v="0"/>
    <x v="6"/>
    <n v="9.4638000000000009"/>
    <n v="9.4978999999999996"/>
    <n v="9.3617000000000008"/>
    <n v="9.4298000000000002"/>
    <n v="19603"/>
    <n v="-0.3604"/>
    <n v="1.4544999999999999"/>
  </r>
  <r>
    <n v="2330"/>
    <x v="1"/>
    <d v="2011-07-18T00:00:00"/>
    <x v="0"/>
    <x v="6"/>
    <n v="52.589100000000002"/>
    <n v="52.9664"/>
    <n v="52.3628"/>
    <n v="52.589100000000002"/>
    <n v="37965"/>
    <n v="-0.28649999999999998"/>
    <n v="1.1527000000000001"/>
  </r>
  <r>
    <n v="2303"/>
    <x v="0"/>
    <d v="2011-07-19T00:00:00"/>
    <x v="1"/>
    <x v="6"/>
    <n v="9.4298000000000002"/>
    <n v="9.4298000000000002"/>
    <n v="9.3276000000000003"/>
    <n v="9.4298000000000002"/>
    <n v="28534"/>
    <n v="0"/>
    <n v="1.0949"/>
  </r>
  <r>
    <n v="2330"/>
    <x v="1"/>
    <d v="2011-07-19T00:00:00"/>
    <x v="1"/>
    <x v="6"/>
    <n v="52.5137"/>
    <n v="52.6646"/>
    <n v="51.683700000000002"/>
    <n v="51.683700000000002"/>
    <n v="57459"/>
    <n v="-1.7366999999999999"/>
    <n v="1.8977999999999999"/>
  </r>
  <r>
    <n v="2303"/>
    <x v="0"/>
    <d v="2011-07-20T00:00:00"/>
    <x v="2"/>
    <x v="6"/>
    <n v="9.4978999999999996"/>
    <n v="9.6"/>
    <n v="9.4298000000000002"/>
    <n v="9.6"/>
    <n v="46899"/>
    <n v="1.7889999999999999"/>
    <n v="1.8050999999999999"/>
  </r>
  <r>
    <n v="2330"/>
    <x v="1"/>
    <d v="2011-07-20T00:00:00"/>
    <x v="2"/>
    <x v="6"/>
    <n v="52.589100000000002"/>
    <n v="54.098199999999999"/>
    <n v="52.3628"/>
    <n v="54.0227"/>
    <n v="58272"/>
    <n v="4.4260999999999999"/>
    <n v="3.3140999999999998"/>
  </r>
  <r>
    <n v="2303"/>
    <x v="0"/>
    <d v="2011-07-21T00:00:00"/>
    <x v="3"/>
    <x v="6"/>
    <n v="9.6"/>
    <n v="9.8383000000000003"/>
    <n v="9.5319000000000003"/>
    <n v="9.8383000000000003"/>
    <n v="144642"/>
    <n v="2.452"/>
    <n v="3.2143000000000002"/>
  </r>
  <r>
    <n v="2330"/>
    <x v="1"/>
    <d v="2011-07-21T00:00:00"/>
    <x v="3"/>
    <x v="6"/>
    <n v="53.8718"/>
    <n v="54.0227"/>
    <n v="53.2682"/>
    <n v="54.0227"/>
    <n v="33277"/>
    <n v="0"/>
    <n v="1.4164000000000001"/>
  </r>
  <r>
    <n v="2303"/>
    <x v="0"/>
    <d v="2011-07-22T00:00:00"/>
    <x v="4"/>
    <x v="6"/>
    <n v="9.9574999999999996"/>
    <n v="9.9574999999999996"/>
    <n v="9.8468999999999998"/>
    <n v="9.8838000000000008"/>
    <n v="87932"/>
    <n v="0.42570000000000002"/>
    <n v="1.1235999999999999"/>
  </r>
  <r>
    <n v="2330"/>
    <x v="1"/>
    <d v="2011-07-22T00:00:00"/>
    <x v="4"/>
    <x v="6"/>
    <n v="54.626300000000001"/>
    <n v="54.626300000000001"/>
    <n v="54.098199999999999"/>
    <n v="54.3245"/>
    <n v="38243"/>
    <n v="0.55710000000000004"/>
    <n v="0.97629999999999995"/>
  </r>
  <r>
    <n v="2303"/>
    <x v="0"/>
    <d v="2011-07-25T00:00:00"/>
    <x v="0"/>
    <x v="6"/>
    <n v="9.7362000000000002"/>
    <n v="9.8838000000000008"/>
    <n v="9.6994000000000007"/>
    <n v="9.7362000000000002"/>
    <n v="21408"/>
    <n v="-1.5038"/>
    <n v="1.9011"/>
  </r>
  <r>
    <n v="2330"/>
    <x v="1"/>
    <d v="2011-07-25T00:00:00"/>
    <x v="0"/>
    <x v="6"/>
    <n v="54.626300000000001"/>
    <n v="54.701799999999999"/>
    <n v="53.8718"/>
    <n v="54.3245"/>
    <n v="34963"/>
    <n v="0"/>
    <n v="1.5406"/>
  </r>
  <r>
    <n v="2303"/>
    <x v="0"/>
    <d v="2011-07-26T00:00:00"/>
    <x v="1"/>
    <x v="6"/>
    <n v="9.7362000000000002"/>
    <n v="9.81"/>
    <n v="9.6994000000000007"/>
    <n v="9.81"/>
    <n v="34138"/>
    <n v="0.75470000000000004"/>
    <n v="1.1407"/>
  </r>
  <r>
    <n v="2330"/>
    <x v="1"/>
    <d v="2011-07-26T00:00:00"/>
    <x v="1"/>
    <x v="6"/>
    <n v="54.550899999999999"/>
    <n v="55.607199999999999"/>
    <n v="54.550899999999999"/>
    <n v="55.607199999999999"/>
    <n v="53159"/>
    <n v="2.3336999999999999"/>
    <n v="1.9363999999999999"/>
  </r>
  <r>
    <n v="2303"/>
    <x v="0"/>
    <d v="2011-07-27T00:00:00"/>
    <x v="2"/>
    <x v="6"/>
    <n v="9.81"/>
    <n v="9.81"/>
    <n v="9.6624999999999996"/>
    <n v="9.6624999999999996"/>
    <n v="33251"/>
    <n v="-1.5152000000000001"/>
    <n v="1.5266999999999999"/>
  </r>
  <r>
    <n v="2330"/>
    <x v="1"/>
    <d v="2011-07-27T00:00:00"/>
    <x v="2"/>
    <x v="6"/>
    <n v="55.607199999999999"/>
    <n v="55.758099999999999"/>
    <n v="55.079000000000001"/>
    <n v="55.380800000000001"/>
    <n v="45636"/>
    <n v="-0.40789999999999998"/>
    <n v="1.2329000000000001"/>
  </r>
  <r>
    <n v="2303"/>
    <x v="0"/>
    <d v="2011-07-28T00:00:00"/>
    <x v="3"/>
    <x v="6"/>
    <n v="9.5886999999999993"/>
    <n v="9.6624999999999996"/>
    <n v="9.5518000000000001"/>
    <n v="9.6256000000000004"/>
    <n v="20333"/>
    <n v="-0.38240000000000002"/>
    <n v="1.1583000000000001"/>
  </r>
  <r>
    <n v="2330"/>
    <x v="1"/>
    <d v="2011-07-28T00:00:00"/>
    <x v="3"/>
    <x v="6"/>
    <n v="54.928100000000001"/>
    <n v="55.380800000000001"/>
    <n v="54.550899999999999"/>
    <n v="55.079000000000001"/>
    <n v="33720"/>
    <n v="-0.5464"/>
    <n v="1.5214000000000001"/>
  </r>
  <r>
    <n v="2303"/>
    <x v="0"/>
    <d v="2011-07-29T00:00:00"/>
    <x v="4"/>
    <x v="6"/>
    <n v="9.6624999999999996"/>
    <n v="9.6624999999999996"/>
    <n v="9.5518000000000001"/>
    <n v="9.5518000000000001"/>
    <n v="24874"/>
    <n v="-0.76919999999999999"/>
    <n v="1.1583000000000001"/>
  </r>
  <r>
    <n v="2330"/>
    <x v="1"/>
    <d v="2011-07-29T00:00:00"/>
    <x v="4"/>
    <x v="6"/>
    <n v="54.1736"/>
    <n v="54.626300000000001"/>
    <n v="53.796300000000002"/>
    <n v="54.3245"/>
    <n v="60692"/>
    <n v="-1.3793"/>
    <n v="1.5427999999999999"/>
  </r>
  <r>
    <n v="2303"/>
    <x v="0"/>
    <d v="2011-08-01T00:00:00"/>
    <x v="0"/>
    <x v="7"/>
    <n v="9.5518000000000001"/>
    <n v="9.6994000000000007"/>
    <n v="9.5150000000000006"/>
    <n v="9.6624999999999996"/>
    <n v="20517"/>
    <n v="1.1516"/>
    <n v="1.9379999999999999"/>
  </r>
  <r>
    <n v="2330"/>
    <x v="1"/>
    <d v="2011-08-01T00:00:00"/>
    <x v="0"/>
    <x v="7"/>
    <n v="54.3245"/>
    <n v="54.928100000000001"/>
    <n v="54.3245"/>
    <n v="54.777200000000001"/>
    <n v="41138"/>
    <n v="0.82989999999999997"/>
    <n v="1.1111"/>
  </r>
  <r>
    <n v="2303"/>
    <x v="0"/>
    <d v="2011-08-02T00:00:00"/>
    <x v="1"/>
    <x v="7"/>
    <n v="9.5518000000000001"/>
    <n v="9.5886999999999993"/>
    <n v="9.4412000000000003"/>
    <n v="9.4412000000000003"/>
    <n v="30236"/>
    <n v="-2.3167"/>
    <n v="1.5625"/>
  </r>
  <r>
    <n v="2330"/>
    <x v="1"/>
    <d v="2011-08-02T00:00:00"/>
    <x v="1"/>
    <x v="7"/>
    <n v="54.3245"/>
    <n v="54.4"/>
    <n v="53.7209"/>
    <n v="53.8718"/>
    <n v="33521"/>
    <n v="-1.6667000000000001"/>
    <n v="1.264"/>
  </r>
  <r>
    <n v="2303"/>
    <x v="0"/>
    <d v="2011-08-03T00:00:00"/>
    <x v="2"/>
    <x v="7"/>
    <n v="9.3673999999999999"/>
    <n v="9.3673999999999999"/>
    <n v="9.2568000000000001"/>
    <n v="9.3306000000000004"/>
    <n v="32733"/>
    <n v="-1.1788000000000001"/>
    <n v="1.1952"/>
  </r>
  <r>
    <n v="2330"/>
    <x v="1"/>
    <d v="2011-08-03T00:00:00"/>
    <x v="2"/>
    <x v="7"/>
    <n v="52.890900000000002"/>
    <n v="53.192700000000002"/>
    <n v="52.6646"/>
    <n v="52.890900000000002"/>
    <n v="46025"/>
    <n v="-1.8374999999999999"/>
    <n v="1.0028999999999999"/>
  </r>
  <r>
    <n v="2303"/>
    <x v="0"/>
    <d v="2011-08-04T00:00:00"/>
    <x v="3"/>
    <x v="7"/>
    <n v="9.2568000000000001"/>
    <n v="9.2936999999999994"/>
    <n v="9.0724"/>
    <n v="9.1462000000000003"/>
    <n v="52942"/>
    <n v="-1.9961"/>
    <n v="2.4390000000000001"/>
  </r>
  <r>
    <n v="2330"/>
    <x v="1"/>
    <d v="2011-08-04T00:00:00"/>
    <x v="3"/>
    <x v="7"/>
    <n v="52.5137"/>
    <n v="53.343600000000002"/>
    <n v="52.5137"/>
    <n v="52.8155"/>
    <n v="45103"/>
    <n v="-0.14280000000000001"/>
    <n v="1.5805"/>
  </r>
  <r>
    <n v="2303"/>
    <x v="0"/>
    <d v="2011-08-05T00:00:00"/>
    <x v="4"/>
    <x v="7"/>
    <n v="8.5191999999999997"/>
    <n v="8.7035999999999998"/>
    <n v="8.5191999999999997"/>
    <n v="8.5191999999999997"/>
    <n v="67317"/>
    <n v="-7.1010999999999997"/>
    <n v="2.1644999999999999"/>
  </r>
  <r>
    <n v="2330"/>
    <x v="1"/>
    <d v="2011-08-05T00:00:00"/>
    <x v="4"/>
    <x v="7"/>
    <n v="49.797499999999999"/>
    <n v="51.3065"/>
    <n v="49.797499999999999"/>
    <n v="50.2502"/>
    <n v="89690"/>
    <n v="-4.9790999999999999"/>
    <n v="3.0303"/>
  </r>
  <r>
    <n v="2303"/>
    <x v="0"/>
    <d v="2011-08-08T00:00:00"/>
    <x v="0"/>
    <x v="7"/>
    <n v="8.3347999999999995"/>
    <n v="8.3347999999999995"/>
    <n v="7.9291"/>
    <n v="8.0397999999999996"/>
    <n v="105630"/>
    <n v="-5.7923"/>
    <n v="5.1162999999999998"/>
  </r>
  <r>
    <n v="2330"/>
    <x v="1"/>
    <d v="2011-08-08T00:00:00"/>
    <x v="0"/>
    <x v="7"/>
    <n v="49.797499999999999"/>
    <n v="50.8538"/>
    <n v="48.288400000000003"/>
    <n v="49.193899999999999"/>
    <n v="97536"/>
    <n v="-2.1244999999999998"/>
    <n v="5.3125"/>
  </r>
  <r>
    <n v="2303"/>
    <x v="0"/>
    <d v="2011-08-09T00:00:00"/>
    <x v="1"/>
    <x v="7"/>
    <n v="7.4866000000000001"/>
    <n v="7.8554000000000004"/>
    <n v="7.4866000000000001"/>
    <n v="7.7079000000000004"/>
    <n v="126876"/>
    <n v="-4.2161"/>
    <n v="4.9260999999999999"/>
  </r>
  <r>
    <n v="2330"/>
    <x v="1"/>
    <d v="2011-08-09T00:00:00"/>
    <x v="1"/>
    <x v="7"/>
    <n v="47.156700000000001"/>
    <n v="49.118400000000001"/>
    <n v="46.930300000000003"/>
    <n v="47.760300000000001"/>
    <n v="116036"/>
    <n v="-2.9573999999999998"/>
    <n v="4.6623999999999999"/>
  </r>
  <r>
    <n v="2303"/>
    <x v="0"/>
    <d v="2011-08-10T00:00:00"/>
    <x v="2"/>
    <x v="7"/>
    <n v="7.9660000000000002"/>
    <n v="8.2241999999999997"/>
    <n v="7.8185000000000002"/>
    <n v="8.1873000000000005"/>
    <n v="99140"/>
    <n v="6.0343"/>
    <n v="5.1886999999999999"/>
  </r>
  <r>
    <n v="2330"/>
    <x v="1"/>
    <d v="2011-08-10T00:00:00"/>
    <x v="2"/>
    <x v="7"/>
    <n v="49.118400000000001"/>
    <n v="50.552"/>
    <n v="49.042999999999999"/>
    <n v="49.646599999999999"/>
    <n v="109804"/>
    <n v="3.8734999999999999"/>
    <n v="3.0769000000000002"/>
  </r>
  <r>
    <n v="2303"/>
    <x v="0"/>
    <d v="2011-08-11T00:00:00"/>
    <x v="3"/>
    <x v="7"/>
    <n v="7.8922999999999996"/>
    <n v="8.1135000000000002"/>
    <n v="7.8185000000000002"/>
    <n v="7.9660000000000002"/>
    <n v="75055"/>
    <n v="-2.7399"/>
    <n v="3.7736000000000001"/>
  </r>
  <r>
    <n v="2330"/>
    <x v="1"/>
    <d v="2011-08-11T00:00:00"/>
    <x v="3"/>
    <x v="7"/>
    <n v="48.741199999999999"/>
    <n v="50.4011"/>
    <n v="48.288400000000003"/>
    <n v="50.099299999999999"/>
    <n v="54377"/>
    <n v="0.90769999999999995"/>
    <n v="4.375"/>
  </r>
  <r>
    <n v="2303"/>
    <x v="0"/>
    <d v="2011-08-12T00:00:00"/>
    <x v="4"/>
    <x v="7"/>
    <n v="8.1135000000000002"/>
    <n v="8.2611000000000008"/>
    <n v="8.0029000000000003"/>
    <n v="8.0397999999999996"/>
    <n v="94101"/>
    <n v="0.92169999999999996"/>
    <n v="3.2258"/>
  </r>
  <r>
    <n v="2330"/>
    <x v="1"/>
    <d v="2011-08-12T00:00:00"/>
    <x v="4"/>
    <x v="7"/>
    <n v="50.7029"/>
    <n v="51.0047"/>
    <n v="49.118400000000001"/>
    <n v="49.118400000000001"/>
    <n v="64348"/>
    <n v="-1.9773000000000001"/>
    <n v="3.8401999999999998"/>
  </r>
  <r>
    <n v="2303"/>
    <x v="0"/>
    <d v="2011-08-15T00:00:00"/>
    <x v="0"/>
    <x v="7"/>
    <n v="8.1873000000000005"/>
    <n v="8.2611000000000008"/>
    <n v="8.1503999999999994"/>
    <n v="8.2611000000000008"/>
    <n v="33709"/>
    <n v="2.7151000000000001"/>
    <n v="1.3574999999999999"/>
  </r>
  <r>
    <n v="2330"/>
    <x v="1"/>
    <d v="2011-08-15T00:00:00"/>
    <x v="0"/>
    <x v="7"/>
    <n v="50.476500000000001"/>
    <n v="50.476500000000001"/>
    <n v="49.722000000000001"/>
    <n v="50.4011"/>
    <n v="40240"/>
    <n v="2.5779000000000001"/>
    <n v="1.5175000000000001"/>
  </r>
  <r>
    <n v="2303"/>
    <x v="0"/>
    <d v="2011-08-16T00:00:00"/>
    <x v="1"/>
    <x v="7"/>
    <n v="8.3347999999999995"/>
    <n v="8.4085999999999999"/>
    <n v="8.2241999999999997"/>
    <n v="8.2611000000000008"/>
    <n v="41637"/>
    <n v="0"/>
    <n v="2.2422"/>
  </r>
  <r>
    <n v="2330"/>
    <x v="1"/>
    <d v="2011-08-16T00:00:00"/>
    <x v="1"/>
    <x v="7"/>
    <n v="50.4011"/>
    <n v="50.4011"/>
    <n v="49.797499999999999"/>
    <n v="49.797499999999999"/>
    <n v="39029"/>
    <n v="-1.2048000000000001"/>
    <n v="1.2121"/>
  </r>
  <r>
    <n v="2303"/>
    <x v="0"/>
    <d v="2011-08-17T00:00:00"/>
    <x v="2"/>
    <x v="7"/>
    <n v="8.3347999999999995"/>
    <n v="8.3347999999999995"/>
    <n v="8.1135000000000002"/>
    <n v="8.1873000000000005"/>
    <n v="50715"/>
    <n v="-0.89690000000000003"/>
    <n v="2.7273000000000001"/>
  </r>
  <r>
    <n v="2330"/>
    <x v="1"/>
    <d v="2011-08-17T00:00:00"/>
    <x v="2"/>
    <x v="7"/>
    <n v="49.797499999999999"/>
    <n v="49.948399999999999"/>
    <n v="49.269300000000001"/>
    <n v="49.646599999999999"/>
    <n v="35881"/>
    <n v="-0.30349999999999999"/>
    <n v="1.3783000000000001"/>
  </r>
  <r>
    <n v="2303"/>
    <x v="0"/>
    <d v="2011-08-18T00:00:00"/>
    <x v="3"/>
    <x v="7"/>
    <n v="8.2611000000000008"/>
    <n v="8.2611000000000008"/>
    <n v="7.9660000000000002"/>
    <n v="8.0767000000000007"/>
    <n v="52298"/>
    <n v="-1.3606"/>
    <n v="3.7037"/>
  </r>
  <r>
    <n v="2330"/>
    <x v="1"/>
    <d v="2011-08-18T00:00:00"/>
    <x v="3"/>
    <x v="7"/>
    <n v="49.646599999999999"/>
    <n v="49.646599999999999"/>
    <n v="47.760300000000001"/>
    <n v="48.590299999999999"/>
    <n v="73320"/>
    <n v="-2.1505999999999998"/>
    <n v="3.9493999999999998"/>
  </r>
  <r>
    <n v="2303"/>
    <x v="0"/>
    <d v="2011-08-19T00:00:00"/>
    <x v="4"/>
    <x v="7"/>
    <n v="7.8922999999999996"/>
    <n v="7.9291"/>
    <n v="7.8185000000000002"/>
    <n v="7.8922999999999996"/>
    <n v="37145"/>
    <n v="-2.3096000000000001"/>
    <n v="1.4151"/>
  </r>
  <r>
    <n v="2330"/>
    <x v="1"/>
    <d v="2011-08-19T00:00:00"/>
    <x v="4"/>
    <x v="7"/>
    <n v="47.609400000000001"/>
    <n v="48.213000000000001"/>
    <n v="47.533900000000003"/>
    <n v="48.213000000000001"/>
    <n v="49269"/>
    <n v="-0.77939999999999998"/>
    <n v="1.4286000000000001"/>
  </r>
  <r>
    <n v="2303"/>
    <x v="0"/>
    <d v="2011-08-22T00:00:00"/>
    <x v="0"/>
    <x v="7"/>
    <n v="7.9660000000000002"/>
    <n v="8.0397999999999996"/>
    <n v="7.8554000000000004"/>
    <n v="7.8922999999999996"/>
    <n v="21102"/>
    <n v="0"/>
    <n v="2.3473999999999999"/>
  </r>
  <r>
    <n v="2330"/>
    <x v="1"/>
    <d v="2011-08-22T00:00:00"/>
    <x v="0"/>
    <x v="7"/>
    <n v="47.986600000000003"/>
    <n v="49.420200000000001"/>
    <n v="47.533900000000003"/>
    <n v="49.042999999999999"/>
    <n v="46371"/>
    <n v="1.7068000000000001"/>
    <n v="3.9683000000000002"/>
  </r>
  <r>
    <n v="2303"/>
    <x v="0"/>
    <d v="2011-08-23T00:00:00"/>
    <x v="1"/>
    <x v="7"/>
    <n v="8.0397999999999996"/>
    <n v="8.2611000000000008"/>
    <n v="7.9291"/>
    <n v="8.1873000000000005"/>
    <n v="25308"/>
    <n v="3.6701000000000001"/>
    <n v="4.1859999999999999"/>
  </r>
  <r>
    <n v="2330"/>
    <x v="1"/>
    <d v="2011-08-23T00:00:00"/>
    <x v="1"/>
    <x v="7"/>
    <n v="49.042999999999999"/>
    <n v="50.627400000000002"/>
    <n v="49.042999999999999"/>
    <n v="50.4011"/>
    <n v="46548"/>
    <n v="2.7315999999999998"/>
    <n v="3.2307999999999999"/>
  </r>
  <r>
    <n v="2303"/>
    <x v="0"/>
    <d v="2011-08-24T00:00:00"/>
    <x v="2"/>
    <x v="7"/>
    <n v="8.2241999999999997"/>
    <n v="8.2241999999999997"/>
    <n v="7.9660000000000002"/>
    <n v="8.0767000000000007"/>
    <n v="39171"/>
    <n v="-1.3606"/>
    <n v="3.2406999999999999"/>
  </r>
  <r>
    <n v="2330"/>
    <x v="1"/>
    <d v="2011-08-24T00:00:00"/>
    <x v="2"/>
    <x v="7"/>
    <n v="51.080100000000002"/>
    <n v="51.080100000000002"/>
    <n v="50.099299999999999"/>
    <n v="50.929200000000002"/>
    <n v="50480"/>
    <n v="1.0425"/>
    <n v="1.9578"/>
  </r>
  <r>
    <n v="2303"/>
    <x v="0"/>
    <d v="2011-08-25T00:00:00"/>
    <x v="3"/>
    <x v="7"/>
    <n v="8.0767000000000007"/>
    <n v="8.1135000000000002"/>
    <n v="8.0029000000000003"/>
    <n v="8.0397999999999996"/>
    <n v="26259"/>
    <n v="-0.4577"/>
    <n v="1.3825000000000001"/>
  </r>
  <r>
    <n v="2330"/>
    <x v="1"/>
    <d v="2011-08-25T00:00:00"/>
    <x v="3"/>
    <x v="7"/>
    <n v="50.8538"/>
    <n v="51.0047"/>
    <n v="50.099299999999999"/>
    <n v="50.552"/>
    <n v="30883"/>
    <n v="-0.74350000000000005"/>
    <n v="1.8071999999999999"/>
  </r>
  <r>
    <n v="2303"/>
    <x v="0"/>
    <d v="2011-08-26T00:00:00"/>
    <x v="4"/>
    <x v="7"/>
    <n v="8.0397999999999996"/>
    <n v="8.1135000000000002"/>
    <n v="7.9660000000000002"/>
    <n v="7.9660000000000002"/>
    <n v="22042"/>
    <n v="-0.92169999999999996"/>
    <n v="1.8519000000000001"/>
  </r>
  <r>
    <n v="2330"/>
    <x v="1"/>
    <d v="2011-08-26T00:00:00"/>
    <x v="4"/>
    <x v="7"/>
    <n v="50.627400000000002"/>
    <n v="51.532800000000002"/>
    <n v="50.552"/>
    <n v="51.231000000000002"/>
    <n v="40513"/>
    <n v="1.3343"/>
    <n v="1.9402999999999999"/>
  </r>
  <r>
    <n v="2303"/>
    <x v="0"/>
    <d v="2011-08-29T00:00:00"/>
    <x v="0"/>
    <x v="7"/>
    <n v="8.0767000000000007"/>
    <n v="8.1873000000000005"/>
    <n v="8.0397999999999996"/>
    <n v="8.1135000000000002"/>
    <n v="34487"/>
    <n v="1.8349"/>
    <n v="1.8349"/>
  </r>
  <r>
    <n v="2330"/>
    <x v="1"/>
    <d v="2011-08-29T00:00:00"/>
    <x v="0"/>
    <x v="7"/>
    <n v="51.7592"/>
    <n v="52.74"/>
    <n v="51.381900000000002"/>
    <n v="52.3628"/>
    <n v="38635"/>
    <n v="2.1850999999999998"/>
    <n v="2.6432000000000002"/>
  </r>
  <r>
    <n v="2303"/>
    <x v="0"/>
    <d v="2011-08-30T00:00:00"/>
    <x v="1"/>
    <x v="7"/>
    <n v="8.2241999999999997"/>
    <n v="8.3347999999999995"/>
    <n v="8.1503999999999994"/>
    <n v="8.1873000000000005"/>
    <n v="64130"/>
    <n v="0.90500000000000003"/>
    <n v="2.2624"/>
  </r>
  <r>
    <n v="2330"/>
    <x v="1"/>
    <d v="2011-08-30T00:00:00"/>
    <x v="1"/>
    <x v="7"/>
    <n v="53.041800000000002"/>
    <n v="53.041800000000002"/>
    <n v="51.7592"/>
    <n v="52.061"/>
    <n v="33757"/>
    <n v="-0.57799999999999996"/>
    <n v="2.4781"/>
  </r>
  <r>
    <n v="2303"/>
    <x v="0"/>
    <d v="2011-08-31T00:00:00"/>
    <x v="2"/>
    <x v="7"/>
    <n v="8.3347999999999995"/>
    <n v="8.3717000000000006"/>
    <n v="8.1873000000000005"/>
    <n v="8.3347999999999995"/>
    <n v="30087"/>
    <n v="1.7858000000000001"/>
    <n v="2.2523"/>
  </r>
  <r>
    <n v="2330"/>
    <x v="1"/>
    <d v="2011-08-31T00:00:00"/>
    <x v="2"/>
    <x v="7"/>
    <n v="52.136400000000002"/>
    <n v="52.3628"/>
    <n v="51.1556"/>
    <n v="52.3628"/>
    <n v="47789"/>
    <n v="0.57799999999999996"/>
    <n v="2.3599000000000001"/>
  </r>
  <r>
    <n v="2303"/>
    <x v="0"/>
    <d v="2011-09-01T00:00:00"/>
    <x v="3"/>
    <x v="8"/>
    <n v="8.4085999999999999"/>
    <n v="8.8879999999999999"/>
    <n v="8.3717000000000006"/>
    <n v="8.6667000000000005"/>
    <n v="91132"/>
    <n v="3.9051"/>
    <n v="6.1673999999999998"/>
  </r>
  <r>
    <n v="2330"/>
    <x v="1"/>
    <d v="2011-09-01T00:00:00"/>
    <x v="3"/>
    <x v="8"/>
    <n v="52.3628"/>
    <n v="52.6646"/>
    <n v="51.7592"/>
    <n v="51.7592"/>
    <n v="47994"/>
    <n v="-1.1594"/>
    <n v="1.7493000000000001"/>
  </r>
  <r>
    <n v="2303"/>
    <x v="0"/>
    <d v="2011-09-02T00:00:00"/>
    <x v="4"/>
    <x v="8"/>
    <n v="8.7035999999999998"/>
    <n v="8.7035999999999998"/>
    <n v="8.4823000000000004"/>
    <n v="8.5561000000000007"/>
    <n v="40099"/>
    <n v="-1.2847999999999999"/>
    <n v="2.6086999999999998"/>
  </r>
  <r>
    <n v="2330"/>
    <x v="1"/>
    <d v="2011-09-02T00:00:00"/>
    <x v="4"/>
    <x v="8"/>
    <n v="52.438200000000002"/>
    <n v="52.438200000000002"/>
    <n v="50.627400000000002"/>
    <n v="50.929200000000002"/>
    <n v="44964"/>
    <n v="-1.6165"/>
    <n v="3.5768"/>
  </r>
  <r>
    <n v="2303"/>
    <x v="0"/>
    <d v="2011-09-05T00:00:00"/>
    <x v="0"/>
    <x v="8"/>
    <n v="8.3347999999999995"/>
    <n v="8.3347999999999995"/>
    <n v="8.1135000000000002"/>
    <n v="8.1503999999999994"/>
    <n v="47605"/>
    <n v="-4.8574999999999999"/>
    <n v="2.7273000000000001"/>
  </r>
  <r>
    <n v="2330"/>
    <x v="1"/>
    <d v="2011-09-05T00:00:00"/>
    <x v="0"/>
    <x v="8"/>
    <n v="49.872900000000001"/>
    <n v="50.627400000000002"/>
    <n v="49.722000000000001"/>
    <n v="50.2502"/>
    <n v="49912"/>
    <n v="-1.3423"/>
    <n v="1.8209"/>
  </r>
  <r>
    <n v="2303"/>
    <x v="0"/>
    <d v="2011-09-06T00:00:00"/>
    <x v="1"/>
    <x v="8"/>
    <n v="8.0767000000000007"/>
    <n v="8.1503999999999994"/>
    <n v="8.0397999999999996"/>
    <n v="8.0397999999999996"/>
    <n v="33104"/>
    <n v="-1.3668"/>
    <n v="1.3761000000000001"/>
  </r>
  <r>
    <n v="2330"/>
    <x v="1"/>
    <d v="2011-09-06T00:00:00"/>
    <x v="1"/>
    <x v="8"/>
    <n v="50.174700000000001"/>
    <n v="50.7029"/>
    <n v="49.872900000000001"/>
    <n v="49.872900000000001"/>
    <n v="40850"/>
    <n v="-0.75360000000000005"/>
    <n v="1.6640999999999999"/>
  </r>
  <r>
    <n v="2303"/>
    <x v="0"/>
    <d v="2011-09-07T00:00:00"/>
    <x v="2"/>
    <x v="8"/>
    <n v="8.1135000000000002"/>
    <n v="8.4085999999999999"/>
    <n v="8.0767000000000007"/>
    <n v="8.4085999999999999"/>
    <n v="39835"/>
    <n v="4.4851000000000001"/>
    <n v="4.1096000000000004"/>
  </r>
  <r>
    <n v="2330"/>
    <x v="1"/>
    <d v="2011-09-07T00:00:00"/>
    <x v="2"/>
    <x v="8"/>
    <n v="50.552"/>
    <n v="51.7592"/>
    <n v="50.4011"/>
    <n v="51.7592"/>
    <n v="40117"/>
    <n v="3.7124000000000001"/>
    <n v="2.6945999999999999"/>
  </r>
  <r>
    <n v="2303"/>
    <x v="0"/>
    <d v="2011-09-08T00:00:00"/>
    <x v="3"/>
    <x v="8"/>
    <n v="8.5191999999999997"/>
    <n v="8.5561000000000007"/>
    <n v="8.2979000000000003"/>
    <n v="8.3717000000000006"/>
    <n v="44818"/>
    <n v="-0.43959999999999999"/>
    <n v="3.1111"/>
  </r>
  <r>
    <n v="2330"/>
    <x v="1"/>
    <d v="2011-09-08T00:00:00"/>
    <x v="3"/>
    <x v="8"/>
    <n v="52.5137"/>
    <n v="52.5137"/>
    <n v="51.6083"/>
    <n v="51.834600000000002"/>
    <n v="43046"/>
    <n v="0.1457"/>
    <n v="1.7544"/>
  </r>
  <r>
    <n v="2303"/>
    <x v="0"/>
    <d v="2011-09-09T00:00:00"/>
    <x v="4"/>
    <x v="8"/>
    <n v="8.2611000000000008"/>
    <n v="8.3717000000000006"/>
    <n v="8.1873000000000005"/>
    <n v="8.3347999999999995"/>
    <n v="23836"/>
    <n v="-0.4415"/>
    <n v="2.2523"/>
  </r>
  <r>
    <n v="2330"/>
    <x v="1"/>
    <d v="2011-09-09T00:00:00"/>
    <x v="4"/>
    <x v="8"/>
    <n v="52.438200000000002"/>
    <n v="52.890900000000002"/>
    <n v="51.985500000000002"/>
    <n v="52.287300000000002"/>
    <n v="38350"/>
    <n v="0.86960000000000004"/>
    <n v="1.7417"/>
  </r>
  <r>
    <n v="2303"/>
    <x v="0"/>
    <d v="2011-09-13T00:00:00"/>
    <x v="1"/>
    <x v="8"/>
    <n v="8.2611000000000008"/>
    <n v="8.2611000000000008"/>
    <n v="8.0397999999999996"/>
    <n v="8.0397999999999996"/>
    <n v="25469"/>
    <n v="-3.6040000000000001"/>
    <n v="2.7523"/>
  </r>
  <r>
    <n v="2330"/>
    <x v="1"/>
    <d v="2011-09-13T00:00:00"/>
    <x v="1"/>
    <x v="8"/>
    <n v="52.5137"/>
    <n v="52.8155"/>
    <n v="51.6083"/>
    <n v="51.6083"/>
    <n v="34951"/>
    <n v="-1.3071999999999999"/>
    <n v="2.3391999999999999"/>
  </r>
  <r>
    <n v="2303"/>
    <x v="0"/>
    <d v="2011-09-14T00:00:00"/>
    <x v="2"/>
    <x v="8"/>
    <n v="8.1135000000000002"/>
    <n v="8.1873000000000005"/>
    <n v="7.8922999999999996"/>
    <n v="7.9291"/>
    <n v="33605"/>
    <n v="-1.3856999999999999"/>
    <n v="3.7383000000000002"/>
  </r>
  <r>
    <n v="2330"/>
    <x v="1"/>
    <d v="2011-09-14T00:00:00"/>
    <x v="2"/>
    <x v="8"/>
    <n v="52.438200000000002"/>
    <n v="52.5137"/>
    <n v="50.476500000000001"/>
    <n v="50.7029"/>
    <n v="60845"/>
    <n v="-1.77"/>
    <n v="4.0358999999999998"/>
  </r>
  <r>
    <n v="2303"/>
    <x v="0"/>
    <d v="2011-09-15T00:00:00"/>
    <x v="3"/>
    <x v="8"/>
    <n v="8.1873000000000005"/>
    <n v="8.2611000000000008"/>
    <n v="8.0397999999999996"/>
    <n v="8.1135000000000002"/>
    <n v="31704"/>
    <n v="2.2989999999999999"/>
    <n v="2.7523"/>
  </r>
  <r>
    <n v="2330"/>
    <x v="1"/>
    <d v="2011-09-15T00:00:00"/>
    <x v="3"/>
    <x v="8"/>
    <n v="52.061"/>
    <n v="52.6646"/>
    <n v="51.683700000000002"/>
    <n v="52.136400000000002"/>
    <n v="44236"/>
    <n v="2.7881"/>
    <n v="1.8977999999999999"/>
  </r>
  <r>
    <n v="2303"/>
    <x v="0"/>
    <d v="2011-09-16T00:00:00"/>
    <x v="4"/>
    <x v="8"/>
    <n v="8.3347999999999995"/>
    <n v="8.4454999999999991"/>
    <n v="8.3347999999999995"/>
    <n v="8.4454999999999991"/>
    <n v="63653"/>
    <n v="4.0094000000000003"/>
    <n v="1.3273999999999999"/>
  </r>
  <r>
    <n v="2330"/>
    <x v="1"/>
    <d v="2011-09-16T00:00:00"/>
    <x v="4"/>
    <x v="8"/>
    <n v="53.1173"/>
    <n v="54.3245"/>
    <n v="53.041800000000002"/>
    <n v="53.645400000000002"/>
    <n v="78609"/>
    <n v="2.8532999999999999"/>
    <n v="2.4182000000000001"/>
  </r>
  <r>
    <n v="2303"/>
    <x v="0"/>
    <d v="2011-09-19T00:00:00"/>
    <x v="0"/>
    <x v="8"/>
    <n v="8.4085999999999999"/>
    <n v="8.4085999999999999"/>
    <n v="8.2611000000000008"/>
    <n v="8.2611000000000008"/>
    <n v="12371"/>
    <n v="-2.2075999999999998"/>
    <n v="1.7857000000000001"/>
  </r>
  <r>
    <n v="2330"/>
    <x v="1"/>
    <d v="2011-09-19T00:00:00"/>
    <x v="0"/>
    <x v="8"/>
    <n v="53.8718"/>
    <n v="54.098199999999999"/>
    <n v="53.343600000000002"/>
    <n v="53.7209"/>
    <n v="28798"/>
    <n v="0.14050000000000001"/>
    <n v="1.4144000000000001"/>
  </r>
  <r>
    <n v="2303"/>
    <x v="0"/>
    <d v="2011-09-20T00:00:00"/>
    <x v="1"/>
    <x v="8"/>
    <n v="8.2979000000000003"/>
    <n v="8.3717000000000006"/>
    <n v="8.1873000000000005"/>
    <n v="8.3347999999999995"/>
    <n v="23568"/>
    <n v="0.88890000000000002"/>
    <n v="2.2523"/>
  </r>
  <r>
    <n v="2330"/>
    <x v="1"/>
    <d v="2011-09-20T00:00:00"/>
    <x v="1"/>
    <x v="8"/>
    <n v="53.57"/>
    <n v="54.098199999999999"/>
    <n v="52.589100000000002"/>
    <n v="53.192700000000002"/>
    <n v="46911"/>
    <n v="-0.98799999999999999"/>
    <n v="2.8694000000000002"/>
  </r>
  <r>
    <n v="2303"/>
    <x v="0"/>
    <d v="2011-09-21T00:00:00"/>
    <x v="2"/>
    <x v="8"/>
    <n v="8.3717000000000006"/>
    <n v="8.4085999999999999"/>
    <n v="8.2241999999999997"/>
    <n v="8.4085999999999999"/>
    <n v="18506"/>
    <n v="0.88109999999999999"/>
    <n v="2.2422"/>
  </r>
  <r>
    <n v="2330"/>
    <x v="1"/>
    <d v="2011-09-21T00:00:00"/>
    <x v="2"/>
    <x v="8"/>
    <n v="53.57"/>
    <n v="54.4"/>
    <n v="53.494500000000002"/>
    <n v="54.3245"/>
    <n v="54414"/>
    <n v="2.1053000000000002"/>
    <n v="1.6924999999999999"/>
  </r>
  <r>
    <n v="2303"/>
    <x v="0"/>
    <d v="2011-09-22T00:00:00"/>
    <x v="3"/>
    <x v="8"/>
    <n v="8.2241999999999997"/>
    <n v="8.2611000000000008"/>
    <n v="8.1135000000000002"/>
    <n v="8.1135000000000002"/>
    <n v="28127"/>
    <n v="-3.5718000000000001"/>
    <n v="1.8182"/>
  </r>
  <r>
    <n v="2330"/>
    <x v="1"/>
    <d v="2011-09-22T00:00:00"/>
    <x v="3"/>
    <x v="8"/>
    <n v="52.9664"/>
    <n v="53.192700000000002"/>
    <n v="52.061"/>
    <n v="52.061"/>
    <n v="64921"/>
    <n v="-4.2560000000000002"/>
    <n v="2.1739000000000002"/>
  </r>
  <r>
    <n v="2303"/>
    <x v="0"/>
    <d v="2011-09-23T00:00:00"/>
    <x v="4"/>
    <x v="8"/>
    <n v="7.8922999999999996"/>
    <n v="8.1135000000000002"/>
    <n v="7.8554000000000004"/>
    <n v="7.9291"/>
    <n v="66494"/>
    <n v="-2.2989999999999999"/>
    <n v="3.2864"/>
  </r>
  <r>
    <n v="2330"/>
    <x v="1"/>
    <d v="2011-09-23T00:00:00"/>
    <x v="4"/>
    <x v="8"/>
    <n v="51.4574"/>
    <n v="51.985500000000002"/>
    <n v="50.8538"/>
    <n v="50.929200000000002"/>
    <n v="89409"/>
    <n v="-2.1979000000000002"/>
    <n v="2.2254999999999998"/>
  </r>
  <r>
    <n v="2303"/>
    <x v="0"/>
    <d v="2011-09-26T00:00:00"/>
    <x v="0"/>
    <x v="8"/>
    <n v="8.0397999999999996"/>
    <n v="8.1135000000000002"/>
    <n v="7.9660000000000002"/>
    <n v="8.0029000000000003"/>
    <n v="35495"/>
    <n v="0.92589999999999995"/>
    <n v="1.8519000000000001"/>
  </r>
  <r>
    <n v="2330"/>
    <x v="1"/>
    <d v="2011-09-26T00:00:00"/>
    <x v="0"/>
    <x v="8"/>
    <n v="51.080100000000002"/>
    <n v="51.532800000000002"/>
    <n v="50.476500000000001"/>
    <n v="50.7029"/>
    <n v="61686"/>
    <n v="-0.44540000000000002"/>
    <n v="2.0926999999999998"/>
  </r>
  <r>
    <n v="2303"/>
    <x v="0"/>
    <d v="2011-09-27T00:00:00"/>
    <x v="1"/>
    <x v="8"/>
    <n v="8.1873000000000005"/>
    <n v="8.4823000000000004"/>
    <n v="8.1873000000000005"/>
    <n v="8.4823000000000004"/>
    <n v="53524"/>
    <n v="5.8182"/>
    <n v="3.6036000000000001"/>
  </r>
  <r>
    <n v="2330"/>
    <x v="1"/>
    <d v="2011-09-27T00:00:00"/>
    <x v="1"/>
    <x v="8"/>
    <n v="51.985500000000002"/>
    <n v="52.9664"/>
    <n v="51.834600000000002"/>
    <n v="52.74"/>
    <n v="56719"/>
    <n v="3.9392"/>
    <n v="2.1833999999999998"/>
  </r>
  <r>
    <n v="2303"/>
    <x v="0"/>
    <d v="2011-09-28T00:00:00"/>
    <x v="2"/>
    <x v="8"/>
    <n v="8.593"/>
    <n v="8.593"/>
    <n v="8.3347999999999995"/>
    <n v="8.5191999999999997"/>
    <n v="48616"/>
    <n v="0.43380000000000002"/>
    <n v="3.0973000000000002"/>
  </r>
  <r>
    <n v="2330"/>
    <x v="1"/>
    <d v="2011-09-28T00:00:00"/>
    <x v="2"/>
    <x v="8"/>
    <n v="53.4191"/>
    <n v="53.494500000000002"/>
    <n v="52.6646"/>
    <n v="53.041800000000002"/>
    <n v="46783"/>
    <n v="0.5706"/>
    <n v="1.5759000000000001"/>
  </r>
  <r>
    <n v="2303"/>
    <x v="0"/>
    <d v="2011-09-29T00:00:00"/>
    <x v="3"/>
    <x v="8"/>
    <n v="8.4454999999999991"/>
    <n v="8.5191999999999997"/>
    <n v="8.2979000000000003"/>
    <n v="8.4454999999999991"/>
    <n v="23862"/>
    <n v="-0.86960000000000004"/>
    <n v="2.6667000000000001"/>
  </r>
  <r>
    <n v="2330"/>
    <x v="1"/>
    <d v="2011-09-29T00:00:00"/>
    <x v="3"/>
    <x v="8"/>
    <n v="52.5137"/>
    <n v="53.494500000000002"/>
    <n v="52.287300000000002"/>
    <n v="53.041800000000002"/>
    <n v="39956"/>
    <n v="0"/>
    <n v="2.3088000000000002"/>
  </r>
  <r>
    <n v="2303"/>
    <x v="0"/>
    <d v="2011-09-30T00:00:00"/>
    <x v="4"/>
    <x v="8"/>
    <n v="8.4085999999999999"/>
    <n v="8.4454999999999991"/>
    <n v="8.3347999999999995"/>
    <n v="8.4085999999999999"/>
    <n v="32959"/>
    <n v="-0.43759999999999999"/>
    <n v="1.3273999999999999"/>
  </r>
  <r>
    <n v="2330"/>
    <x v="1"/>
    <d v="2011-09-30T00:00:00"/>
    <x v="4"/>
    <x v="8"/>
    <n v="53.041800000000002"/>
    <n v="53.4191"/>
    <n v="52.061"/>
    <n v="52.8155"/>
    <n v="60517"/>
    <n v="-0.42770000000000002"/>
    <n v="2.6086999999999998"/>
  </r>
  <r>
    <n v="2303"/>
    <x v="0"/>
    <d v="2011-10-03T00:00:00"/>
    <x v="0"/>
    <x v="9"/>
    <n v="8.4085999999999999"/>
    <n v="8.4085999999999999"/>
    <n v="8.2241999999999997"/>
    <n v="8.3347999999999995"/>
    <n v="25365"/>
    <n v="-0.88109999999999999"/>
    <n v="2.2422"/>
  </r>
  <r>
    <n v="2330"/>
    <x v="1"/>
    <d v="2011-10-03T00:00:00"/>
    <x v="0"/>
    <x v="9"/>
    <n v="52.8155"/>
    <n v="52.8155"/>
    <n v="51.381900000000002"/>
    <n v="51.7592"/>
    <n v="33968"/>
    <n v="-2.0203000000000002"/>
    <n v="2.79"/>
  </r>
  <r>
    <n v="2303"/>
    <x v="0"/>
    <d v="2011-10-04T00:00:00"/>
    <x v="1"/>
    <x v="9"/>
    <n v="8.1873000000000005"/>
    <n v="8.4823000000000004"/>
    <n v="8.1503999999999994"/>
    <n v="8.4823000000000004"/>
    <n v="30638"/>
    <n v="1.7544"/>
    <n v="4.0724"/>
  </r>
  <r>
    <n v="2330"/>
    <x v="1"/>
    <d v="2011-10-04T00:00:00"/>
    <x v="1"/>
    <x v="9"/>
    <n v="52.8155"/>
    <n v="52.8155"/>
    <n v="51.4574"/>
    <n v="52.136400000000002"/>
    <n v="36568"/>
    <n v="0.72619999999999996"/>
    <n v="2.6393"/>
  </r>
  <r>
    <n v="2303"/>
    <x v="0"/>
    <d v="2011-10-05T00:00:00"/>
    <x v="2"/>
    <x v="9"/>
    <n v="8.5191999999999997"/>
    <n v="8.593"/>
    <n v="8.4454999999999991"/>
    <n v="8.4454999999999991"/>
    <n v="17680"/>
    <n v="-0.43569999999999998"/>
    <n v="1.7466999999999999"/>
  </r>
  <r>
    <n v="2330"/>
    <x v="1"/>
    <d v="2011-10-05T00:00:00"/>
    <x v="2"/>
    <x v="9"/>
    <n v="51.985500000000002"/>
    <n v="52.589100000000002"/>
    <n v="51.834600000000002"/>
    <n v="52.136400000000002"/>
    <n v="36349"/>
    <n v="0"/>
    <n v="1.4556"/>
  </r>
  <r>
    <n v="2303"/>
    <x v="0"/>
    <d v="2011-10-06T00:00:00"/>
    <x v="3"/>
    <x v="9"/>
    <n v="8.5561000000000007"/>
    <n v="8.7035999999999998"/>
    <n v="8.5191999999999997"/>
    <n v="8.6667000000000005"/>
    <n v="37144"/>
    <n v="2.5863999999999998"/>
    <n v="2.1644999999999999"/>
  </r>
  <r>
    <n v="2330"/>
    <x v="1"/>
    <d v="2011-10-06T00:00:00"/>
    <x v="3"/>
    <x v="9"/>
    <n v="52.589100000000002"/>
    <n v="52.74"/>
    <n v="51.834600000000002"/>
    <n v="52.061"/>
    <n v="57263"/>
    <n v="-0.14480000000000001"/>
    <n v="1.7466999999999999"/>
  </r>
  <r>
    <n v="2303"/>
    <x v="0"/>
    <d v="2011-10-07T00:00:00"/>
    <x v="4"/>
    <x v="9"/>
    <n v="8.8141999999999996"/>
    <n v="8.8141999999999996"/>
    <n v="8.7035999999999998"/>
    <n v="8.7774000000000001"/>
    <n v="23852"/>
    <n v="1.2685"/>
    <n v="1.2712000000000001"/>
  </r>
  <r>
    <n v="2330"/>
    <x v="1"/>
    <d v="2011-10-07T00:00:00"/>
    <x v="4"/>
    <x v="9"/>
    <n v="52.438200000000002"/>
    <n v="52.5137"/>
    <n v="51.834600000000002"/>
    <n v="52.136400000000002"/>
    <n v="47924"/>
    <n v="0.14480000000000001"/>
    <n v="1.31"/>
  </r>
  <r>
    <n v="2303"/>
    <x v="0"/>
    <d v="2011-10-11T00:00:00"/>
    <x v="1"/>
    <x v="9"/>
    <n v="8.8879999999999999"/>
    <n v="9.0355000000000008"/>
    <n v="8.8879999999999999"/>
    <n v="8.9618000000000002"/>
    <n v="48313"/>
    <n v="2.0790999999999999"/>
    <n v="1.6597999999999999"/>
  </r>
  <r>
    <n v="2330"/>
    <x v="1"/>
    <d v="2011-10-11T00:00:00"/>
    <x v="1"/>
    <x v="9"/>
    <n v="52.8155"/>
    <n v="53.1173"/>
    <n v="52.5137"/>
    <n v="52.8155"/>
    <n v="55726"/>
    <n v="1.2941"/>
    <n v="1.1494"/>
  </r>
  <r>
    <n v="2303"/>
    <x v="0"/>
    <d v="2011-10-12T00:00:00"/>
    <x v="2"/>
    <x v="9"/>
    <n v="8.9985999999999997"/>
    <n v="8.9985999999999997"/>
    <n v="8.8141999999999996"/>
    <n v="8.9618000000000002"/>
    <n v="17542"/>
    <n v="0"/>
    <n v="2.0920999999999998"/>
  </r>
  <r>
    <n v="2330"/>
    <x v="1"/>
    <d v="2011-10-12T00:00:00"/>
    <x v="2"/>
    <x v="9"/>
    <n v="53.192700000000002"/>
    <n v="53.192700000000002"/>
    <n v="52.5137"/>
    <n v="53.1173"/>
    <n v="41639"/>
    <n v="0.56979999999999997"/>
    <n v="1.2930999999999999"/>
  </r>
  <r>
    <n v="2303"/>
    <x v="0"/>
    <d v="2011-10-13T00:00:00"/>
    <x v="3"/>
    <x v="9"/>
    <n v="8.9618000000000002"/>
    <n v="8.9618000000000002"/>
    <n v="8.7035999999999998"/>
    <n v="8.8141999999999996"/>
    <n v="31545"/>
    <n v="-1.6597999999999999"/>
    <n v="2.9661"/>
  </r>
  <r>
    <n v="2330"/>
    <x v="1"/>
    <d v="2011-10-13T00:00:00"/>
    <x v="3"/>
    <x v="9"/>
    <n v="52.6646"/>
    <n v="53.1173"/>
    <n v="51.9101"/>
    <n v="53.1173"/>
    <n v="58476"/>
    <n v="0"/>
    <n v="2.3256000000000001"/>
  </r>
  <r>
    <n v="2303"/>
    <x v="0"/>
    <d v="2011-10-14T00:00:00"/>
    <x v="4"/>
    <x v="9"/>
    <n v="8.7405000000000008"/>
    <n v="8.8511000000000006"/>
    <n v="8.7035999999999998"/>
    <n v="8.7774000000000001"/>
    <n v="14488"/>
    <n v="-0.41930000000000001"/>
    <n v="1.6949000000000001"/>
  </r>
  <r>
    <n v="2330"/>
    <x v="1"/>
    <d v="2011-10-14T00:00:00"/>
    <x v="4"/>
    <x v="9"/>
    <n v="53.4191"/>
    <n v="53.4191"/>
    <n v="52.74"/>
    <n v="53.041800000000002"/>
    <n v="38790"/>
    <n v="-0.1421"/>
    <n v="1.2876000000000001"/>
  </r>
  <r>
    <n v="2303"/>
    <x v="0"/>
    <d v="2011-10-17T00:00:00"/>
    <x v="0"/>
    <x v="9"/>
    <n v="8.8511000000000006"/>
    <n v="8.9985999999999997"/>
    <n v="8.8511000000000006"/>
    <n v="8.9985999999999997"/>
    <n v="20567"/>
    <n v="2.4897999999999998"/>
    <n v="1.6667000000000001"/>
  </r>
  <r>
    <n v="2330"/>
    <x v="1"/>
    <d v="2011-10-17T00:00:00"/>
    <x v="0"/>
    <x v="9"/>
    <n v="53.4191"/>
    <n v="53.645400000000002"/>
    <n v="53.192700000000002"/>
    <n v="53.645400000000002"/>
    <n v="39053"/>
    <n v="1.1315999999999999"/>
    <n v="0.85109999999999997"/>
  </r>
  <r>
    <n v="2303"/>
    <x v="0"/>
    <d v="2011-10-18T00:00:00"/>
    <x v="1"/>
    <x v="9"/>
    <n v="8.8511000000000006"/>
    <n v="8.8879999999999999"/>
    <n v="8.7405000000000008"/>
    <n v="8.7774000000000001"/>
    <n v="14523"/>
    <n v="-2.4897999999999998"/>
    <n v="1.6878"/>
  </r>
  <r>
    <n v="2330"/>
    <x v="1"/>
    <d v="2011-10-18T00:00:00"/>
    <x v="1"/>
    <x v="9"/>
    <n v="52.890900000000002"/>
    <n v="53.343600000000002"/>
    <n v="52.8155"/>
    <n v="53.343600000000002"/>
    <n v="25859"/>
    <n v="-0.56420000000000003"/>
    <n v="1"/>
  </r>
  <r>
    <n v="2303"/>
    <x v="0"/>
    <d v="2011-10-19T00:00:00"/>
    <x v="2"/>
    <x v="9"/>
    <n v="8.8511000000000006"/>
    <n v="8.8879999999999999"/>
    <n v="8.7774000000000001"/>
    <n v="8.8879999999999999"/>
    <n v="13010"/>
    <n v="1.2525999999999999"/>
    <n v="1.2605"/>
  </r>
  <r>
    <n v="2330"/>
    <x v="1"/>
    <d v="2011-10-19T00:00:00"/>
    <x v="2"/>
    <x v="9"/>
    <n v="53.57"/>
    <n v="53.645400000000002"/>
    <n v="52.9664"/>
    <n v="53.645400000000002"/>
    <n v="32281"/>
    <n v="0.56420000000000003"/>
    <n v="1.2821"/>
  </r>
  <r>
    <n v="2303"/>
    <x v="0"/>
    <d v="2011-10-20T00:00:00"/>
    <x v="3"/>
    <x v="9"/>
    <n v="8.8879999999999999"/>
    <n v="8.9248999999999992"/>
    <n v="8.8141999999999996"/>
    <n v="8.8879999999999999"/>
    <n v="19986"/>
    <n v="0"/>
    <n v="1.2552000000000001"/>
  </r>
  <r>
    <n v="2330"/>
    <x v="1"/>
    <d v="2011-10-20T00:00:00"/>
    <x v="3"/>
    <x v="9"/>
    <n v="53.192700000000002"/>
    <n v="53.343600000000002"/>
    <n v="52.5137"/>
    <n v="52.589100000000002"/>
    <n v="27287"/>
    <n v="-1.9886999999999999"/>
    <n v="1.5805"/>
  </r>
  <r>
    <n v="2303"/>
    <x v="0"/>
    <d v="2011-10-21T00:00:00"/>
    <x v="4"/>
    <x v="9"/>
    <n v="8.9248999999999992"/>
    <n v="8.9248999999999992"/>
    <n v="8.8141999999999996"/>
    <n v="8.8879999999999999"/>
    <n v="12041"/>
    <n v="0"/>
    <n v="1.2552000000000001"/>
  </r>
  <r>
    <n v="2330"/>
    <x v="1"/>
    <d v="2011-10-21T00:00:00"/>
    <x v="4"/>
    <x v="9"/>
    <n v="53.343600000000002"/>
    <n v="53.343600000000002"/>
    <n v="52.5137"/>
    <n v="53.041800000000002"/>
    <n v="17965"/>
    <n v="0.85709999999999997"/>
    <n v="1.5805"/>
  </r>
  <r>
    <n v="2303"/>
    <x v="0"/>
    <d v="2011-10-24T00:00:00"/>
    <x v="0"/>
    <x v="9"/>
    <n v="9.1462000000000003"/>
    <n v="9.4412000000000003"/>
    <n v="9.1462000000000003"/>
    <n v="9.3673999999999999"/>
    <n v="48344"/>
    <n v="5.2537000000000003"/>
    <n v="3.2258"/>
  </r>
  <r>
    <n v="2330"/>
    <x v="1"/>
    <d v="2011-10-24T00:00:00"/>
    <x v="0"/>
    <x v="9"/>
    <n v="53.7209"/>
    <n v="54.249099999999999"/>
    <n v="53.7209"/>
    <n v="54.098199999999999"/>
    <n v="50146"/>
    <n v="1.9719"/>
    <n v="0.98309999999999997"/>
  </r>
  <r>
    <n v="2303"/>
    <x v="0"/>
    <d v="2011-10-25T00:00:00"/>
    <x v="1"/>
    <x v="9"/>
    <n v="9.4780999999999995"/>
    <n v="9.4780999999999995"/>
    <n v="9.2936999999999994"/>
    <n v="9.3673999999999999"/>
    <n v="31770"/>
    <n v="0"/>
    <n v="1.9841"/>
  </r>
  <r>
    <n v="2330"/>
    <x v="1"/>
    <d v="2011-10-25T00:00:00"/>
    <x v="1"/>
    <x v="9"/>
    <n v="54.1736"/>
    <n v="54.3245"/>
    <n v="53.57"/>
    <n v="53.947299999999998"/>
    <n v="43178"/>
    <n v="-0.27929999999999999"/>
    <n v="1.4085000000000001"/>
  </r>
  <r>
    <n v="2303"/>
    <x v="0"/>
    <d v="2011-10-26T00:00:00"/>
    <x v="2"/>
    <x v="9"/>
    <n v="9.1462000000000003"/>
    <n v="9.5150000000000006"/>
    <n v="9.1462000000000003"/>
    <n v="9.4412000000000003"/>
    <n v="32051"/>
    <n v="0.7843"/>
    <n v="4.0323000000000002"/>
  </r>
  <r>
    <n v="2330"/>
    <x v="1"/>
    <d v="2011-10-26T00:00:00"/>
    <x v="2"/>
    <x v="9"/>
    <n v="53.8718"/>
    <n v="54.3245"/>
    <n v="53.645400000000002"/>
    <n v="54.249099999999999"/>
    <n v="25727"/>
    <n v="0.55789999999999995"/>
    <n v="1.2658"/>
  </r>
  <r>
    <n v="2303"/>
    <x v="0"/>
    <d v="2011-10-27T00:00:00"/>
    <x v="3"/>
    <x v="9"/>
    <n v="9.5150000000000006"/>
    <n v="9.7730999999999995"/>
    <n v="9.4780999999999995"/>
    <n v="9.7362000000000002"/>
    <n v="78073"/>
    <n v="3.0771999999999999"/>
    <n v="3.1128"/>
  </r>
  <r>
    <n v="2330"/>
    <x v="1"/>
    <d v="2011-10-27T00:00:00"/>
    <x v="3"/>
    <x v="9"/>
    <n v="54.3245"/>
    <n v="54.4754"/>
    <n v="53.8718"/>
    <n v="54.249099999999999"/>
    <n v="39438"/>
    <n v="0"/>
    <n v="1.1204000000000001"/>
  </r>
  <r>
    <n v="2303"/>
    <x v="0"/>
    <d v="2011-10-28T00:00:00"/>
    <x v="4"/>
    <x v="9"/>
    <n v="9.9574999999999996"/>
    <n v="10.105"/>
    <n v="9.5886999999999993"/>
    <n v="9.7362000000000002"/>
    <n v="65391"/>
    <n v="0"/>
    <n v="5.3845999999999998"/>
  </r>
  <r>
    <n v="2330"/>
    <x v="1"/>
    <d v="2011-10-28T00:00:00"/>
    <x v="4"/>
    <x v="9"/>
    <n v="55.456299999999999"/>
    <n v="55.833500000000001"/>
    <n v="54.4"/>
    <n v="55.154499999999999"/>
    <n v="93382"/>
    <n v="1.6552"/>
    <n v="2.6352000000000002"/>
  </r>
  <r>
    <n v="2303"/>
    <x v="0"/>
    <d v="2011-10-31T00:00:00"/>
    <x v="0"/>
    <x v="9"/>
    <n v="9.7362000000000002"/>
    <n v="9.8468999999999998"/>
    <n v="9.6624999999999996"/>
    <n v="9.8468999999999998"/>
    <n v="39010"/>
    <n v="1.1299999999999999"/>
    <n v="1.9084000000000001"/>
  </r>
  <r>
    <n v="2330"/>
    <x v="1"/>
    <d v="2011-10-31T00:00:00"/>
    <x v="0"/>
    <x v="9"/>
    <n v="55.456299999999999"/>
    <n v="55.682600000000001"/>
    <n v="55.154499999999999"/>
    <n v="55.531700000000001"/>
    <n v="46791"/>
    <n v="0.68169999999999997"/>
    <n v="0.95760000000000001"/>
  </r>
  <r>
    <n v="2303"/>
    <x v="0"/>
    <d v="2011-11-01T00:00:00"/>
    <x v="1"/>
    <x v="10"/>
    <n v="9.81"/>
    <n v="9.81"/>
    <n v="9.6256000000000004"/>
    <n v="9.6994000000000007"/>
    <n v="40403"/>
    <n v="-1.5095000000000001"/>
    <n v="1.9157"/>
  </r>
  <r>
    <n v="2330"/>
    <x v="1"/>
    <d v="2011-11-01T00:00:00"/>
    <x v="1"/>
    <x v="10"/>
    <n v="55.456299999999999"/>
    <n v="55.833500000000001"/>
    <n v="55.079000000000001"/>
    <n v="55.682600000000001"/>
    <n v="37363"/>
    <n v="0.27139999999999997"/>
    <n v="1.3698999999999999"/>
  </r>
  <r>
    <n v="2303"/>
    <x v="0"/>
    <d v="2011-11-02T00:00:00"/>
    <x v="2"/>
    <x v="10"/>
    <n v="9.5150000000000006"/>
    <n v="9.6256000000000004"/>
    <n v="9.3673999999999999"/>
    <n v="9.5886999999999993"/>
    <n v="34110"/>
    <n v="-1.1472"/>
    <n v="2.7559"/>
  </r>
  <r>
    <n v="2330"/>
    <x v="1"/>
    <d v="2011-11-02T00:00:00"/>
    <x v="2"/>
    <x v="10"/>
    <n v="55.154499999999999"/>
    <n v="55.758099999999999"/>
    <n v="54.626300000000001"/>
    <n v="55.758099999999999"/>
    <n v="34693"/>
    <n v="0.13539999999999999"/>
    <n v="2.0718000000000001"/>
  </r>
  <r>
    <n v="2303"/>
    <x v="0"/>
    <d v="2011-11-03T00:00:00"/>
    <x v="3"/>
    <x v="10"/>
    <n v="9.5886999999999993"/>
    <n v="9.5886999999999993"/>
    <n v="9.2568000000000001"/>
    <n v="9.4042999999999992"/>
    <n v="28938"/>
    <n v="-1.9418"/>
    <n v="3.5857000000000001"/>
  </r>
  <r>
    <n v="2330"/>
    <x v="1"/>
    <d v="2011-11-03T00:00:00"/>
    <x v="3"/>
    <x v="10"/>
    <n v="55.984400000000001"/>
    <n v="55.984400000000001"/>
    <n v="54.550899999999999"/>
    <n v="55.456299999999999"/>
    <n v="43447"/>
    <n v="-0.54269999999999996"/>
    <n v="2.6278999999999999"/>
  </r>
  <r>
    <n v="2303"/>
    <x v="0"/>
    <d v="2011-11-04T00:00:00"/>
    <x v="4"/>
    <x v="10"/>
    <n v="9.5886999999999993"/>
    <n v="9.7362000000000002"/>
    <n v="9.5518000000000001"/>
    <n v="9.6256000000000004"/>
    <n v="29174"/>
    <n v="2.3256999999999999"/>
    <n v="1.9305000000000001"/>
  </r>
  <r>
    <n v="2330"/>
    <x v="1"/>
    <d v="2011-11-04T00:00:00"/>
    <x v="4"/>
    <x v="10"/>
    <n v="56.210799999999999"/>
    <n v="56.512599999999999"/>
    <n v="55.758099999999999"/>
    <n v="56.286200000000001"/>
    <n v="57309"/>
    <n v="1.4855"/>
    <n v="1.3532"/>
  </r>
  <r>
    <n v="2303"/>
    <x v="0"/>
    <d v="2011-11-07T00:00:00"/>
    <x v="0"/>
    <x v="10"/>
    <n v="9.6256000000000004"/>
    <n v="9.6994000000000007"/>
    <n v="9.4780999999999995"/>
    <n v="9.5518000000000001"/>
    <n v="10464"/>
    <n v="-0.76919999999999999"/>
    <n v="2.3346"/>
  </r>
  <r>
    <n v="2330"/>
    <x v="1"/>
    <d v="2011-11-07T00:00:00"/>
    <x v="0"/>
    <x v="10"/>
    <n v="56.588000000000001"/>
    <n v="56.738900000000001"/>
    <n v="56.059899999999999"/>
    <n v="56.588000000000001"/>
    <n v="29685"/>
    <n v="0.53480000000000005"/>
    <n v="1.2113"/>
  </r>
  <r>
    <n v="2303"/>
    <x v="0"/>
    <d v="2011-11-08T00:00:00"/>
    <x v="1"/>
    <x v="10"/>
    <n v="9.5518000000000001"/>
    <n v="9.6624999999999996"/>
    <n v="9.4780999999999995"/>
    <n v="9.5886999999999993"/>
    <n v="12827"/>
    <n v="0.38540000000000002"/>
    <n v="1.9455"/>
  </r>
  <r>
    <n v="2330"/>
    <x v="1"/>
    <d v="2011-11-08T00:00:00"/>
    <x v="1"/>
    <x v="10"/>
    <n v="56.588000000000001"/>
    <n v="56.588000000000001"/>
    <n v="55.833500000000001"/>
    <n v="56.210799999999999"/>
    <n v="21482"/>
    <n v="-0.66890000000000005"/>
    <n v="1.3513999999999999"/>
  </r>
  <r>
    <n v="2303"/>
    <x v="0"/>
    <d v="2011-11-09T00:00:00"/>
    <x v="2"/>
    <x v="10"/>
    <n v="9.7362000000000002"/>
    <n v="9.7362000000000002"/>
    <n v="9.6256000000000004"/>
    <n v="9.6256000000000004"/>
    <n v="15461"/>
    <n v="0.38390000000000002"/>
    <n v="1.1494"/>
  </r>
  <r>
    <n v="2330"/>
    <x v="1"/>
    <d v="2011-11-09T00:00:00"/>
    <x v="2"/>
    <x v="10"/>
    <n v="56.512599999999999"/>
    <n v="56.512599999999999"/>
    <n v="55.908999999999999"/>
    <n v="55.908999999999999"/>
    <n v="20575"/>
    <n v="-0.53839999999999999"/>
    <n v="1.0795999999999999"/>
  </r>
  <r>
    <n v="2303"/>
    <x v="0"/>
    <d v="2011-11-10T00:00:00"/>
    <x v="3"/>
    <x v="10"/>
    <n v="9.4042999999999992"/>
    <n v="9.4412000000000003"/>
    <n v="9.2199000000000009"/>
    <n v="9.2568000000000001"/>
    <n v="37232"/>
    <n v="-3.9066999999999998"/>
    <n v="2.4"/>
  </r>
  <r>
    <n v="2330"/>
    <x v="1"/>
    <d v="2011-11-10T00:00:00"/>
    <x v="3"/>
    <x v="10"/>
    <n v="54.701799999999999"/>
    <n v="55.380800000000001"/>
    <n v="54.701799999999999"/>
    <n v="54.777200000000001"/>
    <n v="49448"/>
    <n v="-2.0451000000000001"/>
    <n v="1.2414000000000001"/>
  </r>
  <r>
    <n v="2303"/>
    <x v="0"/>
    <d v="2011-11-11T00:00:00"/>
    <x v="4"/>
    <x v="10"/>
    <n v="9.3306000000000004"/>
    <n v="9.4412000000000003"/>
    <n v="9.2199000000000009"/>
    <n v="9.4412000000000003"/>
    <n v="14398"/>
    <n v="1.9724999999999999"/>
    <n v="2.4"/>
  </r>
  <r>
    <n v="2330"/>
    <x v="1"/>
    <d v="2011-11-11T00:00:00"/>
    <x v="4"/>
    <x v="10"/>
    <n v="55.456299999999999"/>
    <n v="55.531700000000001"/>
    <n v="54.777200000000001"/>
    <n v="55.380800000000001"/>
    <n v="27527"/>
    <n v="1.0959000000000001"/>
    <n v="1.3774"/>
  </r>
  <r>
    <n v="2303"/>
    <x v="0"/>
    <d v="2011-11-14T00:00:00"/>
    <x v="0"/>
    <x v="10"/>
    <n v="9.5886999999999993"/>
    <n v="9.6994000000000007"/>
    <n v="9.5886999999999993"/>
    <n v="9.6994000000000007"/>
    <n v="27785"/>
    <n v="2.6977000000000002"/>
    <n v="1.1537999999999999"/>
  </r>
  <r>
    <n v="2330"/>
    <x v="1"/>
    <d v="2011-11-14T00:00:00"/>
    <x v="0"/>
    <x v="10"/>
    <n v="56.512599999999999"/>
    <n v="57.342500000000001"/>
    <n v="56.286200000000001"/>
    <n v="57.267099999999999"/>
    <n v="63725"/>
    <n v="3.3492999999999999"/>
    <n v="1.8767"/>
  </r>
  <r>
    <n v="2303"/>
    <x v="0"/>
    <d v="2011-11-15T00:00:00"/>
    <x v="1"/>
    <x v="10"/>
    <n v="9.6256000000000004"/>
    <n v="9.6624999999999996"/>
    <n v="9.5150000000000006"/>
    <n v="9.6256000000000004"/>
    <n v="12665"/>
    <n v="-0.76339999999999997"/>
    <n v="1.5504"/>
  </r>
  <r>
    <n v="2330"/>
    <x v="1"/>
    <d v="2011-11-15T00:00:00"/>
    <x v="1"/>
    <x v="10"/>
    <n v="56.965299999999999"/>
    <n v="57.342500000000001"/>
    <n v="56.588000000000001"/>
    <n v="57.342500000000001"/>
    <n v="37165"/>
    <n v="0.13170000000000001"/>
    <n v="1.3332999999999999"/>
  </r>
  <r>
    <n v="2303"/>
    <x v="0"/>
    <d v="2011-11-16T00:00:00"/>
    <x v="2"/>
    <x v="10"/>
    <n v="9.6624999999999996"/>
    <n v="9.6994000000000007"/>
    <n v="9.5150000000000006"/>
    <n v="9.5886999999999993"/>
    <n v="18286"/>
    <n v="-0.38390000000000002"/>
    <n v="1.9379999999999999"/>
  </r>
  <r>
    <n v="2330"/>
    <x v="1"/>
    <d v="2011-11-16T00:00:00"/>
    <x v="2"/>
    <x v="10"/>
    <n v="57.342500000000001"/>
    <n v="57.342500000000001"/>
    <n v="56.512599999999999"/>
    <n v="56.889800000000001"/>
    <n v="39988"/>
    <n v="-0.79259999999999997"/>
    <n v="1.4685999999999999"/>
  </r>
  <r>
    <n v="2303"/>
    <x v="0"/>
    <d v="2011-11-17T00:00:00"/>
    <x v="3"/>
    <x v="10"/>
    <n v="9.5150000000000006"/>
    <n v="9.5886999999999993"/>
    <n v="9.4780999999999995"/>
    <n v="9.4780999999999995"/>
    <n v="12829"/>
    <n v="-1.1606000000000001"/>
    <n v="1.1673"/>
  </r>
  <r>
    <n v="2330"/>
    <x v="1"/>
    <d v="2011-11-17T00:00:00"/>
    <x v="3"/>
    <x v="10"/>
    <n v="56.738900000000001"/>
    <n v="57.342500000000001"/>
    <n v="56.437100000000001"/>
    <n v="57.116199999999999"/>
    <n v="34944"/>
    <n v="0.39710000000000001"/>
    <n v="1.6043000000000001"/>
  </r>
  <r>
    <n v="2303"/>
    <x v="0"/>
    <d v="2011-11-18T00:00:00"/>
    <x v="4"/>
    <x v="10"/>
    <n v="9.4042999999999992"/>
    <n v="9.4042999999999992"/>
    <n v="9.2199000000000009"/>
    <n v="9.2936999999999994"/>
    <n v="23335"/>
    <n v="-1.9646999999999999"/>
    <n v="2"/>
  </r>
  <r>
    <n v="2330"/>
    <x v="1"/>
    <d v="2011-11-18T00:00:00"/>
    <x v="4"/>
    <x v="10"/>
    <n v="56.588000000000001"/>
    <n v="56.738900000000001"/>
    <n v="55.607199999999999"/>
    <n v="55.984400000000001"/>
    <n v="56459"/>
    <n v="-2.0013999999999998"/>
    <n v="2.0352999999999999"/>
  </r>
  <r>
    <n v="2303"/>
    <x v="0"/>
    <d v="2011-11-21T00:00:00"/>
    <x v="0"/>
    <x v="10"/>
    <n v="9.2199000000000009"/>
    <n v="9.2568000000000001"/>
    <n v="9.0724"/>
    <n v="9.1092999999999993"/>
    <n v="18613"/>
    <n v="-2.0041000000000002"/>
    <n v="2.0325000000000002"/>
  </r>
  <r>
    <n v="2330"/>
    <x v="1"/>
    <d v="2011-11-21T00:00:00"/>
    <x v="0"/>
    <x v="10"/>
    <n v="55.229900000000001"/>
    <n v="55.758099999999999"/>
    <n v="55.079000000000001"/>
    <n v="55.305399999999999"/>
    <n v="23406"/>
    <n v="-1.2203999999999999"/>
    <n v="1.2329000000000001"/>
  </r>
  <r>
    <n v="2303"/>
    <x v="0"/>
    <d v="2011-11-22T00:00:00"/>
    <x v="1"/>
    <x v="10"/>
    <n v="9.1092999999999993"/>
    <n v="9.3673999999999999"/>
    <n v="9.0355000000000008"/>
    <n v="9.2568000000000001"/>
    <n v="30615"/>
    <n v="1.6065"/>
    <n v="3.6735000000000002"/>
  </r>
  <r>
    <n v="2330"/>
    <x v="1"/>
    <d v="2011-11-22T00:00:00"/>
    <x v="1"/>
    <x v="10"/>
    <n v="56.738900000000001"/>
    <n v="56.738900000000001"/>
    <n v="55.682600000000001"/>
    <n v="55.833500000000001"/>
    <n v="47492"/>
    <n v="0.95040000000000002"/>
    <n v="1.897"/>
  </r>
  <r>
    <n v="2303"/>
    <x v="0"/>
    <d v="2011-11-23T00:00:00"/>
    <x v="2"/>
    <x v="10"/>
    <n v="9.1092999999999993"/>
    <n v="9.2199000000000009"/>
    <n v="8.8141999999999996"/>
    <n v="8.8141999999999996"/>
    <n v="41517"/>
    <n v="-4.8989000000000003"/>
    <n v="4.6025"/>
  </r>
  <r>
    <n v="2330"/>
    <x v="1"/>
    <d v="2011-11-23T00:00:00"/>
    <x v="2"/>
    <x v="10"/>
    <n v="55.833500000000001"/>
    <n v="56.210799999999999"/>
    <n v="55.154499999999999"/>
    <n v="55.380800000000001"/>
    <n v="43984"/>
    <n v="-0.81410000000000005"/>
    <n v="1.9152"/>
  </r>
  <r>
    <n v="2303"/>
    <x v="0"/>
    <d v="2011-11-24T00:00:00"/>
    <x v="3"/>
    <x v="10"/>
    <n v="8.7035999999999998"/>
    <n v="8.8511000000000006"/>
    <n v="8.5561000000000007"/>
    <n v="8.7774000000000001"/>
    <n v="21864"/>
    <n v="-0.41930000000000001"/>
    <n v="3.4483000000000001"/>
  </r>
  <r>
    <n v="2330"/>
    <x v="1"/>
    <d v="2011-11-24T00:00:00"/>
    <x v="3"/>
    <x v="10"/>
    <n v="55.003599999999999"/>
    <n v="55.229900000000001"/>
    <n v="54.777200000000001"/>
    <n v="54.928100000000001"/>
    <n v="47608"/>
    <n v="-0.82079999999999997"/>
    <n v="0.82640000000000002"/>
  </r>
  <r>
    <n v="2303"/>
    <x v="0"/>
    <d v="2011-11-25T00:00:00"/>
    <x v="4"/>
    <x v="10"/>
    <n v="8.9618000000000002"/>
    <n v="9.3673999999999999"/>
    <n v="8.9618000000000002"/>
    <n v="8.9618000000000002"/>
    <n v="45221"/>
    <n v="2.0790999999999999"/>
    <n v="4.5266999999999999"/>
  </r>
  <r>
    <n v="2330"/>
    <x v="1"/>
    <d v="2011-11-25T00:00:00"/>
    <x v="4"/>
    <x v="10"/>
    <n v="55.079000000000001"/>
    <n v="55.305399999999999"/>
    <n v="53.796300000000002"/>
    <n v="54.0227"/>
    <n v="38314"/>
    <n v="-1.6620999999999999"/>
    <n v="2.8050000000000002"/>
  </r>
  <r>
    <n v="2303"/>
    <x v="0"/>
    <d v="2011-11-28T00:00:00"/>
    <x v="0"/>
    <x v="10"/>
    <n v="9.0724"/>
    <n v="9.2568000000000001"/>
    <n v="8.9985999999999997"/>
    <n v="9.2568000000000001"/>
    <n v="25861"/>
    <n v="3.2391000000000001"/>
    <n v="2.8689"/>
  </r>
  <r>
    <n v="2330"/>
    <x v="1"/>
    <d v="2011-11-28T00:00:00"/>
    <x v="0"/>
    <x v="10"/>
    <n v="54.0227"/>
    <n v="56.135300000000001"/>
    <n v="54.0227"/>
    <n v="55.531700000000001"/>
    <n v="34957"/>
    <n v="2.7549999999999999"/>
    <n v="3.9106000000000001"/>
  </r>
  <r>
    <n v="2303"/>
    <x v="0"/>
    <d v="2011-11-29T00:00:00"/>
    <x v="1"/>
    <x v="10"/>
    <n v="9.3306000000000004"/>
    <n v="9.4412000000000003"/>
    <n v="9.1462000000000003"/>
    <n v="9.2936999999999994"/>
    <n v="50355"/>
    <n v="0.39760000000000001"/>
    <n v="3.2258"/>
  </r>
  <r>
    <n v="2330"/>
    <x v="1"/>
    <d v="2011-11-29T00:00:00"/>
    <x v="1"/>
    <x v="10"/>
    <n v="55.682600000000001"/>
    <n v="55.984400000000001"/>
    <n v="55.003599999999999"/>
    <n v="55.531700000000001"/>
    <n v="42724"/>
    <n v="0"/>
    <n v="1.7833000000000001"/>
  </r>
  <r>
    <n v="2303"/>
    <x v="0"/>
    <d v="2011-11-30T00:00:00"/>
    <x v="2"/>
    <x v="10"/>
    <n v="9.4780999999999995"/>
    <n v="9.5886999999999993"/>
    <n v="9.3306000000000004"/>
    <n v="9.5886999999999993"/>
    <n v="50203"/>
    <n v="3.1253000000000002"/>
    <n v="2.7667999999999999"/>
  </r>
  <r>
    <n v="2330"/>
    <x v="1"/>
    <d v="2011-11-30T00:00:00"/>
    <x v="2"/>
    <x v="10"/>
    <n v="55.833500000000001"/>
    <n v="56.286200000000001"/>
    <n v="55.079000000000001"/>
    <n v="56.286200000000001"/>
    <n v="51449"/>
    <n v="1.3494999999999999"/>
    <n v="2.1918000000000002"/>
  </r>
  <r>
    <n v="2303"/>
    <x v="0"/>
    <d v="2011-12-01T00:00:00"/>
    <x v="3"/>
    <x v="11"/>
    <n v="9.9574999999999996"/>
    <n v="10.0313"/>
    <n v="9.7730999999999995"/>
    <n v="9.7730999999999995"/>
    <n v="53346"/>
    <n v="1.9048"/>
    <n v="2.6415000000000002"/>
  </r>
  <r>
    <n v="2330"/>
    <x v="1"/>
    <d v="2011-12-01T00:00:00"/>
    <x v="3"/>
    <x v="11"/>
    <n v="56.965299999999999"/>
    <n v="57.795200000000001"/>
    <n v="56.965299999999999"/>
    <n v="57.795200000000001"/>
    <n v="78593"/>
    <n v="2.6457000000000002"/>
    <n v="1.4570000000000001"/>
  </r>
  <r>
    <n v="2303"/>
    <x v="0"/>
    <d v="2011-12-02T00:00:00"/>
    <x v="4"/>
    <x v="11"/>
    <n v="9.7730999999999995"/>
    <n v="9.8468999999999998"/>
    <n v="9.6624999999999996"/>
    <n v="9.6994000000000007"/>
    <n v="14532"/>
    <n v="-0.75760000000000005"/>
    <n v="1.9084000000000001"/>
  </r>
  <r>
    <n v="2330"/>
    <x v="1"/>
    <d v="2011-12-02T00:00:00"/>
    <x v="4"/>
    <x v="11"/>
    <n v="57.795200000000001"/>
    <n v="57.946100000000001"/>
    <n v="56.889800000000001"/>
    <n v="57.342500000000001"/>
    <n v="35343"/>
    <n v="-0.78639999999999999"/>
    <n v="1.8568"/>
  </r>
  <r>
    <n v="2303"/>
    <x v="0"/>
    <d v="2011-12-05T00:00:00"/>
    <x v="0"/>
    <x v="11"/>
    <n v="9.6994000000000007"/>
    <n v="9.7362000000000002"/>
    <n v="9.5518000000000001"/>
    <n v="9.5518000000000001"/>
    <n v="22239"/>
    <n v="-1.5326"/>
    <n v="1.9305000000000001"/>
  </r>
  <r>
    <n v="2330"/>
    <x v="1"/>
    <d v="2011-12-05T00:00:00"/>
    <x v="0"/>
    <x v="11"/>
    <n v="57.342500000000001"/>
    <n v="57.568899999999999"/>
    <n v="56.889800000000001"/>
    <n v="57.568899999999999"/>
    <n v="30150"/>
    <n v="0.39400000000000002"/>
    <n v="1.1936"/>
  </r>
  <r>
    <n v="2303"/>
    <x v="0"/>
    <d v="2011-12-06T00:00:00"/>
    <x v="1"/>
    <x v="11"/>
    <n v="9.5886999999999993"/>
    <n v="9.6256000000000004"/>
    <n v="9.4042999999999992"/>
    <n v="9.4042999999999992"/>
    <n v="16680"/>
    <n v="-1.5565"/>
    <n v="2.3529"/>
  </r>
  <r>
    <n v="2330"/>
    <x v="1"/>
    <d v="2011-12-06T00:00:00"/>
    <x v="1"/>
    <x v="11"/>
    <n v="57.568899999999999"/>
    <n v="57.568899999999999"/>
    <n v="56.814399999999999"/>
    <n v="56.889800000000001"/>
    <n v="43140"/>
    <n v="-1.1866000000000001"/>
    <n v="1.3280000000000001"/>
  </r>
  <r>
    <n v="2303"/>
    <x v="0"/>
    <d v="2011-12-07T00:00:00"/>
    <x v="2"/>
    <x v="11"/>
    <n v="9.5518000000000001"/>
    <n v="9.5886999999999993"/>
    <n v="9.4412000000000003"/>
    <n v="9.4780999999999995"/>
    <n v="26222"/>
    <n v="0.78129999999999999"/>
    <n v="1.5625"/>
  </r>
  <r>
    <n v="2330"/>
    <x v="1"/>
    <d v="2011-12-07T00:00:00"/>
    <x v="2"/>
    <x v="11"/>
    <n v="57.719799999999999"/>
    <n v="57.719799999999999"/>
    <n v="56.889800000000001"/>
    <n v="57.644300000000001"/>
    <n v="40912"/>
    <n v="1.3174999999999999"/>
    <n v="1.4589000000000001"/>
  </r>
  <r>
    <n v="2303"/>
    <x v="0"/>
    <d v="2011-12-08T00:00:00"/>
    <x v="3"/>
    <x v="11"/>
    <n v="9.4780999999999995"/>
    <n v="9.5150000000000006"/>
    <n v="9.2568000000000001"/>
    <n v="9.4412000000000003"/>
    <n v="24690"/>
    <n v="-0.38990000000000002"/>
    <n v="2.7888000000000002"/>
  </r>
  <r>
    <n v="2330"/>
    <x v="1"/>
    <d v="2011-12-08T00:00:00"/>
    <x v="3"/>
    <x v="11"/>
    <n v="57.870699999999999"/>
    <n v="57.870699999999999"/>
    <n v="56.814399999999999"/>
    <n v="57.568899999999999"/>
    <n v="31710"/>
    <n v="-0.13100000000000001"/>
    <n v="1.8592"/>
  </r>
  <r>
    <n v="2303"/>
    <x v="0"/>
    <d v="2011-12-09T00:00:00"/>
    <x v="4"/>
    <x v="11"/>
    <n v="9.2936999999999994"/>
    <n v="9.3306000000000004"/>
    <n v="9.1829999999999998"/>
    <n v="9.1829999999999998"/>
    <n v="25608"/>
    <n v="-2.7725"/>
    <n v="1.6064000000000001"/>
  </r>
  <r>
    <n v="2330"/>
    <x v="1"/>
    <d v="2011-12-09T00:00:00"/>
    <x v="4"/>
    <x v="11"/>
    <n v="57.342500000000001"/>
    <n v="57.342500000000001"/>
    <n v="55.456299999999999"/>
    <n v="55.908999999999999"/>
    <n v="42027"/>
    <n v="-2.9257"/>
    <n v="3.4014000000000002"/>
  </r>
  <r>
    <n v="2303"/>
    <x v="0"/>
    <d v="2011-12-12T00:00:00"/>
    <x v="0"/>
    <x v="11"/>
    <n v="9.2568000000000001"/>
    <n v="9.4042999999999992"/>
    <n v="9.1829999999999998"/>
    <n v="9.2568000000000001"/>
    <n v="11938"/>
    <n v="0.8"/>
    <n v="2.4096000000000002"/>
  </r>
  <r>
    <n v="2330"/>
    <x v="1"/>
    <d v="2011-12-12T00:00:00"/>
    <x v="0"/>
    <x v="11"/>
    <n v="56.663499999999999"/>
    <n v="56.738900000000001"/>
    <n v="55.908999999999999"/>
    <n v="56.588000000000001"/>
    <n v="28589"/>
    <n v="1.2073"/>
    <n v="1.4844999999999999"/>
  </r>
  <r>
    <n v="2303"/>
    <x v="0"/>
    <d v="2011-12-13T00:00:00"/>
    <x v="1"/>
    <x v="11"/>
    <n v="9.0724"/>
    <n v="9.1462000000000003"/>
    <n v="8.9985999999999997"/>
    <n v="8.9985999999999997"/>
    <n v="22306"/>
    <n v="-2.8285"/>
    <n v="1.6393"/>
  </r>
  <r>
    <n v="2330"/>
    <x v="1"/>
    <d v="2011-12-13T00:00:00"/>
    <x v="1"/>
    <x v="11"/>
    <n v="55.607199999999999"/>
    <n v="56.738900000000001"/>
    <n v="55.607199999999999"/>
    <n v="56.738900000000001"/>
    <n v="31354"/>
    <n v="0.26629999999999998"/>
    <n v="2.0352999999999999"/>
  </r>
  <r>
    <n v="2303"/>
    <x v="0"/>
    <d v="2011-12-14T00:00:00"/>
    <x v="2"/>
    <x v="11"/>
    <n v="8.9985999999999997"/>
    <n v="9.0355000000000008"/>
    <n v="8.8511000000000006"/>
    <n v="8.8879999999999999"/>
    <n v="23391"/>
    <n v="-1.2371000000000001"/>
    <n v="2.0832999999999999"/>
  </r>
  <r>
    <n v="2330"/>
    <x v="1"/>
    <d v="2011-12-14T00:00:00"/>
    <x v="2"/>
    <x v="11"/>
    <n v="56.663499999999999"/>
    <n v="56.663499999999999"/>
    <n v="55.758099999999999"/>
    <n v="56.210799999999999"/>
    <n v="29240"/>
    <n v="-0.93520000000000003"/>
    <n v="1.6237999999999999"/>
  </r>
  <r>
    <n v="2303"/>
    <x v="0"/>
    <d v="2011-12-15T00:00:00"/>
    <x v="3"/>
    <x v="11"/>
    <n v="8.8141999999999996"/>
    <n v="8.8141999999999996"/>
    <n v="8.6667000000000005"/>
    <n v="8.6667000000000005"/>
    <n v="34210"/>
    <n v="-2.5211000000000001"/>
    <n v="1.7020999999999999"/>
  </r>
  <r>
    <n v="2330"/>
    <x v="1"/>
    <d v="2011-12-15T00:00:00"/>
    <x v="3"/>
    <x v="11"/>
    <n v="55.908999999999999"/>
    <n v="55.908999999999999"/>
    <n v="54.701799999999999"/>
    <n v="54.701799999999999"/>
    <n v="36001"/>
    <n v="-2.7212999999999998"/>
    <n v="2.2069000000000001"/>
  </r>
  <r>
    <n v="2303"/>
    <x v="0"/>
    <d v="2011-12-16T00:00:00"/>
    <x v="4"/>
    <x v="11"/>
    <n v="8.6667000000000005"/>
    <n v="9.0355000000000008"/>
    <n v="8.6667000000000005"/>
    <n v="9.0355000000000008"/>
    <n v="24286"/>
    <n v="4.1673"/>
    <n v="4.2553000000000001"/>
  </r>
  <r>
    <n v="2330"/>
    <x v="1"/>
    <d v="2011-12-16T00:00:00"/>
    <x v="4"/>
    <x v="11"/>
    <n v="54.928100000000001"/>
    <n v="55.380800000000001"/>
    <n v="54.701799999999999"/>
    <n v="54.852699999999999"/>
    <n v="22604"/>
    <n v="0.27550000000000002"/>
    <n v="1.2414000000000001"/>
  </r>
  <r>
    <n v="2303"/>
    <x v="0"/>
    <d v="2011-12-19T00:00:00"/>
    <x v="0"/>
    <x v="11"/>
    <n v="9.0724"/>
    <n v="9.1462000000000003"/>
    <n v="8.7774000000000001"/>
    <n v="8.9618000000000002"/>
    <n v="29760"/>
    <n v="-0.81969999999999998"/>
    <n v="4.2016999999999998"/>
  </r>
  <r>
    <n v="2330"/>
    <x v="1"/>
    <d v="2011-12-19T00:00:00"/>
    <x v="0"/>
    <x v="11"/>
    <n v="55.456299999999999"/>
    <n v="55.456299999999999"/>
    <n v="54.3245"/>
    <n v="54.701799999999999"/>
    <n v="24542"/>
    <n v="-0.27550000000000002"/>
    <n v="2.0832999999999999"/>
  </r>
  <r>
    <n v="2303"/>
    <x v="0"/>
    <d v="2011-12-20T00:00:00"/>
    <x v="1"/>
    <x v="11"/>
    <n v="8.9618000000000002"/>
    <n v="8.9618000000000002"/>
    <n v="8.6297999999999995"/>
    <n v="8.6667000000000005"/>
    <n v="37777"/>
    <n v="-3.3475999999999999"/>
    <n v="3.8462000000000001"/>
  </r>
  <r>
    <n v="2330"/>
    <x v="1"/>
    <d v="2011-12-20T00:00:00"/>
    <x v="1"/>
    <x v="11"/>
    <n v="55.003599999999999"/>
    <n v="55.003599999999999"/>
    <n v="54.3245"/>
    <n v="54.928100000000001"/>
    <n v="27359"/>
    <n v="0.41289999999999999"/>
    <n v="1.25"/>
  </r>
  <r>
    <n v="2303"/>
    <x v="0"/>
    <d v="2011-12-21T00:00:00"/>
    <x v="2"/>
    <x v="11"/>
    <n v="8.9985999999999997"/>
    <n v="9.1829999999999998"/>
    <n v="8.9248999999999992"/>
    <n v="9.1829999999999998"/>
    <n v="30424"/>
    <n v="5.7866999999999997"/>
    <n v="2.8925999999999998"/>
  </r>
  <r>
    <n v="2330"/>
    <x v="1"/>
    <d v="2011-12-21T00:00:00"/>
    <x v="2"/>
    <x v="11"/>
    <n v="56.512599999999999"/>
    <n v="57.342500000000001"/>
    <n v="55.908999999999999"/>
    <n v="57.342500000000001"/>
    <n v="54091"/>
    <n v="4.3017000000000003"/>
    <n v="2.5640999999999998"/>
  </r>
  <r>
    <n v="2303"/>
    <x v="0"/>
    <d v="2011-12-22T00:00:00"/>
    <x v="3"/>
    <x v="11"/>
    <n v="9.1092999999999993"/>
    <n v="9.2199000000000009"/>
    <n v="9.0355000000000008"/>
    <n v="9.1092999999999993"/>
    <n v="15370"/>
    <n v="-0.80649999999999999"/>
    <n v="2.0407999999999999"/>
  </r>
  <r>
    <n v="2330"/>
    <x v="1"/>
    <d v="2011-12-22T00:00:00"/>
    <x v="3"/>
    <x v="11"/>
    <n v="56.814399999999999"/>
    <n v="56.965299999999999"/>
    <n v="56.135300000000001"/>
    <n v="56.588000000000001"/>
    <n v="26771"/>
    <n v="-1.3245"/>
    <n v="1.4784999999999999"/>
  </r>
  <r>
    <n v="2303"/>
    <x v="0"/>
    <d v="2011-12-23T00:00:00"/>
    <x v="4"/>
    <x v="11"/>
    <n v="9.2199000000000009"/>
    <n v="9.3673999999999999"/>
    <n v="9.1829999999999998"/>
    <n v="9.3673999999999999"/>
    <n v="17075"/>
    <n v="2.7946"/>
    <n v="2.008"/>
  </r>
  <r>
    <n v="2330"/>
    <x v="1"/>
    <d v="2011-12-23T00:00:00"/>
    <x v="4"/>
    <x v="11"/>
    <n v="57.191600000000001"/>
    <n v="57.191600000000001"/>
    <n v="56.286200000000001"/>
    <n v="56.889800000000001"/>
    <n v="30276"/>
    <n v="0.53190000000000004"/>
    <n v="1.6086"/>
  </r>
  <r>
    <n v="2303"/>
    <x v="0"/>
    <d v="2011-12-26T00:00:00"/>
    <x v="0"/>
    <x v="11"/>
    <n v="9.3673999999999999"/>
    <n v="9.4412000000000003"/>
    <n v="9.2199000000000009"/>
    <n v="9.2199000000000009"/>
    <n v="17182"/>
    <n v="-1.5872999999999999"/>
    <n v="2.4"/>
  </r>
  <r>
    <n v="2330"/>
    <x v="1"/>
    <d v="2011-12-26T00:00:00"/>
    <x v="0"/>
    <x v="11"/>
    <n v="56.889800000000001"/>
    <n v="56.965299999999999"/>
    <n v="56.361699999999999"/>
    <n v="56.588000000000001"/>
    <n v="11335"/>
    <n v="-0.53190000000000004"/>
    <n v="1.071"/>
  </r>
  <r>
    <n v="2303"/>
    <x v="0"/>
    <d v="2011-12-27T00:00:00"/>
    <x v="1"/>
    <x v="11"/>
    <n v="9.2199000000000009"/>
    <n v="9.3306000000000004"/>
    <n v="9.2199000000000009"/>
    <n v="9.2936999999999994"/>
    <n v="11106"/>
    <n v="0.79679999999999995"/>
    <n v="1.2"/>
  </r>
  <r>
    <n v="2330"/>
    <x v="1"/>
    <d v="2011-12-27T00:00:00"/>
    <x v="1"/>
    <x v="11"/>
    <n v="56.437100000000001"/>
    <n v="56.965299999999999"/>
    <n v="56.361699999999999"/>
    <n v="56.965299999999999"/>
    <n v="14641"/>
    <n v="0.66449999999999998"/>
    <n v="1.071"/>
  </r>
  <r>
    <n v="2303"/>
    <x v="0"/>
    <d v="2011-12-28T00:00:00"/>
    <x v="2"/>
    <x v="11"/>
    <n v="9.2936999999999994"/>
    <n v="9.3306000000000004"/>
    <n v="9.1829999999999998"/>
    <n v="9.3306000000000004"/>
    <n v="18368"/>
    <n v="0.39600000000000002"/>
    <n v="1.6064000000000001"/>
  </r>
  <r>
    <n v="2330"/>
    <x v="1"/>
    <d v="2011-12-28T00:00:00"/>
    <x v="2"/>
    <x v="11"/>
    <n v="56.814399999999999"/>
    <n v="57.116199999999999"/>
    <n v="56.512599999999999"/>
    <n v="57.116199999999999"/>
    <n v="20046"/>
    <n v="0.2646"/>
    <n v="1.0681"/>
  </r>
  <r>
    <n v="2303"/>
    <x v="0"/>
    <d v="2011-12-29T00:00:00"/>
    <x v="3"/>
    <x v="11"/>
    <n v="9.2568000000000001"/>
    <n v="9.4042999999999992"/>
    <n v="9.2199000000000009"/>
    <n v="9.3673999999999999"/>
    <n v="14802"/>
    <n v="0.39450000000000002"/>
    <n v="2"/>
  </r>
  <r>
    <n v="2330"/>
    <x v="1"/>
    <d v="2011-12-29T00:00:00"/>
    <x v="3"/>
    <x v="11"/>
    <n v="56.889800000000001"/>
    <n v="57.267099999999999"/>
    <n v="56.738900000000001"/>
    <n v="57.191600000000001"/>
    <n v="24790"/>
    <n v="0.13200000000000001"/>
    <n v="0.93089999999999995"/>
  </r>
  <r>
    <n v="2303"/>
    <x v="0"/>
    <d v="2011-12-30T00:00:00"/>
    <x v="4"/>
    <x v="11"/>
    <n v="9.4042999999999992"/>
    <n v="9.4780999999999995"/>
    <n v="9.3673999999999999"/>
    <n v="9.3673999999999999"/>
    <n v="13286"/>
    <n v="0"/>
    <n v="1.1811"/>
  </r>
  <r>
    <n v="2330"/>
    <x v="1"/>
    <d v="2011-12-30T00:00:00"/>
    <x v="4"/>
    <x v="11"/>
    <n v="57.116199999999999"/>
    <n v="57.267099999999999"/>
    <n v="56.512599999999999"/>
    <n v="57.191600000000001"/>
    <n v="32283"/>
    <n v="0"/>
    <n v="1.3351"/>
  </r>
  <r>
    <n v="2303"/>
    <x v="0"/>
    <d v="2012-01-02T00:00:00"/>
    <x v="0"/>
    <x v="0"/>
    <n v="9.3673999999999999"/>
    <n v="9.4042999999999992"/>
    <n v="9.2199000000000009"/>
    <n v="9.2936999999999994"/>
    <n v="8472"/>
    <n v="-0.79049999999999998"/>
    <n v="2"/>
  </r>
  <r>
    <n v="2330"/>
    <x v="1"/>
    <d v="2012-01-02T00:00:00"/>
    <x v="0"/>
    <x v="0"/>
    <n v="56.588000000000001"/>
    <n v="56.889800000000001"/>
    <n v="56.361699999999999"/>
    <n v="56.588000000000001"/>
    <n v="14945"/>
    <n v="-1.0609999999999999"/>
    <n v="0.93710000000000004"/>
  </r>
  <r>
    <n v="2303"/>
    <x v="0"/>
    <d v="2012-01-03T00:00:00"/>
    <x v="1"/>
    <x v="0"/>
    <n v="9.4412000000000003"/>
    <n v="9.5518000000000001"/>
    <n v="9.4412000000000003"/>
    <n v="9.4780999999999995"/>
    <n v="20155"/>
    <n v="1.9646999999999999"/>
    <n v="1.1718999999999999"/>
  </r>
  <r>
    <n v="2330"/>
    <x v="1"/>
    <d v="2012-01-03T00:00:00"/>
    <x v="1"/>
    <x v="0"/>
    <n v="56.965299999999999"/>
    <n v="57.267099999999999"/>
    <n v="56.738900000000001"/>
    <n v="57.116199999999999"/>
    <n v="21223"/>
    <n v="0.92900000000000005"/>
    <n v="0.93089999999999995"/>
  </r>
  <r>
    <n v="2303"/>
    <x v="0"/>
    <d v="2012-01-04T00:00:00"/>
    <x v="2"/>
    <x v="0"/>
    <n v="9.5518000000000001"/>
    <n v="9.6624999999999996"/>
    <n v="9.5150000000000006"/>
    <n v="9.5886999999999993"/>
    <n v="31879"/>
    <n v="1.1606000000000001"/>
    <n v="1.5504"/>
  </r>
  <r>
    <n v="2330"/>
    <x v="1"/>
    <d v="2012-01-04T00:00:00"/>
    <x v="2"/>
    <x v="0"/>
    <n v="57.417999999999999"/>
    <n v="57.417999999999999"/>
    <n v="56.965299999999999"/>
    <n v="57.191600000000001"/>
    <n v="34126"/>
    <n v="0.13200000000000001"/>
    <n v="0.79469999999999996"/>
  </r>
  <r>
    <n v="2303"/>
    <x v="0"/>
    <d v="2012-01-05T00:00:00"/>
    <x v="3"/>
    <x v="0"/>
    <n v="9.5886999999999993"/>
    <n v="9.6994000000000007"/>
    <n v="9.5518000000000001"/>
    <n v="9.6994000000000007"/>
    <n v="25185"/>
    <n v="1.1472"/>
    <n v="1.5444"/>
  </r>
  <r>
    <n v="2330"/>
    <x v="1"/>
    <d v="2012-01-05T00:00:00"/>
    <x v="3"/>
    <x v="0"/>
    <n v="57.342500000000001"/>
    <n v="57.342500000000001"/>
    <n v="56.814399999999999"/>
    <n v="57.342500000000001"/>
    <n v="28076"/>
    <n v="0.26350000000000001"/>
    <n v="0.92959999999999998"/>
  </r>
  <r>
    <n v="2303"/>
    <x v="0"/>
    <d v="2012-01-06T00:00:00"/>
    <x v="4"/>
    <x v="0"/>
    <n v="9.6624999999999996"/>
    <n v="9.6624999999999996"/>
    <n v="9.5150000000000006"/>
    <n v="9.5886999999999993"/>
    <n v="23950"/>
    <n v="-1.1472"/>
    <n v="1.5504"/>
  </r>
  <r>
    <n v="2330"/>
    <x v="1"/>
    <d v="2012-01-06T00:00:00"/>
    <x v="4"/>
    <x v="0"/>
    <n v="57.267099999999999"/>
    <n v="57.267099999999999"/>
    <n v="56.512599999999999"/>
    <n v="57.040700000000001"/>
    <n v="30123"/>
    <n v="-0.52769999999999995"/>
    <n v="1.3351"/>
  </r>
  <r>
    <n v="2303"/>
    <x v="0"/>
    <d v="2012-01-09T00:00:00"/>
    <x v="0"/>
    <x v="0"/>
    <n v="9.5886999999999993"/>
    <n v="9.5886999999999993"/>
    <n v="9.4412000000000003"/>
    <n v="9.5150000000000006"/>
    <n v="15097"/>
    <n v="-0.7722"/>
    <n v="1.5625"/>
  </r>
  <r>
    <n v="2330"/>
    <x v="1"/>
    <d v="2012-01-09T00:00:00"/>
    <x v="0"/>
    <x v="0"/>
    <n v="56.738900000000001"/>
    <n v="57.040700000000001"/>
    <n v="56.286200000000001"/>
    <n v="57.040700000000001"/>
    <n v="27655"/>
    <n v="0"/>
    <n v="1.3405"/>
  </r>
  <r>
    <n v="2303"/>
    <x v="0"/>
    <d v="2012-01-10T00:00:00"/>
    <x v="1"/>
    <x v="0"/>
    <n v="9.5150000000000006"/>
    <n v="9.8468999999999998"/>
    <n v="9.5150000000000006"/>
    <n v="9.81"/>
    <n v="52906"/>
    <n v="3.0537000000000001"/>
    <n v="3.4883999999999999"/>
  </r>
  <r>
    <n v="2330"/>
    <x v="1"/>
    <d v="2012-01-10T00:00:00"/>
    <x v="1"/>
    <x v="0"/>
    <n v="57.342500000000001"/>
    <n v="57.719799999999999"/>
    <n v="57.191600000000001"/>
    <n v="57.719799999999999"/>
    <n v="62064"/>
    <n v="1.1834"/>
    <n v="0.92349999999999999"/>
  </r>
  <r>
    <n v="2303"/>
    <x v="0"/>
    <d v="2012-01-11T00:00:00"/>
    <x v="2"/>
    <x v="0"/>
    <n v="9.9206000000000003"/>
    <n v="9.9206000000000003"/>
    <n v="9.6994000000000007"/>
    <n v="9.9206000000000003"/>
    <n v="56347"/>
    <n v="1.1214999999999999"/>
    <n v="2.2814000000000001"/>
  </r>
  <r>
    <n v="2330"/>
    <x v="1"/>
    <d v="2012-01-11T00:00:00"/>
    <x v="2"/>
    <x v="0"/>
    <n v="57.946100000000001"/>
    <n v="58.097000000000001"/>
    <n v="57.417999999999999"/>
    <n v="57.719799999999999"/>
    <n v="44295"/>
    <n v="0"/>
    <n v="1.1827000000000001"/>
  </r>
  <r>
    <n v="2303"/>
    <x v="0"/>
    <d v="2012-01-12T00:00:00"/>
    <x v="3"/>
    <x v="0"/>
    <n v="9.9206000000000003"/>
    <n v="10.2157"/>
    <n v="9.9206000000000003"/>
    <n v="10.2157"/>
    <n v="87826"/>
    <n v="2.9306000000000001"/>
    <n v="2.9740000000000002"/>
  </r>
  <r>
    <n v="2330"/>
    <x v="1"/>
    <d v="2012-01-12T00:00:00"/>
    <x v="3"/>
    <x v="0"/>
    <n v="57.870699999999999"/>
    <n v="58.172499999999999"/>
    <n v="57.719799999999999"/>
    <n v="58.097000000000001"/>
    <n v="55520"/>
    <n v="0.65149999999999997"/>
    <n v="0.7843"/>
  </r>
  <r>
    <n v="2303"/>
    <x v="0"/>
    <d v="2012-01-13T00:00:00"/>
    <x v="4"/>
    <x v="0"/>
    <n v="10.289400000000001"/>
    <n v="10.363200000000001"/>
    <n v="10.1419"/>
    <n v="10.2157"/>
    <n v="82159"/>
    <n v="0"/>
    <n v="2.1818"/>
  </r>
  <r>
    <n v="2330"/>
    <x v="1"/>
    <d v="2012-01-13T00:00:00"/>
    <x v="4"/>
    <x v="0"/>
    <n v="58.247900000000001"/>
    <n v="58.851500000000001"/>
    <n v="58.097000000000001"/>
    <n v="58.474299999999999"/>
    <n v="57757"/>
    <n v="0.64729999999999999"/>
    <n v="1.2987"/>
  </r>
  <r>
    <n v="2303"/>
    <x v="0"/>
    <d v="2012-01-16T00:00:00"/>
    <x v="0"/>
    <x v="0"/>
    <n v="10.3263"/>
    <n v="10.3263"/>
    <n v="9.9206000000000003"/>
    <n v="9.9206000000000003"/>
    <n v="41844"/>
    <n v="-2.9306000000000001"/>
    <n v="4.0891999999999999"/>
  </r>
  <r>
    <n v="2330"/>
    <x v="1"/>
    <d v="2012-01-16T00:00:00"/>
    <x v="0"/>
    <x v="0"/>
    <n v="57.417999999999999"/>
    <n v="58.021599999999999"/>
    <n v="56.286200000000001"/>
    <n v="56.814399999999999"/>
    <n v="37711"/>
    <n v="-2.8797999999999999"/>
    <n v="3.0831"/>
  </r>
  <r>
    <n v="2303"/>
    <x v="0"/>
    <d v="2012-01-17T00:00:00"/>
    <x v="1"/>
    <x v="0"/>
    <n v="10.178800000000001"/>
    <n v="10.4001"/>
    <n v="10.105"/>
    <n v="10.4001"/>
    <n v="69083"/>
    <n v="4.7195999999999998"/>
    <n v="2.9197000000000002"/>
  </r>
  <r>
    <n v="2330"/>
    <x v="1"/>
    <d v="2012-01-17T00:00:00"/>
    <x v="1"/>
    <x v="0"/>
    <n v="57.267099999999999"/>
    <n v="57.267099999999999"/>
    <n v="56.512599999999999"/>
    <n v="57.040700000000001"/>
    <n v="43995"/>
    <n v="0.39760000000000001"/>
    <n v="1.3351"/>
  </r>
  <r>
    <n v="2303"/>
    <x v="0"/>
    <d v="2012-01-18T00:00:00"/>
    <x v="2"/>
    <x v="0"/>
    <n v="10.363200000000001"/>
    <n v="10.547599999999999"/>
    <n v="10.289400000000001"/>
    <n v="10.5107"/>
    <n v="60217"/>
    <n v="1.0582"/>
    <n v="2.5089999999999999"/>
  </r>
  <r>
    <n v="2330"/>
    <x v="1"/>
    <d v="2012-01-18T00:00:00"/>
    <x v="2"/>
    <x v="0"/>
    <n v="57.267099999999999"/>
    <n v="57.870699999999999"/>
    <n v="57.040700000000001"/>
    <n v="57.870699999999999"/>
    <n v="57181"/>
    <n v="1.4444999999999999"/>
    <n v="1.4550000000000001"/>
  </r>
  <r>
    <n v="2303"/>
    <x v="0"/>
    <d v="2012-01-30T00:00:00"/>
    <x v="0"/>
    <x v="0"/>
    <n v="10.916399999999999"/>
    <n v="11.211399999999999"/>
    <n v="10.8795"/>
    <n v="11.211399999999999"/>
    <n v="159299"/>
    <n v="6.4539"/>
    <n v="3.0508000000000002"/>
  </r>
  <r>
    <n v="2330"/>
    <x v="1"/>
    <d v="2012-01-30T00:00:00"/>
    <x v="0"/>
    <x v="0"/>
    <n v="58.851500000000001"/>
    <n v="59.9833"/>
    <n v="58.247900000000001"/>
    <n v="59.3797"/>
    <n v="147548"/>
    <n v="2.5741000000000001"/>
    <n v="2.9792999999999998"/>
  </r>
  <r>
    <n v="2303"/>
    <x v="0"/>
    <d v="2012-01-31T00:00:00"/>
    <x v="1"/>
    <x v="0"/>
    <n v="11.2483"/>
    <n v="11.432700000000001"/>
    <n v="11.137700000000001"/>
    <n v="11.432700000000001"/>
    <n v="81877"/>
    <n v="1.9544999999999999"/>
    <n v="2.649"/>
  </r>
  <r>
    <n v="2330"/>
    <x v="1"/>
    <d v="2012-01-31T00:00:00"/>
    <x v="1"/>
    <x v="0"/>
    <n v="58.927"/>
    <n v="59.2288"/>
    <n v="57.568899999999999"/>
    <n v="59.2288"/>
    <n v="87917"/>
    <n v="-0.2545"/>
    <n v="2.8834"/>
  </r>
  <r>
    <n v="2303"/>
    <x v="0"/>
    <d v="2012-02-01T00:00:00"/>
    <x v="2"/>
    <x v="1"/>
    <n v="11.432700000000001"/>
    <n v="11.617100000000001"/>
    <n v="11.2852"/>
    <n v="11.4696"/>
    <n v="87764"/>
    <n v="0.3221"/>
    <n v="2.9411999999999998"/>
  </r>
  <r>
    <n v="2330"/>
    <x v="1"/>
    <d v="2012-02-01T00:00:00"/>
    <x v="2"/>
    <x v="1"/>
    <n v="58.474299999999999"/>
    <n v="58.6252"/>
    <n v="57.870699999999999"/>
    <n v="58.097000000000001"/>
    <n v="47222"/>
    <n v="-1.9293"/>
    <n v="1.3038000000000001"/>
  </r>
  <r>
    <n v="2303"/>
    <x v="0"/>
    <d v="2012-02-02T00:00:00"/>
    <x v="3"/>
    <x v="1"/>
    <n v="11.5802"/>
    <n v="11.5802"/>
    <n v="11.211399999999999"/>
    <n v="11.2852"/>
    <n v="49312"/>
    <n v="-1.6208"/>
    <n v="3.2894999999999999"/>
  </r>
  <r>
    <n v="2330"/>
    <x v="1"/>
    <d v="2012-02-02T00:00:00"/>
    <x v="3"/>
    <x v="1"/>
    <n v="58.474299999999999"/>
    <n v="58.474299999999999"/>
    <n v="57.417999999999999"/>
    <n v="57.946100000000001"/>
    <n v="54065"/>
    <n v="-0.2601"/>
    <n v="1.8396999999999999"/>
  </r>
  <r>
    <n v="2303"/>
    <x v="0"/>
    <d v="2012-02-03T00:00:00"/>
    <x v="4"/>
    <x v="1"/>
    <n v="11.2852"/>
    <n v="11.3589"/>
    <n v="11.1745"/>
    <n v="11.3589"/>
    <n v="33375"/>
    <n v="0.65149999999999997"/>
    <n v="1.6501999999999999"/>
  </r>
  <r>
    <n v="2330"/>
    <x v="1"/>
    <d v="2012-02-03T00:00:00"/>
    <x v="4"/>
    <x v="1"/>
    <n v="57.568899999999999"/>
    <n v="57.644300000000001"/>
    <n v="57.040700000000001"/>
    <n v="57.493400000000001"/>
    <n v="49361"/>
    <n v="-0.7843"/>
    <n v="1.0582"/>
  </r>
  <r>
    <n v="2303"/>
    <x v="0"/>
    <d v="2012-02-04T00:00:00"/>
    <x v="5"/>
    <x v="1"/>
    <n v="11.432700000000001"/>
    <n v="11.506500000000001"/>
    <n v="11.211399999999999"/>
    <n v="11.2852"/>
    <n v="37123"/>
    <n v="-0.65149999999999997"/>
    <n v="2.6316000000000002"/>
  </r>
  <r>
    <n v="2330"/>
    <x v="1"/>
    <d v="2012-02-04T00:00:00"/>
    <x v="5"/>
    <x v="1"/>
    <n v="57.644300000000001"/>
    <n v="57.870699999999999"/>
    <n v="57.342500000000001"/>
    <n v="57.719799999999999"/>
    <n v="22960"/>
    <n v="0.39290000000000003"/>
    <n v="0.92110000000000003"/>
  </r>
  <r>
    <n v="2303"/>
    <x v="0"/>
    <d v="2012-02-06T00:00:00"/>
    <x v="0"/>
    <x v="1"/>
    <n v="11.1745"/>
    <n v="11.3589"/>
    <n v="11.137700000000001"/>
    <n v="11.2852"/>
    <n v="38801"/>
    <n v="0"/>
    <n v="1.9867999999999999"/>
  </r>
  <r>
    <n v="2330"/>
    <x v="1"/>
    <d v="2012-02-06T00:00:00"/>
    <x v="0"/>
    <x v="1"/>
    <n v="58.323399999999999"/>
    <n v="58.474299999999999"/>
    <n v="57.795200000000001"/>
    <n v="58.398800000000001"/>
    <n v="47596"/>
    <n v="1.1696"/>
    <n v="1.1749000000000001"/>
  </r>
  <r>
    <n v="2303"/>
    <x v="0"/>
    <d v="2012-02-07T00:00:00"/>
    <x v="1"/>
    <x v="1"/>
    <n v="11.2852"/>
    <n v="11.395799999999999"/>
    <n v="11.2483"/>
    <n v="11.322100000000001"/>
    <n v="36980"/>
    <n v="0.32629999999999998"/>
    <n v="1.3115000000000001"/>
  </r>
  <r>
    <n v="2330"/>
    <x v="1"/>
    <d v="2012-02-07T00:00:00"/>
    <x v="1"/>
    <x v="1"/>
    <n v="58.474299999999999"/>
    <n v="58.474299999999999"/>
    <n v="57.946100000000001"/>
    <n v="58.398800000000001"/>
    <n v="30008"/>
    <n v="0"/>
    <n v="0.91149999999999998"/>
  </r>
  <r>
    <n v="2303"/>
    <x v="0"/>
    <d v="2012-02-08T00:00:00"/>
    <x v="2"/>
    <x v="1"/>
    <n v="11.432700000000001"/>
    <n v="11.432700000000001"/>
    <n v="11.2483"/>
    <n v="11.3589"/>
    <n v="40971"/>
    <n v="0.32519999999999999"/>
    <n v="1.6393"/>
  </r>
  <r>
    <n v="2330"/>
    <x v="1"/>
    <d v="2012-02-08T00:00:00"/>
    <x v="2"/>
    <x v="1"/>
    <n v="58.474299999999999"/>
    <n v="58.474299999999999"/>
    <n v="58.021599999999999"/>
    <n v="58.474299999999999"/>
    <n v="35600"/>
    <n v="0.12909999999999999"/>
    <n v="0.7802"/>
  </r>
  <r>
    <n v="2303"/>
    <x v="0"/>
    <d v="2012-02-09T00:00:00"/>
    <x v="3"/>
    <x v="1"/>
    <n v="11.2483"/>
    <n v="11.2483"/>
    <n v="10.9533"/>
    <n v="11.137700000000001"/>
    <n v="74256"/>
    <n v="-1.9673"/>
    <n v="2.6936"/>
  </r>
  <r>
    <n v="2330"/>
    <x v="1"/>
    <d v="2012-02-09T00:00:00"/>
    <x v="3"/>
    <x v="1"/>
    <n v="58.097000000000001"/>
    <n v="58.851500000000001"/>
    <n v="57.719799999999999"/>
    <n v="58.851500000000001"/>
    <n v="70988"/>
    <n v="0.6431"/>
    <n v="1.9608000000000001"/>
  </r>
  <r>
    <n v="2303"/>
    <x v="0"/>
    <d v="2012-02-10T00:00:00"/>
    <x v="4"/>
    <x v="1"/>
    <n v="11.1745"/>
    <n v="11.322100000000001"/>
    <n v="11.026999999999999"/>
    <n v="11.0639"/>
    <n v="51484"/>
    <n v="-0.66449999999999998"/>
    <n v="2.6756000000000002"/>
  </r>
  <r>
    <n v="2330"/>
    <x v="1"/>
    <d v="2012-02-10T00:00:00"/>
    <x v="4"/>
    <x v="1"/>
    <n v="58.851500000000001"/>
    <n v="58.851500000000001"/>
    <n v="57.870699999999999"/>
    <n v="58.021599999999999"/>
    <n v="47270"/>
    <n v="-1.4202999999999999"/>
    <n v="1.6949000000000001"/>
  </r>
  <r>
    <n v="2303"/>
    <x v="0"/>
    <d v="2012-02-13T00:00:00"/>
    <x v="0"/>
    <x v="1"/>
    <n v="10.9902"/>
    <n v="11.137700000000001"/>
    <n v="10.9533"/>
    <n v="11.026999999999999"/>
    <n v="35407"/>
    <n v="-0.33389999999999997"/>
    <n v="1.6835"/>
  </r>
  <r>
    <n v="2330"/>
    <x v="1"/>
    <d v="2012-02-13T00:00:00"/>
    <x v="0"/>
    <x v="1"/>
    <n v="57.644300000000001"/>
    <n v="58.172499999999999"/>
    <n v="57.493400000000001"/>
    <n v="57.795200000000001"/>
    <n v="36415"/>
    <n v="-0.39090000000000003"/>
    <n v="1.1811"/>
  </r>
  <r>
    <n v="2303"/>
    <x v="0"/>
    <d v="2012-02-14T00:00:00"/>
    <x v="1"/>
    <x v="1"/>
    <n v="11.137700000000001"/>
    <n v="11.137700000000001"/>
    <n v="10.8795"/>
    <n v="10.8795"/>
    <n v="35172"/>
    <n v="-1.3468"/>
    <n v="2.3729"/>
  </r>
  <r>
    <n v="2330"/>
    <x v="1"/>
    <d v="2012-02-14T00:00:00"/>
    <x v="1"/>
    <x v="1"/>
    <n v="58.172499999999999"/>
    <n v="58.398800000000001"/>
    <n v="57.493400000000001"/>
    <n v="58.323399999999999"/>
    <n v="42110"/>
    <n v="0.90969999999999995"/>
    <n v="1.5748"/>
  </r>
  <r>
    <n v="2303"/>
    <x v="0"/>
    <d v="2012-02-15T00:00:00"/>
    <x v="2"/>
    <x v="1"/>
    <n v="10.9902"/>
    <n v="11.2483"/>
    <n v="10.9533"/>
    <n v="11.2483"/>
    <n v="57983"/>
    <n v="3.3336000000000001"/>
    <n v="2.6936"/>
  </r>
  <r>
    <n v="2330"/>
    <x v="1"/>
    <d v="2012-02-15T00:00:00"/>
    <x v="2"/>
    <x v="1"/>
    <n v="58.549700000000001"/>
    <n v="59.2288"/>
    <n v="58.549700000000001"/>
    <n v="59.2288"/>
    <n v="71500"/>
    <n v="1.5405"/>
    <n v="1.1597999999999999"/>
  </r>
  <r>
    <n v="2303"/>
    <x v="0"/>
    <d v="2012-02-16T00:00:00"/>
    <x v="3"/>
    <x v="1"/>
    <n v="11.2852"/>
    <n v="11.322100000000001"/>
    <n v="11.1008"/>
    <n v="11.137700000000001"/>
    <n v="30848"/>
    <n v="-0.98850000000000005"/>
    <n v="1.9934000000000001"/>
  </r>
  <r>
    <n v="2330"/>
    <x v="1"/>
    <d v="2012-02-16T00:00:00"/>
    <x v="3"/>
    <x v="1"/>
    <n v="59.2288"/>
    <n v="59.5306"/>
    <n v="58.851500000000001"/>
    <n v="59.2288"/>
    <n v="59907"/>
    <n v="0"/>
    <n v="1.1537999999999999"/>
  </r>
  <r>
    <n v="2303"/>
    <x v="0"/>
    <d v="2012-02-17T00:00:00"/>
    <x v="4"/>
    <x v="1"/>
    <n v="11.2483"/>
    <n v="11.322100000000001"/>
    <n v="10.8058"/>
    <n v="11.026999999999999"/>
    <n v="57614"/>
    <n v="-0.99829999999999997"/>
    <n v="4.7782"/>
  </r>
  <r>
    <n v="2330"/>
    <x v="1"/>
    <d v="2012-02-17T00:00:00"/>
    <x v="4"/>
    <x v="1"/>
    <n v="59.9833"/>
    <n v="61.1905"/>
    <n v="59.907899999999998"/>
    <n v="60.360599999999998"/>
    <n v="78979"/>
    <n v="1.8928"/>
    <n v="2.1410999999999998"/>
  </r>
  <r>
    <n v="2303"/>
    <x v="0"/>
    <d v="2012-02-20T00:00:00"/>
    <x v="0"/>
    <x v="1"/>
    <n v="11.211399999999999"/>
    <n v="11.2483"/>
    <n v="10.9533"/>
    <n v="10.9533"/>
    <n v="28705"/>
    <n v="-0.67110000000000003"/>
    <n v="2.6936"/>
  </r>
  <r>
    <n v="2330"/>
    <x v="1"/>
    <d v="2012-02-20T00:00:00"/>
    <x v="0"/>
    <x v="1"/>
    <n v="60.813299999999998"/>
    <n v="60.964199999999998"/>
    <n v="60.1342"/>
    <n v="60.360599999999998"/>
    <n v="31810"/>
    <n v="0"/>
    <n v="1.3802000000000001"/>
  </r>
  <r>
    <n v="2303"/>
    <x v="0"/>
    <d v="2012-02-21T00:00:00"/>
    <x v="1"/>
    <x v="1"/>
    <n v="10.9533"/>
    <n v="11.0639"/>
    <n v="10.916399999999999"/>
    <n v="11.0639"/>
    <n v="38365"/>
    <n v="1.0049999999999999"/>
    <n v="1.3513999999999999"/>
  </r>
  <r>
    <n v="2330"/>
    <x v="1"/>
    <d v="2012-02-21T00:00:00"/>
    <x v="1"/>
    <x v="1"/>
    <n v="60.360599999999998"/>
    <n v="60.360599999999998"/>
    <n v="59.8324"/>
    <n v="60.360599999999998"/>
    <n v="28138"/>
    <n v="0"/>
    <n v="0.88270000000000004"/>
  </r>
  <r>
    <n v="2303"/>
    <x v="0"/>
    <d v="2012-02-22T00:00:00"/>
    <x v="2"/>
    <x v="1"/>
    <n v="11.0639"/>
    <n v="11.1008"/>
    <n v="10.9902"/>
    <n v="11.026999999999999"/>
    <n v="37338"/>
    <n v="-0.33389999999999997"/>
    <n v="1.0066999999999999"/>
  </r>
  <r>
    <n v="2330"/>
    <x v="1"/>
    <d v="2012-02-22T00:00:00"/>
    <x v="2"/>
    <x v="1"/>
    <n v="60.2851"/>
    <n v="60.360599999999998"/>
    <n v="59.606099999999998"/>
    <n v="60.1342"/>
    <n v="41142"/>
    <n v="-0.37569999999999998"/>
    <n v="1.2658"/>
  </r>
  <r>
    <n v="2303"/>
    <x v="0"/>
    <d v="2012-02-23T00:00:00"/>
    <x v="3"/>
    <x v="1"/>
    <n v="11.026999999999999"/>
    <n v="11.0639"/>
    <n v="10.916399999999999"/>
    <n v="10.916399999999999"/>
    <n v="27287"/>
    <n v="-1.0084"/>
    <n v="1.3513999999999999"/>
  </r>
  <r>
    <n v="2330"/>
    <x v="1"/>
    <d v="2012-02-23T00:00:00"/>
    <x v="3"/>
    <x v="1"/>
    <n v="59.606099999999998"/>
    <n v="59.907899999999998"/>
    <n v="58.6252"/>
    <n v="58.927"/>
    <n v="59975"/>
    <n v="-2.028"/>
    <n v="2.1879"/>
  </r>
  <r>
    <n v="2303"/>
    <x v="0"/>
    <d v="2012-02-24T00:00:00"/>
    <x v="4"/>
    <x v="1"/>
    <n v="11.0639"/>
    <n v="11.0639"/>
    <n v="10.9533"/>
    <n v="10.9902"/>
    <n v="28026"/>
    <n v="0.6734"/>
    <n v="1.0101"/>
  </r>
  <r>
    <n v="2330"/>
    <x v="1"/>
    <d v="2012-02-24T00:00:00"/>
    <x v="4"/>
    <x v="1"/>
    <n v="58.474299999999999"/>
    <n v="59.6815"/>
    <n v="58.247900000000001"/>
    <n v="59.6815"/>
    <n v="41026"/>
    <n v="1.2723"/>
    <n v="2.4611000000000001"/>
  </r>
  <r>
    <n v="2303"/>
    <x v="0"/>
    <d v="2012-02-29T00:00:00"/>
    <x v="2"/>
    <x v="1"/>
    <n v="11.137700000000001"/>
    <n v="11.432700000000001"/>
    <n v="11.137700000000001"/>
    <n v="11.432700000000001"/>
    <n v="102841"/>
    <n v="3.9479000000000002"/>
    <n v="2.649"/>
  </r>
  <r>
    <n v="2330"/>
    <x v="1"/>
    <d v="2012-02-29T00:00:00"/>
    <x v="2"/>
    <x v="1"/>
    <n v="60.511499999999998"/>
    <n v="61.1905"/>
    <n v="59.907899999999998"/>
    <n v="61.1905"/>
    <n v="78339"/>
    <n v="2.4969999999999999"/>
    <n v="2.1410999999999998"/>
  </r>
  <r>
    <n v="2303"/>
    <x v="0"/>
    <d v="2012-03-01T00:00:00"/>
    <x v="3"/>
    <x v="2"/>
    <n v="11.432700000000001"/>
    <n v="11.5802"/>
    <n v="11.3589"/>
    <n v="11.5433"/>
    <n v="60246"/>
    <n v="0.96309999999999996"/>
    <n v="1.9480999999999999"/>
  </r>
  <r>
    <n v="2330"/>
    <x v="1"/>
    <d v="2012-03-01T00:00:00"/>
    <x v="3"/>
    <x v="2"/>
    <n v="61.115099999999998"/>
    <n v="61.115099999999998"/>
    <n v="60.436"/>
    <n v="60.436"/>
    <n v="21239"/>
    <n v="-1.2406999999999999"/>
    <n v="1.1235999999999999"/>
  </r>
  <r>
    <n v="2303"/>
    <x v="0"/>
    <d v="2012-03-02T00:00:00"/>
    <x v="4"/>
    <x v="2"/>
    <n v="11.5802"/>
    <n v="11.5802"/>
    <n v="11.2852"/>
    <n v="11.395799999999999"/>
    <n v="25994"/>
    <n v="-1.2862"/>
    <n v="2.6143999999999998"/>
  </r>
  <r>
    <n v="2330"/>
    <x v="1"/>
    <d v="2012-03-02T00:00:00"/>
    <x v="4"/>
    <x v="2"/>
    <n v="60.360599999999998"/>
    <n v="60.436"/>
    <n v="59.756999999999998"/>
    <n v="60.360599999999998"/>
    <n v="23912"/>
    <n v="-0.1249"/>
    <n v="1.1364000000000001"/>
  </r>
  <r>
    <n v="2303"/>
    <x v="0"/>
    <d v="2012-03-03T00:00:00"/>
    <x v="5"/>
    <x v="2"/>
    <n v="11.2852"/>
    <n v="11.322100000000001"/>
    <n v="11.211399999999999"/>
    <n v="11.2483"/>
    <n v="7798"/>
    <n v="-1.3029999999999999"/>
    <n v="0.98680000000000001"/>
  </r>
  <r>
    <n v="2330"/>
    <x v="1"/>
    <d v="2012-03-03T00:00:00"/>
    <x v="5"/>
    <x v="2"/>
    <n v="59.6815"/>
    <n v="60.058799999999998"/>
    <n v="59.6815"/>
    <n v="59.8324"/>
    <n v="7341"/>
    <n v="-0.87890000000000001"/>
    <n v="0.6321"/>
  </r>
  <r>
    <n v="2303"/>
    <x v="0"/>
    <d v="2012-03-05T00:00:00"/>
    <x v="0"/>
    <x v="2"/>
    <n v="11.211399999999999"/>
    <n v="11.2483"/>
    <n v="11.1008"/>
    <n v="11.137700000000001"/>
    <n v="24021"/>
    <n v="-0.98850000000000005"/>
    <n v="1.3289"/>
  </r>
  <r>
    <n v="2330"/>
    <x v="1"/>
    <d v="2012-03-05T00:00:00"/>
    <x v="0"/>
    <x v="2"/>
    <n v="59.3797"/>
    <n v="60.058799999999998"/>
    <n v="59.2288"/>
    <n v="59.5306"/>
    <n v="22825"/>
    <n v="-0.50570000000000004"/>
    <n v="1.4013"/>
  </r>
  <r>
    <n v="2303"/>
    <x v="0"/>
    <d v="2012-03-06T00:00:00"/>
    <x v="1"/>
    <x v="2"/>
    <n v="11.137700000000001"/>
    <n v="11.211399999999999"/>
    <n v="10.916399999999999"/>
    <n v="11.026999999999999"/>
    <n v="43612"/>
    <n v="-0.99829999999999997"/>
    <n v="2.7027000000000001"/>
  </r>
  <r>
    <n v="2330"/>
    <x v="1"/>
    <d v="2012-03-06T00:00:00"/>
    <x v="1"/>
    <x v="2"/>
    <n v="60.058799999999998"/>
    <n v="60.058799999999998"/>
    <n v="59.0779"/>
    <n v="59.9833"/>
    <n v="27779"/>
    <n v="0.75760000000000005"/>
    <n v="1.6603000000000001"/>
  </r>
  <r>
    <n v="2303"/>
    <x v="0"/>
    <d v="2012-03-07T00:00:00"/>
    <x v="2"/>
    <x v="2"/>
    <n v="10.916399999999999"/>
    <n v="10.9902"/>
    <n v="10.7689"/>
    <n v="10.7689"/>
    <n v="43482"/>
    <n v="-2.3690000000000002"/>
    <n v="2.0548000000000002"/>
  </r>
  <r>
    <n v="2330"/>
    <x v="1"/>
    <d v="2012-03-07T00:00:00"/>
    <x v="2"/>
    <x v="2"/>
    <n v="59.606099999999998"/>
    <n v="59.8324"/>
    <n v="59.3797"/>
    <n v="59.6815"/>
    <n v="30335"/>
    <n v="-0.50439999999999996"/>
    <n v="0.76239999999999997"/>
  </r>
  <r>
    <n v="2303"/>
    <x v="0"/>
    <d v="2012-03-08T00:00:00"/>
    <x v="3"/>
    <x v="2"/>
    <n v="10.916399999999999"/>
    <n v="10.9533"/>
    <n v="10.7689"/>
    <n v="10.8795"/>
    <n v="23224"/>
    <n v="1.0222"/>
    <n v="1.7122999999999999"/>
  </r>
  <r>
    <n v="2330"/>
    <x v="1"/>
    <d v="2012-03-08T00:00:00"/>
    <x v="3"/>
    <x v="2"/>
    <n v="60.209699999999998"/>
    <n v="60.511499999999998"/>
    <n v="59.756999999999998"/>
    <n v="60.1342"/>
    <n v="36967"/>
    <n v="0.75570000000000004"/>
    <n v="1.2625999999999999"/>
  </r>
  <r>
    <n v="2303"/>
    <x v="0"/>
    <d v="2012-03-09T00:00:00"/>
    <x v="4"/>
    <x v="2"/>
    <n v="10.8058"/>
    <n v="10.916399999999999"/>
    <n v="10.658200000000001"/>
    <n v="10.8795"/>
    <n v="32820"/>
    <n v="0"/>
    <n v="2.4220999999999999"/>
  </r>
  <r>
    <n v="2330"/>
    <x v="1"/>
    <d v="2012-03-09T00:00:00"/>
    <x v="4"/>
    <x v="2"/>
    <n v="59.9833"/>
    <n v="60.360599999999998"/>
    <n v="59.455199999999998"/>
    <n v="60.360599999999998"/>
    <n v="22731"/>
    <n v="0.37569999999999998"/>
    <n v="1.5227999999999999"/>
  </r>
  <r>
    <n v="2303"/>
    <x v="0"/>
    <d v="2012-03-12T00:00:00"/>
    <x v="0"/>
    <x v="2"/>
    <n v="10.916399999999999"/>
    <n v="10.916399999999999"/>
    <n v="10.7689"/>
    <n v="10.7689"/>
    <n v="13713"/>
    <n v="-1.0222"/>
    <n v="1.3698999999999999"/>
  </r>
  <r>
    <n v="2330"/>
    <x v="1"/>
    <d v="2012-03-12T00:00:00"/>
    <x v="0"/>
    <x v="2"/>
    <n v="60.511499999999998"/>
    <n v="60.7378"/>
    <n v="60.058799999999998"/>
    <n v="60.360599999999998"/>
    <n v="28952"/>
    <n v="0"/>
    <n v="1.1307"/>
  </r>
  <r>
    <n v="2303"/>
    <x v="0"/>
    <d v="2012-03-13T00:00:00"/>
    <x v="1"/>
    <x v="2"/>
    <n v="10.8795"/>
    <n v="11.211399999999999"/>
    <n v="10.842599999999999"/>
    <n v="11.1745"/>
    <n v="51938"/>
    <n v="3.6979000000000002"/>
    <n v="3.4014000000000002"/>
  </r>
  <r>
    <n v="2330"/>
    <x v="1"/>
    <d v="2012-03-13T00:00:00"/>
    <x v="1"/>
    <x v="2"/>
    <n v="60.813299999999998"/>
    <n v="61.3414"/>
    <n v="60.436"/>
    <n v="61.3414"/>
    <n v="48137"/>
    <n v="1.6119000000000001"/>
    <n v="1.4981"/>
  </r>
  <r>
    <n v="2303"/>
    <x v="0"/>
    <d v="2012-03-14T00:00:00"/>
    <x v="2"/>
    <x v="2"/>
    <n v="11.2852"/>
    <n v="11.3589"/>
    <n v="11.1008"/>
    <n v="11.211399999999999"/>
    <n v="59881"/>
    <n v="0.32950000000000002"/>
    <n v="2.3256000000000001"/>
  </r>
  <r>
    <n v="2330"/>
    <x v="1"/>
    <d v="2012-03-14T00:00:00"/>
    <x v="2"/>
    <x v="2"/>
    <n v="62.171399999999998"/>
    <n v="62.774999999999999"/>
    <n v="61.869599999999998"/>
    <n v="62.774999999999999"/>
    <n v="63309"/>
    <n v="2.3100999999999998"/>
    <n v="1.4634"/>
  </r>
  <r>
    <n v="2303"/>
    <x v="0"/>
    <d v="2012-03-15T00:00:00"/>
    <x v="3"/>
    <x v="2"/>
    <n v="11.2483"/>
    <n v="11.2483"/>
    <n v="11.1008"/>
    <n v="11.1008"/>
    <n v="46111"/>
    <n v="-0.99170000000000003"/>
    <n v="1.3289"/>
  </r>
  <r>
    <n v="2330"/>
    <x v="1"/>
    <d v="2012-03-15T00:00:00"/>
    <x v="3"/>
    <x v="2"/>
    <n v="62.774999999999999"/>
    <n v="62.774999999999999"/>
    <n v="62.2468"/>
    <n v="62.774999999999999"/>
    <n v="30609"/>
    <n v="0"/>
    <n v="0.84850000000000003"/>
  </r>
  <r>
    <n v="2303"/>
    <x v="0"/>
    <d v="2012-03-16T00:00:00"/>
    <x v="4"/>
    <x v="2"/>
    <n v="11.211399999999999"/>
    <n v="11.322100000000001"/>
    <n v="11.026999999999999"/>
    <n v="11.026999999999999"/>
    <n v="44915"/>
    <n v="-0.66669999999999996"/>
    <n v="2.6756000000000002"/>
  </r>
  <r>
    <n v="2330"/>
    <x v="1"/>
    <d v="2012-03-16T00:00:00"/>
    <x v="4"/>
    <x v="2"/>
    <n v="62.774999999999999"/>
    <n v="63.227699999999999"/>
    <n v="61.1905"/>
    <n v="61.1905"/>
    <n v="29210"/>
    <n v="-2.5564"/>
    <n v="3.3292000000000002"/>
  </r>
  <r>
    <n v="2303"/>
    <x v="0"/>
    <d v="2012-03-19T00:00:00"/>
    <x v="0"/>
    <x v="2"/>
    <n v="11.1008"/>
    <n v="11.137700000000001"/>
    <n v="10.916399999999999"/>
    <n v="10.9902"/>
    <n v="23529"/>
    <n v="-0.33500000000000002"/>
    <n v="2.0270000000000001"/>
  </r>
  <r>
    <n v="2330"/>
    <x v="1"/>
    <d v="2012-03-19T00:00:00"/>
    <x v="0"/>
    <x v="2"/>
    <n v="63.152200000000001"/>
    <n v="63.529499999999999"/>
    <n v="62.171399999999998"/>
    <n v="63.152200000000001"/>
    <n v="37508"/>
    <n v="3.1556000000000002"/>
    <n v="2.1844999999999999"/>
  </r>
  <r>
    <n v="2303"/>
    <x v="0"/>
    <d v="2012-03-20T00:00:00"/>
    <x v="1"/>
    <x v="2"/>
    <n v="11.137700000000001"/>
    <n v="11.211399999999999"/>
    <n v="10.9902"/>
    <n v="11.0639"/>
    <n v="19894"/>
    <n v="0.66890000000000005"/>
    <n v="2.0133999999999999"/>
  </r>
  <r>
    <n v="2330"/>
    <x v="1"/>
    <d v="2012-03-20T00:00:00"/>
    <x v="1"/>
    <x v="2"/>
    <n v="63.378599999999999"/>
    <n v="63.454000000000001"/>
    <n v="62.473199999999999"/>
    <n v="62.774999999999999"/>
    <n v="30105"/>
    <n v="-0.59919999999999995"/>
    <n v="1.57"/>
  </r>
  <r>
    <n v="2303"/>
    <x v="0"/>
    <d v="2012-03-21T00:00:00"/>
    <x v="2"/>
    <x v="2"/>
    <n v="11.0639"/>
    <n v="11.1745"/>
    <n v="11.026999999999999"/>
    <n v="11.0639"/>
    <n v="23366"/>
    <n v="0"/>
    <n v="1.3378000000000001"/>
  </r>
  <r>
    <n v="2330"/>
    <x v="1"/>
    <d v="2012-03-21T00:00:00"/>
    <x v="2"/>
    <x v="2"/>
    <n v="63.982199999999999"/>
    <n v="64.284000000000006"/>
    <n v="63.227699999999999"/>
    <n v="64.057599999999994"/>
    <n v="76183"/>
    <n v="2.0226999999999999"/>
    <n v="1.6706000000000001"/>
  </r>
  <r>
    <n v="2303"/>
    <x v="0"/>
    <d v="2012-03-22T00:00:00"/>
    <x v="3"/>
    <x v="2"/>
    <n v="11.0639"/>
    <n v="11.395799999999999"/>
    <n v="11.0639"/>
    <n v="11.2852"/>
    <n v="44333"/>
    <n v="1.9802999999999999"/>
    <n v="3"/>
  </r>
  <r>
    <n v="2330"/>
    <x v="1"/>
    <d v="2012-03-22T00:00:00"/>
    <x v="3"/>
    <x v="2"/>
    <n v="64.133099999999999"/>
    <n v="64.661199999999994"/>
    <n v="63.604900000000001"/>
    <n v="64.284000000000006"/>
    <n v="38057"/>
    <n v="0.35270000000000001"/>
    <n v="1.6607000000000001"/>
  </r>
  <r>
    <n v="2303"/>
    <x v="0"/>
    <d v="2012-03-23T00:00:00"/>
    <x v="4"/>
    <x v="2"/>
    <n v="11.322100000000001"/>
    <n v="11.322100000000001"/>
    <n v="11.137700000000001"/>
    <n v="11.2483"/>
    <n v="13143"/>
    <n v="-0.32729999999999998"/>
    <n v="1.6556"/>
  </r>
  <r>
    <n v="2330"/>
    <x v="1"/>
    <d v="2012-03-23T00:00:00"/>
    <x v="4"/>
    <x v="2"/>
    <n v="64.133099999999999"/>
    <n v="64.434899999999999"/>
    <n v="63.680399999999999"/>
    <n v="64.434899999999999"/>
    <n v="29495"/>
    <n v="0.23449999999999999"/>
    <n v="1.1848000000000001"/>
  </r>
  <r>
    <n v="2303"/>
    <x v="0"/>
    <d v="2012-03-26T00:00:00"/>
    <x v="0"/>
    <x v="2"/>
    <n v="11.211399999999999"/>
    <n v="11.211399999999999"/>
    <n v="10.9533"/>
    <n v="10.9902"/>
    <n v="39343"/>
    <n v="-2.3218000000000001"/>
    <n v="2.3569"/>
  </r>
  <r>
    <n v="2330"/>
    <x v="1"/>
    <d v="2012-03-26T00:00:00"/>
    <x v="0"/>
    <x v="2"/>
    <n v="64.208500000000001"/>
    <n v="64.208500000000001"/>
    <n v="62.2468"/>
    <n v="63.076799999999999"/>
    <n v="59940"/>
    <n v="-2.1303000000000001"/>
    <n v="3.1515"/>
  </r>
  <r>
    <n v="2303"/>
    <x v="0"/>
    <d v="2012-03-27T00:00:00"/>
    <x v="1"/>
    <x v="2"/>
    <n v="11.1008"/>
    <n v="11.137700000000001"/>
    <n v="11.026999999999999"/>
    <n v="11.137700000000001"/>
    <n v="18435"/>
    <n v="1.3333999999999999"/>
    <n v="1.0033000000000001"/>
  </r>
  <r>
    <n v="2330"/>
    <x v="1"/>
    <d v="2012-03-27T00:00:00"/>
    <x v="1"/>
    <x v="2"/>
    <n v="64.133099999999999"/>
    <n v="64.736699999999999"/>
    <n v="63.604900000000001"/>
    <n v="64.736699999999999"/>
    <n v="38560"/>
    <n v="2.5975000000000001"/>
    <n v="1.7794000000000001"/>
  </r>
  <r>
    <n v="2303"/>
    <x v="0"/>
    <d v="2012-03-28T00:00:00"/>
    <x v="2"/>
    <x v="2"/>
    <n v="11.0639"/>
    <n v="11.137700000000001"/>
    <n v="10.9902"/>
    <n v="11.137700000000001"/>
    <n v="13023"/>
    <n v="0"/>
    <n v="1.3423"/>
  </r>
  <r>
    <n v="2330"/>
    <x v="1"/>
    <d v="2012-03-28T00:00:00"/>
    <x v="2"/>
    <x v="2"/>
    <n v="65.264899999999997"/>
    <n v="65.264899999999997"/>
    <n v="63.831299999999999"/>
    <n v="64.510300000000001"/>
    <n v="28304"/>
    <n v="-0.3503"/>
    <n v="2.2458999999999998"/>
  </r>
  <r>
    <n v="2303"/>
    <x v="0"/>
    <d v="2012-03-29T00:00:00"/>
    <x v="3"/>
    <x v="2"/>
    <n v="10.9902"/>
    <n v="11.026999999999999"/>
    <n v="10.731999999999999"/>
    <n v="10.842599999999999"/>
    <n v="41980"/>
    <n v="-2.6846999999999999"/>
    <n v="2.7490999999999999"/>
  </r>
  <r>
    <n v="2330"/>
    <x v="1"/>
    <d v="2012-03-29T00:00:00"/>
    <x v="3"/>
    <x v="2"/>
    <n v="63.755800000000001"/>
    <n v="63.755800000000001"/>
    <n v="62.925899999999999"/>
    <n v="63.454000000000001"/>
    <n v="49939"/>
    <n v="-1.651"/>
    <n v="1.3189"/>
  </r>
  <r>
    <n v="2303"/>
    <x v="0"/>
    <d v="2012-03-30T00:00:00"/>
    <x v="4"/>
    <x v="2"/>
    <n v="10.658200000000001"/>
    <n v="10.6951"/>
    <n v="10.473800000000001"/>
    <n v="10.658200000000001"/>
    <n v="58424"/>
    <n v="-1.7153"/>
    <n v="2.1126999999999998"/>
  </r>
  <r>
    <n v="2330"/>
    <x v="1"/>
    <d v="2012-03-30T00:00:00"/>
    <x v="4"/>
    <x v="2"/>
    <n v="63.152200000000001"/>
    <n v="64.057599999999994"/>
    <n v="62.5486"/>
    <n v="64.057599999999994"/>
    <n v="43825"/>
    <n v="0.94679999999999997"/>
    <n v="2.4125000000000001"/>
  </r>
  <r>
    <n v="2303"/>
    <x v="0"/>
    <d v="2012-04-02T00:00:00"/>
    <x v="0"/>
    <x v="3"/>
    <n v="10.658200000000001"/>
    <n v="10.658200000000001"/>
    <n v="10.4001"/>
    <n v="10.473800000000001"/>
    <n v="26495"/>
    <n v="-1.7452000000000001"/>
    <n v="2.4823"/>
  </r>
  <r>
    <n v="2330"/>
    <x v="1"/>
    <d v="2012-04-02T00:00:00"/>
    <x v="0"/>
    <x v="3"/>
    <n v="63.982199999999999"/>
    <n v="64.284000000000006"/>
    <n v="63.378599999999999"/>
    <n v="64.208500000000001"/>
    <n v="23685"/>
    <n v="0.23530000000000001"/>
    <n v="1.4286000000000001"/>
  </r>
  <r>
    <n v="2303"/>
    <x v="0"/>
    <d v="2012-04-03T00:00:00"/>
    <x v="1"/>
    <x v="3"/>
    <n v="10.547599999999999"/>
    <n v="10.658200000000001"/>
    <n v="10.5107"/>
    <n v="10.5845"/>
    <n v="34276"/>
    <n v="1.0508"/>
    <n v="1.4035"/>
  </r>
  <r>
    <n v="2330"/>
    <x v="1"/>
    <d v="2012-04-03T00:00:00"/>
    <x v="1"/>
    <x v="3"/>
    <n v="64.133099999999999"/>
    <n v="64.133099999999999"/>
    <n v="63.227699999999999"/>
    <n v="64.133099999999999"/>
    <n v="31283"/>
    <n v="-0.1176"/>
    <n v="1.4319999999999999"/>
  </r>
  <r>
    <n v="2303"/>
    <x v="0"/>
    <d v="2012-04-05T00:00:00"/>
    <x v="3"/>
    <x v="3"/>
    <n v="10.252599999999999"/>
    <n v="10.473800000000001"/>
    <n v="10.252599999999999"/>
    <n v="10.363200000000001"/>
    <n v="26907"/>
    <n v="-2.1128"/>
    <n v="2.1583000000000001"/>
  </r>
  <r>
    <n v="2330"/>
    <x v="1"/>
    <d v="2012-04-05T00:00:00"/>
    <x v="3"/>
    <x v="3"/>
    <n v="62.8504"/>
    <n v="63.378599999999999"/>
    <n v="62.6995"/>
    <n v="62.6995"/>
    <n v="47674"/>
    <n v="-2.2606999999999999"/>
    <n v="1.083"/>
  </r>
  <r>
    <n v="2303"/>
    <x v="0"/>
    <d v="2012-04-06T00:00:00"/>
    <x v="4"/>
    <x v="3"/>
    <n v="10.363200000000001"/>
    <n v="10.436999999999999"/>
    <n v="10.3263"/>
    <n v="10.3263"/>
    <n v="41486"/>
    <n v="-0.35649999999999998"/>
    <n v="1.0713999999999999"/>
  </r>
  <r>
    <n v="2330"/>
    <x v="1"/>
    <d v="2012-04-06T00:00:00"/>
    <x v="4"/>
    <x v="3"/>
    <n v="63.378599999999999"/>
    <n v="63.378599999999999"/>
    <n v="62.6995"/>
    <n v="63.227699999999999"/>
    <n v="34112"/>
    <n v="0.83879999999999999"/>
    <n v="1.083"/>
  </r>
  <r>
    <n v="2303"/>
    <x v="0"/>
    <d v="2012-04-09T00:00:00"/>
    <x v="0"/>
    <x v="3"/>
    <n v="10.1419"/>
    <n v="10.4001"/>
    <n v="9.9944000000000006"/>
    <n v="10.2157"/>
    <n v="31345"/>
    <n v="-1.0771999999999999"/>
    <n v="4.0590000000000002"/>
  </r>
  <r>
    <n v="2330"/>
    <x v="1"/>
    <d v="2012-04-09T00:00:00"/>
    <x v="0"/>
    <x v="3"/>
    <n v="61.869599999999998"/>
    <n v="63.076799999999999"/>
    <n v="61.869599999999998"/>
    <n v="62.624099999999999"/>
    <n v="23247"/>
    <n v="-0.95920000000000005"/>
    <n v="1.9512"/>
  </r>
  <r>
    <n v="2303"/>
    <x v="0"/>
    <d v="2012-04-10T00:00:00"/>
    <x v="1"/>
    <x v="3"/>
    <n v="10.4001"/>
    <n v="10.547599999999999"/>
    <n v="10.4001"/>
    <n v="10.436999999999999"/>
    <n v="39556"/>
    <n v="2.1429"/>
    <n v="1.4184000000000001"/>
  </r>
  <r>
    <n v="2330"/>
    <x v="1"/>
    <d v="2012-04-10T00:00:00"/>
    <x v="1"/>
    <x v="3"/>
    <n v="62.6995"/>
    <n v="63.001300000000001"/>
    <n v="61.718699999999998"/>
    <n v="61.869599999999998"/>
    <n v="33387"/>
    <n v="-1.2121"/>
    <n v="2.0781999999999998"/>
  </r>
  <r>
    <n v="2303"/>
    <x v="0"/>
    <d v="2012-04-11T00:00:00"/>
    <x v="2"/>
    <x v="3"/>
    <n v="10.4001"/>
    <n v="10.6951"/>
    <n v="10.289400000000001"/>
    <n v="10.5845"/>
    <n v="29099"/>
    <n v="1.4035"/>
    <n v="3.9426999999999999"/>
  </r>
  <r>
    <n v="2330"/>
    <x v="1"/>
    <d v="2012-04-11T00:00:00"/>
    <x v="2"/>
    <x v="3"/>
    <n v="61.869599999999998"/>
    <n v="63.001300000000001"/>
    <n v="61.6432"/>
    <n v="62.171399999999998"/>
    <n v="40770"/>
    <n v="0.48659999999999998"/>
    <n v="2.2031999999999998"/>
  </r>
  <r>
    <n v="2303"/>
    <x v="0"/>
    <d v="2012-04-12T00:00:00"/>
    <x v="3"/>
    <x v="3"/>
    <n v="10.6214"/>
    <n v="10.6214"/>
    <n v="10.4001"/>
    <n v="10.4001"/>
    <n v="22524"/>
    <n v="-1.7575000000000001"/>
    <n v="2.1276999999999999"/>
  </r>
  <r>
    <n v="2330"/>
    <x v="1"/>
    <d v="2012-04-12T00:00:00"/>
    <x v="3"/>
    <x v="3"/>
    <n v="62.2468"/>
    <n v="62.3977"/>
    <n v="61.4923"/>
    <n v="62.322299999999998"/>
    <n v="39454"/>
    <n v="0.2424"/>
    <n v="1.4723999999999999"/>
  </r>
  <r>
    <n v="2303"/>
    <x v="0"/>
    <d v="2012-04-13T00:00:00"/>
    <x v="4"/>
    <x v="3"/>
    <n v="10.547599999999999"/>
    <n v="10.6951"/>
    <n v="10.5107"/>
    <n v="10.658200000000001"/>
    <n v="26863"/>
    <n v="2.452"/>
    <n v="1.7544"/>
  </r>
  <r>
    <n v="2330"/>
    <x v="1"/>
    <d v="2012-04-13T00:00:00"/>
    <x v="4"/>
    <x v="3"/>
    <n v="62.925899999999999"/>
    <n v="64.133099999999999"/>
    <n v="62.3977"/>
    <n v="64.057599999999994"/>
    <n v="44743"/>
    <n v="2.7464"/>
    <n v="2.7810999999999999"/>
  </r>
  <r>
    <n v="2303"/>
    <x v="0"/>
    <d v="2012-04-16T00:00:00"/>
    <x v="0"/>
    <x v="3"/>
    <n v="10.547599999999999"/>
    <n v="10.5845"/>
    <n v="10.436999999999999"/>
    <n v="10.5107"/>
    <n v="9796"/>
    <n v="-1.3937999999999999"/>
    <n v="1.4134"/>
  </r>
  <r>
    <n v="2330"/>
    <x v="1"/>
    <d v="2012-04-16T00:00:00"/>
    <x v="0"/>
    <x v="3"/>
    <n v="63.831299999999999"/>
    <n v="64.133099999999999"/>
    <n v="63.227699999999999"/>
    <n v="64.057599999999994"/>
    <n v="19776"/>
    <n v="0"/>
    <n v="1.4319999999999999"/>
  </r>
  <r>
    <n v="2303"/>
    <x v="0"/>
    <d v="2012-04-17T00:00:00"/>
    <x v="1"/>
    <x v="3"/>
    <n v="10.473800000000001"/>
    <n v="10.5107"/>
    <n v="10.363200000000001"/>
    <n v="10.473800000000001"/>
    <n v="23829"/>
    <n v="-0.35149999999999998"/>
    <n v="1.4235"/>
  </r>
  <r>
    <n v="2330"/>
    <x v="1"/>
    <d v="2012-04-17T00:00:00"/>
    <x v="1"/>
    <x v="3"/>
    <n v="64.057599999999994"/>
    <n v="64.057599999999994"/>
    <n v="62.925899999999999"/>
    <n v="63.227699999999999"/>
    <n v="29502"/>
    <n v="-1.3041"/>
    <n v="1.7986"/>
  </r>
  <r>
    <n v="2303"/>
    <x v="0"/>
    <d v="2012-04-18T00:00:00"/>
    <x v="2"/>
    <x v="3"/>
    <n v="10.6214"/>
    <n v="10.658200000000001"/>
    <n v="10.436999999999999"/>
    <n v="10.436999999999999"/>
    <n v="21685"/>
    <n v="-0.35270000000000001"/>
    <n v="2.1200999999999999"/>
  </r>
  <r>
    <n v="2330"/>
    <x v="1"/>
    <d v="2012-04-18T00:00:00"/>
    <x v="2"/>
    <x v="3"/>
    <n v="64.133099999999999"/>
    <n v="64.133099999999999"/>
    <n v="63.680399999999999"/>
    <n v="64.133099999999999"/>
    <n v="32818"/>
    <n v="1.4218"/>
    <n v="0.71089999999999998"/>
  </r>
  <r>
    <n v="2303"/>
    <x v="0"/>
    <d v="2012-04-19T00:00:00"/>
    <x v="3"/>
    <x v="3"/>
    <n v="10.5107"/>
    <n v="10.731999999999999"/>
    <n v="10.436999999999999"/>
    <n v="10.6951"/>
    <n v="24965"/>
    <n v="2.4434"/>
    <n v="2.8269000000000002"/>
  </r>
  <r>
    <n v="2330"/>
    <x v="1"/>
    <d v="2012-04-19T00:00:00"/>
    <x v="3"/>
    <x v="3"/>
    <n v="63.755800000000001"/>
    <n v="64.736699999999999"/>
    <n v="63.604900000000001"/>
    <n v="64.736699999999999"/>
    <n v="31617"/>
    <n v="0.93679999999999997"/>
    <n v="1.7794000000000001"/>
  </r>
  <r>
    <n v="2303"/>
    <x v="0"/>
    <d v="2012-04-20T00:00:00"/>
    <x v="4"/>
    <x v="3"/>
    <n v="10.7689"/>
    <n v="10.8058"/>
    <n v="10.6214"/>
    <n v="10.7689"/>
    <n v="32362"/>
    <n v="0.68730000000000002"/>
    <n v="1.7361"/>
  </r>
  <r>
    <n v="2330"/>
    <x v="1"/>
    <d v="2012-04-20T00:00:00"/>
    <x v="4"/>
    <x v="3"/>
    <n v="64.133099999999999"/>
    <n v="64.661199999999994"/>
    <n v="63.454000000000001"/>
    <n v="63.604900000000001"/>
    <n v="29213"/>
    <n v="-1.7637"/>
    <n v="1.9025000000000001"/>
  </r>
  <r>
    <n v="2303"/>
    <x v="0"/>
    <d v="2012-04-23T00:00:00"/>
    <x v="0"/>
    <x v="3"/>
    <n v="10.842599999999999"/>
    <n v="11.1008"/>
    <n v="10.842599999999999"/>
    <n v="11.1008"/>
    <n v="45565"/>
    <n v="3.0356000000000001"/>
    <n v="2.3809999999999998"/>
  </r>
  <r>
    <n v="2330"/>
    <x v="1"/>
    <d v="2012-04-23T00:00:00"/>
    <x v="0"/>
    <x v="3"/>
    <n v="63.529499999999999"/>
    <n v="63.831299999999999"/>
    <n v="62.925899999999999"/>
    <n v="63.604900000000001"/>
    <n v="20351"/>
    <n v="0"/>
    <n v="1.4388000000000001"/>
  </r>
  <r>
    <n v="2303"/>
    <x v="0"/>
    <d v="2012-04-24T00:00:00"/>
    <x v="1"/>
    <x v="3"/>
    <n v="11.0639"/>
    <n v="11.0639"/>
    <n v="10.731999999999999"/>
    <n v="10.8795"/>
    <n v="31425"/>
    <n v="-2.0135000000000001"/>
    <n v="3.0928"/>
  </r>
  <r>
    <n v="2330"/>
    <x v="1"/>
    <d v="2012-04-24T00:00:00"/>
    <x v="1"/>
    <x v="3"/>
    <n v="63.227699999999999"/>
    <n v="63.831299999999999"/>
    <n v="63.076799999999999"/>
    <n v="63.831299999999999"/>
    <n v="33319"/>
    <n v="0.35520000000000002"/>
    <n v="1.1961999999999999"/>
  </r>
  <r>
    <n v="2303"/>
    <x v="0"/>
    <d v="2012-04-25T00:00:00"/>
    <x v="2"/>
    <x v="3"/>
    <n v="10.8795"/>
    <n v="11.0639"/>
    <n v="10.842599999999999"/>
    <n v="10.9902"/>
    <n v="37478"/>
    <n v="1.0118"/>
    <n v="2.0407999999999999"/>
  </r>
  <r>
    <n v="2330"/>
    <x v="1"/>
    <d v="2012-04-25T00:00:00"/>
    <x v="2"/>
    <x v="3"/>
    <n v="64.057599999999994"/>
    <n v="64.057599999999994"/>
    <n v="63.303100000000001"/>
    <n v="63.529499999999999"/>
    <n v="49611"/>
    <n v="-0.47389999999999999"/>
    <n v="1.1919"/>
  </r>
  <r>
    <n v="2303"/>
    <x v="0"/>
    <d v="2012-04-26T00:00:00"/>
    <x v="3"/>
    <x v="3"/>
    <n v="11.211399999999999"/>
    <n v="11.211399999999999"/>
    <n v="10.9533"/>
    <n v="11.026999999999999"/>
    <n v="53612"/>
    <n v="0.33500000000000002"/>
    <n v="2.3569"/>
  </r>
  <r>
    <n v="2330"/>
    <x v="1"/>
    <d v="2012-04-26T00:00:00"/>
    <x v="3"/>
    <x v="3"/>
    <n v="63.529499999999999"/>
    <n v="63.529499999999999"/>
    <n v="63.001300000000001"/>
    <n v="63.378599999999999"/>
    <n v="21066"/>
    <n v="-0.23780000000000001"/>
    <n v="0.83830000000000005"/>
  </r>
  <r>
    <n v="2303"/>
    <x v="0"/>
    <d v="2012-04-27T00:00:00"/>
    <x v="4"/>
    <x v="3"/>
    <n v="11.1745"/>
    <n v="11.395799999999999"/>
    <n v="11.1745"/>
    <n v="11.2852"/>
    <n v="87180"/>
    <n v="2.3142"/>
    <n v="1.9802"/>
  </r>
  <r>
    <n v="2330"/>
    <x v="1"/>
    <d v="2012-04-27T00:00:00"/>
    <x v="4"/>
    <x v="3"/>
    <n v="65.642099999999999"/>
    <n v="67.7547"/>
    <n v="64.887600000000006"/>
    <n v="64.887600000000006"/>
    <n v="118848"/>
    <n v="2.3530000000000002"/>
    <n v="4.4185999999999996"/>
  </r>
  <r>
    <n v="2303"/>
    <x v="0"/>
    <d v="2012-04-30T00:00:00"/>
    <x v="0"/>
    <x v="3"/>
    <n v="11.322100000000001"/>
    <n v="11.432700000000001"/>
    <n v="11.211399999999999"/>
    <n v="11.2852"/>
    <n v="50827"/>
    <n v="0"/>
    <n v="1.9737"/>
  </r>
  <r>
    <n v="2330"/>
    <x v="1"/>
    <d v="2012-04-30T00:00:00"/>
    <x v="0"/>
    <x v="3"/>
    <n v="65.114000000000004"/>
    <n v="65.943899999999999"/>
    <n v="64.661199999999994"/>
    <n v="65.491200000000006"/>
    <n v="47647"/>
    <n v="0.92589999999999995"/>
    <n v="1.9837"/>
  </r>
  <r>
    <n v="2303"/>
    <x v="0"/>
    <d v="2012-05-02T00:00:00"/>
    <x v="2"/>
    <x v="4"/>
    <n v="11.359"/>
    <n v="11.506500000000001"/>
    <n v="11.322100000000001"/>
    <n v="11.4696"/>
    <n v="62745"/>
    <n v="1.6208"/>
    <n v="1.6287"/>
  </r>
  <r>
    <n v="2330"/>
    <x v="1"/>
    <d v="2012-05-02T00:00:00"/>
    <x v="2"/>
    <x v="4"/>
    <n v="65.642099999999999"/>
    <n v="67.075699999999998"/>
    <n v="65.491200000000006"/>
    <n v="66.698400000000007"/>
    <n v="48249"/>
    <n v="1.8265"/>
    <n v="2.4194"/>
  </r>
  <r>
    <n v="2303"/>
    <x v="0"/>
    <d v="2012-05-03T00:00:00"/>
    <x v="3"/>
    <x v="4"/>
    <n v="11.432700000000001"/>
    <n v="11.4696"/>
    <n v="11.395799999999999"/>
    <n v="11.4696"/>
    <n v="21493"/>
    <n v="0"/>
    <n v="0.6472"/>
  </r>
  <r>
    <n v="2330"/>
    <x v="1"/>
    <d v="2012-05-03T00:00:00"/>
    <x v="3"/>
    <x v="4"/>
    <n v="66.698400000000007"/>
    <n v="67.1511"/>
    <n v="66.321200000000005"/>
    <n v="67.075699999999998"/>
    <n v="27728"/>
    <n v="0.56399999999999995"/>
    <n v="1.2514000000000001"/>
  </r>
  <r>
    <n v="2303"/>
    <x v="0"/>
    <d v="2012-05-04T00:00:00"/>
    <x v="4"/>
    <x v="4"/>
    <n v="11.322100000000001"/>
    <n v="11.395799999999999"/>
    <n v="11.211399999999999"/>
    <n v="11.2483"/>
    <n v="30050"/>
    <n v="-1.9480999999999999"/>
    <n v="1.6447000000000001"/>
  </r>
  <r>
    <n v="2330"/>
    <x v="1"/>
    <d v="2012-05-04T00:00:00"/>
    <x v="4"/>
    <x v="4"/>
    <n v="65.415800000000004"/>
    <n v="66.396600000000007"/>
    <n v="65.415800000000004"/>
    <n v="66.094800000000006"/>
    <n v="37719"/>
    <n v="-1.4731000000000001"/>
    <n v="1.4994000000000001"/>
  </r>
  <r>
    <n v="2303"/>
    <x v="0"/>
    <d v="2012-05-07T00:00:00"/>
    <x v="0"/>
    <x v="4"/>
    <n v="11.0639"/>
    <n v="11.0639"/>
    <n v="10.658200000000001"/>
    <n v="10.6951"/>
    <n v="77705"/>
    <n v="-5.0430999999999999"/>
    <n v="3.8062"/>
  </r>
  <r>
    <n v="2330"/>
    <x v="1"/>
    <d v="2012-05-07T00:00:00"/>
    <x v="0"/>
    <x v="4"/>
    <n v="65.264899999999997"/>
    <n v="65.264899999999997"/>
    <n v="64.133099999999999"/>
    <n v="64.585800000000006"/>
    <n v="47917"/>
    <n v="-2.3096000000000001"/>
    <n v="1.7646999999999999"/>
  </r>
  <r>
    <n v="2303"/>
    <x v="0"/>
    <d v="2012-05-08T00:00:00"/>
    <x v="1"/>
    <x v="4"/>
    <n v="10.842599999999999"/>
    <n v="10.916399999999999"/>
    <n v="10.731999999999999"/>
    <n v="10.8795"/>
    <n v="33378"/>
    <n v="1.7094"/>
    <n v="1.7181999999999999"/>
  </r>
  <r>
    <n v="2330"/>
    <x v="1"/>
    <d v="2012-05-08T00:00:00"/>
    <x v="1"/>
    <x v="4"/>
    <n v="64.887600000000006"/>
    <n v="64.887600000000006"/>
    <n v="63.680399999999999"/>
    <n v="63.680399999999999"/>
    <n v="45836"/>
    <n v="-1.4117999999999999"/>
    <n v="1.8956999999999999"/>
  </r>
  <r>
    <n v="2303"/>
    <x v="0"/>
    <d v="2012-05-09T00:00:00"/>
    <x v="2"/>
    <x v="4"/>
    <n v="10.8795"/>
    <n v="10.8795"/>
    <n v="10.5845"/>
    <n v="10.658200000000001"/>
    <n v="37256"/>
    <n v="-2.0548999999999999"/>
    <n v="2.7875000000000001"/>
  </r>
  <r>
    <n v="2330"/>
    <x v="1"/>
    <d v="2012-05-09T00:00:00"/>
    <x v="2"/>
    <x v="4"/>
    <n v="63.303100000000001"/>
    <n v="64.284000000000006"/>
    <n v="63.001300000000001"/>
    <n v="63.831299999999999"/>
    <n v="41263"/>
    <n v="0.23669999999999999"/>
    <n v="2.0358999999999998"/>
  </r>
  <r>
    <n v="2303"/>
    <x v="0"/>
    <d v="2012-05-10T00:00:00"/>
    <x v="3"/>
    <x v="4"/>
    <n v="10.5845"/>
    <n v="10.8058"/>
    <n v="10.5845"/>
    <n v="10.731999999999999"/>
    <n v="16518"/>
    <n v="0.68969999999999998"/>
    <n v="2.0905999999999998"/>
  </r>
  <r>
    <n v="2330"/>
    <x v="1"/>
    <d v="2012-05-10T00:00:00"/>
    <x v="3"/>
    <x v="4"/>
    <n v="64.133099999999999"/>
    <n v="64.661199999999994"/>
    <n v="63.604900000000001"/>
    <n v="64.359399999999994"/>
    <n v="28688"/>
    <n v="0.82399999999999995"/>
    <n v="1.6607000000000001"/>
  </r>
  <r>
    <n v="2303"/>
    <x v="0"/>
    <d v="2012-05-11T00:00:00"/>
    <x v="4"/>
    <x v="4"/>
    <n v="10.7689"/>
    <n v="10.842599999999999"/>
    <n v="10.6214"/>
    <n v="10.842599999999999"/>
    <n v="20771"/>
    <n v="1.0257000000000001"/>
    <n v="2.0832999999999999"/>
  </r>
  <r>
    <n v="2330"/>
    <x v="1"/>
    <d v="2012-05-11T00:00:00"/>
    <x v="4"/>
    <x v="4"/>
    <n v="64.661199999999994"/>
    <n v="64.661199999999994"/>
    <n v="63.755800000000001"/>
    <n v="64.510300000000001"/>
    <n v="33627"/>
    <n v="0.23419999999999999"/>
    <n v="1.4200999999999999"/>
  </r>
  <r>
    <n v="2303"/>
    <x v="0"/>
    <d v="2012-05-14T00:00:00"/>
    <x v="0"/>
    <x v="4"/>
    <n v="10.916399999999999"/>
    <n v="10.916399999999999"/>
    <n v="10.731999999999999"/>
    <n v="10.842599999999999"/>
    <n v="13568"/>
    <n v="0"/>
    <n v="1.7181999999999999"/>
  </r>
  <r>
    <n v="2330"/>
    <x v="1"/>
    <d v="2012-05-14T00:00:00"/>
    <x v="0"/>
    <x v="4"/>
    <n v="63.982199999999999"/>
    <n v="64.510300000000001"/>
    <n v="63.982199999999999"/>
    <n v="64.434899999999999"/>
    <n v="14135"/>
    <n v="-0.11700000000000001"/>
    <n v="0.82550000000000001"/>
  </r>
  <r>
    <n v="2303"/>
    <x v="0"/>
    <d v="2012-05-15T00:00:00"/>
    <x v="1"/>
    <x v="4"/>
    <n v="10.658200000000001"/>
    <n v="10.731999999999999"/>
    <n v="10.547599999999999"/>
    <n v="10.658200000000001"/>
    <n v="36936"/>
    <n v="-1.7153"/>
    <n v="1.7483"/>
  </r>
  <r>
    <n v="2330"/>
    <x v="1"/>
    <d v="2012-05-15T00:00:00"/>
    <x v="1"/>
    <x v="4"/>
    <n v="64.434899999999999"/>
    <n v="64.661199999999994"/>
    <n v="63.454000000000001"/>
    <n v="64.510300000000001"/>
    <n v="30739"/>
    <n v="0.11700000000000001"/>
    <n v="1.9025000000000001"/>
  </r>
  <r>
    <n v="2303"/>
    <x v="0"/>
    <d v="2012-05-16T00:00:00"/>
    <x v="2"/>
    <x v="4"/>
    <n v="10.5845"/>
    <n v="10.658200000000001"/>
    <n v="10.178800000000001"/>
    <n v="10.178800000000001"/>
    <n v="48718"/>
    <n v="-4.6025999999999998"/>
    <n v="4.7100999999999997"/>
  </r>
  <r>
    <n v="2330"/>
    <x v="1"/>
    <d v="2012-05-16T00:00:00"/>
    <x v="2"/>
    <x v="4"/>
    <n v="63.529499999999999"/>
    <n v="63.755800000000001"/>
    <n v="62.925899999999999"/>
    <n v="62.925899999999999"/>
    <n v="65470"/>
    <n v="-2.4868000000000001"/>
    <n v="1.3189"/>
  </r>
  <r>
    <n v="2303"/>
    <x v="0"/>
    <d v="2012-05-17T00:00:00"/>
    <x v="3"/>
    <x v="4"/>
    <n v="10.4001"/>
    <n v="10.4001"/>
    <n v="10.178800000000001"/>
    <n v="10.3263"/>
    <n v="37410"/>
    <n v="1.4389000000000001"/>
    <n v="2.1739000000000002"/>
  </r>
  <r>
    <n v="2330"/>
    <x v="1"/>
    <d v="2012-05-17T00:00:00"/>
    <x v="3"/>
    <x v="4"/>
    <n v="63.982199999999999"/>
    <n v="64.208500000000001"/>
    <n v="63.454000000000001"/>
    <n v="64.208500000000001"/>
    <n v="33657"/>
    <n v="2.0179"/>
    <n v="1.1891"/>
  </r>
  <r>
    <n v="2303"/>
    <x v="0"/>
    <d v="2012-05-18T00:00:00"/>
    <x v="4"/>
    <x v="4"/>
    <n v="10.1419"/>
    <n v="10.1419"/>
    <n v="9.7730999999999995"/>
    <n v="9.7730999999999995"/>
    <n v="60652"/>
    <n v="-5.5060000000000002"/>
    <n v="3.7736000000000001"/>
  </r>
  <r>
    <n v="2330"/>
    <x v="1"/>
    <d v="2012-05-18T00:00:00"/>
    <x v="4"/>
    <x v="4"/>
    <n v="63.303100000000001"/>
    <n v="63.303100000000001"/>
    <n v="61.718699999999998"/>
    <n v="61.718699999999998"/>
    <n v="57620"/>
    <n v="-3.9550000000000001"/>
    <n v="2.5672000000000001"/>
  </r>
  <r>
    <n v="2303"/>
    <x v="0"/>
    <d v="2012-05-21T00:00:00"/>
    <x v="0"/>
    <x v="4"/>
    <n v="9.7730999999999995"/>
    <n v="9.9207000000000001"/>
    <n v="9.7730999999999995"/>
    <n v="9.7730999999999995"/>
    <n v="22356"/>
    <n v="0"/>
    <n v="1.5094000000000001"/>
  </r>
  <r>
    <n v="2330"/>
    <x v="1"/>
    <d v="2012-05-21T00:00:00"/>
    <x v="0"/>
    <x v="4"/>
    <n v="61.115099999999998"/>
    <n v="62.473199999999999"/>
    <n v="61.115099999999998"/>
    <n v="62.2468"/>
    <n v="32414"/>
    <n v="0.85209999999999997"/>
    <n v="2.2222"/>
  </r>
  <r>
    <n v="2303"/>
    <x v="0"/>
    <d v="2012-05-22T00:00:00"/>
    <x v="1"/>
    <x v="4"/>
    <n v="9.8838000000000008"/>
    <n v="9.9207000000000001"/>
    <n v="9.81"/>
    <n v="9.8468999999999998"/>
    <n v="26888"/>
    <n v="0.75190000000000001"/>
    <n v="1.1277999999999999"/>
  </r>
  <r>
    <n v="2330"/>
    <x v="1"/>
    <d v="2012-05-22T00:00:00"/>
    <x v="1"/>
    <x v="4"/>
    <n v="62.3977"/>
    <n v="62.5486"/>
    <n v="62.020499999999998"/>
    <n v="62.020499999999998"/>
    <n v="33977"/>
    <n v="-0.36430000000000001"/>
    <n v="0.85160000000000002"/>
  </r>
  <r>
    <n v="2303"/>
    <x v="0"/>
    <d v="2012-05-23T00:00:00"/>
    <x v="2"/>
    <x v="4"/>
    <n v="9.5886999999999993"/>
    <n v="9.6256000000000004"/>
    <n v="9.3674999999999997"/>
    <n v="9.4042999999999992"/>
    <n v="60055"/>
    <n v="-4.5984999999999996"/>
    <n v="2.7559"/>
  </r>
  <r>
    <n v="2330"/>
    <x v="1"/>
    <d v="2012-05-23T00:00:00"/>
    <x v="2"/>
    <x v="4"/>
    <n v="61.115099999999998"/>
    <n v="61.265999999999998"/>
    <n v="59.606099999999998"/>
    <n v="59.6815"/>
    <n v="63269"/>
    <n v="-3.8441999999999998"/>
    <n v="2.7848000000000002"/>
  </r>
  <r>
    <n v="2303"/>
    <x v="0"/>
    <d v="2012-05-24T00:00:00"/>
    <x v="3"/>
    <x v="4"/>
    <n v="9.4412000000000003"/>
    <n v="9.5150000000000006"/>
    <n v="9.1462000000000003"/>
    <n v="9.2568000000000001"/>
    <n v="66087"/>
    <n v="-1.5810999999999999"/>
    <n v="4.0323000000000002"/>
  </r>
  <r>
    <n v="2330"/>
    <x v="1"/>
    <d v="2012-05-24T00:00:00"/>
    <x v="3"/>
    <x v="4"/>
    <n v="59.5306"/>
    <n v="60.813299999999998"/>
    <n v="58.927"/>
    <n v="60.813299999999998"/>
    <n v="40984"/>
    <n v="1.8786"/>
    <n v="3.2010000000000001"/>
  </r>
  <r>
    <n v="2303"/>
    <x v="0"/>
    <d v="2012-05-25T00:00:00"/>
    <x v="4"/>
    <x v="4"/>
    <n v="9.2568000000000001"/>
    <n v="9.4042999999999992"/>
    <n v="9.2199000000000009"/>
    <n v="9.2936999999999994"/>
    <n v="36202"/>
    <n v="0.39760000000000001"/>
    <n v="2"/>
  </r>
  <r>
    <n v="2330"/>
    <x v="1"/>
    <d v="2012-05-25T00:00:00"/>
    <x v="4"/>
    <x v="4"/>
    <n v="60.209699999999998"/>
    <n v="60.7378"/>
    <n v="59.756999999999998"/>
    <n v="60.360599999999998"/>
    <n v="28279"/>
    <n v="-0.74719999999999998"/>
    <n v="1.6414"/>
  </r>
  <r>
    <n v="2303"/>
    <x v="0"/>
    <d v="2012-05-28T00:00:00"/>
    <x v="0"/>
    <x v="4"/>
    <n v="9.2936999999999994"/>
    <n v="9.4042999999999992"/>
    <n v="9.2936999999999994"/>
    <n v="9.3674999999999997"/>
    <n v="26035"/>
    <n v="0.79049999999999998"/>
    <n v="1.1904999999999999"/>
  </r>
  <r>
    <n v="2330"/>
    <x v="1"/>
    <d v="2012-05-28T00:00:00"/>
    <x v="0"/>
    <x v="4"/>
    <n v="60.360599999999998"/>
    <n v="61.6432"/>
    <n v="60.209699999999998"/>
    <n v="61.567799999999998"/>
    <n v="30137"/>
    <n v="1.9802999999999999"/>
    <n v="2.3809999999999998"/>
  </r>
  <r>
    <n v="2303"/>
    <x v="0"/>
    <d v="2012-05-29T00:00:00"/>
    <x v="1"/>
    <x v="4"/>
    <n v="9.4042999999999992"/>
    <n v="9.9574999999999996"/>
    <n v="9.4042999999999992"/>
    <n v="9.81"/>
    <n v="69626"/>
    <n v="4.6162000000000001"/>
    <n v="5.8823999999999996"/>
  </r>
  <r>
    <n v="2330"/>
    <x v="1"/>
    <d v="2012-05-29T00:00:00"/>
    <x v="1"/>
    <x v="4"/>
    <n v="62.2468"/>
    <n v="62.774999999999999"/>
    <n v="61.869599999999998"/>
    <n v="62.0959"/>
    <n v="41171"/>
    <n v="0.85419999999999996"/>
    <n v="1.4634"/>
  </r>
  <r>
    <n v="2303"/>
    <x v="0"/>
    <d v="2012-05-30T00:00:00"/>
    <x v="2"/>
    <x v="4"/>
    <n v="9.9207000000000001"/>
    <n v="9.9207000000000001"/>
    <n v="9.6256000000000004"/>
    <n v="9.8468999999999998"/>
    <n v="40547"/>
    <n v="0.37519999999999998"/>
    <n v="3.0651000000000002"/>
  </r>
  <r>
    <n v="2330"/>
    <x v="1"/>
    <d v="2012-05-30T00:00:00"/>
    <x v="2"/>
    <x v="4"/>
    <n v="61.567799999999998"/>
    <n v="61.869599999999998"/>
    <n v="60.5869"/>
    <n v="61.6432"/>
    <n v="75751"/>
    <n v="-0.73170000000000002"/>
    <n v="2.1171000000000002"/>
  </r>
  <r>
    <n v="2303"/>
    <x v="0"/>
    <d v="2012-05-31T00:00:00"/>
    <x v="3"/>
    <x v="4"/>
    <n v="9.6256000000000004"/>
    <n v="9.6994000000000007"/>
    <n v="9.5150000000000006"/>
    <n v="9.6624999999999996"/>
    <n v="42314"/>
    <n v="-1.8904000000000001"/>
    <n v="1.9379999999999999"/>
  </r>
  <r>
    <n v="2330"/>
    <x v="1"/>
    <d v="2012-05-31T00:00:00"/>
    <x v="3"/>
    <x v="4"/>
    <n v="60.7378"/>
    <n v="64.208500000000001"/>
    <n v="60.1342"/>
    <n v="64.208500000000001"/>
    <n v="89332"/>
    <n v="4.0773000000000001"/>
    <n v="6.7754000000000003"/>
  </r>
  <r>
    <n v="2303"/>
    <x v="0"/>
    <d v="2012-06-01T00:00:00"/>
    <x v="4"/>
    <x v="5"/>
    <n v="9.5150000000000006"/>
    <n v="9.5150000000000006"/>
    <n v="9.2199000000000009"/>
    <n v="9.2568000000000001"/>
    <n v="63169"/>
    <n v="-4.2892000000000001"/>
    <n v="3.2"/>
  </r>
  <r>
    <n v="2330"/>
    <x v="1"/>
    <d v="2012-06-01T00:00:00"/>
    <x v="4"/>
    <x v="5"/>
    <n v="61.6432"/>
    <n v="61.6432"/>
    <n v="60.2851"/>
    <n v="60.2851"/>
    <n v="66924"/>
    <n v="-6.3051000000000004"/>
    <n v="2.2528000000000001"/>
  </r>
  <r>
    <n v="2303"/>
    <x v="0"/>
    <d v="2012-06-04T00:00:00"/>
    <x v="0"/>
    <x v="5"/>
    <n v="8.9986999999999995"/>
    <n v="8.9986999999999995"/>
    <n v="8.6298999999999992"/>
    <n v="8.7405000000000008"/>
    <n v="76694"/>
    <n v="-5.7393000000000001"/>
    <n v="4.2735000000000003"/>
  </r>
  <r>
    <n v="2330"/>
    <x v="1"/>
    <d v="2012-06-04T00:00:00"/>
    <x v="0"/>
    <x v="5"/>
    <n v="57.719799999999999"/>
    <n v="58.172499999999999"/>
    <n v="57.417999999999999"/>
    <n v="57.719799999999999"/>
    <n v="66008"/>
    <n v="-4.3484999999999996"/>
    <n v="1.3141"/>
  </r>
  <r>
    <n v="2303"/>
    <x v="0"/>
    <d v="2012-06-05T00:00:00"/>
    <x v="1"/>
    <x v="5"/>
    <n v="8.8511000000000006"/>
    <n v="8.9248999999999992"/>
    <n v="8.6667000000000005"/>
    <n v="8.7035999999999998"/>
    <n v="56513"/>
    <n v="-0.42280000000000001"/>
    <n v="2.9786999999999999"/>
  </r>
  <r>
    <n v="2330"/>
    <x v="1"/>
    <d v="2012-06-05T00:00:00"/>
    <x v="1"/>
    <x v="5"/>
    <n v="58.474299999999999"/>
    <n v="59.002400000000002"/>
    <n v="58.247900000000001"/>
    <n v="59.002400000000002"/>
    <n v="37616"/>
    <n v="2.1979000000000002"/>
    <n v="1.2952999999999999"/>
  </r>
  <r>
    <n v="2303"/>
    <x v="0"/>
    <d v="2012-06-06T00:00:00"/>
    <x v="2"/>
    <x v="5"/>
    <n v="8.7405000000000008"/>
    <n v="8.7774000000000001"/>
    <n v="8.6298999999999992"/>
    <n v="8.7405000000000008"/>
    <n v="55154"/>
    <n v="0.42280000000000001"/>
    <n v="1.7094"/>
  </r>
  <r>
    <n v="2330"/>
    <x v="1"/>
    <d v="2012-06-06T00:00:00"/>
    <x v="2"/>
    <x v="5"/>
    <n v="59.002400000000002"/>
    <n v="59.304299999999998"/>
    <n v="58.474299999999999"/>
    <n v="58.700600000000001"/>
    <n v="33715"/>
    <n v="-0.51280000000000003"/>
    <n v="1.4194"/>
  </r>
  <r>
    <n v="2303"/>
    <x v="0"/>
    <d v="2012-06-07T00:00:00"/>
    <x v="3"/>
    <x v="5"/>
    <n v="8.9248999999999992"/>
    <n v="8.9248999999999992"/>
    <n v="8.7035999999999998"/>
    <n v="8.7774000000000001"/>
    <n v="37904"/>
    <n v="0.42109999999999997"/>
    <n v="2.5424000000000002"/>
  </r>
  <r>
    <n v="2330"/>
    <x v="1"/>
    <d v="2012-06-07T00:00:00"/>
    <x v="3"/>
    <x v="5"/>
    <n v="59.907899999999998"/>
    <n v="60.209699999999998"/>
    <n v="59.304299999999998"/>
    <n v="60.209699999999998"/>
    <n v="47699"/>
    <n v="2.5381999999999998"/>
    <n v="1.5266999999999999"/>
  </r>
  <r>
    <n v="2303"/>
    <x v="0"/>
    <d v="2012-06-08T00:00:00"/>
    <x v="4"/>
    <x v="5"/>
    <n v="8.7774000000000001"/>
    <n v="8.8511000000000006"/>
    <n v="8.7035999999999998"/>
    <n v="8.8511000000000006"/>
    <n v="18807"/>
    <n v="0.83679999999999999"/>
    <n v="1.6949000000000001"/>
  </r>
  <r>
    <n v="2330"/>
    <x v="1"/>
    <d v="2012-06-08T00:00:00"/>
    <x v="4"/>
    <x v="5"/>
    <n v="58.097000000000001"/>
    <n v="59.3797"/>
    <n v="58.097000000000001"/>
    <n v="58.7761"/>
    <n v="35987"/>
    <n v="-2.4098000000000002"/>
    <n v="2.2078000000000002"/>
  </r>
  <r>
    <n v="2303"/>
    <x v="0"/>
    <d v="2012-06-11T00:00:00"/>
    <x v="0"/>
    <x v="5"/>
    <n v="8.9618000000000002"/>
    <n v="9.0355000000000008"/>
    <n v="8.8511000000000006"/>
    <n v="8.9248999999999992"/>
    <n v="33540"/>
    <n v="0.82989999999999997"/>
    <n v="2.0832999999999999"/>
  </r>
  <r>
    <n v="2330"/>
    <x v="1"/>
    <d v="2012-06-11T00:00:00"/>
    <x v="0"/>
    <x v="5"/>
    <n v="60.2851"/>
    <n v="60.7378"/>
    <n v="60.058799999999998"/>
    <n v="60.662399999999998"/>
    <n v="40596"/>
    <n v="3.1587999999999998"/>
    <n v="1.1307"/>
  </r>
  <r>
    <n v="2303"/>
    <x v="0"/>
    <d v="2012-06-12T00:00:00"/>
    <x v="1"/>
    <x v="5"/>
    <n v="8.7774000000000001"/>
    <n v="9.0355000000000008"/>
    <n v="8.7774000000000001"/>
    <n v="9.0355000000000008"/>
    <n v="28515"/>
    <n v="1.232"/>
    <n v="2.9411999999999998"/>
  </r>
  <r>
    <n v="2330"/>
    <x v="1"/>
    <d v="2012-06-12T00:00:00"/>
    <x v="1"/>
    <x v="5"/>
    <n v="59.2288"/>
    <n v="60.209699999999998"/>
    <n v="59.2288"/>
    <n v="59.907899999999998"/>
    <n v="38319"/>
    <n v="-1.2516"/>
    <n v="1.6560999999999999"/>
  </r>
  <r>
    <n v="2303"/>
    <x v="0"/>
    <d v="2012-06-13T00:00:00"/>
    <x v="2"/>
    <x v="5"/>
    <n v="9.0724"/>
    <n v="9.0724"/>
    <n v="8.9618000000000002"/>
    <n v="9.0724"/>
    <n v="23788"/>
    <n v="0.4073"/>
    <n v="1.2345999999999999"/>
  </r>
  <r>
    <n v="2330"/>
    <x v="1"/>
    <d v="2012-06-13T00:00:00"/>
    <x v="2"/>
    <x v="5"/>
    <n v="60.964199999999998"/>
    <n v="60.964199999999998"/>
    <n v="59.9833"/>
    <n v="60.360599999999998"/>
    <n v="32284"/>
    <n v="0.75280000000000002"/>
    <n v="1.6352"/>
  </r>
  <r>
    <n v="2303"/>
    <x v="0"/>
    <d v="2012-06-14T00:00:00"/>
    <x v="3"/>
    <x v="5"/>
    <n v="8.9618000000000002"/>
    <n v="8.9986999999999995"/>
    <n v="8.9248999999999992"/>
    <n v="8.9618000000000002"/>
    <n v="21940"/>
    <n v="-1.2270000000000001"/>
    <n v="0.82640000000000002"/>
  </r>
  <r>
    <n v="2330"/>
    <x v="1"/>
    <d v="2012-06-14T00:00:00"/>
    <x v="3"/>
    <x v="5"/>
    <n v="60.360599999999998"/>
    <n v="60.511499999999998"/>
    <n v="59.6815"/>
    <n v="59.756999999999998"/>
    <n v="31161"/>
    <n v="-1.0049999999999999"/>
    <n v="1.3906000000000001"/>
  </r>
  <r>
    <n v="2303"/>
    <x v="0"/>
    <d v="2012-06-15T00:00:00"/>
    <x v="4"/>
    <x v="5"/>
    <n v="8.9618000000000002"/>
    <n v="9.0355000000000008"/>
    <n v="8.9248999999999992"/>
    <n v="9.0355000000000008"/>
    <n v="70408"/>
    <n v="0.81969999999999998"/>
    <n v="1.2397"/>
  </r>
  <r>
    <n v="2330"/>
    <x v="1"/>
    <d v="2012-06-15T00:00:00"/>
    <x v="4"/>
    <x v="5"/>
    <n v="59.756999999999998"/>
    <n v="59.9833"/>
    <n v="58.927"/>
    <n v="58.927"/>
    <n v="89900"/>
    <n v="-1.3986000000000001"/>
    <n v="1.7926"/>
  </r>
  <r>
    <n v="2303"/>
    <x v="0"/>
    <d v="2012-06-18T00:00:00"/>
    <x v="0"/>
    <x v="5"/>
    <n v="9.2199000000000009"/>
    <n v="9.2936999999999994"/>
    <n v="9.0724"/>
    <n v="9.1092999999999993"/>
    <n v="45382"/>
    <n v="0.81299999999999994"/>
    <n v="2.4390000000000001"/>
  </r>
  <r>
    <n v="2330"/>
    <x v="1"/>
    <d v="2012-06-18T00:00:00"/>
    <x v="0"/>
    <x v="5"/>
    <n v="60.360599999999998"/>
    <n v="61.115099999999998"/>
    <n v="60.360599999999998"/>
    <n v="60.964199999999998"/>
    <n v="33737"/>
    <n v="3.3986999999999998"/>
    <n v="1.25"/>
  </r>
  <r>
    <n v="2303"/>
    <x v="0"/>
    <d v="2012-06-19T00:00:00"/>
    <x v="1"/>
    <x v="5"/>
    <n v="9.1830999999999996"/>
    <n v="9.1830999999999996"/>
    <n v="9.0724"/>
    <n v="9.1092999999999993"/>
    <n v="12074"/>
    <n v="0"/>
    <n v="1.2195"/>
  </r>
  <r>
    <n v="2330"/>
    <x v="1"/>
    <d v="2012-06-19T00:00:00"/>
    <x v="1"/>
    <x v="5"/>
    <n v="61.0396"/>
    <n v="61.0396"/>
    <n v="60.360599999999998"/>
    <n v="60.7378"/>
    <n v="28910"/>
    <n v="-0.372"/>
    <n v="1.125"/>
  </r>
  <r>
    <n v="2303"/>
    <x v="0"/>
    <d v="2012-06-20T00:00:00"/>
    <x v="2"/>
    <x v="5"/>
    <n v="9.2568000000000001"/>
    <n v="9.3674999999999997"/>
    <n v="9.1830999999999996"/>
    <n v="9.3674999999999997"/>
    <n v="34500"/>
    <n v="2.7946"/>
    <n v="2.008"/>
  </r>
  <r>
    <n v="2330"/>
    <x v="1"/>
    <d v="2012-06-20T00:00:00"/>
    <x v="2"/>
    <x v="5"/>
    <n v="61.3414"/>
    <n v="61.567799999999998"/>
    <n v="60.7378"/>
    <n v="61.567799999999998"/>
    <n v="35326"/>
    <n v="1.3572"/>
    <n v="1.3665"/>
  </r>
  <r>
    <n v="2303"/>
    <x v="0"/>
    <d v="2012-06-21T00:00:00"/>
    <x v="3"/>
    <x v="5"/>
    <n v="9.3674999999999997"/>
    <n v="9.5886999999999993"/>
    <n v="9.3306000000000004"/>
    <n v="9.4780999999999995"/>
    <n v="35929"/>
    <n v="1.1741999999999999"/>
    <n v="2.7667999999999999"/>
  </r>
  <r>
    <n v="2330"/>
    <x v="1"/>
    <d v="2012-06-21T00:00:00"/>
    <x v="3"/>
    <x v="5"/>
    <n v="60.7378"/>
    <n v="61.115099999999998"/>
    <n v="60.5869"/>
    <n v="60.813299999999998"/>
    <n v="27063"/>
    <n v="-1.2331000000000001"/>
    <n v="0.87170000000000003"/>
  </r>
  <r>
    <n v="2303"/>
    <x v="0"/>
    <d v="2012-06-22T00:00:00"/>
    <x v="4"/>
    <x v="5"/>
    <n v="9.2936999999999994"/>
    <n v="9.3306000000000004"/>
    <n v="9.2199000000000009"/>
    <n v="9.2199000000000009"/>
    <n v="26429"/>
    <n v="-2.7614999999999998"/>
    <n v="1.2"/>
  </r>
  <r>
    <n v="2330"/>
    <x v="1"/>
    <d v="2012-06-22T00:00:00"/>
    <x v="4"/>
    <x v="5"/>
    <n v="60.360599999999998"/>
    <n v="61.115099999999998"/>
    <n v="60.2851"/>
    <n v="60.436"/>
    <n v="31117"/>
    <n v="-0.62229999999999996"/>
    <n v="1.3767"/>
  </r>
  <r>
    <n v="2303"/>
    <x v="0"/>
    <d v="2012-06-25T00:00:00"/>
    <x v="0"/>
    <x v="5"/>
    <n v="9.1092999999999993"/>
    <n v="9.1830999999999996"/>
    <n v="9.0355000000000008"/>
    <n v="9.0355000000000008"/>
    <n v="17111"/>
    <n v="-2.0203000000000002"/>
    <n v="1.6327"/>
  </r>
  <r>
    <n v="2330"/>
    <x v="1"/>
    <d v="2012-06-25T00:00:00"/>
    <x v="0"/>
    <x v="5"/>
    <n v="60.964199999999998"/>
    <n v="60.964199999999998"/>
    <n v="59.6815"/>
    <n v="60.058799999999998"/>
    <n v="40786"/>
    <n v="-0.62619999999999998"/>
    <n v="2.1492"/>
  </r>
  <r>
    <n v="2303"/>
    <x v="0"/>
    <d v="2012-06-26T00:00:00"/>
    <x v="1"/>
    <x v="5"/>
    <n v="8.9618000000000002"/>
    <n v="9.1462000000000003"/>
    <n v="8.9618000000000002"/>
    <n v="9.0355000000000008"/>
    <n v="21544"/>
    <n v="0"/>
    <n v="2.0575999999999999"/>
  </r>
  <r>
    <n v="2330"/>
    <x v="1"/>
    <d v="2012-06-26T00:00:00"/>
    <x v="1"/>
    <x v="5"/>
    <n v="59.606099999999998"/>
    <n v="59.6815"/>
    <n v="59.0779"/>
    <n v="59.3797"/>
    <n v="42391"/>
    <n v="-1.1371"/>
    <n v="1.0217000000000001"/>
  </r>
  <r>
    <n v="2303"/>
    <x v="0"/>
    <d v="2012-06-27T00:00:00"/>
    <x v="2"/>
    <x v="5"/>
    <n v="9.0355000000000008"/>
    <n v="9.1462000000000003"/>
    <n v="8.9986999999999995"/>
    <n v="8.9986999999999995"/>
    <n v="18505"/>
    <n v="-0.40899999999999997"/>
    <n v="1.6393"/>
  </r>
  <r>
    <n v="2330"/>
    <x v="1"/>
    <d v="2012-06-27T00:00:00"/>
    <x v="2"/>
    <x v="5"/>
    <n v="59.0779"/>
    <n v="59.9833"/>
    <n v="59.002400000000002"/>
    <n v="59.8324"/>
    <n v="32770"/>
    <n v="0.75949999999999995"/>
    <n v="1.6624000000000001"/>
  </r>
  <r>
    <n v="2303"/>
    <x v="0"/>
    <d v="2012-06-28T00:00:00"/>
    <x v="3"/>
    <x v="5"/>
    <n v="9.1462000000000003"/>
    <n v="9.1462000000000003"/>
    <n v="8.9248999999999992"/>
    <n v="8.9248999999999992"/>
    <n v="24578"/>
    <n v="-0.82299999999999995"/>
    <n v="2.4792999999999998"/>
  </r>
  <r>
    <n v="2330"/>
    <x v="1"/>
    <d v="2012-06-28T00:00:00"/>
    <x v="3"/>
    <x v="5"/>
    <n v="60.360599999999998"/>
    <n v="60.5869"/>
    <n v="59.9833"/>
    <n v="60.2851"/>
    <n v="33113"/>
    <n v="0.75380000000000003"/>
    <n v="1.0063"/>
  </r>
  <r>
    <n v="2303"/>
    <x v="0"/>
    <d v="2012-06-29T00:00:00"/>
    <x v="4"/>
    <x v="5"/>
    <n v="8.9986999999999995"/>
    <n v="9.5150000000000006"/>
    <n v="8.9618000000000002"/>
    <n v="9.5150000000000006"/>
    <n v="74124"/>
    <n v="6.4021999999999997"/>
    <n v="6.1727999999999996"/>
  </r>
  <r>
    <n v="2330"/>
    <x v="1"/>
    <d v="2012-06-29T00:00:00"/>
    <x v="4"/>
    <x v="5"/>
    <n v="60.058799999999998"/>
    <n v="61.3414"/>
    <n v="59.8324"/>
    <n v="61.3414"/>
    <n v="50919"/>
    <n v="1.7370000000000001"/>
    <n v="2.5221"/>
  </r>
  <r>
    <n v="2303"/>
    <x v="0"/>
    <d v="2012-07-02T00:00:00"/>
    <x v="0"/>
    <x v="6"/>
    <n v="9.6256000000000004"/>
    <n v="9.9574999999999996"/>
    <n v="9.6256000000000004"/>
    <n v="9.8838000000000008"/>
    <n v="71831"/>
    <n v="3.8027000000000002"/>
    <n v="3.4483000000000001"/>
  </r>
  <r>
    <n v="2330"/>
    <x v="1"/>
    <d v="2012-07-02T00:00:00"/>
    <x v="0"/>
    <x v="6"/>
    <n v="61.4923"/>
    <n v="63.152200000000001"/>
    <n v="61.4923"/>
    <n v="62.8504"/>
    <n v="64377"/>
    <n v="2.4302999999999999"/>
    <n v="2.6993999999999998"/>
  </r>
  <r>
    <n v="2303"/>
    <x v="0"/>
    <d v="2012-07-03T00:00:00"/>
    <x v="1"/>
    <x v="6"/>
    <n v="9.8468999999999998"/>
    <n v="9.9944000000000006"/>
    <n v="9.7363"/>
    <n v="9.8838000000000008"/>
    <n v="64047"/>
    <n v="0"/>
    <n v="2.6515"/>
  </r>
  <r>
    <n v="2330"/>
    <x v="1"/>
    <d v="2012-07-03T00:00:00"/>
    <x v="1"/>
    <x v="6"/>
    <n v="63.076799999999999"/>
    <n v="64.057599999999994"/>
    <n v="62.925899999999999"/>
    <n v="63.529499999999999"/>
    <n v="60850"/>
    <n v="1.0746"/>
    <n v="1.7986"/>
  </r>
  <r>
    <n v="2303"/>
    <x v="0"/>
    <d v="2012-07-04T00:00:00"/>
    <x v="2"/>
    <x v="6"/>
    <n v="9.8838000000000008"/>
    <n v="9.9207000000000001"/>
    <n v="9.6994000000000007"/>
    <n v="9.7363"/>
    <n v="38942"/>
    <n v="-1.5038"/>
    <n v="2.2814000000000001"/>
  </r>
  <r>
    <n v="2330"/>
    <x v="1"/>
    <d v="2012-07-04T00:00:00"/>
    <x v="2"/>
    <x v="6"/>
    <n v="64.233199999999997"/>
    <n v="64.233199999999997"/>
    <n v="63.5291"/>
    <n v="63.5291"/>
    <n v="44220"/>
    <n v="-5.9999999999999995E-4"/>
    <n v="1.1084000000000001"/>
  </r>
  <r>
    <n v="2303"/>
    <x v="0"/>
    <d v="2012-07-05T00:00:00"/>
    <x v="3"/>
    <x v="6"/>
    <n v="9.7363"/>
    <n v="9.8468999999999998"/>
    <n v="9.6256000000000004"/>
    <n v="9.6994000000000007"/>
    <n v="43185"/>
    <n v="-0.3795"/>
    <n v="2.2989000000000002"/>
  </r>
  <r>
    <n v="2330"/>
    <x v="1"/>
    <d v="2012-07-05T00:00:00"/>
    <x v="3"/>
    <x v="6"/>
    <n v="64.155000000000001"/>
    <n v="64.155000000000001"/>
    <n v="63.137900000000002"/>
    <n v="63.372599999999998"/>
    <n v="28556"/>
    <n v="-0.24660000000000001"/>
    <n v="1.6109"/>
  </r>
  <r>
    <n v="2303"/>
    <x v="0"/>
    <d v="2012-07-06T00:00:00"/>
    <x v="4"/>
    <x v="6"/>
    <n v="9.7730999999999995"/>
    <n v="9.7730999999999995"/>
    <n v="9.5518999999999998"/>
    <n v="9.5886999999999993"/>
    <n v="59629"/>
    <n v="-1.1472"/>
    <n v="2.3166000000000002"/>
  </r>
  <r>
    <n v="2330"/>
    <x v="1"/>
    <d v="2012-07-06T00:00:00"/>
    <x v="4"/>
    <x v="6"/>
    <n v="63.372599999999998"/>
    <n v="63.372599999999998"/>
    <n v="62.668500000000002"/>
    <n v="63.294400000000003"/>
    <n v="38187"/>
    <n v="-0.1235"/>
    <n v="1.1235999999999999"/>
  </r>
  <r>
    <n v="2303"/>
    <x v="0"/>
    <d v="2012-07-09T00:00:00"/>
    <x v="0"/>
    <x v="6"/>
    <n v="9.4734999999999996"/>
    <n v="9.5502000000000002"/>
    <n v="9.4352"/>
    <n v="9.4352"/>
    <n v="52837"/>
    <n v="-1.552"/>
    <n v="1.2195"/>
  </r>
  <r>
    <n v="2330"/>
    <x v="1"/>
    <d v="2012-07-09T00:00:00"/>
    <x v="0"/>
    <x v="6"/>
    <n v="62.512"/>
    <n v="62.825000000000003"/>
    <n v="62.277299999999997"/>
    <n v="62.590200000000003"/>
    <n v="45060"/>
    <n v="-1.1187"/>
    <n v="0.87939999999999996"/>
  </r>
  <r>
    <n v="2303"/>
    <x v="0"/>
    <d v="2012-07-10T00:00:00"/>
    <x v="1"/>
    <x v="6"/>
    <n v="9.5119000000000007"/>
    <n v="9.7420000000000009"/>
    <n v="9.5119000000000007"/>
    <n v="9.5119000000000007"/>
    <n v="39317"/>
    <n v="0.80969999999999998"/>
    <n v="2.4194"/>
  </r>
  <r>
    <n v="2330"/>
    <x v="1"/>
    <d v="2012-07-10T00:00:00"/>
    <x v="1"/>
    <x v="6"/>
    <n v="62.120800000000003"/>
    <n v="62.512"/>
    <n v="61.494900000000001"/>
    <n v="61.886099999999999"/>
    <n v="37141"/>
    <n v="-1.1314"/>
    <n v="1.6538999999999999"/>
  </r>
  <r>
    <n v="2303"/>
    <x v="0"/>
    <d v="2012-07-11T00:00:00"/>
    <x v="2"/>
    <x v="6"/>
    <n v="9.5885999999999996"/>
    <n v="9.5885999999999996"/>
    <n v="9.4352"/>
    <n v="9.4734999999999996"/>
    <n v="17940"/>
    <n v="-0.40400000000000003"/>
    <n v="1.6259999999999999"/>
  </r>
  <r>
    <n v="2330"/>
    <x v="1"/>
    <d v="2012-07-11T00:00:00"/>
    <x v="2"/>
    <x v="6"/>
    <n v="61.103700000000003"/>
    <n v="61.260199999999998"/>
    <n v="60.556100000000001"/>
    <n v="61.103700000000003"/>
    <n v="59419"/>
    <n v="-1.2723"/>
    <n v="1.1628000000000001"/>
  </r>
  <r>
    <n v="2303"/>
    <x v="0"/>
    <d v="2012-07-12T00:00:00"/>
    <x v="3"/>
    <x v="6"/>
    <n v="9.4734999999999996"/>
    <n v="9.4734999999999996"/>
    <n v="9.2050000000000001"/>
    <n v="9.2433999999999994"/>
    <n v="38079"/>
    <n v="-2.4590999999999998"/>
    <n v="2.9167000000000001"/>
  </r>
  <r>
    <n v="2330"/>
    <x v="1"/>
    <d v="2012-07-12T00:00:00"/>
    <x v="3"/>
    <x v="6"/>
    <n v="60.634300000000003"/>
    <n v="60.634300000000003"/>
    <n v="59.225999999999999"/>
    <n v="59.225999999999999"/>
    <n v="69235"/>
    <n v="-3.1212"/>
    <n v="2.3778000000000001"/>
  </r>
  <r>
    <n v="2303"/>
    <x v="0"/>
    <d v="2012-07-13T00:00:00"/>
    <x v="4"/>
    <x v="6"/>
    <n v="9.1667000000000005"/>
    <n v="9.2817000000000007"/>
    <n v="9.1282999999999994"/>
    <n v="9.2050000000000001"/>
    <n v="26058"/>
    <n v="-0.4158"/>
    <n v="1.6807000000000001"/>
  </r>
  <r>
    <n v="2330"/>
    <x v="1"/>
    <d v="2012-07-13T00:00:00"/>
    <x v="4"/>
    <x v="6"/>
    <n v="58.600099999999998"/>
    <n v="59.460700000000003"/>
    <n v="58.287199999999999"/>
    <n v="59.304299999999998"/>
    <n v="52310"/>
    <n v="0.13200000000000001"/>
    <n v="2.0133999999999999"/>
  </r>
  <r>
    <n v="2303"/>
    <x v="0"/>
    <d v="2012-07-16T00:00:00"/>
    <x v="0"/>
    <x v="6"/>
    <n v="9.2050000000000001"/>
    <n v="9.3201000000000001"/>
    <n v="9.1667000000000005"/>
    <n v="9.2433999999999994"/>
    <n v="22815"/>
    <n v="0.4158"/>
    <n v="1.6736"/>
  </r>
  <r>
    <n v="2330"/>
    <x v="1"/>
    <d v="2012-07-16T00:00:00"/>
    <x v="0"/>
    <x v="6"/>
    <n v="59.695399999999999"/>
    <n v="59.695399999999999"/>
    <n v="59.069499999999998"/>
    <n v="59.069499999999998"/>
    <n v="41994"/>
    <n v="-0.39660000000000001"/>
    <n v="1.0596000000000001"/>
  </r>
  <r>
    <n v="2303"/>
    <x v="0"/>
    <d v="2012-07-17T00:00:00"/>
    <x v="1"/>
    <x v="6"/>
    <n v="9.2433999999999994"/>
    <n v="9.5885999999999996"/>
    <n v="9.2050000000000001"/>
    <n v="9.5502000000000002"/>
    <n v="31634"/>
    <n v="3.2656000000000001"/>
    <n v="4.1666999999999996"/>
  </r>
  <r>
    <n v="2330"/>
    <x v="1"/>
    <d v="2012-07-17T00:00:00"/>
    <x v="1"/>
    <x v="6"/>
    <n v="58.287199999999999"/>
    <n v="58.834800000000001"/>
    <n v="58.287199999999999"/>
    <n v="58.521900000000002"/>
    <n v="51879"/>
    <n v="-0.93149999999999999"/>
    <n v="0.93959999999999999"/>
  </r>
  <r>
    <n v="2303"/>
    <x v="0"/>
    <d v="2012-07-18T00:00:00"/>
    <x v="2"/>
    <x v="6"/>
    <n v="9.5119000000000007"/>
    <n v="9.5502000000000002"/>
    <n v="9.3201000000000001"/>
    <n v="9.3201000000000001"/>
    <n v="25213"/>
    <n v="-2.4390999999999998"/>
    <n v="2.4691000000000001"/>
  </r>
  <r>
    <n v="2330"/>
    <x v="1"/>
    <d v="2012-07-18T00:00:00"/>
    <x v="2"/>
    <x v="6"/>
    <n v="58.678400000000003"/>
    <n v="58.9131"/>
    <n v="58.521900000000002"/>
    <n v="58.521900000000002"/>
    <n v="38710"/>
    <n v="0"/>
    <n v="0.66839999999999999"/>
  </r>
  <r>
    <n v="2303"/>
    <x v="0"/>
    <d v="2012-07-19T00:00:00"/>
    <x v="3"/>
    <x v="6"/>
    <n v="9.4734999999999996"/>
    <n v="9.6653000000000002"/>
    <n v="9.4352"/>
    <n v="9.5885999999999996"/>
    <n v="30809"/>
    <n v="2.8399000000000001"/>
    <n v="2.4390000000000001"/>
  </r>
  <r>
    <n v="2330"/>
    <x v="1"/>
    <d v="2012-07-19T00:00:00"/>
    <x v="3"/>
    <x v="6"/>
    <n v="60.086599999999997"/>
    <n v="61.025500000000001"/>
    <n v="60.086599999999997"/>
    <n v="60.634300000000003"/>
    <n v="62113"/>
    <n v="3.5459999999999998"/>
    <n v="1.5625"/>
  </r>
  <r>
    <n v="2303"/>
    <x v="0"/>
    <d v="2012-07-20T00:00:00"/>
    <x v="4"/>
    <x v="6"/>
    <n v="9.5119000000000007"/>
    <n v="9.6268999999999991"/>
    <n v="9.4734999999999996"/>
    <n v="9.6268999999999991"/>
    <n v="31339"/>
    <n v="0.3992"/>
    <n v="1.6194"/>
  </r>
  <r>
    <n v="2330"/>
    <x v="1"/>
    <d v="2012-07-20T00:00:00"/>
    <x v="4"/>
    <x v="6"/>
    <n v="59.773699999999998"/>
    <n v="60.243099999999998"/>
    <n v="59.617199999999997"/>
    <n v="60.008400000000002"/>
    <n v="49932"/>
    <n v="-1.0376000000000001"/>
    <n v="1.0499000000000001"/>
  </r>
  <r>
    <n v="2303"/>
    <x v="0"/>
    <d v="2012-07-23T00:00:00"/>
    <x v="0"/>
    <x v="6"/>
    <n v="9.4734999999999996"/>
    <n v="9.5119000000000007"/>
    <n v="9.3201000000000001"/>
    <n v="9.4352"/>
    <n v="30281"/>
    <n v="-2.0121000000000002"/>
    <n v="2.0575999999999999"/>
  </r>
  <r>
    <n v="2330"/>
    <x v="1"/>
    <d v="2012-07-23T00:00:00"/>
    <x v="0"/>
    <x v="6"/>
    <n v="58.756599999999999"/>
    <n v="58.756599999999999"/>
    <n v="57.7395"/>
    <n v="58.130699999999997"/>
    <n v="57536"/>
    <n v="-3.1791"/>
    <n v="1.7615000000000001"/>
  </r>
  <r>
    <n v="2303"/>
    <x v="0"/>
    <d v="2012-07-24T00:00:00"/>
    <x v="1"/>
    <x v="6"/>
    <n v="9.4352"/>
    <n v="9.5119000000000007"/>
    <n v="9.3583999999999996"/>
    <n v="9.4734999999999996"/>
    <n v="22201"/>
    <n v="0.40570000000000001"/>
    <n v="1.6393"/>
  </r>
  <r>
    <n v="2330"/>
    <x v="1"/>
    <d v="2012-07-24T00:00:00"/>
    <x v="1"/>
    <x v="6"/>
    <n v="58.130699999999997"/>
    <n v="58.521900000000002"/>
    <n v="58.052399999999999"/>
    <n v="58.521900000000002"/>
    <n v="39973"/>
    <n v="0.67069999999999996"/>
    <n v="0.80859999999999999"/>
  </r>
  <r>
    <n v="2303"/>
    <x v="0"/>
    <d v="2012-07-25T00:00:00"/>
    <x v="2"/>
    <x v="6"/>
    <n v="9.2817000000000007"/>
    <n v="9.4352"/>
    <n v="9.2817000000000007"/>
    <n v="9.2817000000000007"/>
    <n v="29630"/>
    <n v="-2.0451000000000001"/>
    <n v="1.6529"/>
  </r>
  <r>
    <n v="2330"/>
    <x v="1"/>
    <d v="2012-07-25T00:00:00"/>
    <x v="2"/>
    <x v="6"/>
    <n v="58.678400000000003"/>
    <n v="58.834800000000001"/>
    <n v="58.2089"/>
    <n v="58.365400000000001"/>
    <n v="72480"/>
    <n v="-0.26769999999999999"/>
    <n v="1.0752999999999999"/>
  </r>
  <r>
    <n v="2303"/>
    <x v="0"/>
    <d v="2012-07-26T00:00:00"/>
    <x v="3"/>
    <x v="6"/>
    <n v="9.3201000000000001"/>
    <n v="9.4734999999999996"/>
    <n v="9.3201000000000001"/>
    <n v="9.3583999999999996"/>
    <n v="20904"/>
    <n v="0.82299999999999995"/>
    <n v="1.6460999999999999"/>
  </r>
  <r>
    <n v="2330"/>
    <x v="1"/>
    <d v="2012-07-26T00:00:00"/>
    <x v="3"/>
    <x v="6"/>
    <n v="59.225999999999999"/>
    <n v="60.008400000000002"/>
    <n v="58.834800000000001"/>
    <n v="59.695399999999999"/>
    <n v="47155"/>
    <n v="2.2532000000000001"/>
    <n v="1.9946999999999999"/>
  </r>
  <r>
    <n v="2303"/>
    <x v="0"/>
    <d v="2012-07-27T00:00:00"/>
    <x v="4"/>
    <x v="6"/>
    <n v="9.5119000000000007"/>
    <n v="9.5502000000000002"/>
    <n v="9.4352"/>
    <n v="9.5119000000000007"/>
    <n v="22813"/>
    <n v="1.6261000000000001"/>
    <n v="1.2195"/>
  </r>
  <r>
    <n v="2330"/>
    <x v="1"/>
    <d v="2012-07-27T00:00:00"/>
    <x v="4"/>
    <x v="6"/>
    <n v="60.947200000000002"/>
    <n v="62.120800000000003"/>
    <n v="60.3996"/>
    <n v="62.0426"/>
    <n v="73460"/>
    <n v="3.8565"/>
    <n v="2.8496999999999999"/>
  </r>
  <r>
    <n v="2303"/>
    <x v="0"/>
    <d v="2012-07-30T00:00:00"/>
    <x v="0"/>
    <x v="6"/>
    <n v="9.5885999999999996"/>
    <n v="9.6268999999999991"/>
    <n v="9.5119000000000007"/>
    <n v="9.5885999999999996"/>
    <n v="15134"/>
    <n v="0.80320000000000003"/>
    <n v="1.2097"/>
  </r>
  <r>
    <n v="2330"/>
    <x v="1"/>
    <d v="2012-07-30T00:00:00"/>
    <x v="0"/>
    <x v="6"/>
    <n v="62.590200000000003"/>
    <n v="62.903199999999998"/>
    <n v="61.651400000000002"/>
    <n v="61.807899999999997"/>
    <n v="51381"/>
    <n v="-0.379"/>
    <n v="2.0305"/>
  </r>
  <r>
    <n v="2303"/>
    <x v="0"/>
    <d v="2012-07-31T00:00:00"/>
    <x v="1"/>
    <x v="6"/>
    <n v="9.5885999999999996"/>
    <n v="9.7035999999999998"/>
    <n v="9.5119000000000007"/>
    <n v="9.6653000000000002"/>
    <n v="38164"/>
    <n v="0.79679999999999995"/>
    <n v="2.0160999999999998"/>
  </r>
  <r>
    <n v="2330"/>
    <x v="1"/>
    <d v="2012-07-31T00:00:00"/>
    <x v="1"/>
    <x v="6"/>
    <n v="61.416699999999999"/>
    <n v="63.372599999999998"/>
    <n v="61.416699999999999"/>
    <n v="63.372599999999998"/>
    <n v="68248"/>
    <n v="2.5001000000000002"/>
    <n v="3.1846999999999999"/>
  </r>
  <r>
    <n v="2303"/>
    <x v="0"/>
    <d v="2012-08-01T00:00:00"/>
    <x v="2"/>
    <x v="7"/>
    <n v="9.5885999999999996"/>
    <n v="9.6653000000000002"/>
    <n v="9.5119000000000007"/>
    <n v="9.6268999999999991"/>
    <n v="18646"/>
    <n v="-0.39760000000000001"/>
    <n v="1.6129"/>
  </r>
  <r>
    <n v="2330"/>
    <x v="1"/>
    <d v="2012-08-01T00:00:00"/>
    <x v="2"/>
    <x v="7"/>
    <n v="62.668500000000002"/>
    <n v="62.981400000000001"/>
    <n v="62.120800000000003"/>
    <n v="62.590200000000003"/>
    <n v="43525"/>
    <n v="-1.2423"/>
    <n v="1.3854"/>
  </r>
  <r>
    <n v="2303"/>
    <x v="0"/>
    <d v="2012-08-03T00:00:00"/>
    <x v="4"/>
    <x v="7"/>
    <n v="9.5502000000000002"/>
    <n v="9.5885999999999996"/>
    <n v="9.4734999999999996"/>
    <n v="9.5119000000000007"/>
    <n v="26427"/>
    <n v="-1.2023999999999999"/>
    <n v="1.2145999999999999"/>
  </r>
  <r>
    <n v="2330"/>
    <x v="1"/>
    <d v="2012-08-03T00:00:00"/>
    <x v="4"/>
    <x v="7"/>
    <n v="62.199100000000001"/>
    <n v="62.668500000000002"/>
    <n v="61.964300000000001"/>
    <n v="62.433799999999998"/>
    <n v="47301"/>
    <n v="-0.25030000000000002"/>
    <n v="1.1364000000000001"/>
  </r>
  <r>
    <n v="2303"/>
    <x v="0"/>
    <d v="2012-08-06T00:00:00"/>
    <x v="0"/>
    <x v="7"/>
    <n v="9.6653000000000002"/>
    <n v="9.7420000000000009"/>
    <n v="9.5885999999999996"/>
    <n v="9.7420000000000009"/>
    <n v="35591"/>
    <n v="2.3906000000000001"/>
    <n v="1.6"/>
  </r>
  <r>
    <n v="2330"/>
    <x v="1"/>
    <d v="2012-08-06T00:00:00"/>
    <x v="0"/>
    <x v="7"/>
    <n v="63.294400000000003"/>
    <n v="63.763800000000003"/>
    <n v="63.137900000000002"/>
    <n v="63.294400000000003"/>
    <n v="58469"/>
    <n v="1.369"/>
    <n v="0.99129999999999996"/>
  </r>
  <r>
    <n v="2303"/>
    <x v="0"/>
    <d v="2012-08-07T00:00:00"/>
    <x v="1"/>
    <x v="7"/>
    <n v="9.7035999999999998"/>
    <n v="9.7420000000000009"/>
    <n v="9.6268999999999991"/>
    <n v="9.7420000000000009"/>
    <n v="26164"/>
    <n v="0"/>
    <n v="1.1952"/>
  </r>
  <r>
    <n v="2330"/>
    <x v="1"/>
    <d v="2012-08-07T00:00:00"/>
    <x v="1"/>
    <x v="7"/>
    <n v="63.607300000000002"/>
    <n v="63.685600000000001"/>
    <n v="63.137900000000002"/>
    <n v="63.685600000000001"/>
    <n v="40186"/>
    <n v="0.61609999999999998"/>
    <n v="0.86739999999999995"/>
  </r>
  <r>
    <n v="2303"/>
    <x v="0"/>
    <d v="2012-08-08T00:00:00"/>
    <x v="2"/>
    <x v="7"/>
    <n v="9.8954000000000004"/>
    <n v="9.8954000000000004"/>
    <n v="9.7420000000000009"/>
    <n v="9.7803000000000004"/>
    <n v="24630"/>
    <n v="0.39290000000000003"/>
    <n v="1.5748"/>
  </r>
  <r>
    <n v="2330"/>
    <x v="1"/>
    <d v="2012-08-08T00:00:00"/>
    <x v="2"/>
    <x v="7"/>
    <n v="64.076800000000006"/>
    <n v="64.076800000000006"/>
    <n v="62.668500000000002"/>
    <n v="62.981400000000001"/>
    <n v="40138"/>
    <n v="-1.1117999999999999"/>
    <n v="2.2471999999999999"/>
  </r>
  <r>
    <n v="2303"/>
    <x v="0"/>
    <d v="2012-08-09T00:00:00"/>
    <x v="3"/>
    <x v="7"/>
    <n v="9.8954000000000004"/>
    <n v="9.9720999999999993"/>
    <n v="9.8186999999999998"/>
    <n v="9.8571000000000009"/>
    <n v="44337"/>
    <n v="0.78129999999999999"/>
    <n v="1.5625"/>
  </r>
  <r>
    <n v="2330"/>
    <x v="1"/>
    <d v="2012-08-09T00:00:00"/>
    <x v="3"/>
    <x v="7"/>
    <n v="63.607300000000002"/>
    <n v="64.389700000000005"/>
    <n v="63.607300000000002"/>
    <n v="64.389700000000005"/>
    <n v="54299"/>
    <n v="2.2113999999999998"/>
    <n v="1.23"/>
  </r>
  <r>
    <n v="2303"/>
    <x v="0"/>
    <d v="2012-08-10T00:00:00"/>
    <x v="4"/>
    <x v="7"/>
    <n v="9.8571000000000009"/>
    <n v="9.8571000000000009"/>
    <n v="9.6268999999999991"/>
    <n v="9.7420000000000009"/>
    <n v="27008"/>
    <n v="-1.1741999999999999"/>
    <n v="2.3904000000000001"/>
  </r>
  <r>
    <n v="2330"/>
    <x v="1"/>
    <d v="2012-08-10T00:00:00"/>
    <x v="4"/>
    <x v="7"/>
    <n v="64.389700000000005"/>
    <n v="64.4679"/>
    <n v="63.5291"/>
    <n v="64.155000000000001"/>
    <n v="30075"/>
    <n v="-0.36520000000000002"/>
    <n v="1.4778"/>
  </r>
  <r>
    <n v="2303"/>
    <x v="0"/>
    <d v="2012-08-13T00:00:00"/>
    <x v="0"/>
    <x v="7"/>
    <n v="9.8954000000000004"/>
    <n v="9.8954000000000004"/>
    <n v="9.5885999999999996"/>
    <n v="9.5885999999999996"/>
    <n v="22997"/>
    <n v="-1.5872999999999999"/>
    <n v="3.2"/>
  </r>
  <r>
    <n v="2330"/>
    <x v="1"/>
    <d v="2012-08-13T00:00:00"/>
    <x v="0"/>
    <x v="7"/>
    <n v="65.563299999999998"/>
    <n v="65.563299999999998"/>
    <n v="64.546199999999999"/>
    <n v="64.702699999999993"/>
    <n v="30295"/>
    <n v="0.85"/>
    <n v="1.5758000000000001"/>
  </r>
  <r>
    <n v="2303"/>
    <x v="0"/>
    <d v="2012-08-14T00:00:00"/>
    <x v="1"/>
    <x v="7"/>
    <n v="9.6268999999999991"/>
    <n v="9.7803000000000004"/>
    <n v="9.5502000000000002"/>
    <n v="9.5885999999999996"/>
    <n v="34209"/>
    <n v="0"/>
    <n v="2.4096000000000002"/>
  </r>
  <r>
    <n v="2330"/>
    <x v="1"/>
    <d v="2012-08-14T00:00:00"/>
    <x v="1"/>
    <x v="7"/>
    <n v="64.937399999999997"/>
    <n v="65.563299999999998"/>
    <n v="64.780900000000003"/>
    <n v="65.093800000000002"/>
    <n v="33337"/>
    <n v="0.6028"/>
    <n v="1.2077"/>
  </r>
  <r>
    <n v="2303"/>
    <x v="0"/>
    <d v="2012-08-15T00:00:00"/>
    <x v="2"/>
    <x v="7"/>
    <n v="9.5502000000000002"/>
    <n v="9.6268999999999991"/>
    <n v="9.4352"/>
    <n v="9.5502000000000002"/>
    <n v="33242"/>
    <n v="-0.40079999999999999"/>
    <n v="2.0325000000000002"/>
  </r>
  <r>
    <n v="2330"/>
    <x v="1"/>
    <d v="2012-08-15T00:00:00"/>
    <x v="2"/>
    <x v="7"/>
    <n v="65.484999999999999"/>
    <n v="65.484999999999999"/>
    <n v="64.546199999999999"/>
    <n v="64.937399999999997"/>
    <n v="27500"/>
    <n v="-0.2407"/>
    <n v="1.4544999999999999"/>
  </r>
  <r>
    <n v="2303"/>
    <x v="0"/>
    <d v="2012-08-16T00:00:00"/>
    <x v="3"/>
    <x v="7"/>
    <n v="9.5119000000000007"/>
    <n v="9.5885999999999996"/>
    <n v="9.4734999999999996"/>
    <n v="9.4734999999999996"/>
    <n v="29121"/>
    <n v="-0.80649999999999999"/>
    <n v="1.2145999999999999"/>
  </r>
  <r>
    <n v="2330"/>
    <x v="1"/>
    <d v="2012-08-16T00:00:00"/>
    <x v="3"/>
    <x v="7"/>
    <n v="64.937399999999997"/>
    <n v="65.250299999999996"/>
    <n v="64.546199999999999"/>
    <n v="64.859099999999998"/>
    <n v="28242"/>
    <n v="-0.1206"/>
    <n v="1.0909"/>
  </r>
  <r>
    <n v="2303"/>
    <x v="0"/>
    <d v="2012-08-17T00:00:00"/>
    <x v="4"/>
    <x v="7"/>
    <n v="9.4734999999999996"/>
    <n v="9.5885999999999996"/>
    <n v="9.3968000000000007"/>
    <n v="9.5502000000000002"/>
    <n v="49728"/>
    <n v="0.80649999999999999"/>
    <n v="2.0407999999999999"/>
  </r>
  <r>
    <n v="2330"/>
    <x v="1"/>
    <d v="2012-08-17T00:00:00"/>
    <x v="4"/>
    <x v="7"/>
    <n v="64.937399999999997"/>
    <n v="65.093800000000002"/>
    <n v="64.155000000000001"/>
    <n v="64.155000000000001"/>
    <n v="30136"/>
    <n v="-1.0915999999999999"/>
    <n v="1.4634"/>
  </r>
  <r>
    <n v="2303"/>
    <x v="0"/>
    <d v="2012-08-20T00:00:00"/>
    <x v="0"/>
    <x v="7"/>
    <n v="9.5502000000000002"/>
    <n v="9.5502000000000002"/>
    <n v="9.2817000000000007"/>
    <n v="9.3201000000000001"/>
    <n v="49705"/>
    <n v="-2.4390999999999998"/>
    <n v="2.8925999999999998"/>
  </r>
  <r>
    <n v="2330"/>
    <x v="1"/>
    <d v="2012-08-20T00:00:00"/>
    <x v="0"/>
    <x v="7"/>
    <n v="64.702699999999993"/>
    <n v="64.702699999999993"/>
    <n v="64.076800000000006"/>
    <n v="64.4679"/>
    <n v="26037"/>
    <n v="0.48659999999999998"/>
    <n v="0.9768"/>
  </r>
  <r>
    <n v="2303"/>
    <x v="0"/>
    <d v="2012-08-21T00:00:00"/>
    <x v="1"/>
    <x v="7"/>
    <n v="9.3201000000000001"/>
    <n v="9.4352"/>
    <n v="9.3201000000000001"/>
    <n v="9.3583999999999996"/>
    <n v="44588"/>
    <n v="0.41070000000000001"/>
    <n v="1.2345999999999999"/>
  </r>
  <r>
    <n v="2330"/>
    <x v="1"/>
    <d v="2012-08-21T00:00:00"/>
    <x v="1"/>
    <x v="7"/>
    <n v="64.702699999999993"/>
    <n v="65.641499999999994"/>
    <n v="64.702699999999993"/>
    <n v="65.406800000000004"/>
    <n v="36886"/>
    <n v="1.4458"/>
    <n v="1.4510000000000001"/>
  </r>
  <r>
    <n v="2303"/>
    <x v="0"/>
    <d v="2012-08-22T00:00:00"/>
    <x v="2"/>
    <x v="7"/>
    <n v="9.2050000000000001"/>
    <n v="9.2817000000000007"/>
    <n v="9.1282999999999994"/>
    <n v="9.2433999999999994"/>
    <n v="53684"/>
    <n v="-1.2371000000000001"/>
    <n v="1.6807000000000001"/>
  </r>
  <r>
    <n v="2330"/>
    <x v="1"/>
    <d v="2012-08-22T00:00:00"/>
    <x v="2"/>
    <x v="7"/>
    <n v="65.015600000000006"/>
    <n v="65.250299999999996"/>
    <n v="64.076800000000006"/>
    <n v="64.4679"/>
    <n v="33635"/>
    <n v="-1.4458"/>
    <n v="1.8314999999999999"/>
  </r>
  <r>
    <n v="2303"/>
    <x v="0"/>
    <d v="2012-08-23T00:00:00"/>
    <x v="3"/>
    <x v="7"/>
    <n v="9.2817000000000007"/>
    <n v="9.3583999999999996"/>
    <n v="9.2433999999999994"/>
    <n v="9.3583999999999996"/>
    <n v="31499"/>
    <n v="1.2371000000000001"/>
    <n v="1.2447999999999999"/>
  </r>
  <r>
    <n v="2330"/>
    <x v="1"/>
    <d v="2012-08-23T00:00:00"/>
    <x v="3"/>
    <x v="7"/>
    <n v="64.4679"/>
    <n v="64.780900000000003"/>
    <n v="64.311499999999995"/>
    <n v="64.702699999999993"/>
    <n v="22367"/>
    <n v="0.3634"/>
    <n v="0.72989999999999999"/>
  </r>
  <r>
    <n v="2303"/>
    <x v="0"/>
    <d v="2012-08-24T00:00:00"/>
    <x v="4"/>
    <x v="7"/>
    <n v="9.3583999999999996"/>
    <n v="9.3968000000000007"/>
    <n v="9.2817000000000007"/>
    <n v="9.3201000000000001"/>
    <n v="19288"/>
    <n v="-0.41070000000000001"/>
    <n v="1.2397"/>
  </r>
  <r>
    <n v="2330"/>
    <x v="1"/>
    <d v="2012-08-24T00:00:00"/>
    <x v="4"/>
    <x v="7"/>
    <n v="64.389700000000005"/>
    <n v="64.389700000000005"/>
    <n v="63.920299999999997"/>
    <n v="64.155000000000001"/>
    <n v="25494"/>
    <n v="-0.85"/>
    <n v="0.73440000000000005"/>
  </r>
  <r>
    <n v="2303"/>
    <x v="0"/>
    <d v="2012-08-27T00:00:00"/>
    <x v="0"/>
    <x v="7"/>
    <n v="9.3968000000000007"/>
    <n v="9.4352"/>
    <n v="9.2433999999999994"/>
    <n v="9.2433999999999994"/>
    <n v="21935"/>
    <n v="-0.82650000000000001"/>
    <n v="2.0747"/>
  </r>
  <r>
    <n v="2330"/>
    <x v="1"/>
    <d v="2012-08-27T00:00:00"/>
    <x v="0"/>
    <x v="7"/>
    <n v="64.859099999999998"/>
    <n v="65.328599999999994"/>
    <n v="64.4679"/>
    <n v="64.937399999999997"/>
    <n v="25735"/>
    <n v="1.2121"/>
    <n v="1.335"/>
  </r>
  <r>
    <n v="2303"/>
    <x v="0"/>
    <d v="2012-08-28T00:00:00"/>
    <x v="1"/>
    <x v="7"/>
    <n v="9.2050000000000001"/>
    <n v="9.3201000000000001"/>
    <n v="9.2050000000000001"/>
    <n v="9.2433999999999994"/>
    <n v="15395"/>
    <n v="0"/>
    <n v="1.25"/>
  </r>
  <r>
    <n v="2330"/>
    <x v="1"/>
    <d v="2012-08-28T00:00:00"/>
    <x v="1"/>
    <x v="7"/>
    <n v="64.389700000000005"/>
    <n v="65.250299999999996"/>
    <n v="64.155000000000001"/>
    <n v="64.4679"/>
    <n v="32428"/>
    <n v="-0.72550000000000003"/>
    <n v="1.7073"/>
  </r>
  <r>
    <n v="2303"/>
    <x v="0"/>
    <d v="2012-08-29T00:00:00"/>
    <x v="2"/>
    <x v="7"/>
    <n v="9.3201000000000001"/>
    <n v="9.3201000000000001"/>
    <n v="9.2433999999999994"/>
    <n v="9.2433999999999994"/>
    <n v="22625"/>
    <n v="0"/>
    <n v="0.82989999999999997"/>
  </r>
  <r>
    <n v="2330"/>
    <x v="1"/>
    <d v="2012-08-29T00:00:00"/>
    <x v="2"/>
    <x v="7"/>
    <n v="64.624399999999994"/>
    <n v="64.937399999999997"/>
    <n v="64.233199999999997"/>
    <n v="64.702699999999993"/>
    <n v="18467"/>
    <n v="0.3634"/>
    <n v="1.0962000000000001"/>
  </r>
  <r>
    <n v="2303"/>
    <x v="0"/>
    <d v="2012-08-30T00:00:00"/>
    <x v="3"/>
    <x v="7"/>
    <n v="9.2817000000000007"/>
    <n v="9.3201000000000001"/>
    <n v="9.2050000000000001"/>
    <n v="9.2433999999999994"/>
    <n v="29658"/>
    <n v="0"/>
    <n v="1.25"/>
  </r>
  <r>
    <n v="2330"/>
    <x v="1"/>
    <d v="2012-08-30T00:00:00"/>
    <x v="3"/>
    <x v="7"/>
    <n v="64.389700000000005"/>
    <n v="65.093800000000002"/>
    <n v="64.389700000000005"/>
    <n v="64.702699999999993"/>
    <n v="46031"/>
    <n v="0"/>
    <n v="1.0935999999999999"/>
  </r>
  <r>
    <n v="2303"/>
    <x v="0"/>
    <d v="2012-08-31T00:00:00"/>
    <x v="4"/>
    <x v="7"/>
    <n v="9.2433999999999994"/>
    <n v="9.3201000000000001"/>
    <n v="9.2050000000000001"/>
    <n v="9.2050000000000001"/>
    <n v="16783"/>
    <n v="-0.4158"/>
    <n v="1.25"/>
  </r>
  <r>
    <n v="2330"/>
    <x v="1"/>
    <d v="2012-08-31T00:00:00"/>
    <x v="4"/>
    <x v="7"/>
    <n v="64.4679"/>
    <n v="65.1721"/>
    <n v="64.4679"/>
    <n v="65.1721"/>
    <n v="13536"/>
    <n v="0.72289999999999999"/>
    <n v="1.0922000000000001"/>
  </r>
  <r>
    <n v="2303"/>
    <x v="0"/>
    <d v="2012-09-03T00:00:00"/>
    <x v="0"/>
    <x v="8"/>
    <n v="9.2050000000000001"/>
    <n v="9.2050000000000001"/>
    <n v="9.1282999999999994"/>
    <n v="9.1667000000000005"/>
    <n v="28922"/>
    <n v="-0.41749999999999998"/>
    <n v="0.84030000000000005"/>
  </r>
  <r>
    <n v="2330"/>
    <x v="1"/>
    <d v="2012-09-03T00:00:00"/>
    <x v="0"/>
    <x v="8"/>
    <n v="65.328599999999994"/>
    <n v="65.641499999999994"/>
    <n v="64.780900000000003"/>
    <n v="65.641499999999994"/>
    <n v="20795"/>
    <n v="0.7177"/>
    <n v="1.3285"/>
  </r>
  <r>
    <n v="2303"/>
    <x v="0"/>
    <d v="2012-09-04T00:00:00"/>
    <x v="1"/>
    <x v="8"/>
    <n v="9.2050000000000001"/>
    <n v="9.2433999999999994"/>
    <n v="9.1282999999999994"/>
    <n v="9.1667000000000005"/>
    <n v="17209"/>
    <n v="0"/>
    <n v="1.2605"/>
  </r>
  <r>
    <n v="2330"/>
    <x v="1"/>
    <d v="2012-09-04T00:00:00"/>
    <x v="1"/>
    <x v="8"/>
    <n v="65.719800000000006"/>
    <n v="65.719800000000006"/>
    <n v="65.328599999999994"/>
    <n v="65.719800000000006"/>
    <n v="21703"/>
    <n v="0.1191"/>
    <n v="0.5988"/>
  </r>
  <r>
    <n v="2303"/>
    <x v="0"/>
    <d v="2012-09-05T00:00:00"/>
    <x v="2"/>
    <x v="8"/>
    <n v="9.1282999999999994"/>
    <n v="9.1282999999999994"/>
    <n v="8.9748999999999999"/>
    <n v="8.9748999999999999"/>
    <n v="65705"/>
    <n v="-2.1141999999999999"/>
    <n v="1.7094"/>
  </r>
  <r>
    <n v="2330"/>
    <x v="1"/>
    <d v="2012-09-05T00:00:00"/>
    <x v="2"/>
    <x v="8"/>
    <n v="64.937399999999997"/>
    <n v="65.1721"/>
    <n v="64.076800000000006"/>
    <n v="64.155000000000001"/>
    <n v="43302"/>
    <n v="-2.4098000000000002"/>
    <n v="1.7094"/>
  </r>
  <r>
    <n v="2303"/>
    <x v="0"/>
    <d v="2012-09-06T00:00:00"/>
    <x v="3"/>
    <x v="8"/>
    <n v="8.9748999999999999"/>
    <n v="9.09"/>
    <n v="8.9366000000000003"/>
    <n v="8.9366000000000003"/>
    <n v="22864"/>
    <n v="-0.42830000000000001"/>
    <n v="1.7166999999999999"/>
  </r>
  <r>
    <n v="2330"/>
    <x v="1"/>
    <d v="2012-09-06T00:00:00"/>
    <x v="3"/>
    <x v="8"/>
    <n v="64.780900000000003"/>
    <n v="64.780900000000003"/>
    <n v="63.372599999999998"/>
    <n v="63.450899999999997"/>
    <n v="25873"/>
    <n v="-1.1035999999999999"/>
    <n v="2.2222"/>
  </r>
  <r>
    <n v="2303"/>
    <x v="0"/>
    <d v="2012-09-07T00:00:00"/>
    <x v="4"/>
    <x v="8"/>
    <n v="9.0516000000000005"/>
    <n v="9.1282999999999994"/>
    <n v="9.0132999999999992"/>
    <n v="9.0516000000000005"/>
    <n v="28409"/>
    <n v="1.2793000000000001"/>
    <n v="1.2766"/>
  </r>
  <r>
    <n v="2330"/>
    <x v="1"/>
    <d v="2012-09-07T00:00:00"/>
    <x v="4"/>
    <x v="8"/>
    <n v="64.937399999999997"/>
    <n v="65.641499999999994"/>
    <n v="64.780900000000003"/>
    <n v="65.563299999999998"/>
    <n v="44499"/>
    <n v="3.2749999999999999"/>
    <n v="1.3285"/>
  </r>
  <r>
    <n v="2303"/>
    <x v="0"/>
    <d v="2012-09-10T00:00:00"/>
    <x v="0"/>
    <x v="8"/>
    <n v="9.1667000000000005"/>
    <n v="9.2817000000000007"/>
    <n v="9.1667000000000005"/>
    <n v="9.2817000000000007"/>
    <n v="32717"/>
    <n v="2.5106000000000002"/>
    <n v="1.2552000000000001"/>
  </r>
  <r>
    <n v="2330"/>
    <x v="1"/>
    <d v="2012-09-10T00:00:00"/>
    <x v="0"/>
    <x v="8"/>
    <n v="65.1721"/>
    <n v="65.406800000000004"/>
    <n v="65.093800000000002"/>
    <n v="65.328599999999994"/>
    <n v="23048"/>
    <n v="-0.35859999999999997"/>
    <n v="0.48080000000000001"/>
  </r>
  <r>
    <n v="2303"/>
    <x v="0"/>
    <d v="2012-09-11T00:00:00"/>
    <x v="1"/>
    <x v="8"/>
    <n v="9.3583999999999996"/>
    <n v="9.3583999999999996"/>
    <n v="9.2050000000000001"/>
    <n v="9.2817000000000007"/>
    <n v="17410"/>
    <n v="0"/>
    <n v="1.6667000000000001"/>
  </r>
  <r>
    <n v="2330"/>
    <x v="1"/>
    <d v="2012-09-11T00:00:00"/>
    <x v="1"/>
    <x v="8"/>
    <n v="65.876199999999997"/>
    <n v="66.267399999999995"/>
    <n v="65.719800000000006"/>
    <n v="66.032700000000006"/>
    <n v="31624"/>
    <n v="1.0721000000000001"/>
    <n v="0.83330000000000004"/>
  </r>
  <r>
    <n v="2303"/>
    <x v="0"/>
    <d v="2012-09-12T00:00:00"/>
    <x v="2"/>
    <x v="8"/>
    <n v="9.3201000000000001"/>
    <n v="9.3201000000000001"/>
    <n v="9.1667000000000005"/>
    <n v="9.2050000000000001"/>
    <n v="28337"/>
    <n v="-0.82989999999999997"/>
    <n v="1.6736"/>
  </r>
  <r>
    <n v="2330"/>
    <x v="1"/>
    <d v="2012-09-12T00:00:00"/>
    <x v="2"/>
    <x v="8"/>
    <n v="66.110900000000001"/>
    <n v="66.423900000000003"/>
    <n v="66.110900000000001"/>
    <n v="66.110900000000001"/>
    <n v="37513"/>
    <n v="0.11840000000000001"/>
    <n v="0.47339999999999999"/>
  </r>
  <r>
    <n v="2303"/>
    <x v="0"/>
    <d v="2012-09-13T00:00:00"/>
    <x v="3"/>
    <x v="8"/>
    <n v="9.2050000000000001"/>
    <n v="9.2817000000000007"/>
    <n v="9.1667000000000005"/>
    <n v="9.2050000000000001"/>
    <n v="16937"/>
    <n v="0"/>
    <n v="1.2552000000000001"/>
  </r>
  <r>
    <n v="2330"/>
    <x v="1"/>
    <d v="2012-09-13T00:00:00"/>
    <x v="3"/>
    <x v="8"/>
    <n v="66.110900000000001"/>
    <n v="66.502099999999999"/>
    <n v="66.110900000000001"/>
    <n v="66.502099999999999"/>
    <n v="29680"/>
    <n v="0.59"/>
    <n v="0.5917"/>
  </r>
  <r>
    <n v="2303"/>
    <x v="0"/>
    <d v="2012-09-14T00:00:00"/>
    <x v="4"/>
    <x v="8"/>
    <n v="9.2817000000000007"/>
    <n v="9.4734999999999996"/>
    <n v="9.2050000000000001"/>
    <n v="9.3968000000000007"/>
    <n v="85216"/>
    <n v="2.0619000000000001"/>
    <n v="2.9167000000000001"/>
  </r>
  <r>
    <n v="2330"/>
    <x v="1"/>
    <d v="2012-09-14T00:00:00"/>
    <x v="4"/>
    <x v="8"/>
    <n v="66.971599999999995"/>
    <n v="67.675700000000006"/>
    <n v="66.893299999999996"/>
    <n v="67.675700000000006"/>
    <n v="52174"/>
    <n v="1.7493000000000001"/>
    <n v="1.1696"/>
  </r>
  <r>
    <n v="2303"/>
    <x v="0"/>
    <d v="2012-09-17T00:00:00"/>
    <x v="0"/>
    <x v="8"/>
    <n v="9.4352"/>
    <n v="9.4352"/>
    <n v="9.3583999999999996"/>
    <n v="9.4352"/>
    <n v="41974"/>
    <n v="0.4073"/>
    <n v="0.81969999999999998"/>
  </r>
  <r>
    <n v="2330"/>
    <x v="1"/>
    <d v="2012-09-17T00:00:00"/>
    <x v="0"/>
    <x v="8"/>
    <n v="67.988600000000005"/>
    <n v="68.066900000000004"/>
    <n v="67.128"/>
    <n v="67.675700000000006"/>
    <n v="26567"/>
    <n v="0"/>
    <n v="1.3986000000000001"/>
  </r>
  <r>
    <n v="2303"/>
    <x v="0"/>
    <d v="2012-09-18T00:00:00"/>
    <x v="1"/>
    <x v="8"/>
    <n v="9.3968000000000007"/>
    <n v="9.4352"/>
    <n v="9.3201000000000001"/>
    <n v="9.3583999999999996"/>
    <n v="27118"/>
    <n v="-0.81630000000000003"/>
    <n v="1.2345999999999999"/>
  </r>
  <r>
    <n v="2330"/>
    <x v="1"/>
    <d v="2012-09-18T00:00:00"/>
    <x v="1"/>
    <x v="8"/>
    <n v="67.675700000000006"/>
    <n v="67.675700000000006"/>
    <n v="66.815100000000001"/>
    <n v="67.049800000000005"/>
    <n v="35898"/>
    <n v="-0.92920000000000003"/>
    <n v="1.2881"/>
  </r>
  <r>
    <n v="2303"/>
    <x v="0"/>
    <d v="2012-09-19T00:00:00"/>
    <x v="2"/>
    <x v="8"/>
    <n v="9.3583999999999996"/>
    <n v="9.4352"/>
    <n v="9.3201000000000001"/>
    <n v="9.4352"/>
    <n v="23416"/>
    <n v="0.81630000000000003"/>
    <n v="1.2345999999999999"/>
  </r>
  <r>
    <n v="2330"/>
    <x v="1"/>
    <d v="2012-09-19T00:00:00"/>
    <x v="2"/>
    <x v="8"/>
    <n v="67.206299999999999"/>
    <n v="67.597499999999997"/>
    <n v="66.580399999999997"/>
    <n v="67.284499999999994"/>
    <n v="43594"/>
    <n v="0.34939999999999999"/>
    <n v="1.5276000000000001"/>
  </r>
  <r>
    <n v="2303"/>
    <x v="0"/>
    <d v="2012-09-20T00:00:00"/>
    <x v="3"/>
    <x v="8"/>
    <n v="9.3968000000000007"/>
    <n v="9.3968000000000007"/>
    <n v="9.3201000000000001"/>
    <n v="9.3583999999999996"/>
    <n v="22361"/>
    <n v="-0.81630000000000003"/>
    <n v="0.82299999999999995"/>
  </r>
  <r>
    <n v="2330"/>
    <x v="1"/>
    <d v="2012-09-20T00:00:00"/>
    <x v="3"/>
    <x v="8"/>
    <n v="67.284499999999994"/>
    <n v="67.284499999999994"/>
    <n v="66.580399999999997"/>
    <n v="66.736800000000002"/>
    <n v="26839"/>
    <n v="-0.81730000000000003"/>
    <n v="1.0576000000000001"/>
  </r>
  <r>
    <n v="2303"/>
    <x v="0"/>
    <d v="2012-09-21T00:00:00"/>
    <x v="4"/>
    <x v="8"/>
    <n v="9.3583999999999996"/>
    <n v="9.4352"/>
    <n v="9.2817000000000007"/>
    <n v="9.4352"/>
    <n v="30847"/>
    <n v="0.81630000000000003"/>
    <n v="1.6529"/>
  </r>
  <r>
    <n v="2330"/>
    <x v="1"/>
    <d v="2012-09-21T00:00:00"/>
    <x v="4"/>
    <x v="8"/>
    <n v="67.284499999999994"/>
    <n v="67.675700000000006"/>
    <n v="66.736800000000002"/>
    <n v="67.049800000000005"/>
    <n v="51084"/>
    <n v="0.46779999999999999"/>
    <n v="1.4068000000000001"/>
  </r>
  <r>
    <n v="2303"/>
    <x v="0"/>
    <d v="2012-09-24T00:00:00"/>
    <x v="0"/>
    <x v="8"/>
    <n v="9.3201000000000001"/>
    <n v="9.3583999999999996"/>
    <n v="9.2817000000000007"/>
    <n v="9.3201000000000001"/>
    <n v="17621"/>
    <n v="-1.2270000000000001"/>
    <n v="0.82640000000000002"/>
  </r>
  <r>
    <n v="2330"/>
    <x v="1"/>
    <d v="2012-09-24T00:00:00"/>
    <x v="0"/>
    <x v="8"/>
    <n v="67.049800000000005"/>
    <n v="67.597499999999997"/>
    <n v="66.580399999999997"/>
    <n v="67.362700000000004"/>
    <n v="30360"/>
    <n v="0.4657"/>
    <n v="1.5276000000000001"/>
  </r>
  <r>
    <n v="2303"/>
    <x v="0"/>
    <d v="2012-09-25T00:00:00"/>
    <x v="1"/>
    <x v="8"/>
    <n v="9.2817000000000007"/>
    <n v="9.3968000000000007"/>
    <n v="9.2817000000000007"/>
    <n v="9.3201000000000001"/>
    <n v="27698"/>
    <n v="0"/>
    <n v="1.2397"/>
  </r>
  <r>
    <n v="2330"/>
    <x v="1"/>
    <d v="2012-09-25T00:00:00"/>
    <x v="1"/>
    <x v="8"/>
    <n v="67.128"/>
    <n v="67.441000000000003"/>
    <n v="67.049800000000005"/>
    <n v="67.206299999999999"/>
    <n v="35919"/>
    <n v="-0.2326"/>
    <n v="0.58340000000000003"/>
  </r>
  <r>
    <n v="2303"/>
    <x v="0"/>
    <d v="2012-09-26T00:00:00"/>
    <x v="2"/>
    <x v="8"/>
    <n v="9.2817000000000007"/>
    <n v="9.3201000000000001"/>
    <n v="9.2050000000000001"/>
    <n v="9.2433999999999994"/>
    <n v="22491"/>
    <n v="-0.82650000000000001"/>
    <n v="1.25"/>
  </r>
  <r>
    <n v="2330"/>
    <x v="1"/>
    <d v="2012-09-26T00:00:00"/>
    <x v="2"/>
    <x v="8"/>
    <n v="66.815100000000001"/>
    <n v="67.597499999999997"/>
    <n v="66.502099999999999"/>
    <n v="67.597499999999997"/>
    <n v="36962"/>
    <n v="0.58040000000000003"/>
    <n v="1.6471"/>
  </r>
  <r>
    <n v="2303"/>
    <x v="0"/>
    <d v="2012-09-27T00:00:00"/>
    <x v="3"/>
    <x v="8"/>
    <n v="9.2050000000000001"/>
    <n v="9.3583999999999996"/>
    <n v="9.2050000000000001"/>
    <n v="9.3201000000000001"/>
    <n v="32356"/>
    <n v="0.82650000000000001"/>
    <n v="1.6667000000000001"/>
  </r>
  <r>
    <n v="2330"/>
    <x v="1"/>
    <d v="2012-09-27T00:00:00"/>
    <x v="3"/>
    <x v="8"/>
    <n v="67.910399999999996"/>
    <n v="68.692800000000005"/>
    <n v="67.441000000000003"/>
    <n v="68.536299999999997"/>
    <n v="55641"/>
    <n v="1.3793"/>
    <n v="1.8561000000000001"/>
  </r>
  <r>
    <n v="2303"/>
    <x v="0"/>
    <d v="2012-09-28T00:00:00"/>
    <x v="4"/>
    <x v="8"/>
    <n v="9.3968000000000007"/>
    <n v="9.3968000000000007"/>
    <n v="9.2817000000000007"/>
    <n v="9.3583999999999996"/>
    <n v="29905"/>
    <n v="0.41070000000000001"/>
    <n v="1.2397"/>
  </r>
  <r>
    <n v="2330"/>
    <x v="1"/>
    <d v="2012-09-28T00:00:00"/>
    <x v="4"/>
    <x v="8"/>
    <n v="69.318700000000007"/>
    <n v="70.257499999999993"/>
    <n v="69.240499999999997"/>
    <n v="70.257499999999993"/>
    <n v="70929"/>
    <n v="2.4803999999999999"/>
    <n v="1.4689000000000001"/>
  </r>
  <r>
    <n v="2303"/>
    <x v="0"/>
    <d v="2012-10-01T00:00:00"/>
    <x v="0"/>
    <x v="9"/>
    <n v="9.2817000000000007"/>
    <n v="9.3201000000000001"/>
    <n v="9.1667000000000005"/>
    <n v="9.2050000000000001"/>
    <n v="24203"/>
    <n v="-1.6529"/>
    <n v="1.6736"/>
  </r>
  <r>
    <n v="2330"/>
    <x v="1"/>
    <d v="2012-10-01T00:00:00"/>
    <x v="0"/>
    <x v="9"/>
    <n v="69.7881"/>
    <n v="69.7881"/>
    <n v="69.084000000000003"/>
    <n v="69.553399999999996"/>
    <n v="38173"/>
    <n v="-1.0073000000000001"/>
    <n v="1.0193000000000001"/>
  </r>
  <r>
    <n v="2303"/>
    <x v="0"/>
    <d v="2012-10-02T00:00:00"/>
    <x v="1"/>
    <x v="9"/>
    <n v="9.2433999999999994"/>
    <n v="9.3201000000000001"/>
    <n v="9.1667000000000005"/>
    <n v="9.2817000000000007"/>
    <n v="21958"/>
    <n v="0.82989999999999997"/>
    <n v="1.6736"/>
  </r>
  <r>
    <n v="2330"/>
    <x v="1"/>
    <d v="2012-10-02T00:00:00"/>
    <x v="1"/>
    <x v="9"/>
    <n v="69.7881"/>
    <n v="70.257499999999993"/>
    <n v="69.553399999999996"/>
    <n v="70.101100000000002"/>
    <n v="35734"/>
    <n v="0.7843"/>
    <n v="1.0124"/>
  </r>
  <r>
    <n v="2303"/>
    <x v="0"/>
    <d v="2012-10-03T00:00:00"/>
    <x v="2"/>
    <x v="9"/>
    <n v="9.3201000000000001"/>
    <n v="9.3201000000000001"/>
    <n v="9.2050000000000001"/>
    <n v="9.2433999999999994"/>
    <n v="13100"/>
    <n v="-0.41410000000000002"/>
    <n v="1.25"/>
  </r>
  <r>
    <n v="2330"/>
    <x v="1"/>
    <d v="2012-10-03T00:00:00"/>
    <x v="2"/>
    <x v="9"/>
    <n v="70.101100000000002"/>
    <n v="70.335800000000006"/>
    <n v="69.866399999999999"/>
    <n v="70.257499999999993"/>
    <n v="32589"/>
    <n v="0.223"/>
    <n v="0.67190000000000005"/>
  </r>
  <r>
    <n v="2303"/>
    <x v="0"/>
    <d v="2012-10-04T00:00:00"/>
    <x v="3"/>
    <x v="9"/>
    <n v="9.2050000000000001"/>
    <n v="9.2433999999999994"/>
    <n v="9.09"/>
    <n v="9.1282999999999994"/>
    <n v="26415"/>
    <n v="-1.2525999999999999"/>
    <n v="1.6878"/>
  </r>
  <r>
    <n v="2330"/>
    <x v="1"/>
    <d v="2012-10-04T00:00:00"/>
    <x v="3"/>
    <x v="9"/>
    <n v="70.335800000000006"/>
    <n v="70.883399999999995"/>
    <n v="70.022800000000004"/>
    <n v="70.883399999999995"/>
    <n v="39780"/>
    <n v="0.88690000000000002"/>
    <n v="1.2291000000000001"/>
  </r>
  <r>
    <n v="2303"/>
    <x v="0"/>
    <d v="2012-10-05T00:00:00"/>
    <x v="4"/>
    <x v="9"/>
    <n v="9.1667000000000005"/>
    <n v="9.1667000000000005"/>
    <n v="9.0516000000000005"/>
    <n v="9.0516000000000005"/>
    <n v="18165"/>
    <n v="-0.84389999999999998"/>
    <n v="1.2712000000000001"/>
  </r>
  <r>
    <n v="2330"/>
    <x v="1"/>
    <d v="2012-10-05T00:00:00"/>
    <x v="4"/>
    <x v="9"/>
    <n v="71.196399999999997"/>
    <n v="71.431100000000001"/>
    <n v="70.727000000000004"/>
    <n v="71.196399999999997"/>
    <n v="42175"/>
    <n v="0.4405"/>
    <n v="0.99560000000000004"/>
  </r>
  <r>
    <n v="2303"/>
    <x v="0"/>
    <d v="2012-10-08T00:00:00"/>
    <x v="0"/>
    <x v="9"/>
    <n v="9.0516000000000005"/>
    <n v="9.1282999999999994"/>
    <n v="9.0516000000000005"/>
    <n v="9.0516000000000005"/>
    <n v="17197"/>
    <n v="0"/>
    <n v="0.84750000000000003"/>
  </r>
  <r>
    <n v="2330"/>
    <x v="1"/>
    <d v="2012-10-08T00:00:00"/>
    <x v="0"/>
    <x v="9"/>
    <n v="71.196399999999997"/>
    <n v="71.196399999999997"/>
    <n v="69.631600000000006"/>
    <n v="69.709900000000005"/>
    <n v="40762"/>
    <n v="-2.11"/>
    <n v="2.2471999999999999"/>
  </r>
  <r>
    <n v="2303"/>
    <x v="0"/>
    <d v="2012-10-09T00:00:00"/>
    <x v="1"/>
    <x v="9"/>
    <n v="9.09"/>
    <n v="9.1667000000000005"/>
    <n v="9.09"/>
    <n v="9.1282999999999994"/>
    <n v="19995"/>
    <n v="0.84389999999999998"/>
    <n v="0.84389999999999998"/>
  </r>
  <r>
    <n v="2330"/>
    <x v="1"/>
    <d v="2012-10-09T00:00:00"/>
    <x v="1"/>
    <x v="9"/>
    <n v="68.223399999999998"/>
    <n v="69.240499999999997"/>
    <n v="68.145099999999999"/>
    <n v="68.145099999999999"/>
    <n v="61216"/>
    <n v="-2.2702"/>
    <n v="1.6073"/>
  </r>
  <r>
    <n v="2303"/>
    <x v="0"/>
    <d v="2012-10-11T00:00:00"/>
    <x v="3"/>
    <x v="9"/>
    <n v="9.0132999999999992"/>
    <n v="9.0516000000000005"/>
    <n v="8.9748999999999999"/>
    <n v="8.9748999999999999"/>
    <n v="16409"/>
    <n v="-1.6950000000000001"/>
    <n v="0.85470000000000002"/>
  </r>
  <r>
    <n v="2330"/>
    <x v="1"/>
    <d v="2012-10-11T00:00:00"/>
    <x v="3"/>
    <x v="9"/>
    <n v="66.580399999999997"/>
    <n v="67.049800000000005"/>
    <n v="66.345699999999994"/>
    <n v="66.893299999999996"/>
    <n v="77901"/>
    <n v="-1.8541000000000001"/>
    <n v="1.0612999999999999"/>
  </r>
  <r>
    <n v="2303"/>
    <x v="0"/>
    <d v="2012-10-12T00:00:00"/>
    <x v="4"/>
    <x v="9"/>
    <n v="8.9748999999999999"/>
    <n v="9.0516000000000005"/>
    <n v="8.8981999999999992"/>
    <n v="8.9366000000000003"/>
    <n v="35111"/>
    <n v="-0.42830000000000001"/>
    <n v="1.7241"/>
  </r>
  <r>
    <n v="2330"/>
    <x v="1"/>
    <d v="2012-10-12T00:00:00"/>
    <x v="4"/>
    <x v="9"/>
    <n v="66.971599999999995"/>
    <n v="67.519199999999998"/>
    <n v="66.736800000000002"/>
    <n v="67.519199999999998"/>
    <n v="24739"/>
    <n v="0.93130000000000002"/>
    <n v="1.1722999999999999"/>
  </r>
  <r>
    <n v="2303"/>
    <x v="0"/>
    <d v="2012-10-15T00:00:00"/>
    <x v="0"/>
    <x v="9"/>
    <n v="8.9366000000000003"/>
    <n v="8.9366000000000003"/>
    <n v="8.7064000000000004"/>
    <n v="8.7447999999999997"/>
    <n v="37736"/>
    <n v="-2.1692999999999998"/>
    <n v="2.6432000000000002"/>
  </r>
  <r>
    <n v="2330"/>
    <x v="1"/>
    <d v="2012-10-15T00:00:00"/>
    <x v="0"/>
    <x v="9"/>
    <n v="67.362700000000004"/>
    <n v="67.597499999999997"/>
    <n v="66.815100000000001"/>
    <n v="67.597499999999997"/>
    <n v="19652"/>
    <n v="0.1158"/>
    <n v="1.171"/>
  </r>
  <r>
    <n v="2303"/>
    <x v="0"/>
    <d v="2012-10-16T00:00:00"/>
    <x v="1"/>
    <x v="9"/>
    <n v="8.7830999999999992"/>
    <n v="8.8215000000000003"/>
    <n v="8.6681000000000008"/>
    <n v="8.7447999999999997"/>
    <n v="33550"/>
    <n v="0"/>
    <n v="1.7699"/>
  </r>
  <r>
    <n v="2330"/>
    <x v="1"/>
    <d v="2012-10-16T00:00:00"/>
    <x v="1"/>
    <x v="9"/>
    <n v="67.8322"/>
    <n v="68.458100000000002"/>
    <n v="67.8322"/>
    <n v="68.458100000000002"/>
    <n v="29927"/>
    <n v="1.2650999999999999"/>
    <n v="0.92269999999999996"/>
  </r>
  <r>
    <n v="2303"/>
    <x v="0"/>
    <d v="2012-10-17T00:00:00"/>
    <x v="2"/>
    <x v="9"/>
    <n v="8.8215000000000003"/>
    <n v="8.8597999999999999"/>
    <n v="8.7064000000000004"/>
    <n v="8.7447999999999997"/>
    <n v="22328"/>
    <n v="0"/>
    <n v="1.7621"/>
  </r>
  <r>
    <n v="2330"/>
    <x v="1"/>
    <d v="2012-10-17T00:00:00"/>
    <x v="2"/>
    <x v="9"/>
    <n v="68.692800000000005"/>
    <n v="68.849299999999999"/>
    <n v="67.675700000000006"/>
    <n v="68.379800000000003"/>
    <n v="35886"/>
    <n v="-0.1144"/>
    <n v="1.7341"/>
  </r>
  <r>
    <n v="2303"/>
    <x v="0"/>
    <d v="2012-10-18T00:00:00"/>
    <x v="3"/>
    <x v="9"/>
    <n v="8.7447999999999997"/>
    <n v="8.8215000000000003"/>
    <n v="8.6296999999999997"/>
    <n v="8.6681000000000008"/>
    <n v="24310"/>
    <n v="-0.88109999999999999"/>
    <n v="2.2222"/>
  </r>
  <r>
    <n v="2330"/>
    <x v="1"/>
    <d v="2012-10-18T00:00:00"/>
    <x v="3"/>
    <x v="9"/>
    <n v="68.066900000000004"/>
    <n v="69.005700000000004"/>
    <n v="68.066900000000004"/>
    <n v="68.927499999999995"/>
    <n v="23090"/>
    <n v="0.79769999999999996"/>
    <n v="1.3793"/>
  </r>
  <r>
    <n v="2303"/>
    <x v="0"/>
    <d v="2012-10-19T00:00:00"/>
    <x v="4"/>
    <x v="9"/>
    <n v="8.6296999999999997"/>
    <n v="8.6681000000000008"/>
    <n v="8.5146999999999995"/>
    <n v="8.5530000000000008"/>
    <n v="33202"/>
    <n v="-1.3363"/>
    <n v="1.8018000000000001"/>
  </r>
  <r>
    <n v="2330"/>
    <x v="1"/>
    <d v="2012-10-19T00:00:00"/>
    <x v="4"/>
    <x v="9"/>
    <n v="67.441000000000003"/>
    <n v="68.301599999999993"/>
    <n v="67.441000000000003"/>
    <n v="67.8322"/>
    <n v="27673"/>
    <n v="-1.6019000000000001"/>
    <n v="1.2761"/>
  </r>
  <r>
    <n v="2303"/>
    <x v="0"/>
    <d v="2012-10-22T00:00:00"/>
    <x v="0"/>
    <x v="9"/>
    <n v="8.4379000000000008"/>
    <n v="8.5530000000000008"/>
    <n v="8.3995999999999995"/>
    <n v="8.5530000000000008"/>
    <n v="21999"/>
    <n v="0"/>
    <n v="1.8265"/>
  </r>
  <r>
    <n v="2330"/>
    <x v="1"/>
    <d v="2012-10-22T00:00:00"/>
    <x v="0"/>
    <x v="9"/>
    <n v="67.519199999999998"/>
    <n v="67.519199999999998"/>
    <n v="66.971599999999995"/>
    <n v="67.284499999999994"/>
    <n v="21235"/>
    <n v="-0.81069999999999998"/>
    <n v="0.81779999999999997"/>
  </r>
  <r>
    <n v="2303"/>
    <x v="0"/>
    <d v="2012-10-23T00:00:00"/>
    <x v="1"/>
    <x v="9"/>
    <n v="8.5146999999999995"/>
    <n v="8.5530000000000008"/>
    <n v="8.4379000000000008"/>
    <n v="8.4763000000000002"/>
    <n v="18121"/>
    <n v="-0.90090000000000003"/>
    <n v="1.3635999999999999"/>
  </r>
  <r>
    <n v="2330"/>
    <x v="1"/>
    <d v="2012-10-23T00:00:00"/>
    <x v="1"/>
    <x v="9"/>
    <n v="67.206299999999999"/>
    <n v="67.519199999999998"/>
    <n v="66.971599999999995"/>
    <n v="67.049800000000005"/>
    <n v="16192"/>
    <n v="-0.34939999999999999"/>
    <n v="0.81779999999999997"/>
  </r>
  <r>
    <n v="2303"/>
    <x v="0"/>
    <d v="2012-10-24T00:00:00"/>
    <x v="2"/>
    <x v="9"/>
    <n v="8.3995999999999995"/>
    <n v="8.6296999999999997"/>
    <n v="8.3612000000000002"/>
    <n v="8.5530000000000008"/>
    <n v="17733"/>
    <n v="0.90090000000000003"/>
    <n v="3.2109999999999999"/>
  </r>
  <r>
    <n v="2330"/>
    <x v="1"/>
    <d v="2012-10-24T00:00:00"/>
    <x v="2"/>
    <x v="9"/>
    <n v="66.580399999999997"/>
    <n v="67.597499999999997"/>
    <n v="66.580399999999997"/>
    <n v="66.815100000000001"/>
    <n v="30208"/>
    <n v="-0.35070000000000001"/>
    <n v="1.5276000000000001"/>
  </r>
  <r>
    <n v="2303"/>
    <x v="0"/>
    <d v="2012-10-25T00:00:00"/>
    <x v="3"/>
    <x v="9"/>
    <n v="8.5530000000000008"/>
    <n v="8.7064000000000004"/>
    <n v="8.5146999999999995"/>
    <n v="8.6296999999999997"/>
    <n v="19143"/>
    <n v="0.89290000000000003"/>
    <n v="2.2523"/>
  </r>
  <r>
    <n v="2330"/>
    <x v="1"/>
    <d v="2012-10-25T00:00:00"/>
    <x v="3"/>
    <x v="9"/>
    <n v="66.815100000000001"/>
    <n v="66.971599999999995"/>
    <n v="66.110900000000001"/>
    <n v="66.345699999999994"/>
    <n v="39418"/>
    <n v="-0.70509999999999995"/>
    <n v="1.3018000000000001"/>
  </r>
  <r>
    <n v="2303"/>
    <x v="0"/>
    <d v="2012-10-26T00:00:00"/>
    <x v="4"/>
    <x v="9"/>
    <n v="8.7064000000000004"/>
    <n v="8.7064000000000004"/>
    <n v="8.3612000000000002"/>
    <n v="8.3995999999999995"/>
    <n v="22351"/>
    <n v="-2.7029000000000001"/>
    <n v="4.1284000000000001"/>
  </r>
  <r>
    <n v="2330"/>
    <x v="1"/>
    <d v="2012-10-26T00:00:00"/>
    <x v="4"/>
    <x v="9"/>
    <n v="67.675700000000006"/>
    <n v="69.084000000000003"/>
    <n v="67.519199999999998"/>
    <n v="68.301599999999993"/>
    <n v="68297"/>
    <n v="2.9055"/>
    <n v="2.3174999999999999"/>
  </r>
  <r>
    <n v="2303"/>
    <x v="0"/>
    <d v="2012-10-29T00:00:00"/>
    <x v="0"/>
    <x v="9"/>
    <n v="8.3995999999999995"/>
    <n v="8.4379000000000008"/>
    <n v="8.3229000000000006"/>
    <n v="8.3229000000000006"/>
    <n v="15280"/>
    <n v="-0.91739999999999999"/>
    <n v="1.3825000000000001"/>
  </r>
  <r>
    <n v="2330"/>
    <x v="1"/>
    <d v="2012-10-29T00:00:00"/>
    <x v="0"/>
    <x v="9"/>
    <n v="69.084000000000003"/>
    <n v="69.709900000000005"/>
    <n v="68.536299999999997"/>
    <n v="68.927499999999995"/>
    <n v="37746"/>
    <n v="0.91220000000000001"/>
    <n v="1.7122999999999999"/>
  </r>
  <r>
    <n v="2303"/>
    <x v="0"/>
    <d v="2012-10-30T00:00:00"/>
    <x v="1"/>
    <x v="9"/>
    <n v="8.3612000000000002"/>
    <n v="8.4763000000000002"/>
    <n v="8.3612000000000002"/>
    <n v="8.4379000000000008"/>
    <n v="18181"/>
    <n v="1.373"/>
    <n v="1.3761000000000001"/>
  </r>
  <r>
    <n v="2330"/>
    <x v="1"/>
    <d v="2012-10-30T00:00:00"/>
    <x v="1"/>
    <x v="9"/>
    <n v="69.475200000000001"/>
    <n v="69.631600000000006"/>
    <n v="68.614599999999996"/>
    <n v="68.849299999999999"/>
    <n v="30349"/>
    <n v="-0.11360000000000001"/>
    <n v="1.4823"/>
  </r>
  <r>
    <n v="2303"/>
    <x v="0"/>
    <d v="2012-10-31T00:00:00"/>
    <x v="2"/>
    <x v="9"/>
    <n v="8.4763000000000002"/>
    <n v="8.4763000000000002"/>
    <n v="8.3229000000000006"/>
    <n v="8.3229000000000006"/>
    <n v="17618"/>
    <n v="-1.373"/>
    <n v="1.8432999999999999"/>
  </r>
  <r>
    <n v="2330"/>
    <x v="1"/>
    <d v="2012-10-31T00:00:00"/>
    <x v="2"/>
    <x v="9"/>
    <n v="68.849299999999999"/>
    <n v="69.475200000000001"/>
    <n v="68.771000000000001"/>
    <n v="69.396900000000002"/>
    <n v="26035"/>
    <n v="0.7923"/>
    <n v="1.0239"/>
  </r>
  <r>
    <n v="2303"/>
    <x v="0"/>
    <d v="2012-11-01T00:00:00"/>
    <x v="3"/>
    <x v="10"/>
    <n v="8.3229000000000006"/>
    <n v="8.3229000000000006"/>
    <n v="8.0543999999999993"/>
    <n v="8.0928000000000004"/>
    <n v="41848"/>
    <n v="-2.8039000000000001"/>
    <n v="3.3332999999999999"/>
  </r>
  <r>
    <n v="2330"/>
    <x v="1"/>
    <d v="2012-11-01T00:00:00"/>
    <x v="3"/>
    <x v="10"/>
    <n v="69.318700000000007"/>
    <n v="69.7881"/>
    <n v="68.614599999999996"/>
    <n v="69.7881"/>
    <n v="36018"/>
    <n v="0.56210000000000004"/>
    <n v="1.7103999999999999"/>
  </r>
  <r>
    <n v="2303"/>
    <x v="0"/>
    <d v="2012-11-02T00:00:00"/>
    <x v="4"/>
    <x v="10"/>
    <n v="8.1694999999999993"/>
    <n v="8.2844999999999995"/>
    <n v="8.0928000000000004"/>
    <n v="8.1311"/>
    <n v="29377"/>
    <n v="0.4728"/>
    <n v="2.3696999999999999"/>
  </r>
  <r>
    <n v="2330"/>
    <x v="1"/>
    <d v="2012-11-02T00:00:00"/>
    <x v="4"/>
    <x v="10"/>
    <n v="70.414000000000001"/>
    <n v="70.4923"/>
    <n v="70.022800000000004"/>
    <n v="70.335800000000006"/>
    <n v="39106"/>
    <n v="0.78169999999999995"/>
    <n v="0.6704"/>
  </r>
  <r>
    <n v="2303"/>
    <x v="0"/>
    <d v="2012-11-05T00:00:00"/>
    <x v="0"/>
    <x v="10"/>
    <n v="8.0928000000000004"/>
    <n v="8.1694999999999993"/>
    <n v="8.0543999999999993"/>
    <n v="8.0928000000000004"/>
    <n v="19478"/>
    <n v="-0.4728"/>
    <n v="1.4286000000000001"/>
  </r>
  <r>
    <n v="2330"/>
    <x v="1"/>
    <d v="2012-11-05T00:00:00"/>
    <x v="0"/>
    <x v="10"/>
    <n v="70.335800000000006"/>
    <n v="70.648700000000005"/>
    <n v="69.475200000000001"/>
    <n v="70.648700000000005"/>
    <n v="31496"/>
    <n v="0.44400000000000001"/>
    <n v="1.6892"/>
  </r>
  <r>
    <n v="2303"/>
    <x v="0"/>
    <d v="2012-11-06T00:00:00"/>
    <x v="1"/>
    <x v="10"/>
    <n v="8.0543999999999993"/>
    <n v="8.0928000000000004"/>
    <n v="7.9776999999999996"/>
    <n v="8.0928000000000004"/>
    <n v="38572"/>
    <n v="0"/>
    <n v="1.4422999999999999"/>
  </r>
  <r>
    <n v="2330"/>
    <x v="1"/>
    <d v="2012-11-06T00:00:00"/>
    <x v="1"/>
    <x v="10"/>
    <n v="70.883399999999995"/>
    <n v="70.883399999999995"/>
    <n v="70.179299999999998"/>
    <n v="70.727000000000004"/>
    <n v="26410"/>
    <n v="0.11070000000000001"/>
    <n v="1.0033000000000001"/>
  </r>
  <r>
    <n v="2303"/>
    <x v="0"/>
    <d v="2012-11-07T00:00:00"/>
    <x v="2"/>
    <x v="10"/>
    <n v="8.1311"/>
    <n v="8.2078000000000007"/>
    <n v="8.0928000000000004"/>
    <n v="8.1694999999999993"/>
    <n v="48272"/>
    <n v="0.94340000000000002"/>
    <n v="1.4218"/>
  </r>
  <r>
    <n v="2330"/>
    <x v="1"/>
    <d v="2012-11-07T00:00:00"/>
    <x v="2"/>
    <x v="10"/>
    <n v="70.805199999999999"/>
    <n v="71.196399999999997"/>
    <n v="70.414000000000001"/>
    <n v="71.196399999999997"/>
    <n v="22104"/>
    <n v="0.66149999999999998"/>
    <n v="1.1111"/>
  </r>
  <r>
    <n v="2303"/>
    <x v="0"/>
    <d v="2012-11-08T00:00:00"/>
    <x v="3"/>
    <x v="10"/>
    <n v="8.0928000000000004"/>
    <n v="8.1694999999999993"/>
    <n v="8.016"/>
    <n v="8.1311"/>
    <n v="33533"/>
    <n v="-0.47060000000000002"/>
    <n v="1.9138999999999999"/>
  </r>
  <r>
    <n v="2330"/>
    <x v="1"/>
    <d v="2012-11-08T00:00:00"/>
    <x v="3"/>
    <x v="10"/>
    <n v="71.039900000000003"/>
    <n v="71.118200000000002"/>
    <n v="70.335800000000006"/>
    <n v="70.805199999999999"/>
    <n v="39982"/>
    <n v="-0.55100000000000005"/>
    <n v="1.1123000000000001"/>
  </r>
  <r>
    <n v="2303"/>
    <x v="0"/>
    <d v="2012-11-09T00:00:00"/>
    <x v="4"/>
    <x v="10"/>
    <n v="8.1311"/>
    <n v="8.3229000000000006"/>
    <n v="8.0543999999999993"/>
    <n v="8.3229000000000006"/>
    <n v="30295"/>
    <n v="2.3311000000000002"/>
    <n v="3.3332999999999999"/>
  </r>
  <r>
    <n v="2330"/>
    <x v="1"/>
    <d v="2012-11-09T00:00:00"/>
    <x v="4"/>
    <x v="10"/>
    <n v="70.648700000000005"/>
    <n v="71.118200000000002"/>
    <n v="70.022800000000004"/>
    <n v="71.039900000000003"/>
    <n v="38435"/>
    <n v="0.33090000000000003"/>
    <n v="1.5642"/>
  </r>
  <r>
    <n v="2303"/>
    <x v="0"/>
    <d v="2012-11-12T00:00:00"/>
    <x v="0"/>
    <x v="10"/>
    <n v="8.2844999999999995"/>
    <n v="8.2844999999999995"/>
    <n v="8.1311"/>
    <n v="8.1694999999999993"/>
    <n v="21962"/>
    <n v="-1.8605"/>
    <n v="1.8868"/>
  </r>
  <r>
    <n v="2330"/>
    <x v="1"/>
    <d v="2012-11-12T00:00:00"/>
    <x v="0"/>
    <x v="10"/>
    <n v="71.196399999999997"/>
    <n v="71.822299999999998"/>
    <n v="70.883399999999995"/>
    <n v="71.431100000000001"/>
    <n v="29957"/>
    <n v="0.54920000000000002"/>
    <n v="1.3245"/>
  </r>
  <r>
    <n v="2303"/>
    <x v="0"/>
    <d v="2012-11-13T00:00:00"/>
    <x v="1"/>
    <x v="10"/>
    <n v="8.1694999999999993"/>
    <n v="8.1694999999999993"/>
    <n v="8.016"/>
    <n v="8.0543999999999993"/>
    <n v="30735"/>
    <n v="-1.4185000000000001"/>
    <n v="1.9138999999999999"/>
  </r>
  <r>
    <n v="2330"/>
    <x v="1"/>
    <d v="2012-11-13T00:00:00"/>
    <x v="1"/>
    <x v="10"/>
    <n v="71.196399999999997"/>
    <n v="71.196399999999997"/>
    <n v="69.866399999999999"/>
    <n v="70.648700000000005"/>
    <n v="41761"/>
    <n v="-1.1012999999999999"/>
    <n v="1.9036999999999999"/>
  </r>
  <r>
    <n v="2303"/>
    <x v="0"/>
    <d v="2012-11-14T00:00:00"/>
    <x v="2"/>
    <x v="10"/>
    <n v="8.0543999999999993"/>
    <n v="8.0928000000000004"/>
    <n v="7.9776999999999996"/>
    <n v="8.0928000000000004"/>
    <n v="26415"/>
    <n v="0.47510000000000002"/>
    <n v="1.4422999999999999"/>
  </r>
  <r>
    <n v="2330"/>
    <x v="1"/>
    <d v="2012-11-14T00:00:00"/>
    <x v="2"/>
    <x v="10"/>
    <n v="70.414000000000001"/>
    <n v="71.118200000000002"/>
    <n v="70.022800000000004"/>
    <n v="70.805199999999999"/>
    <n v="31098"/>
    <n v="0.22120000000000001"/>
    <n v="1.5642"/>
  </r>
  <r>
    <n v="2303"/>
    <x v="0"/>
    <d v="2012-11-15T00:00:00"/>
    <x v="3"/>
    <x v="10"/>
    <n v="8.0928000000000004"/>
    <n v="8.1311"/>
    <n v="7.9776999999999996"/>
    <n v="8.1311"/>
    <n v="17979"/>
    <n v="0.4728"/>
    <n v="1.9231"/>
  </r>
  <r>
    <n v="2330"/>
    <x v="1"/>
    <d v="2012-11-15T00:00:00"/>
    <x v="3"/>
    <x v="10"/>
    <n v="70.335800000000006"/>
    <n v="70.883399999999995"/>
    <n v="69.631600000000006"/>
    <n v="70.570499999999996"/>
    <n v="25096"/>
    <n v="-0.33200000000000002"/>
    <n v="1.7978000000000001"/>
  </r>
  <r>
    <n v="2303"/>
    <x v="0"/>
    <d v="2012-11-16T00:00:00"/>
    <x v="4"/>
    <x v="10"/>
    <n v="8.1311"/>
    <n v="8.1694999999999993"/>
    <n v="8.016"/>
    <n v="8.0928000000000004"/>
    <n v="17510"/>
    <n v="-0.4728"/>
    <n v="1.9138999999999999"/>
  </r>
  <r>
    <n v="2330"/>
    <x v="1"/>
    <d v="2012-11-16T00:00:00"/>
    <x v="4"/>
    <x v="10"/>
    <n v="69.7881"/>
    <n v="70.648700000000005"/>
    <n v="69.7881"/>
    <n v="70.570499999999996"/>
    <n v="33802"/>
    <n v="0"/>
    <n v="1.2332000000000001"/>
  </r>
  <r>
    <n v="2303"/>
    <x v="0"/>
    <d v="2012-11-19T00:00:00"/>
    <x v="0"/>
    <x v="10"/>
    <n v="8.0928000000000004"/>
    <n v="8.0928000000000004"/>
    <n v="7.9776999999999996"/>
    <n v="7.9776999999999996"/>
    <n v="15444"/>
    <n v="-1.4319999999999999"/>
    <n v="1.4422999999999999"/>
  </r>
  <r>
    <n v="2330"/>
    <x v="1"/>
    <d v="2012-11-19T00:00:00"/>
    <x v="0"/>
    <x v="10"/>
    <n v="70.179299999999998"/>
    <n v="70.805199999999999"/>
    <n v="70.179299999999998"/>
    <n v="70.414000000000001"/>
    <n v="24008"/>
    <n v="-0.222"/>
    <n v="0.89190000000000003"/>
  </r>
  <r>
    <n v="2303"/>
    <x v="0"/>
    <d v="2012-11-20T00:00:00"/>
    <x v="1"/>
    <x v="10"/>
    <n v="8.016"/>
    <n v="8.0543999999999993"/>
    <n v="7.9009999999999998"/>
    <n v="7.9009999999999998"/>
    <n v="21848"/>
    <n v="-0.96619999999999995"/>
    <n v="1.9417"/>
  </r>
  <r>
    <n v="2330"/>
    <x v="1"/>
    <d v="2012-11-20T00:00:00"/>
    <x v="1"/>
    <x v="10"/>
    <n v="70.414000000000001"/>
    <n v="70.727000000000004"/>
    <n v="70.257499999999993"/>
    <n v="70.727000000000004"/>
    <n v="21474"/>
    <n v="0.44350000000000001"/>
    <n v="0.66820000000000002"/>
  </r>
  <r>
    <n v="2303"/>
    <x v="0"/>
    <d v="2012-11-21T00:00:00"/>
    <x v="2"/>
    <x v="10"/>
    <n v="7.9009999999999998"/>
    <n v="7.9009999999999998"/>
    <n v="7.6708999999999996"/>
    <n v="7.7476000000000003"/>
    <n v="50456"/>
    <n v="-1.9608000000000001"/>
    <n v="3"/>
  </r>
  <r>
    <n v="2330"/>
    <x v="1"/>
    <d v="2012-11-21T00:00:00"/>
    <x v="2"/>
    <x v="10"/>
    <n v="70.648700000000005"/>
    <n v="71.118200000000002"/>
    <n v="69.7881"/>
    <n v="70.805199999999999"/>
    <n v="30262"/>
    <n v="0.1106"/>
    <n v="1.9057999999999999"/>
  </r>
  <r>
    <n v="2303"/>
    <x v="0"/>
    <d v="2012-11-22T00:00:00"/>
    <x v="3"/>
    <x v="10"/>
    <n v="7.7476000000000003"/>
    <n v="7.8243"/>
    <n v="7.6708999999999996"/>
    <n v="7.7476000000000003"/>
    <n v="41561"/>
    <n v="0"/>
    <n v="2"/>
  </r>
  <r>
    <n v="2330"/>
    <x v="1"/>
    <d v="2012-11-22T00:00:00"/>
    <x v="3"/>
    <x v="10"/>
    <n v="70.648700000000005"/>
    <n v="71.431100000000001"/>
    <n v="70.648700000000005"/>
    <n v="71.431100000000001"/>
    <n v="20798"/>
    <n v="0.88009999999999999"/>
    <n v="1.1073999999999999"/>
  </r>
  <r>
    <n v="2303"/>
    <x v="0"/>
    <d v="2012-11-23T00:00:00"/>
    <x v="4"/>
    <x v="10"/>
    <n v="7.8243"/>
    <n v="8.2844999999999995"/>
    <n v="7.7858999999999998"/>
    <n v="8.2844999999999995"/>
    <n v="149998"/>
    <n v="6.7011000000000003"/>
    <n v="6.4039000000000001"/>
  </r>
  <r>
    <n v="2330"/>
    <x v="1"/>
    <d v="2012-11-23T00:00:00"/>
    <x v="4"/>
    <x v="10"/>
    <n v="71.665800000000004"/>
    <n v="74.717100000000002"/>
    <n v="71.587599999999995"/>
    <n v="74.717100000000002"/>
    <n v="64301"/>
    <n v="4.4974999999999996"/>
    <n v="4.3715999999999999"/>
  </r>
  <r>
    <n v="2303"/>
    <x v="0"/>
    <d v="2012-11-26T00:00:00"/>
    <x v="0"/>
    <x v="10"/>
    <n v="8.5146999999999995"/>
    <n v="8.5530000000000008"/>
    <n v="8.3995999999999995"/>
    <n v="8.5146999999999995"/>
    <n v="75223"/>
    <n v="2.7399"/>
    <n v="1.8265"/>
  </r>
  <r>
    <n v="2330"/>
    <x v="1"/>
    <d v="2012-11-26T00:00:00"/>
    <x v="0"/>
    <x v="10"/>
    <n v="74.717100000000002"/>
    <n v="74.795299999999997"/>
    <n v="74.247699999999995"/>
    <n v="74.560599999999994"/>
    <n v="40021"/>
    <n v="-0.20960000000000001"/>
    <n v="0.73760000000000003"/>
  </r>
  <r>
    <n v="2303"/>
    <x v="0"/>
    <d v="2012-11-27T00:00:00"/>
    <x v="1"/>
    <x v="10"/>
    <n v="8.5146999999999995"/>
    <n v="8.5914000000000001"/>
    <n v="8.4379000000000008"/>
    <n v="8.5914000000000001"/>
    <n v="49164"/>
    <n v="0.89690000000000003"/>
    <n v="1.8182"/>
  </r>
  <r>
    <n v="2330"/>
    <x v="1"/>
    <d v="2012-11-27T00:00:00"/>
    <x v="1"/>
    <x v="10"/>
    <n v="74.013000000000005"/>
    <n v="75.343000000000004"/>
    <n v="73.778199999999998"/>
    <n v="75.343000000000004"/>
    <n v="50925"/>
    <n v="1.0439000000000001"/>
    <n v="2.1208999999999998"/>
  </r>
  <r>
    <n v="2303"/>
    <x v="0"/>
    <d v="2012-11-28T00:00:00"/>
    <x v="2"/>
    <x v="10"/>
    <n v="8.5530000000000008"/>
    <n v="8.5914000000000001"/>
    <n v="8.4763000000000002"/>
    <n v="8.5914000000000001"/>
    <n v="53617"/>
    <n v="0"/>
    <n v="1.3574999999999999"/>
  </r>
  <r>
    <n v="2330"/>
    <x v="1"/>
    <d v="2012-11-28T00:00:00"/>
    <x v="2"/>
    <x v="10"/>
    <n v="74.951800000000006"/>
    <n v="75.186499999999995"/>
    <n v="74.560599999999994"/>
    <n v="75.030100000000004"/>
    <n v="63210"/>
    <n v="-0.41620000000000001"/>
    <n v="0.83950000000000002"/>
  </r>
  <r>
    <n v="2303"/>
    <x v="0"/>
    <d v="2012-11-29T00:00:00"/>
    <x v="3"/>
    <x v="10"/>
    <n v="8.5530000000000008"/>
    <n v="8.5914000000000001"/>
    <n v="8.4763000000000002"/>
    <n v="8.5146999999999995"/>
    <n v="61511"/>
    <n v="-0.89690000000000003"/>
    <n v="1.3574999999999999"/>
  </r>
  <r>
    <n v="2330"/>
    <x v="1"/>
    <d v="2012-11-29T00:00:00"/>
    <x v="3"/>
    <x v="10"/>
    <n v="75.1083"/>
    <n v="76.125399999999999"/>
    <n v="74.717100000000002"/>
    <n v="75.499499999999998"/>
    <n v="56516"/>
    <n v="0.62370000000000003"/>
    <n v="1.8848"/>
  </r>
  <r>
    <n v="2303"/>
    <x v="0"/>
    <d v="2012-11-30T00:00:00"/>
    <x v="4"/>
    <x v="10"/>
    <n v="8.4763000000000002"/>
    <n v="8.7064000000000004"/>
    <n v="8.4763000000000002"/>
    <n v="8.6296999999999997"/>
    <n v="115388"/>
    <n v="1.3423"/>
    <n v="2.7149000000000001"/>
  </r>
  <r>
    <n v="2330"/>
    <x v="1"/>
    <d v="2012-11-30T00:00:00"/>
    <x v="4"/>
    <x v="10"/>
    <n v="75.1083"/>
    <n v="77.298900000000003"/>
    <n v="75.030100000000004"/>
    <n v="77.220699999999994"/>
    <n v="76884"/>
    <n v="2.2542"/>
    <n v="3.024"/>
  </r>
  <r>
    <n v="2303"/>
    <x v="0"/>
    <d v="2012-12-03T00:00:00"/>
    <x v="0"/>
    <x v="11"/>
    <n v="8.5914000000000001"/>
    <n v="8.6296999999999997"/>
    <n v="8.5146999999999995"/>
    <n v="8.5530000000000008"/>
    <n v="34100"/>
    <n v="-0.89290000000000003"/>
    <n v="1.3513999999999999"/>
  </r>
  <r>
    <n v="2330"/>
    <x v="1"/>
    <d v="2012-12-03T00:00:00"/>
    <x v="0"/>
    <x v="11"/>
    <n v="76.907799999999995"/>
    <n v="77.142499999999998"/>
    <n v="75.734200000000001"/>
    <n v="76.594800000000006"/>
    <n v="44060"/>
    <n v="-0.81379999999999997"/>
    <n v="1.8594999999999999"/>
  </r>
  <r>
    <n v="2303"/>
    <x v="0"/>
    <d v="2012-12-04T00:00:00"/>
    <x v="1"/>
    <x v="11"/>
    <n v="8.4763000000000002"/>
    <n v="8.5146999999999995"/>
    <n v="8.3995999999999995"/>
    <n v="8.5146999999999995"/>
    <n v="52658"/>
    <n v="-0.44940000000000002"/>
    <n v="1.3698999999999999"/>
  </r>
  <r>
    <n v="2330"/>
    <x v="1"/>
    <d v="2012-12-04T00:00:00"/>
    <x v="1"/>
    <x v="11"/>
    <n v="75.812399999999997"/>
    <n v="76.0471"/>
    <n v="74.560599999999994"/>
    <n v="75.577699999999993"/>
    <n v="43075"/>
    <n v="-1.3368"/>
    <n v="1.9937"/>
  </r>
  <r>
    <n v="2303"/>
    <x v="0"/>
    <d v="2012-12-05T00:00:00"/>
    <x v="2"/>
    <x v="11"/>
    <n v="8.5146999999999995"/>
    <n v="9.0132999999999992"/>
    <n v="8.4379000000000008"/>
    <n v="8.8981999999999992"/>
    <n v="124871"/>
    <n v="4.4059999999999997"/>
    <n v="6.8182"/>
  </r>
  <r>
    <n v="2330"/>
    <x v="1"/>
    <d v="2012-12-05T00:00:00"/>
    <x v="2"/>
    <x v="11"/>
    <n v="74.013000000000005"/>
    <n v="75.968900000000005"/>
    <n v="74.013000000000005"/>
    <n v="75.812399999999997"/>
    <n v="60542"/>
    <n v="0.31009999999999999"/>
    <n v="2.6427"/>
  </r>
  <r>
    <n v="2303"/>
    <x v="0"/>
    <d v="2012-12-06T00:00:00"/>
    <x v="3"/>
    <x v="11"/>
    <n v="9.0132999999999992"/>
    <n v="9.0516000000000005"/>
    <n v="8.8597999999999999"/>
    <n v="8.9748999999999999"/>
    <n v="116109"/>
    <n v="0.85840000000000005"/>
    <n v="2.1644999999999999"/>
  </r>
  <r>
    <n v="2330"/>
    <x v="1"/>
    <d v="2012-12-06T00:00:00"/>
    <x v="3"/>
    <x v="11"/>
    <n v="75.577699999999993"/>
    <n v="75.812399999999997"/>
    <n v="75.186499999999995"/>
    <n v="75.577699999999993"/>
    <n v="33501"/>
    <n v="-0.31009999999999999"/>
    <n v="0.83250000000000002"/>
  </r>
  <r>
    <n v="2303"/>
    <x v="0"/>
    <d v="2012-12-07T00:00:00"/>
    <x v="4"/>
    <x v="11"/>
    <n v="9.0516000000000005"/>
    <n v="9.1667000000000005"/>
    <n v="8.8981999999999992"/>
    <n v="8.9366000000000003"/>
    <n v="94978"/>
    <n v="-0.42830000000000001"/>
    <n v="3.0171999999999999"/>
  </r>
  <r>
    <n v="2330"/>
    <x v="1"/>
    <d v="2012-12-07T00:00:00"/>
    <x v="4"/>
    <x v="11"/>
    <n v="75.968900000000005"/>
    <n v="77.0642"/>
    <n v="75.968900000000005"/>
    <n v="76.751300000000001"/>
    <n v="37114"/>
    <n v="1.5408999999999999"/>
    <n v="1.4418"/>
  </r>
  <r>
    <n v="2303"/>
    <x v="0"/>
    <d v="2012-12-10T00:00:00"/>
    <x v="0"/>
    <x v="11"/>
    <n v="8.9748999999999999"/>
    <n v="8.9748999999999999"/>
    <n v="8.7830999999999992"/>
    <n v="8.7830999999999992"/>
    <n v="39677"/>
    <n v="-1.7316"/>
    <n v="2.1833999999999998"/>
  </r>
  <r>
    <n v="2330"/>
    <x v="1"/>
    <d v="2012-12-10T00:00:00"/>
    <x v="0"/>
    <x v="11"/>
    <n v="76.594800000000006"/>
    <n v="76.673000000000002"/>
    <n v="75.499499999999998"/>
    <n v="75.499499999999998"/>
    <n v="30865"/>
    <n v="-1.6444000000000001"/>
    <n v="1.5544"/>
  </r>
  <r>
    <n v="2303"/>
    <x v="0"/>
    <d v="2012-12-11T00:00:00"/>
    <x v="1"/>
    <x v="11"/>
    <n v="8.7830999999999992"/>
    <n v="8.8597999999999999"/>
    <n v="8.7064000000000004"/>
    <n v="8.7447999999999997"/>
    <n v="40680"/>
    <n v="-0.43759999999999999"/>
    <n v="1.7621"/>
  </r>
  <r>
    <n v="2330"/>
    <x v="1"/>
    <d v="2012-12-11T00:00:00"/>
    <x v="1"/>
    <x v="11"/>
    <n v="76.125399999999999"/>
    <n v="76.907799999999995"/>
    <n v="75.656000000000006"/>
    <n v="76.907799999999995"/>
    <n v="40668"/>
    <n v="1.8481000000000001"/>
    <n v="1.6546000000000001"/>
  </r>
  <r>
    <n v="2303"/>
    <x v="0"/>
    <d v="2012-12-12T00:00:00"/>
    <x v="2"/>
    <x v="11"/>
    <n v="8.8981999999999992"/>
    <n v="8.8981999999999992"/>
    <n v="8.7830999999999992"/>
    <n v="8.8597999999999999"/>
    <n v="37778"/>
    <n v="1.3071999999999999"/>
    <n v="1.31"/>
  </r>
  <r>
    <n v="2330"/>
    <x v="1"/>
    <d v="2012-12-12T00:00:00"/>
    <x v="2"/>
    <x v="11"/>
    <n v="76.907799999999995"/>
    <n v="77.0642"/>
    <n v="76.0471"/>
    <n v="76.986000000000004"/>
    <n v="42272"/>
    <n v="0.1017"/>
    <n v="1.3373999999999999"/>
  </r>
  <r>
    <n v="2303"/>
    <x v="0"/>
    <d v="2012-12-13T00:00:00"/>
    <x v="3"/>
    <x v="11"/>
    <n v="8.8981999999999992"/>
    <n v="9.2050000000000001"/>
    <n v="8.8597999999999999"/>
    <n v="9.2050000000000001"/>
    <n v="115715"/>
    <n v="3.8220999999999998"/>
    <n v="3.8961000000000001"/>
  </r>
  <r>
    <n v="2330"/>
    <x v="1"/>
    <d v="2012-12-13T00:00:00"/>
    <x v="3"/>
    <x v="11"/>
    <n v="76.907799999999995"/>
    <n v="77.7684"/>
    <n v="76.594800000000006"/>
    <n v="77.611900000000006"/>
    <n v="45585"/>
    <n v="0.80969999999999998"/>
    <n v="1.5322"/>
  </r>
  <r>
    <n v="2303"/>
    <x v="0"/>
    <d v="2012-12-14T00:00:00"/>
    <x v="4"/>
    <x v="11"/>
    <n v="9.09"/>
    <n v="9.09"/>
    <n v="8.9366000000000003"/>
    <n v="8.9748999999999999"/>
    <n v="70781"/>
    <n v="-2.5318000000000001"/>
    <n v="1.7166999999999999"/>
  </r>
  <r>
    <n v="2330"/>
    <x v="1"/>
    <d v="2012-12-14T00:00:00"/>
    <x v="4"/>
    <x v="11"/>
    <n v="76.829499999999996"/>
    <n v="77.142499999999998"/>
    <n v="76.281899999999993"/>
    <n v="76.986000000000004"/>
    <n v="34112"/>
    <n v="-0.80969999999999998"/>
    <n v="1.1282000000000001"/>
  </r>
  <r>
    <n v="2303"/>
    <x v="0"/>
    <d v="2012-12-17T00:00:00"/>
    <x v="0"/>
    <x v="11"/>
    <n v="9.0516000000000005"/>
    <n v="9.0516000000000005"/>
    <n v="8.8597999999999999"/>
    <n v="8.8597999999999999"/>
    <n v="47521"/>
    <n v="-1.2903"/>
    <n v="2.1644999999999999"/>
  </r>
  <r>
    <n v="2330"/>
    <x v="1"/>
    <d v="2012-12-17T00:00:00"/>
    <x v="0"/>
    <x v="11"/>
    <n v="75.421199999999999"/>
    <n v="76.438299999999998"/>
    <n v="75.264799999999994"/>
    <n v="75.890699999999995"/>
    <n v="46715"/>
    <n v="-1.4330000000000001"/>
    <n v="1.5592999999999999"/>
  </r>
  <r>
    <n v="2303"/>
    <x v="0"/>
    <d v="2012-12-18T00:00:00"/>
    <x v="1"/>
    <x v="11"/>
    <n v="8.8597999999999999"/>
    <n v="9.0132999999999992"/>
    <n v="8.8597999999999999"/>
    <n v="8.9366000000000003"/>
    <n v="46556"/>
    <n v="0.86209999999999998"/>
    <n v="1.7316"/>
  </r>
  <r>
    <n v="2330"/>
    <x v="1"/>
    <d v="2012-12-18T00:00:00"/>
    <x v="1"/>
    <x v="11"/>
    <n v="74.325900000000004"/>
    <n v="75.656000000000006"/>
    <n v="74.325900000000004"/>
    <n v="75.656000000000006"/>
    <n v="35430"/>
    <n v="-0.30980000000000002"/>
    <n v="1.7895000000000001"/>
  </r>
  <r>
    <n v="2303"/>
    <x v="0"/>
    <d v="2012-12-19T00:00:00"/>
    <x v="2"/>
    <x v="11"/>
    <n v="9.0516000000000005"/>
    <n v="9.0516000000000005"/>
    <n v="8.7830999999999992"/>
    <n v="8.8215000000000003"/>
    <n v="68423"/>
    <n v="-1.2959000000000001"/>
    <n v="3.0568"/>
  </r>
  <r>
    <n v="2330"/>
    <x v="1"/>
    <d v="2012-12-19T00:00:00"/>
    <x v="2"/>
    <x v="11"/>
    <n v="75.656000000000006"/>
    <n v="76.125399999999999"/>
    <n v="75.264799999999994"/>
    <n v="76.125399999999999"/>
    <n v="27889"/>
    <n v="0.61860000000000004"/>
    <n v="1.1435"/>
  </r>
  <r>
    <n v="2303"/>
    <x v="0"/>
    <d v="2012-12-20T00:00:00"/>
    <x v="3"/>
    <x v="11"/>
    <n v="8.8981999999999992"/>
    <n v="9.1667000000000005"/>
    <n v="8.7830999999999992"/>
    <n v="8.9748999999999999"/>
    <n v="145227"/>
    <n v="1.7242"/>
    <n v="4.3667999999999996"/>
  </r>
  <r>
    <n v="2330"/>
    <x v="1"/>
    <d v="2012-12-20T00:00:00"/>
    <x v="3"/>
    <x v="11"/>
    <n v="75.186499999999995"/>
    <n v="75.812399999999997"/>
    <n v="74.4041"/>
    <n v="75.1083"/>
    <n v="35517"/>
    <n v="-1.3451"/>
    <n v="1.8927"/>
  </r>
  <r>
    <n v="2303"/>
    <x v="0"/>
    <d v="2012-12-21T00:00:00"/>
    <x v="4"/>
    <x v="11"/>
    <n v="9.0516000000000005"/>
    <n v="9.1282999999999994"/>
    <n v="8.8981999999999992"/>
    <n v="8.9366000000000003"/>
    <n v="92211"/>
    <n v="-0.42830000000000001"/>
    <n v="2.5861999999999998"/>
  </r>
  <r>
    <n v="2330"/>
    <x v="1"/>
    <d v="2012-12-21T00:00:00"/>
    <x v="4"/>
    <x v="11"/>
    <n v="74.4041"/>
    <n v="75.499499999999998"/>
    <n v="74.013000000000005"/>
    <n v="74.169399999999996"/>
    <n v="34754"/>
    <n v="-1.2579"/>
    <n v="2.0085000000000002"/>
  </r>
  <r>
    <n v="2303"/>
    <x v="0"/>
    <d v="2012-12-22T00:00:00"/>
    <x v="5"/>
    <x v="11"/>
    <n v="8.9748999999999999"/>
    <n v="9.0516000000000005"/>
    <n v="8.8981999999999992"/>
    <n v="8.9366000000000003"/>
    <n v="50533"/>
    <n v="0"/>
    <n v="1.7241"/>
  </r>
  <r>
    <n v="2330"/>
    <x v="1"/>
    <d v="2012-12-22T00:00:00"/>
    <x v="5"/>
    <x v="11"/>
    <n v="74.873599999999996"/>
    <n v="75.264799999999994"/>
    <n v="74.325900000000004"/>
    <n v="74.873599999999996"/>
    <n v="8384"/>
    <n v="0.94489999999999996"/>
    <n v="1.2632000000000001"/>
  </r>
  <r>
    <n v="2303"/>
    <x v="0"/>
    <d v="2012-12-24T00:00:00"/>
    <x v="0"/>
    <x v="11"/>
    <n v="8.9366000000000003"/>
    <n v="8.9366000000000003"/>
    <n v="8.8215000000000003"/>
    <n v="8.8215000000000003"/>
    <n v="25807"/>
    <n v="-1.2959000000000001"/>
    <n v="1.3043"/>
  </r>
  <r>
    <n v="2330"/>
    <x v="1"/>
    <d v="2012-12-24T00:00:00"/>
    <x v="0"/>
    <x v="11"/>
    <n v="75.1083"/>
    <n v="75.421199999999999"/>
    <n v="74.4041"/>
    <n v="74.482399999999998"/>
    <n v="17215"/>
    <n v="-0.52380000000000004"/>
    <n v="1.367"/>
  </r>
  <r>
    <n v="2303"/>
    <x v="0"/>
    <d v="2012-12-25T00:00:00"/>
    <x v="1"/>
    <x v="11"/>
    <n v="8.8597999999999999"/>
    <n v="8.9366000000000003"/>
    <n v="8.8215000000000003"/>
    <n v="8.8981999999999992"/>
    <n v="21796"/>
    <n v="0.86580000000000001"/>
    <n v="1.3043"/>
  </r>
  <r>
    <n v="2330"/>
    <x v="1"/>
    <d v="2012-12-25T00:00:00"/>
    <x v="1"/>
    <x v="11"/>
    <n v="75.1083"/>
    <n v="76.125399999999999"/>
    <n v="74.795299999999997"/>
    <n v="75.499499999999998"/>
    <n v="16006"/>
    <n v="1.3563000000000001"/>
    <n v="1.7782"/>
  </r>
  <r>
    <n v="2303"/>
    <x v="0"/>
    <d v="2012-12-26T00:00:00"/>
    <x v="2"/>
    <x v="11"/>
    <n v="8.8981999999999992"/>
    <n v="9.09"/>
    <n v="8.8981999999999992"/>
    <n v="8.9366000000000003"/>
    <n v="49542"/>
    <n v="0.43009999999999998"/>
    <n v="2.1551999999999998"/>
  </r>
  <r>
    <n v="2330"/>
    <x v="1"/>
    <d v="2012-12-26T00:00:00"/>
    <x v="2"/>
    <x v="11"/>
    <n v="75.499499999999998"/>
    <n v="76.125399999999999"/>
    <n v="75.1083"/>
    <n v="75.1083"/>
    <n v="12055"/>
    <n v="-0.51949999999999996"/>
    <n v="1.3542000000000001"/>
  </r>
  <r>
    <n v="2303"/>
    <x v="0"/>
    <d v="2012-12-27T00:00:00"/>
    <x v="3"/>
    <x v="11"/>
    <n v="8.9366000000000003"/>
    <n v="8.9748999999999999"/>
    <n v="8.8981999999999992"/>
    <n v="8.9748999999999999"/>
    <n v="29177"/>
    <n v="0.42830000000000001"/>
    <n v="0.86209999999999998"/>
  </r>
  <r>
    <n v="2330"/>
    <x v="1"/>
    <d v="2012-12-27T00:00:00"/>
    <x v="3"/>
    <x v="11"/>
    <n v="75.264799999999994"/>
    <n v="75.656000000000006"/>
    <n v="74.717100000000002"/>
    <n v="74.795299999999997"/>
    <n v="24204"/>
    <n v="-0.41749999999999998"/>
    <n v="1.2565"/>
  </r>
  <r>
    <n v="2303"/>
    <x v="0"/>
    <d v="2012-12-28T00:00:00"/>
    <x v="4"/>
    <x v="11"/>
    <n v="9.0516000000000005"/>
    <n v="9.09"/>
    <n v="8.9748999999999999"/>
    <n v="8.9748999999999999"/>
    <n v="53452"/>
    <n v="0"/>
    <n v="1.2821"/>
  </r>
  <r>
    <n v="2330"/>
    <x v="1"/>
    <d v="2012-12-28T00:00:00"/>
    <x v="4"/>
    <x v="11"/>
    <n v="75.734200000000001"/>
    <n v="75.890699999999995"/>
    <n v="75.030100000000004"/>
    <n v="75.890699999999995"/>
    <n v="25705"/>
    <n v="1.4538"/>
    <n v="1.147"/>
  </r>
  <r>
    <n v="2303"/>
    <x v="0"/>
    <d v="2013-01-02T00:00:00"/>
    <x v="2"/>
    <x v="0"/>
    <n v="9.0516000000000005"/>
    <n v="9.1282999999999994"/>
    <n v="8.9366000000000003"/>
    <n v="9.0516000000000005"/>
    <n v="44320"/>
    <n v="0.85109999999999997"/>
    <n v="2.1459000000000001"/>
  </r>
  <r>
    <n v="2330"/>
    <x v="1"/>
    <d v="2013-01-02T00:00:00"/>
    <x v="2"/>
    <x v="0"/>
    <n v="76.360100000000003"/>
    <n v="78.159599999999998"/>
    <n v="75.968900000000005"/>
    <n v="77.924800000000005"/>
    <n v="40647"/>
    <n v="2.6450999999999998"/>
    <n v="2.8835999999999999"/>
  </r>
  <r>
    <n v="2303"/>
    <x v="0"/>
    <d v="2013-01-03T00:00:00"/>
    <x v="3"/>
    <x v="0"/>
    <n v="9.1667000000000005"/>
    <n v="9.6268999999999991"/>
    <n v="9.1667000000000005"/>
    <n v="9.4734999999999996"/>
    <n v="171773"/>
    <n v="4.5556999999999999"/>
    <n v="5.0209000000000001"/>
  </r>
  <r>
    <n v="2330"/>
    <x v="1"/>
    <d v="2013-01-03T00:00:00"/>
    <x v="3"/>
    <x v="0"/>
    <n v="78.629000000000005"/>
    <n v="79.802599999999998"/>
    <n v="78.237799999999993"/>
    <n v="79.020200000000003"/>
    <n v="44335"/>
    <n v="1.3957999999999999"/>
    <n v="2"/>
  </r>
  <r>
    <n v="2303"/>
    <x v="0"/>
    <d v="2013-01-04T00:00:00"/>
    <x v="4"/>
    <x v="0"/>
    <n v="9.4734999999999996"/>
    <n v="9.6268999999999991"/>
    <n v="9.3583999999999996"/>
    <n v="9.5119000000000007"/>
    <n v="106856"/>
    <n v="0.40400000000000003"/>
    <n v="2.8689"/>
  </r>
  <r>
    <n v="2330"/>
    <x v="1"/>
    <d v="2013-01-04T00:00:00"/>
    <x v="4"/>
    <x v="0"/>
    <n v="78.629000000000005"/>
    <n v="79.4114"/>
    <n v="78.237799999999993"/>
    <n v="79.4114"/>
    <n v="39502"/>
    <n v="0.49380000000000002"/>
    <n v="1.5"/>
  </r>
  <r>
    <n v="2303"/>
    <x v="0"/>
    <d v="2013-01-07T00:00:00"/>
    <x v="0"/>
    <x v="0"/>
    <n v="9.5119000000000007"/>
    <n v="9.5119000000000007"/>
    <n v="9.2817000000000007"/>
    <n v="9.3583999999999996"/>
    <n v="55917"/>
    <n v="-1.6261000000000001"/>
    <n v="2.4792999999999998"/>
  </r>
  <r>
    <n v="2330"/>
    <x v="1"/>
    <d v="2013-01-07T00:00:00"/>
    <x v="0"/>
    <x v="0"/>
    <n v="79.020200000000003"/>
    <n v="79.020200000000003"/>
    <n v="77.533699999999996"/>
    <n v="78.629000000000005"/>
    <n v="42328"/>
    <n v="-0.99009999999999998"/>
    <n v="1.9173"/>
  </r>
  <r>
    <n v="2303"/>
    <x v="0"/>
    <d v="2013-01-08T00:00:00"/>
    <x v="1"/>
    <x v="0"/>
    <n v="9.3583999999999996"/>
    <n v="9.4734999999999996"/>
    <n v="9.2050000000000001"/>
    <n v="9.2817000000000007"/>
    <n v="55647"/>
    <n v="-0.82299999999999995"/>
    <n v="2.9167000000000001"/>
  </r>
  <r>
    <n v="2330"/>
    <x v="1"/>
    <d v="2013-01-08T00:00:00"/>
    <x v="1"/>
    <x v="0"/>
    <n v="77.924800000000005"/>
    <n v="78.237799999999993"/>
    <n v="77.377200000000002"/>
    <n v="78.003100000000003"/>
    <n v="31218"/>
    <n v="-0.79920000000000002"/>
    <n v="1.1122000000000001"/>
  </r>
  <r>
    <n v="2303"/>
    <x v="0"/>
    <d v="2013-01-09T00:00:00"/>
    <x v="2"/>
    <x v="0"/>
    <n v="9.2050000000000001"/>
    <n v="9.2433999999999994"/>
    <n v="9.09"/>
    <n v="9.09"/>
    <n v="70863"/>
    <n v="-2.0878000000000001"/>
    <n v="1.6878"/>
  </r>
  <r>
    <n v="2330"/>
    <x v="1"/>
    <d v="2013-01-09T00:00:00"/>
    <x v="2"/>
    <x v="0"/>
    <n v="78.629000000000005"/>
    <n v="78.629000000000005"/>
    <n v="77.611900000000006"/>
    <n v="78.237799999999993"/>
    <n v="26417"/>
    <n v="0.30049999999999999"/>
    <n v="1.3105"/>
  </r>
  <r>
    <n v="2303"/>
    <x v="0"/>
    <d v="2013-01-10T00:00:00"/>
    <x v="3"/>
    <x v="0"/>
    <n v="9.2050000000000001"/>
    <n v="9.2050000000000001"/>
    <n v="9.0516000000000005"/>
    <n v="9.0516000000000005"/>
    <n v="54746"/>
    <n v="-0.42280000000000001"/>
    <n v="1.6949000000000001"/>
  </r>
  <r>
    <n v="2330"/>
    <x v="1"/>
    <d v="2013-01-10T00:00:00"/>
    <x v="3"/>
    <x v="0"/>
    <n v="78.159599999999998"/>
    <n v="79.020200000000003"/>
    <n v="77.846599999999995"/>
    <n v="79.020200000000003"/>
    <n v="41234"/>
    <n v="0.995"/>
    <n v="1.5075000000000001"/>
  </r>
  <r>
    <n v="2303"/>
    <x v="0"/>
    <d v="2013-01-11T00:00:00"/>
    <x v="4"/>
    <x v="0"/>
    <n v="9.1282999999999994"/>
    <n v="9.1667000000000005"/>
    <n v="9.0516000000000005"/>
    <n v="9.09"/>
    <n v="31247"/>
    <n v="0.42280000000000001"/>
    <n v="1.2712000000000001"/>
  </r>
  <r>
    <n v="2330"/>
    <x v="1"/>
    <d v="2013-01-11T00:00:00"/>
    <x v="4"/>
    <x v="0"/>
    <n v="79.4114"/>
    <n v="79.4114"/>
    <n v="78.629000000000005"/>
    <n v="79.020200000000003"/>
    <n v="22993"/>
    <n v="0"/>
    <n v="0.995"/>
  </r>
  <r>
    <n v="2303"/>
    <x v="0"/>
    <d v="2013-01-14T00:00:00"/>
    <x v="0"/>
    <x v="0"/>
    <n v="9.09"/>
    <n v="9.09"/>
    <n v="8.9748999999999999"/>
    <n v="9.0516000000000005"/>
    <n v="37858"/>
    <n v="-0.42280000000000001"/>
    <n v="1.2821"/>
  </r>
  <r>
    <n v="2330"/>
    <x v="1"/>
    <d v="2013-01-14T00:00:00"/>
    <x v="0"/>
    <x v="0"/>
    <n v="79.020200000000003"/>
    <n v="79.802599999999998"/>
    <n v="78.237799999999993"/>
    <n v="79.802599999999998"/>
    <n v="23575"/>
    <n v="0.98519999999999996"/>
    <n v="2"/>
  </r>
  <r>
    <n v="2303"/>
    <x v="0"/>
    <d v="2013-01-15T00:00:00"/>
    <x v="1"/>
    <x v="0"/>
    <n v="9.09"/>
    <n v="9.09"/>
    <n v="8.8981999999999992"/>
    <n v="8.9366000000000003"/>
    <n v="47248"/>
    <n v="-1.2793000000000001"/>
    <n v="2.1551999999999998"/>
  </r>
  <r>
    <n v="2330"/>
    <x v="1"/>
    <d v="2013-01-15T00:00:00"/>
    <x v="1"/>
    <x v="0"/>
    <n v="79.802599999999998"/>
    <n v="79.802599999999998"/>
    <n v="78.081299999999999"/>
    <n v="78.629000000000005"/>
    <n v="36015"/>
    <n v="-1.4815"/>
    <n v="2.2044000000000001"/>
  </r>
  <r>
    <n v="2303"/>
    <x v="0"/>
    <d v="2013-01-16T00:00:00"/>
    <x v="2"/>
    <x v="0"/>
    <n v="8.9366000000000003"/>
    <n v="8.9748999999999999"/>
    <n v="8.8215000000000003"/>
    <n v="8.8215000000000003"/>
    <n v="42384"/>
    <n v="-1.2959000000000001"/>
    <n v="1.7391000000000001"/>
  </r>
  <r>
    <n v="2330"/>
    <x v="1"/>
    <d v="2013-01-16T00:00:00"/>
    <x v="2"/>
    <x v="0"/>
    <n v="78.629000000000005"/>
    <n v="78.629000000000005"/>
    <n v="77.611900000000006"/>
    <n v="77.611900000000006"/>
    <n v="35496"/>
    <n v="-1.302"/>
    <n v="1.3105"/>
  </r>
  <r>
    <n v="2303"/>
    <x v="0"/>
    <d v="2013-01-17T00:00:00"/>
    <x v="3"/>
    <x v="0"/>
    <n v="8.8981999999999992"/>
    <n v="8.8981999999999992"/>
    <n v="8.5914000000000001"/>
    <n v="8.5914000000000001"/>
    <n v="52357"/>
    <n v="-2.6433"/>
    <n v="3.5714000000000001"/>
  </r>
  <r>
    <n v="2330"/>
    <x v="1"/>
    <d v="2013-01-17T00:00:00"/>
    <x v="3"/>
    <x v="0"/>
    <n v="78.629000000000005"/>
    <n v="79.020200000000003"/>
    <n v="77.0642"/>
    <n v="77.690100000000001"/>
    <n v="40526"/>
    <n v="0.1008"/>
    <n v="2.5381"/>
  </r>
  <r>
    <n v="2303"/>
    <x v="0"/>
    <d v="2013-01-18T00:00:00"/>
    <x v="4"/>
    <x v="0"/>
    <n v="8.6681000000000008"/>
    <n v="8.8597999999999999"/>
    <n v="8.6681000000000008"/>
    <n v="8.8215000000000003"/>
    <n v="48558"/>
    <n v="2.6433"/>
    <n v="2.2124000000000001"/>
  </r>
  <r>
    <n v="2330"/>
    <x v="1"/>
    <d v="2013-01-18T00:00:00"/>
    <x v="4"/>
    <x v="0"/>
    <n v="79.4114"/>
    <n v="79.4114"/>
    <n v="78.629000000000005"/>
    <n v="79.4114"/>
    <n v="49874"/>
    <n v="2.1913"/>
    <n v="0.995"/>
  </r>
  <r>
    <n v="2303"/>
    <x v="0"/>
    <d v="2013-01-21T00:00:00"/>
    <x v="0"/>
    <x v="0"/>
    <n v="8.7447999999999997"/>
    <n v="8.7830999999999992"/>
    <n v="8.7064000000000004"/>
    <n v="8.7830999999999992"/>
    <n v="19466"/>
    <n v="-0.43569999999999998"/>
    <n v="0.88109999999999999"/>
  </r>
  <r>
    <n v="2330"/>
    <x v="1"/>
    <d v="2013-01-21T00:00:00"/>
    <x v="0"/>
    <x v="0"/>
    <n v="79.020200000000003"/>
    <n v="79.020200000000003"/>
    <n v="78.237799999999993"/>
    <n v="78.629000000000005"/>
    <n v="17310"/>
    <n v="-0.99009999999999998"/>
    <n v="1"/>
  </r>
  <r>
    <n v="2303"/>
    <x v="0"/>
    <d v="2013-01-22T00:00:00"/>
    <x v="1"/>
    <x v="0"/>
    <n v="8.7830999999999992"/>
    <n v="8.8215000000000003"/>
    <n v="8.7064000000000004"/>
    <n v="8.8215000000000003"/>
    <n v="14579"/>
    <n v="0.43569999999999998"/>
    <n v="1.3216000000000001"/>
  </r>
  <r>
    <n v="2330"/>
    <x v="1"/>
    <d v="2013-01-22T00:00:00"/>
    <x v="1"/>
    <x v="0"/>
    <n v="79.020200000000003"/>
    <n v="79.020200000000003"/>
    <n v="78.159599999999998"/>
    <n v="79.020200000000003"/>
    <n v="21946"/>
    <n v="0.49630000000000002"/>
    <n v="1.1011"/>
  </r>
  <r>
    <n v="2303"/>
    <x v="0"/>
    <d v="2013-01-23T00:00:00"/>
    <x v="2"/>
    <x v="0"/>
    <n v="8.7447999999999997"/>
    <n v="8.8981999999999992"/>
    <n v="8.7447999999999997"/>
    <n v="8.7830999999999992"/>
    <n v="31268"/>
    <n v="-0.43569999999999998"/>
    <n v="1.7544"/>
  </r>
  <r>
    <n v="2330"/>
    <x v="1"/>
    <d v="2013-01-23T00:00:00"/>
    <x v="2"/>
    <x v="0"/>
    <n v="79.4114"/>
    <n v="79.4114"/>
    <n v="78.237799999999993"/>
    <n v="79.020200000000003"/>
    <n v="30821"/>
    <n v="0"/>
    <n v="1.5"/>
  </r>
  <r>
    <n v="2303"/>
    <x v="0"/>
    <d v="2013-01-24T00:00:00"/>
    <x v="3"/>
    <x v="0"/>
    <n v="8.7447999999999997"/>
    <n v="8.8981999999999992"/>
    <n v="8.7064000000000004"/>
    <n v="8.7447999999999997"/>
    <n v="35589"/>
    <n v="-0.43759999999999999"/>
    <n v="2.2025999999999999"/>
  </r>
  <r>
    <n v="2330"/>
    <x v="1"/>
    <d v="2013-01-24T00:00:00"/>
    <x v="3"/>
    <x v="0"/>
    <n v="78.237799999999993"/>
    <n v="78.629000000000005"/>
    <n v="77.611900000000006"/>
    <n v="78.159599999999998"/>
    <n v="40653"/>
    <n v="-1.0951"/>
    <n v="1.3105"/>
  </r>
  <r>
    <n v="2303"/>
    <x v="0"/>
    <d v="2013-01-25T00:00:00"/>
    <x v="4"/>
    <x v="0"/>
    <n v="8.7447999999999997"/>
    <n v="8.8215000000000003"/>
    <n v="8.6296999999999997"/>
    <n v="8.6296999999999997"/>
    <n v="30430"/>
    <n v="-1.3245"/>
    <n v="2.2222"/>
  </r>
  <r>
    <n v="2330"/>
    <x v="1"/>
    <d v="2013-01-25T00:00:00"/>
    <x v="4"/>
    <x v="0"/>
    <n v="78.159599999999998"/>
    <n v="78.159599999999998"/>
    <n v="76.673000000000002"/>
    <n v="77.455399999999997"/>
    <n v="48674"/>
    <n v="-0.90500000000000003"/>
    <n v="1.9388000000000001"/>
  </r>
  <r>
    <n v="2303"/>
    <x v="0"/>
    <d v="2013-01-28T00:00:00"/>
    <x v="0"/>
    <x v="0"/>
    <n v="8.6681000000000008"/>
    <n v="8.7830999999999992"/>
    <n v="8.6681000000000008"/>
    <n v="8.7064000000000004"/>
    <n v="15135"/>
    <n v="0.88500000000000001"/>
    <n v="1.3273999999999999"/>
  </r>
  <r>
    <n v="2330"/>
    <x v="1"/>
    <d v="2013-01-28T00:00:00"/>
    <x v="0"/>
    <x v="0"/>
    <n v="77.220699999999994"/>
    <n v="77.846599999999995"/>
    <n v="77.142499999999998"/>
    <n v="77.690100000000001"/>
    <n v="29190"/>
    <n v="0.30259999999999998"/>
    <n v="0.91279999999999994"/>
  </r>
  <r>
    <n v="2303"/>
    <x v="0"/>
    <d v="2013-01-29T00:00:00"/>
    <x v="1"/>
    <x v="0"/>
    <n v="8.7830999999999992"/>
    <n v="8.8981999999999992"/>
    <n v="8.7447999999999997"/>
    <n v="8.8597999999999999"/>
    <n v="40765"/>
    <n v="1.7467999999999999"/>
    <n v="1.7544"/>
  </r>
  <r>
    <n v="2330"/>
    <x v="1"/>
    <d v="2013-01-29T00:00:00"/>
    <x v="1"/>
    <x v="0"/>
    <n v="78.237799999999993"/>
    <n v="79.4114"/>
    <n v="78.003100000000003"/>
    <n v="79.020200000000003"/>
    <n v="36060"/>
    <n v="1.6975"/>
    <n v="1.8053999999999999"/>
  </r>
  <r>
    <n v="2303"/>
    <x v="0"/>
    <d v="2013-01-30T00:00:00"/>
    <x v="2"/>
    <x v="0"/>
    <n v="8.9366000000000003"/>
    <n v="8.9366000000000003"/>
    <n v="8.8215000000000003"/>
    <n v="8.9366000000000003"/>
    <n v="40018"/>
    <n v="0.86209999999999998"/>
    <n v="1.3043"/>
  </r>
  <r>
    <n v="2330"/>
    <x v="1"/>
    <d v="2013-01-30T00:00:00"/>
    <x v="2"/>
    <x v="0"/>
    <n v="79.802599999999998"/>
    <n v="79.802599999999998"/>
    <n v="78.629000000000005"/>
    <n v="79.4114"/>
    <n v="28862"/>
    <n v="0.49380000000000002"/>
    <n v="1.4924999999999999"/>
  </r>
  <r>
    <n v="2303"/>
    <x v="0"/>
    <d v="2013-01-31T00:00:00"/>
    <x v="3"/>
    <x v="0"/>
    <n v="8.9366000000000003"/>
    <n v="8.9366000000000003"/>
    <n v="8.7830999999999992"/>
    <n v="8.8215000000000003"/>
    <n v="33537"/>
    <n v="-1.2959000000000001"/>
    <n v="1.7466999999999999"/>
  </r>
  <r>
    <n v="2330"/>
    <x v="1"/>
    <d v="2013-01-31T00:00:00"/>
    <x v="3"/>
    <x v="0"/>
    <n v="78.629000000000005"/>
    <n v="79.4114"/>
    <n v="78.237799999999993"/>
    <n v="79.4114"/>
    <n v="42489"/>
    <n v="0"/>
    <n v="1.5"/>
  </r>
  <r>
    <n v="2303"/>
    <x v="0"/>
    <d v="2013-02-01T00:00:00"/>
    <x v="4"/>
    <x v="1"/>
    <n v="8.8215000000000003"/>
    <n v="8.9366000000000003"/>
    <n v="8.8215000000000003"/>
    <n v="8.8981999999999992"/>
    <n v="26031"/>
    <n v="0.86580000000000001"/>
    <n v="1.3043"/>
  </r>
  <r>
    <n v="2330"/>
    <x v="1"/>
    <d v="2013-02-01T00:00:00"/>
    <x v="4"/>
    <x v="1"/>
    <n v="79.4114"/>
    <n v="79.4114"/>
    <n v="78.629000000000005"/>
    <n v="79.4114"/>
    <n v="23211"/>
    <n v="0"/>
    <n v="0.995"/>
  </r>
  <r>
    <n v="2303"/>
    <x v="0"/>
    <d v="2013-02-04T00:00:00"/>
    <x v="0"/>
    <x v="1"/>
    <n v="8.9366000000000003"/>
    <n v="8.9748999999999999"/>
    <n v="8.8597999999999999"/>
    <n v="8.9366000000000003"/>
    <n v="25603"/>
    <n v="0.43009999999999998"/>
    <n v="1.2987"/>
  </r>
  <r>
    <n v="2330"/>
    <x v="1"/>
    <d v="2013-02-04T00:00:00"/>
    <x v="0"/>
    <x v="1"/>
    <n v="79.802599999999998"/>
    <n v="80.584900000000005"/>
    <n v="79.802599999999998"/>
    <n v="80.584900000000005"/>
    <n v="35257"/>
    <n v="1.4670000000000001"/>
    <n v="0.98040000000000005"/>
  </r>
  <r>
    <n v="2303"/>
    <x v="0"/>
    <d v="2013-02-05T00:00:00"/>
    <x v="1"/>
    <x v="1"/>
    <n v="8.8981999999999992"/>
    <n v="8.8981999999999992"/>
    <n v="8.7447999999999997"/>
    <n v="8.7447999999999997"/>
    <n v="28816"/>
    <n v="-2.1692999999999998"/>
    <n v="1.7544"/>
  </r>
  <r>
    <n v="2330"/>
    <x v="1"/>
    <d v="2013-02-05T00:00:00"/>
    <x v="1"/>
    <x v="1"/>
    <n v="80.584900000000005"/>
    <n v="80.584900000000005"/>
    <n v="79.4114"/>
    <n v="80.584900000000005"/>
    <n v="17896"/>
    <n v="0"/>
    <n v="1.4778"/>
  </r>
  <r>
    <n v="2303"/>
    <x v="0"/>
    <d v="2013-02-06T00:00:00"/>
    <x v="2"/>
    <x v="1"/>
    <n v="8.7064000000000004"/>
    <n v="8.7830999999999992"/>
    <n v="8.7064000000000004"/>
    <n v="8.7064000000000004"/>
    <n v="26463"/>
    <n v="-0.43959999999999999"/>
    <n v="0.88109999999999999"/>
  </r>
  <r>
    <n v="2330"/>
    <x v="1"/>
    <d v="2013-02-06T00:00:00"/>
    <x v="2"/>
    <x v="1"/>
    <n v="80.976100000000002"/>
    <n v="82.149699999999996"/>
    <n v="80.584900000000005"/>
    <n v="82.149699999999996"/>
    <n v="32330"/>
    <n v="1.9231"/>
    <n v="1.9417"/>
  </r>
  <r>
    <n v="2303"/>
    <x v="0"/>
    <d v="2013-02-18T00:00:00"/>
    <x v="0"/>
    <x v="1"/>
    <n v="8.7064000000000004"/>
    <n v="8.7064000000000004"/>
    <n v="8.4763000000000002"/>
    <n v="8.5530000000000008"/>
    <n v="81393"/>
    <n v="-1.7778"/>
    <n v="2.7149000000000001"/>
  </r>
  <r>
    <n v="2330"/>
    <x v="1"/>
    <d v="2013-02-18T00:00:00"/>
    <x v="0"/>
    <x v="1"/>
    <n v="83.714399999999998"/>
    <n v="84.888000000000005"/>
    <n v="83.323300000000003"/>
    <n v="83.714399999999998"/>
    <n v="64345"/>
    <n v="1.8868"/>
    <n v="1.8778999999999999"/>
  </r>
  <r>
    <n v="2303"/>
    <x v="0"/>
    <d v="2013-02-19T00:00:00"/>
    <x v="1"/>
    <x v="1"/>
    <n v="8.5530000000000008"/>
    <n v="8.7447999999999997"/>
    <n v="8.5146999999999995"/>
    <n v="8.7064000000000004"/>
    <n v="48857"/>
    <n v="1.7778"/>
    <n v="2.7027000000000001"/>
  </r>
  <r>
    <n v="2330"/>
    <x v="1"/>
    <d v="2013-02-19T00:00:00"/>
    <x v="1"/>
    <x v="1"/>
    <n v="84.888000000000005"/>
    <n v="84.888000000000005"/>
    <n v="83.323300000000003"/>
    <n v="83.714399999999998"/>
    <n v="22103"/>
    <n v="0"/>
    <n v="1.8778999999999999"/>
  </r>
  <r>
    <n v="2303"/>
    <x v="0"/>
    <d v="2013-02-20T00:00:00"/>
    <x v="2"/>
    <x v="1"/>
    <n v="8.7447999999999997"/>
    <n v="8.7447999999999997"/>
    <n v="8.5914000000000001"/>
    <n v="8.6296999999999997"/>
    <n v="43724"/>
    <n v="-0.88500000000000001"/>
    <n v="1.7857000000000001"/>
  </r>
  <r>
    <n v="2330"/>
    <x v="1"/>
    <d v="2013-02-20T00:00:00"/>
    <x v="2"/>
    <x v="1"/>
    <n v="84.888000000000005"/>
    <n v="85.670400000000001"/>
    <n v="84.496799999999993"/>
    <n v="85.279200000000003"/>
    <n v="41921"/>
    <n v="1.8519000000000001"/>
    <n v="1.3889"/>
  </r>
  <r>
    <n v="2303"/>
    <x v="0"/>
    <d v="2013-02-21T00:00:00"/>
    <x v="3"/>
    <x v="1"/>
    <n v="8.5914000000000001"/>
    <n v="8.6296999999999997"/>
    <n v="8.5530000000000008"/>
    <n v="8.5530000000000008"/>
    <n v="27672"/>
    <n v="-0.89290000000000003"/>
    <n v="0.89690000000000003"/>
  </r>
  <r>
    <n v="2330"/>
    <x v="1"/>
    <d v="2013-02-21T00:00:00"/>
    <x v="3"/>
    <x v="1"/>
    <n v="84.888000000000005"/>
    <n v="84.888000000000005"/>
    <n v="83.714399999999998"/>
    <n v="83.714399999999998"/>
    <n v="30551"/>
    <n v="-1.8519000000000001"/>
    <n v="1.4018999999999999"/>
  </r>
  <r>
    <n v="2303"/>
    <x v="0"/>
    <d v="2013-02-22T00:00:00"/>
    <x v="4"/>
    <x v="1"/>
    <n v="8.5530000000000008"/>
    <n v="8.6681000000000008"/>
    <n v="8.5530000000000008"/>
    <n v="8.5914000000000001"/>
    <n v="35230"/>
    <n v="0.44740000000000002"/>
    <n v="1.3452999999999999"/>
  </r>
  <r>
    <n v="2330"/>
    <x v="1"/>
    <d v="2013-02-22T00:00:00"/>
    <x v="4"/>
    <x v="1"/>
    <n v="82.932100000000005"/>
    <n v="83.323300000000003"/>
    <n v="82.149699999999996"/>
    <n v="82.540899999999993"/>
    <n v="39577"/>
    <n v="-1.4117999999999999"/>
    <n v="1.4286000000000001"/>
  </r>
  <r>
    <n v="2303"/>
    <x v="0"/>
    <d v="2013-02-23T00:00:00"/>
    <x v="5"/>
    <x v="1"/>
    <n v="8.6681000000000008"/>
    <n v="8.6681000000000008"/>
    <n v="8.5914000000000001"/>
    <n v="8.5914000000000001"/>
    <n v="15674"/>
    <n v="0"/>
    <n v="0.89290000000000003"/>
  </r>
  <r>
    <n v="2330"/>
    <x v="1"/>
    <d v="2013-02-23T00:00:00"/>
    <x v="5"/>
    <x v="1"/>
    <n v="83.323300000000003"/>
    <n v="84.105599999999995"/>
    <n v="82.932100000000005"/>
    <n v="83.714399999999998"/>
    <n v="10174"/>
    <n v="1.4117999999999999"/>
    <n v="1.4151"/>
  </r>
  <r>
    <n v="2303"/>
    <x v="0"/>
    <d v="2013-02-25T00:00:00"/>
    <x v="0"/>
    <x v="1"/>
    <n v="8.6296999999999997"/>
    <n v="8.7064000000000004"/>
    <n v="8.5914000000000001"/>
    <n v="8.6296999999999997"/>
    <n v="25701"/>
    <n v="0.44540000000000002"/>
    <n v="1.3392999999999999"/>
  </r>
  <r>
    <n v="2330"/>
    <x v="1"/>
    <d v="2013-02-25T00:00:00"/>
    <x v="0"/>
    <x v="1"/>
    <n v="83.323300000000003"/>
    <n v="83.714399999999998"/>
    <n v="82.149699999999996"/>
    <n v="82.149699999999996"/>
    <n v="37216"/>
    <n v="-1.8868"/>
    <n v="1.9048"/>
  </r>
  <r>
    <n v="2303"/>
    <x v="0"/>
    <d v="2013-02-26T00:00:00"/>
    <x v="1"/>
    <x v="1"/>
    <n v="8.5530000000000008"/>
    <n v="8.5914000000000001"/>
    <n v="8.5146999999999995"/>
    <n v="8.5146999999999995"/>
    <n v="34061"/>
    <n v="-1.3423"/>
    <n v="0.90090000000000003"/>
  </r>
  <r>
    <n v="2330"/>
    <x v="1"/>
    <d v="2013-02-26T00:00:00"/>
    <x v="1"/>
    <x v="1"/>
    <n v="80.976100000000002"/>
    <n v="82.149699999999996"/>
    <n v="80.193700000000007"/>
    <n v="80.976100000000002"/>
    <n v="38498"/>
    <n v="-1.4389000000000001"/>
    <n v="2.4390000000000001"/>
  </r>
  <r>
    <n v="2303"/>
    <x v="0"/>
    <d v="2013-02-27T00:00:00"/>
    <x v="2"/>
    <x v="1"/>
    <n v="8.4763000000000002"/>
    <n v="8.5530000000000008"/>
    <n v="8.4379000000000008"/>
    <n v="8.5146999999999995"/>
    <n v="28619"/>
    <n v="0"/>
    <n v="1.3635999999999999"/>
  </r>
  <r>
    <n v="2330"/>
    <x v="1"/>
    <d v="2013-02-27T00:00:00"/>
    <x v="2"/>
    <x v="1"/>
    <n v="79.802599999999998"/>
    <n v="81.758499999999998"/>
    <n v="79.020200000000003"/>
    <n v="81.758499999999998"/>
    <n v="81358"/>
    <n v="0.96150000000000002"/>
    <n v="3.4653"/>
  </r>
  <r>
    <n v="2303"/>
    <x v="0"/>
    <d v="2013-03-01T00:00:00"/>
    <x v="4"/>
    <x v="2"/>
    <n v="8.5530000000000008"/>
    <n v="8.5914000000000001"/>
    <n v="8.4763000000000002"/>
    <n v="8.4763000000000002"/>
    <n v="27581"/>
    <n v="-0.45150000000000001"/>
    <n v="1.3574999999999999"/>
  </r>
  <r>
    <n v="2330"/>
    <x v="1"/>
    <d v="2013-03-01T00:00:00"/>
    <x v="4"/>
    <x v="2"/>
    <n v="80.584900000000005"/>
    <n v="82.149699999999996"/>
    <n v="80.193700000000007"/>
    <n v="82.149699999999996"/>
    <n v="35081"/>
    <n v="0.4773"/>
    <n v="2.4390000000000001"/>
  </r>
  <r>
    <n v="2303"/>
    <x v="0"/>
    <d v="2013-03-04T00:00:00"/>
    <x v="0"/>
    <x v="2"/>
    <n v="8.4763000000000002"/>
    <n v="8.5146999999999995"/>
    <n v="8.3612000000000002"/>
    <n v="8.3612000000000002"/>
    <n v="49657"/>
    <n v="-1.3668"/>
    <n v="1.8349"/>
  </r>
  <r>
    <n v="2330"/>
    <x v="1"/>
    <d v="2013-03-04T00:00:00"/>
    <x v="0"/>
    <x v="2"/>
    <n v="81.758499999999998"/>
    <n v="81.758499999999998"/>
    <n v="79.4114"/>
    <n v="79.802599999999998"/>
    <n v="55265"/>
    <n v="-2.8988"/>
    <n v="2.9557000000000002"/>
  </r>
  <r>
    <n v="2303"/>
    <x v="0"/>
    <d v="2013-03-05T00:00:00"/>
    <x v="1"/>
    <x v="2"/>
    <n v="8.3995999999999995"/>
    <n v="8.5530000000000008"/>
    <n v="8.3995999999999995"/>
    <n v="8.5146999999999995"/>
    <n v="45539"/>
    <n v="1.8182"/>
    <n v="1.8265"/>
  </r>
  <r>
    <n v="2330"/>
    <x v="1"/>
    <d v="2013-03-05T00:00:00"/>
    <x v="1"/>
    <x v="2"/>
    <n v="80.976100000000002"/>
    <n v="81.3673"/>
    <n v="80.193700000000007"/>
    <n v="81.3673"/>
    <n v="56213"/>
    <n v="1.9418"/>
    <n v="1.4634"/>
  </r>
  <r>
    <n v="2303"/>
    <x v="0"/>
    <d v="2013-03-06T00:00:00"/>
    <x v="2"/>
    <x v="2"/>
    <n v="8.5914000000000001"/>
    <n v="8.6296999999999997"/>
    <n v="8.4763000000000002"/>
    <n v="8.5914000000000001"/>
    <n v="31266"/>
    <n v="0.89690000000000003"/>
    <n v="1.81"/>
  </r>
  <r>
    <n v="2330"/>
    <x v="1"/>
    <d v="2013-03-06T00:00:00"/>
    <x v="2"/>
    <x v="2"/>
    <n v="81.3673"/>
    <n v="81.758499999999998"/>
    <n v="80.584900000000005"/>
    <n v="81.3673"/>
    <n v="38026"/>
    <n v="0"/>
    <n v="1.4562999999999999"/>
  </r>
  <r>
    <n v="2303"/>
    <x v="0"/>
    <d v="2013-03-07T00:00:00"/>
    <x v="3"/>
    <x v="2"/>
    <n v="8.5914000000000001"/>
    <n v="8.5914000000000001"/>
    <n v="8.4763000000000002"/>
    <n v="8.5146999999999995"/>
    <n v="26062"/>
    <n v="-0.89690000000000003"/>
    <n v="1.3574999999999999"/>
  </r>
  <r>
    <n v="2330"/>
    <x v="1"/>
    <d v="2013-03-07T00:00:00"/>
    <x v="3"/>
    <x v="2"/>
    <n v="80.976100000000002"/>
    <n v="81.3673"/>
    <n v="80.584900000000005"/>
    <n v="80.584900000000005"/>
    <n v="20783"/>
    <n v="-0.96619999999999995"/>
    <n v="0.97089999999999999"/>
  </r>
  <r>
    <n v="2303"/>
    <x v="0"/>
    <d v="2013-03-08T00:00:00"/>
    <x v="4"/>
    <x v="2"/>
    <n v="8.5146999999999995"/>
    <n v="8.5914000000000001"/>
    <n v="8.4763000000000002"/>
    <n v="8.4763000000000002"/>
    <n v="37292"/>
    <n v="-0.45150000000000001"/>
    <n v="1.3574999999999999"/>
  </r>
  <r>
    <n v="2330"/>
    <x v="1"/>
    <d v="2013-03-08T00:00:00"/>
    <x v="4"/>
    <x v="2"/>
    <n v="80.584900000000005"/>
    <n v="81.758499999999998"/>
    <n v="79.802599999999998"/>
    <n v="80.976100000000002"/>
    <n v="46036"/>
    <n v="0.48430000000000001"/>
    <n v="2.4510000000000001"/>
  </r>
  <r>
    <n v="2303"/>
    <x v="0"/>
    <d v="2013-03-11T00:00:00"/>
    <x v="0"/>
    <x v="2"/>
    <n v="8.5146999999999995"/>
    <n v="8.5914000000000001"/>
    <n v="8.4763000000000002"/>
    <n v="8.5146999999999995"/>
    <n v="29688"/>
    <n v="0.45150000000000001"/>
    <n v="1.3574999999999999"/>
  </r>
  <r>
    <n v="2330"/>
    <x v="1"/>
    <d v="2013-03-11T00:00:00"/>
    <x v="0"/>
    <x v="2"/>
    <n v="79.802599999999998"/>
    <n v="81.3673"/>
    <n v="79.802599999999998"/>
    <n v="79.802599999999998"/>
    <n v="36093"/>
    <n v="-1.4599"/>
    <n v="1.9608000000000001"/>
  </r>
  <r>
    <n v="2303"/>
    <x v="0"/>
    <d v="2013-03-12T00:00:00"/>
    <x v="1"/>
    <x v="2"/>
    <n v="8.5146999999999995"/>
    <n v="8.7064000000000004"/>
    <n v="8.4763000000000002"/>
    <n v="8.5914000000000001"/>
    <n v="56259"/>
    <n v="0.89690000000000003"/>
    <n v="2.7149000000000001"/>
  </r>
  <r>
    <n v="2330"/>
    <x v="1"/>
    <d v="2013-03-12T00:00:00"/>
    <x v="1"/>
    <x v="2"/>
    <n v="79.802599999999998"/>
    <n v="80.584900000000005"/>
    <n v="79.4114"/>
    <n v="80.193700000000007"/>
    <n v="30064"/>
    <n v="0.48899999999999999"/>
    <n v="1.4778"/>
  </r>
  <r>
    <n v="2303"/>
    <x v="0"/>
    <d v="2013-03-13T00:00:00"/>
    <x v="2"/>
    <x v="2"/>
    <n v="8.6296999999999997"/>
    <n v="8.6296999999999997"/>
    <n v="8.4763000000000002"/>
    <n v="8.5146999999999995"/>
    <n v="35908"/>
    <n v="-0.89690000000000003"/>
    <n v="1.81"/>
  </r>
  <r>
    <n v="2330"/>
    <x v="1"/>
    <d v="2013-03-13T00:00:00"/>
    <x v="2"/>
    <x v="2"/>
    <n v="80.193700000000007"/>
    <n v="82.149699999999996"/>
    <n v="79.802599999999998"/>
    <n v="81.758499999999998"/>
    <n v="57955"/>
    <n v="1.9323999999999999"/>
    <n v="2.9411999999999998"/>
  </r>
  <r>
    <n v="2303"/>
    <x v="0"/>
    <d v="2013-03-14T00:00:00"/>
    <x v="3"/>
    <x v="2"/>
    <n v="9.0516000000000005"/>
    <n v="9.0516000000000005"/>
    <n v="8.8981999999999992"/>
    <n v="8.8981999999999992"/>
    <n v="165141"/>
    <n v="4.4059999999999997"/>
    <n v="1.7241"/>
  </r>
  <r>
    <n v="2330"/>
    <x v="1"/>
    <d v="2013-03-14T00:00:00"/>
    <x v="3"/>
    <x v="2"/>
    <n v="81.3673"/>
    <n v="81.758499999999998"/>
    <n v="80.584900000000005"/>
    <n v="81.3673"/>
    <n v="33067"/>
    <n v="-0.47960000000000003"/>
    <n v="1.4562999999999999"/>
  </r>
  <r>
    <n v="2303"/>
    <x v="0"/>
    <d v="2013-03-15T00:00:00"/>
    <x v="4"/>
    <x v="2"/>
    <n v="8.9748999999999999"/>
    <n v="8.9748999999999999"/>
    <n v="8.8215000000000003"/>
    <n v="8.8981999999999992"/>
    <n v="83582"/>
    <n v="0"/>
    <n v="1.7391000000000001"/>
  </r>
  <r>
    <n v="2330"/>
    <x v="1"/>
    <d v="2013-03-15T00:00:00"/>
    <x v="4"/>
    <x v="2"/>
    <n v="82.149699999999996"/>
    <n v="82.149699999999996"/>
    <n v="80.584900000000005"/>
    <n v="80.584900000000005"/>
    <n v="35632"/>
    <n v="-0.96619999999999995"/>
    <n v="1.9417"/>
  </r>
  <r>
    <n v="2303"/>
    <x v="0"/>
    <d v="2013-03-18T00:00:00"/>
    <x v="0"/>
    <x v="2"/>
    <n v="8.7830999999999992"/>
    <n v="8.7830999999999992"/>
    <n v="8.5914000000000001"/>
    <n v="8.5914000000000001"/>
    <n v="54681"/>
    <n v="-3.5091000000000001"/>
    <n v="2.2321"/>
  </r>
  <r>
    <n v="2330"/>
    <x v="1"/>
    <d v="2013-03-18T00:00:00"/>
    <x v="0"/>
    <x v="2"/>
    <n v="79.802599999999998"/>
    <n v="79.802599999999998"/>
    <n v="78.629000000000005"/>
    <n v="78.629000000000005"/>
    <n v="44188"/>
    <n v="-2.4571000000000001"/>
    <n v="1.4924999999999999"/>
  </r>
  <r>
    <n v="2303"/>
    <x v="0"/>
    <d v="2013-03-19T00:00:00"/>
    <x v="1"/>
    <x v="2"/>
    <n v="8.6296999999999997"/>
    <n v="8.7064000000000004"/>
    <n v="8.5914000000000001"/>
    <n v="8.5914000000000001"/>
    <n v="42265"/>
    <n v="0"/>
    <n v="1.3392999999999999"/>
  </r>
  <r>
    <n v="2330"/>
    <x v="1"/>
    <d v="2013-03-19T00:00:00"/>
    <x v="1"/>
    <x v="2"/>
    <n v="79.020200000000003"/>
    <n v="79.4114"/>
    <n v="77.924800000000005"/>
    <n v="78.237799999999993"/>
    <n v="50765"/>
    <n v="-0.49880000000000002"/>
    <n v="1.9076"/>
  </r>
  <r>
    <n v="2303"/>
    <x v="0"/>
    <d v="2013-03-20T00:00:00"/>
    <x v="2"/>
    <x v="2"/>
    <n v="8.5530000000000008"/>
    <n v="8.6296999999999997"/>
    <n v="8.5146999999999995"/>
    <n v="8.5530000000000008"/>
    <n v="34494"/>
    <n v="-0.44740000000000002"/>
    <n v="1.3513999999999999"/>
  </r>
  <r>
    <n v="2330"/>
    <x v="1"/>
    <d v="2013-03-20T00:00:00"/>
    <x v="2"/>
    <x v="2"/>
    <n v="77.846599999999995"/>
    <n v="77.846599999999995"/>
    <n v="77.298900000000003"/>
    <n v="77.298900000000003"/>
    <n v="64024"/>
    <n v="-1.2073"/>
    <n v="0.70850000000000002"/>
  </r>
  <r>
    <n v="2303"/>
    <x v="0"/>
    <d v="2013-03-21T00:00:00"/>
    <x v="3"/>
    <x v="2"/>
    <n v="8.5146999999999995"/>
    <n v="8.6296999999999997"/>
    <n v="8.5146999999999995"/>
    <n v="8.5146999999999995"/>
    <n v="28500"/>
    <n v="-0.44940000000000002"/>
    <n v="1.3513999999999999"/>
  </r>
  <r>
    <n v="2330"/>
    <x v="1"/>
    <d v="2013-03-21T00:00:00"/>
    <x v="3"/>
    <x v="2"/>
    <n v="77.298900000000003"/>
    <n v="78.629000000000005"/>
    <n v="77.220699999999994"/>
    <n v="77.220699999999994"/>
    <n v="58467"/>
    <n v="-0.1013"/>
    <n v="1.8237000000000001"/>
  </r>
  <r>
    <n v="2303"/>
    <x v="0"/>
    <d v="2013-03-22T00:00:00"/>
    <x v="4"/>
    <x v="2"/>
    <n v="8.5146999999999995"/>
    <n v="8.5914000000000001"/>
    <n v="8.5146999999999995"/>
    <n v="8.5146999999999995"/>
    <n v="26058"/>
    <n v="0"/>
    <n v="0.90090000000000003"/>
  </r>
  <r>
    <n v="2330"/>
    <x v="1"/>
    <d v="2013-03-22T00:00:00"/>
    <x v="4"/>
    <x v="2"/>
    <n v="77.142499999999998"/>
    <n v="77.533699999999996"/>
    <n v="76.673000000000002"/>
    <n v="76.673000000000002"/>
    <n v="44937"/>
    <n v="-0.7117"/>
    <n v="1.1224000000000001"/>
  </r>
  <r>
    <n v="2303"/>
    <x v="0"/>
    <d v="2013-03-25T00:00:00"/>
    <x v="0"/>
    <x v="2"/>
    <n v="8.5530000000000008"/>
    <n v="8.5914000000000001"/>
    <n v="8.5146999999999995"/>
    <n v="8.5530000000000008"/>
    <n v="23981"/>
    <n v="0.44940000000000002"/>
    <n v="0.90090000000000003"/>
  </r>
  <r>
    <n v="2330"/>
    <x v="1"/>
    <d v="2013-03-25T00:00:00"/>
    <x v="0"/>
    <x v="2"/>
    <n v="78.159599999999998"/>
    <n v="78.629000000000005"/>
    <n v="77.611900000000006"/>
    <n v="77.846599999999995"/>
    <n v="25469"/>
    <n v="1.5189999999999999"/>
    <n v="1.3105"/>
  </r>
  <r>
    <n v="2303"/>
    <x v="0"/>
    <d v="2013-03-26T00:00:00"/>
    <x v="1"/>
    <x v="2"/>
    <n v="8.5914000000000001"/>
    <n v="8.6681000000000008"/>
    <n v="8.5530000000000008"/>
    <n v="8.6296999999999997"/>
    <n v="38920"/>
    <n v="0.89290000000000003"/>
    <n v="1.3452999999999999"/>
  </r>
  <r>
    <n v="2330"/>
    <x v="1"/>
    <d v="2013-03-26T00:00:00"/>
    <x v="1"/>
    <x v="2"/>
    <n v="77.611900000000006"/>
    <n v="77.7684"/>
    <n v="77.298900000000003"/>
    <n v="77.455399999999997"/>
    <n v="27220"/>
    <n v="-0.50380000000000003"/>
    <n v="0.60729999999999995"/>
  </r>
  <r>
    <n v="2303"/>
    <x v="0"/>
    <d v="2013-03-27T00:00:00"/>
    <x v="2"/>
    <x v="2"/>
    <n v="8.6296999999999997"/>
    <n v="8.6681000000000008"/>
    <n v="8.5530000000000008"/>
    <n v="8.5530000000000008"/>
    <n v="27280"/>
    <n v="-0.89290000000000003"/>
    <n v="1.3452999999999999"/>
  </r>
  <r>
    <n v="2330"/>
    <x v="1"/>
    <d v="2013-03-27T00:00:00"/>
    <x v="2"/>
    <x v="2"/>
    <n v="77.455399999999997"/>
    <n v="78.629000000000005"/>
    <n v="77.298900000000003"/>
    <n v="78.629000000000005"/>
    <n v="29969"/>
    <n v="1.5038"/>
    <n v="1.7205999999999999"/>
  </r>
  <r>
    <n v="2303"/>
    <x v="0"/>
    <d v="2013-03-28T00:00:00"/>
    <x v="3"/>
    <x v="2"/>
    <n v="8.6296999999999997"/>
    <n v="8.6296999999999997"/>
    <n v="8.5146999999999995"/>
    <n v="8.5146999999999995"/>
    <n v="25189"/>
    <n v="-0.44940000000000002"/>
    <n v="1.3513999999999999"/>
  </r>
  <r>
    <n v="2330"/>
    <x v="1"/>
    <d v="2013-03-28T00:00:00"/>
    <x v="3"/>
    <x v="2"/>
    <n v="78.237799999999993"/>
    <n v="78.629000000000005"/>
    <n v="77.690100000000001"/>
    <n v="78.237799999999993"/>
    <n v="29558"/>
    <n v="-0.49880000000000002"/>
    <n v="1.2084999999999999"/>
  </r>
  <r>
    <n v="2303"/>
    <x v="0"/>
    <d v="2013-03-29T00:00:00"/>
    <x v="4"/>
    <x v="2"/>
    <n v="8.5530000000000008"/>
    <n v="8.6296999999999997"/>
    <n v="8.5146999999999995"/>
    <n v="8.5914000000000001"/>
    <n v="19801"/>
    <n v="0.89690000000000003"/>
    <n v="1.3513999999999999"/>
  </r>
  <r>
    <n v="2330"/>
    <x v="1"/>
    <d v="2013-03-29T00:00:00"/>
    <x v="4"/>
    <x v="2"/>
    <n v="78.237799999999993"/>
    <n v="79.020200000000003"/>
    <n v="78.081299999999999"/>
    <n v="78.629000000000005"/>
    <n v="19003"/>
    <n v="0.49880000000000002"/>
    <n v="1.2023999999999999"/>
  </r>
  <r>
    <n v="2303"/>
    <x v="0"/>
    <d v="2013-04-01T00:00:00"/>
    <x v="0"/>
    <x v="3"/>
    <n v="8.5914000000000001"/>
    <n v="8.6296999999999997"/>
    <n v="8.5146999999999995"/>
    <n v="8.5530000000000008"/>
    <n v="14979"/>
    <n v="-0.44740000000000002"/>
    <n v="1.3513999999999999"/>
  </r>
  <r>
    <n v="2330"/>
    <x v="1"/>
    <d v="2013-04-01T00:00:00"/>
    <x v="0"/>
    <x v="3"/>
    <n v="79.020200000000003"/>
    <n v="79.802599999999998"/>
    <n v="78.629000000000005"/>
    <n v="79.020200000000003"/>
    <n v="16374"/>
    <n v="0.49630000000000002"/>
    <n v="1.4924999999999999"/>
  </r>
  <r>
    <n v="2303"/>
    <x v="0"/>
    <d v="2013-04-02T00:00:00"/>
    <x v="1"/>
    <x v="3"/>
    <n v="8.5530000000000008"/>
    <n v="8.6681000000000008"/>
    <n v="8.5530000000000008"/>
    <n v="8.6296999999999997"/>
    <n v="31864"/>
    <n v="0.89290000000000003"/>
    <n v="1.3452999999999999"/>
  </r>
  <r>
    <n v="2330"/>
    <x v="1"/>
    <d v="2013-04-02T00:00:00"/>
    <x v="1"/>
    <x v="3"/>
    <n v="78.629000000000005"/>
    <n v="79.020200000000003"/>
    <n v="78.081299999999999"/>
    <n v="78.629000000000005"/>
    <n v="22334"/>
    <n v="-0.49630000000000002"/>
    <n v="1.2023999999999999"/>
  </r>
  <r>
    <n v="2303"/>
    <x v="0"/>
    <d v="2013-04-03T00:00:00"/>
    <x v="2"/>
    <x v="3"/>
    <n v="8.6681000000000008"/>
    <n v="8.7064000000000004"/>
    <n v="8.5914000000000001"/>
    <n v="8.6681000000000008"/>
    <n v="31841"/>
    <n v="0.44350000000000001"/>
    <n v="1.3392999999999999"/>
  </r>
  <r>
    <n v="2330"/>
    <x v="1"/>
    <d v="2013-04-03T00:00:00"/>
    <x v="2"/>
    <x v="3"/>
    <n v="79.4114"/>
    <n v="79.4114"/>
    <n v="78.237799999999993"/>
    <n v="78.629000000000005"/>
    <n v="27097"/>
    <n v="0"/>
    <n v="1.5"/>
  </r>
  <r>
    <n v="2303"/>
    <x v="0"/>
    <d v="2013-04-08T00:00:00"/>
    <x v="0"/>
    <x v="3"/>
    <n v="8.5146999999999995"/>
    <n v="8.5530000000000008"/>
    <n v="8.3995999999999995"/>
    <n v="8.4763000000000002"/>
    <n v="50278"/>
    <n v="-2.2372000000000001"/>
    <n v="1.8265"/>
  </r>
  <r>
    <n v="2330"/>
    <x v="1"/>
    <d v="2013-04-08T00:00:00"/>
    <x v="0"/>
    <x v="3"/>
    <n v="77.455399999999997"/>
    <n v="77.846599999999995"/>
    <n v="77.0642"/>
    <n v="77.0642"/>
    <n v="58367"/>
    <n v="-2.0101"/>
    <n v="1.0152000000000001"/>
  </r>
  <r>
    <n v="2303"/>
    <x v="0"/>
    <d v="2013-04-09T00:00:00"/>
    <x v="1"/>
    <x v="3"/>
    <n v="8.5146999999999995"/>
    <n v="8.5530000000000008"/>
    <n v="8.4379000000000008"/>
    <n v="8.5146999999999995"/>
    <n v="32469"/>
    <n v="0.45150000000000001"/>
    <n v="1.3635999999999999"/>
  </r>
  <r>
    <n v="2330"/>
    <x v="1"/>
    <d v="2013-04-09T00:00:00"/>
    <x v="1"/>
    <x v="3"/>
    <n v="76.673000000000002"/>
    <n v="77.0642"/>
    <n v="76.281899999999993"/>
    <n v="76.281899999999993"/>
    <n v="41316"/>
    <n v="-1.0204"/>
    <n v="1.0256000000000001"/>
  </r>
  <r>
    <n v="2303"/>
    <x v="0"/>
    <d v="2013-04-10T00:00:00"/>
    <x v="2"/>
    <x v="3"/>
    <n v="8.4379000000000008"/>
    <n v="8.5146999999999995"/>
    <n v="8.4379000000000008"/>
    <n v="8.4379000000000008"/>
    <n v="40712"/>
    <n v="-0.90500000000000003"/>
    <n v="0.90910000000000002"/>
  </r>
  <r>
    <n v="2330"/>
    <x v="1"/>
    <d v="2013-04-10T00:00:00"/>
    <x v="2"/>
    <x v="3"/>
    <n v="77.298900000000003"/>
    <n v="77.298900000000003"/>
    <n v="76.438299999999998"/>
    <n v="76.907799999999995"/>
    <n v="36746"/>
    <n v="0.81720000000000004"/>
    <n v="1.1258999999999999"/>
  </r>
  <r>
    <n v="2303"/>
    <x v="0"/>
    <d v="2013-04-11T00:00:00"/>
    <x v="3"/>
    <x v="3"/>
    <n v="8.5146999999999995"/>
    <n v="8.6681000000000008"/>
    <n v="8.4763000000000002"/>
    <n v="8.5914000000000001"/>
    <n v="45541"/>
    <n v="1.8019000000000001"/>
    <n v="2.2624"/>
  </r>
  <r>
    <n v="2330"/>
    <x v="1"/>
    <d v="2013-04-11T00:00:00"/>
    <x v="3"/>
    <x v="3"/>
    <n v="77.455399999999997"/>
    <n v="79.4114"/>
    <n v="77.298900000000003"/>
    <n v="79.4114"/>
    <n v="57867"/>
    <n v="3.2035"/>
    <n v="2.7328000000000001"/>
  </r>
  <r>
    <n v="2303"/>
    <x v="0"/>
    <d v="2013-04-12T00:00:00"/>
    <x v="4"/>
    <x v="3"/>
    <n v="8.6296999999999997"/>
    <n v="8.6296999999999997"/>
    <n v="8.4763000000000002"/>
    <n v="8.4763000000000002"/>
    <n v="32646"/>
    <n v="-1.3483000000000001"/>
    <n v="1.81"/>
  </r>
  <r>
    <n v="2330"/>
    <x v="1"/>
    <d v="2013-04-12T00:00:00"/>
    <x v="4"/>
    <x v="3"/>
    <n v="79.4114"/>
    <n v="79.4114"/>
    <n v="78.237799999999993"/>
    <n v="78.629000000000005"/>
    <n v="19568"/>
    <n v="-0.99009999999999998"/>
    <n v="1.5"/>
  </r>
  <r>
    <n v="2303"/>
    <x v="0"/>
    <d v="2013-04-15T00:00:00"/>
    <x v="0"/>
    <x v="3"/>
    <n v="8.4763000000000002"/>
    <n v="8.5914000000000001"/>
    <n v="8.4763000000000002"/>
    <n v="8.4763000000000002"/>
    <n v="25573"/>
    <n v="0"/>
    <n v="1.3574999999999999"/>
  </r>
  <r>
    <n v="2330"/>
    <x v="1"/>
    <d v="2013-04-15T00:00:00"/>
    <x v="0"/>
    <x v="3"/>
    <n v="78.629000000000005"/>
    <n v="79.020200000000003"/>
    <n v="77.533699999999996"/>
    <n v="77.7684"/>
    <n v="23440"/>
    <n v="-1.1006"/>
    <n v="1.9173"/>
  </r>
  <r>
    <n v="2303"/>
    <x v="0"/>
    <d v="2013-04-16T00:00:00"/>
    <x v="1"/>
    <x v="3"/>
    <n v="8.4379000000000008"/>
    <n v="8.6296999999999997"/>
    <n v="8.4379000000000008"/>
    <n v="8.6296999999999997"/>
    <n v="34539"/>
    <n v="1.7938000000000001"/>
    <n v="2.2726999999999999"/>
  </r>
  <r>
    <n v="2330"/>
    <x v="1"/>
    <d v="2013-04-16T00:00:00"/>
    <x v="1"/>
    <x v="3"/>
    <n v="76.829499999999996"/>
    <n v="79.020200000000003"/>
    <n v="76.829499999999996"/>
    <n v="78.629000000000005"/>
    <n v="35918"/>
    <n v="1.1006"/>
    <n v="2.8513000000000002"/>
  </r>
  <r>
    <n v="2303"/>
    <x v="0"/>
    <d v="2013-04-17T00:00:00"/>
    <x v="2"/>
    <x v="3"/>
    <n v="8.6296999999999997"/>
    <n v="8.6681000000000008"/>
    <n v="8.5530000000000008"/>
    <n v="8.5914000000000001"/>
    <n v="34777"/>
    <n v="-0.44540000000000002"/>
    <n v="1.3452999999999999"/>
  </r>
  <r>
    <n v="2330"/>
    <x v="1"/>
    <d v="2013-04-17T00:00:00"/>
    <x v="2"/>
    <x v="3"/>
    <n v="79.4114"/>
    <n v="79.4114"/>
    <n v="78.003100000000003"/>
    <n v="78.237799999999993"/>
    <n v="35897"/>
    <n v="-0.49880000000000002"/>
    <n v="1.8053999999999999"/>
  </r>
  <r>
    <n v="2303"/>
    <x v="0"/>
    <d v="2013-04-18T00:00:00"/>
    <x v="3"/>
    <x v="3"/>
    <n v="8.5530000000000008"/>
    <n v="8.5914000000000001"/>
    <n v="8.4763000000000002"/>
    <n v="8.5146999999999995"/>
    <n v="31814"/>
    <n v="-0.89690000000000003"/>
    <n v="1.3574999999999999"/>
  </r>
  <r>
    <n v="2330"/>
    <x v="1"/>
    <d v="2013-04-18T00:00:00"/>
    <x v="3"/>
    <x v="3"/>
    <n v="78.237799999999993"/>
    <n v="79.020200000000003"/>
    <n v="77.7684"/>
    <n v="78.159599999999998"/>
    <n v="33083"/>
    <n v="-0.10009999999999999"/>
    <n v="1.6096999999999999"/>
  </r>
  <r>
    <n v="2303"/>
    <x v="0"/>
    <d v="2013-04-19T00:00:00"/>
    <x v="4"/>
    <x v="3"/>
    <n v="8.5914000000000001"/>
    <n v="8.7830999999999992"/>
    <n v="8.5530000000000008"/>
    <n v="8.7064000000000004"/>
    <n v="78392"/>
    <n v="2.2273000000000001"/>
    <n v="2.6905999999999999"/>
  </r>
  <r>
    <n v="2330"/>
    <x v="1"/>
    <d v="2013-04-19T00:00:00"/>
    <x v="4"/>
    <x v="3"/>
    <n v="82.540899999999993"/>
    <n v="83.323300000000003"/>
    <n v="82.540899999999993"/>
    <n v="83.323300000000003"/>
    <n v="66950"/>
    <n v="6.3975"/>
    <n v="0.94789999999999996"/>
  </r>
  <r>
    <n v="2303"/>
    <x v="0"/>
    <d v="2013-04-22T00:00:00"/>
    <x v="0"/>
    <x v="3"/>
    <n v="8.7064000000000004"/>
    <n v="8.7064000000000004"/>
    <n v="8.5914000000000001"/>
    <n v="8.5914000000000001"/>
    <n v="25456"/>
    <n v="-1.3304"/>
    <n v="1.3392999999999999"/>
  </r>
  <r>
    <n v="2330"/>
    <x v="1"/>
    <d v="2013-04-22T00:00:00"/>
    <x v="0"/>
    <x v="3"/>
    <n v="84.888000000000005"/>
    <n v="85.670400000000001"/>
    <n v="84.105599999999995"/>
    <n v="84.888000000000005"/>
    <n v="72502"/>
    <n v="1.8605"/>
    <n v="1.8605"/>
  </r>
  <r>
    <n v="2303"/>
    <x v="0"/>
    <d v="2013-04-23T00:00:00"/>
    <x v="1"/>
    <x v="3"/>
    <n v="8.6296999999999997"/>
    <n v="8.6681000000000008"/>
    <n v="8.5530000000000008"/>
    <n v="8.5914000000000001"/>
    <n v="22744"/>
    <n v="0"/>
    <n v="1.3452999999999999"/>
  </r>
  <r>
    <n v="2330"/>
    <x v="1"/>
    <d v="2013-04-23T00:00:00"/>
    <x v="1"/>
    <x v="3"/>
    <n v="83.323300000000003"/>
    <n v="84.105599999999995"/>
    <n v="82.540899999999993"/>
    <n v="82.932100000000005"/>
    <n v="46146"/>
    <n v="-2.3311000000000002"/>
    <n v="1.8956999999999999"/>
  </r>
  <r>
    <n v="2303"/>
    <x v="0"/>
    <d v="2013-04-24T00:00:00"/>
    <x v="2"/>
    <x v="3"/>
    <n v="8.6681000000000008"/>
    <n v="8.7447999999999997"/>
    <n v="8.5914000000000001"/>
    <n v="8.7447999999999997"/>
    <n v="30072"/>
    <n v="1.77"/>
    <n v="1.7857000000000001"/>
  </r>
  <r>
    <n v="2330"/>
    <x v="1"/>
    <d v="2013-04-24T00:00:00"/>
    <x v="2"/>
    <x v="3"/>
    <n v="83.323300000000003"/>
    <n v="83.714399999999998"/>
    <n v="81.758499999999998"/>
    <n v="82.932100000000005"/>
    <n v="35495"/>
    <n v="0"/>
    <n v="2.3923000000000001"/>
  </r>
  <r>
    <n v="2303"/>
    <x v="0"/>
    <d v="2013-04-25T00:00:00"/>
    <x v="3"/>
    <x v="3"/>
    <n v="8.7064000000000004"/>
    <n v="8.7447999999999997"/>
    <n v="8.6296999999999997"/>
    <n v="8.6681000000000008"/>
    <n v="31985"/>
    <n v="-0.88109999999999999"/>
    <n v="1.3332999999999999"/>
  </r>
  <r>
    <n v="2330"/>
    <x v="1"/>
    <d v="2013-04-25T00:00:00"/>
    <x v="3"/>
    <x v="3"/>
    <n v="82.932100000000005"/>
    <n v="83.714399999999998"/>
    <n v="82.540899999999993"/>
    <n v="83.714399999999998"/>
    <n v="26287"/>
    <n v="0.93899999999999995"/>
    <n v="1.4218"/>
  </r>
  <r>
    <n v="2303"/>
    <x v="0"/>
    <d v="2013-04-26T00:00:00"/>
    <x v="4"/>
    <x v="3"/>
    <n v="8.6681000000000008"/>
    <n v="8.7064000000000004"/>
    <n v="8.5914000000000001"/>
    <n v="8.5914000000000001"/>
    <n v="29071"/>
    <n v="-0.88890000000000002"/>
    <n v="1.3392999999999999"/>
  </r>
  <r>
    <n v="2330"/>
    <x v="1"/>
    <d v="2013-04-26T00:00:00"/>
    <x v="4"/>
    <x v="3"/>
    <n v="83.714399999999998"/>
    <n v="85.279200000000003"/>
    <n v="83.714399999999998"/>
    <n v="84.888000000000005"/>
    <n v="36776"/>
    <n v="1.3920999999999999"/>
    <n v="1.8692"/>
  </r>
  <r>
    <n v="2303"/>
    <x v="0"/>
    <d v="2013-04-29T00:00:00"/>
    <x v="0"/>
    <x v="3"/>
    <n v="8.5914000000000001"/>
    <n v="8.6296999999999997"/>
    <n v="8.5146999999999995"/>
    <n v="8.5146999999999995"/>
    <n v="30661"/>
    <n v="-0.89690000000000003"/>
    <n v="1.3513999999999999"/>
  </r>
  <r>
    <n v="2330"/>
    <x v="1"/>
    <d v="2013-04-29T00:00:00"/>
    <x v="0"/>
    <x v="3"/>
    <n v="84.888000000000005"/>
    <n v="84.888000000000005"/>
    <n v="84.105599999999995"/>
    <n v="84.496799999999993"/>
    <n v="21092"/>
    <n v="-0.46189999999999998"/>
    <n v="0.93020000000000003"/>
  </r>
  <r>
    <n v="2303"/>
    <x v="0"/>
    <d v="2013-04-30T00:00:00"/>
    <x v="1"/>
    <x v="3"/>
    <n v="8.5914000000000001"/>
    <n v="8.6681000000000008"/>
    <n v="8.5914000000000001"/>
    <n v="8.6296999999999997"/>
    <n v="42405"/>
    <n v="1.3423"/>
    <n v="0.89290000000000003"/>
  </r>
  <r>
    <n v="2330"/>
    <x v="1"/>
    <d v="2013-04-30T00:00:00"/>
    <x v="1"/>
    <x v="3"/>
    <n v="84.888000000000005"/>
    <n v="85.670400000000001"/>
    <n v="84.888000000000005"/>
    <n v="85.670400000000001"/>
    <n v="34612"/>
    <n v="1.3793"/>
    <n v="0.92169999999999996"/>
  </r>
  <r>
    <n v="2303"/>
    <x v="0"/>
    <d v="2013-05-02T00:00:00"/>
    <x v="3"/>
    <x v="4"/>
    <n v="8.5914000000000001"/>
    <n v="8.6681000000000008"/>
    <n v="8.5530000000000008"/>
    <n v="8.5914000000000001"/>
    <n v="23375"/>
    <n v="-0.44540000000000002"/>
    <n v="1.3452999999999999"/>
  </r>
  <r>
    <n v="2330"/>
    <x v="1"/>
    <d v="2013-05-02T00:00:00"/>
    <x v="3"/>
    <x v="4"/>
    <n v="86.061599999999999"/>
    <n v="86.843999999999994"/>
    <n v="85.279200000000003"/>
    <n v="86.452799999999996"/>
    <n v="38796"/>
    <n v="0.90910000000000002"/>
    <n v="1.8349"/>
  </r>
  <r>
    <n v="2303"/>
    <x v="0"/>
    <d v="2013-05-03T00:00:00"/>
    <x v="4"/>
    <x v="4"/>
    <n v="8.5914000000000001"/>
    <n v="8.8215000000000003"/>
    <n v="8.5914000000000001"/>
    <n v="8.7447999999999997"/>
    <n v="45896"/>
    <n v="1.77"/>
    <n v="2.6785999999999999"/>
  </r>
  <r>
    <n v="2330"/>
    <x v="1"/>
    <d v="2013-05-03T00:00:00"/>
    <x v="4"/>
    <x v="4"/>
    <n v="87.235100000000003"/>
    <n v="88.017499999999998"/>
    <n v="86.061599999999999"/>
    <n v="86.061599999999999"/>
    <n v="36621"/>
    <n v="-0.45350000000000001"/>
    <n v="2.2726999999999999"/>
  </r>
  <r>
    <n v="2303"/>
    <x v="0"/>
    <d v="2013-05-06T00:00:00"/>
    <x v="0"/>
    <x v="4"/>
    <n v="8.8215000000000003"/>
    <n v="9.0516000000000005"/>
    <n v="8.7830999999999992"/>
    <n v="9.0516000000000005"/>
    <n v="109090"/>
    <n v="3.4485999999999999"/>
    <n v="3.0568"/>
  </r>
  <r>
    <n v="2330"/>
    <x v="1"/>
    <d v="2013-05-06T00:00:00"/>
    <x v="0"/>
    <x v="4"/>
    <n v="87.235100000000003"/>
    <n v="87.235100000000003"/>
    <n v="86.452799999999996"/>
    <n v="87.235100000000003"/>
    <n v="19393"/>
    <n v="1.3544"/>
    <n v="0.90500000000000003"/>
  </r>
  <r>
    <n v="2303"/>
    <x v="0"/>
    <d v="2013-05-07T00:00:00"/>
    <x v="1"/>
    <x v="4"/>
    <n v="8.9748999999999999"/>
    <n v="9.0132999999999992"/>
    <n v="8.8597999999999999"/>
    <n v="8.8981999999999992"/>
    <n v="61595"/>
    <n v="-1.7094"/>
    <n v="1.7316"/>
  </r>
  <r>
    <n v="2330"/>
    <x v="1"/>
    <d v="2013-05-07T00:00:00"/>
    <x v="1"/>
    <x v="4"/>
    <n v="87.626300000000001"/>
    <n v="88.408699999999996"/>
    <n v="86.843999999999994"/>
    <n v="88.017499999999998"/>
    <n v="22448"/>
    <n v="0.89290000000000003"/>
    <n v="1.8018000000000001"/>
  </r>
  <r>
    <n v="2303"/>
    <x v="0"/>
    <d v="2013-05-08T00:00:00"/>
    <x v="2"/>
    <x v="4"/>
    <n v="8.9366000000000003"/>
    <n v="9.2817000000000007"/>
    <n v="8.9366000000000003"/>
    <n v="9.2817000000000007"/>
    <n v="172431"/>
    <n v="4.22"/>
    <n v="3.8626999999999998"/>
  </r>
  <r>
    <n v="2330"/>
    <x v="1"/>
    <d v="2013-05-08T00:00:00"/>
    <x v="2"/>
    <x v="4"/>
    <n v="88.017499999999998"/>
    <n v="89.973500000000001"/>
    <n v="88.017499999999998"/>
    <n v="89.582300000000004"/>
    <n v="42509"/>
    <n v="1.7622"/>
    <n v="2.2222"/>
  </r>
  <r>
    <n v="2303"/>
    <x v="0"/>
    <d v="2013-05-09T00:00:00"/>
    <x v="3"/>
    <x v="4"/>
    <n v="9.4352"/>
    <n v="9.4352"/>
    <n v="9.1282999999999994"/>
    <n v="9.1282999999999994"/>
    <n v="189203"/>
    <n v="-1.6667000000000001"/>
    <n v="3.3613"/>
  </r>
  <r>
    <n v="2330"/>
    <x v="1"/>
    <d v="2013-05-09T00:00:00"/>
    <x v="3"/>
    <x v="4"/>
    <n v="90.755799999999994"/>
    <n v="90.755799999999994"/>
    <n v="89.582300000000004"/>
    <n v="89.973500000000001"/>
    <n v="27606"/>
    <n v="0.43569999999999998"/>
    <n v="1.31"/>
  </r>
  <r>
    <n v="2303"/>
    <x v="0"/>
    <d v="2013-05-10T00:00:00"/>
    <x v="4"/>
    <x v="4"/>
    <n v="9.2050000000000001"/>
    <n v="9.7035999999999998"/>
    <n v="9.1282999999999994"/>
    <n v="9.6653000000000002"/>
    <n v="232058"/>
    <n v="5.7157999999999998"/>
    <n v="6.3025000000000002"/>
  </r>
  <r>
    <n v="2330"/>
    <x v="1"/>
    <d v="2013-05-10T00:00:00"/>
    <x v="4"/>
    <x v="4"/>
    <n v="89.973500000000001"/>
    <n v="89.973500000000001"/>
    <n v="88.799899999999994"/>
    <n v="89.582300000000004"/>
    <n v="27536"/>
    <n v="-0.43569999999999998"/>
    <n v="1.3216000000000001"/>
  </r>
  <r>
    <n v="2303"/>
    <x v="0"/>
    <d v="2013-05-13T00:00:00"/>
    <x v="0"/>
    <x v="4"/>
    <n v="9.8186999999999998"/>
    <n v="10.0488"/>
    <n v="9.8186999999999998"/>
    <n v="10.0105"/>
    <n v="309283"/>
    <n v="3.5091000000000001"/>
    <n v="2.3437999999999999"/>
  </r>
  <r>
    <n v="2330"/>
    <x v="1"/>
    <d v="2013-05-13T00:00:00"/>
    <x v="0"/>
    <x v="4"/>
    <n v="89.973500000000001"/>
    <n v="90.364699999999999"/>
    <n v="89.191100000000006"/>
    <n v="89.582300000000004"/>
    <n v="18263"/>
    <n v="0"/>
    <n v="1.3158000000000001"/>
  </r>
  <r>
    <n v="2303"/>
    <x v="0"/>
    <d v="2013-05-14T00:00:00"/>
    <x v="1"/>
    <x v="4"/>
    <n v="10.087199999999999"/>
    <n v="10.087199999999999"/>
    <n v="9.8186999999999998"/>
    <n v="9.9337999999999997"/>
    <n v="118893"/>
    <n v="-0.76919999999999999"/>
    <n v="2.7343999999999999"/>
  </r>
  <r>
    <n v="2330"/>
    <x v="1"/>
    <d v="2013-05-14T00:00:00"/>
    <x v="1"/>
    <x v="4"/>
    <n v="90.364699999999999"/>
    <n v="91.147000000000006"/>
    <n v="89.973500000000001"/>
    <n v="90.364699999999999"/>
    <n v="27855"/>
    <n v="0.86960000000000004"/>
    <n v="1.3043"/>
  </r>
  <r>
    <n v="2303"/>
    <x v="0"/>
    <d v="2013-05-15T00:00:00"/>
    <x v="2"/>
    <x v="4"/>
    <n v="9.9337999999999997"/>
    <n v="10.0105"/>
    <n v="9.7420000000000009"/>
    <n v="9.9720999999999993"/>
    <n v="109217"/>
    <n v="0.38540000000000002"/>
    <n v="2.7559"/>
  </r>
  <r>
    <n v="2330"/>
    <x v="1"/>
    <d v="2013-05-15T00:00:00"/>
    <x v="2"/>
    <x v="4"/>
    <n v="89.973500000000001"/>
    <n v="90.755799999999994"/>
    <n v="88.799899999999994"/>
    <n v="89.973500000000001"/>
    <n v="29107"/>
    <n v="-0.43380000000000002"/>
    <n v="2.2025999999999999"/>
  </r>
  <r>
    <n v="2303"/>
    <x v="0"/>
    <d v="2013-05-16T00:00:00"/>
    <x v="3"/>
    <x v="4"/>
    <n v="10.0488"/>
    <n v="10.432399999999999"/>
    <n v="9.8954000000000004"/>
    <n v="10.240600000000001"/>
    <n v="169994"/>
    <n v="2.6566999999999998"/>
    <n v="5.4264000000000001"/>
  </r>
  <r>
    <n v="2330"/>
    <x v="1"/>
    <d v="2013-05-16T00:00:00"/>
    <x v="3"/>
    <x v="4"/>
    <n v="89.973500000000001"/>
    <n v="90.755799999999994"/>
    <n v="88.408699999999996"/>
    <n v="88.799899999999994"/>
    <n v="45770"/>
    <n v="-1.3129"/>
    <n v="2.6549"/>
  </r>
  <r>
    <n v="2303"/>
    <x v="0"/>
    <d v="2013-05-17T00:00:00"/>
    <x v="4"/>
    <x v="4"/>
    <n v="10.240600000000001"/>
    <n v="10.355700000000001"/>
    <n v="10.0488"/>
    <n v="10.087199999999999"/>
    <n v="74653"/>
    <n v="-1.5095000000000001"/>
    <n v="3.0533999999999999"/>
  </r>
  <r>
    <n v="2330"/>
    <x v="1"/>
    <d v="2013-05-17T00:00:00"/>
    <x v="4"/>
    <x v="4"/>
    <n v="87.626300000000001"/>
    <n v="88.799899999999994"/>
    <n v="87.235100000000003"/>
    <n v="88.799899999999994"/>
    <n v="19316"/>
    <n v="0"/>
    <n v="1.7937000000000001"/>
  </r>
  <r>
    <n v="2303"/>
    <x v="0"/>
    <d v="2013-05-20T00:00:00"/>
    <x v="0"/>
    <x v="4"/>
    <n v="10.1639"/>
    <n v="10.317299999999999"/>
    <n v="10.087199999999999"/>
    <n v="10.317299999999999"/>
    <n v="76722"/>
    <n v="2.2557"/>
    <n v="2.2814000000000001"/>
  </r>
  <r>
    <n v="2330"/>
    <x v="1"/>
    <d v="2013-05-20T00:00:00"/>
    <x v="0"/>
    <x v="4"/>
    <n v="88.017499999999998"/>
    <n v="89.191100000000006"/>
    <n v="88.017499999999998"/>
    <n v="89.191100000000006"/>
    <n v="16882"/>
    <n v="0.43959999999999999"/>
    <n v="1.3332999999999999"/>
  </r>
  <r>
    <n v="2303"/>
    <x v="0"/>
    <d v="2013-05-21T00:00:00"/>
    <x v="1"/>
    <x v="4"/>
    <n v="10.355700000000001"/>
    <n v="10.815899999999999"/>
    <n v="10.355700000000001"/>
    <n v="10.815899999999999"/>
    <n v="170738"/>
    <n v="4.7195999999999998"/>
    <n v="4.4443999999999999"/>
  </r>
  <r>
    <n v="2330"/>
    <x v="1"/>
    <d v="2013-05-21T00:00:00"/>
    <x v="1"/>
    <x v="4"/>
    <n v="88.408699999999996"/>
    <n v="88.799899999999994"/>
    <n v="87.626300000000001"/>
    <n v="88.017499999999998"/>
    <n v="17238"/>
    <n v="-1.3245"/>
    <n v="1.3392999999999999"/>
  </r>
  <r>
    <n v="2303"/>
    <x v="0"/>
    <d v="2013-05-22T00:00:00"/>
    <x v="2"/>
    <x v="4"/>
    <n v="10.8926"/>
    <n v="10.8926"/>
    <n v="10.6625"/>
    <n v="10.6625"/>
    <n v="158934"/>
    <n v="-1.4286000000000001"/>
    <n v="2.1583000000000001"/>
  </r>
  <r>
    <n v="2330"/>
    <x v="1"/>
    <d v="2013-05-22T00:00:00"/>
    <x v="2"/>
    <x v="4"/>
    <n v="88.017499999999998"/>
    <n v="88.799899999999994"/>
    <n v="86.843999999999994"/>
    <n v="87.626300000000001"/>
    <n v="34068"/>
    <n v="-0.44540000000000002"/>
    <n v="2.2523"/>
  </r>
  <r>
    <n v="2303"/>
    <x v="0"/>
    <d v="2013-05-23T00:00:00"/>
    <x v="3"/>
    <x v="4"/>
    <n v="10.6241"/>
    <n v="10.6625"/>
    <n v="10.240600000000001"/>
    <n v="10.279"/>
    <n v="135206"/>
    <n v="-3.6634000000000002"/>
    <n v="4.1199000000000003"/>
  </r>
  <r>
    <n v="2330"/>
    <x v="1"/>
    <d v="2013-05-23T00:00:00"/>
    <x v="3"/>
    <x v="4"/>
    <n v="86.452799999999996"/>
    <n v="87.235100000000003"/>
    <n v="84.496799999999993"/>
    <n v="84.496799999999993"/>
    <n v="46874"/>
    <n v="-3.6368"/>
    <n v="3.2406999999999999"/>
  </r>
  <r>
    <n v="2303"/>
    <x v="0"/>
    <d v="2013-05-24T00:00:00"/>
    <x v="4"/>
    <x v="4"/>
    <n v="10.317299999999999"/>
    <n v="10.432399999999999"/>
    <n v="10.087199999999999"/>
    <n v="10.1639"/>
    <n v="78792"/>
    <n v="-1.1256999999999999"/>
    <n v="3.4220999999999999"/>
  </r>
  <r>
    <n v="2330"/>
    <x v="1"/>
    <d v="2013-05-24T00:00:00"/>
    <x v="4"/>
    <x v="4"/>
    <n v="85.670400000000001"/>
    <n v="86.452799999999996"/>
    <n v="84.888000000000005"/>
    <n v="85.670400000000001"/>
    <n v="26736"/>
    <n v="1.3793"/>
    <n v="1.8432999999999999"/>
  </r>
  <r>
    <n v="2303"/>
    <x v="0"/>
    <d v="2013-05-27T00:00:00"/>
    <x v="0"/>
    <x v="4"/>
    <n v="10.202199999999999"/>
    <n v="10.6241"/>
    <n v="10.125500000000001"/>
    <n v="10.6241"/>
    <n v="106876"/>
    <n v="4.4287999999999998"/>
    <n v="4.9241999999999999"/>
  </r>
  <r>
    <n v="2330"/>
    <x v="1"/>
    <d v="2013-05-27T00:00:00"/>
    <x v="0"/>
    <x v="4"/>
    <n v="85.670400000000001"/>
    <n v="87.626300000000001"/>
    <n v="85.670400000000001"/>
    <n v="87.626300000000001"/>
    <n v="19161"/>
    <n v="2.2574000000000001"/>
    <n v="2.2831000000000001"/>
  </r>
  <r>
    <n v="2303"/>
    <x v="0"/>
    <d v="2013-05-28T00:00:00"/>
    <x v="1"/>
    <x v="4"/>
    <n v="10.585800000000001"/>
    <n v="10.585800000000001"/>
    <n v="10.432399999999999"/>
    <n v="10.432399999999999"/>
    <n v="65083"/>
    <n v="-1.8214999999999999"/>
    <n v="1.4705999999999999"/>
  </r>
  <r>
    <n v="2330"/>
    <x v="1"/>
    <d v="2013-05-28T00:00:00"/>
    <x v="1"/>
    <x v="4"/>
    <n v="87.626300000000001"/>
    <n v="88.017499999999998"/>
    <n v="85.670400000000001"/>
    <n v="85.670400000000001"/>
    <n v="22762"/>
    <n v="-2.2574000000000001"/>
    <n v="2.7397"/>
  </r>
  <r>
    <n v="2303"/>
    <x v="0"/>
    <d v="2013-05-29T00:00:00"/>
    <x v="2"/>
    <x v="4"/>
    <n v="10.6241"/>
    <n v="10.700799999999999"/>
    <n v="10.470700000000001"/>
    <n v="10.470700000000001"/>
    <n v="71219"/>
    <n v="0.36699999999999999"/>
    <n v="2.1978"/>
  </r>
  <r>
    <n v="2330"/>
    <x v="1"/>
    <d v="2013-05-29T00:00:00"/>
    <x v="2"/>
    <x v="4"/>
    <n v="86.452799999999996"/>
    <n v="87.626300000000001"/>
    <n v="86.452799999999996"/>
    <n v="86.843999999999994"/>
    <n v="16781"/>
    <n v="1.3606"/>
    <n v="1.3574999999999999"/>
  </r>
  <r>
    <n v="2303"/>
    <x v="0"/>
    <d v="2013-05-30T00:00:00"/>
    <x v="3"/>
    <x v="4"/>
    <n v="10.355700000000001"/>
    <n v="10.432399999999999"/>
    <n v="10.202199999999999"/>
    <n v="10.355700000000001"/>
    <n v="68641"/>
    <n v="-1.105"/>
    <n v="2.2555999999999998"/>
  </r>
  <r>
    <n v="2330"/>
    <x v="1"/>
    <d v="2013-05-30T00:00:00"/>
    <x v="3"/>
    <x v="4"/>
    <n v="86.843999999999994"/>
    <n v="87.235100000000003"/>
    <n v="85.670400000000001"/>
    <n v="86.061599999999999"/>
    <n v="36121"/>
    <n v="-0.90500000000000003"/>
    <n v="1.8265"/>
  </r>
  <r>
    <n v="2303"/>
    <x v="0"/>
    <d v="2013-05-31T00:00:00"/>
    <x v="4"/>
    <x v="4"/>
    <n v="10.470700000000001"/>
    <n v="10.5091"/>
    <n v="10.125500000000001"/>
    <n v="10.125500000000001"/>
    <n v="61123"/>
    <n v="-2.2473000000000001"/>
    <n v="3.7879"/>
  </r>
  <r>
    <n v="2330"/>
    <x v="1"/>
    <d v="2013-05-31T00:00:00"/>
    <x v="4"/>
    <x v="4"/>
    <n v="87.235100000000003"/>
    <n v="87.235100000000003"/>
    <n v="85.279200000000003"/>
    <n v="85.670400000000001"/>
    <n v="37205"/>
    <n v="-0.4556"/>
    <n v="2.2936000000000001"/>
  </r>
  <r>
    <n v="2303"/>
    <x v="0"/>
    <d v="2013-06-03T00:00:00"/>
    <x v="0"/>
    <x v="5"/>
    <n v="10.0105"/>
    <n v="10.317299999999999"/>
    <n v="9.9720999999999993"/>
    <n v="10.279"/>
    <n v="56647"/>
    <n v="1.5038"/>
    <n v="3.4615"/>
  </r>
  <r>
    <n v="2330"/>
    <x v="1"/>
    <d v="2013-06-03T00:00:00"/>
    <x v="0"/>
    <x v="5"/>
    <n v="84.496799999999993"/>
    <n v="84.888000000000005"/>
    <n v="83.323300000000003"/>
    <n v="84.105599999999995"/>
    <n v="35834"/>
    <n v="-1.8433999999999999"/>
    <n v="1.8778999999999999"/>
  </r>
  <r>
    <n v="2303"/>
    <x v="0"/>
    <d v="2013-06-04T00:00:00"/>
    <x v="1"/>
    <x v="5"/>
    <n v="10.355700000000001"/>
    <n v="10.6625"/>
    <n v="10.279"/>
    <n v="10.6625"/>
    <n v="131356"/>
    <n v="3.6634000000000002"/>
    <n v="3.7313000000000001"/>
  </r>
  <r>
    <n v="2330"/>
    <x v="1"/>
    <d v="2013-06-04T00:00:00"/>
    <x v="1"/>
    <x v="5"/>
    <n v="85.279200000000003"/>
    <n v="86.061599999999999"/>
    <n v="84.105599999999995"/>
    <n v="85.279200000000003"/>
    <n v="27476"/>
    <n v="1.3856999999999999"/>
    <n v="2.3256000000000001"/>
  </r>
  <r>
    <n v="2303"/>
    <x v="0"/>
    <d v="2013-06-05T00:00:00"/>
    <x v="2"/>
    <x v="5"/>
    <n v="10.6625"/>
    <n v="10.6625"/>
    <n v="10.5091"/>
    <n v="10.5091"/>
    <n v="61111"/>
    <n v="-1.4493"/>
    <n v="1.4599"/>
  </r>
  <r>
    <n v="2330"/>
    <x v="1"/>
    <d v="2013-06-05T00:00:00"/>
    <x v="2"/>
    <x v="5"/>
    <n v="85.670400000000001"/>
    <n v="86.452799999999996"/>
    <n v="84.888000000000005"/>
    <n v="85.670400000000001"/>
    <n v="25581"/>
    <n v="0.4577"/>
    <n v="1.8432999999999999"/>
  </r>
  <r>
    <n v="2303"/>
    <x v="0"/>
    <d v="2013-06-06T00:00:00"/>
    <x v="3"/>
    <x v="5"/>
    <n v="10.355700000000001"/>
    <n v="10.470700000000001"/>
    <n v="10.240600000000001"/>
    <n v="10.317299999999999"/>
    <n v="68990"/>
    <n v="-1.8416999999999999"/>
    <n v="2.2471999999999999"/>
  </r>
  <r>
    <n v="2330"/>
    <x v="1"/>
    <d v="2013-06-06T00:00:00"/>
    <x v="3"/>
    <x v="5"/>
    <n v="84.888000000000005"/>
    <n v="85.670400000000001"/>
    <n v="83.714399999999998"/>
    <n v="84.105599999999995"/>
    <n v="34251"/>
    <n v="-1.8433999999999999"/>
    <n v="2.3363999999999998"/>
  </r>
  <r>
    <n v="2303"/>
    <x v="0"/>
    <d v="2013-06-07T00:00:00"/>
    <x v="4"/>
    <x v="5"/>
    <n v="10.317299999999999"/>
    <n v="10.432399999999999"/>
    <n v="10.1639"/>
    <n v="10.202199999999999"/>
    <n v="51354"/>
    <n v="-1.1214999999999999"/>
    <n v="2.6415000000000002"/>
  </r>
  <r>
    <n v="2330"/>
    <x v="1"/>
    <d v="2013-06-07T00:00:00"/>
    <x v="4"/>
    <x v="5"/>
    <n v="84.496799999999993"/>
    <n v="85.670400000000001"/>
    <n v="84.496799999999993"/>
    <n v="84.888000000000005"/>
    <n v="33085"/>
    <n v="0.92589999999999995"/>
    <n v="1.3889"/>
  </r>
  <r>
    <n v="2303"/>
    <x v="0"/>
    <d v="2013-06-10T00:00:00"/>
    <x v="0"/>
    <x v="5"/>
    <n v="10.394"/>
    <n v="10.5474"/>
    <n v="10.317299999999999"/>
    <n v="10.470700000000001"/>
    <n v="68025"/>
    <n v="2.5975000000000001"/>
    <n v="2.2305000000000001"/>
  </r>
  <r>
    <n v="2330"/>
    <x v="1"/>
    <d v="2013-06-10T00:00:00"/>
    <x v="0"/>
    <x v="5"/>
    <n v="86.061599999999999"/>
    <n v="86.061599999999999"/>
    <n v="84.496799999999993"/>
    <n v="84.888000000000005"/>
    <n v="21941"/>
    <n v="0"/>
    <n v="1.8519000000000001"/>
  </r>
  <r>
    <n v="2303"/>
    <x v="0"/>
    <d v="2013-06-11T00:00:00"/>
    <x v="1"/>
    <x v="5"/>
    <n v="10.470700000000001"/>
    <n v="10.5091"/>
    <n v="10.355700000000001"/>
    <n v="10.355700000000001"/>
    <n v="49679"/>
    <n v="-1.105"/>
    <n v="1.4815"/>
  </r>
  <r>
    <n v="2330"/>
    <x v="1"/>
    <d v="2013-06-11T00:00:00"/>
    <x v="1"/>
    <x v="5"/>
    <n v="86.061599999999999"/>
    <n v="86.061599999999999"/>
    <n v="84.496799999999993"/>
    <n v="84.496799999999993"/>
    <n v="37162"/>
    <n v="-0.46189999999999998"/>
    <n v="1.8519000000000001"/>
  </r>
  <r>
    <n v="2303"/>
    <x v="0"/>
    <d v="2013-06-13T00:00:00"/>
    <x v="3"/>
    <x v="5"/>
    <n v="10.202199999999999"/>
    <n v="10.317299999999999"/>
    <n v="10.0488"/>
    <n v="10.0488"/>
    <n v="82082"/>
    <n v="-3.0076999999999998"/>
    <n v="2.6718000000000002"/>
  </r>
  <r>
    <n v="2330"/>
    <x v="1"/>
    <d v="2013-06-13T00:00:00"/>
    <x v="3"/>
    <x v="5"/>
    <n v="82.932100000000005"/>
    <n v="83.714399999999998"/>
    <n v="81.3673"/>
    <n v="81.758499999999998"/>
    <n v="61059"/>
    <n v="-3.2944"/>
    <n v="2.8845999999999998"/>
  </r>
  <r>
    <n v="2303"/>
    <x v="0"/>
    <d v="2013-06-14T00:00:00"/>
    <x v="4"/>
    <x v="5"/>
    <n v="10.125500000000001"/>
    <n v="10.202199999999999"/>
    <n v="10.0488"/>
    <n v="10.0488"/>
    <n v="57363"/>
    <n v="0"/>
    <n v="1.5266999999999999"/>
  </r>
  <r>
    <n v="2330"/>
    <x v="1"/>
    <d v="2013-06-14T00:00:00"/>
    <x v="4"/>
    <x v="5"/>
    <n v="82.149699999999996"/>
    <n v="82.932100000000005"/>
    <n v="81.758499999999998"/>
    <n v="82.932100000000005"/>
    <n v="41207"/>
    <n v="1.4252"/>
    <n v="1.4354"/>
  </r>
  <r>
    <n v="2303"/>
    <x v="0"/>
    <d v="2013-06-17T00:00:00"/>
    <x v="0"/>
    <x v="5"/>
    <n v="10.0488"/>
    <n v="10.202199999999999"/>
    <n v="10.0105"/>
    <n v="10.202199999999999"/>
    <n v="33274"/>
    <n v="1.5152000000000001"/>
    <n v="1.9157"/>
  </r>
  <r>
    <n v="2330"/>
    <x v="1"/>
    <d v="2013-06-17T00:00:00"/>
    <x v="0"/>
    <x v="5"/>
    <n v="82.540899999999993"/>
    <n v="82.932100000000005"/>
    <n v="82.149699999999996"/>
    <n v="82.932100000000005"/>
    <n v="23014"/>
    <n v="0"/>
    <n v="0.95240000000000002"/>
  </r>
  <r>
    <n v="2303"/>
    <x v="0"/>
    <d v="2013-06-18T00:00:00"/>
    <x v="1"/>
    <x v="5"/>
    <n v="10.279"/>
    <n v="10.394"/>
    <n v="10.1639"/>
    <n v="10.394"/>
    <n v="66045"/>
    <n v="1.8623000000000001"/>
    <n v="2.2642000000000002"/>
  </r>
  <r>
    <n v="2330"/>
    <x v="1"/>
    <d v="2013-06-18T00:00:00"/>
    <x v="1"/>
    <x v="5"/>
    <n v="82.149699999999996"/>
    <n v="83.323300000000003"/>
    <n v="81.758499999999998"/>
    <n v="83.323300000000003"/>
    <n v="31676"/>
    <n v="0.47060000000000002"/>
    <n v="1.9138999999999999"/>
  </r>
  <r>
    <n v="2303"/>
    <x v="0"/>
    <d v="2013-06-19T00:00:00"/>
    <x v="2"/>
    <x v="5"/>
    <n v="10.432399999999999"/>
    <n v="10.5091"/>
    <n v="10.240600000000001"/>
    <n v="10.240600000000001"/>
    <n v="43184"/>
    <n v="-1.4870000000000001"/>
    <n v="2.6217000000000001"/>
  </r>
  <r>
    <n v="2330"/>
    <x v="1"/>
    <d v="2013-06-19T00:00:00"/>
    <x v="2"/>
    <x v="5"/>
    <n v="82.932100000000005"/>
    <n v="83.323300000000003"/>
    <n v="82.149699999999996"/>
    <n v="82.540899999999993"/>
    <n v="22084"/>
    <n v="-0.94340000000000002"/>
    <n v="1.4286000000000001"/>
  </r>
  <r>
    <n v="2303"/>
    <x v="0"/>
    <d v="2013-06-20T00:00:00"/>
    <x v="3"/>
    <x v="5"/>
    <n v="10.125500000000001"/>
    <n v="10.202199999999999"/>
    <n v="9.9337999999999997"/>
    <n v="9.9720999999999993"/>
    <n v="72739"/>
    <n v="-2.6566999999999998"/>
    <n v="2.7027000000000001"/>
  </r>
  <r>
    <n v="2330"/>
    <x v="1"/>
    <d v="2013-06-20T00:00:00"/>
    <x v="3"/>
    <x v="5"/>
    <n v="82.149699999999996"/>
    <n v="82.540899999999993"/>
    <n v="80.976100000000002"/>
    <n v="81.3673"/>
    <n v="29998"/>
    <n v="-1.4319999999999999"/>
    <n v="1.9323999999999999"/>
  </r>
  <r>
    <n v="2303"/>
    <x v="0"/>
    <d v="2013-06-21T00:00:00"/>
    <x v="4"/>
    <x v="5"/>
    <n v="9.6268999999999991"/>
    <n v="9.7420000000000009"/>
    <n v="9.4352"/>
    <n v="9.6268999999999991"/>
    <n v="130534"/>
    <n v="-3.5228999999999999"/>
    <n v="3.2519999999999998"/>
  </r>
  <r>
    <n v="2330"/>
    <x v="1"/>
    <d v="2013-06-21T00:00:00"/>
    <x v="4"/>
    <x v="5"/>
    <n v="79.802599999999998"/>
    <n v="80.976100000000002"/>
    <n v="79.4114"/>
    <n v="80.976100000000002"/>
    <n v="39844"/>
    <n v="-0.4819"/>
    <n v="1.9703999999999999"/>
  </r>
  <r>
    <n v="2303"/>
    <x v="0"/>
    <d v="2013-06-24T00:00:00"/>
    <x v="0"/>
    <x v="5"/>
    <n v="9.6268999999999991"/>
    <n v="9.9720999999999993"/>
    <n v="9.5885999999999996"/>
    <n v="9.8186999999999998"/>
    <n v="88151"/>
    <n v="1.9724999999999999"/>
    <n v="4"/>
  </r>
  <r>
    <n v="2330"/>
    <x v="1"/>
    <d v="2013-06-24T00:00:00"/>
    <x v="0"/>
    <x v="5"/>
    <n v="80.193700000000007"/>
    <n v="80.193700000000007"/>
    <n v="78.237799999999993"/>
    <n v="79.020200000000003"/>
    <n v="54091"/>
    <n v="-2.4451000000000001"/>
    <n v="2.5"/>
  </r>
  <r>
    <n v="2303"/>
    <x v="0"/>
    <d v="2013-06-25T00:00:00"/>
    <x v="1"/>
    <x v="5"/>
    <n v="9.8186999999999998"/>
    <n v="9.9337999999999997"/>
    <n v="9.5885999999999996"/>
    <n v="9.7420000000000009"/>
    <n v="76493"/>
    <n v="-0.7843"/>
    <n v="3.6"/>
  </r>
  <r>
    <n v="2330"/>
    <x v="1"/>
    <d v="2013-06-25T00:00:00"/>
    <x v="1"/>
    <x v="5"/>
    <n v="79.020200000000003"/>
    <n v="80.584900000000005"/>
    <n v="79.020200000000003"/>
    <n v="79.020200000000003"/>
    <n v="33897"/>
    <n v="0"/>
    <n v="1.9802"/>
  </r>
  <r>
    <n v="2303"/>
    <x v="0"/>
    <d v="2013-06-26T00:00:00"/>
    <x v="2"/>
    <x v="5"/>
    <n v="10.087199999999999"/>
    <n v="10.394"/>
    <n v="10.087199999999999"/>
    <n v="10.394"/>
    <n v="143036"/>
    <n v="6.4785000000000004"/>
    <n v="3.0417999999999998"/>
  </r>
  <r>
    <n v="2330"/>
    <x v="1"/>
    <d v="2013-06-26T00:00:00"/>
    <x v="2"/>
    <x v="5"/>
    <n v="80.584900000000005"/>
    <n v="81.3673"/>
    <n v="79.4114"/>
    <n v="79.4114"/>
    <n v="55865"/>
    <n v="0.49380000000000002"/>
    <n v="2.4630999999999998"/>
  </r>
  <r>
    <n v="2303"/>
    <x v="0"/>
    <d v="2013-06-27T00:00:00"/>
    <x v="3"/>
    <x v="5"/>
    <n v="10.7392"/>
    <n v="11.0844"/>
    <n v="10.7392"/>
    <n v="11.0844"/>
    <n v="267360"/>
    <n v="6.4307999999999996"/>
    <n v="3.2143000000000002"/>
  </r>
  <r>
    <n v="2330"/>
    <x v="1"/>
    <d v="2013-06-27T00:00:00"/>
    <x v="3"/>
    <x v="5"/>
    <n v="80.584900000000005"/>
    <n v="82.149699999999996"/>
    <n v="80.584900000000005"/>
    <n v="81.758499999999998"/>
    <n v="46982"/>
    <n v="2.9127999999999998"/>
    <n v="1.9417"/>
  </r>
  <r>
    <n v="2303"/>
    <x v="0"/>
    <d v="2013-06-28T00:00:00"/>
    <x v="4"/>
    <x v="5"/>
    <n v="11.161099999999999"/>
    <n v="11.161099999999999"/>
    <n v="10.9693"/>
    <n v="11.1227"/>
    <n v="180666"/>
    <n v="0.34539999999999998"/>
    <n v="1.7483"/>
  </r>
  <r>
    <n v="2330"/>
    <x v="1"/>
    <d v="2013-06-28T00:00:00"/>
    <x v="4"/>
    <x v="5"/>
    <n v="82.932100000000005"/>
    <n v="86.843999999999994"/>
    <n v="82.149699999999996"/>
    <n v="86.843999999999994"/>
    <n v="74514"/>
    <n v="6.0343"/>
    <n v="5.7142999999999997"/>
  </r>
  <r>
    <n v="2303"/>
    <x v="0"/>
    <d v="2013-07-01T00:00:00"/>
    <x v="0"/>
    <x v="6"/>
    <n v="11.1227"/>
    <n v="11.8131"/>
    <n v="11.1227"/>
    <n v="11.544600000000001"/>
    <n v="157630"/>
    <n v="3.7229000000000001"/>
    <n v="6.2069000000000001"/>
  </r>
  <r>
    <n v="2330"/>
    <x v="1"/>
    <d v="2013-07-01T00:00:00"/>
    <x v="0"/>
    <x v="6"/>
    <n v="85.279200000000003"/>
    <n v="85.670400000000001"/>
    <n v="84.496799999999993"/>
    <n v="84.496799999999993"/>
    <n v="51935"/>
    <n v="-2.7399"/>
    <n v="1.3889"/>
  </r>
  <r>
    <n v="2303"/>
    <x v="0"/>
    <d v="2013-07-02T00:00:00"/>
    <x v="1"/>
    <x v="6"/>
    <n v="11.583"/>
    <n v="11.659700000000001"/>
    <n v="11.1995"/>
    <n v="11.276199999999999"/>
    <n v="136519"/>
    <n v="-2.3530000000000002"/>
    <n v="4.1096000000000004"/>
  </r>
  <r>
    <n v="2330"/>
    <x v="1"/>
    <d v="2013-07-02T00:00:00"/>
    <x v="1"/>
    <x v="6"/>
    <n v="85.279200000000003"/>
    <n v="86.061599999999999"/>
    <n v="84.888000000000005"/>
    <n v="86.061599999999999"/>
    <n v="44982"/>
    <n v="1.8349"/>
    <n v="1.3825000000000001"/>
  </r>
  <r>
    <n v="2303"/>
    <x v="0"/>
    <d v="2013-07-03T00:00:00"/>
    <x v="2"/>
    <x v="6"/>
    <n v="11.161099999999999"/>
    <n v="11.3912"/>
    <n v="11.1227"/>
    <n v="11.161099999999999"/>
    <n v="115676"/>
    <n v="-1.0257000000000001"/>
    <n v="2.4138000000000002"/>
  </r>
  <r>
    <n v="2330"/>
    <x v="1"/>
    <d v="2013-07-03T00:00:00"/>
    <x v="2"/>
    <x v="6"/>
    <n v="86.061300000000003"/>
    <n v="86.061300000000003"/>
    <n v="84.854799999999997"/>
    <n v="86.061300000000003"/>
    <n v="44740"/>
    <n v="-4.0000000000000002E-4"/>
    <n v="1.4218"/>
  </r>
  <r>
    <n v="2303"/>
    <x v="0"/>
    <d v="2013-07-04T00:00:00"/>
    <x v="3"/>
    <x v="6"/>
    <n v="11.276199999999999"/>
    <n v="11.544600000000001"/>
    <n v="11.1995"/>
    <n v="11.2378"/>
    <n v="108114"/>
    <n v="0.68489999999999995"/>
    <n v="3.0821999999999998"/>
  </r>
  <r>
    <n v="2330"/>
    <x v="1"/>
    <d v="2013-07-04T00:00:00"/>
    <x v="3"/>
    <x v="6"/>
    <n v="85.659099999999995"/>
    <n v="86.061300000000003"/>
    <n v="85.257000000000005"/>
    <n v="86.061300000000003"/>
    <n v="24500"/>
    <n v="0"/>
    <n v="0.94340000000000002"/>
  </r>
  <r>
    <n v="2303"/>
    <x v="0"/>
    <d v="2013-07-05T00:00:00"/>
    <x v="4"/>
    <x v="6"/>
    <n v="11.429600000000001"/>
    <n v="11.4679"/>
    <n v="11.276199999999999"/>
    <n v="11.3529"/>
    <n v="143241"/>
    <n v="1.0186999999999999"/>
    <n v="1.7007000000000001"/>
  </r>
  <r>
    <n v="2330"/>
    <x v="1"/>
    <d v="2013-07-05T00:00:00"/>
    <x v="4"/>
    <x v="6"/>
    <n v="86.463399999999993"/>
    <n v="88.072100000000006"/>
    <n v="86.061300000000003"/>
    <n v="87.669899999999998"/>
    <n v="28276"/>
    <n v="1.8519000000000001"/>
    <n v="2.3363999999999998"/>
  </r>
  <r>
    <n v="2303"/>
    <x v="0"/>
    <d v="2013-07-08T00:00:00"/>
    <x v="0"/>
    <x v="6"/>
    <n v="11.515700000000001"/>
    <n v="11.7523"/>
    <n v="11.081899999999999"/>
    <n v="11.1213"/>
    <n v="124477"/>
    <n v="-2.0036999999999998"/>
    <n v="6.0498000000000003"/>
  </r>
  <r>
    <n v="2330"/>
    <x v="1"/>
    <d v="2013-07-08T00:00:00"/>
    <x v="0"/>
    <x v="6"/>
    <n v="86.061300000000003"/>
    <n v="86.865600000000001"/>
    <n v="84.0505"/>
    <n v="84.452699999999993"/>
    <n v="32770"/>
    <n v="-3.7387999999999999"/>
    <n v="3.3492999999999999"/>
  </r>
  <r>
    <n v="2303"/>
    <x v="0"/>
    <d v="2013-07-09T00:00:00"/>
    <x v="1"/>
    <x v="6"/>
    <n v="11.1213"/>
    <n v="11.279"/>
    <n v="11.003"/>
    <n v="11.239599999999999"/>
    <n v="75287"/>
    <n v="1.0582"/>
    <n v="2.5089999999999999"/>
  </r>
  <r>
    <n v="2330"/>
    <x v="1"/>
    <d v="2013-07-09T00:00:00"/>
    <x v="1"/>
    <x v="6"/>
    <n v="84.0505"/>
    <n v="85.659099999999995"/>
    <n v="83.246200000000002"/>
    <n v="85.257000000000005"/>
    <n v="35511"/>
    <n v="0.94789999999999996"/>
    <n v="2.8986000000000001"/>
  </r>
  <r>
    <n v="2303"/>
    <x v="0"/>
    <d v="2013-07-10T00:00:00"/>
    <x v="2"/>
    <x v="6"/>
    <n v="11.1213"/>
    <n v="11.279"/>
    <n v="10.924099999999999"/>
    <n v="10.9635"/>
    <n v="80300"/>
    <n v="-2.4868000000000001"/>
    <n v="3.2490999999999999"/>
  </r>
  <r>
    <n v="2330"/>
    <x v="1"/>
    <d v="2013-07-10T00:00:00"/>
    <x v="2"/>
    <x v="6"/>
    <n v="84.0505"/>
    <n v="86.061300000000003"/>
    <n v="84.0505"/>
    <n v="85.257000000000005"/>
    <n v="22082"/>
    <n v="0"/>
    <n v="2.3923000000000001"/>
  </r>
  <r>
    <n v="2303"/>
    <x v="0"/>
    <d v="2013-07-11T00:00:00"/>
    <x v="3"/>
    <x v="6"/>
    <n v="11.1213"/>
    <n v="11.4368"/>
    <n v="11.003"/>
    <n v="11.4368"/>
    <n v="119774"/>
    <n v="4.226"/>
    <n v="3.9426999999999999"/>
  </r>
  <r>
    <n v="2330"/>
    <x v="1"/>
    <d v="2013-07-11T00:00:00"/>
    <x v="3"/>
    <x v="6"/>
    <n v="86.463399999999993"/>
    <n v="88.072100000000006"/>
    <n v="86.463399999999993"/>
    <n v="88.072100000000006"/>
    <n v="56918"/>
    <n v="3.2484999999999999"/>
    <n v="1.8605"/>
  </r>
  <r>
    <n v="2303"/>
    <x v="0"/>
    <d v="2013-07-12T00:00:00"/>
    <x v="4"/>
    <x v="6"/>
    <n v="11.3185"/>
    <n v="11.3185"/>
    <n v="11.1213"/>
    <n v="11.239599999999999"/>
    <n v="81327"/>
    <n v="-1.7392000000000001"/>
    <n v="1.7729999999999999"/>
  </r>
  <r>
    <n v="2330"/>
    <x v="1"/>
    <d v="2013-07-12T00:00:00"/>
    <x v="4"/>
    <x v="6"/>
    <n v="88.072100000000006"/>
    <n v="88.474199999999996"/>
    <n v="87.267700000000005"/>
    <n v="88.474199999999996"/>
    <n v="31046"/>
    <n v="0.4556"/>
    <n v="1.3825000000000001"/>
  </r>
  <r>
    <n v="2303"/>
    <x v="0"/>
    <d v="2013-07-15T00:00:00"/>
    <x v="0"/>
    <x v="6"/>
    <n v="11.279"/>
    <n v="11.357900000000001"/>
    <n v="11.1607"/>
    <n v="11.357900000000001"/>
    <n v="74064"/>
    <n v="1.0470999999999999"/>
    <n v="1.7667999999999999"/>
  </r>
  <r>
    <n v="2330"/>
    <x v="1"/>
    <d v="2013-07-15T00:00:00"/>
    <x v="0"/>
    <x v="6"/>
    <n v="87.267700000000005"/>
    <n v="88.072100000000006"/>
    <n v="86.865600000000001"/>
    <n v="88.072100000000006"/>
    <n v="33373"/>
    <n v="-0.4556"/>
    <n v="1.3889"/>
  </r>
  <r>
    <n v="2303"/>
    <x v="0"/>
    <d v="2013-07-16T00:00:00"/>
    <x v="1"/>
    <x v="6"/>
    <n v="11.3185"/>
    <n v="11.3185"/>
    <n v="10.9635"/>
    <n v="11.003"/>
    <n v="97557"/>
    <n v="-3.1749000000000001"/>
    <n v="3.2374000000000001"/>
  </r>
  <r>
    <n v="2330"/>
    <x v="1"/>
    <d v="2013-07-16T00:00:00"/>
    <x v="1"/>
    <x v="6"/>
    <n v="87.267700000000005"/>
    <n v="87.669899999999998"/>
    <n v="86.061300000000003"/>
    <n v="86.865600000000001"/>
    <n v="35961"/>
    <n v="-1.3793"/>
    <n v="1.8692"/>
  </r>
  <r>
    <n v="2303"/>
    <x v="0"/>
    <d v="2013-07-17T00:00:00"/>
    <x v="2"/>
    <x v="6"/>
    <n v="10.8847"/>
    <n v="10.8847"/>
    <n v="10.5297"/>
    <n v="10.5297"/>
    <n v="172202"/>
    <n v="-4.3963000000000001"/>
    <n v="3.3708"/>
  </r>
  <r>
    <n v="2330"/>
    <x v="1"/>
    <d v="2013-07-17T00:00:00"/>
    <x v="2"/>
    <x v="6"/>
    <n v="86.865600000000001"/>
    <n v="87.669899999999998"/>
    <n v="86.061300000000003"/>
    <n v="87.669899999999998"/>
    <n v="40121"/>
    <n v="0.92169999999999996"/>
    <n v="1.8692"/>
  </r>
  <r>
    <n v="2303"/>
    <x v="0"/>
    <d v="2013-07-18T00:00:00"/>
    <x v="3"/>
    <x v="6"/>
    <n v="10.4903"/>
    <n v="10.648"/>
    <n v="10.4114"/>
    <n v="10.5297"/>
    <n v="104349"/>
    <n v="0"/>
    <n v="2.2726999999999999"/>
  </r>
  <r>
    <n v="2330"/>
    <x v="1"/>
    <d v="2013-07-18T00:00:00"/>
    <x v="3"/>
    <x v="6"/>
    <n v="86.463399999999993"/>
    <n v="86.865600000000001"/>
    <n v="84.854799999999997"/>
    <n v="84.854799999999997"/>
    <n v="53223"/>
    <n v="-3.2637"/>
    <n v="2.3696999999999999"/>
  </r>
  <r>
    <n v="2303"/>
    <x v="0"/>
    <d v="2013-07-19T00:00:00"/>
    <x v="4"/>
    <x v="6"/>
    <n v="10.293100000000001"/>
    <n v="10.372"/>
    <n v="9.8986999999999998"/>
    <n v="10.0565"/>
    <n v="171041"/>
    <n v="-4.5984999999999996"/>
    <n v="4.7808999999999999"/>
  </r>
  <r>
    <n v="2330"/>
    <x v="1"/>
    <d v="2013-07-19T00:00:00"/>
    <x v="4"/>
    <x v="6"/>
    <n v="79.948499999999996"/>
    <n v="80.189800000000005"/>
    <n v="78.9833"/>
    <n v="78.9833"/>
    <n v="123330"/>
    <n v="-7.1704999999999997"/>
    <n v="1.5275000000000001"/>
  </r>
  <r>
    <n v="2303"/>
    <x v="0"/>
    <d v="2013-07-22T00:00:00"/>
    <x v="0"/>
    <x v="6"/>
    <n v="9.9776000000000007"/>
    <n v="10.293100000000001"/>
    <n v="9.9776000000000007"/>
    <n v="10.2537"/>
    <n v="75375"/>
    <n v="1.9418"/>
    <n v="3.1621000000000001"/>
  </r>
  <r>
    <n v="2330"/>
    <x v="1"/>
    <d v="2013-07-22T00:00:00"/>
    <x v="0"/>
    <x v="6"/>
    <n v="78.822500000000005"/>
    <n v="79.144199999999998"/>
    <n v="77.937700000000007"/>
    <n v="78.018199999999993"/>
    <n v="88048"/>
    <n v="-1.2295"/>
    <n v="1.548"/>
  </r>
  <r>
    <n v="2303"/>
    <x v="0"/>
    <d v="2013-07-23T00:00:00"/>
    <x v="1"/>
    <x v="6"/>
    <n v="10.372"/>
    <n v="10.726900000000001"/>
    <n v="10.372"/>
    <n v="10.648"/>
    <n v="121041"/>
    <n v="3.774"/>
    <n v="3.4220999999999999"/>
  </r>
  <r>
    <n v="2330"/>
    <x v="1"/>
    <d v="2013-07-23T00:00:00"/>
    <x v="1"/>
    <x v="6"/>
    <n v="79.224599999999995"/>
    <n v="81.637600000000006"/>
    <n v="79.224599999999995"/>
    <n v="80.431100000000001"/>
    <n v="85595"/>
    <n v="3.0459000000000001"/>
    <n v="3.0457000000000001"/>
  </r>
  <r>
    <n v="2303"/>
    <x v="0"/>
    <d v="2013-07-24T00:00:00"/>
    <x v="2"/>
    <x v="6"/>
    <n v="10.726900000000001"/>
    <n v="10.766400000000001"/>
    <n v="10.648"/>
    <n v="10.648"/>
    <n v="69303"/>
    <n v="0"/>
    <n v="1.1111"/>
  </r>
  <r>
    <n v="2330"/>
    <x v="1"/>
    <d v="2013-07-24T00:00:00"/>
    <x v="2"/>
    <x v="6"/>
    <n v="80.833299999999994"/>
    <n v="82.843999999999994"/>
    <n v="80.431100000000001"/>
    <n v="82.039699999999996"/>
    <n v="58355"/>
    <n v="1.9802999999999999"/>
    <n v="3"/>
  </r>
  <r>
    <n v="2303"/>
    <x v="0"/>
    <d v="2013-07-25T00:00:00"/>
    <x v="3"/>
    <x v="6"/>
    <n v="10.726900000000001"/>
    <n v="10.8058"/>
    <n v="10.5692"/>
    <n v="10.5692"/>
    <n v="51028"/>
    <n v="-0.74350000000000005"/>
    <n v="2.2387999999999999"/>
  </r>
  <r>
    <n v="2330"/>
    <x v="1"/>
    <d v="2013-07-25T00:00:00"/>
    <x v="3"/>
    <x v="6"/>
    <n v="82.039699999999996"/>
    <n v="83.246200000000002"/>
    <n v="81.235399999999998"/>
    <n v="82.441900000000004"/>
    <n v="37559"/>
    <n v="0.48899999999999999"/>
    <n v="2.4752000000000001"/>
  </r>
  <r>
    <n v="2303"/>
    <x v="0"/>
    <d v="2013-07-26T00:00:00"/>
    <x v="4"/>
    <x v="6"/>
    <n v="10.726900000000001"/>
    <n v="10.8058"/>
    <n v="10.5692"/>
    <n v="10.8058"/>
    <n v="58113"/>
    <n v="2.2141000000000002"/>
    <n v="2.2387999999999999"/>
  </r>
  <r>
    <n v="2330"/>
    <x v="1"/>
    <d v="2013-07-26T00:00:00"/>
    <x v="4"/>
    <x v="6"/>
    <n v="82.843999999999994"/>
    <n v="82.843999999999994"/>
    <n v="81.235399999999998"/>
    <n v="82.441900000000004"/>
    <n v="31817"/>
    <n v="0"/>
    <n v="1.9802"/>
  </r>
  <r>
    <n v="2303"/>
    <x v="0"/>
    <d v="2013-07-29T00:00:00"/>
    <x v="0"/>
    <x v="6"/>
    <n v="10.8058"/>
    <n v="10.8058"/>
    <n v="10.450900000000001"/>
    <n v="10.450900000000001"/>
    <n v="58111"/>
    <n v="-3.3397999999999999"/>
    <n v="3.3961999999999999"/>
  </r>
  <r>
    <n v="2330"/>
    <x v="1"/>
    <d v="2013-07-29T00:00:00"/>
    <x v="0"/>
    <x v="6"/>
    <n v="80.431100000000001"/>
    <n v="81.637600000000006"/>
    <n v="80.431100000000001"/>
    <n v="80.431100000000001"/>
    <n v="38334"/>
    <n v="-2.4693000000000001"/>
    <n v="1.5"/>
  </r>
  <r>
    <n v="2303"/>
    <x v="0"/>
    <d v="2013-07-30T00:00:00"/>
    <x v="1"/>
    <x v="6"/>
    <n v="10.4903"/>
    <n v="10.726900000000001"/>
    <n v="10.4903"/>
    <n v="10.648"/>
    <n v="55868"/>
    <n v="1.8692"/>
    <n v="2.2555999999999998"/>
  </r>
  <r>
    <n v="2330"/>
    <x v="1"/>
    <d v="2013-07-30T00:00:00"/>
    <x v="1"/>
    <x v="6"/>
    <n v="80.833299999999994"/>
    <n v="82.441900000000004"/>
    <n v="80.833299999999994"/>
    <n v="82.039699999999996"/>
    <n v="33871"/>
    <n v="1.9802999999999999"/>
    <n v="1.99"/>
  </r>
  <r>
    <n v="2303"/>
    <x v="0"/>
    <d v="2013-07-31T00:00:00"/>
    <x v="2"/>
    <x v="6"/>
    <n v="10.648"/>
    <n v="10.6875"/>
    <n v="10.5297"/>
    <n v="10.5297"/>
    <n v="32300"/>
    <n v="-1.1173"/>
    <n v="1.4981"/>
  </r>
  <r>
    <n v="2330"/>
    <x v="1"/>
    <d v="2013-07-31T00:00:00"/>
    <x v="2"/>
    <x v="6"/>
    <n v="81.637600000000006"/>
    <n v="82.843999999999994"/>
    <n v="81.235399999999998"/>
    <n v="82.441900000000004"/>
    <n v="36997"/>
    <n v="0.48899999999999999"/>
    <n v="1.9802"/>
  </r>
  <r>
    <n v="2303"/>
    <x v="0"/>
    <d v="2013-08-01T00:00:00"/>
    <x v="3"/>
    <x v="7"/>
    <n v="10.648"/>
    <n v="10.648"/>
    <n v="10.4903"/>
    <n v="10.4903"/>
    <n v="28628"/>
    <n v="-0.37519999999999998"/>
    <n v="1.5038"/>
  </r>
  <r>
    <n v="2330"/>
    <x v="1"/>
    <d v="2013-08-01T00:00:00"/>
    <x v="3"/>
    <x v="7"/>
    <n v="82.039699999999996"/>
    <n v="82.039699999999996"/>
    <n v="80.431100000000001"/>
    <n v="80.833299999999994"/>
    <n v="32509"/>
    <n v="-1.9704999999999999"/>
    <n v="2"/>
  </r>
  <r>
    <n v="2303"/>
    <x v="0"/>
    <d v="2013-08-02T00:00:00"/>
    <x v="4"/>
    <x v="7"/>
    <n v="10.5692"/>
    <n v="10.608599999999999"/>
    <n v="10.3325"/>
    <n v="10.372"/>
    <n v="53153"/>
    <n v="-1.1342000000000001"/>
    <n v="2.6718000000000002"/>
  </r>
  <r>
    <n v="2330"/>
    <x v="1"/>
    <d v="2013-08-02T00:00:00"/>
    <x v="4"/>
    <x v="7"/>
    <n v="82.441900000000004"/>
    <n v="82.843999999999994"/>
    <n v="80.431100000000001"/>
    <n v="80.833299999999994"/>
    <n v="28039"/>
    <n v="0"/>
    <n v="3"/>
  </r>
  <r>
    <n v="2303"/>
    <x v="0"/>
    <d v="2013-08-05T00:00:00"/>
    <x v="0"/>
    <x v="7"/>
    <n v="10.372"/>
    <n v="10.5297"/>
    <n v="10.372"/>
    <n v="10.5297"/>
    <n v="29363"/>
    <n v="1.5095000000000001"/>
    <n v="1.5208999999999999"/>
  </r>
  <r>
    <n v="2330"/>
    <x v="1"/>
    <d v="2013-08-05T00:00:00"/>
    <x v="0"/>
    <x v="7"/>
    <n v="80.431100000000001"/>
    <n v="81.637600000000006"/>
    <n v="80.350700000000003"/>
    <n v="80.833299999999994"/>
    <n v="23372"/>
    <n v="0"/>
    <n v="1.6015999999999999"/>
  </r>
  <r>
    <n v="2303"/>
    <x v="0"/>
    <d v="2013-08-06T00:00:00"/>
    <x v="1"/>
    <x v="7"/>
    <n v="10.5692"/>
    <n v="10.5692"/>
    <n v="10.2537"/>
    <n v="10.293100000000001"/>
    <n v="65067"/>
    <n v="-2.2728000000000002"/>
    <n v="3.0769000000000002"/>
  </r>
  <r>
    <n v="2330"/>
    <x v="1"/>
    <d v="2013-08-06T00:00:00"/>
    <x v="1"/>
    <x v="7"/>
    <n v="80.833299999999994"/>
    <n v="80.833299999999994"/>
    <n v="79.305099999999996"/>
    <n v="79.465900000000005"/>
    <n v="42787"/>
    <n v="-1.706"/>
    <n v="1.927"/>
  </r>
  <r>
    <n v="2303"/>
    <x v="0"/>
    <d v="2013-08-07T00:00:00"/>
    <x v="2"/>
    <x v="7"/>
    <n v="10.174799999999999"/>
    <n v="10.2142"/>
    <n v="10.0565"/>
    <n v="10.0565"/>
    <n v="81782"/>
    <n v="-2.3256999999999999"/>
    <n v="1.5686"/>
  </r>
  <r>
    <n v="2330"/>
    <x v="1"/>
    <d v="2013-08-07T00:00:00"/>
    <x v="2"/>
    <x v="7"/>
    <n v="79.224599999999995"/>
    <n v="79.224599999999995"/>
    <n v="78.018199999999993"/>
    <n v="78.018199999999993"/>
    <n v="45969"/>
    <n v="-1.8387"/>
    <n v="1.5464"/>
  </r>
  <r>
    <n v="2303"/>
    <x v="0"/>
    <d v="2013-08-08T00:00:00"/>
    <x v="3"/>
    <x v="7"/>
    <n v="9.8986999999999998"/>
    <n v="10.0565"/>
    <n v="9.7015999999999991"/>
    <n v="9.8199000000000005"/>
    <n v="131301"/>
    <n v="-2.3811"/>
    <n v="3.6585000000000001"/>
  </r>
  <r>
    <n v="2330"/>
    <x v="1"/>
    <d v="2013-08-08T00:00:00"/>
    <x v="3"/>
    <x v="7"/>
    <n v="77.213899999999995"/>
    <n v="78.098600000000005"/>
    <n v="76.650800000000004"/>
    <n v="77.535600000000002"/>
    <n v="55873"/>
    <n v="-0.62050000000000005"/>
    <n v="1.8888"/>
  </r>
  <r>
    <n v="2303"/>
    <x v="0"/>
    <d v="2013-08-09T00:00:00"/>
    <x v="4"/>
    <x v="7"/>
    <n v="9.8199000000000005"/>
    <n v="9.8986999999999998"/>
    <n v="9.7015999999999991"/>
    <n v="9.7015999999999991"/>
    <n v="64990"/>
    <n v="-1.2121"/>
    <n v="2.0325000000000002"/>
  </r>
  <r>
    <n v="2330"/>
    <x v="1"/>
    <d v="2013-08-09T00:00:00"/>
    <x v="4"/>
    <x v="7"/>
    <n v="80.431100000000001"/>
    <n v="80.431100000000001"/>
    <n v="77.535600000000002"/>
    <n v="77.535600000000002"/>
    <n v="47192"/>
    <n v="0"/>
    <n v="3.7343999999999999"/>
  </r>
  <r>
    <n v="2303"/>
    <x v="0"/>
    <d v="2013-08-12T00:00:00"/>
    <x v="0"/>
    <x v="7"/>
    <n v="9.7804000000000002"/>
    <n v="9.8592999999999993"/>
    <n v="9.7409999999999997"/>
    <n v="9.7409999999999997"/>
    <n v="47086"/>
    <n v="0.40570000000000001"/>
    <n v="1.2145999999999999"/>
  </r>
  <r>
    <n v="2330"/>
    <x v="1"/>
    <d v="2013-08-12T00:00:00"/>
    <x v="0"/>
    <x v="7"/>
    <n v="77.535600000000002"/>
    <n v="77.776899999999998"/>
    <n v="76.892099999999999"/>
    <n v="77.213899999999995"/>
    <n v="33454"/>
    <n v="-0.4158"/>
    <n v="1.1506000000000001"/>
  </r>
  <r>
    <n v="2303"/>
    <x v="0"/>
    <d v="2013-08-13T00:00:00"/>
    <x v="1"/>
    <x v="7"/>
    <n v="9.7804000000000002"/>
    <n v="9.8986999999999998"/>
    <n v="9.7804000000000002"/>
    <n v="9.8592999999999993"/>
    <n v="42670"/>
    <n v="1.2073"/>
    <n v="1.2097"/>
  </r>
  <r>
    <n v="2330"/>
    <x v="1"/>
    <d v="2013-08-13T00:00:00"/>
    <x v="1"/>
    <x v="7"/>
    <n v="77.213899999999995"/>
    <n v="78.3399"/>
    <n v="77.213899999999995"/>
    <n v="78.179000000000002"/>
    <n v="34392"/>
    <n v="1.2423"/>
    <n v="1.4582999999999999"/>
  </r>
  <r>
    <n v="2303"/>
    <x v="0"/>
    <d v="2013-08-14T00:00:00"/>
    <x v="2"/>
    <x v="7"/>
    <n v="9.8592999999999993"/>
    <n v="9.8592999999999993"/>
    <n v="9.6621000000000006"/>
    <n v="9.7015999999999991"/>
    <n v="41691"/>
    <n v="-1.6129"/>
    <n v="2.0407999999999999"/>
  </r>
  <r>
    <n v="2330"/>
    <x v="1"/>
    <d v="2013-08-14T00:00:00"/>
    <x v="2"/>
    <x v="7"/>
    <n v="77.213899999999995"/>
    <n v="78.259500000000003"/>
    <n v="77.052999999999997"/>
    <n v="77.857299999999995"/>
    <n v="44023"/>
    <n v="-0.41239999999999999"/>
    <n v="1.5658000000000001"/>
  </r>
  <r>
    <n v="2303"/>
    <x v="0"/>
    <d v="2013-08-15T00:00:00"/>
    <x v="3"/>
    <x v="7"/>
    <n v="9.5831999999999997"/>
    <n v="9.5831999999999997"/>
    <n v="9.4649000000000001"/>
    <n v="9.5044000000000004"/>
    <n v="77439"/>
    <n v="-2.0535000000000001"/>
    <n v="1.25"/>
  </r>
  <r>
    <n v="2330"/>
    <x v="1"/>
    <d v="2013-08-15T00:00:00"/>
    <x v="3"/>
    <x v="7"/>
    <n v="77.535600000000002"/>
    <n v="77.535600000000002"/>
    <n v="76.650800000000004"/>
    <n v="77.213899999999995"/>
    <n v="42687"/>
    <n v="-0.82989999999999997"/>
    <n v="1.1541999999999999"/>
  </r>
  <r>
    <n v="2303"/>
    <x v="0"/>
    <d v="2013-08-16T00:00:00"/>
    <x v="4"/>
    <x v="7"/>
    <n v="9.3466000000000005"/>
    <n v="9.5044000000000004"/>
    <n v="9.3466000000000005"/>
    <n v="9.4254999999999995"/>
    <n v="78156"/>
    <n v="-0.83330000000000004"/>
    <n v="1.6878"/>
  </r>
  <r>
    <n v="2330"/>
    <x v="1"/>
    <d v="2013-08-16T00:00:00"/>
    <x v="4"/>
    <x v="7"/>
    <n v="76.731300000000005"/>
    <n v="78.420299999999997"/>
    <n v="76.570400000000006"/>
    <n v="77.616"/>
    <n v="37698"/>
    <n v="0.51949999999999996"/>
    <n v="2.4159999999999999"/>
  </r>
  <r>
    <n v="2303"/>
    <x v="0"/>
    <d v="2013-08-19T00:00:00"/>
    <x v="0"/>
    <x v="7"/>
    <n v="9.4254999999999995"/>
    <n v="9.4254999999999995"/>
    <n v="9.3466000000000005"/>
    <n v="9.3466000000000005"/>
    <n v="33581"/>
    <n v="-0.84030000000000005"/>
    <n v="0.84389999999999998"/>
  </r>
  <r>
    <n v="2330"/>
    <x v="1"/>
    <d v="2013-08-19T00:00:00"/>
    <x v="0"/>
    <x v="7"/>
    <n v="76.811700000000002"/>
    <n v="77.294300000000007"/>
    <n v="76.650800000000004"/>
    <n v="76.811700000000002"/>
    <n v="52061"/>
    <n v="-1.0417000000000001"/>
    <n v="0.83950000000000002"/>
  </r>
  <r>
    <n v="2303"/>
    <x v="0"/>
    <d v="2013-08-20T00:00:00"/>
    <x v="1"/>
    <x v="7"/>
    <n v="9.3466000000000005"/>
    <n v="9.5044000000000004"/>
    <n v="9.3071999999999999"/>
    <n v="9.3071999999999999"/>
    <n v="49094"/>
    <n v="-0.42280000000000001"/>
    <n v="2.1185999999999998"/>
  </r>
  <r>
    <n v="2330"/>
    <x v="1"/>
    <d v="2013-08-20T00:00:00"/>
    <x v="1"/>
    <x v="7"/>
    <n v="76.570400000000006"/>
    <n v="76.731300000000005"/>
    <n v="75.927000000000007"/>
    <n v="75.927000000000007"/>
    <n v="42471"/>
    <n v="-1.1585000000000001"/>
    <n v="1.0592999999999999"/>
  </r>
  <r>
    <n v="2303"/>
    <x v="0"/>
    <d v="2013-08-22T00:00:00"/>
    <x v="3"/>
    <x v="7"/>
    <n v="9.2283000000000008"/>
    <n v="9.3071999999999999"/>
    <n v="9.0311000000000003"/>
    <n v="9.2676999999999996"/>
    <n v="108612"/>
    <n v="-0.42459999999999998"/>
    <n v="3.0568"/>
  </r>
  <r>
    <n v="2330"/>
    <x v="1"/>
    <d v="2013-08-22T00:00:00"/>
    <x v="3"/>
    <x v="7"/>
    <n v="74.800899999999999"/>
    <n v="76.329099999999997"/>
    <n v="74.720500000000001"/>
    <n v="76.007400000000004"/>
    <n v="60311"/>
    <n v="0.10589999999999999"/>
    <n v="2.1528999999999998"/>
  </r>
  <r>
    <n v="2303"/>
    <x v="0"/>
    <d v="2013-08-23T00:00:00"/>
    <x v="4"/>
    <x v="7"/>
    <n v="9.4649000000000001"/>
    <n v="9.7015999999999991"/>
    <n v="9.4254999999999995"/>
    <n v="9.6621000000000006"/>
    <n v="134114"/>
    <n v="4.1673"/>
    <n v="2.9289000000000001"/>
  </r>
  <r>
    <n v="2330"/>
    <x v="1"/>
    <d v="2013-08-23T00:00:00"/>
    <x v="4"/>
    <x v="7"/>
    <n v="76.9726"/>
    <n v="78.259500000000003"/>
    <n v="76.811700000000002"/>
    <n v="78.018199999999993"/>
    <n v="44454"/>
    <n v="2.6111"/>
    <n v="1.8848"/>
  </r>
  <r>
    <n v="2303"/>
    <x v="0"/>
    <d v="2013-08-26T00:00:00"/>
    <x v="0"/>
    <x v="7"/>
    <n v="9.7015999999999991"/>
    <n v="9.7409999999999997"/>
    <n v="9.5437999999999992"/>
    <n v="9.7015999999999991"/>
    <n v="64755"/>
    <n v="0.4073"/>
    <n v="2.0661"/>
  </r>
  <r>
    <n v="2330"/>
    <x v="1"/>
    <d v="2013-08-26T00:00:00"/>
    <x v="0"/>
    <x v="7"/>
    <n v="78.500799999999998"/>
    <n v="78.500799999999998"/>
    <n v="77.294300000000007"/>
    <n v="77.857299999999995"/>
    <n v="18698"/>
    <n v="-0.2064"/>
    <n v="1.5609"/>
  </r>
  <r>
    <n v="2303"/>
    <x v="0"/>
    <d v="2013-08-27T00:00:00"/>
    <x v="1"/>
    <x v="7"/>
    <n v="9.6621000000000006"/>
    <n v="9.6621000000000006"/>
    <n v="9.5437999999999992"/>
    <n v="9.6227"/>
    <n v="51067"/>
    <n v="-0.81630000000000003"/>
    <n v="1.2397"/>
  </r>
  <r>
    <n v="2330"/>
    <x v="1"/>
    <d v="2013-08-27T00:00:00"/>
    <x v="1"/>
    <x v="7"/>
    <n v="77.213899999999995"/>
    <n v="77.857299999999995"/>
    <n v="76.892099999999999"/>
    <n v="76.892099999999999"/>
    <n v="24474"/>
    <n v="-1.2474000000000001"/>
    <n v="1.2552000000000001"/>
  </r>
  <r>
    <n v="2303"/>
    <x v="0"/>
    <d v="2013-08-28T00:00:00"/>
    <x v="2"/>
    <x v="7"/>
    <n v="9.4649000000000001"/>
    <n v="9.5437999999999992"/>
    <n v="9.4254999999999995"/>
    <n v="9.5044000000000004"/>
    <n v="36410"/>
    <n v="-1.2371000000000001"/>
    <n v="1.2552000000000001"/>
  </r>
  <r>
    <n v="2330"/>
    <x v="1"/>
    <d v="2013-08-28T00:00:00"/>
    <x v="2"/>
    <x v="7"/>
    <n v="76.892099999999999"/>
    <n v="78.259500000000003"/>
    <n v="76.489999999999995"/>
    <n v="77.857299999999995"/>
    <n v="35977"/>
    <n v="1.2474000000000001"/>
    <n v="2.3134000000000001"/>
  </r>
  <r>
    <n v="2303"/>
    <x v="0"/>
    <d v="2013-08-29T00:00:00"/>
    <x v="3"/>
    <x v="7"/>
    <n v="9.5044000000000004"/>
    <n v="9.5831999999999997"/>
    <n v="9.4649000000000001"/>
    <n v="9.4649000000000001"/>
    <n v="37840"/>
    <n v="-0.4158"/>
    <n v="1.25"/>
  </r>
  <r>
    <n v="2330"/>
    <x v="1"/>
    <d v="2013-08-29T00:00:00"/>
    <x v="3"/>
    <x v="7"/>
    <n v="77.937700000000007"/>
    <n v="79.546400000000006"/>
    <n v="77.937700000000007"/>
    <n v="79.385499999999993"/>
    <n v="52396"/>
    <n v="1.9438"/>
    <n v="2.0640000000000001"/>
  </r>
  <r>
    <n v="2303"/>
    <x v="0"/>
    <d v="2013-08-30T00:00:00"/>
    <x v="4"/>
    <x v="7"/>
    <n v="9.5437999999999992"/>
    <n v="9.7015999999999991"/>
    <n v="9.5044000000000004"/>
    <n v="9.7015999999999991"/>
    <n v="52420"/>
    <n v="2.4693000000000001"/>
    <n v="2.0747"/>
  </r>
  <r>
    <n v="2330"/>
    <x v="1"/>
    <d v="2013-08-30T00:00:00"/>
    <x v="4"/>
    <x v="7"/>
    <n v="80.109399999999994"/>
    <n v="80.833299999999994"/>
    <n v="79.465900000000005"/>
    <n v="80.833299999999994"/>
    <n v="38965"/>
    <n v="1.8072999999999999"/>
    <n v="1.7205999999999999"/>
  </r>
  <r>
    <n v="2303"/>
    <x v="0"/>
    <d v="2013-09-02T00:00:00"/>
    <x v="0"/>
    <x v="8"/>
    <n v="9.7015999999999991"/>
    <n v="9.7015999999999991"/>
    <n v="9.5831999999999997"/>
    <n v="9.6621000000000006"/>
    <n v="31464"/>
    <n v="-0.4073"/>
    <n v="1.2345999999999999"/>
  </r>
  <r>
    <n v="2330"/>
    <x v="1"/>
    <d v="2013-09-02T00:00:00"/>
    <x v="0"/>
    <x v="8"/>
    <n v="80.431100000000001"/>
    <n v="82.039699999999996"/>
    <n v="80.109399999999994"/>
    <n v="82.039699999999996"/>
    <n v="30859"/>
    <n v="1.4815"/>
    <n v="2.4096000000000002"/>
  </r>
  <r>
    <n v="2303"/>
    <x v="0"/>
    <d v="2013-09-03T00:00:00"/>
    <x v="1"/>
    <x v="8"/>
    <n v="9.7015999999999991"/>
    <n v="9.7409999999999997"/>
    <n v="9.5437999999999992"/>
    <n v="9.5437999999999992"/>
    <n v="33949"/>
    <n v="-1.232"/>
    <n v="2.0661"/>
  </r>
  <r>
    <n v="2330"/>
    <x v="1"/>
    <d v="2013-09-03T00:00:00"/>
    <x v="1"/>
    <x v="8"/>
    <n v="82.843999999999994"/>
    <n v="82.843999999999994"/>
    <n v="81.637600000000006"/>
    <n v="82.039699999999996"/>
    <n v="33838"/>
    <n v="0"/>
    <n v="1.4778"/>
  </r>
  <r>
    <n v="2303"/>
    <x v="0"/>
    <d v="2013-09-04T00:00:00"/>
    <x v="2"/>
    <x v="8"/>
    <n v="9.5437999999999992"/>
    <n v="9.6227"/>
    <n v="9.4649000000000001"/>
    <n v="9.5831999999999997"/>
    <n v="29259"/>
    <n v="0.41239999999999999"/>
    <n v="1.6667000000000001"/>
  </r>
  <r>
    <n v="2330"/>
    <x v="1"/>
    <d v="2013-09-04T00:00:00"/>
    <x v="2"/>
    <x v="8"/>
    <n v="80.833299999999994"/>
    <n v="81.637600000000006"/>
    <n v="80.431100000000001"/>
    <n v="80.833299999999994"/>
    <n v="25229"/>
    <n v="-1.4815"/>
    <n v="1.5"/>
  </r>
  <r>
    <n v="2303"/>
    <x v="0"/>
    <d v="2013-09-05T00:00:00"/>
    <x v="3"/>
    <x v="8"/>
    <n v="9.6621000000000006"/>
    <n v="9.7015999999999991"/>
    <n v="9.6227"/>
    <n v="9.7015999999999991"/>
    <n v="41516"/>
    <n v="1.2270000000000001"/>
    <n v="0.81969999999999998"/>
  </r>
  <r>
    <n v="2330"/>
    <x v="1"/>
    <d v="2013-09-05T00:00:00"/>
    <x v="3"/>
    <x v="8"/>
    <n v="80.833299999999994"/>
    <n v="81.637600000000006"/>
    <n v="80.431100000000001"/>
    <n v="81.637600000000006"/>
    <n v="35890"/>
    <n v="0.99009999999999998"/>
    <n v="1.5"/>
  </r>
  <r>
    <n v="2303"/>
    <x v="0"/>
    <d v="2013-09-06T00:00:00"/>
    <x v="4"/>
    <x v="8"/>
    <n v="9.7015999999999991"/>
    <n v="9.7409999999999997"/>
    <n v="9.6227"/>
    <n v="9.6227"/>
    <n v="29777"/>
    <n v="-0.81630000000000003"/>
    <n v="1.2295"/>
  </r>
  <r>
    <n v="2330"/>
    <x v="1"/>
    <d v="2013-09-06T00:00:00"/>
    <x v="4"/>
    <x v="8"/>
    <n v="82.039699999999996"/>
    <n v="82.039699999999996"/>
    <n v="81.235399999999998"/>
    <n v="82.039699999999996"/>
    <n v="25342"/>
    <n v="0.4914"/>
    <n v="0.99009999999999998"/>
  </r>
  <r>
    <n v="2303"/>
    <x v="0"/>
    <d v="2013-09-09T00:00:00"/>
    <x v="0"/>
    <x v="8"/>
    <n v="9.6227"/>
    <n v="9.6621000000000006"/>
    <n v="9.5044000000000004"/>
    <n v="9.5831999999999997"/>
    <n v="34446"/>
    <n v="-0.41070000000000001"/>
    <n v="1.6597999999999999"/>
  </r>
  <r>
    <n v="2330"/>
    <x v="1"/>
    <d v="2013-09-09T00:00:00"/>
    <x v="0"/>
    <x v="8"/>
    <n v="82.441900000000004"/>
    <n v="82.843999999999994"/>
    <n v="81.235399999999998"/>
    <n v="82.843999999999994"/>
    <n v="33083"/>
    <n v="0.97560000000000002"/>
    <n v="1.9802"/>
  </r>
  <r>
    <n v="2303"/>
    <x v="0"/>
    <d v="2013-09-10T00:00:00"/>
    <x v="1"/>
    <x v="8"/>
    <n v="9.6621000000000006"/>
    <n v="9.8592999999999993"/>
    <n v="9.6227"/>
    <n v="9.8592999999999993"/>
    <n v="82979"/>
    <n v="2.8399000000000001"/>
    <n v="2.4590000000000001"/>
  </r>
  <r>
    <n v="2330"/>
    <x v="1"/>
    <d v="2013-09-10T00:00:00"/>
    <x v="1"/>
    <x v="8"/>
    <n v="82.843999999999994"/>
    <n v="84.0505"/>
    <n v="82.441900000000004"/>
    <n v="84.0505"/>
    <n v="37392"/>
    <n v="1.4458"/>
    <n v="1.9512"/>
  </r>
  <r>
    <n v="2303"/>
    <x v="0"/>
    <d v="2013-09-11T00:00:00"/>
    <x v="2"/>
    <x v="8"/>
    <n v="9.8592999999999993"/>
    <n v="9.9382000000000001"/>
    <n v="9.6227"/>
    <n v="9.8199000000000005"/>
    <n v="64675"/>
    <n v="-0.40079999999999999"/>
    <n v="3.2787000000000002"/>
  </r>
  <r>
    <n v="2330"/>
    <x v="1"/>
    <d v="2013-09-11T00:00:00"/>
    <x v="2"/>
    <x v="8"/>
    <n v="82.843999999999994"/>
    <n v="84.0505"/>
    <n v="82.441900000000004"/>
    <n v="84.0505"/>
    <n v="41349"/>
    <n v="0"/>
    <n v="1.9512"/>
  </r>
  <r>
    <n v="2303"/>
    <x v="0"/>
    <d v="2013-09-12T00:00:00"/>
    <x v="3"/>
    <x v="8"/>
    <n v="9.7015999999999991"/>
    <n v="9.7804000000000002"/>
    <n v="9.5831999999999997"/>
    <n v="9.7015999999999991"/>
    <n v="49602"/>
    <n v="-1.2121"/>
    <n v="2.0575999999999999"/>
  </r>
  <r>
    <n v="2330"/>
    <x v="1"/>
    <d v="2013-09-12T00:00:00"/>
    <x v="3"/>
    <x v="8"/>
    <n v="82.843999999999994"/>
    <n v="84.0505"/>
    <n v="82.843999999999994"/>
    <n v="83.246200000000002"/>
    <n v="32865"/>
    <n v="-0.96150000000000002"/>
    <n v="1.4562999999999999"/>
  </r>
  <r>
    <n v="2303"/>
    <x v="0"/>
    <d v="2013-09-13T00:00:00"/>
    <x v="4"/>
    <x v="8"/>
    <n v="9.7015999999999991"/>
    <n v="9.7015999999999991"/>
    <n v="9.5437999999999992"/>
    <n v="9.5437999999999992"/>
    <n v="34487"/>
    <n v="-1.6394"/>
    <n v="1.6529"/>
  </r>
  <r>
    <n v="2330"/>
    <x v="1"/>
    <d v="2013-09-13T00:00:00"/>
    <x v="4"/>
    <x v="8"/>
    <n v="82.441900000000004"/>
    <n v="82.843999999999994"/>
    <n v="82.039699999999996"/>
    <n v="82.441900000000004"/>
    <n v="23635"/>
    <n v="-0.97089999999999999"/>
    <n v="0.98040000000000005"/>
  </r>
  <r>
    <n v="2303"/>
    <x v="0"/>
    <d v="2013-09-14T00:00:00"/>
    <x v="5"/>
    <x v="8"/>
    <n v="9.5437999999999992"/>
    <n v="9.6227"/>
    <n v="9.5437999999999992"/>
    <n v="9.5437999999999992"/>
    <n v="16345"/>
    <n v="0"/>
    <n v="0.82640000000000002"/>
  </r>
  <r>
    <n v="2330"/>
    <x v="1"/>
    <d v="2013-09-14T00:00:00"/>
    <x v="5"/>
    <x v="8"/>
    <n v="82.441900000000004"/>
    <n v="83.246200000000002"/>
    <n v="82.039699999999996"/>
    <n v="82.441900000000004"/>
    <n v="5222"/>
    <n v="0"/>
    <n v="1.4705999999999999"/>
  </r>
  <r>
    <n v="2303"/>
    <x v="0"/>
    <d v="2013-09-16T00:00:00"/>
    <x v="0"/>
    <x v="8"/>
    <n v="9.6227"/>
    <n v="9.7015999999999991"/>
    <n v="9.5831999999999997"/>
    <n v="9.6621000000000006"/>
    <n v="40432"/>
    <n v="1.232"/>
    <n v="1.2345999999999999"/>
  </r>
  <r>
    <n v="2330"/>
    <x v="1"/>
    <d v="2013-09-16T00:00:00"/>
    <x v="0"/>
    <x v="8"/>
    <n v="83.648300000000006"/>
    <n v="84.854799999999997"/>
    <n v="83.648300000000006"/>
    <n v="84.854799999999997"/>
    <n v="40693"/>
    <n v="2.8847999999999998"/>
    <n v="1.4422999999999999"/>
  </r>
  <r>
    <n v="2303"/>
    <x v="0"/>
    <d v="2013-09-17T00:00:00"/>
    <x v="1"/>
    <x v="8"/>
    <n v="9.6227"/>
    <n v="9.6227"/>
    <n v="9.5044000000000004"/>
    <n v="9.5437999999999992"/>
    <n v="26773"/>
    <n v="-1.232"/>
    <n v="1.2447999999999999"/>
  </r>
  <r>
    <n v="2330"/>
    <x v="1"/>
    <d v="2013-09-17T00:00:00"/>
    <x v="1"/>
    <x v="8"/>
    <n v="84.854799999999997"/>
    <n v="84.854799999999997"/>
    <n v="84.0505"/>
    <n v="84.854799999999997"/>
    <n v="25467"/>
    <n v="0"/>
    <n v="0.95689999999999997"/>
  </r>
  <r>
    <n v="2303"/>
    <x v="0"/>
    <d v="2013-09-18T00:00:00"/>
    <x v="2"/>
    <x v="8"/>
    <n v="9.5437999999999992"/>
    <n v="9.6227"/>
    <n v="9.5437999999999992"/>
    <n v="9.5437999999999992"/>
    <n v="24348"/>
    <n v="0"/>
    <n v="0.82640000000000002"/>
  </r>
  <r>
    <n v="2330"/>
    <x v="1"/>
    <d v="2013-09-18T00:00:00"/>
    <x v="2"/>
    <x v="8"/>
    <n v="84.452699999999993"/>
    <n v="84.854799999999997"/>
    <n v="82.843999999999994"/>
    <n v="82.843999999999994"/>
    <n v="34987"/>
    <n v="-2.3982000000000001"/>
    <n v="2.4272"/>
  </r>
  <r>
    <n v="2303"/>
    <x v="0"/>
    <d v="2013-09-23T00:00:00"/>
    <x v="0"/>
    <x v="8"/>
    <n v="9.5437999999999992"/>
    <n v="9.9776000000000007"/>
    <n v="9.5437999999999992"/>
    <n v="9.9382000000000001"/>
    <n v="123327"/>
    <n v="4.0491000000000001"/>
    <n v="4.5454999999999997"/>
  </r>
  <r>
    <n v="2330"/>
    <x v="1"/>
    <d v="2013-09-23T00:00:00"/>
    <x v="0"/>
    <x v="8"/>
    <n v="82.843999999999994"/>
    <n v="85.257000000000005"/>
    <n v="82.441900000000004"/>
    <n v="84.854799999999997"/>
    <n v="57281"/>
    <n v="2.3982000000000001"/>
    <n v="3.4146000000000001"/>
  </r>
  <r>
    <n v="2303"/>
    <x v="0"/>
    <d v="2013-09-24T00:00:00"/>
    <x v="1"/>
    <x v="8"/>
    <n v="10.016999999999999"/>
    <n v="10.5297"/>
    <n v="10.016999999999999"/>
    <n v="10.293100000000001"/>
    <n v="196425"/>
    <n v="3.5091000000000001"/>
    <n v="5.1181000000000001"/>
  </r>
  <r>
    <n v="2330"/>
    <x v="1"/>
    <d v="2013-09-24T00:00:00"/>
    <x v="1"/>
    <x v="8"/>
    <n v="84.452699999999993"/>
    <n v="84.854799999999997"/>
    <n v="83.648300000000006"/>
    <n v="84.452699999999993"/>
    <n v="28676"/>
    <n v="-0.47510000000000002"/>
    <n v="1.4422999999999999"/>
  </r>
  <r>
    <n v="2303"/>
    <x v="0"/>
    <d v="2013-09-25T00:00:00"/>
    <x v="2"/>
    <x v="8"/>
    <n v="10.293100000000001"/>
    <n v="10.372"/>
    <n v="10.135400000000001"/>
    <n v="10.2142"/>
    <n v="87116"/>
    <n v="-0.76919999999999999"/>
    <n v="2.3346"/>
  </r>
  <r>
    <n v="2330"/>
    <x v="1"/>
    <d v="2013-09-25T00:00:00"/>
    <x v="2"/>
    <x v="8"/>
    <n v="84.0505"/>
    <n v="84.0505"/>
    <n v="82.843999999999994"/>
    <n v="82.843999999999994"/>
    <n v="35289"/>
    <n v="-1.9231"/>
    <n v="1.4562999999999999"/>
  </r>
  <r>
    <n v="2303"/>
    <x v="0"/>
    <d v="2013-09-26T00:00:00"/>
    <x v="3"/>
    <x v="8"/>
    <n v="10.2142"/>
    <n v="10.2142"/>
    <n v="9.9382000000000001"/>
    <n v="9.9776000000000007"/>
    <n v="90255"/>
    <n v="-2.3439000000000001"/>
    <n v="2.7778"/>
  </r>
  <r>
    <n v="2330"/>
    <x v="1"/>
    <d v="2013-09-26T00:00:00"/>
    <x v="3"/>
    <x v="8"/>
    <n v="83.246200000000002"/>
    <n v="83.246200000000002"/>
    <n v="81.637600000000006"/>
    <n v="81.637600000000006"/>
    <n v="23059"/>
    <n v="-1.4670000000000001"/>
    <n v="1.9703999999999999"/>
  </r>
  <r>
    <n v="2303"/>
    <x v="0"/>
    <d v="2013-09-27T00:00:00"/>
    <x v="4"/>
    <x v="8"/>
    <n v="10.016999999999999"/>
    <n v="10.135400000000001"/>
    <n v="9.9382000000000001"/>
    <n v="10.016999999999999"/>
    <n v="62925"/>
    <n v="0.39450000000000002"/>
    <n v="1.9841"/>
  </r>
  <r>
    <n v="2330"/>
    <x v="1"/>
    <d v="2013-09-27T00:00:00"/>
    <x v="4"/>
    <x v="8"/>
    <n v="83.246200000000002"/>
    <n v="83.246200000000002"/>
    <n v="82.039699999999996"/>
    <n v="82.843999999999994"/>
    <n v="26663"/>
    <n v="1.4670000000000001"/>
    <n v="1.4705999999999999"/>
  </r>
  <r>
    <n v="2303"/>
    <x v="0"/>
    <d v="2013-09-30T00:00:00"/>
    <x v="0"/>
    <x v="8"/>
    <n v="9.9382000000000001"/>
    <n v="10.0959"/>
    <n v="9.8592999999999993"/>
    <n v="9.9776000000000007"/>
    <n v="48468"/>
    <n v="-0.39450000000000002"/>
    <n v="2.4"/>
  </r>
  <r>
    <n v="2330"/>
    <x v="1"/>
    <d v="2013-09-30T00:00:00"/>
    <x v="0"/>
    <x v="8"/>
    <n v="80.833299999999994"/>
    <n v="82.039699999999996"/>
    <n v="80.431100000000001"/>
    <n v="80.833299999999994"/>
    <n v="46224"/>
    <n v="-2.4571000000000001"/>
    <n v="2"/>
  </r>
  <r>
    <n v="2303"/>
    <x v="0"/>
    <d v="2013-10-01T00:00:00"/>
    <x v="1"/>
    <x v="9"/>
    <n v="9.9382000000000001"/>
    <n v="10.0565"/>
    <n v="9.9382000000000001"/>
    <n v="9.9382000000000001"/>
    <n v="30237"/>
    <n v="-0.39600000000000002"/>
    <n v="1.1904999999999999"/>
  </r>
  <r>
    <n v="2330"/>
    <x v="1"/>
    <d v="2013-10-01T00:00:00"/>
    <x v="1"/>
    <x v="9"/>
    <n v="80.833299999999994"/>
    <n v="82.441900000000004"/>
    <n v="80.833299999999994"/>
    <n v="81.637600000000006"/>
    <n v="22927"/>
    <n v="0.99009999999999998"/>
    <n v="1.99"/>
  </r>
  <r>
    <n v="2303"/>
    <x v="0"/>
    <d v="2013-10-02T00:00:00"/>
    <x v="2"/>
    <x v="9"/>
    <n v="9.9382000000000001"/>
    <n v="10.016999999999999"/>
    <n v="9.8199000000000005"/>
    <n v="9.8199000000000005"/>
    <n v="42546"/>
    <n v="-1.1976"/>
    <n v="2.008"/>
  </r>
  <r>
    <n v="2330"/>
    <x v="1"/>
    <d v="2013-10-02T00:00:00"/>
    <x v="2"/>
    <x v="9"/>
    <n v="83.246200000000002"/>
    <n v="83.246200000000002"/>
    <n v="82.039699999999996"/>
    <n v="82.843999999999994"/>
    <n v="14707"/>
    <n v="1.4670000000000001"/>
    <n v="1.4705999999999999"/>
  </r>
  <r>
    <n v="2303"/>
    <x v="0"/>
    <d v="2013-10-03T00:00:00"/>
    <x v="3"/>
    <x v="9"/>
    <n v="9.8986999999999998"/>
    <n v="10.293100000000001"/>
    <n v="9.8986999999999998"/>
    <n v="10.293100000000001"/>
    <n v="121429"/>
    <n v="4.7068000000000003"/>
    <n v="3.9841000000000002"/>
  </r>
  <r>
    <n v="2330"/>
    <x v="1"/>
    <d v="2013-10-03T00:00:00"/>
    <x v="3"/>
    <x v="9"/>
    <n v="83.246200000000002"/>
    <n v="85.257000000000005"/>
    <n v="82.843999999999994"/>
    <n v="84.452699999999993"/>
    <n v="50840"/>
    <n v="1.9231"/>
    <n v="2.9125999999999999"/>
  </r>
  <r>
    <n v="2303"/>
    <x v="0"/>
    <d v="2013-10-04T00:00:00"/>
    <x v="4"/>
    <x v="9"/>
    <n v="10.2537"/>
    <n v="10.293100000000001"/>
    <n v="10.0959"/>
    <n v="10.135400000000001"/>
    <n v="45065"/>
    <n v="-1.5444"/>
    <n v="1.9531000000000001"/>
  </r>
  <r>
    <n v="2330"/>
    <x v="1"/>
    <d v="2013-10-04T00:00:00"/>
    <x v="4"/>
    <x v="9"/>
    <n v="84.0505"/>
    <n v="84.452699999999993"/>
    <n v="83.246200000000002"/>
    <n v="83.648300000000006"/>
    <n v="21986"/>
    <n v="-0.95689999999999997"/>
    <n v="1.4493"/>
  </r>
  <r>
    <n v="2303"/>
    <x v="0"/>
    <d v="2013-10-07T00:00:00"/>
    <x v="0"/>
    <x v="9"/>
    <n v="10.0959"/>
    <n v="10.135400000000001"/>
    <n v="10.016999999999999"/>
    <n v="10.0565"/>
    <n v="29175"/>
    <n v="-0.78129999999999999"/>
    <n v="1.1811"/>
  </r>
  <r>
    <n v="2330"/>
    <x v="1"/>
    <d v="2013-10-07T00:00:00"/>
    <x v="0"/>
    <x v="9"/>
    <n v="83.246200000000002"/>
    <n v="83.648300000000006"/>
    <n v="82.039699999999996"/>
    <n v="82.843999999999994"/>
    <n v="24399"/>
    <n v="-0.96619999999999995"/>
    <n v="1.9608000000000001"/>
  </r>
  <r>
    <n v="2303"/>
    <x v="0"/>
    <d v="2013-10-08T00:00:00"/>
    <x v="1"/>
    <x v="9"/>
    <n v="10.0565"/>
    <n v="10.3325"/>
    <n v="10.016999999999999"/>
    <n v="10.3325"/>
    <n v="51280"/>
    <n v="2.7081"/>
    <n v="3.1496"/>
  </r>
  <r>
    <n v="2330"/>
    <x v="1"/>
    <d v="2013-10-08T00:00:00"/>
    <x v="1"/>
    <x v="9"/>
    <n v="83.246200000000002"/>
    <n v="84.854799999999997"/>
    <n v="82.843999999999994"/>
    <n v="84.452699999999993"/>
    <n v="35150"/>
    <n v="1.9231"/>
    <n v="2.4272"/>
  </r>
  <r>
    <n v="2303"/>
    <x v="0"/>
    <d v="2013-10-09T00:00:00"/>
    <x v="2"/>
    <x v="9"/>
    <n v="10.2537"/>
    <n v="10.2537"/>
    <n v="10.0959"/>
    <n v="10.0959"/>
    <n v="40568"/>
    <n v="-2.3167"/>
    <n v="1.5625"/>
  </r>
  <r>
    <n v="2330"/>
    <x v="1"/>
    <d v="2013-10-09T00:00:00"/>
    <x v="2"/>
    <x v="9"/>
    <n v="83.648300000000006"/>
    <n v="84.854799999999997"/>
    <n v="82.843999999999994"/>
    <n v="84.452699999999993"/>
    <n v="26186"/>
    <n v="0"/>
    <n v="2.4272"/>
  </r>
  <r>
    <n v="2303"/>
    <x v="0"/>
    <d v="2013-10-11T00:00:00"/>
    <x v="4"/>
    <x v="9"/>
    <n v="10.2142"/>
    <n v="10.2537"/>
    <n v="9.9382000000000001"/>
    <n v="9.9382000000000001"/>
    <n v="73614"/>
    <n v="-1.5748"/>
    <n v="3.1745999999999999"/>
  </r>
  <r>
    <n v="2330"/>
    <x v="1"/>
    <d v="2013-10-11T00:00:00"/>
    <x v="4"/>
    <x v="9"/>
    <n v="84.452699999999993"/>
    <n v="86.463399999999993"/>
    <n v="84.452699999999993"/>
    <n v="85.659099999999995"/>
    <n v="59435"/>
    <n v="1.4185000000000001"/>
    <n v="2.3809999999999998"/>
  </r>
  <r>
    <n v="2303"/>
    <x v="0"/>
    <d v="2013-10-14T00:00:00"/>
    <x v="0"/>
    <x v="9"/>
    <n v="9.9382000000000001"/>
    <n v="9.9776000000000007"/>
    <n v="9.6621000000000006"/>
    <n v="9.7015999999999991"/>
    <n v="55427"/>
    <n v="-2.4098000000000002"/>
    <n v="3.2652999999999999"/>
  </r>
  <r>
    <n v="2330"/>
    <x v="1"/>
    <d v="2013-10-14T00:00:00"/>
    <x v="0"/>
    <x v="9"/>
    <n v="85.659099999999995"/>
    <n v="85.659099999999995"/>
    <n v="84.452699999999993"/>
    <n v="84.452699999999993"/>
    <n v="18800"/>
    <n v="-1.4185000000000001"/>
    <n v="1.4286000000000001"/>
  </r>
  <r>
    <n v="2303"/>
    <x v="0"/>
    <d v="2013-10-15T00:00:00"/>
    <x v="1"/>
    <x v="9"/>
    <n v="9.7804000000000002"/>
    <n v="10.0959"/>
    <n v="9.7804000000000002"/>
    <n v="10.0565"/>
    <n v="58857"/>
    <n v="3.5931999999999999"/>
    <n v="3.2258"/>
  </r>
  <r>
    <n v="2330"/>
    <x v="1"/>
    <d v="2013-10-15T00:00:00"/>
    <x v="1"/>
    <x v="9"/>
    <n v="85.659099999999995"/>
    <n v="86.061300000000003"/>
    <n v="85.257000000000005"/>
    <n v="86.061300000000003"/>
    <n v="21681"/>
    <n v="1.8868"/>
    <n v="0.94340000000000002"/>
  </r>
  <r>
    <n v="2303"/>
    <x v="0"/>
    <d v="2013-10-16T00:00:00"/>
    <x v="2"/>
    <x v="9"/>
    <n v="9.9382000000000001"/>
    <n v="10.0565"/>
    <n v="9.8199000000000005"/>
    <n v="9.8199000000000005"/>
    <n v="37300"/>
    <n v="-2.3811"/>
    <n v="2.4096000000000002"/>
  </r>
  <r>
    <n v="2330"/>
    <x v="1"/>
    <d v="2013-10-16T00:00:00"/>
    <x v="2"/>
    <x v="9"/>
    <n v="86.865600000000001"/>
    <n v="86.865600000000001"/>
    <n v="85.257000000000005"/>
    <n v="85.257000000000005"/>
    <n v="19077"/>
    <n v="-0.93899999999999995"/>
    <n v="1.8868"/>
  </r>
  <r>
    <n v="2303"/>
    <x v="0"/>
    <d v="2013-10-17T00:00:00"/>
    <x v="3"/>
    <x v="9"/>
    <n v="9.9382000000000001"/>
    <n v="10.0959"/>
    <n v="9.8986999999999998"/>
    <n v="9.9776000000000007"/>
    <n v="37690"/>
    <n v="1.5936999999999999"/>
    <n v="1.992"/>
  </r>
  <r>
    <n v="2330"/>
    <x v="1"/>
    <d v="2013-10-17T00:00:00"/>
    <x v="3"/>
    <x v="9"/>
    <n v="86.463399999999993"/>
    <n v="86.865600000000001"/>
    <n v="86.061300000000003"/>
    <n v="86.061300000000003"/>
    <n v="28186"/>
    <n v="0.93899999999999995"/>
    <n v="0.93459999999999999"/>
  </r>
  <r>
    <n v="2303"/>
    <x v="0"/>
    <d v="2013-10-18T00:00:00"/>
    <x v="4"/>
    <x v="9"/>
    <n v="10.0959"/>
    <n v="10.2142"/>
    <n v="10.0565"/>
    <n v="10.2142"/>
    <n v="70023"/>
    <n v="2.3439000000000001"/>
    <n v="1.5686"/>
  </r>
  <r>
    <n v="2330"/>
    <x v="1"/>
    <d v="2013-10-18T00:00:00"/>
    <x v="4"/>
    <x v="9"/>
    <n v="87.267700000000005"/>
    <n v="88.474199999999996"/>
    <n v="87.267700000000005"/>
    <n v="88.474199999999996"/>
    <n v="60125"/>
    <n v="2.7652000000000001"/>
    <n v="1.3825000000000001"/>
  </r>
  <r>
    <n v="2303"/>
    <x v="0"/>
    <d v="2013-10-21T00:00:00"/>
    <x v="0"/>
    <x v="9"/>
    <n v="10.2537"/>
    <n v="10.293100000000001"/>
    <n v="10.135400000000001"/>
    <n v="10.2537"/>
    <n v="49323"/>
    <n v="0.38540000000000002"/>
    <n v="1.5564"/>
  </r>
  <r>
    <n v="2330"/>
    <x v="1"/>
    <d v="2013-10-21T00:00:00"/>
    <x v="0"/>
    <x v="9"/>
    <n v="89.278499999999994"/>
    <n v="89.680700000000002"/>
    <n v="88.072100000000006"/>
    <n v="88.474199999999996"/>
    <n v="41327"/>
    <n v="0"/>
    <n v="1.8265"/>
  </r>
  <r>
    <n v="2303"/>
    <x v="0"/>
    <d v="2013-10-22T00:00:00"/>
    <x v="1"/>
    <x v="9"/>
    <n v="10.174799999999999"/>
    <n v="10.293100000000001"/>
    <n v="10.0959"/>
    <n v="10.174799999999999"/>
    <n v="45441"/>
    <n v="-0.7722"/>
    <n v="1.9531000000000001"/>
  </r>
  <r>
    <n v="2330"/>
    <x v="1"/>
    <d v="2013-10-22T00:00:00"/>
    <x v="1"/>
    <x v="9"/>
    <n v="88.474199999999996"/>
    <n v="89.680700000000002"/>
    <n v="88.072100000000006"/>
    <n v="89.680700000000002"/>
    <n v="39837"/>
    <n v="1.3544"/>
    <n v="1.8265"/>
  </r>
  <r>
    <n v="2303"/>
    <x v="0"/>
    <d v="2013-10-23T00:00:00"/>
    <x v="2"/>
    <x v="9"/>
    <n v="10.2142"/>
    <n v="10.2537"/>
    <n v="10.0959"/>
    <n v="10.0959"/>
    <n v="31831"/>
    <n v="-0.7782"/>
    <n v="1.5625"/>
  </r>
  <r>
    <n v="2330"/>
    <x v="1"/>
    <d v="2013-10-23T00:00:00"/>
    <x v="2"/>
    <x v="9"/>
    <n v="89.278499999999994"/>
    <n v="89.680700000000002"/>
    <n v="88.474199999999996"/>
    <n v="89.278499999999994"/>
    <n v="23057"/>
    <n v="-0.44940000000000002"/>
    <n v="1.3635999999999999"/>
  </r>
  <r>
    <n v="2303"/>
    <x v="0"/>
    <d v="2013-10-24T00:00:00"/>
    <x v="3"/>
    <x v="9"/>
    <n v="10.016999999999999"/>
    <n v="10.0959"/>
    <n v="9.9776000000000007"/>
    <n v="10.0565"/>
    <n v="30077"/>
    <n v="-0.39140000000000003"/>
    <n v="1.1858"/>
  </r>
  <r>
    <n v="2330"/>
    <x v="1"/>
    <d v="2013-10-24T00:00:00"/>
    <x v="3"/>
    <x v="9"/>
    <n v="87.669899999999998"/>
    <n v="88.474199999999996"/>
    <n v="87.267700000000005"/>
    <n v="88.474199999999996"/>
    <n v="21570"/>
    <n v="-0.90500000000000003"/>
    <n v="1.3825000000000001"/>
  </r>
  <r>
    <n v="2303"/>
    <x v="0"/>
    <d v="2013-10-25T00:00:00"/>
    <x v="4"/>
    <x v="9"/>
    <n v="10.016999999999999"/>
    <n v="10.0565"/>
    <n v="9.8199000000000005"/>
    <n v="9.8986999999999998"/>
    <n v="51715"/>
    <n v="-1.5810999999999999"/>
    <n v="2.4096000000000002"/>
  </r>
  <r>
    <n v="2330"/>
    <x v="1"/>
    <d v="2013-10-25T00:00:00"/>
    <x v="4"/>
    <x v="9"/>
    <n v="87.267700000000005"/>
    <n v="87.669899999999998"/>
    <n v="85.659099999999995"/>
    <n v="86.061300000000003"/>
    <n v="37244"/>
    <n v="-2.7652000000000001"/>
    <n v="2.3473999999999999"/>
  </r>
  <r>
    <n v="2303"/>
    <x v="0"/>
    <d v="2013-10-28T00:00:00"/>
    <x v="0"/>
    <x v="9"/>
    <n v="9.8986999999999998"/>
    <n v="10.0565"/>
    <n v="9.8592999999999993"/>
    <n v="9.9776000000000007"/>
    <n v="33907"/>
    <n v="0.79369999999999996"/>
    <n v="2"/>
  </r>
  <r>
    <n v="2330"/>
    <x v="1"/>
    <d v="2013-10-28T00:00:00"/>
    <x v="0"/>
    <x v="9"/>
    <n v="86.865600000000001"/>
    <n v="88.072100000000006"/>
    <n v="86.463399999999993"/>
    <n v="88.072100000000006"/>
    <n v="21241"/>
    <n v="2.3096000000000001"/>
    <n v="1.8605"/>
  </r>
  <r>
    <n v="2303"/>
    <x v="0"/>
    <d v="2013-10-29T00:00:00"/>
    <x v="1"/>
    <x v="9"/>
    <n v="9.9776000000000007"/>
    <n v="10.0959"/>
    <n v="9.9382000000000001"/>
    <n v="9.9776000000000007"/>
    <n v="34588"/>
    <n v="0"/>
    <n v="1.5872999999999999"/>
  </r>
  <r>
    <n v="2330"/>
    <x v="1"/>
    <d v="2013-10-29T00:00:00"/>
    <x v="1"/>
    <x v="9"/>
    <n v="87.267700000000005"/>
    <n v="88.072100000000006"/>
    <n v="86.865600000000001"/>
    <n v="88.072100000000006"/>
    <n v="21531"/>
    <n v="0"/>
    <n v="1.3889"/>
  </r>
  <r>
    <n v="2303"/>
    <x v="0"/>
    <d v="2013-10-30T00:00:00"/>
    <x v="2"/>
    <x v="9"/>
    <n v="10.0565"/>
    <n v="10.3325"/>
    <n v="10.016999999999999"/>
    <n v="10.3325"/>
    <n v="94599"/>
    <n v="3.4954999999999998"/>
    <n v="3.1496"/>
  </r>
  <r>
    <n v="2330"/>
    <x v="1"/>
    <d v="2013-10-30T00:00:00"/>
    <x v="2"/>
    <x v="9"/>
    <n v="87.669899999999998"/>
    <n v="88.474199999999996"/>
    <n v="87.669899999999998"/>
    <n v="88.474199999999996"/>
    <n v="16768"/>
    <n v="0.4556"/>
    <n v="0.91739999999999999"/>
  </r>
  <r>
    <n v="2303"/>
    <x v="0"/>
    <d v="2013-10-31T00:00:00"/>
    <x v="3"/>
    <x v="9"/>
    <n v="10.174799999999999"/>
    <n v="10.174799999999999"/>
    <n v="9.8199000000000005"/>
    <n v="9.8199000000000005"/>
    <n v="144295"/>
    <n v="-5.0891999999999999"/>
    <n v="3.6145"/>
  </r>
  <r>
    <n v="2330"/>
    <x v="1"/>
    <d v="2013-10-31T00:00:00"/>
    <x v="3"/>
    <x v="9"/>
    <n v="87.267700000000005"/>
    <n v="88.072100000000006"/>
    <n v="86.865600000000001"/>
    <n v="88.072100000000006"/>
    <n v="23098"/>
    <n v="-0.4556"/>
    <n v="1.3889"/>
  </r>
  <r>
    <n v="2303"/>
    <x v="0"/>
    <d v="2013-11-01T00:00:00"/>
    <x v="4"/>
    <x v="10"/>
    <n v="9.8592999999999993"/>
    <n v="9.8592999999999993"/>
    <n v="9.7804000000000002"/>
    <n v="9.8199000000000005"/>
    <n v="38868"/>
    <n v="0"/>
    <n v="0.80649999999999999"/>
  </r>
  <r>
    <n v="2330"/>
    <x v="1"/>
    <d v="2013-11-01T00:00:00"/>
    <x v="4"/>
    <x v="10"/>
    <n v="88.876400000000004"/>
    <n v="88.876400000000004"/>
    <n v="87.267700000000005"/>
    <n v="88.072100000000006"/>
    <n v="10870"/>
    <n v="0"/>
    <n v="1.8432999999999999"/>
  </r>
  <r>
    <n v="2303"/>
    <x v="0"/>
    <d v="2013-11-04T00:00:00"/>
    <x v="0"/>
    <x v="10"/>
    <n v="9.7804000000000002"/>
    <n v="9.7804000000000002"/>
    <n v="9.6621000000000006"/>
    <n v="9.7409999999999997"/>
    <n v="52763"/>
    <n v="-0.80649999999999999"/>
    <n v="1.2244999999999999"/>
  </r>
  <r>
    <n v="2330"/>
    <x v="1"/>
    <d v="2013-11-04T00:00:00"/>
    <x v="0"/>
    <x v="10"/>
    <n v="86.865600000000001"/>
    <n v="87.669899999999998"/>
    <n v="86.865600000000001"/>
    <n v="87.669899999999998"/>
    <n v="9642"/>
    <n v="-0.4577"/>
    <n v="0.92589999999999995"/>
  </r>
  <r>
    <n v="2303"/>
    <x v="0"/>
    <d v="2013-11-05T00:00:00"/>
    <x v="1"/>
    <x v="10"/>
    <n v="9.7015999999999991"/>
    <n v="9.8592999999999993"/>
    <n v="9.7015999999999991"/>
    <n v="9.7409999999999997"/>
    <n v="33532"/>
    <n v="0"/>
    <n v="1.6259999999999999"/>
  </r>
  <r>
    <n v="2330"/>
    <x v="1"/>
    <d v="2013-11-05T00:00:00"/>
    <x v="1"/>
    <x v="10"/>
    <n v="87.267700000000005"/>
    <n v="87.669899999999998"/>
    <n v="85.659099999999995"/>
    <n v="85.659099999999995"/>
    <n v="21861"/>
    <n v="-2.3203"/>
    <n v="2.3473999999999999"/>
  </r>
  <r>
    <n v="2303"/>
    <x v="0"/>
    <d v="2013-11-06T00:00:00"/>
    <x v="2"/>
    <x v="10"/>
    <n v="9.7409999999999997"/>
    <n v="9.7804000000000002"/>
    <n v="9.6621000000000006"/>
    <n v="9.7015999999999991"/>
    <n v="34671"/>
    <n v="-0.40570000000000001"/>
    <n v="1.2244999999999999"/>
  </r>
  <r>
    <n v="2330"/>
    <x v="1"/>
    <d v="2013-11-06T00:00:00"/>
    <x v="2"/>
    <x v="10"/>
    <n v="85.659099999999995"/>
    <n v="86.463399999999993"/>
    <n v="85.659099999999995"/>
    <n v="86.061300000000003"/>
    <n v="17440"/>
    <n v="0.46839999999999998"/>
    <n v="0.93899999999999995"/>
  </r>
  <r>
    <n v="2303"/>
    <x v="0"/>
    <d v="2013-11-07T00:00:00"/>
    <x v="3"/>
    <x v="10"/>
    <n v="9.7015999999999991"/>
    <n v="9.8199000000000005"/>
    <n v="9.6621000000000006"/>
    <n v="9.8199000000000005"/>
    <n v="27328"/>
    <n v="1.2121"/>
    <n v="1.6327"/>
  </r>
  <r>
    <n v="2330"/>
    <x v="1"/>
    <d v="2013-11-07T00:00:00"/>
    <x v="3"/>
    <x v="10"/>
    <n v="86.061300000000003"/>
    <n v="86.463399999999993"/>
    <n v="85.257000000000005"/>
    <n v="86.061300000000003"/>
    <n v="15944"/>
    <n v="0"/>
    <n v="1.4151"/>
  </r>
  <r>
    <n v="2303"/>
    <x v="0"/>
    <d v="2013-11-08T00:00:00"/>
    <x v="4"/>
    <x v="10"/>
    <n v="9.7409999999999997"/>
    <n v="9.7804000000000002"/>
    <n v="9.7015999999999991"/>
    <n v="9.7409999999999997"/>
    <n v="13344"/>
    <n v="-0.80649999999999999"/>
    <n v="0.81299999999999994"/>
  </r>
  <r>
    <n v="2330"/>
    <x v="1"/>
    <d v="2013-11-08T00:00:00"/>
    <x v="4"/>
    <x v="10"/>
    <n v="84.452699999999993"/>
    <n v="85.659099999999995"/>
    <n v="84.452699999999993"/>
    <n v="85.257000000000005"/>
    <n v="31481"/>
    <n v="-0.93899999999999995"/>
    <n v="1.4286000000000001"/>
  </r>
  <r>
    <n v="2303"/>
    <x v="0"/>
    <d v="2013-11-11T00:00:00"/>
    <x v="0"/>
    <x v="10"/>
    <n v="9.7015999999999991"/>
    <n v="9.7409999999999997"/>
    <n v="9.5831999999999997"/>
    <n v="9.5831999999999997"/>
    <n v="27477"/>
    <n v="-1.6327"/>
    <n v="1.6460999999999999"/>
  </r>
  <r>
    <n v="2330"/>
    <x v="1"/>
    <d v="2013-11-11T00:00:00"/>
    <x v="0"/>
    <x v="10"/>
    <n v="84.452699999999993"/>
    <n v="85.257000000000005"/>
    <n v="84.0505"/>
    <n v="84.0505"/>
    <n v="21491"/>
    <n v="-1.4252"/>
    <n v="1.4354"/>
  </r>
  <r>
    <n v="2303"/>
    <x v="0"/>
    <d v="2013-11-12T00:00:00"/>
    <x v="1"/>
    <x v="10"/>
    <n v="9.5831999999999997"/>
    <n v="9.6621000000000006"/>
    <n v="9.4649000000000001"/>
    <n v="9.5437999999999992"/>
    <n v="37813"/>
    <n v="-0.41239999999999999"/>
    <n v="2.0832999999999999"/>
  </r>
  <r>
    <n v="2330"/>
    <x v="1"/>
    <d v="2013-11-12T00:00:00"/>
    <x v="1"/>
    <x v="10"/>
    <n v="85.257000000000005"/>
    <n v="85.257000000000005"/>
    <n v="84.0505"/>
    <n v="84.452699999999993"/>
    <n v="31992"/>
    <n v="0.4773"/>
    <n v="1.4354"/>
  </r>
  <r>
    <n v="2303"/>
    <x v="0"/>
    <d v="2013-11-13T00:00:00"/>
    <x v="2"/>
    <x v="10"/>
    <n v="9.5044000000000004"/>
    <n v="9.5437999999999992"/>
    <n v="9.4254999999999995"/>
    <n v="9.4649000000000001"/>
    <n v="52608"/>
    <n v="-0.82989999999999997"/>
    <n v="1.2552000000000001"/>
  </r>
  <r>
    <n v="2330"/>
    <x v="1"/>
    <d v="2013-11-13T00:00:00"/>
    <x v="2"/>
    <x v="10"/>
    <n v="84.452699999999993"/>
    <n v="84.452699999999993"/>
    <n v="82.843999999999994"/>
    <n v="82.843999999999994"/>
    <n v="26708"/>
    <n v="-1.9231"/>
    <n v="1.9417"/>
  </r>
  <r>
    <n v="2303"/>
    <x v="0"/>
    <d v="2013-11-14T00:00:00"/>
    <x v="3"/>
    <x v="10"/>
    <n v="9.4649000000000001"/>
    <n v="9.5437999999999992"/>
    <n v="9.4649000000000001"/>
    <n v="9.4649000000000001"/>
    <n v="36345"/>
    <n v="0"/>
    <n v="0.83330000000000004"/>
  </r>
  <r>
    <n v="2330"/>
    <x v="1"/>
    <d v="2013-11-14T00:00:00"/>
    <x v="3"/>
    <x v="10"/>
    <n v="83.648300000000006"/>
    <n v="84.0505"/>
    <n v="83.246200000000002"/>
    <n v="83.246200000000002"/>
    <n v="29933"/>
    <n v="0.48430000000000001"/>
    <n v="0.96619999999999995"/>
  </r>
  <r>
    <n v="2303"/>
    <x v="0"/>
    <d v="2013-11-15T00:00:00"/>
    <x v="4"/>
    <x v="10"/>
    <n v="9.5437999999999992"/>
    <n v="9.5831999999999997"/>
    <n v="9.4649000000000001"/>
    <n v="9.5044000000000004"/>
    <n v="21781"/>
    <n v="0.4158"/>
    <n v="1.25"/>
  </r>
  <r>
    <n v="2330"/>
    <x v="1"/>
    <d v="2013-11-15T00:00:00"/>
    <x v="4"/>
    <x v="10"/>
    <n v="83.246200000000002"/>
    <n v="84.0505"/>
    <n v="83.246200000000002"/>
    <n v="83.648300000000006"/>
    <n v="19904"/>
    <n v="0.4819"/>
    <n v="0.96619999999999995"/>
  </r>
  <r>
    <n v="2303"/>
    <x v="0"/>
    <d v="2013-11-18T00:00:00"/>
    <x v="0"/>
    <x v="10"/>
    <n v="9.5437999999999992"/>
    <n v="9.5831999999999997"/>
    <n v="9.4649000000000001"/>
    <n v="9.5044000000000004"/>
    <n v="17199"/>
    <n v="0"/>
    <n v="1.25"/>
  </r>
  <r>
    <n v="2330"/>
    <x v="1"/>
    <d v="2013-11-18T00:00:00"/>
    <x v="0"/>
    <x v="10"/>
    <n v="84.0505"/>
    <n v="84.452699999999993"/>
    <n v="83.648300000000006"/>
    <n v="83.648300000000006"/>
    <n v="25297"/>
    <n v="0"/>
    <n v="0.96150000000000002"/>
  </r>
  <r>
    <n v="2303"/>
    <x v="0"/>
    <d v="2013-11-19T00:00:00"/>
    <x v="1"/>
    <x v="10"/>
    <n v="9.5437999999999992"/>
    <n v="9.5437999999999992"/>
    <n v="9.4649000000000001"/>
    <n v="9.5044000000000004"/>
    <n v="31939"/>
    <n v="0"/>
    <n v="0.83330000000000004"/>
  </r>
  <r>
    <n v="2330"/>
    <x v="1"/>
    <d v="2013-11-19T00:00:00"/>
    <x v="1"/>
    <x v="10"/>
    <n v="84.0505"/>
    <n v="84.854799999999997"/>
    <n v="83.648300000000006"/>
    <n v="84.452699999999993"/>
    <n v="34510"/>
    <n v="0.95689999999999997"/>
    <n v="1.4422999999999999"/>
  </r>
  <r>
    <n v="2303"/>
    <x v="0"/>
    <d v="2013-11-20T00:00:00"/>
    <x v="2"/>
    <x v="10"/>
    <n v="9.5044000000000004"/>
    <n v="9.5437999999999992"/>
    <n v="9.4649000000000001"/>
    <n v="9.4649000000000001"/>
    <n v="24019"/>
    <n v="-0.4158"/>
    <n v="0.83330000000000004"/>
  </r>
  <r>
    <n v="2330"/>
    <x v="1"/>
    <d v="2013-11-20T00:00:00"/>
    <x v="2"/>
    <x v="10"/>
    <n v="83.648300000000006"/>
    <n v="83.648300000000006"/>
    <n v="82.441900000000004"/>
    <n v="82.843999999999994"/>
    <n v="46675"/>
    <n v="-1.9231"/>
    <n v="1.4634"/>
  </r>
  <r>
    <n v="2303"/>
    <x v="0"/>
    <d v="2013-11-21T00:00:00"/>
    <x v="3"/>
    <x v="10"/>
    <n v="9.4649000000000001"/>
    <n v="9.4649000000000001"/>
    <n v="9.3466000000000005"/>
    <n v="9.3861000000000008"/>
    <n v="28070"/>
    <n v="-0.83679999999999999"/>
    <n v="1.2658"/>
  </r>
  <r>
    <n v="2330"/>
    <x v="1"/>
    <d v="2013-11-21T00:00:00"/>
    <x v="3"/>
    <x v="10"/>
    <n v="82.039699999999996"/>
    <n v="82.843999999999994"/>
    <n v="80.833299999999994"/>
    <n v="81.235399999999998"/>
    <n v="57002"/>
    <n v="-1.9608000000000001"/>
    <n v="2.4876"/>
  </r>
  <r>
    <n v="2303"/>
    <x v="0"/>
    <d v="2013-11-22T00:00:00"/>
    <x v="4"/>
    <x v="10"/>
    <n v="9.3861000000000008"/>
    <n v="9.4649000000000001"/>
    <n v="9.3861000000000008"/>
    <n v="9.4254999999999995"/>
    <n v="13140"/>
    <n v="0.41930000000000001"/>
    <n v="0.84030000000000005"/>
  </r>
  <r>
    <n v="2330"/>
    <x v="1"/>
    <d v="2013-11-22T00:00:00"/>
    <x v="4"/>
    <x v="10"/>
    <n v="80.431100000000001"/>
    <n v="81.637600000000006"/>
    <n v="80.431100000000001"/>
    <n v="80.431100000000001"/>
    <n v="57158"/>
    <n v="-0.995"/>
    <n v="1.5"/>
  </r>
  <r>
    <n v="2303"/>
    <x v="0"/>
    <d v="2013-11-25T00:00:00"/>
    <x v="0"/>
    <x v="10"/>
    <n v="9.5044000000000004"/>
    <n v="9.5437999999999992"/>
    <n v="9.4254999999999995"/>
    <n v="9.4649000000000001"/>
    <n v="17847"/>
    <n v="0.41749999999999998"/>
    <n v="1.2552000000000001"/>
  </r>
  <r>
    <n v="2330"/>
    <x v="1"/>
    <d v="2013-11-25T00:00:00"/>
    <x v="0"/>
    <x v="10"/>
    <n v="81.235399999999998"/>
    <n v="82.441900000000004"/>
    <n v="81.235399999999998"/>
    <n v="81.235399999999998"/>
    <n v="30949"/>
    <n v="0.995"/>
    <n v="1.4851000000000001"/>
  </r>
  <r>
    <n v="2303"/>
    <x v="0"/>
    <d v="2013-11-26T00:00:00"/>
    <x v="1"/>
    <x v="10"/>
    <n v="9.4254999999999995"/>
    <n v="9.6227"/>
    <n v="9.4254999999999995"/>
    <n v="9.5044000000000004"/>
    <n v="28498"/>
    <n v="0.4158"/>
    <n v="2.0920999999999998"/>
  </r>
  <r>
    <n v="2330"/>
    <x v="1"/>
    <d v="2013-11-26T00:00:00"/>
    <x v="1"/>
    <x v="10"/>
    <n v="82.039699999999996"/>
    <n v="84.452699999999993"/>
    <n v="81.637600000000006"/>
    <n v="83.246200000000002"/>
    <n v="47194"/>
    <n v="2.4451000000000001"/>
    <n v="3.4483000000000001"/>
  </r>
  <r>
    <n v="2303"/>
    <x v="0"/>
    <d v="2013-11-27T00:00:00"/>
    <x v="2"/>
    <x v="10"/>
    <n v="9.5044000000000004"/>
    <n v="9.6227"/>
    <n v="9.5044000000000004"/>
    <n v="9.5831999999999997"/>
    <n v="25451"/>
    <n v="0.82650000000000001"/>
    <n v="1.2447999999999999"/>
  </r>
  <r>
    <n v="2330"/>
    <x v="1"/>
    <d v="2013-11-27T00:00:00"/>
    <x v="2"/>
    <x v="10"/>
    <n v="84.452699999999993"/>
    <n v="84.854799999999997"/>
    <n v="84.0505"/>
    <n v="84.452699999999993"/>
    <n v="22853"/>
    <n v="1.4389000000000001"/>
    <n v="0.95689999999999997"/>
  </r>
  <r>
    <n v="2303"/>
    <x v="0"/>
    <d v="2013-11-28T00:00:00"/>
    <x v="3"/>
    <x v="10"/>
    <n v="9.6227"/>
    <n v="9.8199000000000005"/>
    <n v="9.6227"/>
    <n v="9.7804000000000002"/>
    <n v="68521"/>
    <n v="2.0367000000000002"/>
    <n v="2.0491999999999999"/>
  </r>
  <r>
    <n v="2330"/>
    <x v="1"/>
    <d v="2013-11-28T00:00:00"/>
    <x v="3"/>
    <x v="10"/>
    <n v="84.452699999999993"/>
    <n v="84.854799999999997"/>
    <n v="84.0505"/>
    <n v="84.452699999999993"/>
    <n v="22995"/>
    <n v="0"/>
    <n v="0.95689999999999997"/>
  </r>
  <r>
    <n v="2303"/>
    <x v="0"/>
    <d v="2013-11-29T00:00:00"/>
    <x v="4"/>
    <x v="10"/>
    <n v="9.8199000000000005"/>
    <n v="9.8592999999999993"/>
    <n v="9.7015999999999991"/>
    <n v="9.7015999999999991"/>
    <n v="39172"/>
    <n v="-0.80969999999999998"/>
    <n v="1.6259999999999999"/>
  </r>
  <r>
    <n v="2330"/>
    <x v="1"/>
    <d v="2013-11-29T00:00:00"/>
    <x v="4"/>
    <x v="10"/>
    <n v="84.0505"/>
    <n v="84.452699999999993"/>
    <n v="83.648300000000006"/>
    <n v="84.452699999999993"/>
    <n v="34465"/>
    <n v="0"/>
    <n v="0.96150000000000002"/>
  </r>
  <r>
    <n v="2303"/>
    <x v="0"/>
    <d v="2013-12-02T00:00:00"/>
    <x v="0"/>
    <x v="11"/>
    <n v="9.7015999999999991"/>
    <n v="9.8199000000000005"/>
    <n v="9.6621000000000006"/>
    <n v="9.7015999999999991"/>
    <n v="25838"/>
    <n v="0"/>
    <n v="1.6327"/>
  </r>
  <r>
    <n v="2330"/>
    <x v="1"/>
    <d v="2013-12-02T00:00:00"/>
    <x v="0"/>
    <x v="11"/>
    <n v="84.452699999999993"/>
    <n v="84.854799999999997"/>
    <n v="83.648300000000006"/>
    <n v="84.0505"/>
    <n v="19042"/>
    <n v="-0.4773"/>
    <n v="1.4422999999999999"/>
  </r>
  <r>
    <n v="2303"/>
    <x v="0"/>
    <d v="2013-12-03T00:00:00"/>
    <x v="1"/>
    <x v="11"/>
    <n v="9.6227"/>
    <n v="9.7409999999999997"/>
    <n v="9.6227"/>
    <n v="9.6227"/>
    <n v="25986"/>
    <n v="-0.81630000000000003"/>
    <n v="1.2295"/>
  </r>
  <r>
    <n v="2330"/>
    <x v="1"/>
    <d v="2013-12-03T00:00:00"/>
    <x v="1"/>
    <x v="11"/>
    <n v="83.648300000000006"/>
    <n v="84.452699999999993"/>
    <n v="83.246200000000002"/>
    <n v="83.648300000000006"/>
    <n v="26811"/>
    <n v="-0.47960000000000003"/>
    <n v="1.4493"/>
  </r>
  <r>
    <n v="2303"/>
    <x v="0"/>
    <d v="2013-12-04T00:00:00"/>
    <x v="2"/>
    <x v="11"/>
    <n v="9.5831999999999997"/>
    <n v="9.6621000000000006"/>
    <n v="9.5437999999999992"/>
    <n v="9.5831999999999997"/>
    <n v="29087"/>
    <n v="-0.41070000000000001"/>
    <n v="1.2397"/>
  </r>
  <r>
    <n v="2330"/>
    <x v="1"/>
    <d v="2013-12-04T00:00:00"/>
    <x v="2"/>
    <x v="11"/>
    <n v="83.246200000000002"/>
    <n v="84.854799999999997"/>
    <n v="83.246200000000002"/>
    <n v="84.452699999999993"/>
    <n v="23630"/>
    <n v="0.95689999999999997"/>
    <n v="1.9323999999999999"/>
  </r>
  <r>
    <n v="2303"/>
    <x v="0"/>
    <d v="2013-12-05T00:00:00"/>
    <x v="3"/>
    <x v="11"/>
    <n v="9.6227"/>
    <n v="9.6621000000000006"/>
    <n v="9.5437999999999992"/>
    <n v="9.5437999999999992"/>
    <n v="17467"/>
    <n v="-0.41239999999999999"/>
    <n v="1.2397"/>
  </r>
  <r>
    <n v="2330"/>
    <x v="1"/>
    <d v="2013-12-05T00:00:00"/>
    <x v="3"/>
    <x v="11"/>
    <n v="84.452699999999993"/>
    <n v="84.452699999999993"/>
    <n v="83.246200000000002"/>
    <n v="83.648300000000006"/>
    <n v="25209"/>
    <n v="-0.95689999999999997"/>
    <n v="1.4493"/>
  </r>
  <r>
    <n v="2303"/>
    <x v="0"/>
    <d v="2013-12-06T00:00:00"/>
    <x v="4"/>
    <x v="11"/>
    <n v="9.5437999999999992"/>
    <n v="9.6227"/>
    <n v="9.5044000000000004"/>
    <n v="9.5437999999999992"/>
    <n v="24061"/>
    <n v="0"/>
    <n v="1.2447999999999999"/>
  </r>
  <r>
    <n v="2330"/>
    <x v="1"/>
    <d v="2013-12-06T00:00:00"/>
    <x v="4"/>
    <x v="11"/>
    <n v="82.843999999999994"/>
    <n v="84.0505"/>
    <n v="82.843999999999994"/>
    <n v="82.843999999999994"/>
    <n v="25358"/>
    <n v="-0.96619999999999995"/>
    <n v="1.4562999999999999"/>
  </r>
  <r>
    <n v="2303"/>
    <x v="0"/>
    <d v="2013-12-09T00:00:00"/>
    <x v="0"/>
    <x v="11"/>
    <n v="9.6227"/>
    <n v="9.7015999999999991"/>
    <n v="9.5831999999999997"/>
    <n v="9.6227"/>
    <n v="33981"/>
    <n v="0.82299999999999995"/>
    <n v="1.2345999999999999"/>
  </r>
  <r>
    <n v="2330"/>
    <x v="1"/>
    <d v="2013-12-09T00:00:00"/>
    <x v="0"/>
    <x v="11"/>
    <n v="83.648300000000006"/>
    <n v="84.452699999999993"/>
    <n v="83.648300000000006"/>
    <n v="84.452699999999993"/>
    <n v="23971"/>
    <n v="1.9231"/>
    <n v="0.96150000000000002"/>
  </r>
  <r>
    <n v="2303"/>
    <x v="0"/>
    <d v="2013-12-10T00:00:00"/>
    <x v="1"/>
    <x v="11"/>
    <n v="9.6621000000000006"/>
    <n v="9.7015999999999991"/>
    <n v="9.6227"/>
    <n v="9.6621000000000006"/>
    <n v="15839"/>
    <n v="0.40899999999999997"/>
    <n v="0.81969999999999998"/>
  </r>
  <r>
    <n v="2330"/>
    <x v="1"/>
    <d v="2013-12-10T00:00:00"/>
    <x v="1"/>
    <x v="11"/>
    <n v="84.0505"/>
    <n v="84.452699999999993"/>
    <n v="83.648300000000006"/>
    <n v="83.648300000000006"/>
    <n v="22935"/>
    <n v="-0.95689999999999997"/>
    <n v="0.96150000000000002"/>
  </r>
  <r>
    <n v="2303"/>
    <x v="0"/>
    <d v="2013-12-11T00:00:00"/>
    <x v="2"/>
    <x v="11"/>
    <n v="9.6621000000000006"/>
    <n v="9.7409999999999997"/>
    <n v="9.5831999999999997"/>
    <n v="9.6621000000000006"/>
    <n v="18713"/>
    <n v="0"/>
    <n v="1.6460999999999999"/>
  </r>
  <r>
    <n v="2330"/>
    <x v="1"/>
    <d v="2013-12-11T00:00:00"/>
    <x v="2"/>
    <x v="11"/>
    <n v="83.246200000000002"/>
    <n v="84.452699999999993"/>
    <n v="83.246200000000002"/>
    <n v="84.452699999999993"/>
    <n v="24614"/>
    <n v="0.95689999999999997"/>
    <n v="1.4493"/>
  </r>
  <r>
    <n v="2303"/>
    <x v="0"/>
    <d v="2013-12-12T00:00:00"/>
    <x v="3"/>
    <x v="11"/>
    <n v="9.6227"/>
    <n v="9.6621000000000006"/>
    <n v="9.5831999999999997"/>
    <n v="9.5831999999999997"/>
    <n v="12011"/>
    <n v="-0.81969999999999998"/>
    <n v="0.82299999999999995"/>
  </r>
  <r>
    <n v="2330"/>
    <x v="1"/>
    <d v="2013-12-12T00:00:00"/>
    <x v="3"/>
    <x v="11"/>
    <n v="84.0505"/>
    <n v="84.0505"/>
    <n v="82.843999999999994"/>
    <n v="82.843999999999994"/>
    <n v="18536"/>
    <n v="-1.9231"/>
    <n v="1.4562999999999999"/>
  </r>
  <r>
    <n v="2303"/>
    <x v="0"/>
    <d v="2013-12-13T00:00:00"/>
    <x v="4"/>
    <x v="11"/>
    <n v="9.6227"/>
    <n v="9.6621000000000006"/>
    <n v="9.5831999999999997"/>
    <n v="9.6227"/>
    <n v="13438"/>
    <n v="0.41070000000000001"/>
    <n v="0.82299999999999995"/>
  </r>
  <r>
    <n v="2330"/>
    <x v="1"/>
    <d v="2013-12-13T00:00:00"/>
    <x v="4"/>
    <x v="11"/>
    <n v="82.441900000000004"/>
    <n v="83.246200000000002"/>
    <n v="82.441900000000004"/>
    <n v="82.441900000000004"/>
    <n v="28297"/>
    <n v="-0.48659999999999998"/>
    <n v="0.97560000000000002"/>
  </r>
  <r>
    <n v="2303"/>
    <x v="0"/>
    <d v="2013-12-16T00:00:00"/>
    <x v="0"/>
    <x v="11"/>
    <n v="9.5831999999999997"/>
    <n v="9.6227"/>
    <n v="9.5044000000000004"/>
    <n v="9.5044000000000004"/>
    <n v="19614"/>
    <n v="-1.2371000000000001"/>
    <n v="1.2447999999999999"/>
  </r>
  <r>
    <n v="2330"/>
    <x v="1"/>
    <d v="2013-12-16T00:00:00"/>
    <x v="0"/>
    <x v="11"/>
    <n v="82.441900000000004"/>
    <n v="82.843999999999994"/>
    <n v="82.039699999999996"/>
    <n v="82.039699999999996"/>
    <n v="18772"/>
    <n v="-0.48899999999999999"/>
    <n v="0.98040000000000005"/>
  </r>
  <r>
    <n v="2303"/>
    <x v="0"/>
    <d v="2013-12-17T00:00:00"/>
    <x v="1"/>
    <x v="11"/>
    <n v="9.5831999999999997"/>
    <n v="9.5831999999999997"/>
    <n v="9.5044000000000004"/>
    <n v="9.5044000000000004"/>
    <n v="17641"/>
    <n v="0"/>
    <n v="0.82989999999999997"/>
  </r>
  <r>
    <n v="2330"/>
    <x v="1"/>
    <d v="2013-12-17T00:00:00"/>
    <x v="1"/>
    <x v="11"/>
    <n v="82.843999999999994"/>
    <n v="84.0505"/>
    <n v="82.843999999999994"/>
    <n v="83.246200000000002"/>
    <n v="26232"/>
    <n v="1.4599"/>
    <n v="1.4562999999999999"/>
  </r>
  <r>
    <n v="2303"/>
    <x v="0"/>
    <d v="2013-12-18T00:00:00"/>
    <x v="2"/>
    <x v="11"/>
    <n v="9.5437999999999992"/>
    <n v="9.5831999999999997"/>
    <n v="9.4649000000000001"/>
    <n v="9.5044000000000004"/>
    <n v="20230"/>
    <n v="0"/>
    <n v="1.25"/>
  </r>
  <r>
    <n v="2330"/>
    <x v="1"/>
    <d v="2013-12-18T00:00:00"/>
    <x v="2"/>
    <x v="11"/>
    <n v="82.441900000000004"/>
    <n v="82.843999999999994"/>
    <n v="81.235399999999998"/>
    <n v="81.235399999999998"/>
    <n v="66102"/>
    <n v="-2.4451000000000001"/>
    <n v="1.9802"/>
  </r>
  <r>
    <n v="2303"/>
    <x v="0"/>
    <d v="2013-12-19T00:00:00"/>
    <x v="3"/>
    <x v="11"/>
    <n v="9.5831999999999997"/>
    <n v="9.6227"/>
    <n v="9.5044000000000004"/>
    <n v="9.5437999999999992"/>
    <n v="20174"/>
    <n v="0.41410000000000002"/>
    <n v="1.2447999999999999"/>
  </r>
  <r>
    <n v="2330"/>
    <x v="1"/>
    <d v="2013-12-19T00:00:00"/>
    <x v="3"/>
    <x v="11"/>
    <n v="82.039699999999996"/>
    <n v="82.843999999999994"/>
    <n v="81.637600000000006"/>
    <n v="82.441900000000004"/>
    <n v="27824"/>
    <n v="1.4742"/>
    <n v="1.4778"/>
  </r>
  <r>
    <n v="2303"/>
    <x v="0"/>
    <d v="2013-12-20T00:00:00"/>
    <x v="4"/>
    <x v="11"/>
    <n v="9.5437999999999992"/>
    <n v="9.7015999999999991"/>
    <n v="9.5044000000000004"/>
    <n v="9.6621000000000006"/>
    <n v="40239"/>
    <n v="1.232"/>
    <n v="2.0747"/>
  </r>
  <r>
    <n v="2330"/>
    <x v="1"/>
    <d v="2013-12-20T00:00:00"/>
    <x v="4"/>
    <x v="11"/>
    <n v="81.637600000000006"/>
    <n v="83.246200000000002"/>
    <n v="81.637600000000006"/>
    <n v="82.039699999999996"/>
    <n v="37618"/>
    <n v="-0.48899999999999999"/>
    <n v="1.9703999999999999"/>
  </r>
  <r>
    <n v="2303"/>
    <x v="0"/>
    <d v="2013-12-23T00:00:00"/>
    <x v="0"/>
    <x v="11"/>
    <n v="9.7015999999999991"/>
    <n v="9.7804000000000002"/>
    <n v="9.6621000000000006"/>
    <n v="9.7409999999999997"/>
    <n v="44291"/>
    <n v="0.81299999999999994"/>
    <n v="1.2244999999999999"/>
  </r>
  <r>
    <n v="2330"/>
    <x v="1"/>
    <d v="2013-12-23T00:00:00"/>
    <x v="0"/>
    <x v="11"/>
    <n v="82.843999999999994"/>
    <n v="84.0505"/>
    <n v="82.843999999999994"/>
    <n v="83.648300000000006"/>
    <n v="28393"/>
    <n v="1.9418"/>
    <n v="1.4562999999999999"/>
  </r>
  <r>
    <n v="2303"/>
    <x v="0"/>
    <d v="2013-12-24T00:00:00"/>
    <x v="1"/>
    <x v="11"/>
    <n v="9.8199000000000005"/>
    <n v="9.8199000000000005"/>
    <n v="9.6621000000000006"/>
    <n v="9.6621000000000006"/>
    <n v="21986"/>
    <n v="-0.81299999999999994"/>
    <n v="1.6327"/>
  </r>
  <r>
    <n v="2330"/>
    <x v="1"/>
    <d v="2013-12-24T00:00:00"/>
    <x v="1"/>
    <x v="11"/>
    <n v="83.648300000000006"/>
    <n v="83.648300000000006"/>
    <n v="82.843999999999994"/>
    <n v="82.843999999999994"/>
    <n v="14079"/>
    <n v="-0.96619999999999995"/>
    <n v="0.97089999999999999"/>
  </r>
  <r>
    <n v="2303"/>
    <x v="0"/>
    <d v="2013-12-25T00:00:00"/>
    <x v="2"/>
    <x v="11"/>
    <n v="9.6621000000000006"/>
    <n v="9.7015999999999991"/>
    <n v="9.6227"/>
    <n v="9.6227"/>
    <n v="22041"/>
    <n v="-0.40899999999999997"/>
    <n v="0.81969999999999998"/>
  </r>
  <r>
    <n v="2330"/>
    <x v="1"/>
    <d v="2013-12-25T00:00:00"/>
    <x v="2"/>
    <x v="11"/>
    <n v="82.441900000000004"/>
    <n v="83.246200000000002"/>
    <n v="82.441900000000004"/>
    <n v="82.843999999999994"/>
    <n v="9789"/>
    <n v="0"/>
    <n v="0.97560000000000002"/>
  </r>
  <r>
    <n v="2303"/>
    <x v="0"/>
    <d v="2013-12-26T00:00:00"/>
    <x v="3"/>
    <x v="11"/>
    <n v="9.6227"/>
    <n v="9.6621000000000006"/>
    <n v="9.5831999999999997"/>
    <n v="9.6227"/>
    <n v="16455"/>
    <n v="0"/>
    <n v="0.82299999999999995"/>
  </r>
  <r>
    <n v="2330"/>
    <x v="1"/>
    <d v="2013-12-26T00:00:00"/>
    <x v="3"/>
    <x v="11"/>
    <n v="82.843999999999994"/>
    <n v="83.648300000000006"/>
    <n v="82.843999999999994"/>
    <n v="83.648300000000006"/>
    <n v="6793"/>
    <n v="0.96619999999999995"/>
    <n v="0.97089999999999999"/>
  </r>
  <r>
    <n v="2303"/>
    <x v="0"/>
    <d v="2013-12-27T00:00:00"/>
    <x v="4"/>
    <x v="11"/>
    <n v="9.6227"/>
    <n v="9.7409999999999997"/>
    <n v="9.5831999999999997"/>
    <n v="9.7015999999999991"/>
    <n v="33686"/>
    <n v="0.81630000000000003"/>
    <n v="1.6460999999999999"/>
  </r>
  <r>
    <n v="2330"/>
    <x v="1"/>
    <d v="2013-12-27T00:00:00"/>
    <x v="4"/>
    <x v="11"/>
    <n v="83.246200000000002"/>
    <n v="84.0505"/>
    <n v="82.843999999999994"/>
    <n v="84.0505"/>
    <n v="24135"/>
    <n v="0.47960000000000003"/>
    <n v="1.4562999999999999"/>
  </r>
  <r>
    <n v="2303"/>
    <x v="0"/>
    <d v="2013-12-30T00:00:00"/>
    <x v="0"/>
    <x v="11"/>
    <n v="9.7409999999999997"/>
    <n v="9.7804000000000002"/>
    <n v="9.7015999999999991"/>
    <n v="9.7804000000000002"/>
    <n v="26798"/>
    <n v="0.80969999999999998"/>
    <n v="0.81299999999999994"/>
  </r>
  <r>
    <n v="2330"/>
    <x v="1"/>
    <d v="2013-12-30T00:00:00"/>
    <x v="0"/>
    <x v="11"/>
    <n v="83.648300000000006"/>
    <n v="85.257000000000005"/>
    <n v="83.648300000000006"/>
    <n v="85.257000000000005"/>
    <n v="44280"/>
    <n v="1.4252"/>
    <n v="1.9231"/>
  </r>
  <r>
    <n v="2303"/>
    <x v="0"/>
    <d v="2013-12-31T00:00:00"/>
    <x v="1"/>
    <x v="11"/>
    <n v="9.7804000000000002"/>
    <n v="9.8199000000000005"/>
    <n v="9.7015999999999991"/>
    <n v="9.7409999999999997"/>
    <n v="29313"/>
    <n v="-0.40400000000000003"/>
    <n v="1.2195"/>
  </r>
  <r>
    <n v="2330"/>
    <x v="1"/>
    <d v="2013-12-31T00:00:00"/>
    <x v="1"/>
    <x v="11"/>
    <n v="84.854799999999997"/>
    <n v="85.257000000000005"/>
    <n v="84.452699999999993"/>
    <n v="84.854799999999997"/>
    <n v="24484"/>
    <n v="-0.4728"/>
    <n v="0.95240000000000002"/>
  </r>
  <r>
    <n v="2303"/>
    <x v="0"/>
    <d v="2014-01-02T00:00:00"/>
    <x v="3"/>
    <x v="0"/>
    <n v="9.7409999999999997"/>
    <n v="9.8199000000000005"/>
    <n v="9.7015999999999991"/>
    <n v="9.7015999999999991"/>
    <n v="31331"/>
    <n v="-0.40570000000000001"/>
    <n v="1.2195"/>
  </r>
  <r>
    <n v="2330"/>
    <x v="1"/>
    <d v="2014-01-02T00:00:00"/>
    <x v="3"/>
    <x v="0"/>
    <n v="84.452699999999993"/>
    <n v="84.854799999999997"/>
    <n v="83.246200000000002"/>
    <n v="84.0505"/>
    <n v="15133"/>
    <n v="-0.95240000000000002"/>
    <n v="1.9323999999999999"/>
  </r>
  <r>
    <n v="2303"/>
    <x v="0"/>
    <d v="2014-01-03T00:00:00"/>
    <x v="4"/>
    <x v="0"/>
    <n v="9.6621000000000006"/>
    <n v="9.7015999999999991"/>
    <n v="9.6227"/>
    <n v="9.6621000000000006"/>
    <n v="27627"/>
    <n v="-0.4073"/>
    <n v="0.81969999999999998"/>
  </r>
  <r>
    <n v="2330"/>
    <x v="1"/>
    <d v="2014-01-03T00:00:00"/>
    <x v="4"/>
    <x v="0"/>
    <n v="82.843999999999994"/>
    <n v="82.843999999999994"/>
    <n v="82.039699999999996"/>
    <n v="82.441900000000004"/>
    <n v="41160"/>
    <n v="-1.9323999999999999"/>
    <n v="0.98040000000000005"/>
  </r>
  <r>
    <n v="2303"/>
    <x v="0"/>
    <d v="2014-01-06T00:00:00"/>
    <x v="0"/>
    <x v="0"/>
    <n v="9.7409999999999997"/>
    <n v="9.9776000000000007"/>
    <n v="9.7409999999999997"/>
    <n v="9.7804000000000002"/>
    <n v="106089"/>
    <n v="1.2171000000000001"/>
    <n v="2.4291"/>
  </r>
  <r>
    <n v="2330"/>
    <x v="1"/>
    <d v="2014-01-06T00:00:00"/>
    <x v="0"/>
    <x v="0"/>
    <n v="82.039699999999996"/>
    <n v="82.843999999999994"/>
    <n v="82.039699999999996"/>
    <n v="82.441900000000004"/>
    <n v="23729"/>
    <n v="0"/>
    <n v="0.98040000000000005"/>
  </r>
  <r>
    <n v="2303"/>
    <x v="0"/>
    <d v="2014-01-07T00:00:00"/>
    <x v="1"/>
    <x v="0"/>
    <n v="9.8986999999999998"/>
    <n v="9.9776000000000007"/>
    <n v="9.8199000000000005"/>
    <n v="9.9382000000000001"/>
    <n v="78471"/>
    <n v="1.6"/>
    <n v="1.6064000000000001"/>
  </r>
  <r>
    <n v="2330"/>
    <x v="1"/>
    <d v="2014-01-07T00:00:00"/>
    <x v="1"/>
    <x v="0"/>
    <n v="82.441900000000004"/>
    <n v="82.843999999999994"/>
    <n v="82.039699999999996"/>
    <n v="82.039699999999996"/>
    <n v="18803"/>
    <n v="-0.48899999999999999"/>
    <n v="0.98040000000000005"/>
  </r>
  <r>
    <n v="2303"/>
    <x v="0"/>
    <d v="2014-01-08T00:00:00"/>
    <x v="2"/>
    <x v="0"/>
    <n v="10.016999999999999"/>
    <n v="10.293100000000001"/>
    <n v="10.016999999999999"/>
    <n v="10.2142"/>
    <n v="142462"/>
    <n v="2.7399"/>
    <n v="2.7559"/>
  </r>
  <r>
    <n v="2330"/>
    <x v="1"/>
    <d v="2014-01-08T00:00:00"/>
    <x v="2"/>
    <x v="0"/>
    <n v="82.843999999999994"/>
    <n v="84.0505"/>
    <n v="82.441900000000004"/>
    <n v="83.648300000000006"/>
    <n v="30933"/>
    <n v="1.9418"/>
    <n v="1.9512"/>
  </r>
  <r>
    <n v="2303"/>
    <x v="0"/>
    <d v="2014-01-09T00:00:00"/>
    <x v="3"/>
    <x v="0"/>
    <n v="10.2537"/>
    <n v="10.293100000000001"/>
    <n v="10.135400000000001"/>
    <n v="10.135400000000001"/>
    <n v="88394"/>
    <n v="-0.7752"/>
    <n v="1.5564"/>
  </r>
  <r>
    <n v="2330"/>
    <x v="1"/>
    <d v="2014-01-09T00:00:00"/>
    <x v="3"/>
    <x v="0"/>
    <n v="82.441900000000004"/>
    <n v="82.843999999999994"/>
    <n v="80.833299999999994"/>
    <n v="81.235399999999998"/>
    <n v="64221"/>
    <n v="-2.927"/>
    <n v="2.4876"/>
  </r>
  <r>
    <n v="2303"/>
    <x v="0"/>
    <d v="2014-01-10T00:00:00"/>
    <x v="4"/>
    <x v="0"/>
    <n v="10.135400000000001"/>
    <n v="10.174799999999999"/>
    <n v="10.0565"/>
    <n v="10.0959"/>
    <n v="40796"/>
    <n v="-0.38990000000000002"/>
    <n v="1.1765000000000001"/>
  </r>
  <r>
    <n v="2330"/>
    <x v="1"/>
    <d v="2014-01-10T00:00:00"/>
    <x v="4"/>
    <x v="0"/>
    <n v="82.039699999999996"/>
    <n v="82.441900000000004"/>
    <n v="81.637600000000006"/>
    <n v="82.039699999999996"/>
    <n v="36289"/>
    <n v="0.98519999999999996"/>
    <n v="0.98519999999999996"/>
  </r>
  <r>
    <n v="2303"/>
    <x v="0"/>
    <d v="2014-01-13T00:00:00"/>
    <x v="0"/>
    <x v="0"/>
    <n v="10.174799999999999"/>
    <n v="10.174799999999999"/>
    <n v="9.9382000000000001"/>
    <n v="9.9776000000000007"/>
    <n v="51964"/>
    <n v="-1.1788000000000001"/>
    <n v="2.3809999999999998"/>
  </r>
  <r>
    <n v="2330"/>
    <x v="1"/>
    <d v="2014-01-13T00:00:00"/>
    <x v="0"/>
    <x v="0"/>
    <n v="82.843999999999994"/>
    <n v="83.246200000000002"/>
    <n v="82.441900000000004"/>
    <n v="82.843999999999994"/>
    <n v="22080"/>
    <n v="0.97560000000000002"/>
    <n v="0.97560000000000002"/>
  </r>
  <r>
    <n v="2303"/>
    <x v="0"/>
    <d v="2014-01-14T00:00:00"/>
    <x v="1"/>
    <x v="0"/>
    <n v="9.9776000000000007"/>
    <n v="9.9776000000000007"/>
    <n v="9.8592999999999993"/>
    <n v="9.9382000000000001"/>
    <n v="41737"/>
    <n v="-0.39600000000000002"/>
    <n v="1.2"/>
  </r>
  <r>
    <n v="2330"/>
    <x v="1"/>
    <d v="2014-01-14T00:00:00"/>
    <x v="1"/>
    <x v="0"/>
    <n v="82.441900000000004"/>
    <n v="83.246200000000002"/>
    <n v="82.039699999999996"/>
    <n v="83.246200000000002"/>
    <n v="21718"/>
    <n v="0.48430000000000001"/>
    <n v="1.4705999999999999"/>
  </r>
  <r>
    <n v="2303"/>
    <x v="0"/>
    <d v="2014-01-15T00:00:00"/>
    <x v="2"/>
    <x v="0"/>
    <n v="10.016999999999999"/>
    <n v="10.135400000000001"/>
    <n v="9.9776000000000007"/>
    <n v="10.016999999999999"/>
    <n v="79150"/>
    <n v="0.79049999999999998"/>
    <n v="1.581"/>
  </r>
  <r>
    <n v="2330"/>
    <x v="1"/>
    <d v="2014-01-15T00:00:00"/>
    <x v="2"/>
    <x v="0"/>
    <n v="83.648300000000006"/>
    <n v="85.257000000000005"/>
    <n v="83.648300000000006"/>
    <n v="84.452699999999993"/>
    <n v="54458"/>
    <n v="1.4389000000000001"/>
    <n v="1.9231"/>
  </r>
  <r>
    <n v="2303"/>
    <x v="0"/>
    <d v="2014-01-16T00:00:00"/>
    <x v="3"/>
    <x v="0"/>
    <n v="10.135400000000001"/>
    <n v="10.2142"/>
    <n v="10.016999999999999"/>
    <n v="10.016999999999999"/>
    <n v="54256"/>
    <n v="0"/>
    <n v="1.9684999999999999"/>
  </r>
  <r>
    <n v="2330"/>
    <x v="1"/>
    <d v="2014-01-16T00:00:00"/>
    <x v="3"/>
    <x v="0"/>
    <n v="85.257000000000005"/>
    <n v="86.463399999999993"/>
    <n v="85.257000000000005"/>
    <n v="86.061300000000003"/>
    <n v="49601"/>
    <n v="1.8868"/>
    <n v="1.4151"/>
  </r>
  <r>
    <n v="2303"/>
    <x v="0"/>
    <d v="2014-01-17T00:00:00"/>
    <x v="4"/>
    <x v="0"/>
    <n v="10.0959"/>
    <n v="10.0959"/>
    <n v="10.016999999999999"/>
    <n v="10.0565"/>
    <n v="32492"/>
    <n v="0.39290000000000003"/>
    <n v="0.78739999999999999"/>
  </r>
  <r>
    <n v="2330"/>
    <x v="1"/>
    <d v="2014-01-17T00:00:00"/>
    <x v="4"/>
    <x v="0"/>
    <n v="86.865600000000001"/>
    <n v="87.267700000000005"/>
    <n v="86.061300000000003"/>
    <n v="86.463399999999993"/>
    <n v="55767"/>
    <n v="0.4662"/>
    <n v="1.4018999999999999"/>
  </r>
  <r>
    <n v="2303"/>
    <x v="0"/>
    <d v="2014-01-20T00:00:00"/>
    <x v="0"/>
    <x v="0"/>
    <n v="10.0565"/>
    <n v="10.0959"/>
    <n v="10.016999999999999"/>
    <n v="10.0959"/>
    <n v="23652"/>
    <n v="0.39140000000000003"/>
    <n v="0.78739999999999999"/>
  </r>
  <r>
    <n v="2330"/>
    <x v="1"/>
    <d v="2014-01-20T00:00:00"/>
    <x v="0"/>
    <x v="0"/>
    <n v="86.061300000000003"/>
    <n v="87.267700000000005"/>
    <n v="86.061300000000003"/>
    <n v="86.463399999999993"/>
    <n v="24299"/>
    <n v="0"/>
    <n v="1.4018999999999999"/>
  </r>
  <r>
    <n v="2303"/>
    <x v="0"/>
    <d v="2014-01-21T00:00:00"/>
    <x v="1"/>
    <x v="0"/>
    <n v="10.0959"/>
    <n v="10.135400000000001"/>
    <n v="10.016999999999999"/>
    <n v="10.0959"/>
    <n v="23052"/>
    <n v="0"/>
    <n v="1.1811"/>
  </r>
  <r>
    <n v="2330"/>
    <x v="1"/>
    <d v="2014-01-21T00:00:00"/>
    <x v="1"/>
    <x v="0"/>
    <n v="87.267700000000005"/>
    <n v="87.267700000000005"/>
    <n v="85.257000000000005"/>
    <n v="85.659099999999995"/>
    <n v="25121"/>
    <n v="-0.93459999999999999"/>
    <n v="2.3584999999999998"/>
  </r>
  <r>
    <n v="2303"/>
    <x v="0"/>
    <d v="2014-01-22T00:00:00"/>
    <x v="2"/>
    <x v="0"/>
    <n v="10.0565"/>
    <n v="10.0959"/>
    <n v="10.016999999999999"/>
    <n v="10.0565"/>
    <n v="19489"/>
    <n v="-0.39140000000000003"/>
    <n v="0.78739999999999999"/>
  </r>
  <r>
    <n v="2330"/>
    <x v="1"/>
    <d v="2014-01-22T00:00:00"/>
    <x v="2"/>
    <x v="0"/>
    <n v="85.257000000000005"/>
    <n v="86.463399999999993"/>
    <n v="85.257000000000005"/>
    <n v="86.463399999999993"/>
    <n v="28726"/>
    <n v="0.93459999999999999"/>
    <n v="1.4151"/>
  </r>
  <r>
    <n v="2303"/>
    <x v="0"/>
    <d v="2014-01-23T00:00:00"/>
    <x v="3"/>
    <x v="0"/>
    <n v="10.0565"/>
    <n v="10.2537"/>
    <n v="10.0565"/>
    <n v="10.135400000000001"/>
    <n v="68167"/>
    <n v="0.78129999999999999"/>
    <n v="1.9608000000000001"/>
  </r>
  <r>
    <n v="2330"/>
    <x v="1"/>
    <d v="2014-01-23T00:00:00"/>
    <x v="3"/>
    <x v="0"/>
    <n v="87.267700000000005"/>
    <n v="87.267700000000005"/>
    <n v="86.463399999999993"/>
    <n v="86.463399999999993"/>
    <n v="28308"/>
    <n v="0"/>
    <n v="0.93020000000000003"/>
  </r>
  <r>
    <n v="2303"/>
    <x v="0"/>
    <d v="2014-01-24T00:00:00"/>
    <x v="4"/>
    <x v="0"/>
    <n v="10.174799999999999"/>
    <n v="10.2537"/>
    <n v="10.0565"/>
    <n v="10.135400000000001"/>
    <n v="45855"/>
    <n v="0"/>
    <n v="1.9608000000000001"/>
  </r>
  <r>
    <n v="2330"/>
    <x v="1"/>
    <d v="2014-01-24T00:00:00"/>
    <x v="4"/>
    <x v="0"/>
    <n v="86.061300000000003"/>
    <n v="87.267700000000005"/>
    <n v="86.061300000000003"/>
    <n v="86.865600000000001"/>
    <n v="34059"/>
    <n v="0.46400000000000002"/>
    <n v="1.4018999999999999"/>
  </r>
  <r>
    <n v="2303"/>
    <x v="0"/>
    <d v="2014-01-27T00:00:00"/>
    <x v="0"/>
    <x v="0"/>
    <n v="9.9382000000000001"/>
    <n v="9.9382000000000001"/>
    <n v="9.7015999999999991"/>
    <n v="9.7409999999999997"/>
    <n v="99403"/>
    <n v="-3.9687999999999999"/>
    <n v="2.4390000000000001"/>
  </r>
  <r>
    <n v="2330"/>
    <x v="1"/>
    <d v="2014-01-27T00:00:00"/>
    <x v="0"/>
    <x v="0"/>
    <n v="85.257000000000005"/>
    <n v="85.659099999999995"/>
    <n v="83.648300000000006"/>
    <n v="84.452699999999993"/>
    <n v="65271"/>
    <n v="-2.8170999999999999"/>
    <n v="2.4037999999999999"/>
  </r>
  <r>
    <n v="2303"/>
    <x v="0"/>
    <d v="2014-02-05T00:00:00"/>
    <x v="2"/>
    <x v="1"/>
    <n v="9.5044000000000004"/>
    <n v="9.5437999999999992"/>
    <n v="9.3861000000000008"/>
    <n v="9.4649000000000001"/>
    <n v="99678"/>
    <n v="-2.8748999999999998"/>
    <n v="1.6807000000000001"/>
  </r>
  <r>
    <n v="2330"/>
    <x v="1"/>
    <d v="2014-02-05T00:00:00"/>
    <x v="2"/>
    <x v="1"/>
    <n v="82.039699999999996"/>
    <n v="82.039699999999996"/>
    <n v="80.833299999999994"/>
    <n v="80.833299999999994"/>
    <n v="147198"/>
    <n v="-4.3803000000000001"/>
    <n v="1.4924999999999999"/>
  </r>
  <r>
    <n v="2303"/>
    <x v="0"/>
    <d v="2014-02-06T00:00:00"/>
    <x v="3"/>
    <x v="1"/>
    <n v="9.4649000000000001"/>
    <n v="9.5831999999999997"/>
    <n v="9.4649000000000001"/>
    <n v="9.5044000000000004"/>
    <n v="43445"/>
    <n v="0.4158"/>
    <n v="1.25"/>
  </r>
  <r>
    <n v="2330"/>
    <x v="1"/>
    <d v="2014-02-06T00:00:00"/>
    <x v="3"/>
    <x v="1"/>
    <n v="81.235399999999998"/>
    <n v="82.843999999999994"/>
    <n v="81.235399999999998"/>
    <n v="82.039699999999996"/>
    <n v="73840"/>
    <n v="1.4815"/>
    <n v="1.9802"/>
  </r>
  <r>
    <n v="2303"/>
    <x v="0"/>
    <d v="2014-02-07T00:00:00"/>
    <x v="4"/>
    <x v="1"/>
    <n v="9.5437999999999992"/>
    <n v="9.6227"/>
    <n v="9.5437999999999992"/>
    <n v="9.5437999999999992"/>
    <n v="41897"/>
    <n v="0.41410000000000002"/>
    <n v="0.82640000000000002"/>
  </r>
  <r>
    <n v="2330"/>
    <x v="1"/>
    <d v="2014-02-07T00:00:00"/>
    <x v="4"/>
    <x v="1"/>
    <n v="83.246200000000002"/>
    <n v="84.0505"/>
    <n v="82.843999999999994"/>
    <n v="83.648300000000006"/>
    <n v="54185"/>
    <n v="1.9418"/>
    <n v="1.4562999999999999"/>
  </r>
  <r>
    <n v="2303"/>
    <x v="0"/>
    <d v="2014-02-10T00:00:00"/>
    <x v="0"/>
    <x v="1"/>
    <n v="9.5437999999999992"/>
    <n v="9.6227"/>
    <n v="9.5437999999999992"/>
    <n v="9.5437999999999992"/>
    <n v="17707"/>
    <n v="0"/>
    <n v="0.82640000000000002"/>
  </r>
  <r>
    <n v="2330"/>
    <x v="1"/>
    <d v="2014-02-10T00:00:00"/>
    <x v="0"/>
    <x v="1"/>
    <n v="83.648300000000006"/>
    <n v="84.0505"/>
    <n v="82.843999999999994"/>
    <n v="82.843999999999994"/>
    <n v="26243"/>
    <n v="-0.96619999999999995"/>
    <n v="1.4562999999999999"/>
  </r>
  <r>
    <n v="2303"/>
    <x v="0"/>
    <d v="2014-02-11T00:00:00"/>
    <x v="1"/>
    <x v="1"/>
    <n v="9.6227"/>
    <n v="9.6227"/>
    <n v="9.5437999999999992"/>
    <n v="9.5437999999999992"/>
    <n v="24572"/>
    <n v="0"/>
    <n v="0.82640000000000002"/>
  </r>
  <r>
    <n v="2330"/>
    <x v="1"/>
    <d v="2014-02-11T00:00:00"/>
    <x v="1"/>
    <x v="1"/>
    <n v="84.0505"/>
    <n v="84.452699999999993"/>
    <n v="83.648300000000006"/>
    <n v="84.0505"/>
    <n v="23523"/>
    <n v="1.4458"/>
    <n v="0.96150000000000002"/>
  </r>
  <r>
    <n v="2303"/>
    <x v="0"/>
    <d v="2014-02-12T00:00:00"/>
    <x v="2"/>
    <x v="1"/>
    <n v="9.6227"/>
    <n v="9.6621000000000006"/>
    <n v="9.5437999999999992"/>
    <n v="9.6227"/>
    <n v="34945"/>
    <n v="0.82299999999999995"/>
    <n v="1.2397"/>
  </r>
  <r>
    <n v="2330"/>
    <x v="1"/>
    <d v="2014-02-12T00:00:00"/>
    <x v="2"/>
    <x v="1"/>
    <n v="84.452699999999993"/>
    <n v="84.854799999999997"/>
    <n v="84.0505"/>
    <n v="84.452699999999993"/>
    <n v="25305"/>
    <n v="0.4773"/>
    <n v="0.95689999999999997"/>
  </r>
  <r>
    <n v="2303"/>
    <x v="0"/>
    <d v="2014-02-13T00:00:00"/>
    <x v="3"/>
    <x v="1"/>
    <n v="9.6227"/>
    <n v="9.6621000000000006"/>
    <n v="9.5831999999999997"/>
    <n v="9.6227"/>
    <n v="12234"/>
    <n v="0"/>
    <n v="0.82299999999999995"/>
  </r>
  <r>
    <n v="2330"/>
    <x v="1"/>
    <d v="2014-02-13T00:00:00"/>
    <x v="3"/>
    <x v="1"/>
    <n v="84.452699999999993"/>
    <n v="85.257000000000005"/>
    <n v="84.452699999999993"/>
    <n v="84.452699999999993"/>
    <n v="19625"/>
    <n v="0"/>
    <n v="0.95240000000000002"/>
  </r>
  <r>
    <n v="2303"/>
    <x v="0"/>
    <d v="2014-02-14T00:00:00"/>
    <x v="4"/>
    <x v="1"/>
    <n v="9.6227"/>
    <n v="9.7409999999999997"/>
    <n v="9.6227"/>
    <n v="9.7015999999999991"/>
    <n v="41646"/>
    <n v="0.81630000000000003"/>
    <n v="1.2295"/>
  </r>
  <r>
    <n v="2330"/>
    <x v="1"/>
    <d v="2014-02-14T00:00:00"/>
    <x v="4"/>
    <x v="1"/>
    <n v="85.659099999999995"/>
    <n v="86.463399999999993"/>
    <n v="85.659099999999995"/>
    <n v="86.463399999999993"/>
    <n v="42737"/>
    <n v="2.3530000000000002"/>
    <n v="0.93899999999999995"/>
  </r>
  <r>
    <n v="2303"/>
    <x v="0"/>
    <d v="2014-02-17T00:00:00"/>
    <x v="0"/>
    <x v="1"/>
    <n v="9.7409999999999997"/>
    <n v="9.7804000000000002"/>
    <n v="9.6227"/>
    <n v="9.6227"/>
    <n v="17866"/>
    <n v="-0.81630000000000003"/>
    <n v="1.6393"/>
  </r>
  <r>
    <n v="2330"/>
    <x v="1"/>
    <d v="2014-02-17T00:00:00"/>
    <x v="0"/>
    <x v="1"/>
    <n v="86.865600000000001"/>
    <n v="87.267700000000005"/>
    <n v="86.463399999999993"/>
    <n v="87.267700000000005"/>
    <n v="34368"/>
    <n v="0.92589999999999995"/>
    <n v="0.93020000000000003"/>
  </r>
  <r>
    <n v="2303"/>
    <x v="0"/>
    <d v="2014-02-18T00:00:00"/>
    <x v="1"/>
    <x v="1"/>
    <n v="9.6227"/>
    <n v="9.6621000000000006"/>
    <n v="9.5437999999999992"/>
    <n v="9.6227"/>
    <n v="26808"/>
    <n v="0"/>
    <n v="1.2397"/>
  </r>
  <r>
    <n v="2330"/>
    <x v="1"/>
    <d v="2014-02-18T00:00:00"/>
    <x v="1"/>
    <x v="1"/>
    <n v="87.267700000000005"/>
    <n v="87.267700000000005"/>
    <n v="86.463399999999993"/>
    <n v="86.865600000000001"/>
    <n v="22289"/>
    <n v="-0.46189999999999998"/>
    <n v="0.93020000000000003"/>
  </r>
  <r>
    <n v="2303"/>
    <x v="0"/>
    <d v="2014-02-19T00:00:00"/>
    <x v="2"/>
    <x v="1"/>
    <n v="9.6227"/>
    <n v="9.6621000000000006"/>
    <n v="9.5831999999999997"/>
    <n v="9.6621000000000006"/>
    <n v="12993"/>
    <n v="0.40899999999999997"/>
    <n v="0.82299999999999995"/>
  </r>
  <r>
    <n v="2330"/>
    <x v="1"/>
    <d v="2014-02-19T00:00:00"/>
    <x v="2"/>
    <x v="1"/>
    <n v="86.865600000000001"/>
    <n v="86.865600000000001"/>
    <n v="86.061300000000003"/>
    <n v="86.865600000000001"/>
    <n v="28886"/>
    <n v="0"/>
    <n v="0.93459999999999999"/>
  </r>
  <r>
    <n v="2303"/>
    <x v="0"/>
    <d v="2014-02-20T00:00:00"/>
    <x v="3"/>
    <x v="1"/>
    <n v="9.6621000000000006"/>
    <n v="9.6621000000000006"/>
    <n v="9.5831999999999997"/>
    <n v="9.6227"/>
    <n v="18913"/>
    <n v="-0.40899999999999997"/>
    <n v="0.82299999999999995"/>
  </r>
  <r>
    <n v="2330"/>
    <x v="1"/>
    <d v="2014-02-20T00:00:00"/>
    <x v="3"/>
    <x v="1"/>
    <n v="85.659099999999995"/>
    <n v="86.061300000000003"/>
    <n v="85.257000000000005"/>
    <n v="85.659099999999995"/>
    <n v="28469"/>
    <n v="-1.3986000000000001"/>
    <n v="0.94340000000000002"/>
  </r>
  <r>
    <n v="2303"/>
    <x v="0"/>
    <d v="2014-02-21T00:00:00"/>
    <x v="4"/>
    <x v="1"/>
    <n v="9.6621000000000006"/>
    <n v="9.7015999999999991"/>
    <n v="9.6227"/>
    <n v="9.7015999999999991"/>
    <n v="23784"/>
    <n v="0.81630000000000003"/>
    <n v="0.81969999999999998"/>
  </r>
  <r>
    <n v="2330"/>
    <x v="1"/>
    <d v="2014-02-21T00:00:00"/>
    <x v="4"/>
    <x v="1"/>
    <n v="86.061300000000003"/>
    <n v="86.463399999999993"/>
    <n v="86.061300000000003"/>
    <n v="86.463399999999993"/>
    <n v="31505"/>
    <n v="0.93459999999999999"/>
    <n v="0.46729999999999999"/>
  </r>
  <r>
    <n v="2303"/>
    <x v="0"/>
    <d v="2014-02-24T00:00:00"/>
    <x v="0"/>
    <x v="1"/>
    <n v="9.7015999999999991"/>
    <n v="9.7409999999999997"/>
    <n v="9.6227"/>
    <n v="9.6621000000000006"/>
    <n v="20860"/>
    <n v="-0.4073"/>
    <n v="1.2295"/>
  </r>
  <r>
    <n v="2330"/>
    <x v="1"/>
    <d v="2014-02-24T00:00:00"/>
    <x v="0"/>
    <x v="1"/>
    <n v="86.463399999999993"/>
    <n v="86.865600000000001"/>
    <n v="85.257000000000005"/>
    <n v="86.061300000000003"/>
    <n v="32057"/>
    <n v="-0.4662"/>
    <n v="1.8868"/>
  </r>
  <r>
    <n v="2303"/>
    <x v="0"/>
    <d v="2014-02-25T00:00:00"/>
    <x v="1"/>
    <x v="1"/>
    <n v="9.6621000000000006"/>
    <n v="9.7015999999999991"/>
    <n v="9.6227"/>
    <n v="9.6621000000000006"/>
    <n v="20152"/>
    <n v="0"/>
    <n v="0.81969999999999998"/>
  </r>
  <r>
    <n v="2330"/>
    <x v="1"/>
    <d v="2014-02-25T00:00:00"/>
    <x v="1"/>
    <x v="1"/>
    <n v="86.463399999999993"/>
    <n v="86.865600000000001"/>
    <n v="85.659099999999995"/>
    <n v="86.865600000000001"/>
    <n v="34350"/>
    <n v="0.93020000000000003"/>
    <n v="1.4085000000000001"/>
  </r>
  <r>
    <n v="2303"/>
    <x v="0"/>
    <d v="2014-02-26T00:00:00"/>
    <x v="2"/>
    <x v="1"/>
    <n v="9.7015999999999991"/>
    <n v="9.8986999999999998"/>
    <n v="9.6621000000000006"/>
    <n v="9.7409999999999997"/>
    <n v="62660"/>
    <n v="0.81299999999999994"/>
    <n v="2.4489999999999998"/>
  </r>
  <r>
    <n v="2330"/>
    <x v="1"/>
    <d v="2014-02-26T00:00:00"/>
    <x v="2"/>
    <x v="1"/>
    <n v="86.463399999999993"/>
    <n v="86.865600000000001"/>
    <n v="86.061300000000003"/>
    <n v="86.463399999999993"/>
    <n v="34982"/>
    <n v="-0.46400000000000002"/>
    <n v="0.93459999999999999"/>
  </r>
  <r>
    <n v="2303"/>
    <x v="0"/>
    <d v="2014-02-27T00:00:00"/>
    <x v="3"/>
    <x v="1"/>
    <n v="9.8199000000000005"/>
    <n v="9.8592999999999993"/>
    <n v="9.7015999999999991"/>
    <n v="9.7015999999999991"/>
    <n v="28507"/>
    <n v="-0.40570000000000001"/>
    <n v="1.6259999999999999"/>
  </r>
  <r>
    <n v="2330"/>
    <x v="1"/>
    <d v="2014-02-27T00:00:00"/>
    <x v="3"/>
    <x v="1"/>
    <n v="86.463399999999993"/>
    <n v="86.865600000000001"/>
    <n v="86.463399999999993"/>
    <n v="86.865600000000001"/>
    <n v="49352"/>
    <n v="0.46400000000000002"/>
    <n v="0.46510000000000001"/>
  </r>
  <r>
    <n v="2303"/>
    <x v="0"/>
    <d v="2014-03-03T00:00:00"/>
    <x v="0"/>
    <x v="2"/>
    <n v="9.7409999999999997"/>
    <n v="9.9776000000000007"/>
    <n v="9.7409999999999997"/>
    <n v="9.8592999999999993"/>
    <n v="100105"/>
    <n v="1.6129"/>
    <n v="2.4291"/>
  </r>
  <r>
    <n v="2330"/>
    <x v="1"/>
    <d v="2014-03-03T00:00:00"/>
    <x v="0"/>
    <x v="2"/>
    <n v="86.865600000000001"/>
    <n v="86.865600000000001"/>
    <n v="85.659099999999995"/>
    <n v="86.865600000000001"/>
    <n v="62467"/>
    <n v="0"/>
    <n v="1.4085000000000001"/>
  </r>
  <r>
    <n v="2303"/>
    <x v="0"/>
    <d v="2014-03-04T00:00:00"/>
    <x v="1"/>
    <x v="2"/>
    <n v="9.8592999999999993"/>
    <n v="9.9382000000000001"/>
    <n v="9.7409999999999997"/>
    <n v="9.7804000000000002"/>
    <n v="39180"/>
    <n v="-0.80320000000000003"/>
    <n v="2.0243000000000002"/>
  </r>
  <r>
    <n v="2330"/>
    <x v="1"/>
    <d v="2014-03-04T00:00:00"/>
    <x v="1"/>
    <x v="2"/>
    <n v="86.865600000000001"/>
    <n v="86.865600000000001"/>
    <n v="86.463399999999993"/>
    <n v="86.463399999999993"/>
    <n v="48939"/>
    <n v="-0.46400000000000002"/>
    <n v="0.46510000000000001"/>
  </r>
  <r>
    <n v="2303"/>
    <x v="0"/>
    <d v="2014-03-05T00:00:00"/>
    <x v="2"/>
    <x v="2"/>
    <n v="9.8592999999999993"/>
    <n v="9.9382000000000001"/>
    <n v="9.8199000000000005"/>
    <n v="9.8199000000000005"/>
    <n v="33560"/>
    <n v="0.40239999999999998"/>
    <n v="1.2048000000000001"/>
  </r>
  <r>
    <n v="2330"/>
    <x v="1"/>
    <d v="2014-03-05T00:00:00"/>
    <x v="2"/>
    <x v="2"/>
    <n v="87.267700000000005"/>
    <n v="88.474199999999996"/>
    <n v="87.267700000000005"/>
    <n v="88.474199999999996"/>
    <n v="55447"/>
    <n v="2.2989999999999999"/>
    <n v="1.3825000000000001"/>
  </r>
  <r>
    <n v="2303"/>
    <x v="0"/>
    <d v="2014-03-06T00:00:00"/>
    <x v="3"/>
    <x v="2"/>
    <n v="9.8592999999999993"/>
    <n v="10.0959"/>
    <n v="9.8592999999999993"/>
    <n v="10.016999999999999"/>
    <n v="73696"/>
    <n v="1.9881"/>
    <n v="2.4"/>
  </r>
  <r>
    <n v="2330"/>
    <x v="1"/>
    <d v="2014-03-06T00:00:00"/>
    <x v="3"/>
    <x v="2"/>
    <n v="88.474199999999996"/>
    <n v="91.289299999999997"/>
    <n v="88.474199999999996"/>
    <n v="90.887100000000004"/>
    <n v="72622"/>
    <n v="2.6907000000000001"/>
    <n v="3.1818"/>
  </r>
  <r>
    <n v="2303"/>
    <x v="0"/>
    <d v="2014-03-07T00:00:00"/>
    <x v="4"/>
    <x v="2"/>
    <n v="10.0959"/>
    <n v="10.135400000000001"/>
    <n v="9.9382000000000001"/>
    <n v="9.9776000000000007"/>
    <n v="73753"/>
    <n v="-0.39450000000000002"/>
    <n v="1.9841"/>
  </r>
  <r>
    <n v="2330"/>
    <x v="1"/>
    <d v="2014-03-07T00:00:00"/>
    <x v="4"/>
    <x v="2"/>
    <n v="91.691500000000005"/>
    <n v="92.495800000000003"/>
    <n v="91.289299999999997"/>
    <n v="92.093599999999995"/>
    <n v="66916"/>
    <n v="1.3187"/>
    <n v="1.3216000000000001"/>
  </r>
  <r>
    <n v="2303"/>
    <x v="0"/>
    <d v="2014-03-10T00:00:00"/>
    <x v="0"/>
    <x v="2"/>
    <n v="10.016999999999999"/>
    <n v="10.016999999999999"/>
    <n v="9.8199000000000005"/>
    <n v="9.8592999999999993"/>
    <n v="45844"/>
    <n v="-1.1929000000000001"/>
    <n v="2.008"/>
  </r>
  <r>
    <n v="2330"/>
    <x v="1"/>
    <d v="2014-03-10T00:00:00"/>
    <x v="0"/>
    <x v="2"/>
    <n v="92.093599999999995"/>
    <n v="92.093599999999995"/>
    <n v="90.484999999999999"/>
    <n v="90.887100000000004"/>
    <n v="38430"/>
    <n v="-1.3187"/>
    <n v="1.7778"/>
  </r>
  <r>
    <n v="2303"/>
    <x v="0"/>
    <d v="2014-03-11T00:00:00"/>
    <x v="1"/>
    <x v="2"/>
    <n v="9.9382000000000001"/>
    <n v="10.0959"/>
    <n v="9.8592999999999993"/>
    <n v="10.0565"/>
    <n v="58521"/>
    <n v="1.9802999999999999"/>
    <n v="2.4"/>
  </r>
  <r>
    <n v="2330"/>
    <x v="1"/>
    <d v="2014-03-11T00:00:00"/>
    <x v="1"/>
    <x v="2"/>
    <n v="91.289299999999997"/>
    <n v="92.093599999999995"/>
    <n v="91.289299999999997"/>
    <n v="91.691500000000005"/>
    <n v="29182"/>
    <n v="0.88109999999999999"/>
    <n v="0.88109999999999999"/>
  </r>
  <r>
    <n v="2303"/>
    <x v="0"/>
    <d v="2014-03-12T00:00:00"/>
    <x v="2"/>
    <x v="2"/>
    <n v="10.016999999999999"/>
    <n v="10.174799999999999"/>
    <n v="9.9776000000000007"/>
    <n v="10.174799999999999"/>
    <n v="63535"/>
    <n v="1.1696"/>
    <n v="1.9762999999999999"/>
  </r>
  <r>
    <n v="2330"/>
    <x v="1"/>
    <d v="2014-03-12T00:00:00"/>
    <x v="2"/>
    <x v="2"/>
    <n v="90.484999999999999"/>
    <n v="90.887100000000004"/>
    <n v="90.082800000000006"/>
    <n v="90.887100000000004"/>
    <n v="18414"/>
    <n v="-0.88109999999999999"/>
    <n v="0.89290000000000003"/>
  </r>
  <r>
    <n v="2303"/>
    <x v="0"/>
    <d v="2014-03-13T00:00:00"/>
    <x v="3"/>
    <x v="2"/>
    <n v="10.2142"/>
    <n v="10.4114"/>
    <n v="10.2142"/>
    <n v="10.293100000000001"/>
    <n v="184285"/>
    <n v="1.1560999999999999"/>
    <n v="1.9305000000000001"/>
  </r>
  <r>
    <n v="2330"/>
    <x v="1"/>
    <d v="2014-03-13T00:00:00"/>
    <x v="3"/>
    <x v="2"/>
    <n v="93.702200000000005"/>
    <n v="94.506500000000003"/>
    <n v="92.897900000000007"/>
    <n v="93.702200000000005"/>
    <n v="59080"/>
    <n v="3.0503"/>
    <n v="1.7316"/>
  </r>
  <r>
    <n v="2303"/>
    <x v="0"/>
    <d v="2014-03-14T00:00:00"/>
    <x v="4"/>
    <x v="2"/>
    <n v="10.2142"/>
    <n v="10.2537"/>
    <n v="10.0959"/>
    <n v="10.174799999999999"/>
    <n v="66056"/>
    <n v="-1.1560999999999999"/>
    <n v="1.5625"/>
  </r>
  <r>
    <n v="2330"/>
    <x v="1"/>
    <d v="2014-03-14T00:00:00"/>
    <x v="4"/>
    <x v="2"/>
    <n v="92.495800000000003"/>
    <n v="92.897900000000007"/>
    <n v="91.691500000000005"/>
    <n v="92.495800000000003"/>
    <n v="47105"/>
    <n v="-1.2959000000000001"/>
    <n v="1.3158000000000001"/>
  </r>
  <r>
    <n v="2303"/>
    <x v="0"/>
    <d v="2014-03-17T00:00:00"/>
    <x v="0"/>
    <x v="2"/>
    <n v="10.2142"/>
    <n v="10.293100000000001"/>
    <n v="10.174799999999999"/>
    <n v="10.2142"/>
    <n v="44783"/>
    <n v="0.38679999999999998"/>
    <n v="1.1628000000000001"/>
  </r>
  <r>
    <n v="2330"/>
    <x v="1"/>
    <d v="2014-03-17T00:00:00"/>
    <x v="0"/>
    <x v="2"/>
    <n v="92.093599999999995"/>
    <n v="92.495800000000003"/>
    <n v="90.887100000000004"/>
    <n v="91.691500000000005"/>
    <n v="33910"/>
    <n v="-0.87339999999999995"/>
    <n v="1.7699"/>
  </r>
  <r>
    <n v="2303"/>
    <x v="0"/>
    <d v="2014-03-18T00:00:00"/>
    <x v="1"/>
    <x v="2"/>
    <n v="10.293100000000001"/>
    <n v="10.3325"/>
    <n v="10.2142"/>
    <n v="10.293100000000001"/>
    <n v="57102"/>
    <n v="0.76919999999999999"/>
    <n v="1.1583000000000001"/>
  </r>
  <r>
    <n v="2330"/>
    <x v="1"/>
    <d v="2014-03-18T00:00:00"/>
    <x v="1"/>
    <x v="2"/>
    <n v="92.093599999999995"/>
    <n v="92.495800000000003"/>
    <n v="91.289299999999997"/>
    <n v="92.093599999999995"/>
    <n v="37517"/>
    <n v="0.43759999999999999"/>
    <n v="1.3216000000000001"/>
  </r>
  <r>
    <n v="2303"/>
    <x v="0"/>
    <d v="2014-03-19T00:00:00"/>
    <x v="2"/>
    <x v="2"/>
    <n v="10.293100000000001"/>
    <n v="10.293100000000001"/>
    <n v="10.135400000000001"/>
    <n v="10.135400000000001"/>
    <n v="50755"/>
    <n v="-1.5444"/>
    <n v="1.5564"/>
  </r>
  <r>
    <n v="2330"/>
    <x v="1"/>
    <d v="2014-03-19T00:00:00"/>
    <x v="2"/>
    <x v="2"/>
    <n v="92.093599999999995"/>
    <n v="92.495800000000003"/>
    <n v="91.289299999999997"/>
    <n v="92.093599999999995"/>
    <n v="35237"/>
    <n v="0"/>
    <n v="1.3216000000000001"/>
  </r>
  <r>
    <n v="2303"/>
    <x v="0"/>
    <d v="2014-03-20T00:00:00"/>
    <x v="3"/>
    <x v="2"/>
    <n v="10.0565"/>
    <n v="10.0565"/>
    <n v="9.9776000000000007"/>
    <n v="9.9776000000000007"/>
    <n v="50532"/>
    <n v="-1.5687"/>
    <n v="0.79049999999999998"/>
  </r>
  <r>
    <n v="2330"/>
    <x v="1"/>
    <d v="2014-03-20T00:00:00"/>
    <x v="3"/>
    <x v="2"/>
    <n v="90.887100000000004"/>
    <n v="91.289299999999997"/>
    <n v="90.082800000000006"/>
    <n v="90.082800000000006"/>
    <n v="46512"/>
    <n v="-2.2075999999999998"/>
    <n v="1.3392999999999999"/>
  </r>
  <r>
    <n v="2303"/>
    <x v="0"/>
    <d v="2014-03-21T00:00:00"/>
    <x v="4"/>
    <x v="2"/>
    <n v="10.016999999999999"/>
    <n v="10.0565"/>
    <n v="9.8592999999999993"/>
    <n v="9.8592999999999993"/>
    <n v="49795"/>
    <n v="-1.1929000000000001"/>
    <n v="2"/>
  </r>
  <r>
    <n v="2330"/>
    <x v="1"/>
    <d v="2014-03-21T00:00:00"/>
    <x v="4"/>
    <x v="2"/>
    <n v="91.691500000000005"/>
    <n v="91.691500000000005"/>
    <n v="90.082800000000006"/>
    <n v="90.484999999999999"/>
    <n v="60438"/>
    <n v="0.44540000000000002"/>
    <n v="1.7857000000000001"/>
  </r>
  <r>
    <n v="2303"/>
    <x v="0"/>
    <d v="2014-03-24T00:00:00"/>
    <x v="0"/>
    <x v="2"/>
    <n v="9.8592999999999993"/>
    <n v="9.9776000000000007"/>
    <n v="9.8199000000000005"/>
    <n v="9.9776000000000007"/>
    <n v="26421"/>
    <n v="1.1929000000000001"/>
    <n v="1.6064000000000001"/>
  </r>
  <r>
    <n v="2330"/>
    <x v="1"/>
    <d v="2014-03-24T00:00:00"/>
    <x v="0"/>
    <x v="2"/>
    <n v="89.680700000000002"/>
    <n v="90.484999999999999"/>
    <n v="89.680700000000002"/>
    <n v="90.484999999999999"/>
    <n v="29607"/>
    <n v="0"/>
    <n v="0.89690000000000003"/>
  </r>
  <r>
    <n v="2303"/>
    <x v="0"/>
    <d v="2014-03-25T00:00:00"/>
    <x v="1"/>
    <x v="2"/>
    <n v="9.9382000000000001"/>
    <n v="10.0565"/>
    <n v="9.8986999999999998"/>
    <n v="10.016999999999999"/>
    <n v="23039"/>
    <n v="0.39450000000000002"/>
    <n v="1.5935999999999999"/>
  </r>
  <r>
    <n v="2330"/>
    <x v="1"/>
    <d v="2014-03-25T00:00:00"/>
    <x v="1"/>
    <x v="2"/>
    <n v="89.680700000000002"/>
    <n v="91.289299999999997"/>
    <n v="89.680700000000002"/>
    <n v="91.289299999999997"/>
    <n v="38070"/>
    <n v="0.88500000000000001"/>
    <n v="1.7937000000000001"/>
  </r>
  <r>
    <n v="2303"/>
    <x v="0"/>
    <d v="2014-03-26T00:00:00"/>
    <x v="2"/>
    <x v="2"/>
    <n v="10.0959"/>
    <n v="10.2142"/>
    <n v="10.0565"/>
    <n v="10.174799999999999"/>
    <n v="50793"/>
    <n v="1.5625"/>
    <n v="1.5686"/>
  </r>
  <r>
    <n v="2330"/>
    <x v="1"/>
    <d v="2014-03-26T00:00:00"/>
    <x v="2"/>
    <x v="2"/>
    <n v="92.897900000000007"/>
    <n v="93.3001"/>
    <n v="92.093599999999995"/>
    <n v="92.897900000000007"/>
    <n v="45234"/>
    <n v="1.7467999999999999"/>
    <n v="1.31"/>
  </r>
  <r>
    <n v="2303"/>
    <x v="0"/>
    <d v="2014-03-27T00:00:00"/>
    <x v="3"/>
    <x v="2"/>
    <n v="10.2142"/>
    <n v="10.2537"/>
    <n v="10.135400000000001"/>
    <n v="10.174799999999999"/>
    <n v="38463"/>
    <n v="0"/>
    <n v="1.1673"/>
  </r>
  <r>
    <n v="2330"/>
    <x v="1"/>
    <d v="2014-03-27T00:00:00"/>
    <x v="3"/>
    <x v="2"/>
    <n v="92.093599999999995"/>
    <n v="93.3001"/>
    <n v="91.691500000000005"/>
    <n v="93.3001"/>
    <n v="31399"/>
    <n v="0.432"/>
    <n v="1.7544"/>
  </r>
  <r>
    <n v="2303"/>
    <x v="0"/>
    <d v="2014-03-28T00:00:00"/>
    <x v="4"/>
    <x v="2"/>
    <n v="10.174799999999999"/>
    <n v="10.3325"/>
    <n v="10.135400000000001"/>
    <n v="10.174799999999999"/>
    <n v="56426"/>
    <n v="0"/>
    <n v="1.9455"/>
  </r>
  <r>
    <n v="2330"/>
    <x v="1"/>
    <d v="2014-03-28T00:00:00"/>
    <x v="4"/>
    <x v="2"/>
    <n v="93.3001"/>
    <n v="94.506500000000003"/>
    <n v="92.897900000000007"/>
    <n v="94.506500000000003"/>
    <n v="43794"/>
    <n v="1.2847999999999999"/>
    <n v="1.7316"/>
  </r>
  <r>
    <n v="2303"/>
    <x v="0"/>
    <d v="2014-03-31T00:00:00"/>
    <x v="0"/>
    <x v="2"/>
    <n v="10.2142"/>
    <n v="10.2537"/>
    <n v="10.0959"/>
    <n v="10.135400000000001"/>
    <n v="41750"/>
    <n v="-0.38840000000000002"/>
    <n v="1.5625"/>
  </r>
  <r>
    <n v="2330"/>
    <x v="1"/>
    <d v="2014-03-31T00:00:00"/>
    <x v="0"/>
    <x v="2"/>
    <n v="94.908699999999996"/>
    <n v="95.310900000000004"/>
    <n v="93.702200000000005"/>
    <n v="95.310900000000004"/>
    <n v="47146"/>
    <n v="0.84750000000000003"/>
    <n v="1.7166999999999999"/>
  </r>
  <r>
    <n v="2303"/>
    <x v="0"/>
    <d v="2014-04-01T00:00:00"/>
    <x v="1"/>
    <x v="3"/>
    <n v="10.135400000000001"/>
    <n v="10.2537"/>
    <n v="10.0959"/>
    <n v="10.2537"/>
    <n v="34763"/>
    <n v="1.1606000000000001"/>
    <n v="1.5625"/>
  </r>
  <r>
    <n v="2330"/>
    <x v="1"/>
    <d v="2014-04-01T00:00:00"/>
    <x v="1"/>
    <x v="3"/>
    <n v="95.712999999999994"/>
    <n v="96.115200000000002"/>
    <n v="95.310900000000004"/>
    <n v="96.115200000000002"/>
    <n v="40636"/>
    <n v="0.84030000000000005"/>
    <n v="0.84389999999999998"/>
  </r>
  <r>
    <n v="2303"/>
    <x v="0"/>
    <d v="2014-04-02T00:00:00"/>
    <x v="2"/>
    <x v="3"/>
    <n v="10.2537"/>
    <n v="10.293100000000001"/>
    <n v="10.174799999999999"/>
    <n v="10.174799999999999"/>
    <n v="49091"/>
    <n v="-0.7722"/>
    <n v="1.1628000000000001"/>
  </r>
  <r>
    <n v="2330"/>
    <x v="1"/>
    <d v="2014-04-02T00:00:00"/>
    <x v="2"/>
    <x v="3"/>
    <n v="96.919499999999999"/>
    <n v="97.321600000000004"/>
    <n v="95.712999999999994"/>
    <n v="96.517300000000006"/>
    <n v="43684"/>
    <n v="0.41749999999999998"/>
    <n v="1.6807000000000001"/>
  </r>
  <r>
    <n v="2303"/>
    <x v="0"/>
    <d v="2014-04-03T00:00:00"/>
    <x v="3"/>
    <x v="3"/>
    <n v="10.174799999999999"/>
    <n v="10.293100000000001"/>
    <n v="10.174799999999999"/>
    <n v="10.293100000000001"/>
    <n v="42502"/>
    <n v="1.1560999999999999"/>
    <n v="1.1628000000000001"/>
  </r>
  <r>
    <n v="2330"/>
    <x v="1"/>
    <d v="2014-04-03T00:00:00"/>
    <x v="3"/>
    <x v="3"/>
    <n v="95.310900000000004"/>
    <n v="95.712999999999994"/>
    <n v="94.506500000000003"/>
    <n v="95.310900000000004"/>
    <n v="37000"/>
    <n v="-1.2579"/>
    <n v="1.2766"/>
  </r>
  <r>
    <n v="2303"/>
    <x v="0"/>
    <d v="2014-04-07T00:00:00"/>
    <x v="0"/>
    <x v="3"/>
    <n v="10.2142"/>
    <n v="10.293100000000001"/>
    <n v="10.174799999999999"/>
    <n v="10.2142"/>
    <n v="41666"/>
    <n v="-0.76919999999999999"/>
    <n v="1.1628000000000001"/>
  </r>
  <r>
    <n v="2330"/>
    <x v="1"/>
    <d v="2014-04-07T00:00:00"/>
    <x v="0"/>
    <x v="3"/>
    <n v="94.506500000000003"/>
    <n v="94.908699999999996"/>
    <n v="93.702200000000005"/>
    <n v="94.506500000000003"/>
    <n v="45254"/>
    <n v="-0.84750000000000003"/>
    <n v="1.2876000000000001"/>
  </r>
  <r>
    <n v="2303"/>
    <x v="0"/>
    <d v="2014-04-08T00:00:00"/>
    <x v="1"/>
    <x v="3"/>
    <n v="10.174799999999999"/>
    <n v="10.3325"/>
    <n v="10.174799999999999"/>
    <n v="10.293100000000001"/>
    <n v="34321"/>
    <n v="0.76919999999999999"/>
    <n v="1.5504"/>
  </r>
  <r>
    <n v="2330"/>
    <x v="1"/>
    <d v="2014-04-08T00:00:00"/>
    <x v="1"/>
    <x v="3"/>
    <n v="94.104399999999998"/>
    <n v="96.115200000000002"/>
    <n v="94.104399999999998"/>
    <n v="95.712999999999994"/>
    <n v="43894"/>
    <n v="1.2685"/>
    <n v="2.1368"/>
  </r>
  <r>
    <n v="2303"/>
    <x v="0"/>
    <d v="2014-04-09T00:00:00"/>
    <x v="2"/>
    <x v="3"/>
    <n v="10.3325"/>
    <n v="10.3325"/>
    <n v="10.2142"/>
    <n v="10.3325"/>
    <n v="47439"/>
    <n v="0.38240000000000002"/>
    <n v="1.1583000000000001"/>
  </r>
  <r>
    <n v="2330"/>
    <x v="1"/>
    <d v="2014-04-09T00:00:00"/>
    <x v="2"/>
    <x v="3"/>
    <n v="96.115200000000002"/>
    <n v="96.517300000000006"/>
    <n v="95.712999999999994"/>
    <n v="95.712999999999994"/>
    <n v="29648"/>
    <n v="0"/>
    <n v="0.84030000000000005"/>
  </r>
  <r>
    <n v="2303"/>
    <x v="0"/>
    <d v="2014-04-10T00:00:00"/>
    <x v="3"/>
    <x v="3"/>
    <n v="10.4114"/>
    <n v="10.5692"/>
    <n v="10.3325"/>
    <n v="10.4114"/>
    <n v="80959"/>
    <n v="0.76049999999999995"/>
    <n v="2.2900999999999998"/>
  </r>
  <r>
    <n v="2330"/>
    <x v="1"/>
    <d v="2014-04-10T00:00:00"/>
    <x v="3"/>
    <x v="3"/>
    <n v="95.712999999999994"/>
    <n v="96.115200000000002"/>
    <n v="95.310900000000004"/>
    <n v="96.115200000000002"/>
    <n v="27215"/>
    <n v="0.41930000000000001"/>
    <n v="0.84389999999999998"/>
  </r>
  <r>
    <n v="2303"/>
    <x v="0"/>
    <d v="2014-04-11T00:00:00"/>
    <x v="4"/>
    <x v="3"/>
    <n v="10.3325"/>
    <n v="10.372"/>
    <n v="10.2537"/>
    <n v="10.3325"/>
    <n v="32694"/>
    <n v="-0.76049999999999995"/>
    <n v="1.1537999999999999"/>
  </r>
  <r>
    <n v="2330"/>
    <x v="1"/>
    <d v="2014-04-11T00:00:00"/>
    <x v="4"/>
    <x v="3"/>
    <n v="95.310900000000004"/>
    <n v="96.517300000000006"/>
    <n v="94.908699999999996"/>
    <n v="96.517300000000006"/>
    <n v="34847"/>
    <n v="0.41749999999999998"/>
    <n v="1.6949000000000001"/>
  </r>
  <r>
    <n v="2303"/>
    <x v="0"/>
    <d v="2014-04-14T00:00:00"/>
    <x v="0"/>
    <x v="3"/>
    <n v="10.293100000000001"/>
    <n v="10.293100000000001"/>
    <n v="10.174799999999999"/>
    <n v="10.2142"/>
    <n v="20823"/>
    <n v="-1.1516"/>
    <n v="1.1628000000000001"/>
  </r>
  <r>
    <n v="2330"/>
    <x v="1"/>
    <d v="2014-04-14T00:00:00"/>
    <x v="0"/>
    <x v="3"/>
    <n v="96.517300000000006"/>
    <n v="97.321600000000004"/>
    <n v="96.517300000000006"/>
    <n v="96.919499999999999"/>
    <n v="31053"/>
    <n v="0.4158"/>
    <n v="0.83330000000000004"/>
  </r>
  <r>
    <n v="2303"/>
    <x v="0"/>
    <d v="2014-04-15T00:00:00"/>
    <x v="1"/>
    <x v="3"/>
    <n v="10.2537"/>
    <n v="10.2537"/>
    <n v="10.135400000000001"/>
    <n v="10.2142"/>
    <n v="28929"/>
    <n v="0"/>
    <n v="1.1673"/>
  </r>
  <r>
    <n v="2330"/>
    <x v="1"/>
    <d v="2014-04-15T00:00:00"/>
    <x v="1"/>
    <x v="3"/>
    <n v="97.723799999999997"/>
    <n v="98.528099999999995"/>
    <n v="97.321600000000004"/>
    <n v="98.528099999999995"/>
    <n v="29397"/>
    <n v="1.6460999999999999"/>
    <n v="1.2397"/>
  </r>
  <r>
    <n v="2303"/>
    <x v="0"/>
    <d v="2014-04-16T00:00:00"/>
    <x v="2"/>
    <x v="3"/>
    <n v="10.2537"/>
    <n v="10.2537"/>
    <n v="10.135400000000001"/>
    <n v="10.135400000000001"/>
    <n v="35521"/>
    <n v="-0.7752"/>
    <n v="1.1673"/>
  </r>
  <r>
    <n v="2330"/>
    <x v="1"/>
    <d v="2014-04-16T00:00:00"/>
    <x v="2"/>
    <x v="3"/>
    <n v="97.723799999999997"/>
    <n v="98.528099999999995"/>
    <n v="97.321600000000004"/>
    <n v="97.321600000000004"/>
    <n v="51075"/>
    <n v="-1.232"/>
    <n v="1.2397"/>
  </r>
  <r>
    <n v="2303"/>
    <x v="0"/>
    <d v="2014-04-17T00:00:00"/>
    <x v="3"/>
    <x v="3"/>
    <n v="10.2142"/>
    <n v="10.2142"/>
    <n v="10.135400000000001"/>
    <n v="10.135400000000001"/>
    <n v="27898"/>
    <n v="0"/>
    <n v="0.7782"/>
  </r>
  <r>
    <n v="2330"/>
    <x v="1"/>
    <d v="2014-04-17T00:00:00"/>
    <x v="3"/>
    <x v="3"/>
    <n v="96.919499999999999"/>
    <n v="97.723799999999997"/>
    <n v="95.712999999999994"/>
    <n v="96.517300000000006"/>
    <n v="36418"/>
    <n v="-0.82989999999999997"/>
    <n v="2.1008"/>
  </r>
  <r>
    <n v="2303"/>
    <x v="0"/>
    <d v="2014-04-18T00:00:00"/>
    <x v="4"/>
    <x v="3"/>
    <n v="10.2142"/>
    <n v="10.2537"/>
    <n v="10.135400000000001"/>
    <n v="10.2142"/>
    <n v="18180"/>
    <n v="0.7752"/>
    <n v="1.1673"/>
  </r>
  <r>
    <n v="2330"/>
    <x v="1"/>
    <d v="2014-04-18T00:00:00"/>
    <x v="4"/>
    <x v="3"/>
    <n v="98.528099999999995"/>
    <n v="98.930300000000003"/>
    <n v="97.321600000000004"/>
    <n v="98.930300000000003"/>
    <n v="32921"/>
    <n v="2.4693000000000001"/>
    <n v="1.6529"/>
  </r>
  <r>
    <n v="2303"/>
    <x v="0"/>
    <d v="2014-04-21T00:00:00"/>
    <x v="0"/>
    <x v="3"/>
    <n v="10.2142"/>
    <n v="10.2537"/>
    <n v="10.135400000000001"/>
    <n v="10.174799999999999"/>
    <n v="15966"/>
    <n v="-0.38679999999999998"/>
    <n v="1.1673"/>
  </r>
  <r>
    <n v="2330"/>
    <x v="1"/>
    <d v="2014-04-21T00:00:00"/>
    <x v="0"/>
    <x v="3"/>
    <n v="98.125900000000001"/>
    <n v="98.125900000000001"/>
    <n v="97.321600000000004"/>
    <n v="97.723799999999997"/>
    <n v="24162"/>
    <n v="-1.2270000000000001"/>
    <n v="0.82640000000000002"/>
  </r>
  <r>
    <n v="2303"/>
    <x v="0"/>
    <d v="2014-04-22T00:00:00"/>
    <x v="1"/>
    <x v="3"/>
    <n v="10.2142"/>
    <n v="10.2537"/>
    <n v="10.135400000000001"/>
    <n v="10.135400000000001"/>
    <n v="31960"/>
    <n v="-0.38840000000000002"/>
    <n v="1.1673"/>
  </r>
  <r>
    <n v="2330"/>
    <x v="1"/>
    <d v="2014-04-22T00:00:00"/>
    <x v="1"/>
    <x v="3"/>
    <n v="97.321600000000004"/>
    <n v="98.528099999999995"/>
    <n v="96.919499999999999"/>
    <n v="97.723799999999997"/>
    <n v="27034"/>
    <n v="0"/>
    <n v="1.6597999999999999"/>
  </r>
  <r>
    <n v="2303"/>
    <x v="0"/>
    <d v="2014-04-23T00:00:00"/>
    <x v="2"/>
    <x v="3"/>
    <n v="10.2537"/>
    <n v="10.4903"/>
    <n v="10.2142"/>
    <n v="10.4114"/>
    <n v="91134"/>
    <n v="2.6873"/>
    <n v="2.7027000000000001"/>
  </r>
  <r>
    <n v="2330"/>
    <x v="1"/>
    <d v="2014-04-23T00:00:00"/>
    <x v="2"/>
    <x v="3"/>
    <n v="98.930300000000003"/>
    <n v="98.930300000000003"/>
    <n v="96.919499999999999"/>
    <n v="97.321600000000004"/>
    <n v="34358"/>
    <n v="-0.41239999999999999"/>
    <n v="2.0747"/>
  </r>
  <r>
    <n v="2303"/>
    <x v="0"/>
    <d v="2014-04-24T00:00:00"/>
    <x v="3"/>
    <x v="3"/>
    <n v="10.4114"/>
    <n v="10.4114"/>
    <n v="10.3325"/>
    <n v="10.372"/>
    <n v="33473"/>
    <n v="-0.3795"/>
    <n v="0.76339999999999997"/>
  </r>
  <r>
    <n v="2330"/>
    <x v="1"/>
    <d v="2014-04-24T00:00:00"/>
    <x v="3"/>
    <x v="3"/>
    <n v="97.321600000000004"/>
    <n v="97.321600000000004"/>
    <n v="96.517300000000006"/>
    <n v="97.321600000000004"/>
    <n v="25524"/>
    <n v="0"/>
    <n v="0.83330000000000004"/>
  </r>
  <r>
    <n v="2303"/>
    <x v="0"/>
    <d v="2014-04-25T00:00:00"/>
    <x v="4"/>
    <x v="3"/>
    <n v="10.293100000000001"/>
    <n v="10.372"/>
    <n v="9.9382000000000001"/>
    <n v="10.0959"/>
    <n v="62624"/>
    <n v="-2.6977000000000002"/>
    <n v="4.3651"/>
  </r>
  <r>
    <n v="2330"/>
    <x v="1"/>
    <d v="2014-04-25T00:00:00"/>
    <x v="4"/>
    <x v="3"/>
    <n v="97.321600000000004"/>
    <n v="97.321600000000004"/>
    <n v="94.908699999999996"/>
    <n v="95.310900000000004"/>
    <n v="49438"/>
    <n v="-2.0878000000000001"/>
    <n v="2.5424000000000002"/>
  </r>
  <r>
    <n v="2303"/>
    <x v="0"/>
    <d v="2014-04-28T00:00:00"/>
    <x v="0"/>
    <x v="3"/>
    <n v="9.9776000000000007"/>
    <n v="10.2142"/>
    <n v="9.9776000000000007"/>
    <n v="10.0959"/>
    <n v="42190"/>
    <n v="0"/>
    <n v="2.3715000000000002"/>
  </r>
  <r>
    <n v="2330"/>
    <x v="1"/>
    <d v="2014-04-28T00:00:00"/>
    <x v="0"/>
    <x v="3"/>
    <n v="95.310900000000004"/>
    <n v="96.517300000000006"/>
    <n v="94.506500000000003"/>
    <n v="95.712999999999994"/>
    <n v="28068"/>
    <n v="0.42109999999999997"/>
    <n v="2.1276999999999999"/>
  </r>
  <r>
    <n v="2303"/>
    <x v="0"/>
    <d v="2014-04-29T00:00:00"/>
    <x v="1"/>
    <x v="3"/>
    <n v="10.2142"/>
    <n v="10.4114"/>
    <n v="10.135400000000001"/>
    <n v="10.293100000000001"/>
    <n v="64121"/>
    <n v="1.9342999999999999"/>
    <n v="2.7237"/>
  </r>
  <r>
    <n v="2330"/>
    <x v="1"/>
    <d v="2014-04-29T00:00:00"/>
    <x v="1"/>
    <x v="3"/>
    <n v="96.919499999999999"/>
    <n v="97.321600000000004"/>
    <n v="95.712999999999994"/>
    <n v="96.919499999999999"/>
    <n v="21811"/>
    <n v="1.2525999999999999"/>
    <n v="1.6807000000000001"/>
  </r>
  <r>
    <n v="2303"/>
    <x v="0"/>
    <d v="2014-04-30T00:00:00"/>
    <x v="2"/>
    <x v="3"/>
    <n v="10.332599999999999"/>
    <n v="10.4114"/>
    <n v="10.2142"/>
    <n v="10.293100000000001"/>
    <n v="59851"/>
    <n v="0"/>
    <n v="1.9305000000000001"/>
  </r>
  <r>
    <n v="2330"/>
    <x v="1"/>
    <d v="2014-04-30T00:00:00"/>
    <x v="2"/>
    <x v="3"/>
    <n v="96.517300000000006"/>
    <n v="96.919499999999999"/>
    <n v="94.104399999999998"/>
    <n v="95.310900000000004"/>
    <n v="44124"/>
    <n v="-1.6737"/>
    <n v="2.9914999999999998"/>
  </r>
  <r>
    <n v="2303"/>
    <x v="0"/>
    <d v="2014-05-02T00:00:00"/>
    <x v="4"/>
    <x v="4"/>
    <n v="10.332599999999999"/>
    <n v="10.4114"/>
    <n v="10.2537"/>
    <n v="10.372"/>
    <n v="93604"/>
    <n v="0.76339999999999997"/>
    <n v="1.5385"/>
  </r>
  <r>
    <n v="2330"/>
    <x v="1"/>
    <d v="2014-05-02T00:00:00"/>
    <x v="4"/>
    <x v="4"/>
    <n v="95.712999999999994"/>
    <n v="96.115200000000002"/>
    <n v="94.104399999999998"/>
    <n v="94.908699999999996"/>
    <n v="45030"/>
    <n v="-0.42280000000000001"/>
    <n v="2.1368"/>
  </r>
  <r>
    <n v="2303"/>
    <x v="0"/>
    <d v="2014-05-05T00:00:00"/>
    <x v="0"/>
    <x v="4"/>
    <n v="10.372"/>
    <n v="10.4114"/>
    <n v="10.2142"/>
    <n v="10.2142"/>
    <n v="48848"/>
    <n v="-1.5326"/>
    <n v="1.9305000000000001"/>
  </r>
  <r>
    <n v="2330"/>
    <x v="1"/>
    <d v="2014-05-05T00:00:00"/>
    <x v="0"/>
    <x v="4"/>
    <n v="94.506500000000003"/>
    <n v="94.908699999999996"/>
    <n v="93.3001"/>
    <n v="94.104399999999998"/>
    <n v="28887"/>
    <n v="-0.85109999999999997"/>
    <n v="1.7241"/>
  </r>
  <r>
    <n v="2303"/>
    <x v="0"/>
    <d v="2014-05-06T00:00:00"/>
    <x v="1"/>
    <x v="4"/>
    <n v="10.2537"/>
    <n v="10.293100000000001"/>
    <n v="10.174799999999999"/>
    <n v="10.293100000000001"/>
    <n v="42988"/>
    <n v="0.76919999999999999"/>
    <n v="1.1628000000000001"/>
  </r>
  <r>
    <n v="2330"/>
    <x v="1"/>
    <d v="2014-05-06T00:00:00"/>
    <x v="1"/>
    <x v="4"/>
    <n v="94.104399999999998"/>
    <n v="95.712999999999994"/>
    <n v="93.702200000000005"/>
    <n v="94.908699999999996"/>
    <n v="27525"/>
    <n v="0.85109999999999997"/>
    <n v="2.1459000000000001"/>
  </r>
  <r>
    <n v="2303"/>
    <x v="0"/>
    <d v="2014-05-07T00:00:00"/>
    <x v="2"/>
    <x v="4"/>
    <n v="10.293100000000001"/>
    <n v="10.372"/>
    <n v="10.2537"/>
    <n v="10.2537"/>
    <n v="47395"/>
    <n v="-0.38390000000000002"/>
    <n v="1.1537999999999999"/>
  </r>
  <r>
    <n v="2330"/>
    <x v="1"/>
    <d v="2014-05-07T00:00:00"/>
    <x v="2"/>
    <x v="4"/>
    <n v="94.908699999999996"/>
    <n v="95.712999999999994"/>
    <n v="94.506500000000003"/>
    <n v="95.310900000000004"/>
    <n v="33276"/>
    <n v="0.42280000000000001"/>
    <n v="1.2766"/>
  </r>
  <r>
    <n v="2303"/>
    <x v="0"/>
    <d v="2014-05-08T00:00:00"/>
    <x v="3"/>
    <x v="4"/>
    <n v="10.372"/>
    <n v="10.5692"/>
    <n v="10.332599999999999"/>
    <n v="10.5692"/>
    <n v="98618"/>
    <n v="3.0305"/>
    <n v="2.2900999999999998"/>
  </r>
  <r>
    <n v="2330"/>
    <x v="1"/>
    <d v="2014-05-08T00:00:00"/>
    <x v="3"/>
    <x v="4"/>
    <n v="96.115200000000002"/>
    <n v="96.517300000000006"/>
    <n v="95.712999999999994"/>
    <n v="96.115200000000002"/>
    <n v="30096"/>
    <n v="0.84030000000000005"/>
    <n v="0.84030000000000005"/>
  </r>
  <r>
    <n v="2303"/>
    <x v="0"/>
    <d v="2014-05-09T00:00:00"/>
    <x v="4"/>
    <x v="4"/>
    <n v="10.5692"/>
    <n v="10.608599999999999"/>
    <n v="10.4114"/>
    <n v="10.450900000000001"/>
    <n v="40629"/>
    <n v="-1.1256999999999999"/>
    <n v="1.8938999999999999"/>
  </r>
  <r>
    <n v="2330"/>
    <x v="1"/>
    <d v="2014-05-09T00:00:00"/>
    <x v="4"/>
    <x v="4"/>
    <n v="96.517300000000006"/>
    <n v="96.517300000000006"/>
    <n v="95.712999999999994"/>
    <n v="96.517300000000006"/>
    <n v="23287"/>
    <n v="0.41749999999999998"/>
    <n v="0.84030000000000005"/>
  </r>
  <r>
    <n v="2303"/>
    <x v="0"/>
    <d v="2014-05-12T00:00:00"/>
    <x v="0"/>
    <x v="4"/>
    <n v="10.4903"/>
    <n v="10.4903"/>
    <n v="10.293100000000001"/>
    <n v="10.332599999999999"/>
    <n v="35341"/>
    <n v="-1.1385000000000001"/>
    <n v="1.9157"/>
  </r>
  <r>
    <n v="2330"/>
    <x v="1"/>
    <d v="2014-05-12T00:00:00"/>
    <x v="0"/>
    <x v="4"/>
    <n v="96.115200000000002"/>
    <n v="96.517300000000006"/>
    <n v="94.506500000000003"/>
    <n v="95.310900000000004"/>
    <n v="37048"/>
    <n v="-1.2579"/>
    <n v="2.1276999999999999"/>
  </r>
  <r>
    <n v="2303"/>
    <x v="0"/>
    <d v="2014-05-13T00:00:00"/>
    <x v="1"/>
    <x v="4"/>
    <n v="10.4114"/>
    <n v="10.4114"/>
    <n v="10.332599999999999"/>
    <n v="10.332599999999999"/>
    <n v="21175"/>
    <n v="0"/>
    <n v="0.76339999999999997"/>
  </r>
  <r>
    <n v="2330"/>
    <x v="1"/>
    <d v="2014-05-13T00:00:00"/>
    <x v="1"/>
    <x v="4"/>
    <n v="96.517300000000006"/>
    <n v="97.321600000000004"/>
    <n v="96.115200000000002"/>
    <n v="96.919499999999999"/>
    <n v="24046"/>
    <n v="1.6737"/>
    <n v="1.2552000000000001"/>
  </r>
  <r>
    <n v="2303"/>
    <x v="0"/>
    <d v="2014-05-14T00:00:00"/>
    <x v="2"/>
    <x v="4"/>
    <n v="10.372"/>
    <n v="10.5297"/>
    <n v="10.372"/>
    <n v="10.5297"/>
    <n v="44769"/>
    <n v="1.8904000000000001"/>
    <n v="1.5208999999999999"/>
  </r>
  <r>
    <n v="2330"/>
    <x v="1"/>
    <d v="2014-05-14T00:00:00"/>
    <x v="2"/>
    <x v="4"/>
    <n v="97.321600000000004"/>
    <n v="98.125900000000001"/>
    <n v="96.919499999999999"/>
    <n v="98.125900000000001"/>
    <n v="32903"/>
    <n v="1.2371000000000001"/>
    <n v="1.2447999999999999"/>
  </r>
  <r>
    <n v="2303"/>
    <x v="0"/>
    <d v="2014-05-15T00:00:00"/>
    <x v="3"/>
    <x v="4"/>
    <n v="10.4903"/>
    <n v="10.5297"/>
    <n v="10.372"/>
    <n v="10.450900000000001"/>
    <n v="14713"/>
    <n v="-0.75190000000000001"/>
    <n v="1.5208999999999999"/>
  </r>
  <r>
    <n v="2330"/>
    <x v="1"/>
    <d v="2014-05-15T00:00:00"/>
    <x v="3"/>
    <x v="4"/>
    <n v="97.321600000000004"/>
    <n v="98.125900000000001"/>
    <n v="96.919499999999999"/>
    <n v="98.125900000000001"/>
    <n v="16813"/>
    <n v="0"/>
    <n v="1.2447999999999999"/>
  </r>
  <r>
    <n v="2303"/>
    <x v="0"/>
    <d v="2014-05-16T00:00:00"/>
    <x v="4"/>
    <x v="4"/>
    <n v="10.372"/>
    <n v="10.450900000000001"/>
    <n v="10.332599999999999"/>
    <n v="10.450900000000001"/>
    <n v="20742"/>
    <n v="0"/>
    <n v="1.145"/>
  </r>
  <r>
    <n v="2330"/>
    <x v="1"/>
    <d v="2014-05-16T00:00:00"/>
    <x v="4"/>
    <x v="4"/>
    <n v="98.125900000000001"/>
    <n v="98.930300000000003"/>
    <n v="97.321600000000004"/>
    <n v="98.125900000000001"/>
    <n v="28679"/>
    <n v="0"/>
    <n v="1.6529"/>
  </r>
  <r>
    <n v="2303"/>
    <x v="0"/>
    <d v="2014-05-19T00:00:00"/>
    <x v="0"/>
    <x v="4"/>
    <n v="10.4903"/>
    <n v="10.5297"/>
    <n v="10.4114"/>
    <n v="10.4903"/>
    <n v="19454"/>
    <n v="0.37659999999999999"/>
    <n v="1.1364000000000001"/>
  </r>
  <r>
    <n v="2330"/>
    <x v="1"/>
    <d v="2014-05-19T00:00:00"/>
    <x v="0"/>
    <x v="4"/>
    <n v="98.125900000000001"/>
    <n v="98.528099999999995"/>
    <n v="97.321600000000004"/>
    <n v="97.321600000000004"/>
    <n v="20829"/>
    <n v="-0.82299999999999995"/>
    <n v="1.2397"/>
  </r>
  <r>
    <n v="2303"/>
    <x v="0"/>
    <d v="2014-05-20T00:00:00"/>
    <x v="1"/>
    <x v="4"/>
    <n v="10.4903"/>
    <n v="10.5297"/>
    <n v="10.4114"/>
    <n v="10.4903"/>
    <n v="23306"/>
    <n v="0"/>
    <n v="1.1364000000000001"/>
  </r>
  <r>
    <n v="2330"/>
    <x v="1"/>
    <d v="2014-05-20T00:00:00"/>
    <x v="1"/>
    <x v="4"/>
    <n v="98.125900000000001"/>
    <n v="98.125900000000001"/>
    <n v="97.321600000000004"/>
    <n v="97.321600000000004"/>
    <n v="25402"/>
    <n v="0"/>
    <n v="0.82640000000000002"/>
  </r>
  <r>
    <n v="2303"/>
    <x v="0"/>
    <d v="2014-05-21T00:00:00"/>
    <x v="2"/>
    <x v="4"/>
    <n v="10.450900000000001"/>
    <n v="10.4903"/>
    <n v="10.372"/>
    <n v="10.4114"/>
    <n v="17514"/>
    <n v="-0.75470000000000004"/>
    <n v="1.1407"/>
  </r>
  <r>
    <n v="2330"/>
    <x v="1"/>
    <d v="2014-05-21T00:00:00"/>
    <x v="2"/>
    <x v="4"/>
    <n v="98.125900000000001"/>
    <n v="98.125900000000001"/>
    <n v="96.919499999999999"/>
    <n v="96.919499999999999"/>
    <n v="24218"/>
    <n v="-0.41410000000000002"/>
    <n v="1.2447999999999999"/>
  </r>
  <r>
    <n v="2303"/>
    <x v="0"/>
    <d v="2014-05-22T00:00:00"/>
    <x v="3"/>
    <x v="4"/>
    <n v="10.4903"/>
    <n v="10.5692"/>
    <n v="10.450900000000001"/>
    <n v="10.5297"/>
    <n v="39045"/>
    <n v="1.1299999999999999"/>
    <n v="1.1321000000000001"/>
  </r>
  <r>
    <n v="2330"/>
    <x v="1"/>
    <d v="2014-05-22T00:00:00"/>
    <x v="3"/>
    <x v="4"/>
    <n v="97.723799999999997"/>
    <n v="98.125900000000001"/>
    <n v="97.321600000000004"/>
    <n v="98.125900000000001"/>
    <n v="26336"/>
    <n v="1.2371000000000001"/>
    <n v="0.82640000000000002"/>
  </r>
  <r>
    <n v="2303"/>
    <x v="0"/>
    <d v="2014-05-23T00:00:00"/>
    <x v="4"/>
    <x v="4"/>
    <n v="10.5692"/>
    <n v="10.608599999999999"/>
    <n v="10.450900000000001"/>
    <n v="10.5297"/>
    <n v="24953"/>
    <n v="0"/>
    <n v="1.5094000000000001"/>
  </r>
  <r>
    <n v="2330"/>
    <x v="1"/>
    <d v="2014-05-23T00:00:00"/>
    <x v="4"/>
    <x v="4"/>
    <n v="97.321600000000004"/>
    <n v="98.528099999999995"/>
    <n v="97.321600000000004"/>
    <n v="98.125900000000001"/>
    <n v="31778"/>
    <n v="0"/>
    <n v="1.2397"/>
  </r>
  <r>
    <n v="2303"/>
    <x v="0"/>
    <d v="2014-05-26T00:00:00"/>
    <x v="0"/>
    <x v="4"/>
    <n v="10.5692"/>
    <n v="10.5692"/>
    <n v="10.4903"/>
    <n v="10.5692"/>
    <n v="27229"/>
    <n v="0.37380000000000002"/>
    <n v="0.75190000000000001"/>
  </r>
  <r>
    <n v="2330"/>
    <x v="1"/>
    <d v="2014-05-26T00:00:00"/>
    <x v="0"/>
    <x v="4"/>
    <n v="98.930300000000003"/>
    <n v="99.332400000000007"/>
    <n v="98.125900000000001"/>
    <n v="98.930300000000003"/>
    <n v="19854"/>
    <n v="0.81630000000000003"/>
    <n v="1.2295"/>
  </r>
  <r>
    <n v="2303"/>
    <x v="0"/>
    <d v="2014-05-27T00:00:00"/>
    <x v="1"/>
    <x v="4"/>
    <n v="10.5692"/>
    <n v="10.8058"/>
    <n v="10.5297"/>
    <n v="10.766400000000001"/>
    <n v="72414"/>
    <n v="1.8485"/>
    <n v="2.6217000000000001"/>
  </r>
  <r>
    <n v="2330"/>
    <x v="1"/>
    <d v="2014-05-27T00:00:00"/>
    <x v="1"/>
    <x v="4"/>
    <n v="98.528099999999995"/>
    <n v="99.7346"/>
    <n v="98.528099999999995"/>
    <n v="99.332400000000007"/>
    <n v="18301"/>
    <n v="0.40570000000000001"/>
    <n v="1.2244999999999999"/>
  </r>
  <r>
    <n v="2303"/>
    <x v="0"/>
    <d v="2014-05-28T00:00:00"/>
    <x v="2"/>
    <x v="4"/>
    <n v="10.8058"/>
    <n v="11.200200000000001"/>
    <n v="10.8058"/>
    <n v="11.1607"/>
    <n v="124227"/>
    <n v="3.5975000000000001"/>
    <n v="3.6496"/>
  </r>
  <r>
    <n v="2330"/>
    <x v="1"/>
    <d v="2014-05-28T00:00:00"/>
    <x v="2"/>
    <x v="4"/>
    <n v="99.7346"/>
    <n v="99.7346"/>
    <n v="98.528099999999995"/>
    <n v="99.7346"/>
    <n v="37799"/>
    <n v="0.40400000000000003"/>
    <n v="1.2244999999999999"/>
  </r>
  <r>
    <n v="2303"/>
    <x v="0"/>
    <d v="2014-05-29T00:00:00"/>
    <x v="3"/>
    <x v="4"/>
    <n v="11.200200000000001"/>
    <n v="11.3185"/>
    <n v="10.8847"/>
    <n v="10.8847"/>
    <n v="116657"/>
    <n v="-2.5045999999999999"/>
    <n v="3.9855"/>
  </r>
  <r>
    <n v="2330"/>
    <x v="1"/>
    <d v="2014-05-29T00:00:00"/>
    <x v="3"/>
    <x v="4"/>
    <n v="99.332400000000007"/>
    <n v="99.7346"/>
    <n v="97.723799999999997"/>
    <n v="98.125900000000001"/>
    <n v="43079"/>
    <n v="-1.6261000000000001"/>
    <n v="2.0575999999999999"/>
  </r>
  <r>
    <n v="2303"/>
    <x v="0"/>
    <d v="2014-05-30T00:00:00"/>
    <x v="4"/>
    <x v="4"/>
    <n v="10.9636"/>
    <n v="11.200200000000001"/>
    <n v="10.8452"/>
    <n v="11.081899999999999"/>
    <n v="96912"/>
    <n v="1.7954000000000001"/>
    <n v="3.2726999999999999"/>
  </r>
  <r>
    <n v="2330"/>
    <x v="1"/>
    <d v="2014-05-30T00:00:00"/>
    <x v="4"/>
    <x v="4"/>
    <n v="98.125900000000001"/>
    <n v="98.528099999999995"/>
    <n v="96.115200000000002"/>
    <n v="96.115200000000002"/>
    <n v="69113"/>
    <n v="-2.0705"/>
    <n v="2.5105"/>
  </r>
  <r>
    <n v="2303"/>
    <x v="0"/>
    <d v="2014-06-03T00:00:00"/>
    <x v="1"/>
    <x v="5"/>
    <n v="11.1607"/>
    <n v="11.1607"/>
    <n v="11.003"/>
    <n v="11.1607"/>
    <n v="52613"/>
    <n v="0.70920000000000005"/>
    <n v="1.4337"/>
  </r>
  <r>
    <n v="2330"/>
    <x v="1"/>
    <d v="2014-06-03T00:00:00"/>
    <x v="1"/>
    <x v="5"/>
    <n v="96.517300000000006"/>
    <n v="98.528099999999995"/>
    <n v="96.517300000000006"/>
    <n v="98.528099999999995"/>
    <n v="40522"/>
    <n v="2.4794999999999998"/>
    <n v="2.0832999999999999"/>
  </r>
  <r>
    <n v="2303"/>
    <x v="0"/>
    <d v="2014-06-04T00:00:00"/>
    <x v="2"/>
    <x v="5"/>
    <n v="11.239599999999999"/>
    <n v="11.2791"/>
    <n v="11.1607"/>
    <n v="11.2791"/>
    <n v="57059"/>
    <n v="1.0545"/>
    <n v="1.0601"/>
  </r>
  <r>
    <n v="2330"/>
    <x v="1"/>
    <d v="2014-06-04T00:00:00"/>
    <x v="2"/>
    <x v="5"/>
    <n v="99.332400000000007"/>
    <n v="99.7346"/>
    <n v="98.930300000000003"/>
    <n v="99.332400000000007"/>
    <n v="33486"/>
    <n v="0.81299999999999994"/>
    <n v="0.81299999999999994"/>
  </r>
  <r>
    <n v="2303"/>
    <x v="0"/>
    <d v="2014-06-05T00:00:00"/>
    <x v="3"/>
    <x v="5"/>
    <n v="11.2791"/>
    <n v="11.515700000000001"/>
    <n v="11.239599999999999"/>
    <n v="11.239599999999999"/>
    <n v="83329"/>
    <n v="-0.3503"/>
    <n v="2.4561000000000002"/>
  </r>
  <r>
    <n v="2330"/>
    <x v="1"/>
    <d v="2014-06-05T00:00:00"/>
    <x v="3"/>
    <x v="5"/>
    <n v="98.930300000000003"/>
    <n v="99.332400000000007"/>
    <n v="97.723799999999997"/>
    <n v="98.930300000000003"/>
    <n v="19558"/>
    <n v="-0.40570000000000001"/>
    <n v="1.6460999999999999"/>
  </r>
  <r>
    <n v="2303"/>
    <x v="0"/>
    <d v="2014-06-06T00:00:00"/>
    <x v="4"/>
    <x v="5"/>
    <n v="11.4368"/>
    <n v="11.515700000000001"/>
    <n v="11.2791"/>
    <n v="11.515700000000001"/>
    <n v="53610"/>
    <n v="2.4264999999999999"/>
    <n v="2.0979000000000001"/>
  </r>
  <r>
    <n v="2330"/>
    <x v="1"/>
    <d v="2014-06-06T00:00:00"/>
    <x v="4"/>
    <x v="5"/>
    <n v="99.332400000000007"/>
    <n v="99.332400000000007"/>
    <n v="98.125900000000001"/>
    <n v="98.528099999999995"/>
    <n v="19282"/>
    <n v="-0.4073"/>
    <n v="1.2295"/>
  </r>
  <r>
    <n v="2303"/>
    <x v="0"/>
    <d v="2014-06-09T00:00:00"/>
    <x v="0"/>
    <x v="5"/>
    <n v="11.515700000000001"/>
    <n v="11.515700000000001"/>
    <n v="11.2791"/>
    <n v="11.397399999999999"/>
    <n v="27993"/>
    <n v="-1.0327"/>
    <n v="2.0979000000000001"/>
  </r>
  <r>
    <n v="2330"/>
    <x v="1"/>
    <d v="2014-06-09T00:00:00"/>
    <x v="0"/>
    <x v="5"/>
    <n v="98.528099999999995"/>
    <n v="99.332400000000007"/>
    <n v="98.528099999999995"/>
    <n v="98.930300000000003"/>
    <n v="19730"/>
    <n v="0.4073"/>
    <n v="0.81630000000000003"/>
  </r>
  <r>
    <n v="2303"/>
    <x v="0"/>
    <d v="2014-06-10T00:00:00"/>
    <x v="1"/>
    <x v="5"/>
    <n v="11.4762"/>
    <n v="11.515700000000001"/>
    <n v="11.239599999999999"/>
    <n v="11.3185"/>
    <n v="40810"/>
    <n v="-0.69440000000000002"/>
    <n v="2.4561000000000002"/>
  </r>
  <r>
    <n v="2330"/>
    <x v="1"/>
    <d v="2014-06-10T00:00:00"/>
    <x v="1"/>
    <x v="5"/>
    <n v="98.930300000000003"/>
    <n v="100.1367"/>
    <n v="98.528099999999995"/>
    <n v="100.1367"/>
    <n v="26661"/>
    <n v="1.2121"/>
    <n v="1.6327"/>
  </r>
  <r>
    <n v="2303"/>
    <x v="0"/>
    <d v="2014-06-11T00:00:00"/>
    <x v="2"/>
    <x v="5"/>
    <n v="11.357900000000001"/>
    <n v="11.4368"/>
    <n v="11.2791"/>
    <n v="11.4368"/>
    <n v="34535"/>
    <n v="1.0399"/>
    <n v="1.3986000000000001"/>
  </r>
  <r>
    <n v="2330"/>
    <x v="1"/>
    <d v="2014-06-11T00:00:00"/>
    <x v="2"/>
    <x v="5"/>
    <n v="99.7346"/>
    <n v="100.5389"/>
    <n v="99.332400000000007"/>
    <n v="100.5389"/>
    <n v="27990"/>
    <n v="0.40079999999999999"/>
    <n v="1.2145999999999999"/>
  </r>
  <r>
    <n v="2303"/>
    <x v="0"/>
    <d v="2014-06-12T00:00:00"/>
    <x v="3"/>
    <x v="5"/>
    <n v="11.515700000000001"/>
    <n v="11.91"/>
    <n v="11.515700000000001"/>
    <n v="11.8706"/>
    <n v="152133"/>
    <n v="3.7229000000000001"/>
    <n v="3.4247000000000001"/>
  </r>
  <r>
    <n v="2330"/>
    <x v="1"/>
    <d v="2014-06-12T00:00:00"/>
    <x v="3"/>
    <x v="5"/>
    <n v="99.7346"/>
    <n v="99.7346"/>
    <n v="98.930300000000003"/>
    <n v="99.332400000000007"/>
    <n v="22300"/>
    <n v="-1.2073"/>
    <n v="0.81299999999999994"/>
  </r>
  <r>
    <n v="2303"/>
    <x v="0"/>
    <d v="2014-06-13T00:00:00"/>
    <x v="4"/>
    <x v="5"/>
    <n v="11.8706"/>
    <n v="11.91"/>
    <n v="11.7523"/>
    <n v="11.7523"/>
    <n v="108989"/>
    <n v="-1.0017"/>
    <n v="1.3423"/>
  </r>
  <r>
    <n v="2330"/>
    <x v="1"/>
    <d v="2014-06-13T00:00:00"/>
    <x v="4"/>
    <x v="5"/>
    <n v="98.930300000000003"/>
    <n v="99.332400000000007"/>
    <n v="98.528099999999995"/>
    <n v="98.930300000000003"/>
    <n v="17197"/>
    <n v="-0.40570000000000001"/>
    <n v="0.81630000000000003"/>
  </r>
  <r>
    <n v="2303"/>
    <x v="0"/>
    <d v="2014-06-16T00:00:00"/>
    <x v="0"/>
    <x v="5"/>
    <n v="11.7523"/>
    <n v="11.831200000000001"/>
    <n v="11.5946"/>
    <n v="11.5946"/>
    <n v="68409"/>
    <n v="-1.3513999999999999"/>
    <n v="2.0407999999999999"/>
  </r>
  <r>
    <n v="2330"/>
    <x v="1"/>
    <d v="2014-06-16T00:00:00"/>
    <x v="0"/>
    <x v="5"/>
    <n v="98.528099999999995"/>
    <n v="99.7346"/>
    <n v="98.528099999999995"/>
    <n v="99.7346"/>
    <n v="13737"/>
    <n v="0.80969999999999998"/>
    <n v="1.2244999999999999"/>
  </r>
  <r>
    <n v="2303"/>
    <x v="0"/>
    <d v="2014-06-17T00:00:00"/>
    <x v="1"/>
    <x v="5"/>
    <n v="11.7523"/>
    <n v="11.791700000000001"/>
    <n v="11.5946"/>
    <n v="11.5946"/>
    <n v="95645"/>
    <n v="0"/>
    <n v="1.7007000000000001"/>
  </r>
  <r>
    <n v="2330"/>
    <x v="1"/>
    <d v="2014-06-17T00:00:00"/>
    <x v="1"/>
    <x v="5"/>
    <n v="99.7346"/>
    <n v="100.5389"/>
    <n v="98.930300000000003"/>
    <n v="100.5389"/>
    <n v="20568"/>
    <n v="0.80320000000000003"/>
    <n v="1.6259999999999999"/>
  </r>
  <r>
    <n v="2303"/>
    <x v="0"/>
    <d v="2014-06-18T00:00:00"/>
    <x v="2"/>
    <x v="5"/>
    <n v="11.673400000000001"/>
    <n v="11.673400000000001"/>
    <n v="11.357900000000001"/>
    <n v="11.4368"/>
    <n v="91699"/>
    <n v="-1.3698999999999999"/>
    <n v="2.7778"/>
  </r>
  <r>
    <n v="2330"/>
    <x v="1"/>
    <d v="2014-06-18T00:00:00"/>
    <x v="2"/>
    <x v="5"/>
    <n v="100.5389"/>
    <n v="101.7453"/>
    <n v="99.7346"/>
    <n v="100.941"/>
    <n v="38103"/>
    <n v="0.3992"/>
    <n v="2.0160999999999998"/>
  </r>
  <r>
    <n v="2303"/>
    <x v="0"/>
    <d v="2014-06-19T00:00:00"/>
    <x v="3"/>
    <x v="5"/>
    <n v="11.4368"/>
    <n v="11.7523"/>
    <n v="11.397399999999999"/>
    <n v="11.7523"/>
    <n v="72268"/>
    <n v="2.7212999999999998"/>
    <n v="3.1141999999999999"/>
  </r>
  <r>
    <n v="2330"/>
    <x v="1"/>
    <d v="2014-06-19T00:00:00"/>
    <x v="3"/>
    <x v="5"/>
    <n v="100.1367"/>
    <n v="101.3432"/>
    <n v="100.1367"/>
    <n v="101.3432"/>
    <n v="25211"/>
    <n v="0.39760000000000001"/>
    <n v="1.2048000000000001"/>
  </r>
  <r>
    <n v="2303"/>
    <x v="0"/>
    <d v="2014-06-20T00:00:00"/>
    <x v="4"/>
    <x v="5"/>
    <n v="11.831200000000001"/>
    <n v="11.831200000000001"/>
    <n v="11.4762"/>
    <n v="11.4762"/>
    <n v="44268"/>
    <n v="-2.3769999999999998"/>
    <n v="3.0928"/>
  </r>
  <r>
    <n v="2330"/>
    <x v="1"/>
    <d v="2014-06-20T00:00:00"/>
    <x v="4"/>
    <x v="5"/>
    <n v="101.7453"/>
    <n v="102.14749999999999"/>
    <n v="99.7346"/>
    <n v="100.1367"/>
    <n v="31589"/>
    <n v="-1.1976"/>
    <n v="2.4194"/>
  </r>
  <r>
    <n v="2303"/>
    <x v="0"/>
    <d v="2014-06-23T00:00:00"/>
    <x v="0"/>
    <x v="5"/>
    <n v="11.555099999999999"/>
    <n v="11.5946"/>
    <n v="11.4368"/>
    <n v="11.4368"/>
    <n v="45047"/>
    <n v="-0.34420000000000001"/>
    <n v="1.3793"/>
  </r>
  <r>
    <n v="2330"/>
    <x v="1"/>
    <d v="2014-06-23T00:00:00"/>
    <x v="0"/>
    <x v="5"/>
    <n v="100.5389"/>
    <n v="100.941"/>
    <n v="98.930300000000003"/>
    <n v="98.930300000000003"/>
    <n v="25147"/>
    <n v="-1.2121"/>
    <n v="2.0325000000000002"/>
  </r>
  <r>
    <n v="2303"/>
    <x v="0"/>
    <d v="2014-06-24T00:00:00"/>
    <x v="1"/>
    <x v="5"/>
    <n v="11.4762"/>
    <n v="11.5946"/>
    <n v="11.397399999999999"/>
    <n v="11.4762"/>
    <n v="32699"/>
    <n v="0.34420000000000001"/>
    <n v="1.7301"/>
  </r>
  <r>
    <n v="2330"/>
    <x v="1"/>
    <d v="2014-06-24T00:00:00"/>
    <x v="1"/>
    <x v="5"/>
    <n v="98.930300000000003"/>
    <n v="99.332400000000007"/>
    <n v="98.125900000000001"/>
    <n v="98.930300000000003"/>
    <n v="36234"/>
    <n v="0"/>
    <n v="1.2295"/>
  </r>
  <r>
    <n v="2303"/>
    <x v="0"/>
    <d v="2014-06-25T00:00:00"/>
    <x v="2"/>
    <x v="5"/>
    <n v="11.555099999999999"/>
    <n v="11.555099999999999"/>
    <n v="11.397399999999999"/>
    <n v="11.515700000000001"/>
    <n v="38509"/>
    <n v="0.34310000000000002"/>
    <n v="1.3841000000000001"/>
  </r>
  <r>
    <n v="2330"/>
    <x v="1"/>
    <d v="2014-06-25T00:00:00"/>
    <x v="2"/>
    <x v="5"/>
    <n v="98.930300000000003"/>
    <n v="100.1367"/>
    <n v="98.930300000000003"/>
    <n v="99.332400000000007"/>
    <n v="31028"/>
    <n v="0.40570000000000001"/>
    <n v="1.2195"/>
  </r>
  <r>
    <n v="2303"/>
    <x v="0"/>
    <d v="2014-06-26T00:00:00"/>
    <x v="3"/>
    <x v="5"/>
    <n v="11.5946"/>
    <n v="12.107200000000001"/>
    <n v="11.555099999999999"/>
    <n v="11.91"/>
    <n v="139187"/>
    <n v="3.3673000000000002"/>
    <n v="4.7782"/>
  </r>
  <r>
    <n v="2330"/>
    <x v="1"/>
    <d v="2014-06-26T00:00:00"/>
    <x v="3"/>
    <x v="5"/>
    <n v="100.1367"/>
    <n v="100.5389"/>
    <n v="99.332400000000007"/>
    <n v="100.1367"/>
    <n v="33938"/>
    <n v="0.80649999999999999"/>
    <n v="1.2145999999999999"/>
  </r>
  <r>
    <n v="2303"/>
    <x v="0"/>
    <d v="2014-06-27T00:00:00"/>
    <x v="4"/>
    <x v="5"/>
    <n v="11.831200000000001"/>
    <n v="11.91"/>
    <n v="11.712899999999999"/>
    <n v="11.712899999999999"/>
    <n v="57188"/>
    <n v="-1.6695"/>
    <n v="1.6835"/>
  </r>
  <r>
    <n v="2330"/>
    <x v="1"/>
    <d v="2014-06-27T00:00:00"/>
    <x v="4"/>
    <x v="5"/>
    <n v="100.5389"/>
    <n v="101.7453"/>
    <n v="99.7346"/>
    <n v="100.941"/>
    <n v="44450"/>
    <n v="0.8"/>
    <n v="2.0160999999999998"/>
  </r>
  <r>
    <n v="2303"/>
    <x v="0"/>
    <d v="2014-06-30T00:00:00"/>
    <x v="0"/>
    <x v="5"/>
    <n v="11.712899999999999"/>
    <n v="11.8706"/>
    <n v="11.712899999999999"/>
    <n v="11.791700000000001"/>
    <n v="72897"/>
    <n v="0.67110000000000003"/>
    <n v="1.3468"/>
  </r>
  <r>
    <n v="2330"/>
    <x v="1"/>
    <d v="2014-06-30T00:00:00"/>
    <x v="0"/>
    <x v="5"/>
    <n v="101.3432"/>
    <n v="102.14749999999999"/>
    <n v="100.5389"/>
    <n v="101.7453"/>
    <n v="38191"/>
    <n v="0.79369999999999996"/>
    <n v="1.6"/>
  </r>
  <r>
    <n v="2303"/>
    <x v="0"/>
    <d v="2014-07-01T00:00:00"/>
    <x v="1"/>
    <x v="6"/>
    <n v="11.831200000000001"/>
    <n v="12.146699999999999"/>
    <n v="11.712899999999999"/>
    <n v="12.0284"/>
    <n v="126868"/>
    <n v="1.9867999999999999"/>
    <n v="3.7037"/>
  </r>
  <r>
    <n v="2330"/>
    <x v="1"/>
    <d v="2014-07-01T00:00:00"/>
    <x v="1"/>
    <x v="6"/>
    <n v="101.7453"/>
    <n v="103.354"/>
    <n v="101.3432"/>
    <n v="102.95180000000001"/>
    <n v="33022"/>
    <n v="1.1788000000000001"/>
    <n v="1.9841"/>
  </r>
  <r>
    <n v="2303"/>
    <x v="0"/>
    <d v="2014-07-02T00:00:00"/>
    <x v="2"/>
    <x v="6"/>
    <n v="12.146699999999999"/>
    <n v="12.462199999999999"/>
    <n v="12.0284"/>
    <n v="12.0678"/>
    <n v="167509"/>
    <n v="0.32729999999999998"/>
    <n v="3.6065999999999998"/>
  </r>
  <r>
    <n v="2330"/>
    <x v="1"/>
    <d v="2014-07-02T00:00:00"/>
    <x v="2"/>
    <x v="6"/>
    <n v="104.1583"/>
    <n v="106.5712"/>
    <n v="103.7561"/>
    <n v="106.5712"/>
    <n v="51623"/>
    <n v="3.4552"/>
    <n v="2.7132000000000001"/>
  </r>
  <r>
    <n v="2303"/>
    <x v="0"/>
    <d v="2014-07-03T00:00:00"/>
    <x v="3"/>
    <x v="6"/>
    <n v="12.146699999999999"/>
    <n v="12.3833"/>
    <n v="12.146699999999999"/>
    <n v="12.3439"/>
    <n v="128150"/>
    <n v="2.2618"/>
    <n v="1.9480999999999999"/>
  </r>
  <r>
    <n v="2330"/>
    <x v="1"/>
    <d v="2014-07-03T00:00:00"/>
    <x v="3"/>
    <x v="6"/>
    <n v="105.76690000000001"/>
    <n v="108.58199999999999"/>
    <n v="104.96259999999999"/>
    <n v="108.1798"/>
    <n v="41188"/>
    <n v="1.4982"/>
    <n v="3.4483000000000001"/>
  </r>
  <r>
    <n v="2303"/>
    <x v="0"/>
    <d v="2014-07-04T00:00:00"/>
    <x v="4"/>
    <x v="6"/>
    <n v="12.462199999999999"/>
    <n v="13.172000000000001"/>
    <n v="12.462199999999999"/>
    <n v="13.0143"/>
    <n v="204232"/>
    <n v="5.2888999999999999"/>
    <n v="5.6962000000000002"/>
  </r>
  <r>
    <n v="2330"/>
    <x v="1"/>
    <d v="2014-07-04T00:00:00"/>
    <x v="4"/>
    <x v="6"/>
    <n v="107.3755"/>
    <n v="109.38630000000001"/>
    <n v="106.1691"/>
    <n v="108.58199999999999"/>
    <n v="44516"/>
    <n v="0.37109999999999999"/>
    <n v="3.0303"/>
  </r>
  <r>
    <n v="2303"/>
    <x v="0"/>
    <d v="2014-07-07T00:00:00"/>
    <x v="0"/>
    <x v="6"/>
    <n v="13.095599999999999"/>
    <n v="13.177"/>
    <n v="12.851599999999999"/>
    <n v="12.973599999999999"/>
    <n v="128126"/>
    <n v="-0.30349999999999999"/>
    <n v="2.5316000000000001"/>
  </r>
  <r>
    <n v="2330"/>
    <x v="1"/>
    <d v="2014-07-07T00:00:00"/>
    <x v="0"/>
    <x v="6"/>
    <n v="108.1798"/>
    <n v="109.38630000000001"/>
    <n v="106.5712"/>
    <n v="109.38630000000001"/>
    <n v="32207"/>
    <n v="0.73799999999999999"/>
    <n v="2.6415000000000002"/>
  </r>
  <r>
    <n v="2303"/>
    <x v="0"/>
    <d v="2014-07-08T00:00:00"/>
    <x v="1"/>
    <x v="6"/>
    <n v="13.0143"/>
    <n v="13.095599999999999"/>
    <n v="12.648300000000001"/>
    <n v="12.6889"/>
    <n v="82485"/>
    <n v="-2.2187999999999999"/>
    <n v="3.5369999999999999"/>
  </r>
  <r>
    <n v="2330"/>
    <x v="1"/>
    <d v="2014-07-08T00:00:00"/>
    <x v="1"/>
    <x v="6"/>
    <n v="108.9841"/>
    <n v="109.38630000000001"/>
    <n v="107.7777"/>
    <n v="108.1798"/>
    <n v="36299"/>
    <n v="-1.1091"/>
    <n v="1.4924999999999999"/>
  </r>
  <r>
    <n v="2303"/>
    <x v="0"/>
    <d v="2014-07-09T00:00:00"/>
    <x v="2"/>
    <x v="6"/>
    <n v="12.6889"/>
    <n v="12.770300000000001"/>
    <n v="12.526300000000001"/>
    <n v="12.6076"/>
    <n v="61545"/>
    <n v="-0.6431"/>
    <n v="1.9480999999999999"/>
  </r>
  <r>
    <n v="2330"/>
    <x v="1"/>
    <d v="2014-07-09T00:00:00"/>
    <x v="2"/>
    <x v="6"/>
    <n v="107.3755"/>
    <n v="108.58199999999999"/>
    <n v="107.3755"/>
    <n v="107.7777"/>
    <n v="39336"/>
    <n v="-0.37240000000000001"/>
    <n v="1.1235999999999999"/>
  </r>
  <r>
    <n v="2303"/>
    <x v="0"/>
    <d v="2014-07-10T00:00:00"/>
    <x v="3"/>
    <x v="6"/>
    <n v="12.892300000000001"/>
    <n v="12.9329"/>
    <n v="12.648300000000001"/>
    <n v="12.770300000000001"/>
    <n v="84806"/>
    <n v="1.2821"/>
    <n v="2.2507999999999999"/>
  </r>
  <r>
    <n v="2330"/>
    <x v="1"/>
    <d v="2014-07-10T00:00:00"/>
    <x v="3"/>
    <x v="6"/>
    <n v="108.1798"/>
    <n v="109.38630000000001"/>
    <n v="108.1798"/>
    <n v="108.1798"/>
    <n v="51132"/>
    <n v="0.37240000000000001"/>
    <n v="1.1152"/>
  </r>
  <r>
    <n v="2303"/>
    <x v="0"/>
    <d v="2014-07-11T00:00:00"/>
    <x v="4"/>
    <x v="6"/>
    <n v="12.6889"/>
    <n v="12.6889"/>
    <n v="12.2822"/>
    <n v="12.444900000000001"/>
    <n v="82346"/>
    <n v="-2.5808"/>
    <n v="3.3113000000000001"/>
  </r>
  <r>
    <n v="2330"/>
    <x v="1"/>
    <d v="2014-07-11T00:00:00"/>
    <x v="4"/>
    <x v="6"/>
    <n v="109.38630000000001"/>
    <n v="110.9949"/>
    <n v="108.9841"/>
    <n v="109.7885"/>
    <n v="43513"/>
    <n v="1.476"/>
    <n v="1.845"/>
  </r>
  <r>
    <n v="2303"/>
    <x v="0"/>
    <d v="2014-07-14T00:00:00"/>
    <x v="0"/>
    <x v="6"/>
    <n v="12.6076"/>
    <n v="13.2583"/>
    <n v="12.5669"/>
    <n v="12.892300000000001"/>
    <n v="99067"/>
    <n v="3.5316999999999998"/>
    <n v="5.5015999999999998"/>
  </r>
  <r>
    <n v="2330"/>
    <x v="1"/>
    <d v="2014-07-14T00:00:00"/>
    <x v="0"/>
    <x v="6"/>
    <n v="110.6108"/>
    <n v="110.6108"/>
    <n v="108.96599999999999"/>
    <n v="108.96599999999999"/>
    <n v="46818"/>
    <n v="-0.73540000000000005"/>
    <n v="1.5094000000000001"/>
  </r>
  <r>
    <n v="2303"/>
    <x v="0"/>
    <d v="2014-07-15T00:00:00"/>
    <x v="1"/>
    <x v="6"/>
    <n v="12.9329"/>
    <n v="13.0143"/>
    <n v="12.7296"/>
    <n v="12.770300000000001"/>
    <n v="48673"/>
    <n v="-0.95089999999999997"/>
    <n v="2.2364000000000002"/>
  </r>
  <r>
    <n v="2330"/>
    <x v="1"/>
    <d v="2014-07-15T00:00:00"/>
    <x v="1"/>
    <x v="6"/>
    <n v="109.3772"/>
    <n v="110.1996"/>
    <n v="108.96599999999999"/>
    <n v="109.3772"/>
    <n v="37976"/>
    <n v="0.37659999999999999"/>
    <n v="1.1321000000000001"/>
  </r>
  <r>
    <n v="2303"/>
    <x v="0"/>
    <d v="2014-07-16T00:00:00"/>
    <x v="2"/>
    <x v="6"/>
    <n v="12.7296"/>
    <n v="12.770300000000001"/>
    <n v="12.526300000000001"/>
    <n v="12.5669"/>
    <n v="41895"/>
    <n v="-1.6052"/>
    <n v="1.9480999999999999"/>
  </r>
  <r>
    <n v="2330"/>
    <x v="1"/>
    <d v="2014-07-16T00:00:00"/>
    <x v="2"/>
    <x v="6"/>
    <n v="109.3772"/>
    <n v="109.7884"/>
    <n v="106.91"/>
    <n v="107.3212"/>
    <n v="42072"/>
    <n v="-1.8976"/>
    <n v="2.6922999999999999"/>
  </r>
  <r>
    <n v="2303"/>
    <x v="0"/>
    <d v="2014-07-17T00:00:00"/>
    <x v="3"/>
    <x v="6"/>
    <n v="12.444900000000001"/>
    <n v="12.444900000000001"/>
    <n v="12.2416"/>
    <n v="12.2822"/>
    <n v="88537"/>
    <n v="-2.2913999999999999"/>
    <n v="1.6611"/>
  </r>
  <r>
    <n v="2330"/>
    <x v="1"/>
    <d v="2014-07-17T00:00:00"/>
    <x v="3"/>
    <x v="6"/>
    <n v="102.79810000000001"/>
    <n v="103.2093"/>
    <n v="101.1534"/>
    <n v="102.3869"/>
    <n v="138665"/>
    <n v="-4.7068000000000003"/>
    <n v="2.0325000000000002"/>
  </r>
  <r>
    <n v="2303"/>
    <x v="0"/>
    <d v="2014-07-18T00:00:00"/>
    <x v="4"/>
    <x v="6"/>
    <n v="12.1196"/>
    <n v="12.404199999999999"/>
    <n v="12.0382"/>
    <n v="12.404199999999999"/>
    <n v="55755"/>
    <n v="0.98850000000000005"/>
    <n v="3.0405000000000002"/>
  </r>
  <r>
    <n v="2330"/>
    <x v="1"/>
    <d v="2014-07-18T00:00:00"/>
    <x v="4"/>
    <x v="6"/>
    <n v="99.919799999999995"/>
    <n v="101.9757"/>
    <n v="99.919799999999995"/>
    <n v="101.5645"/>
    <n v="97366"/>
    <n v="-0.80649999999999999"/>
    <n v="2.0575999999999999"/>
  </r>
  <r>
    <n v="2303"/>
    <x v="0"/>
    <d v="2014-07-21T00:00:00"/>
    <x v="0"/>
    <x v="6"/>
    <n v="12.770300000000001"/>
    <n v="13.0143"/>
    <n v="12.648300000000001"/>
    <n v="12.648300000000001"/>
    <n v="117265"/>
    <n v="1.9480999999999999"/>
    <n v="2.8938999999999999"/>
  </r>
  <r>
    <n v="2330"/>
    <x v="1"/>
    <d v="2014-07-21T00:00:00"/>
    <x v="0"/>
    <x v="6"/>
    <n v="101.9757"/>
    <n v="102.3869"/>
    <n v="100.7422"/>
    <n v="101.5645"/>
    <n v="58994"/>
    <n v="0"/>
    <n v="1.6327"/>
  </r>
  <r>
    <n v="2303"/>
    <x v="0"/>
    <d v="2014-07-22T00:00:00"/>
    <x v="1"/>
    <x v="6"/>
    <n v="12.6889"/>
    <n v="12.851599999999999"/>
    <n v="12.6076"/>
    <n v="12.770300000000001"/>
    <n v="57911"/>
    <n v="0.96"/>
    <n v="1.9355"/>
  </r>
  <r>
    <n v="2330"/>
    <x v="1"/>
    <d v="2014-07-22T00:00:00"/>
    <x v="1"/>
    <x v="6"/>
    <n v="101.5645"/>
    <n v="102.79810000000001"/>
    <n v="100.7422"/>
    <n v="102.3869"/>
    <n v="53307"/>
    <n v="0.80649999999999999"/>
    <n v="2.0407999999999999"/>
  </r>
  <r>
    <n v="2303"/>
    <x v="0"/>
    <d v="2014-07-24T00:00:00"/>
    <x v="3"/>
    <x v="6"/>
    <n v="12.7296"/>
    <n v="12.8109"/>
    <n v="12.648300000000001"/>
    <n v="12.7296"/>
    <n v="42941"/>
    <n v="-0.31900000000000001"/>
    <n v="1.2862"/>
  </r>
  <r>
    <n v="2330"/>
    <x v="1"/>
    <d v="2014-07-24T00:00:00"/>
    <x v="3"/>
    <x v="6"/>
    <n v="102.3869"/>
    <n v="102.79810000000001"/>
    <n v="101.9757"/>
    <n v="102.79810000000001"/>
    <n v="66041"/>
    <n v="0.40079999999999999"/>
    <n v="0.80649999999999999"/>
  </r>
  <r>
    <n v="2303"/>
    <x v="0"/>
    <d v="2014-07-25T00:00:00"/>
    <x v="4"/>
    <x v="6"/>
    <n v="12.6889"/>
    <n v="12.6889"/>
    <n v="12.3636"/>
    <n v="12.404199999999999"/>
    <n v="53287"/>
    <n v="-2.5891000000000002"/>
    <n v="2.6316000000000002"/>
  </r>
  <r>
    <n v="2330"/>
    <x v="1"/>
    <d v="2014-07-25T00:00:00"/>
    <x v="4"/>
    <x v="6"/>
    <n v="102.3869"/>
    <n v="102.79810000000001"/>
    <n v="100.7422"/>
    <n v="101.1534"/>
    <n v="31609"/>
    <n v="-1.6129"/>
    <n v="2.0407999999999999"/>
  </r>
  <r>
    <n v="2303"/>
    <x v="0"/>
    <d v="2014-07-28T00:00:00"/>
    <x v="0"/>
    <x v="6"/>
    <n v="12.2822"/>
    <n v="12.322900000000001"/>
    <n v="12.078900000000001"/>
    <n v="12.078900000000001"/>
    <n v="78038"/>
    <n v="-2.6579999999999999"/>
    <n v="2.0202"/>
  </r>
  <r>
    <n v="2330"/>
    <x v="1"/>
    <d v="2014-07-28T00:00:00"/>
    <x v="0"/>
    <x v="6"/>
    <n v="100.331"/>
    <n v="100.7422"/>
    <n v="99.508600000000001"/>
    <n v="99.919799999999995"/>
    <n v="43514"/>
    <n v="-1.2270000000000001"/>
    <n v="1.2397"/>
  </r>
  <r>
    <n v="2303"/>
    <x v="0"/>
    <d v="2014-07-29T00:00:00"/>
    <x v="1"/>
    <x v="6"/>
    <n v="12.078900000000001"/>
    <n v="12.200900000000001"/>
    <n v="11.875500000000001"/>
    <n v="11.9162"/>
    <n v="67935"/>
    <n v="-1.3560000000000001"/>
    <n v="2.7397"/>
  </r>
  <r>
    <n v="2330"/>
    <x v="1"/>
    <d v="2014-07-29T00:00:00"/>
    <x v="1"/>
    <x v="6"/>
    <n v="100.7422"/>
    <n v="101.9757"/>
    <n v="100.331"/>
    <n v="101.9757"/>
    <n v="40749"/>
    <n v="2.0367000000000002"/>
    <n v="1.6393"/>
  </r>
  <r>
    <n v="2303"/>
    <x v="0"/>
    <d v="2014-07-30T00:00:00"/>
    <x v="2"/>
    <x v="6"/>
    <n v="11.956899999999999"/>
    <n v="12.1602"/>
    <n v="11.956899999999999"/>
    <n v="12.1196"/>
    <n v="53713"/>
    <n v="1.6920999999999999"/>
    <n v="1.7007000000000001"/>
  </r>
  <r>
    <n v="2330"/>
    <x v="1"/>
    <d v="2014-07-30T00:00:00"/>
    <x v="2"/>
    <x v="6"/>
    <n v="101.5645"/>
    <n v="102.79810000000001"/>
    <n v="101.1534"/>
    <n v="102.3869"/>
    <n v="32428"/>
    <n v="0.40239999999999998"/>
    <n v="1.6259999999999999"/>
  </r>
  <r>
    <n v="2303"/>
    <x v="0"/>
    <d v="2014-07-31T00:00:00"/>
    <x v="3"/>
    <x v="6"/>
    <n v="11.7942"/>
    <n v="11.7942"/>
    <n v="11.3062"/>
    <n v="11.4282"/>
    <n v="184181"/>
    <n v="-5.8738999999999999"/>
    <n v="4.3164999999999996"/>
  </r>
  <r>
    <n v="2330"/>
    <x v="1"/>
    <d v="2014-07-31T00:00:00"/>
    <x v="3"/>
    <x v="6"/>
    <n v="101.9757"/>
    <n v="101.9757"/>
    <n v="99.508600000000001"/>
    <n v="99.508600000000001"/>
    <n v="44806"/>
    <n v="-2.8515000000000001"/>
    <n v="2.4792999999999998"/>
  </r>
  <r>
    <n v="2303"/>
    <x v="0"/>
    <d v="2014-08-01T00:00:00"/>
    <x v="4"/>
    <x v="7"/>
    <n v="11.0215"/>
    <n v="11.1028"/>
    <n v="10.9808"/>
    <n v="11.0215"/>
    <n v="145074"/>
    <n v="-3.6236000000000002"/>
    <n v="1.1111"/>
  </r>
  <r>
    <n v="2330"/>
    <x v="1"/>
    <d v="2014-08-01T00:00:00"/>
    <x v="4"/>
    <x v="7"/>
    <n v="98.686199999999999"/>
    <n v="99.508600000000001"/>
    <n v="98.275000000000006"/>
    <n v="98.686199999999999"/>
    <n v="61873"/>
    <n v="-0.82989999999999997"/>
    <n v="1.2552000000000001"/>
  </r>
  <r>
    <n v="2303"/>
    <x v="0"/>
    <d v="2014-08-04T00:00:00"/>
    <x v="0"/>
    <x v="7"/>
    <n v="10.8995"/>
    <n v="11.062099999999999"/>
    <n v="10.8588"/>
    <n v="11.062099999999999"/>
    <n v="112176"/>
    <n v="0.36830000000000002"/>
    <n v="1.8727"/>
  </r>
  <r>
    <n v="2330"/>
    <x v="1"/>
    <d v="2014-08-04T00:00:00"/>
    <x v="0"/>
    <x v="7"/>
    <n v="98.686199999999999"/>
    <n v="101.5645"/>
    <n v="98.686199999999999"/>
    <n v="101.5645"/>
    <n v="39730"/>
    <n v="2.8748999999999998"/>
    <n v="2.9167000000000001"/>
  </r>
  <r>
    <n v="2303"/>
    <x v="0"/>
    <d v="2014-08-05T00:00:00"/>
    <x v="1"/>
    <x v="7"/>
    <n v="10.940099999999999"/>
    <n v="10.9808"/>
    <n v="10.736800000000001"/>
    <n v="10.736800000000001"/>
    <n v="109286"/>
    <n v="-2.9853000000000001"/>
    <n v="2.2726999999999999"/>
  </r>
  <r>
    <n v="2330"/>
    <x v="1"/>
    <d v="2014-08-05T00:00:00"/>
    <x v="1"/>
    <x v="7"/>
    <n v="100.7422"/>
    <n v="100.7422"/>
    <n v="98.275000000000006"/>
    <n v="98.275000000000006"/>
    <n v="61536"/>
    <n v="-3.2925"/>
    <n v="2.5105"/>
  </r>
  <r>
    <n v="2303"/>
    <x v="0"/>
    <d v="2014-08-06T00:00:00"/>
    <x v="2"/>
    <x v="7"/>
    <n v="10.736800000000001"/>
    <n v="10.940099999999999"/>
    <n v="10.696099999999999"/>
    <n v="10.8588"/>
    <n v="67487"/>
    <n v="1.1299999999999999"/>
    <n v="2.2814000000000001"/>
  </r>
  <r>
    <n v="2330"/>
    <x v="1"/>
    <d v="2014-08-06T00:00:00"/>
    <x v="2"/>
    <x v="7"/>
    <n v="97.863799999999998"/>
    <n v="99.919799999999995"/>
    <n v="97.863799999999998"/>
    <n v="99.097399999999993"/>
    <n v="38043"/>
    <n v="0.83330000000000004"/>
    <n v="2.1008"/>
  </r>
  <r>
    <n v="2303"/>
    <x v="0"/>
    <d v="2014-08-07T00:00:00"/>
    <x v="3"/>
    <x v="7"/>
    <n v="10.940099999999999"/>
    <n v="11.062099999999999"/>
    <n v="10.818099999999999"/>
    <n v="10.818099999999999"/>
    <n v="63973"/>
    <n v="-0.37519999999999998"/>
    <n v="2.2555999999999998"/>
  </r>
  <r>
    <n v="2330"/>
    <x v="1"/>
    <d v="2014-08-07T00:00:00"/>
    <x v="3"/>
    <x v="7"/>
    <n v="99.097399999999993"/>
    <n v="99.919799999999995"/>
    <n v="98.275000000000006"/>
    <n v="99.919799999999995"/>
    <n v="30079"/>
    <n v="0.82650000000000001"/>
    <n v="1.6736"/>
  </r>
  <r>
    <n v="2303"/>
    <x v="0"/>
    <d v="2014-08-08T00:00:00"/>
    <x v="4"/>
    <x v="7"/>
    <n v="10.736800000000001"/>
    <n v="10.818099999999999"/>
    <n v="10.5741"/>
    <n v="10.6554"/>
    <n v="88420"/>
    <n v="-1.5152000000000001"/>
    <n v="2.3077000000000001"/>
  </r>
  <r>
    <n v="2330"/>
    <x v="1"/>
    <d v="2014-08-08T00:00:00"/>
    <x v="4"/>
    <x v="7"/>
    <n v="99.097399999999993"/>
    <n v="99.508600000000001"/>
    <n v="98.275000000000006"/>
    <n v="99.097399999999993"/>
    <n v="35170"/>
    <n v="-0.82650000000000001"/>
    <n v="1.2552000000000001"/>
  </r>
  <r>
    <n v="2303"/>
    <x v="0"/>
    <d v="2014-08-11T00:00:00"/>
    <x v="0"/>
    <x v="7"/>
    <n v="10.5741"/>
    <n v="10.818099999999999"/>
    <n v="10.5741"/>
    <n v="10.7775"/>
    <n v="54649"/>
    <n v="1.1385000000000001"/>
    <n v="2.3077000000000001"/>
  </r>
  <r>
    <n v="2330"/>
    <x v="1"/>
    <d v="2014-08-11T00:00:00"/>
    <x v="0"/>
    <x v="7"/>
    <n v="98.686199999999999"/>
    <n v="99.508600000000001"/>
    <n v="98.275000000000006"/>
    <n v="99.097399999999993"/>
    <n v="42993"/>
    <n v="0"/>
    <n v="1.2552000000000001"/>
  </r>
  <r>
    <n v="2303"/>
    <x v="0"/>
    <d v="2014-08-12T00:00:00"/>
    <x v="1"/>
    <x v="7"/>
    <n v="10.7775"/>
    <n v="10.7775"/>
    <n v="10.614800000000001"/>
    <n v="10.614800000000001"/>
    <n v="39401"/>
    <n v="-1.5208999999999999"/>
    <n v="1.5326"/>
  </r>
  <r>
    <n v="2330"/>
    <x v="1"/>
    <d v="2014-08-12T00:00:00"/>
    <x v="1"/>
    <x v="7"/>
    <n v="99.508600000000001"/>
    <n v="100.331"/>
    <n v="99.097399999999993"/>
    <n v="99.919799999999995"/>
    <n v="32278"/>
    <n v="0.82650000000000001"/>
    <n v="1.2447999999999999"/>
  </r>
  <r>
    <n v="2303"/>
    <x v="0"/>
    <d v="2014-08-13T00:00:00"/>
    <x v="2"/>
    <x v="7"/>
    <n v="10.6554"/>
    <n v="10.736800000000001"/>
    <n v="10.614800000000001"/>
    <n v="10.696099999999999"/>
    <n v="25800"/>
    <n v="0.76339999999999997"/>
    <n v="1.1494"/>
  </r>
  <r>
    <n v="2330"/>
    <x v="1"/>
    <d v="2014-08-13T00:00:00"/>
    <x v="2"/>
    <x v="7"/>
    <n v="99.508600000000001"/>
    <n v="101.5645"/>
    <n v="99.097399999999993"/>
    <n v="100.7422"/>
    <n v="39837"/>
    <n v="0.81969999999999998"/>
    <n v="2.4895999999999998"/>
  </r>
  <r>
    <n v="2303"/>
    <x v="0"/>
    <d v="2014-08-14T00:00:00"/>
    <x v="3"/>
    <x v="7"/>
    <n v="10.736800000000001"/>
    <n v="10.9808"/>
    <n v="10.736800000000001"/>
    <n v="10.818099999999999"/>
    <n v="59872"/>
    <n v="1.1342000000000001"/>
    <n v="2.2726999999999999"/>
  </r>
  <r>
    <n v="2330"/>
    <x v="1"/>
    <d v="2014-08-14T00:00:00"/>
    <x v="3"/>
    <x v="7"/>
    <n v="101.5645"/>
    <n v="101.9757"/>
    <n v="101.1534"/>
    <n v="101.9757"/>
    <n v="32955"/>
    <n v="1.2171000000000001"/>
    <n v="0.81299999999999994"/>
  </r>
  <r>
    <n v="2303"/>
    <x v="0"/>
    <d v="2014-08-15T00:00:00"/>
    <x v="4"/>
    <x v="7"/>
    <n v="10.818099999999999"/>
    <n v="10.8588"/>
    <n v="10.736800000000001"/>
    <n v="10.736800000000001"/>
    <n v="23249"/>
    <n v="-0.75470000000000004"/>
    <n v="1.1364000000000001"/>
  </r>
  <r>
    <n v="2330"/>
    <x v="1"/>
    <d v="2014-08-15T00:00:00"/>
    <x v="4"/>
    <x v="7"/>
    <n v="102.3869"/>
    <n v="102.79810000000001"/>
    <n v="101.1534"/>
    <n v="101.9757"/>
    <n v="19189"/>
    <n v="0"/>
    <n v="1.6259999999999999"/>
  </r>
  <r>
    <n v="2303"/>
    <x v="0"/>
    <d v="2014-08-18T00:00:00"/>
    <x v="0"/>
    <x v="7"/>
    <n v="10.736800000000001"/>
    <n v="10.818099999999999"/>
    <n v="10.6554"/>
    <n v="10.6554"/>
    <n v="24188"/>
    <n v="-0.76049999999999995"/>
    <n v="1.5266999999999999"/>
  </r>
  <r>
    <n v="2330"/>
    <x v="1"/>
    <d v="2014-08-18T00:00:00"/>
    <x v="0"/>
    <x v="7"/>
    <n v="101.9757"/>
    <n v="101.9757"/>
    <n v="100.7422"/>
    <n v="101.1534"/>
    <n v="14766"/>
    <n v="-0.80969999999999998"/>
    <n v="1.2244999999999999"/>
  </r>
  <r>
    <n v="2303"/>
    <x v="0"/>
    <d v="2014-08-19T00:00:00"/>
    <x v="1"/>
    <x v="7"/>
    <n v="10.7775"/>
    <n v="10.818099999999999"/>
    <n v="10.6554"/>
    <n v="10.736800000000001"/>
    <n v="23182"/>
    <n v="0.76049999999999995"/>
    <n v="1.5266999999999999"/>
  </r>
  <r>
    <n v="2330"/>
    <x v="1"/>
    <d v="2014-08-19T00:00:00"/>
    <x v="1"/>
    <x v="7"/>
    <n v="101.9757"/>
    <n v="102.79810000000001"/>
    <n v="101.5645"/>
    <n v="101.9757"/>
    <n v="31922"/>
    <n v="0.80969999999999998"/>
    <n v="1.2145999999999999"/>
  </r>
  <r>
    <n v="2303"/>
    <x v="0"/>
    <d v="2014-08-20T00:00:00"/>
    <x v="2"/>
    <x v="7"/>
    <n v="10.818099999999999"/>
    <n v="10.8995"/>
    <n v="10.7775"/>
    <n v="10.7775"/>
    <n v="39321"/>
    <n v="0.37809999999999999"/>
    <n v="1.1321000000000001"/>
  </r>
  <r>
    <n v="2330"/>
    <x v="1"/>
    <d v="2014-08-20T00:00:00"/>
    <x v="2"/>
    <x v="7"/>
    <n v="102.79810000000001"/>
    <n v="103.2093"/>
    <n v="102.3869"/>
    <n v="103.2093"/>
    <n v="28975"/>
    <n v="1.2023999999999999"/>
    <n v="0.80320000000000003"/>
  </r>
  <r>
    <n v="2303"/>
    <x v="0"/>
    <d v="2014-08-21T00:00:00"/>
    <x v="3"/>
    <x v="7"/>
    <n v="10.818099999999999"/>
    <n v="10.8588"/>
    <n v="10.736800000000001"/>
    <n v="10.736800000000001"/>
    <n v="22989"/>
    <n v="-0.37809999999999999"/>
    <n v="1.1364000000000001"/>
  </r>
  <r>
    <n v="2330"/>
    <x v="1"/>
    <d v="2014-08-21T00:00:00"/>
    <x v="3"/>
    <x v="7"/>
    <n v="103.62050000000001"/>
    <n v="103.62050000000001"/>
    <n v="101.9757"/>
    <n v="102.3869"/>
    <n v="23089"/>
    <n v="-0.8"/>
    <n v="1.6129"/>
  </r>
  <r>
    <n v="2303"/>
    <x v="0"/>
    <d v="2014-08-22T00:00:00"/>
    <x v="4"/>
    <x v="7"/>
    <n v="10.736800000000001"/>
    <n v="11.1435"/>
    <n v="10.736800000000001"/>
    <n v="10.9808"/>
    <n v="91030"/>
    <n v="2.2473000000000001"/>
    <n v="3.7879"/>
  </r>
  <r>
    <n v="2330"/>
    <x v="1"/>
    <d v="2014-08-22T00:00:00"/>
    <x v="4"/>
    <x v="7"/>
    <n v="102.3869"/>
    <n v="103.62050000000001"/>
    <n v="101.5645"/>
    <n v="103.2093"/>
    <n v="42775"/>
    <n v="0.8"/>
    <n v="2.0243000000000002"/>
  </r>
  <r>
    <n v="2303"/>
    <x v="0"/>
    <d v="2014-08-25T00:00:00"/>
    <x v="0"/>
    <x v="7"/>
    <n v="10.9808"/>
    <n v="10.9808"/>
    <n v="10.8995"/>
    <n v="10.940099999999999"/>
    <n v="25947"/>
    <n v="-0.37109999999999999"/>
    <n v="0.74629999999999996"/>
  </r>
  <r>
    <n v="2330"/>
    <x v="1"/>
    <d v="2014-08-25T00:00:00"/>
    <x v="0"/>
    <x v="7"/>
    <n v="103.2093"/>
    <n v="103.62050000000001"/>
    <n v="102.79810000000001"/>
    <n v="102.79810000000001"/>
    <n v="21107"/>
    <n v="-0.3992"/>
    <n v="0.8"/>
  </r>
  <r>
    <n v="2303"/>
    <x v="0"/>
    <d v="2014-08-26T00:00:00"/>
    <x v="1"/>
    <x v="7"/>
    <n v="10.940099999999999"/>
    <n v="11.1028"/>
    <n v="10.8995"/>
    <n v="11.0215"/>
    <n v="50653"/>
    <n v="0.74070000000000003"/>
    <n v="1.8656999999999999"/>
  </r>
  <r>
    <n v="2330"/>
    <x v="1"/>
    <d v="2014-08-26T00:00:00"/>
    <x v="1"/>
    <x v="7"/>
    <n v="102.79810000000001"/>
    <n v="103.2093"/>
    <n v="101.9757"/>
    <n v="102.3869"/>
    <n v="30428"/>
    <n v="-0.40079999999999999"/>
    <n v="1.2097"/>
  </r>
  <r>
    <n v="2303"/>
    <x v="0"/>
    <d v="2014-08-27T00:00:00"/>
    <x v="2"/>
    <x v="7"/>
    <n v="11.062099999999999"/>
    <n v="11.2248"/>
    <n v="11.062099999999999"/>
    <n v="11.062099999999999"/>
    <n v="67851"/>
    <n v="0.36830000000000002"/>
    <n v="1.4705999999999999"/>
  </r>
  <r>
    <n v="2330"/>
    <x v="1"/>
    <d v="2014-08-27T00:00:00"/>
    <x v="2"/>
    <x v="7"/>
    <n v="103.2093"/>
    <n v="103.62050000000001"/>
    <n v="102.3869"/>
    <n v="103.2093"/>
    <n v="36839"/>
    <n v="0.8"/>
    <n v="1.2048000000000001"/>
  </r>
  <r>
    <n v="2303"/>
    <x v="0"/>
    <d v="2014-08-28T00:00:00"/>
    <x v="3"/>
    <x v="7"/>
    <n v="11.062099999999999"/>
    <n v="11.1435"/>
    <n v="10.9808"/>
    <n v="11.1028"/>
    <n v="48200"/>
    <n v="0.36699999999999999"/>
    <n v="1.4815"/>
  </r>
  <r>
    <n v="2330"/>
    <x v="1"/>
    <d v="2014-08-28T00:00:00"/>
    <x v="3"/>
    <x v="7"/>
    <n v="103.62050000000001"/>
    <n v="103.62050000000001"/>
    <n v="102.3869"/>
    <n v="102.79810000000001"/>
    <n v="21759"/>
    <n v="-0.3992"/>
    <n v="1.2048000000000001"/>
  </r>
  <r>
    <n v="2303"/>
    <x v="0"/>
    <d v="2014-08-29T00:00:00"/>
    <x v="4"/>
    <x v="7"/>
    <n v="11.062099999999999"/>
    <n v="11.265499999999999"/>
    <n v="11.0215"/>
    <n v="11.1028"/>
    <n v="44254"/>
    <n v="0"/>
    <n v="2.214"/>
  </r>
  <r>
    <n v="2330"/>
    <x v="1"/>
    <d v="2014-08-29T00:00:00"/>
    <x v="4"/>
    <x v="7"/>
    <n v="102.3869"/>
    <n v="102.79810000000001"/>
    <n v="101.9757"/>
    <n v="101.9757"/>
    <n v="28358"/>
    <n v="-0.80320000000000003"/>
    <n v="0.80649999999999999"/>
  </r>
  <r>
    <n v="2303"/>
    <x v="0"/>
    <d v="2014-09-01T00:00:00"/>
    <x v="0"/>
    <x v="8"/>
    <n v="11.184200000000001"/>
    <n v="11.265499999999999"/>
    <n v="11.1435"/>
    <n v="11.184200000000001"/>
    <n v="43327"/>
    <n v="0.72989999999999999"/>
    <n v="1.0949"/>
  </r>
  <r>
    <n v="2330"/>
    <x v="1"/>
    <d v="2014-09-01T00:00:00"/>
    <x v="0"/>
    <x v="8"/>
    <n v="102.79810000000001"/>
    <n v="105.6765"/>
    <n v="102.79810000000001"/>
    <n v="105.6765"/>
    <n v="37523"/>
    <n v="3.5647000000000002"/>
    <n v="2.8"/>
  </r>
  <r>
    <n v="2303"/>
    <x v="0"/>
    <d v="2014-09-02T00:00:00"/>
    <x v="1"/>
    <x v="8"/>
    <n v="11.184200000000001"/>
    <n v="11.184200000000001"/>
    <n v="10.8995"/>
    <n v="10.8995"/>
    <n v="50331"/>
    <n v="-2.5783999999999998"/>
    <n v="2.6118999999999999"/>
  </r>
  <r>
    <n v="2330"/>
    <x v="1"/>
    <d v="2014-09-02T00:00:00"/>
    <x v="1"/>
    <x v="8"/>
    <n v="105.2653"/>
    <n v="105.2653"/>
    <n v="103.2093"/>
    <n v="103.62050000000001"/>
    <n v="20057"/>
    <n v="-1.9646999999999999"/>
    <n v="1.992"/>
  </r>
  <r>
    <n v="2303"/>
    <x v="0"/>
    <d v="2014-09-03T00:00:00"/>
    <x v="2"/>
    <x v="8"/>
    <n v="10.9808"/>
    <n v="10.9808"/>
    <n v="10.8588"/>
    <n v="10.940099999999999"/>
    <n v="48315"/>
    <n v="0.37240000000000001"/>
    <n v="1.1235999999999999"/>
  </r>
  <r>
    <n v="2330"/>
    <x v="1"/>
    <d v="2014-09-03T00:00:00"/>
    <x v="2"/>
    <x v="8"/>
    <n v="104.44289999999999"/>
    <n v="105.2653"/>
    <n v="103.2093"/>
    <n v="105.2653"/>
    <n v="24642"/>
    <n v="1.5748"/>
    <n v="1.992"/>
  </r>
  <r>
    <n v="2303"/>
    <x v="0"/>
    <d v="2014-09-04T00:00:00"/>
    <x v="3"/>
    <x v="8"/>
    <n v="10.9808"/>
    <n v="10.9808"/>
    <n v="10.8588"/>
    <n v="10.8995"/>
    <n v="21636"/>
    <n v="-0.37240000000000001"/>
    <n v="1.1235999999999999"/>
  </r>
  <r>
    <n v="2330"/>
    <x v="1"/>
    <d v="2014-09-04T00:00:00"/>
    <x v="3"/>
    <x v="8"/>
    <n v="105.2653"/>
    <n v="105.2653"/>
    <n v="103.62050000000001"/>
    <n v="104.8541"/>
    <n v="22110"/>
    <n v="-0.39140000000000003"/>
    <n v="1.5872999999999999"/>
  </r>
  <r>
    <n v="2303"/>
    <x v="0"/>
    <d v="2014-09-05T00:00:00"/>
    <x v="4"/>
    <x v="8"/>
    <n v="10.9808"/>
    <n v="10.9808"/>
    <n v="10.818099999999999"/>
    <n v="10.818099999999999"/>
    <n v="32946"/>
    <n v="-0.74909999999999999"/>
    <n v="1.5038"/>
  </r>
  <r>
    <n v="2330"/>
    <x v="1"/>
    <d v="2014-09-05T00:00:00"/>
    <x v="4"/>
    <x v="8"/>
    <n v="105.6765"/>
    <n v="105.6765"/>
    <n v="103.2093"/>
    <n v="104.44289999999999"/>
    <n v="20128"/>
    <n v="-0.39290000000000003"/>
    <n v="2.3904000000000001"/>
  </r>
  <r>
    <n v="2303"/>
    <x v="0"/>
    <d v="2014-09-09T00:00:00"/>
    <x v="1"/>
    <x v="8"/>
    <n v="10.8995"/>
    <n v="10.940099999999999"/>
    <n v="10.8588"/>
    <n v="10.8588"/>
    <n v="21272"/>
    <n v="0.37519999999999998"/>
    <n v="0.74909999999999999"/>
  </r>
  <r>
    <n v="2330"/>
    <x v="1"/>
    <d v="2014-09-09T00:00:00"/>
    <x v="1"/>
    <x v="8"/>
    <n v="104.8541"/>
    <n v="104.8541"/>
    <n v="104.0317"/>
    <n v="104.44289999999999"/>
    <n v="24359"/>
    <n v="0"/>
    <n v="0.79049999999999998"/>
  </r>
  <r>
    <n v="2303"/>
    <x v="0"/>
    <d v="2014-09-10T00:00:00"/>
    <x v="2"/>
    <x v="8"/>
    <n v="10.818099999999999"/>
    <n v="10.8588"/>
    <n v="10.736800000000001"/>
    <n v="10.7775"/>
    <n v="29141"/>
    <n v="-0.75190000000000001"/>
    <n v="1.1364000000000001"/>
  </r>
  <r>
    <n v="2330"/>
    <x v="1"/>
    <d v="2014-09-10T00:00:00"/>
    <x v="2"/>
    <x v="8"/>
    <n v="103.62050000000001"/>
    <n v="103.62050000000001"/>
    <n v="101.9757"/>
    <n v="102.79810000000001"/>
    <n v="29718"/>
    <n v="-1.5872999999999999"/>
    <n v="1.6129"/>
  </r>
  <r>
    <n v="2303"/>
    <x v="0"/>
    <d v="2014-09-11T00:00:00"/>
    <x v="3"/>
    <x v="8"/>
    <n v="10.7775"/>
    <n v="10.818099999999999"/>
    <n v="10.696099999999999"/>
    <n v="10.736800000000001"/>
    <n v="19685"/>
    <n v="-0.37809999999999999"/>
    <n v="1.1407"/>
  </r>
  <r>
    <n v="2330"/>
    <x v="1"/>
    <d v="2014-09-11T00:00:00"/>
    <x v="3"/>
    <x v="8"/>
    <n v="103.62050000000001"/>
    <n v="103.62050000000001"/>
    <n v="102.79810000000001"/>
    <n v="102.79810000000001"/>
    <n v="24328"/>
    <n v="0"/>
    <n v="0.8"/>
  </r>
  <r>
    <n v="2303"/>
    <x v="0"/>
    <d v="2014-09-12T00:00:00"/>
    <x v="4"/>
    <x v="8"/>
    <n v="10.736800000000001"/>
    <n v="10.7775"/>
    <n v="10.492800000000001"/>
    <n v="10.5334"/>
    <n v="55536"/>
    <n v="-1.9120999999999999"/>
    <n v="2.7132000000000001"/>
  </r>
  <r>
    <n v="2330"/>
    <x v="1"/>
    <d v="2014-09-12T00:00:00"/>
    <x v="4"/>
    <x v="8"/>
    <n v="102.3869"/>
    <n v="102.79810000000001"/>
    <n v="101.1534"/>
    <n v="101.1534"/>
    <n v="20299"/>
    <n v="-1.6129"/>
    <n v="1.6259999999999999"/>
  </r>
  <r>
    <n v="2303"/>
    <x v="0"/>
    <d v="2014-09-15T00:00:00"/>
    <x v="0"/>
    <x v="8"/>
    <n v="10.492800000000001"/>
    <n v="10.5334"/>
    <n v="10.370799999999999"/>
    <n v="10.492800000000001"/>
    <n v="35156"/>
    <n v="-0.38679999999999998"/>
    <n v="1.5686"/>
  </r>
  <r>
    <n v="2330"/>
    <x v="1"/>
    <d v="2014-09-15T00:00:00"/>
    <x v="0"/>
    <x v="8"/>
    <n v="100.7422"/>
    <n v="101.5645"/>
    <n v="100.331"/>
    <n v="101.5645"/>
    <n v="19643"/>
    <n v="0.40570000000000001"/>
    <n v="1.2295"/>
  </r>
  <r>
    <n v="2303"/>
    <x v="0"/>
    <d v="2014-09-16T00:00:00"/>
    <x v="1"/>
    <x v="8"/>
    <n v="10.492800000000001"/>
    <n v="10.492800000000001"/>
    <n v="10.248799999999999"/>
    <n v="10.248799999999999"/>
    <n v="38861"/>
    <n v="-2.3530000000000002"/>
    <n v="2.3809999999999998"/>
  </r>
  <r>
    <n v="2330"/>
    <x v="1"/>
    <d v="2014-09-16T00:00:00"/>
    <x v="1"/>
    <x v="8"/>
    <n v="101.1534"/>
    <n v="101.1534"/>
    <n v="100.331"/>
    <n v="100.7422"/>
    <n v="19248"/>
    <n v="-0.81299999999999994"/>
    <n v="0.81969999999999998"/>
  </r>
  <r>
    <n v="2303"/>
    <x v="0"/>
    <d v="2014-09-17T00:00:00"/>
    <x v="2"/>
    <x v="8"/>
    <n v="10.4114"/>
    <n v="10.614800000000001"/>
    <n v="10.3301"/>
    <n v="10.492800000000001"/>
    <n v="46923"/>
    <n v="2.3530000000000002"/>
    <n v="2.7559"/>
  </r>
  <r>
    <n v="2330"/>
    <x v="1"/>
    <d v="2014-09-17T00:00:00"/>
    <x v="2"/>
    <x v="8"/>
    <n v="101.5645"/>
    <n v="102.79810000000001"/>
    <n v="101.1534"/>
    <n v="102.3869"/>
    <n v="24018"/>
    <n v="1.6194999999999999"/>
    <n v="1.6259999999999999"/>
  </r>
  <r>
    <n v="2303"/>
    <x v="0"/>
    <d v="2014-09-18T00:00:00"/>
    <x v="3"/>
    <x v="8"/>
    <n v="10.5741"/>
    <n v="10.5741"/>
    <n v="10.4114"/>
    <n v="10.4521"/>
    <n v="17026"/>
    <n v="-0.38840000000000002"/>
    <n v="1.5625"/>
  </r>
  <r>
    <n v="2330"/>
    <x v="1"/>
    <d v="2014-09-18T00:00:00"/>
    <x v="3"/>
    <x v="8"/>
    <n v="102.3869"/>
    <n v="102.79810000000001"/>
    <n v="101.5645"/>
    <n v="102.79810000000001"/>
    <n v="14791"/>
    <n v="0.40079999999999999"/>
    <n v="1.2145999999999999"/>
  </r>
  <r>
    <n v="2303"/>
    <x v="0"/>
    <d v="2014-09-19T00:00:00"/>
    <x v="4"/>
    <x v="8"/>
    <n v="10.5334"/>
    <n v="10.614800000000001"/>
    <n v="10.492800000000001"/>
    <n v="10.5334"/>
    <n v="32242"/>
    <n v="0.7752"/>
    <n v="1.1628000000000001"/>
  </r>
  <r>
    <n v="2330"/>
    <x v="1"/>
    <d v="2014-09-19T00:00:00"/>
    <x v="4"/>
    <x v="8"/>
    <n v="103.2093"/>
    <n v="103.62050000000001"/>
    <n v="102.79810000000001"/>
    <n v="102.79810000000001"/>
    <n v="30781"/>
    <n v="0"/>
    <n v="0.8"/>
  </r>
  <r>
    <n v="2303"/>
    <x v="0"/>
    <d v="2014-09-22T00:00:00"/>
    <x v="0"/>
    <x v="8"/>
    <n v="10.5334"/>
    <n v="10.5334"/>
    <n v="10.3301"/>
    <n v="10.370799999999999"/>
    <n v="30448"/>
    <n v="-1.5565"/>
    <n v="1.9684999999999999"/>
  </r>
  <r>
    <n v="2330"/>
    <x v="1"/>
    <d v="2014-09-22T00:00:00"/>
    <x v="0"/>
    <x v="8"/>
    <n v="101.9757"/>
    <n v="101.9757"/>
    <n v="100.331"/>
    <n v="100.331"/>
    <n v="40658"/>
    <n v="-2.4293"/>
    <n v="1.6393"/>
  </r>
  <r>
    <n v="2303"/>
    <x v="0"/>
    <d v="2014-09-23T00:00:00"/>
    <x v="1"/>
    <x v="8"/>
    <n v="10.370799999999999"/>
    <n v="10.4521"/>
    <n v="10.3301"/>
    <n v="10.370799999999999"/>
    <n v="23256"/>
    <n v="0"/>
    <n v="1.1811"/>
  </r>
  <r>
    <n v="2330"/>
    <x v="1"/>
    <d v="2014-09-23T00:00:00"/>
    <x v="1"/>
    <x v="8"/>
    <n v="101.1534"/>
    <n v="101.5645"/>
    <n v="100.331"/>
    <n v="100.7422"/>
    <n v="16208"/>
    <n v="0.40899999999999997"/>
    <n v="1.2295"/>
  </r>
  <r>
    <n v="2303"/>
    <x v="0"/>
    <d v="2014-09-24T00:00:00"/>
    <x v="2"/>
    <x v="8"/>
    <n v="10.370799999999999"/>
    <n v="10.4521"/>
    <n v="10.370799999999999"/>
    <n v="10.4114"/>
    <n v="23181"/>
    <n v="0.39140000000000003"/>
    <n v="0.7843"/>
  </r>
  <r>
    <n v="2330"/>
    <x v="1"/>
    <d v="2014-09-24T00:00:00"/>
    <x v="2"/>
    <x v="8"/>
    <n v="100.331"/>
    <n v="101.9757"/>
    <n v="100.331"/>
    <n v="101.1534"/>
    <n v="28552"/>
    <n v="0.4073"/>
    <n v="1.6393"/>
  </r>
  <r>
    <n v="2303"/>
    <x v="0"/>
    <d v="2014-09-25T00:00:00"/>
    <x v="3"/>
    <x v="8"/>
    <n v="10.4521"/>
    <n v="10.492800000000001"/>
    <n v="10.248799999999999"/>
    <n v="10.3301"/>
    <n v="43694"/>
    <n v="-0.7843"/>
    <n v="2.3809999999999998"/>
  </r>
  <r>
    <n v="2330"/>
    <x v="1"/>
    <d v="2014-09-25T00:00:00"/>
    <x v="3"/>
    <x v="8"/>
    <n v="101.1534"/>
    <n v="101.9757"/>
    <n v="99.919799999999995"/>
    <n v="100.331"/>
    <n v="23840"/>
    <n v="-0.81630000000000003"/>
    <n v="2.0575999999999999"/>
  </r>
  <r>
    <n v="2303"/>
    <x v="0"/>
    <d v="2014-09-26T00:00:00"/>
    <x v="4"/>
    <x v="8"/>
    <n v="10.248799999999999"/>
    <n v="10.4114"/>
    <n v="10.167400000000001"/>
    <n v="10.289400000000001"/>
    <n v="27513"/>
    <n v="-0.39450000000000002"/>
    <n v="2.4"/>
  </r>
  <r>
    <n v="2330"/>
    <x v="1"/>
    <d v="2014-09-26T00:00:00"/>
    <x v="4"/>
    <x v="8"/>
    <n v="99.508600000000001"/>
    <n v="99.919799999999995"/>
    <n v="99.097399999999993"/>
    <n v="99.508600000000001"/>
    <n v="25408"/>
    <n v="-0.82299999999999995"/>
    <n v="0.82989999999999997"/>
  </r>
  <r>
    <n v="2303"/>
    <x v="0"/>
    <d v="2014-09-29T00:00:00"/>
    <x v="0"/>
    <x v="8"/>
    <n v="10.3301"/>
    <n v="10.370799999999999"/>
    <n v="10.248799999999999"/>
    <n v="10.248799999999999"/>
    <n v="32428"/>
    <n v="-0.39600000000000002"/>
    <n v="1.1904999999999999"/>
  </r>
  <r>
    <n v="2330"/>
    <x v="1"/>
    <d v="2014-09-29T00:00:00"/>
    <x v="0"/>
    <x v="8"/>
    <n v="100.331"/>
    <n v="100.331"/>
    <n v="98.686199999999999"/>
    <n v="99.097399999999993"/>
    <n v="55071"/>
    <n v="-0.41410000000000002"/>
    <n v="1.6667000000000001"/>
  </r>
  <r>
    <n v="2303"/>
    <x v="0"/>
    <d v="2014-09-30T00:00:00"/>
    <x v="1"/>
    <x v="8"/>
    <n v="10.289400000000001"/>
    <n v="10.3301"/>
    <n v="10.045400000000001"/>
    <n v="10.248799999999999"/>
    <n v="56844"/>
    <n v="0"/>
    <n v="2.8340000000000001"/>
  </r>
  <r>
    <n v="2330"/>
    <x v="1"/>
    <d v="2014-09-30T00:00:00"/>
    <x v="1"/>
    <x v="8"/>
    <n v="98.686199999999999"/>
    <n v="99.508600000000001"/>
    <n v="97.863799999999998"/>
    <n v="98.686199999999999"/>
    <n v="52027"/>
    <n v="-0.4158"/>
    <n v="1.6807000000000001"/>
  </r>
  <r>
    <n v="2303"/>
    <x v="0"/>
    <d v="2014-10-01T00:00:00"/>
    <x v="2"/>
    <x v="9"/>
    <n v="10.2081"/>
    <n v="10.3301"/>
    <n v="10.167400000000001"/>
    <n v="10.2081"/>
    <n v="30059"/>
    <n v="-0.39760000000000001"/>
    <n v="1.6"/>
  </r>
  <r>
    <n v="2330"/>
    <x v="1"/>
    <d v="2014-10-01T00:00:00"/>
    <x v="2"/>
    <x v="9"/>
    <n v="98.686199999999999"/>
    <n v="100.331"/>
    <n v="98.686199999999999"/>
    <n v="99.919799999999995"/>
    <n v="42581"/>
    <n v="1.2423"/>
    <n v="1.6667000000000001"/>
  </r>
  <r>
    <n v="2303"/>
    <x v="0"/>
    <d v="2014-10-02T00:00:00"/>
    <x v="3"/>
    <x v="9"/>
    <n v="10.167400000000001"/>
    <n v="10.3301"/>
    <n v="10.1267"/>
    <n v="10.3301"/>
    <n v="26981"/>
    <n v="1.1880999999999999"/>
    <n v="2.008"/>
  </r>
  <r>
    <n v="2330"/>
    <x v="1"/>
    <d v="2014-10-02T00:00:00"/>
    <x v="3"/>
    <x v="9"/>
    <n v="99.508600000000001"/>
    <n v="100.7422"/>
    <n v="99.097399999999993"/>
    <n v="99.508600000000001"/>
    <n v="30795"/>
    <n v="-0.41239999999999999"/>
    <n v="1.6597999999999999"/>
  </r>
  <r>
    <n v="2303"/>
    <x v="0"/>
    <d v="2014-10-03T00:00:00"/>
    <x v="4"/>
    <x v="9"/>
    <n v="10.289400000000001"/>
    <n v="10.5741"/>
    <n v="10.289400000000001"/>
    <n v="10.492800000000001"/>
    <n v="51080"/>
    <n v="1.5625"/>
    <n v="2.7667999999999999"/>
  </r>
  <r>
    <n v="2330"/>
    <x v="1"/>
    <d v="2014-10-03T00:00:00"/>
    <x v="4"/>
    <x v="9"/>
    <n v="100.7422"/>
    <n v="102.79810000000001"/>
    <n v="100.331"/>
    <n v="102.3869"/>
    <n v="52042"/>
    <n v="2.8515000000000001"/>
    <n v="2.4590000000000001"/>
  </r>
  <r>
    <n v="2303"/>
    <x v="0"/>
    <d v="2014-10-06T00:00:00"/>
    <x v="0"/>
    <x v="9"/>
    <n v="10.492800000000001"/>
    <n v="10.5741"/>
    <n v="10.4114"/>
    <n v="10.492800000000001"/>
    <n v="27737"/>
    <n v="0"/>
    <n v="1.5625"/>
  </r>
  <r>
    <n v="2330"/>
    <x v="1"/>
    <d v="2014-10-06T00:00:00"/>
    <x v="0"/>
    <x v="9"/>
    <n v="102.79810000000001"/>
    <n v="103.62050000000001"/>
    <n v="101.9757"/>
    <n v="103.62050000000001"/>
    <n v="39292"/>
    <n v="1.1976"/>
    <n v="1.6129"/>
  </r>
  <r>
    <n v="2303"/>
    <x v="0"/>
    <d v="2014-10-07T00:00:00"/>
    <x v="1"/>
    <x v="9"/>
    <n v="10.4114"/>
    <n v="10.492800000000001"/>
    <n v="10.3301"/>
    <n v="10.4114"/>
    <n v="24595"/>
    <n v="-0.7782"/>
    <n v="1.5748"/>
  </r>
  <r>
    <n v="2330"/>
    <x v="1"/>
    <d v="2014-10-07T00:00:00"/>
    <x v="1"/>
    <x v="9"/>
    <n v="102.79810000000001"/>
    <n v="103.2093"/>
    <n v="101.5645"/>
    <n v="102.79810000000001"/>
    <n v="40188"/>
    <n v="-0.79679999999999995"/>
    <n v="1.6194"/>
  </r>
  <r>
    <n v="2303"/>
    <x v="0"/>
    <d v="2014-10-08T00:00:00"/>
    <x v="2"/>
    <x v="9"/>
    <n v="10.3301"/>
    <n v="10.614800000000001"/>
    <n v="10.289400000000001"/>
    <n v="10.492800000000001"/>
    <n v="38846"/>
    <n v="0.7782"/>
    <n v="3.1621000000000001"/>
  </r>
  <r>
    <n v="2330"/>
    <x v="1"/>
    <d v="2014-10-08T00:00:00"/>
    <x v="2"/>
    <x v="9"/>
    <n v="101.5645"/>
    <n v="102.79810000000001"/>
    <n v="100.7422"/>
    <n v="100.7422"/>
    <n v="30938"/>
    <n v="-2.0203000000000002"/>
    <n v="2.0407999999999999"/>
  </r>
  <r>
    <n v="2303"/>
    <x v="0"/>
    <d v="2014-10-09T00:00:00"/>
    <x v="3"/>
    <x v="9"/>
    <n v="10.5741"/>
    <n v="10.6554"/>
    <n v="10.492800000000001"/>
    <n v="10.492800000000001"/>
    <n v="55119"/>
    <n v="0"/>
    <n v="1.5504"/>
  </r>
  <r>
    <n v="2330"/>
    <x v="1"/>
    <d v="2014-10-09T00:00:00"/>
    <x v="3"/>
    <x v="9"/>
    <n v="101.9757"/>
    <n v="102.79810000000001"/>
    <n v="101.5645"/>
    <n v="102.79810000000001"/>
    <n v="37115"/>
    <n v="2.0203000000000002"/>
    <n v="1.2145999999999999"/>
  </r>
  <r>
    <n v="2303"/>
    <x v="0"/>
    <d v="2014-10-13T00:00:00"/>
    <x v="0"/>
    <x v="9"/>
    <n v="10.167400000000001"/>
    <n v="10.167400000000001"/>
    <n v="9.9641000000000002"/>
    <n v="10.0047"/>
    <n v="66429"/>
    <n v="-4.7628000000000004"/>
    <n v="2.0407999999999999"/>
  </r>
  <r>
    <n v="2330"/>
    <x v="1"/>
    <d v="2014-10-13T00:00:00"/>
    <x v="0"/>
    <x v="9"/>
    <n v="97.863799999999998"/>
    <n v="99.919799999999995"/>
    <n v="97.041399999999996"/>
    <n v="99.097399999999993"/>
    <n v="77985"/>
    <n v="-3.6663999999999999"/>
    <n v="2.9661"/>
  </r>
  <r>
    <n v="2303"/>
    <x v="0"/>
    <d v="2014-10-14T00:00:00"/>
    <x v="1"/>
    <x v="9"/>
    <n v="10.0861"/>
    <n v="10.289400000000001"/>
    <n v="10.045400000000001"/>
    <n v="10.2081"/>
    <n v="52565"/>
    <n v="2.0121000000000002"/>
    <n v="2.4291"/>
  </r>
  <r>
    <n v="2330"/>
    <x v="1"/>
    <d v="2014-10-14T00:00:00"/>
    <x v="1"/>
    <x v="9"/>
    <n v="98.686199999999999"/>
    <n v="99.919799999999995"/>
    <n v="98.275000000000006"/>
    <n v="99.508600000000001"/>
    <n v="31887"/>
    <n v="0.41410000000000002"/>
    <n v="1.6736"/>
  </r>
  <r>
    <n v="2303"/>
    <x v="0"/>
    <d v="2014-10-15T00:00:00"/>
    <x v="2"/>
    <x v="9"/>
    <n v="10.167400000000001"/>
    <n v="10.2081"/>
    <n v="10.0047"/>
    <n v="10.0861"/>
    <n v="57239"/>
    <n v="-1.2023999999999999"/>
    <n v="2.0325000000000002"/>
  </r>
  <r>
    <n v="2330"/>
    <x v="1"/>
    <d v="2014-10-15T00:00:00"/>
    <x v="2"/>
    <x v="9"/>
    <n v="99.919799999999995"/>
    <n v="101.1534"/>
    <n v="99.508600000000001"/>
    <n v="99.919799999999995"/>
    <n v="50496"/>
    <n v="0.41239999999999999"/>
    <n v="1.6529"/>
  </r>
  <r>
    <n v="2303"/>
    <x v="0"/>
    <d v="2014-10-16T00:00:00"/>
    <x v="3"/>
    <x v="9"/>
    <n v="10.0047"/>
    <n v="10.1267"/>
    <n v="9.8826999999999998"/>
    <n v="10.0047"/>
    <n v="45654"/>
    <n v="-0.80969999999999998"/>
    <n v="2.4691000000000001"/>
  </r>
  <r>
    <n v="2330"/>
    <x v="1"/>
    <d v="2014-10-16T00:00:00"/>
    <x v="3"/>
    <x v="9"/>
    <n v="99.919799999999995"/>
    <n v="101.9757"/>
    <n v="98.686199999999999"/>
    <n v="99.919799999999995"/>
    <n v="46431"/>
    <n v="0"/>
    <n v="3.3332999999999999"/>
  </r>
  <r>
    <n v="2303"/>
    <x v="0"/>
    <d v="2014-10-17T00:00:00"/>
    <x v="4"/>
    <x v="9"/>
    <n v="10.1267"/>
    <n v="10.1267"/>
    <n v="9.8013999999999992"/>
    <n v="9.8013999999999992"/>
    <n v="55922"/>
    <n v="-2.0535000000000001"/>
    <n v="3.3195000000000001"/>
  </r>
  <r>
    <n v="2330"/>
    <x v="1"/>
    <d v="2014-10-17T00:00:00"/>
    <x v="4"/>
    <x v="9"/>
    <n v="102.79810000000001"/>
    <n v="103.2093"/>
    <n v="101.5645"/>
    <n v="101.5645"/>
    <n v="92077"/>
    <n v="1.6327"/>
    <n v="1.6194"/>
  </r>
  <r>
    <n v="2303"/>
    <x v="0"/>
    <d v="2014-10-20T00:00:00"/>
    <x v="0"/>
    <x v="9"/>
    <n v="9.9641000000000002"/>
    <n v="10.0861"/>
    <n v="9.9234000000000009"/>
    <n v="10.045400000000001"/>
    <n v="40040"/>
    <n v="2.4590999999999998"/>
    <n v="1.6393"/>
  </r>
  <r>
    <n v="2330"/>
    <x v="1"/>
    <d v="2014-10-20T00:00:00"/>
    <x v="0"/>
    <x v="9"/>
    <n v="102.79810000000001"/>
    <n v="103.62050000000001"/>
    <n v="102.3869"/>
    <n v="103.62050000000001"/>
    <n v="38619"/>
    <n v="2.0041000000000002"/>
    <n v="1.2048000000000001"/>
  </r>
  <r>
    <n v="2303"/>
    <x v="0"/>
    <d v="2014-10-21T00:00:00"/>
    <x v="1"/>
    <x v="9"/>
    <n v="10.045400000000001"/>
    <n v="10.0861"/>
    <n v="9.9641000000000002"/>
    <n v="10.0047"/>
    <n v="13021"/>
    <n v="-0.40570000000000001"/>
    <n v="1.2244999999999999"/>
  </r>
  <r>
    <n v="2330"/>
    <x v="1"/>
    <d v="2014-10-21T00:00:00"/>
    <x v="1"/>
    <x v="9"/>
    <n v="103.62050000000001"/>
    <n v="103.62050000000001"/>
    <n v="102.3869"/>
    <n v="102.79810000000001"/>
    <n v="25647"/>
    <n v="-0.79679999999999995"/>
    <n v="1.2048000000000001"/>
  </r>
  <r>
    <n v="2303"/>
    <x v="0"/>
    <d v="2014-10-22T00:00:00"/>
    <x v="2"/>
    <x v="9"/>
    <n v="10.0861"/>
    <n v="10.2081"/>
    <n v="10.0861"/>
    <n v="10.1267"/>
    <n v="43141"/>
    <n v="1.2121"/>
    <n v="1.2097"/>
  </r>
  <r>
    <n v="2330"/>
    <x v="1"/>
    <d v="2014-10-22T00:00:00"/>
    <x v="2"/>
    <x v="9"/>
    <n v="104.8541"/>
    <n v="106.0877"/>
    <n v="104.8541"/>
    <n v="106.0877"/>
    <n v="65855"/>
    <n v="3.1499000000000001"/>
    <n v="1.1765000000000001"/>
  </r>
  <r>
    <n v="2303"/>
    <x v="0"/>
    <d v="2014-10-23T00:00:00"/>
    <x v="3"/>
    <x v="9"/>
    <n v="10.0861"/>
    <n v="10.2081"/>
    <n v="10.045400000000001"/>
    <n v="10.167400000000001"/>
    <n v="22487"/>
    <n v="0.40079999999999999"/>
    <n v="1.6194"/>
  </r>
  <r>
    <n v="2330"/>
    <x v="1"/>
    <d v="2014-10-23T00:00:00"/>
    <x v="3"/>
    <x v="9"/>
    <n v="105.2653"/>
    <n v="105.6765"/>
    <n v="104.8541"/>
    <n v="104.8541"/>
    <n v="28085"/>
    <n v="-1.1696"/>
    <n v="0.7843"/>
  </r>
  <r>
    <n v="2303"/>
    <x v="0"/>
    <d v="2014-10-24T00:00:00"/>
    <x v="4"/>
    <x v="9"/>
    <n v="10.167400000000001"/>
    <n v="10.2081"/>
    <n v="10.045400000000001"/>
    <n v="10.045400000000001"/>
    <n v="19761"/>
    <n v="-1.2073"/>
    <n v="1.6194"/>
  </r>
  <r>
    <n v="2330"/>
    <x v="1"/>
    <d v="2014-10-24T00:00:00"/>
    <x v="4"/>
    <x v="9"/>
    <n v="104.44289999999999"/>
    <n v="104.8541"/>
    <n v="102.79810000000001"/>
    <n v="103.2093"/>
    <n v="42161"/>
    <n v="-1.5810999999999999"/>
    <n v="2"/>
  </r>
  <r>
    <n v="2303"/>
    <x v="0"/>
    <d v="2014-10-27T00:00:00"/>
    <x v="0"/>
    <x v="9"/>
    <n v="10.167400000000001"/>
    <n v="10.167400000000001"/>
    <n v="10.045400000000001"/>
    <n v="10.045400000000001"/>
    <n v="16606"/>
    <n v="0"/>
    <n v="1.2145999999999999"/>
  </r>
  <r>
    <n v="2330"/>
    <x v="1"/>
    <d v="2014-10-27T00:00:00"/>
    <x v="0"/>
    <x v="9"/>
    <n v="104.0317"/>
    <n v="105.2653"/>
    <n v="104.0317"/>
    <n v="105.2653"/>
    <n v="25145"/>
    <n v="1.9724999999999999"/>
    <n v="1.1858"/>
  </r>
  <r>
    <n v="2303"/>
    <x v="0"/>
    <d v="2014-10-28T00:00:00"/>
    <x v="1"/>
    <x v="9"/>
    <n v="10.1267"/>
    <n v="10.167400000000001"/>
    <n v="10.0861"/>
    <n v="10.1267"/>
    <n v="21241"/>
    <n v="0.80649999999999999"/>
    <n v="0.80649999999999999"/>
  </r>
  <r>
    <n v="2330"/>
    <x v="1"/>
    <d v="2014-10-28T00:00:00"/>
    <x v="1"/>
    <x v="9"/>
    <n v="106.0877"/>
    <n v="106.49890000000001"/>
    <n v="104.8541"/>
    <n v="105.2653"/>
    <n v="35018"/>
    <n v="0"/>
    <n v="1.5686"/>
  </r>
  <r>
    <n v="2303"/>
    <x v="0"/>
    <d v="2014-10-29T00:00:00"/>
    <x v="2"/>
    <x v="9"/>
    <n v="10.2081"/>
    <n v="10.370799999999999"/>
    <n v="10.167400000000001"/>
    <n v="10.289400000000001"/>
    <n v="47324"/>
    <n v="1.5936999999999999"/>
    <n v="2"/>
  </r>
  <r>
    <n v="2330"/>
    <x v="1"/>
    <d v="2014-10-29T00:00:00"/>
    <x v="2"/>
    <x v="9"/>
    <n v="106.0877"/>
    <n v="106.49890000000001"/>
    <n v="105.2653"/>
    <n v="106.0877"/>
    <n v="34860"/>
    <n v="0.7782"/>
    <n v="1.1718999999999999"/>
  </r>
  <r>
    <n v="2303"/>
    <x v="0"/>
    <d v="2014-10-30T00:00:00"/>
    <x v="3"/>
    <x v="9"/>
    <n v="10.5741"/>
    <n v="10.736800000000001"/>
    <n v="10.492800000000001"/>
    <n v="10.736800000000001"/>
    <n v="123729"/>
    <n v="4.2560000000000002"/>
    <n v="2.3256000000000001"/>
  </r>
  <r>
    <n v="2330"/>
    <x v="1"/>
    <d v="2014-10-30T00:00:00"/>
    <x v="3"/>
    <x v="9"/>
    <n v="105.6765"/>
    <n v="106.0877"/>
    <n v="104.44289999999999"/>
    <n v="105.6765"/>
    <n v="35723"/>
    <n v="-0.38840000000000002"/>
    <n v="1.5748"/>
  </r>
  <r>
    <n v="2303"/>
    <x v="0"/>
    <d v="2014-10-31T00:00:00"/>
    <x v="4"/>
    <x v="9"/>
    <n v="10.818099999999999"/>
    <n v="10.8995"/>
    <n v="10.6554"/>
    <n v="10.8995"/>
    <n v="53404"/>
    <n v="1.5038"/>
    <n v="2.2900999999999998"/>
  </r>
  <r>
    <n v="2330"/>
    <x v="1"/>
    <d v="2014-10-31T00:00:00"/>
    <x v="4"/>
    <x v="9"/>
    <n v="105.2653"/>
    <n v="107.3212"/>
    <n v="104.8541"/>
    <n v="107.3212"/>
    <n v="42413"/>
    <n v="1.5444"/>
    <n v="2.3529"/>
  </r>
  <r>
    <n v="2303"/>
    <x v="0"/>
    <d v="2014-11-03T00:00:00"/>
    <x v="0"/>
    <x v="10"/>
    <n v="10.9808"/>
    <n v="10.9808"/>
    <n v="10.7775"/>
    <n v="10.8588"/>
    <n v="49839"/>
    <n v="-0.37380000000000002"/>
    <n v="1.8868"/>
  </r>
  <r>
    <n v="2330"/>
    <x v="1"/>
    <d v="2014-11-03T00:00:00"/>
    <x v="0"/>
    <x v="10"/>
    <n v="108.5548"/>
    <n v="108.96599999999999"/>
    <n v="107.3212"/>
    <n v="107.7324"/>
    <n v="45307"/>
    <n v="0.38240000000000002"/>
    <n v="1.5326"/>
  </r>
  <r>
    <n v="2303"/>
    <x v="0"/>
    <d v="2014-11-04T00:00:00"/>
    <x v="1"/>
    <x v="10"/>
    <n v="10.8588"/>
    <n v="10.940099999999999"/>
    <n v="10.736800000000001"/>
    <n v="10.8588"/>
    <n v="35369"/>
    <n v="0"/>
    <n v="1.8938999999999999"/>
  </r>
  <r>
    <n v="2330"/>
    <x v="1"/>
    <d v="2014-11-04T00:00:00"/>
    <x v="1"/>
    <x v="10"/>
    <n v="108.5548"/>
    <n v="108.5548"/>
    <n v="107.7324"/>
    <n v="108.5548"/>
    <n v="32566"/>
    <n v="0.76049999999999995"/>
    <n v="0.76339999999999997"/>
  </r>
  <r>
    <n v="2303"/>
    <x v="0"/>
    <d v="2014-11-05T00:00:00"/>
    <x v="2"/>
    <x v="10"/>
    <n v="10.8995"/>
    <n v="10.8995"/>
    <n v="10.736800000000001"/>
    <n v="10.8995"/>
    <n v="31673"/>
    <n v="0.37380000000000002"/>
    <n v="1.5152000000000001"/>
  </r>
  <r>
    <n v="2330"/>
    <x v="1"/>
    <d v="2014-11-05T00:00:00"/>
    <x v="2"/>
    <x v="10"/>
    <n v="108.14360000000001"/>
    <n v="108.5548"/>
    <n v="107.7324"/>
    <n v="108.5548"/>
    <n v="22638"/>
    <n v="0"/>
    <n v="0.76339999999999997"/>
  </r>
  <r>
    <n v="2303"/>
    <x v="0"/>
    <d v="2014-11-06T00:00:00"/>
    <x v="3"/>
    <x v="10"/>
    <n v="10.8588"/>
    <n v="10.8995"/>
    <n v="10.736800000000001"/>
    <n v="10.818099999999999"/>
    <n v="31203"/>
    <n v="-0.74909999999999999"/>
    <n v="1.5152000000000001"/>
  </r>
  <r>
    <n v="2330"/>
    <x v="1"/>
    <d v="2014-11-06T00:00:00"/>
    <x v="3"/>
    <x v="10"/>
    <n v="108.96599999999999"/>
    <n v="108.96599999999999"/>
    <n v="108.14360000000001"/>
    <n v="108.5548"/>
    <n v="28559"/>
    <n v="0"/>
    <n v="0.76049999999999995"/>
  </r>
  <r>
    <n v="2303"/>
    <x v="0"/>
    <d v="2014-11-07T00:00:00"/>
    <x v="4"/>
    <x v="10"/>
    <n v="10.736800000000001"/>
    <n v="10.8588"/>
    <n v="10.736800000000001"/>
    <n v="10.7775"/>
    <n v="17439"/>
    <n v="-0.37659999999999999"/>
    <n v="1.1364000000000001"/>
  </r>
  <r>
    <n v="2330"/>
    <x v="1"/>
    <d v="2014-11-07T00:00:00"/>
    <x v="4"/>
    <x v="10"/>
    <n v="108.14360000000001"/>
    <n v="108.14360000000001"/>
    <n v="107.3212"/>
    <n v="107.7324"/>
    <n v="17385"/>
    <n v="-0.76049999999999995"/>
    <n v="0.76629999999999998"/>
  </r>
  <r>
    <n v="2303"/>
    <x v="0"/>
    <d v="2014-11-10T00:00:00"/>
    <x v="0"/>
    <x v="10"/>
    <n v="10.8588"/>
    <n v="11.2248"/>
    <n v="10.818099999999999"/>
    <n v="11.062099999999999"/>
    <n v="99611"/>
    <n v="2.6072000000000002"/>
    <n v="3.7593999999999999"/>
  </r>
  <r>
    <n v="2330"/>
    <x v="1"/>
    <d v="2014-11-10T00:00:00"/>
    <x v="0"/>
    <x v="10"/>
    <n v="108.96599999999999"/>
    <n v="110.6108"/>
    <n v="108.5548"/>
    <n v="110.6108"/>
    <n v="43174"/>
    <n v="2.6366999999999998"/>
    <n v="1.8938999999999999"/>
  </r>
  <r>
    <n v="2303"/>
    <x v="0"/>
    <d v="2014-11-11T00:00:00"/>
    <x v="1"/>
    <x v="10"/>
    <n v="11.1028"/>
    <n v="11.1435"/>
    <n v="10.940099999999999"/>
    <n v="11.062099999999999"/>
    <n v="50161"/>
    <n v="0"/>
    <n v="1.8587"/>
  </r>
  <r>
    <n v="2330"/>
    <x v="1"/>
    <d v="2014-11-11T00:00:00"/>
    <x v="1"/>
    <x v="10"/>
    <n v="111.02200000000001"/>
    <n v="111.02200000000001"/>
    <n v="109.3772"/>
    <n v="110.1996"/>
    <n v="20484"/>
    <n v="-0.37240000000000001"/>
    <n v="1.5038"/>
  </r>
  <r>
    <n v="2303"/>
    <x v="0"/>
    <d v="2014-11-12T00:00:00"/>
    <x v="2"/>
    <x v="10"/>
    <n v="10.9808"/>
    <n v="11.1028"/>
    <n v="10.940099999999999"/>
    <n v="10.940099999999999"/>
    <n v="31673"/>
    <n v="-1.1091"/>
    <n v="1.4870000000000001"/>
  </r>
  <r>
    <n v="2330"/>
    <x v="1"/>
    <d v="2014-11-12T00:00:00"/>
    <x v="2"/>
    <x v="10"/>
    <n v="110.6108"/>
    <n v="110.6108"/>
    <n v="108.14360000000001"/>
    <n v="108.5548"/>
    <n v="27434"/>
    <n v="-1.5038"/>
    <n v="2.2814000000000001"/>
  </r>
  <r>
    <n v="2303"/>
    <x v="0"/>
    <d v="2014-11-13T00:00:00"/>
    <x v="3"/>
    <x v="10"/>
    <n v="10.9808"/>
    <n v="11.0215"/>
    <n v="10.8995"/>
    <n v="10.9808"/>
    <n v="22072"/>
    <n v="0.37109999999999999"/>
    <n v="1.1194"/>
  </r>
  <r>
    <n v="2330"/>
    <x v="1"/>
    <d v="2014-11-13T00:00:00"/>
    <x v="3"/>
    <x v="10"/>
    <n v="109.7884"/>
    <n v="110.6108"/>
    <n v="108.96599999999999"/>
    <n v="110.1996"/>
    <n v="25055"/>
    <n v="1.5038"/>
    <n v="1.5094000000000001"/>
  </r>
  <r>
    <n v="2303"/>
    <x v="0"/>
    <d v="2014-11-14T00:00:00"/>
    <x v="4"/>
    <x v="10"/>
    <n v="10.9808"/>
    <n v="11.1435"/>
    <n v="10.940099999999999"/>
    <n v="11.1028"/>
    <n v="49080"/>
    <n v="1.105"/>
    <n v="1.8587"/>
  </r>
  <r>
    <n v="2330"/>
    <x v="1"/>
    <d v="2014-11-14T00:00:00"/>
    <x v="4"/>
    <x v="10"/>
    <n v="110.1996"/>
    <n v="111.02200000000001"/>
    <n v="109.7884"/>
    <n v="111.02200000000001"/>
    <n v="24361"/>
    <n v="0.74350000000000005"/>
    <n v="1.1235999999999999"/>
  </r>
  <r>
    <n v="2303"/>
    <x v="0"/>
    <d v="2014-11-17T00:00:00"/>
    <x v="0"/>
    <x v="10"/>
    <n v="11.1435"/>
    <n v="11.1435"/>
    <n v="10.818099999999999"/>
    <n v="10.8588"/>
    <n v="36202"/>
    <n v="-2.2223000000000002"/>
    <n v="3.0074999999999998"/>
  </r>
  <r>
    <n v="2330"/>
    <x v="1"/>
    <d v="2014-11-17T00:00:00"/>
    <x v="0"/>
    <x v="10"/>
    <n v="111.02200000000001"/>
    <n v="111.4332"/>
    <n v="108.96599999999999"/>
    <n v="109.3772"/>
    <n v="24772"/>
    <n v="-1.4925999999999999"/>
    <n v="2.2642000000000002"/>
  </r>
  <r>
    <n v="2303"/>
    <x v="0"/>
    <d v="2014-11-18T00:00:00"/>
    <x v="1"/>
    <x v="10"/>
    <n v="10.8995"/>
    <n v="10.940099999999999"/>
    <n v="10.614800000000001"/>
    <n v="10.736800000000001"/>
    <n v="39791"/>
    <n v="-1.1299999999999999"/>
    <n v="3.0651000000000002"/>
  </r>
  <r>
    <n v="2330"/>
    <x v="1"/>
    <d v="2014-11-18T00:00:00"/>
    <x v="1"/>
    <x v="10"/>
    <n v="110.1996"/>
    <n v="110.6108"/>
    <n v="107.7324"/>
    <n v="108.14360000000001"/>
    <n v="43227"/>
    <n v="-1.1342000000000001"/>
    <n v="2.6718000000000002"/>
  </r>
  <r>
    <n v="2303"/>
    <x v="0"/>
    <d v="2014-11-19T00:00:00"/>
    <x v="2"/>
    <x v="10"/>
    <n v="10.736800000000001"/>
    <n v="10.940099999999999"/>
    <n v="10.696099999999999"/>
    <n v="10.940099999999999"/>
    <n v="48416"/>
    <n v="1.8762000000000001"/>
    <n v="2.2814000000000001"/>
  </r>
  <r>
    <n v="2330"/>
    <x v="1"/>
    <d v="2014-11-19T00:00:00"/>
    <x v="2"/>
    <x v="10"/>
    <n v="109.3772"/>
    <n v="112.2556"/>
    <n v="108.96599999999999"/>
    <n v="111.84439999999999"/>
    <n v="71400"/>
    <n v="3.3647999999999998"/>
    <n v="3.0188999999999999"/>
  </r>
  <r>
    <n v="2303"/>
    <x v="0"/>
    <d v="2014-11-20T00:00:00"/>
    <x v="3"/>
    <x v="10"/>
    <n v="10.9808"/>
    <n v="11.4688"/>
    <n v="10.940099999999999"/>
    <n v="11.4282"/>
    <n v="179661"/>
    <n v="4.3643000000000001"/>
    <n v="4.8327"/>
  </r>
  <r>
    <n v="2330"/>
    <x v="1"/>
    <d v="2014-11-20T00:00:00"/>
    <x v="3"/>
    <x v="10"/>
    <n v="113.0779"/>
    <n v="114.3115"/>
    <n v="112.66670000000001"/>
    <n v="114.3115"/>
    <n v="44216"/>
    <n v="2.1819000000000002"/>
    <n v="1.4599"/>
  </r>
  <r>
    <n v="2303"/>
    <x v="0"/>
    <d v="2014-11-21T00:00:00"/>
    <x v="4"/>
    <x v="10"/>
    <n v="11.4688"/>
    <n v="11.509499999999999"/>
    <n v="11.3062"/>
    <n v="11.4282"/>
    <n v="77321"/>
    <n v="0"/>
    <n v="1.7986"/>
  </r>
  <r>
    <n v="2330"/>
    <x v="1"/>
    <d v="2014-11-21T00:00:00"/>
    <x v="4"/>
    <x v="10"/>
    <n v="114.7227"/>
    <n v="114.7227"/>
    <n v="113.0779"/>
    <n v="113.9003"/>
    <n v="30621"/>
    <n v="-0.3604"/>
    <n v="1.4544999999999999"/>
  </r>
  <r>
    <n v="2303"/>
    <x v="0"/>
    <d v="2014-11-24T00:00:00"/>
    <x v="0"/>
    <x v="10"/>
    <n v="11.4688"/>
    <n v="11.509499999999999"/>
    <n v="11.3062"/>
    <n v="11.3062"/>
    <n v="39376"/>
    <n v="-1.0733999999999999"/>
    <n v="1.7986"/>
  </r>
  <r>
    <n v="2330"/>
    <x v="1"/>
    <d v="2014-11-24T00:00:00"/>
    <x v="0"/>
    <x v="10"/>
    <n v="115.1339"/>
    <n v="115.54510000000001"/>
    <n v="113.48909999999999"/>
    <n v="113.9003"/>
    <n v="33408"/>
    <n v="0"/>
    <n v="1.8116000000000001"/>
  </r>
  <r>
    <n v="2303"/>
    <x v="0"/>
    <d v="2014-11-25T00:00:00"/>
    <x v="1"/>
    <x v="10"/>
    <n v="11.387499999999999"/>
    <n v="11.387499999999999"/>
    <n v="11.265499999999999"/>
    <n v="11.387499999999999"/>
    <n v="28460"/>
    <n v="0.71679999999999999"/>
    <n v="1.083"/>
  </r>
  <r>
    <n v="2330"/>
    <x v="1"/>
    <d v="2014-11-25T00:00:00"/>
    <x v="1"/>
    <x v="10"/>
    <n v="113.9003"/>
    <n v="115.1339"/>
    <n v="113.9003"/>
    <n v="114.3115"/>
    <n v="42940"/>
    <n v="0.3604"/>
    <n v="1.083"/>
  </r>
  <r>
    <n v="2303"/>
    <x v="0"/>
    <d v="2014-11-26T00:00:00"/>
    <x v="2"/>
    <x v="10"/>
    <n v="11.3468"/>
    <n v="11.387499999999999"/>
    <n v="11.265499999999999"/>
    <n v="11.265499999999999"/>
    <n v="28077"/>
    <n v="-1.0771999999999999"/>
    <n v="1.083"/>
  </r>
  <r>
    <n v="2330"/>
    <x v="1"/>
    <d v="2014-11-26T00:00:00"/>
    <x v="2"/>
    <x v="10"/>
    <n v="113.9003"/>
    <n v="114.3115"/>
    <n v="113.48909999999999"/>
    <n v="114.3115"/>
    <n v="23201"/>
    <n v="0"/>
    <n v="0.72460000000000002"/>
  </r>
  <r>
    <n v="2303"/>
    <x v="0"/>
    <d v="2014-11-27T00:00:00"/>
    <x v="3"/>
    <x v="10"/>
    <n v="11.387499999999999"/>
    <n v="11.5909"/>
    <n v="11.3062"/>
    <n v="11.3468"/>
    <n v="85677"/>
    <n v="0.71940000000000004"/>
    <n v="2.5179999999999998"/>
  </r>
  <r>
    <n v="2330"/>
    <x v="1"/>
    <d v="2014-11-27T00:00:00"/>
    <x v="3"/>
    <x v="10"/>
    <n v="115.1339"/>
    <n v="116.7787"/>
    <n v="115.1339"/>
    <n v="115.1339"/>
    <n v="26580"/>
    <n v="0.71679999999999999"/>
    <n v="1.4286000000000001"/>
  </r>
  <r>
    <n v="2303"/>
    <x v="0"/>
    <d v="2014-11-28T00:00:00"/>
    <x v="4"/>
    <x v="10"/>
    <n v="11.387499999999999"/>
    <n v="11.387499999999999"/>
    <n v="11.184200000000001"/>
    <n v="11.184200000000001"/>
    <n v="55378"/>
    <n v="-1.4440999999999999"/>
    <n v="1.8182"/>
  </r>
  <r>
    <n v="2330"/>
    <x v="1"/>
    <d v="2014-11-28T00:00:00"/>
    <x v="4"/>
    <x v="10"/>
    <n v="114.3115"/>
    <n v="116.36750000000001"/>
    <n v="114.3115"/>
    <n v="116.36750000000001"/>
    <n v="36077"/>
    <n v="1.0657000000000001"/>
    <n v="1.7986"/>
  </r>
  <r>
    <n v="2303"/>
    <x v="0"/>
    <d v="2014-12-01T00:00:00"/>
    <x v="0"/>
    <x v="11"/>
    <n v="10.940099999999999"/>
    <n v="11.265499999999999"/>
    <n v="10.8995"/>
    <n v="11.1028"/>
    <n v="51390"/>
    <n v="-0.72989999999999999"/>
    <n v="3.3582000000000001"/>
  </r>
  <r>
    <n v="2330"/>
    <x v="1"/>
    <d v="2014-12-01T00:00:00"/>
    <x v="0"/>
    <x v="11"/>
    <n v="114.3115"/>
    <n v="116.7787"/>
    <n v="113.9003"/>
    <n v="115.1339"/>
    <n v="50115"/>
    <n v="-1.0657000000000001"/>
    <n v="2.5270999999999999"/>
  </r>
  <r>
    <n v="2303"/>
    <x v="0"/>
    <d v="2014-12-02T00:00:00"/>
    <x v="1"/>
    <x v="11"/>
    <n v="11.1028"/>
    <n v="11.1435"/>
    <n v="10.940099999999999"/>
    <n v="11.0215"/>
    <n v="43585"/>
    <n v="-0.73529999999999995"/>
    <n v="1.8587"/>
  </r>
  <r>
    <n v="2330"/>
    <x v="1"/>
    <d v="2014-12-02T00:00:00"/>
    <x v="1"/>
    <x v="11"/>
    <n v="114.7227"/>
    <n v="114.7227"/>
    <n v="113.0779"/>
    <n v="113.0779"/>
    <n v="54781"/>
    <n v="-1.8019000000000001"/>
    <n v="1.4544999999999999"/>
  </r>
  <r>
    <n v="2303"/>
    <x v="0"/>
    <d v="2014-12-03T00:00:00"/>
    <x v="2"/>
    <x v="11"/>
    <n v="11.1435"/>
    <n v="11.3062"/>
    <n v="11.062099999999999"/>
    <n v="11.3062"/>
    <n v="35896"/>
    <n v="2.5501999999999998"/>
    <n v="2.2059000000000002"/>
  </r>
  <r>
    <n v="2330"/>
    <x v="1"/>
    <d v="2014-12-03T00:00:00"/>
    <x v="2"/>
    <x v="11"/>
    <n v="113.0779"/>
    <n v="114.3115"/>
    <n v="112.2556"/>
    <n v="113.48909999999999"/>
    <n v="40184"/>
    <n v="0.36299999999999999"/>
    <n v="1.8314999999999999"/>
  </r>
  <r>
    <n v="2303"/>
    <x v="0"/>
    <d v="2014-12-04T00:00:00"/>
    <x v="3"/>
    <x v="11"/>
    <n v="11.387499999999999"/>
    <n v="11.9162"/>
    <n v="11.387499999999999"/>
    <n v="11.712899999999999"/>
    <n v="168260"/>
    <n v="3.5339"/>
    <n v="4.6429"/>
  </r>
  <r>
    <n v="2330"/>
    <x v="1"/>
    <d v="2014-12-04T00:00:00"/>
    <x v="3"/>
    <x v="11"/>
    <n v="114.3115"/>
    <n v="115.1339"/>
    <n v="113.9003"/>
    <n v="114.3115"/>
    <n v="28276"/>
    <n v="0.72199999999999998"/>
    <n v="1.083"/>
  </r>
  <r>
    <n v="2303"/>
    <x v="0"/>
    <d v="2014-12-05T00:00:00"/>
    <x v="4"/>
    <x v="11"/>
    <n v="11.6722"/>
    <n v="11.7942"/>
    <n v="11.5909"/>
    <n v="11.5909"/>
    <n v="64758"/>
    <n v="-1.0470999999999999"/>
    <n v="1.7544"/>
  </r>
  <r>
    <n v="2330"/>
    <x v="1"/>
    <d v="2014-12-05T00:00:00"/>
    <x v="4"/>
    <x v="11"/>
    <n v="113.9003"/>
    <n v="114.7227"/>
    <n v="112.66670000000001"/>
    <n v="113.0779"/>
    <n v="29431"/>
    <n v="-1.085"/>
    <n v="1.8248"/>
  </r>
  <r>
    <n v="2303"/>
    <x v="0"/>
    <d v="2014-12-08T00:00:00"/>
    <x v="0"/>
    <x v="11"/>
    <n v="11.712899999999999"/>
    <n v="11.9162"/>
    <n v="11.5909"/>
    <n v="11.5909"/>
    <n v="78218"/>
    <n v="0"/>
    <n v="2.8069999999999999"/>
  </r>
  <r>
    <n v="2330"/>
    <x v="1"/>
    <d v="2014-12-08T00:00:00"/>
    <x v="0"/>
    <x v="11"/>
    <n v="113.48909999999999"/>
    <n v="113.9003"/>
    <n v="112.66670000000001"/>
    <n v="113.48909999999999"/>
    <n v="19854"/>
    <n v="0.36299999999999999"/>
    <n v="1.0949"/>
  </r>
  <r>
    <n v="2303"/>
    <x v="0"/>
    <d v="2014-12-09T00:00:00"/>
    <x v="1"/>
    <x v="11"/>
    <n v="11.509499999999999"/>
    <n v="11.6722"/>
    <n v="11.509499999999999"/>
    <n v="11.5909"/>
    <n v="40160"/>
    <n v="0"/>
    <n v="1.4134"/>
  </r>
  <r>
    <n v="2330"/>
    <x v="1"/>
    <d v="2014-12-09T00:00:00"/>
    <x v="1"/>
    <x v="11"/>
    <n v="113.48909999999999"/>
    <n v="114.3115"/>
    <n v="113.0779"/>
    <n v="113.48909999999999"/>
    <n v="31926"/>
    <n v="0"/>
    <n v="1.0909"/>
  </r>
  <r>
    <n v="2303"/>
    <x v="0"/>
    <d v="2014-12-10T00:00:00"/>
    <x v="2"/>
    <x v="11"/>
    <n v="11.509499999999999"/>
    <n v="11.5502"/>
    <n v="11.265499999999999"/>
    <n v="11.265499999999999"/>
    <n v="52186"/>
    <n v="-2.8472"/>
    <n v="2.5270999999999999"/>
  </r>
  <r>
    <n v="2330"/>
    <x v="1"/>
    <d v="2014-12-10T00:00:00"/>
    <x v="2"/>
    <x v="11"/>
    <n v="113.48909999999999"/>
    <n v="114.3115"/>
    <n v="111.84439999999999"/>
    <n v="111.84439999999999"/>
    <n v="39845"/>
    <n v="-1.4599"/>
    <n v="2.2059000000000002"/>
  </r>
  <r>
    <n v="2303"/>
    <x v="0"/>
    <d v="2014-12-11T00:00:00"/>
    <x v="3"/>
    <x v="11"/>
    <n v="11.2248"/>
    <n v="11.387499999999999"/>
    <n v="11.1028"/>
    <n v="11.265499999999999"/>
    <n v="36991"/>
    <n v="0"/>
    <n v="2.5640999999999998"/>
  </r>
  <r>
    <n v="2330"/>
    <x v="1"/>
    <d v="2014-12-11T00:00:00"/>
    <x v="3"/>
    <x v="11"/>
    <n v="111.02200000000001"/>
    <n v="111.84439999999999"/>
    <n v="110.6108"/>
    <n v="110.6108"/>
    <n v="41669"/>
    <n v="-1.1091"/>
    <n v="1.1152"/>
  </r>
  <r>
    <n v="2303"/>
    <x v="0"/>
    <d v="2014-12-12T00:00:00"/>
    <x v="4"/>
    <x v="11"/>
    <n v="11.387499999999999"/>
    <n v="11.4282"/>
    <n v="11.2248"/>
    <n v="11.2248"/>
    <n v="27721"/>
    <n v="-0.36170000000000002"/>
    <n v="1.8116000000000001"/>
  </r>
  <r>
    <n v="2330"/>
    <x v="1"/>
    <d v="2014-12-12T00:00:00"/>
    <x v="4"/>
    <x v="11"/>
    <n v="111.02200000000001"/>
    <n v="111.84439999999999"/>
    <n v="110.6108"/>
    <n v="111.02200000000001"/>
    <n v="31504"/>
    <n v="0.37109999999999999"/>
    <n v="1.1152"/>
  </r>
  <r>
    <n v="2303"/>
    <x v="0"/>
    <d v="2014-12-15T00:00:00"/>
    <x v="0"/>
    <x v="11"/>
    <n v="11.2248"/>
    <n v="11.753500000000001"/>
    <n v="11.2248"/>
    <n v="11.6722"/>
    <n v="67756"/>
    <n v="3.9081000000000001"/>
    <n v="4.7100999999999997"/>
  </r>
  <r>
    <n v="2330"/>
    <x v="1"/>
    <d v="2014-12-15T00:00:00"/>
    <x v="0"/>
    <x v="11"/>
    <n v="110.6108"/>
    <n v="112.2556"/>
    <n v="110.6108"/>
    <n v="111.84439999999999"/>
    <n v="45196"/>
    <n v="0.73799999999999999"/>
    <n v="1.4870000000000001"/>
  </r>
  <r>
    <n v="2303"/>
    <x v="0"/>
    <d v="2014-12-16T00:00:00"/>
    <x v="1"/>
    <x v="11"/>
    <n v="11.631500000000001"/>
    <n v="11.6722"/>
    <n v="11.3468"/>
    <n v="11.3468"/>
    <n v="86968"/>
    <n v="-2.827"/>
    <n v="2.8673999999999999"/>
  </r>
  <r>
    <n v="2330"/>
    <x v="1"/>
    <d v="2014-12-16T00:00:00"/>
    <x v="1"/>
    <x v="11"/>
    <n v="110.6108"/>
    <n v="111.4332"/>
    <n v="109.3772"/>
    <n v="109.3772"/>
    <n v="41273"/>
    <n v="-2.2305999999999999"/>
    <n v="1.8796999999999999"/>
  </r>
  <r>
    <n v="2303"/>
    <x v="0"/>
    <d v="2014-12-17T00:00:00"/>
    <x v="2"/>
    <x v="11"/>
    <n v="11.265499999999999"/>
    <n v="11.3468"/>
    <n v="11.062099999999999"/>
    <n v="11.062099999999999"/>
    <n v="79596"/>
    <n v="-2.5409999999999999"/>
    <n v="2.5735000000000001"/>
  </r>
  <r>
    <n v="2330"/>
    <x v="1"/>
    <d v="2014-12-17T00:00:00"/>
    <x v="2"/>
    <x v="11"/>
    <n v="109.3772"/>
    <n v="109.3772"/>
    <n v="106.91"/>
    <n v="107.3212"/>
    <n v="84670"/>
    <n v="-1.8976"/>
    <n v="2.3077000000000001"/>
  </r>
  <r>
    <n v="2303"/>
    <x v="0"/>
    <d v="2014-12-18T00:00:00"/>
    <x v="3"/>
    <x v="11"/>
    <n v="11.265499999999999"/>
    <n v="11.4282"/>
    <n v="11.2248"/>
    <n v="11.3468"/>
    <n v="60520"/>
    <n v="2.5409999999999999"/>
    <n v="1.8116000000000001"/>
  </r>
  <r>
    <n v="2330"/>
    <x v="1"/>
    <d v="2014-12-18T00:00:00"/>
    <x v="3"/>
    <x v="11"/>
    <n v="108.5548"/>
    <n v="109.3772"/>
    <n v="107.7324"/>
    <n v="108.14360000000001"/>
    <n v="51896"/>
    <n v="0.76339999999999997"/>
    <n v="1.5266999999999999"/>
  </r>
  <r>
    <n v="2303"/>
    <x v="0"/>
    <d v="2014-12-19T00:00:00"/>
    <x v="4"/>
    <x v="11"/>
    <n v="11.4688"/>
    <n v="11.712899999999999"/>
    <n v="11.4282"/>
    <n v="11.5909"/>
    <n v="104127"/>
    <n v="2.1276999999999999"/>
    <n v="2.4910999999999999"/>
  </r>
  <r>
    <n v="2330"/>
    <x v="1"/>
    <d v="2014-12-19T00:00:00"/>
    <x v="4"/>
    <x v="11"/>
    <n v="110.6108"/>
    <n v="113.48909999999999"/>
    <n v="110.1996"/>
    <n v="113.48909999999999"/>
    <n v="44591"/>
    <n v="4.8247"/>
    <n v="2.9851000000000001"/>
  </r>
  <r>
    <n v="2303"/>
    <x v="0"/>
    <d v="2014-12-22T00:00:00"/>
    <x v="0"/>
    <x v="11"/>
    <n v="11.712899999999999"/>
    <n v="11.875500000000001"/>
    <n v="11.631500000000001"/>
    <n v="11.753500000000001"/>
    <n v="73811"/>
    <n v="1.3937999999999999"/>
    <n v="2.0979000000000001"/>
  </r>
  <r>
    <n v="2330"/>
    <x v="1"/>
    <d v="2014-12-22T00:00:00"/>
    <x v="0"/>
    <x v="11"/>
    <n v="113.0779"/>
    <n v="115.1339"/>
    <n v="112.66670000000001"/>
    <n v="113.9003"/>
    <n v="34995"/>
    <n v="0.36170000000000002"/>
    <n v="2.1898"/>
  </r>
  <r>
    <n v="2303"/>
    <x v="0"/>
    <d v="2014-12-23T00:00:00"/>
    <x v="1"/>
    <x v="11"/>
    <n v="11.834899999999999"/>
    <n v="12.0382"/>
    <n v="11.834899999999999"/>
    <n v="11.9975"/>
    <n v="102307"/>
    <n v="2.0548999999999999"/>
    <n v="1.7181999999999999"/>
  </r>
  <r>
    <n v="2330"/>
    <x v="1"/>
    <d v="2014-12-23T00:00:00"/>
    <x v="1"/>
    <x v="11"/>
    <n v="114.3115"/>
    <n v="115.1339"/>
    <n v="112.66670000000001"/>
    <n v="113.0779"/>
    <n v="19157"/>
    <n v="-0.72460000000000002"/>
    <n v="2.1898"/>
  </r>
  <r>
    <n v="2303"/>
    <x v="0"/>
    <d v="2014-12-24T00:00:00"/>
    <x v="2"/>
    <x v="11"/>
    <n v="12.0382"/>
    <n v="12.200900000000001"/>
    <n v="11.9975"/>
    <n v="12.078900000000001"/>
    <n v="71379"/>
    <n v="0.67569999999999997"/>
    <n v="1.6949000000000001"/>
  </r>
  <r>
    <n v="2330"/>
    <x v="1"/>
    <d v="2014-12-24T00:00:00"/>
    <x v="2"/>
    <x v="11"/>
    <n v="111.84439999999999"/>
    <n v="113.48909999999999"/>
    <n v="111.84439999999999"/>
    <n v="113.48909999999999"/>
    <n v="16722"/>
    <n v="0.36299999999999999"/>
    <n v="1.4705999999999999"/>
  </r>
  <r>
    <n v="2303"/>
    <x v="0"/>
    <d v="2014-12-25T00:00:00"/>
    <x v="3"/>
    <x v="11"/>
    <n v="12.1196"/>
    <n v="12.200900000000001"/>
    <n v="11.9162"/>
    <n v="11.956899999999999"/>
    <n v="27262"/>
    <n v="-1.0152000000000001"/>
    <n v="2.3891"/>
  </r>
  <r>
    <n v="2330"/>
    <x v="1"/>
    <d v="2014-12-25T00:00:00"/>
    <x v="3"/>
    <x v="11"/>
    <n v="112.66670000000001"/>
    <n v="113.48909999999999"/>
    <n v="112.66670000000001"/>
    <n v="113.0779"/>
    <n v="7392"/>
    <n v="-0.36299999999999999"/>
    <n v="0.72989999999999999"/>
  </r>
  <r>
    <n v="2303"/>
    <x v="0"/>
    <d v="2014-12-26T00:00:00"/>
    <x v="4"/>
    <x v="11"/>
    <n v="11.956899999999999"/>
    <n v="12.0382"/>
    <n v="11.834899999999999"/>
    <n v="12.0382"/>
    <n v="28045"/>
    <n v="0.67800000000000005"/>
    <n v="1.7181999999999999"/>
  </r>
  <r>
    <n v="2330"/>
    <x v="1"/>
    <d v="2014-12-26T00:00:00"/>
    <x v="4"/>
    <x v="11"/>
    <n v="113.48909999999999"/>
    <n v="114.3115"/>
    <n v="112.66670000000001"/>
    <n v="114.3115"/>
    <n v="13183"/>
    <n v="1.085"/>
    <n v="1.4599"/>
  </r>
  <r>
    <n v="2303"/>
    <x v="0"/>
    <d v="2014-12-27T00:00:00"/>
    <x v="5"/>
    <x v="11"/>
    <n v="12.0382"/>
    <n v="12.078900000000001"/>
    <n v="11.9162"/>
    <n v="11.9975"/>
    <n v="23231"/>
    <n v="-0.33839999999999998"/>
    <n v="1.3652"/>
  </r>
  <r>
    <n v="2330"/>
    <x v="1"/>
    <d v="2014-12-27T00:00:00"/>
    <x v="5"/>
    <x v="11"/>
    <n v="114.3115"/>
    <n v="114.3115"/>
    <n v="113.0779"/>
    <n v="113.9003"/>
    <n v="4823"/>
    <n v="-0.3604"/>
    <n v="1.0909"/>
  </r>
  <r>
    <n v="2303"/>
    <x v="0"/>
    <d v="2014-12-29T00:00:00"/>
    <x v="0"/>
    <x v="11"/>
    <n v="12.0382"/>
    <n v="12.200900000000001"/>
    <n v="11.956899999999999"/>
    <n v="11.956899999999999"/>
    <n v="64416"/>
    <n v="-0.33960000000000001"/>
    <n v="2.0407999999999999"/>
  </r>
  <r>
    <n v="2330"/>
    <x v="1"/>
    <d v="2014-12-29T00:00:00"/>
    <x v="0"/>
    <x v="11"/>
    <n v="113.48909999999999"/>
    <n v="115.9563"/>
    <n v="113.48909999999999"/>
    <n v="115.9563"/>
    <n v="35075"/>
    <n v="1.7889999999999999"/>
    <n v="2.1739000000000002"/>
  </r>
  <r>
    <n v="2303"/>
    <x v="0"/>
    <d v="2014-12-30T00:00:00"/>
    <x v="1"/>
    <x v="11"/>
    <n v="12.078900000000001"/>
    <n v="12.1602"/>
    <n v="11.6722"/>
    <n v="11.7942"/>
    <n v="60751"/>
    <n v="-1.3698999999999999"/>
    <n v="4.1811999999999996"/>
  </r>
  <r>
    <n v="2330"/>
    <x v="1"/>
    <d v="2014-12-30T00:00:00"/>
    <x v="1"/>
    <x v="11"/>
    <n v="115.9563"/>
    <n v="116.36750000000001"/>
    <n v="114.3115"/>
    <n v="115.1339"/>
    <n v="23590"/>
    <n v="-0.7117"/>
    <n v="1.7986"/>
  </r>
  <r>
    <n v="2303"/>
    <x v="0"/>
    <d v="2014-12-31T00:00:00"/>
    <x v="2"/>
    <x v="11"/>
    <n v="11.834899999999999"/>
    <n v="12.0382"/>
    <n v="11.7942"/>
    <n v="11.9975"/>
    <n v="46383"/>
    <n v="1.7094"/>
    <n v="2.069"/>
  </r>
  <r>
    <n v="2330"/>
    <x v="1"/>
    <d v="2014-12-31T00:00:00"/>
    <x v="2"/>
    <x v="11"/>
    <n v="114.3115"/>
    <n v="115.9563"/>
    <n v="114.3115"/>
    <n v="115.9563"/>
    <n v="18351"/>
    <n v="0.7117"/>
    <n v="1.4388000000000001"/>
  </r>
  <r>
    <n v="2303"/>
    <x v="0"/>
    <d v="2015-01-05T00:00:00"/>
    <x v="0"/>
    <x v="0"/>
    <n v="11.9975"/>
    <n v="12.5669"/>
    <n v="11.9162"/>
    <n v="12.404199999999999"/>
    <n v="116195"/>
    <n v="3.3336000000000001"/>
    <n v="5.4607999999999999"/>
  </r>
  <r>
    <n v="2330"/>
    <x v="1"/>
    <d v="2015-01-05T00:00:00"/>
    <x v="0"/>
    <x v="0"/>
    <n v="115.54510000000001"/>
    <n v="115.54510000000001"/>
    <n v="113.0779"/>
    <n v="114.7227"/>
    <n v="32214"/>
    <n v="-1.0694999999999999"/>
    <n v="2.1818"/>
  </r>
  <r>
    <n v="2303"/>
    <x v="0"/>
    <d v="2015-01-06T00:00:00"/>
    <x v="1"/>
    <x v="0"/>
    <n v="12.200900000000001"/>
    <n v="12.2822"/>
    <n v="11.9975"/>
    <n v="11.9975"/>
    <n v="73981"/>
    <n v="-3.3336000000000001"/>
    <n v="2.3729"/>
  </r>
  <r>
    <n v="2330"/>
    <x v="1"/>
    <d v="2015-01-06T00:00:00"/>
    <x v="1"/>
    <x v="0"/>
    <n v="113.0779"/>
    <n v="113.0779"/>
    <n v="109.3772"/>
    <n v="109.7884"/>
    <n v="67649"/>
    <n v="-4.3963000000000001"/>
    <n v="3.3835000000000002"/>
  </r>
  <r>
    <n v="2303"/>
    <x v="0"/>
    <d v="2015-01-07T00:00:00"/>
    <x v="2"/>
    <x v="0"/>
    <n v="11.9975"/>
    <n v="12.1602"/>
    <n v="11.9162"/>
    <n v="12.0382"/>
    <n v="47114"/>
    <n v="0.33839999999999998"/>
    <n v="2.0478000000000001"/>
  </r>
  <r>
    <n v="2330"/>
    <x v="1"/>
    <d v="2015-01-07T00:00:00"/>
    <x v="2"/>
    <x v="0"/>
    <n v="109.7884"/>
    <n v="111.02200000000001"/>
    <n v="109.7884"/>
    <n v="110.1996"/>
    <n v="43886"/>
    <n v="0.37380000000000002"/>
    <n v="1.1235999999999999"/>
  </r>
  <r>
    <n v="2303"/>
    <x v="0"/>
    <d v="2015-01-08T00:00:00"/>
    <x v="3"/>
    <x v="0"/>
    <n v="12.200900000000001"/>
    <n v="12.2822"/>
    <n v="12.1196"/>
    <n v="12.1196"/>
    <n v="65851"/>
    <n v="0.6734"/>
    <n v="1.3423"/>
  </r>
  <r>
    <n v="2330"/>
    <x v="1"/>
    <d v="2015-01-08T00:00:00"/>
    <x v="3"/>
    <x v="0"/>
    <n v="112.2556"/>
    <n v="113.48909999999999"/>
    <n v="111.84439999999999"/>
    <n v="113.48909999999999"/>
    <n v="42551"/>
    <n v="2.9413999999999998"/>
    <n v="1.4705999999999999"/>
  </r>
  <r>
    <n v="2303"/>
    <x v="0"/>
    <d v="2015-01-09T00:00:00"/>
    <x v="4"/>
    <x v="0"/>
    <n v="12.3636"/>
    <n v="12.444900000000001"/>
    <n v="12.200900000000001"/>
    <n v="12.2822"/>
    <n v="93825"/>
    <n v="1.3333999999999999"/>
    <n v="2"/>
  </r>
  <r>
    <n v="2330"/>
    <x v="1"/>
    <d v="2015-01-09T00:00:00"/>
    <x v="4"/>
    <x v="0"/>
    <n v="111.02200000000001"/>
    <n v="111.4332"/>
    <n v="109.3772"/>
    <n v="110.1996"/>
    <n v="61920"/>
    <n v="-2.9413999999999998"/>
    <n v="1.8796999999999999"/>
  </r>
  <r>
    <n v="2303"/>
    <x v="0"/>
    <d v="2015-01-12T00:00:00"/>
    <x v="0"/>
    <x v="0"/>
    <n v="12.404199999999999"/>
    <n v="13.095599999999999"/>
    <n v="12.404199999999999"/>
    <n v="12.8109"/>
    <n v="233428"/>
    <n v="4.2145999999999999"/>
    <n v="5.5738000000000003"/>
  </r>
  <r>
    <n v="2330"/>
    <x v="1"/>
    <d v="2015-01-12T00:00:00"/>
    <x v="0"/>
    <x v="0"/>
    <n v="108.96599999999999"/>
    <n v="109.7884"/>
    <n v="108.5548"/>
    <n v="108.5548"/>
    <n v="30402"/>
    <n v="-1.5038"/>
    <n v="1.1364000000000001"/>
  </r>
  <r>
    <n v="2303"/>
    <x v="0"/>
    <d v="2015-01-13T00:00:00"/>
    <x v="1"/>
    <x v="0"/>
    <n v="12.851599999999999"/>
    <n v="12.973599999999999"/>
    <n v="12.6076"/>
    <n v="12.648300000000001"/>
    <n v="102732"/>
    <n v="-1.278"/>
    <n v="2.9032"/>
  </r>
  <r>
    <n v="2330"/>
    <x v="1"/>
    <d v="2015-01-13T00:00:00"/>
    <x v="1"/>
    <x v="0"/>
    <n v="107.7324"/>
    <n v="109.3772"/>
    <n v="107.3212"/>
    <n v="108.96599999999999"/>
    <n v="38093"/>
    <n v="0.37809999999999999"/>
    <n v="1.9157"/>
  </r>
  <r>
    <n v="2303"/>
    <x v="0"/>
    <d v="2015-01-14T00:00:00"/>
    <x v="2"/>
    <x v="0"/>
    <n v="12.5669"/>
    <n v="12.6076"/>
    <n v="12.322900000000001"/>
    <n v="12.404199999999999"/>
    <n v="106739"/>
    <n v="-1.9480999999999999"/>
    <n v="2.3102"/>
  </r>
  <r>
    <n v="2330"/>
    <x v="1"/>
    <d v="2015-01-14T00:00:00"/>
    <x v="2"/>
    <x v="0"/>
    <n v="108.96599999999999"/>
    <n v="109.3772"/>
    <n v="106.91"/>
    <n v="106.91"/>
    <n v="49447"/>
    <n v="-1.9048"/>
    <n v="2.3077000000000001"/>
  </r>
  <r>
    <n v="2303"/>
    <x v="0"/>
    <d v="2015-01-15T00:00:00"/>
    <x v="3"/>
    <x v="0"/>
    <n v="12.404199999999999"/>
    <n v="12.5669"/>
    <n v="12.2416"/>
    <n v="12.2416"/>
    <n v="96404"/>
    <n v="-1.3202"/>
    <n v="2.6577999999999999"/>
  </r>
  <r>
    <n v="2330"/>
    <x v="1"/>
    <d v="2015-01-15T00:00:00"/>
    <x v="3"/>
    <x v="0"/>
    <n v="108.14360000000001"/>
    <n v="109.3772"/>
    <n v="108.14360000000001"/>
    <n v="108.14360000000001"/>
    <n v="40996"/>
    <n v="1.1472"/>
    <n v="1.1407"/>
  </r>
  <r>
    <n v="2303"/>
    <x v="0"/>
    <d v="2015-01-16T00:00:00"/>
    <x v="4"/>
    <x v="0"/>
    <n v="12.2822"/>
    <n v="12.5669"/>
    <n v="11.956899999999999"/>
    <n v="11.956899999999999"/>
    <n v="161745"/>
    <n v="-2.3530000000000002"/>
    <n v="5.1020000000000003"/>
  </r>
  <r>
    <n v="2330"/>
    <x v="1"/>
    <d v="2015-01-16T00:00:00"/>
    <x v="4"/>
    <x v="0"/>
    <n v="115.1339"/>
    <n v="115.1339"/>
    <n v="111.84439999999999"/>
    <n v="112.66670000000001"/>
    <n v="129035"/>
    <n v="4.0974000000000004"/>
    <n v="2.9411999999999998"/>
  </r>
  <r>
    <n v="2303"/>
    <x v="0"/>
    <d v="2015-01-19T00:00:00"/>
    <x v="0"/>
    <x v="0"/>
    <n v="12.1602"/>
    <n v="12.322900000000001"/>
    <n v="12.1196"/>
    <n v="12.2416"/>
    <n v="79977"/>
    <n v="2.3530000000000002"/>
    <n v="1.6778999999999999"/>
  </r>
  <r>
    <n v="2330"/>
    <x v="1"/>
    <d v="2015-01-19T00:00:00"/>
    <x v="0"/>
    <x v="0"/>
    <n v="113.9003"/>
    <n v="114.7227"/>
    <n v="113.0779"/>
    <n v="114.3115"/>
    <n v="50175"/>
    <n v="1.4493"/>
    <n v="1.4544999999999999"/>
  </r>
  <r>
    <n v="2303"/>
    <x v="0"/>
    <d v="2015-01-20T00:00:00"/>
    <x v="1"/>
    <x v="0"/>
    <n v="12.404199999999999"/>
    <n v="12.444900000000001"/>
    <n v="12.322900000000001"/>
    <n v="12.3636"/>
    <n v="45476"/>
    <n v="0.99170000000000003"/>
    <n v="0.99009999999999998"/>
  </r>
  <r>
    <n v="2330"/>
    <x v="1"/>
    <d v="2015-01-20T00:00:00"/>
    <x v="1"/>
    <x v="0"/>
    <n v="114.3115"/>
    <n v="114.3115"/>
    <n v="113.0779"/>
    <n v="113.48909999999999"/>
    <n v="33795"/>
    <n v="-0.72199999999999998"/>
    <n v="1.0909"/>
  </r>
  <r>
    <n v="2303"/>
    <x v="0"/>
    <d v="2015-01-21T00:00:00"/>
    <x v="2"/>
    <x v="0"/>
    <n v="12.444900000000001"/>
    <n v="12.4856"/>
    <n v="12.2416"/>
    <n v="12.322900000000001"/>
    <n v="47841"/>
    <n v="-0.32950000000000002"/>
    <n v="1.9934000000000001"/>
  </r>
  <r>
    <n v="2330"/>
    <x v="1"/>
    <d v="2015-01-21T00:00:00"/>
    <x v="2"/>
    <x v="0"/>
    <n v="114.7227"/>
    <n v="115.9563"/>
    <n v="114.7227"/>
    <n v="115.9563"/>
    <n v="77292"/>
    <n v="2.1505999999999998"/>
    <n v="1.0752999999999999"/>
  </r>
  <r>
    <n v="2303"/>
    <x v="0"/>
    <d v="2015-01-22T00:00:00"/>
    <x v="3"/>
    <x v="0"/>
    <n v="12.444900000000001"/>
    <n v="12.648300000000001"/>
    <n v="12.404199999999999"/>
    <n v="12.5669"/>
    <n v="85750"/>
    <n v="1.9608000000000001"/>
    <n v="1.9672000000000001"/>
  </r>
  <r>
    <n v="2330"/>
    <x v="1"/>
    <d v="2015-01-22T00:00:00"/>
    <x v="3"/>
    <x v="0"/>
    <n v="116.36750000000001"/>
    <n v="116.7787"/>
    <n v="114.7227"/>
    <n v="115.1339"/>
    <n v="45654"/>
    <n v="-0.7117"/>
    <n v="1.7921"/>
  </r>
  <r>
    <n v="2303"/>
    <x v="0"/>
    <d v="2015-01-23T00:00:00"/>
    <x v="4"/>
    <x v="0"/>
    <n v="12.7296"/>
    <n v="12.770300000000001"/>
    <n v="12.6076"/>
    <n v="12.6889"/>
    <n v="95654"/>
    <n v="0.96619999999999995"/>
    <n v="1.2903"/>
  </r>
  <r>
    <n v="2330"/>
    <x v="1"/>
    <d v="2015-01-23T00:00:00"/>
    <x v="4"/>
    <x v="0"/>
    <n v="117.18989999999999"/>
    <n v="119.2458"/>
    <n v="117.18989999999999"/>
    <n v="119.2458"/>
    <n v="82359"/>
    <n v="3.5091000000000001"/>
    <n v="1.7544"/>
  </r>
  <r>
    <n v="2303"/>
    <x v="0"/>
    <d v="2015-01-26T00:00:00"/>
    <x v="0"/>
    <x v="0"/>
    <n v="12.6076"/>
    <n v="12.770300000000001"/>
    <n v="12.526300000000001"/>
    <n v="12.6076"/>
    <n v="56122"/>
    <n v="-0.6431"/>
    <n v="1.9480999999999999"/>
  </r>
  <r>
    <n v="2330"/>
    <x v="1"/>
    <d v="2015-01-26T00:00:00"/>
    <x v="0"/>
    <x v="0"/>
    <n v="119.657"/>
    <n v="119.657"/>
    <n v="118.01220000000001"/>
    <n v="119.2458"/>
    <n v="46941"/>
    <n v="0"/>
    <n v="1.3936999999999999"/>
  </r>
  <r>
    <n v="2303"/>
    <x v="0"/>
    <d v="2015-01-27T00:00:00"/>
    <x v="1"/>
    <x v="0"/>
    <n v="12.6889"/>
    <n v="12.6889"/>
    <n v="12.444900000000001"/>
    <n v="12.5669"/>
    <n v="58730"/>
    <n v="-0.3231"/>
    <n v="1.9608000000000001"/>
  </r>
  <r>
    <n v="2330"/>
    <x v="1"/>
    <d v="2015-01-27T00:00:00"/>
    <x v="1"/>
    <x v="0"/>
    <n v="119.657"/>
    <n v="120.89060000000001"/>
    <n v="118.83459999999999"/>
    <n v="120.89060000000001"/>
    <n v="53362"/>
    <n v="1.3698999999999999"/>
    <n v="1.7301"/>
  </r>
  <r>
    <n v="2303"/>
    <x v="0"/>
    <d v="2015-01-28T00:00:00"/>
    <x v="2"/>
    <x v="0"/>
    <n v="12.526300000000001"/>
    <n v="12.7296"/>
    <n v="12.444900000000001"/>
    <n v="12.7296"/>
    <n v="91034"/>
    <n v="1.2862"/>
    <n v="2.2875999999999999"/>
  </r>
  <r>
    <n v="2330"/>
    <x v="1"/>
    <d v="2015-01-28T00:00:00"/>
    <x v="2"/>
    <x v="0"/>
    <n v="120.4794"/>
    <n v="120.89060000000001"/>
    <n v="119.657"/>
    <n v="120.4794"/>
    <n v="48373"/>
    <n v="-0.3407"/>
    <n v="1.0308999999999999"/>
  </r>
  <r>
    <n v="2303"/>
    <x v="0"/>
    <d v="2015-01-29T00:00:00"/>
    <x v="3"/>
    <x v="0"/>
    <n v="12.7296"/>
    <n v="12.770300000000001"/>
    <n v="12.404199999999999"/>
    <n v="12.4856"/>
    <n v="102347"/>
    <n v="-1.9355"/>
    <n v="2.9508000000000001"/>
  </r>
  <r>
    <n v="2330"/>
    <x v="1"/>
    <d v="2015-01-29T00:00:00"/>
    <x v="3"/>
    <x v="0"/>
    <n v="118.4234"/>
    <n v="119.2458"/>
    <n v="117.6011"/>
    <n v="118.01220000000001"/>
    <n v="36887"/>
    <n v="-2.069"/>
    <n v="1.3986000000000001"/>
  </r>
  <r>
    <n v="2303"/>
    <x v="0"/>
    <d v="2015-01-30T00:00:00"/>
    <x v="4"/>
    <x v="0"/>
    <n v="12.6076"/>
    <n v="12.6889"/>
    <n v="12.4856"/>
    <n v="12.526300000000001"/>
    <n v="86191"/>
    <n v="0.32519999999999999"/>
    <n v="1.6287"/>
  </r>
  <r>
    <n v="2330"/>
    <x v="1"/>
    <d v="2015-01-30T00:00:00"/>
    <x v="4"/>
    <x v="0"/>
    <n v="119.2458"/>
    <n v="119.657"/>
    <n v="115.9563"/>
    <n v="115.9563"/>
    <n v="44413"/>
    <n v="-1.7575000000000001"/>
    <n v="3.1915"/>
  </r>
  <r>
    <n v="2303"/>
    <x v="0"/>
    <d v="2015-02-02T00:00:00"/>
    <x v="0"/>
    <x v="1"/>
    <n v="12.5669"/>
    <n v="12.648300000000001"/>
    <n v="12.4856"/>
    <n v="12.5669"/>
    <n v="55917"/>
    <n v="0.3241"/>
    <n v="1.3028999999999999"/>
  </r>
  <r>
    <n v="2330"/>
    <x v="1"/>
    <d v="2015-02-02T00:00:00"/>
    <x v="0"/>
    <x v="1"/>
    <n v="115.54510000000001"/>
    <n v="117.6011"/>
    <n v="115.54510000000001"/>
    <n v="117.18989999999999"/>
    <n v="30382"/>
    <n v="1.0582"/>
    <n v="1.7794000000000001"/>
  </r>
  <r>
    <n v="2303"/>
    <x v="0"/>
    <d v="2015-02-03T00:00:00"/>
    <x v="1"/>
    <x v="1"/>
    <n v="12.648300000000001"/>
    <n v="12.8109"/>
    <n v="12.648300000000001"/>
    <n v="12.7296"/>
    <n v="100320"/>
    <n v="1.2862"/>
    <n v="1.2862"/>
  </r>
  <r>
    <n v="2330"/>
    <x v="1"/>
    <d v="2015-02-03T00:00:00"/>
    <x v="1"/>
    <x v="1"/>
    <n v="117.6011"/>
    <n v="118.83459999999999"/>
    <n v="116.7787"/>
    <n v="118.83459999999999"/>
    <n v="27234"/>
    <n v="1.3937999999999999"/>
    <n v="1.7605999999999999"/>
  </r>
  <r>
    <n v="2303"/>
    <x v="0"/>
    <d v="2015-02-04T00:00:00"/>
    <x v="2"/>
    <x v="1"/>
    <n v="12.892300000000001"/>
    <n v="12.9329"/>
    <n v="12.7296"/>
    <n v="12.7296"/>
    <n v="106899"/>
    <n v="0"/>
    <n v="1.5973999999999999"/>
  </r>
  <r>
    <n v="2330"/>
    <x v="1"/>
    <d v="2015-02-04T00:00:00"/>
    <x v="2"/>
    <x v="1"/>
    <n v="118.83459999999999"/>
    <n v="120.4794"/>
    <n v="118.4234"/>
    <n v="120.0682"/>
    <n v="43152"/>
    <n v="1.0327"/>
    <n v="1.7361"/>
  </r>
  <r>
    <n v="2303"/>
    <x v="0"/>
    <d v="2015-02-05T00:00:00"/>
    <x v="3"/>
    <x v="1"/>
    <n v="12.851599999999999"/>
    <n v="12.851599999999999"/>
    <n v="12.6889"/>
    <n v="12.8109"/>
    <n v="54108"/>
    <n v="0.63690000000000002"/>
    <n v="1.2821"/>
  </r>
  <r>
    <n v="2330"/>
    <x v="1"/>
    <d v="2015-02-05T00:00:00"/>
    <x v="3"/>
    <x v="1"/>
    <n v="119.657"/>
    <n v="120.0682"/>
    <n v="118.01220000000001"/>
    <n v="119.657"/>
    <n v="25327"/>
    <n v="-0.34310000000000002"/>
    <n v="1.7422"/>
  </r>
  <r>
    <n v="2303"/>
    <x v="0"/>
    <d v="2015-02-06T00:00:00"/>
    <x v="4"/>
    <x v="1"/>
    <n v="12.851599999999999"/>
    <n v="12.851599999999999"/>
    <n v="12.7296"/>
    <n v="12.7296"/>
    <n v="43650"/>
    <n v="-0.63690000000000002"/>
    <n v="0.95850000000000002"/>
  </r>
  <r>
    <n v="2330"/>
    <x v="1"/>
    <d v="2015-02-06T00:00:00"/>
    <x v="4"/>
    <x v="1"/>
    <n v="119.657"/>
    <n v="119.657"/>
    <n v="117.6011"/>
    <n v="117.6011"/>
    <n v="28668"/>
    <n v="-1.7331000000000001"/>
    <n v="1.7483"/>
  </r>
  <r>
    <n v="2303"/>
    <x v="0"/>
    <d v="2015-02-09T00:00:00"/>
    <x v="0"/>
    <x v="1"/>
    <n v="12.7296"/>
    <n v="12.8109"/>
    <n v="12.648300000000001"/>
    <n v="12.7296"/>
    <n v="39186"/>
    <n v="0"/>
    <n v="1.2862"/>
  </r>
  <r>
    <n v="2330"/>
    <x v="1"/>
    <d v="2015-02-09T00:00:00"/>
    <x v="0"/>
    <x v="1"/>
    <n v="117.6011"/>
    <n v="118.01220000000001"/>
    <n v="116.36750000000001"/>
    <n v="116.7787"/>
    <n v="26650"/>
    <n v="-0.70179999999999998"/>
    <n v="1.4134"/>
  </r>
  <r>
    <n v="2303"/>
    <x v="0"/>
    <d v="2015-02-10T00:00:00"/>
    <x v="1"/>
    <x v="1"/>
    <n v="12.8109"/>
    <n v="12.851599999999999"/>
    <n v="12.526300000000001"/>
    <n v="12.526300000000001"/>
    <n v="43062"/>
    <n v="-1.6103000000000001"/>
    <n v="2.5973999999999999"/>
  </r>
  <r>
    <n v="2330"/>
    <x v="1"/>
    <d v="2015-02-10T00:00:00"/>
    <x v="1"/>
    <x v="1"/>
    <n v="116.7787"/>
    <n v="117.6011"/>
    <n v="116.36750000000001"/>
    <n v="117.18989999999999"/>
    <n v="33452"/>
    <n v="0.35149999999999998"/>
    <n v="1.0601"/>
  </r>
  <r>
    <n v="2303"/>
    <x v="0"/>
    <d v="2015-02-11T00:00:00"/>
    <x v="2"/>
    <x v="1"/>
    <n v="12.6889"/>
    <n v="12.851599999999999"/>
    <n v="12.6076"/>
    <n v="12.8109"/>
    <n v="74043"/>
    <n v="2.2473000000000001"/>
    <n v="1.9355"/>
  </r>
  <r>
    <n v="2330"/>
    <x v="1"/>
    <d v="2015-02-11T00:00:00"/>
    <x v="2"/>
    <x v="1"/>
    <n v="120.0682"/>
    <n v="122.5354"/>
    <n v="120.0682"/>
    <n v="121.71299999999999"/>
    <n v="71429"/>
    <n v="3.7869999999999999"/>
    <n v="2.0548000000000002"/>
  </r>
  <r>
    <n v="2303"/>
    <x v="0"/>
    <d v="2015-02-12T00:00:00"/>
    <x v="3"/>
    <x v="1"/>
    <n v="12.892300000000001"/>
    <n v="12.892300000000001"/>
    <n v="12.6889"/>
    <n v="12.7296"/>
    <n v="40472"/>
    <n v="-0.63690000000000002"/>
    <n v="1.6026"/>
  </r>
  <r>
    <n v="2330"/>
    <x v="1"/>
    <d v="2015-02-12T00:00:00"/>
    <x v="3"/>
    <x v="1"/>
    <n v="122.9466"/>
    <n v="122.9466"/>
    <n v="121.3018"/>
    <n v="122.1242"/>
    <n v="35027"/>
    <n v="0.33729999999999999"/>
    <n v="1.3559000000000001"/>
  </r>
  <r>
    <n v="2303"/>
    <x v="0"/>
    <d v="2015-02-13T00:00:00"/>
    <x v="4"/>
    <x v="1"/>
    <n v="12.770300000000001"/>
    <n v="12.8109"/>
    <n v="12.6076"/>
    <n v="12.6889"/>
    <n v="45907"/>
    <n v="-0.32"/>
    <n v="1.6129"/>
  </r>
  <r>
    <n v="2330"/>
    <x v="1"/>
    <d v="2015-02-13T00:00:00"/>
    <x v="4"/>
    <x v="1"/>
    <n v="122.1242"/>
    <n v="123.3578"/>
    <n v="121.71299999999999"/>
    <n v="122.1242"/>
    <n v="38571"/>
    <n v="0"/>
    <n v="1.3513999999999999"/>
  </r>
  <r>
    <n v="2303"/>
    <x v="0"/>
    <d v="2015-02-24T00:00:00"/>
    <x v="1"/>
    <x v="1"/>
    <n v="12.851599999999999"/>
    <n v="12.892300000000001"/>
    <n v="12.6889"/>
    <n v="12.892300000000001"/>
    <n v="71058"/>
    <n v="1.5899000000000001"/>
    <n v="1.6026"/>
  </r>
  <r>
    <n v="2330"/>
    <x v="1"/>
    <d v="2015-02-24T00:00:00"/>
    <x v="1"/>
    <x v="1"/>
    <n v="122.5354"/>
    <n v="125.0025"/>
    <n v="122.1242"/>
    <n v="124.1801"/>
    <n v="74443"/>
    <n v="1.6695"/>
    <n v="2.3569"/>
  </r>
  <r>
    <n v="2303"/>
    <x v="0"/>
    <d v="2015-02-25T00:00:00"/>
    <x v="2"/>
    <x v="1"/>
    <n v="12.892300000000001"/>
    <n v="13.055"/>
    <n v="12.851599999999999"/>
    <n v="13.055"/>
    <n v="88365"/>
    <n v="1.2539"/>
    <n v="1.5823"/>
  </r>
  <r>
    <n v="2330"/>
    <x v="1"/>
    <d v="2015-02-25T00:00:00"/>
    <x v="2"/>
    <x v="1"/>
    <n v="125.41370000000001"/>
    <n v="127.0585"/>
    <n v="125.41370000000001"/>
    <n v="127.0585"/>
    <n v="48326"/>
    <n v="2.2913999999999999"/>
    <n v="1.3115000000000001"/>
  </r>
  <r>
    <n v="2303"/>
    <x v="0"/>
    <d v="2015-02-26T00:00:00"/>
    <x v="3"/>
    <x v="1"/>
    <n v="13.0143"/>
    <n v="13.055"/>
    <n v="12.851599999999999"/>
    <n v="13.0143"/>
    <n v="67714"/>
    <n v="-0.312"/>
    <n v="1.5823"/>
  </r>
  <r>
    <n v="2330"/>
    <x v="1"/>
    <d v="2015-02-26T00:00:00"/>
    <x v="3"/>
    <x v="1"/>
    <n v="126.23609999999999"/>
    <n v="126.6473"/>
    <n v="123.7689"/>
    <n v="123.7689"/>
    <n v="58406"/>
    <n v="-2.6231"/>
    <n v="2.3256000000000001"/>
  </r>
  <r>
    <n v="2303"/>
    <x v="0"/>
    <d v="2015-03-02T00:00:00"/>
    <x v="0"/>
    <x v="2"/>
    <n v="13.055"/>
    <n v="13.095599999999999"/>
    <n v="12.8109"/>
    <n v="12.892300000000001"/>
    <n v="60350"/>
    <n v="-0.94189999999999996"/>
    <n v="2.2222"/>
  </r>
  <r>
    <n v="2330"/>
    <x v="1"/>
    <d v="2015-03-02T00:00:00"/>
    <x v="0"/>
    <x v="2"/>
    <n v="124.5913"/>
    <n v="125.8249"/>
    <n v="122.1242"/>
    <n v="122.5354"/>
    <n v="41706"/>
    <n v="-1.0017"/>
    <n v="3.0303"/>
  </r>
  <r>
    <n v="2303"/>
    <x v="0"/>
    <d v="2015-03-03T00:00:00"/>
    <x v="1"/>
    <x v="2"/>
    <n v="12.9329"/>
    <n v="12.973599999999999"/>
    <n v="12.770300000000001"/>
    <n v="12.892300000000001"/>
    <n v="47908"/>
    <n v="0"/>
    <n v="1.5924"/>
  </r>
  <r>
    <n v="2330"/>
    <x v="1"/>
    <d v="2015-03-03T00:00:00"/>
    <x v="1"/>
    <x v="2"/>
    <n v="123.3578"/>
    <n v="124.1801"/>
    <n v="122.1242"/>
    <n v="123.7689"/>
    <n v="29205"/>
    <n v="1.0017"/>
    <n v="1.6835"/>
  </r>
  <r>
    <n v="2303"/>
    <x v="0"/>
    <d v="2015-03-04T00:00:00"/>
    <x v="2"/>
    <x v="2"/>
    <n v="12.851599999999999"/>
    <n v="12.973599999999999"/>
    <n v="12.8109"/>
    <n v="12.8109"/>
    <n v="50862"/>
    <n v="-0.63290000000000002"/>
    <n v="1.2698"/>
  </r>
  <r>
    <n v="2330"/>
    <x v="1"/>
    <d v="2015-03-04T00:00:00"/>
    <x v="2"/>
    <x v="2"/>
    <n v="123.3578"/>
    <n v="124.5913"/>
    <n v="122.5354"/>
    <n v="123.7689"/>
    <n v="32781"/>
    <n v="0"/>
    <n v="1.6778999999999999"/>
  </r>
  <r>
    <n v="2303"/>
    <x v="0"/>
    <d v="2015-03-05T00:00:00"/>
    <x v="3"/>
    <x v="2"/>
    <n v="12.770300000000001"/>
    <n v="12.892300000000001"/>
    <n v="12.7296"/>
    <n v="12.7296"/>
    <n v="51219"/>
    <n v="-0.63690000000000002"/>
    <n v="1.278"/>
  </r>
  <r>
    <n v="2330"/>
    <x v="1"/>
    <d v="2015-03-05T00:00:00"/>
    <x v="3"/>
    <x v="2"/>
    <n v="123.3578"/>
    <n v="124.1801"/>
    <n v="122.1242"/>
    <n v="123.3578"/>
    <n v="29851"/>
    <n v="-0.33279999999999998"/>
    <n v="1.6835"/>
  </r>
  <r>
    <n v="2303"/>
    <x v="0"/>
    <d v="2015-03-06T00:00:00"/>
    <x v="4"/>
    <x v="2"/>
    <n v="12.7296"/>
    <n v="12.8109"/>
    <n v="12.648300000000001"/>
    <n v="12.7296"/>
    <n v="55362"/>
    <n v="0"/>
    <n v="1.2862"/>
  </r>
  <r>
    <n v="2330"/>
    <x v="1"/>
    <d v="2015-03-06T00:00:00"/>
    <x v="4"/>
    <x v="2"/>
    <n v="122.5354"/>
    <n v="122.9466"/>
    <n v="122.1242"/>
    <n v="122.5354"/>
    <n v="33211"/>
    <n v="-0.66890000000000005"/>
    <n v="0.6734"/>
  </r>
  <r>
    <n v="2303"/>
    <x v="0"/>
    <d v="2015-03-09T00:00:00"/>
    <x v="0"/>
    <x v="2"/>
    <n v="12.6889"/>
    <n v="12.770300000000001"/>
    <n v="12.6076"/>
    <n v="12.770300000000001"/>
    <n v="59064"/>
    <n v="0.31900000000000001"/>
    <n v="1.2903"/>
  </r>
  <r>
    <n v="2330"/>
    <x v="1"/>
    <d v="2015-03-09T00:00:00"/>
    <x v="0"/>
    <x v="2"/>
    <n v="121.3018"/>
    <n v="121.3018"/>
    <n v="119.2458"/>
    <n v="119.657"/>
    <n v="67545"/>
    <n v="-2.3769999999999998"/>
    <n v="1.7241"/>
  </r>
  <r>
    <n v="2303"/>
    <x v="0"/>
    <d v="2015-03-10T00:00:00"/>
    <x v="1"/>
    <x v="2"/>
    <n v="12.8109"/>
    <n v="12.9329"/>
    <n v="12.770300000000001"/>
    <n v="12.770300000000001"/>
    <n v="61473"/>
    <n v="0"/>
    <n v="1.2739"/>
  </r>
  <r>
    <n v="2330"/>
    <x v="1"/>
    <d v="2015-03-10T00:00:00"/>
    <x v="1"/>
    <x v="2"/>
    <n v="119.2458"/>
    <n v="119.2458"/>
    <n v="118.4234"/>
    <n v="118.4234"/>
    <n v="46859"/>
    <n v="-1.0363"/>
    <n v="0.69440000000000002"/>
  </r>
  <r>
    <n v="2303"/>
    <x v="0"/>
    <d v="2015-03-11T00:00:00"/>
    <x v="2"/>
    <x v="2"/>
    <n v="12.6889"/>
    <n v="12.9329"/>
    <n v="12.648300000000001"/>
    <n v="12.7296"/>
    <n v="56752"/>
    <n v="-0.31900000000000001"/>
    <n v="2.2507999999999999"/>
  </r>
  <r>
    <n v="2330"/>
    <x v="1"/>
    <d v="2015-03-11T00:00:00"/>
    <x v="2"/>
    <x v="2"/>
    <n v="118.01220000000001"/>
    <n v="121.71299999999999"/>
    <n v="117.6011"/>
    <n v="120.0682"/>
    <n v="51828"/>
    <n v="1.3793"/>
    <n v="3.4965000000000002"/>
  </r>
  <r>
    <n v="2303"/>
    <x v="0"/>
    <d v="2015-03-12T00:00:00"/>
    <x v="3"/>
    <x v="2"/>
    <n v="12.7296"/>
    <n v="12.9329"/>
    <n v="12.7296"/>
    <n v="12.851599999999999"/>
    <n v="43986"/>
    <n v="0.95389999999999997"/>
    <n v="1.5973999999999999"/>
  </r>
  <r>
    <n v="2330"/>
    <x v="1"/>
    <d v="2015-03-12T00:00:00"/>
    <x v="3"/>
    <x v="2"/>
    <n v="120.89060000000001"/>
    <n v="122.1242"/>
    <n v="120.4794"/>
    <n v="121.71299999999999"/>
    <n v="32364"/>
    <n v="1.3606"/>
    <n v="1.3652"/>
  </r>
  <r>
    <n v="2303"/>
    <x v="0"/>
    <d v="2015-03-13T00:00:00"/>
    <x v="4"/>
    <x v="2"/>
    <n v="12.892300000000001"/>
    <n v="12.9329"/>
    <n v="12.770300000000001"/>
    <n v="12.770300000000001"/>
    <n v="22191"/>
    <n v="-0.63490000000000002"/>
    <n v="1.2739"/>
  </r>
  <r>
    <n v="2330"/>
    <x v="1"/>
    <d v="2015-03-13T00:00:00"/>
    <x v="4"/>
    <x v="2"/>
    <n v="121.71299999999999"/>
    <n v="122.9466"/>
    <n v="120.89060000000001"/>
    <n v="122.5354"/>
    <n v="46407"/>
    <n v="0.6734"/>
    <n v="1.7007000000000001"/>
  </r>
  <r>
    <n v="2303"/>
    <x v="0"/>
    <d v="2015-03-16T00:00:00"/>
    <x v="0"/>
    <x v="2"/>
    <n v="12.8109"/>
    <n v="12.8109"/>
    <n v="12.6889"/>
    <n v="12.7296"/>
    <n v="29764"/>
    <n v="-0.31900000000000001"/>
    <n v="0.96150000000000002"/>
  </r>
  <r>
    <n v="2330"/>
    <x v="1"/>
    <d v="2015-03-16T00:00:00"/>
    <x v="0"/>
    <x v="2"/>
    <n v="122.5354"/>
    <n v="122.9466"/>
    <n v="120.0682"/>
    <n v="120.0682"/>
    <n v="37462"/>
    <n v="-2.0339999999999998"/>
    <n v="2.3973"/>
  </r>
  <r>
    <n v="2303"/>
    <x v="0"/>
    <d v="2015-03-17T00:00:00"/>
    <x v="1"/>
    <x v="2"/>
    <n v="12.770300000000001"/>
    <n v="12.851599999999999"/>
    <n v="12.7296"/>
    <n v="12.7296"/>
    <n v="26301"/>
    <n v="0"/>
    <n v="0.95850000000000002"/>
  </r>
  <r>
    <n v="2330"/>
    <x v="1"/>
    <d v="2015-03-17T00:00:00"/>
    <x v="1"/>
    <x v="2"/>
    <n v="122.1242"/>
    <n v="123.3578"/>
    <n v="122.1242"/>
    <n v="122.5354"/>
    <n v="55770"/>
    <n v="2.0339999999999998"/>
    <n v="1.0101"/>
  </r>
  <r>
    <n v="2303"/>
    <x v="0"/>
    <d v="2015-03-18T00:00:00"/>
    <x v="2"/>
    <x v="2"/>
    <n v="12.7296"/>
    <n v="12.851599999999999"/>
    <n v="12.648300000000001"/>
    <n v="12.8109"/>
    <n v="51303"/>
    <n v="0.63690000000000002"/>
    <n v="1.6076999999999999"/>
  </r>
  <r>
    <n v="2330"/>
    <x v="1"/>
    <d v="2015-03-18T00:00:00"/>
    <x v="2"/>
    <x v="2"/>
    <n v="124.1801"/>
    <n v="126.6473"/>
    <n v="123.3578"/>
    <n v="126.23609999999999"/>
    <n v="71220"/>
    <n v="2.9754"/>
    <n v="2.6667000000000001"/>
  </r>
  <r>
    <n v="2303"/>
    <x v="0"/>
    <d v="2015-03-19T00:00:00"/>
    <x v="3"/>
    <x v="2"/>
    <n v="12.9329"/>
    <n v="12.973599999999999"/>
    <n v="12.8109"/>
    <n v="12.892300000000001"/>
    <n v="46629"/>
    <n v="0.63290000000000002"/>
    <n v="1.2698"/>
  </r>
  <r>
    <n v="2330"/>
    <x v="1"/>
    <d v="2015-03-19T00:00:00"/>
    <x v="3"/>
    <x v="2"/>
    <n v="125.41370000000001"/>
    <n v="127.4697"/>
    <n v="125.41370000000001"/>
    <n v="126.6473"/>
    <n v="43512"/>
    <n v="0.32519999999999999"/>
    <n v="1.6393"/>
  </r>
  <r>
    <n v="2303"/>
    <x v="0"/>
    <d v="2015-03-20T00:00:00"/>
    <x v="4"/>
    <x v="2"/>
    <n v="12.8109"/>
    <n v="12.892300000000001"/>
    <n v="12.6889"/>
    <n v="12.7296"/>
    <n v="38546"/>
    <n v="-1.2699"/>
    <n v="1.6026"/>
  </r>
  <r>
    <n v="2330"/>
    <x v="1"/>
    <d v="2015-03-20T00:00:00"/>
    <x v="4"/>
    <x v="2"/>
    <n v="124.5913"/>
    <n v="126.6473"/>
    <n v="124.5913"/>
    <n v="126.6473"/>
    <n v="38594"/>
    <n v="0"/>
    <n v="1.6501999999999999"/>
  </r>
  <r>
    <n v="2303"/>
    <x v="0"/>
    <d v="2015-03-23T00:00:00"/>
    <x v="0"/>
    <x v="2"/>
    <n v="12.8109"/>
    <n v="12.851599999999999"/>
    <n v="12.7296"/>
    <n v="12.8109"/>
    <n v="30135"/>
    <n v="0.63690000000000002"/>
    <n v="0.95850000000000002"/>
  </r>
  <r>
    <n v="2330"/>
    <x v="1"/>
    <d v="2015-03-23T00:00:00"/>
    <x v="0"/>
    <x v="2"/>
    <n v="126.6473"/>
    <n v="126.6473"/>
    <n v="125.41370000000001"/>
    <n v="126.23609999999999"/>
    <n v="26369"/>
    <n v="-0.32519999999999999"/>
    <n v="0.98360000000000003"/>
  </r>
  <r>
    <n v="2303"/>
    <x v="0"/>
    <d v="2015-03-24T00:00:00"/>
    <x v="1"/>
    <x v="2"/>
    <n v="12.8109"/>
    <n v="12.851599999999999"/>
    <n v="12.6889"/>
    <n v="12.770300000000001"/>
    <n v="28134"/>
    <n v="-0.318"/>
    <n v="1.2821"/>
  </r>
  <r>
    <n v="2330"/>
    <x v="1"/>
    <d v="2015-03-24T00:00:00"/>
    <x v="1"/>
    <x v="2"/>
    <n v="126.23609999999999"/>
    <n v="126.23609999999999"/>
    <n v="124.5913"/>
    <n v="124.5913"/>
    <n v="38207"/>
    <n v="-1.3115000000000001"/>
    <n v="1.3201000000000001"/>
  </r>
  <r>
    <n v="2303"/>
    <x v="0"/>
    <d v="2015-03-25T00:00:00"/>
    <x v="2"/>
    <x v="2"/>
    <n v="12.8109"/>
    <n v="12.851599999999999"/>
    <n v="12.6889"/>
    <n v="12.6889"/>
    <n v="30326"/>
    <n v="-0.63900000000000001"/>
    <n v="1.2821"/>
  </r>
  <r>
    <n v="2330"/>
    <x v="1"/>
    <d v="2015-03-25T00:00:00"/>
    <x v="2"/>
    <x v="2"/>
    <n v="125.0025"/>
    <n v="125.41370000000001"/>
    <n v="123.7689"/>
    <n v="124.1801"/>
    <n v="50140"/>
    <n v="-0.3306"/>
    <n v="1.3289"/>
  </r>
  <r>
    <n v="2303"/>
    <x v="0"/>
    <d v="2015-03-26T00:00:00"/>
    <x v="3"/>
    <x v="2"/>
    <n v="12.444900000000001"/>
    <n v="12.4856"/>
    <n v="12.2416"/>
    <n v="12.404199999999999"/>
    <n v="77016"/>
    <n v="-2.2690999999999999"/>
    <n v="1.9934000000000001"/>
  </r>
  <r>
    <n v="2330"/>
    <x v="1"/>
    <d v="2015-03-26T00:00:00"/>
    <x v="3"/>
    <x v="2"/>
    <n v="119.657"/>
    <n v="120.89060000000001"/>
    <n v="118.83459999999999"/>
    <n v="119.657"/>
    <n v="162835"/>
    <n v="-3.7103999999999999"/>
    <n v="1.7301"/>
  </r>
  <r>
    <n v="2303"/>
    <x v="0"/>
    <d v="2015-03-27T00:00:00"/>
    <x v="4"/>
    <x v="2"/>
    <n v="12.444900000000001"/>
    <n v="12.5669"/>
    <n v="12.3636"/>
    <n v="12.3636"/>
    <n v="59569"/>
    <n v="-0.32840000000000003"/>
    <n v="1.6447000000000001"/>
  </r>
  <r>
    <n v="2330"/>
    <x v="1"/>
    <d v="2015-03-27T00:00:00"/>
    <x v="4"/>
    <x v="2"/>
    <n v="118.4234"/>
    <n v="119.657"/>
    <n v="117.18989999999999"/>
    <n v="117.18989999999999"/>
    <n v="112919"/>
    <n v="-2.0834000000000001"/>
    <n v="2.1053000000000002"/>
  </r>
  <r>
    <n v="2303"/>
    <x v="0"/>
    <d v="2015-03-30T00:00:00"/>
    <x v="0"/>
    <x v="2"/>
    <n v="12.444900000000001"/>
    <n v="12.5669"/>
    <n v="12.3636"/>
    <n v="12.444900000000001"/>
    <n v="35544"/>
    <n v="0.65569999999999995"/>
    <n v="1.6447000000000001"/>
  </r>
  <r>
    <n v="2330"/>
    <x v="1"/>
    <d v="2015-03-30T00:00:00"/>
    <x v="0"/>
    <x v="2"/>
    <n v="117.18989999999999"/>
    <n v="118.4234"/>
    <n v="116.7787"/>
    <n v="117.18989999999999"/>
    <n v="64898"/>
    <n v="0"/>
    <n v="1.4085000000000001"/>
  </r>
  <r>
    <n v="2303"/>
    <x v="0"/>
    <d v="2015-03-31T00:00:00"/>
    <x v="1"/>
    <x v="2"/>
    <n v="12.5669"/>
    <n v="12.6076"/>
    <n v="12.444900000000001"/>
    <n v="12.6076"/>
    <n v="43396"/>
    <n v="1.2987"/>
    <n v="1.3071999999999999"/>
  </r>
  <r>
    <n v="2330"/>
    <x v="1"/>
    <d v="2015-03-31T00:00:00"/>
    <x v="1"/>
    <x v="2"/>
    <n v="118.4234"/>
    <n v="119.657"/>
    <n v="117.6011"/>
    <n v="119.657"/>
    <n v="56918"/>
    <n v="2.0834000000000001"/>
    <n v="1.7483"/>
  </r>
  <r>
    <n v="2303"/>
    <x v="0"/>
    <d v="2015-04-01T00:00:00"/>
    <x v="2"/>
    <x v="3"/>
    <n v="12.5669"/>
    <n v="12.5669"/>
    <n v="12.404199999999999"/>
    <n v="12.404199999999999"/>
    <n v="23081"/>
    <n v="-1.6261000000000001"/>
    <n v="1.3115000000000001"/>
  </r>
  <r>
    <n v="2330"/>
    <x v="1"/>
    <d v="2015-04-01T00:00:00"/>
    <x v="2"/>
    <x v="3"/>
    <n v="119.2458"/>
    <n v="119.2458"/>
    <n v="118.01220000000001"/>
    <n v="118.4234"/>
    <n v="39056"/>
    <n v="-1.0363"/>
    <n v="1.0452999999999999"/>
  </r>
  <r>
    <n v="2303"/>
    <x v="0"/>
    <d v="2015-04-02T00:00:00"/>
    <x v="3"/>
    <x v="3"/>
    <n v="12.4856"/>
    <n v="12.6076"/>
    <n v="12.444900000000001"/>
    <n v="12.6076"/>
    <n v="32937"/>
    <n v="1.6261000000000001"/>
    <n v="1.3071999999999999"/>
  </r>
  <r>
    <n v="2330"/>
    <x v="1"/>
    <d v="2015-04-02T00:00:00"/>
    <x v="3"/>
    <x v="3"/>
    <n v="119.2458"/>
    <n v="121.71299999999999"/>
    <n v="118.83459999999999"/>
    <n v="120.89060000000001"/>
    <n v="52174"/>
    <n v="2.0619000000000001"/>
    <n v="2.4220999999999999"/>
  </r>
  <r>
    <n v="2303"/>
    <x v="0"/>
    <d v="2015-04-07T00:00:00"/>
    <x v="1"/>
    <x v="3"/>
    <n v="12.770300000000001"/>
    <n v="12.851599999999999"/>
    <n v="12.7296"/>
    <n v="12.851599999999999"/>
    <n v="44161"/>
    <n v="1.917"/>
    <n v="0.95850000000000002"/>
  </r>
  <r>
    <n v="2330"/>
    <x v="1"/>
    <d v="2015-04-07T00:00:00"/>
    <x v="1"/>
    <x v="3"/>
    <n v="120.4794"/>
    <n v="121.3018"/>
    <n v="119.2458"/>
    <n v="120.0682"/>
    <n v="34901"/>
    <n v="-0.68259999999999998"/>
    <n v="1.7241"/>
  </r>
  <r>
    <n v="2303"/>
    <x v="0"/>
    <d v="2015-04-08T00:00:00"/>
    <x v="2"/>
    <x v="3"/>
    <n v="12.770300000000001"/>
    <n v="12.8109"/>
    <n v="12.6889"/>
    <n v="12.7296"/>
    <n v="34483"/>
    <n v="-0.95389999999999997"/>
    <n v="0.96150000000000002"/>
  </r>
  <r>
    <n v="2330"/>
    <x v="1"/>
    <d v="2015-04-08T00:00:00"/>
    <x v="2"/>
    <x v="3"/>
    <n v="119.657"/>
    <n v="120.0682"/>
    <n v="117.6011"/>
    <n v="117.6011"/>
    <n v="49474"/>
    <n v="-2.0762"/>
    <n v="2.0979000000000001"/>
  </r>
  <r>
    <n v="2303"/>
    <x v="0"/>
    <d v="2015-04-09T00:00:00"/>
    <x v="3"/>
    <x v="3"/>
    <n v="12.6889"/>
    <n v="12.7296"/>
    <n v="12.526300000000001"/>
    <n v="12.526300000000001"/>
    <n v="42432"/>
    <n v="-1.6103000000000001"/>
    <n v="1.6234"/>
  </r>
  <r>
    <n v="2330"/>
    <x v="1"/>
    <d v="2015-04-09T00:00:00"/>
    <x v="3"/>
    <x v="3"/>
    <n v="118.4234"/>
    <n v="119.657"/>
    <n v="117.6011"/>
    <n v="117.6011"/>
    <n v="47243"/>
    <n v="0"/>
    <n v="1.7483"/>
  </r>
  <r>
    <n v="2303"/>
    <x v="0"/>
    <d v="2015-04-10T00:00:00"/>
    <x v="4"/>
    <x v="3"/>
    <n v="12.5669"/>
    <n v="12.648300000000001"/>
    <n v="12.3636"/>
    <n v="12.404199999999999"/>
    <n v="37585"/>
    <n v="-0.9788"/>
    <n v="2.3026"/>
  </r>
  <r>
    <n v="2330"/>
    <x v="1"/>
    <d v="2015-04-10T00:00:00"/>
    <x v="4"/>
    <x v="3"/>
    <n v="120.0682"/>
    <n v="120.89060000000001"/>
    <n v="119.2458"/>
    <n v="120.89060000000001"/>
    <n v="33908"/>
    <n v="2.7587999999999999"/>
    <n v="1.3793"/>
  </r>
  <r>
    <n v="2303"/>
    <x v="0"/>
    <d v="2015-04-13T00:00:00"/>
    <x v="0"/>
    <x v="3"/>
    <n v="12.444900000000001"/>
    <n v="12.5669"/>
    <n v="12.3636"/>
    <n v="12.404199999999999"/>
    <n v="50604"/>
    <n v="0"/>
    <n v="1.6447000000000001"/>
  </r>
  <r>
    <n v="2330"/>
    <x v="1"/>
    <d v="2015-04-13T00:00:00"/>
    <x v="0"/>
    <x v="3"/>
    <n v="120.4794"/>
    <n v="121.3018"/>
    <n v="120.0682"/>
    <n v="120.89060000000001"/>
    <n v="26427"/>
    <n v="0"/>
    <n v="1.0274000000000001"/>
  </r>
  <r>
    <n v="2303"/>
    <x v="0"/>
    <d v="2015-04-14T00:00:00"/>
    <x v="1"/>
    <x v="3"/>
    <n v="12.404199999999999"/>
    <n v="12.4856"/>
    <n v="12.2416"/>
    <n v="12.2822"/>
    <n v="50596"/>
    <n v="-0.98850000000000005"/>
    <n v="1.9934000000000001"/>
  </r>
  <r>
    <n v="2330"/>
    <x v="1"/>
    <d v="2015-04-14T00:00:00"/>
    <x v="1"/>
    <x v="3"/>
    <n v="119.2458"/>
    <n v="119.657"/>
    <n v="118.01220000000001"/>
    <n v="118.4234"/>
    <n v="41702"/>
    <n v="-2.0619000000000001"/>
    <n v="1.3936999999999999"/>
  </r>
  <r>
    <n v="2303"/>
    <x v="0"/>
    <d v="2015-04-15T00:00:00"/>
    <x v="2"/>
    <x v="3"/>
    <n v="12.1602"/>
    <n v="12.1602"/>
    <n v="11.7942"/>
    <n v="11.834899999999999"/>
    <n v="117183"/>
    <n v="-3.7103999999999999"/>
    <n v="3.1034000000000002"/>
  </r>
  <r>
    <n v="2330"/>
    <x v="1"/>
    <d v="2015-04-15T00:00:00"/>
    <x v="2"/>
    <x v="3"/>
    <n v="118.01220000000001"/>
    <n v="118.83459999999999"/>
    <n v="116.36750000000001"/>
    <n v="117.6011"/>
    <n v="71626"/>
    <n v="-0.69689999999999996"/>
    <n v="2.1200999999999999"/>
  </r>
  <r>
    <n v="2303"/>
    <x v="0"/>
    <d v="2015-04-16T00:00:00"/>
    <x v="3"/>
    <x v="3"/>
    <n v="11.9162"/>
    <n v="11.956899999999999"/>
    <n v="11.834899999999999"/>
    <n v="11.956899999999999"/>
    <n v="50543"/>
    <n v="1.0257000000000001"/>
    <n v="1.0308999999999999"/>
  </r>
  <r>
    <n v="2330"/>
    <x v="1"/>
    <d v="2015-04-16T00:00:00"/>
    <x v="3"/>
    <x v="3"/>
    <n v="119.2458"/>
    <n v="120.89060000000001"/>
    <n v="118.83459999999999"/>
    <n v="120.89060000000001"/>
    <n v="55563"/>
    <n v="2.7587999999999999"/>
    <n v="1.7301"/>
  </r>
  <r>
    <n v="2303"/>
    <x v="0"/>
    <d v="2015-04-17T00:00:00"/>
    <x v="4"/>
    <x v="3"/>
    <n v="11.753500000000001"/>
    <n v="11.753500000000001"/>
    <n v="11.5909"/>
    <n v="11.631500000000001"/>
    <n v="67361"/>
    <n v="-2.7587999999999999"/>
    <n v="1.4035"/>
  </r>
  <r>
    <n v="2330"/>
    <x v="1"/>
    <d v="2015-04-17T00:00:00"/>
    <x v="4"/>
    <x v="3"/>
    <n v="117.6011"/>
    <n v="118.4234"/>
    <n v="117.18989999999999"/>
    <n v="117.18989999999999"/>
    <n v="79007"/>
    <n v="-3.1091000000000002"/>
    <n v="1.0526"/>
  </r>
  <r>
    <n v="2303"/>
    <x v="0"/>
    <d v="2015-04-20T00:00:00"/>
    <x v="0"/>
    <x v="3"/>
    <n v="11.4282"/>
    <n v="11.509499999999999"/>
    <n v="11.2248"/>
    <n v="11.387499999999999"/>
    <n v="86233"/>
    <n v="-2.1202000000000001"/>
    <n v="2.5362"/>
  </r>
  <r>
    <n v="2330"/>
    <x v="1"/>
    <d v="2015-04-20T00:00:00"/>
    <x v="0"/>
    <x v="3"/>
    <n v="116.7787"/>
    <n v="118.4234"/>
    <n v="116.36750000000001"/>
    <n v="117.6011"/>
    <n v="43593"/>
    <n v="0.3503"/>
    <n v="1.7667999999999999"/>
  </r>
  <r>
    <n v="2303"/>
    <x v="0"/>
    <d v="2015-04-21T00:00:00"/>
    <x v="1"/>
    <x v="3"/>
    <n v="11.387499999999999"/>
    <n v="11.509499999999999"/>
    <n v="11.3062"/>
    <n v="11.4282"/>
    <n v="51863"/>
    <n v="0.35649999999999998"/>
    <n v="1.7986"/>
  </r>
  <r>
    <n v="2330"/>
    <x v="1"/>
    <d v="2015-04-21T00:00:00"/>
    <x v="1"/>
    <x v="3"/>
    <n v="116.7787"/>
    <n v="118.01220000000001"/>
    <n v="116.36750000000001"/>
    <n v="117.18989999999999"/>
    <n v="40892"/>
    <n v="-0.3503"/>
    <n v="1.4134"/>
  </r>
  <r>
    <n v="2303"/>
    <x v="0"/>
    <d v="2015-04-22T00:00:00"/>
    <x v="2"/>
    <x v="3"/>
    <n v="11.4688"/>
    <n v="11.5909"/>
    <n v="11.4282"/>
    <n v="11.4688"/>
    <n v="45490"/>
    <n v="0.35520000000000002"/>
    <n v="1.4235"/>
  </r>
  <r>
    <n v="2330"/>
    <x v="1"/>
    <d v="2015-04-22T00:00:00"/>
    <x v="2"/>
    <x v="3"/>
    <n v="118.01220000000001"/>
    <n v="119.2458"/>
    <n v="117.6011"/>
    <n v="118.01220000000001"/>
    <n v="40631"/>
    <n v="0.69930000000000003"/>
    <n v="1.3986000000000001"/>
  </r>
  <r>
    <n v="2303"/>
    <x v="0"/>
    <d v="2015-04-23T00:00:00"/>
    <x v="3"/>
    <x v="3"/>
    <n v="11.5909"/>
    <n v="11.875500000000001"/>
    <n v="11.5502"/>
    <n v="11.875500000000001"/>
    <n v="78698"/>
    <n v="3.4847000000000001"/>
    <n v="2.8169"/>
  </r>
  <r>
    <n v="2330"/>
    <x v="1"/>
    <d v="2015-04-23T00:00:00"/>
    <x v="3"/>
    <x v="3"/>
    <n v="119.657"/>
    <n v="120.89060000000001"/>
    <n v="119.2458"/>
    <n v="120.89060000000001"/>
    <n v="47851"/>
    <n v="2.4098000000000002"/>
    <n v="1.3793"/>
  </r>
  <r>
    <n v="2303"/>
    <x v="0"/>
    <d v="2015-04-24T00:00:00"/>
    <x v="4"/>
    <x v="3"/>
    <n v="11.956899999999999"/>
    <n v="12.1196"/>
    <n v="11.875500000000001"/>
    <n v="11.9162"/>
    <n v="101452"/>
    <n v="0.34189999999999998"/>
    <n v="2.0548000000000002"/>
  </r>
  <r>
    <n v="2330"/>
    <x v="1"/>
    <d v="2015-04-24T00:00:00"/>
    <x v="4"/>
    <x v="3"/>
    <n v="122.5354"/>
    <n v="125.41370000000001"/>
    <n v="122.1242"/>
    <n v="125.41370000000001"/>
    <n v="135458"/>
    <n v="3.6732"/>
    <n v="2.6936"/>
  </r>
  <r>
    <n v="2303"/>
    <x v="0"/>
    <d v="2015-04-27T00:00:00"/>
    <x v="0"/>
    <x v="3"/>
    <n v="11.956899999999999"/>
    <n v="12.200900000000001"/>
    <n v="11.956899999999999"/>
    <n v="12.1196"/>
    <n v="79005"/>
    <n v="1.6920999999999999"/>
    <n v="2.0407999999999999"/>
  </r>
  <r>
    <n v="2330"/>
    <x v="1"/>
    <d v="2015-04-27T00:00:00"/>
    <x v="0"/>
    <x v="3"/>
    <n v="125.8249"/>
    <n v="125.8249"/>
    <n v="123.3578"/>
    <n v="124.5913"/>
    <n v="58112"/>
    <n v="-0.65790000000000004"/>
    <n v="2"/>
  </r>
  <r>
    <n v="2303"/>
    <x v="0"/>
    <d v="2015-04-28T00:00:00"/>
    <x v="1"/>
    <x v="3"/>
    <n v="12.2416"/>
    <n v="12.2822"/>
    <n v="12.078900000000001"/>
    <n v="12.078900000000001"/>
    <n v="46175"/>
    <n v="-0.33610000000000001"/>
    <n v="1.6835"/>
  </r>
  <r>
    <n v="2330"/>
    <x v="1"/>
    <d v="2015-04-28T00:00:00"/>
    <x v="1"/>
    <x v="3"/>
    <n v="126.23609999999999"/>
    <n v="126.23609999999999"/>
    <n v="123.7689"/>
    <n v="124.5913"/>
    <n v="43295"/>
    <n v="0"/>
    <n v="1.9934000000000001"/>
  </r>
  <r>
    <n v="2303"/>
    <x v="0"/>
    <d v="2015-04-29T00:00:00"/>
    <x v="2"/>
    <x v="3"/>
    <n v="12.078900000000001"/>
    <n v="12.1602"/>
    <n v="11.875500000000001"/>
    <n v="11.9162"/>
    <n v="44213"/>
    <n v="-1.3560000000000001"/>
    <n v="2.3973"/>
  </r>
  <r>
    <n v="2330"/>
    <x v="1"/>
    <d v="2015-04-29T00:00:00"/>
    <x v="2"/>
    <x v="3"/>
    <n v="123.3578"/>
    <n v="124.1801"/>
    <n v="121.71299999999999"/>
    <n v="122.1242"/>
    <n v="37440"/>
    <n v="-2.0001000000000002"/>
    <n v="2.0270000000000001"/>
  </r>
  <r>
    <n v="2303"/>
    <x v="0"/>
    <d v="2015-04-30T00:00:00"/>
    <x v="3"/>
    <x v="3"/>
    <n v="12.078900000000001"/>
    <n v="12.078900000000001"/>
    <n v="11.712899999999999"/>
    <n v="11.875500000000001"/>
    <n v="78488"/>
    <n v="-0.34189999999999998"/>
    <n v="3.125"/>
  </r>
  <r>
    <n v="2330"/>
    <x v="1"/>
    <d v="2015-04-30T00:00:00"/>
    <x v="3"/>
    <x v="3"/>
    <n v="120.89060000000001"/>
    <n v="122.1242"/>
    <n v="120.4794"/>
    <n v="120.89060000000001"/>
    <n v="48982"/>
    <n v="-1.0152000000000001"/>
    <n v="1.3652"/>
  </r>
  <r>
    <n v="2303"/>
    <x v="0"/>
    <d v="2015-05-04T00:00:00"/>
    <x v="0"/>
    <x v="4"/>
    <n v="11.9162"/>
    <n v="11.956899999999999"/>
    <n v="11.631500000000001"/>
    <n v="11.631500000000001"/>
    <n v="54158"/>
    <n v="-2.0762"/>
    <n v="2.7972000000000001"/>
  </r>
  <r>
    <n v="2330"/>
    <x v="1"/>
    <d v="2015-05-04T00:00:00"/>
    <x v="0"/>
    <x v="4"/>
    <n v="122.1242"/>
    <n v="122.1242"/>
    <n v="120.0682"/>
    <n v="121.3018"/>
    <n v="30868"/>
    <n v="0.33960000000000001"/>
    <n v="1.7122999999999999"/>
  </r>
  <r>
    <n v="2303"/>
    <x v="0"/>
    <d v="2015-05-05T00:00:00"/>
    <x v="1"/>
    <x v="4"/>
    <n v="11.5909"/>
    <n v="11.6722"/>
    <n v="11.5502"/>
    <n v="11.631500000000001"/>
    <n v="33905"/>
    <n v="0"/>
    <n v="1.0563"/>
  </r>
  <r>
    <n v="2330"/>
    <x v="1"/>
    <d v="2015-05-05T00:00:00"/>
    <x v="1"/>
    <x v="4"/>
    <n v="121.3018"/>
    <n v="121.71299999999999"/>
    <n v="120.0682"/>
    <n v="120.89060000000001"/>
    <n v="27789"/>
    <n v="-0.33960000000000001"/>
    <n v="1.3698999999999999"/>
  </r>
  <r>
    <n v="2303"/>
    <x v="0"/>
    <d v="2015-05-06T00:00:00"/>
    <x v="2"/>
    <x v="4"/>
    <n v="11.5909"/>
    <n v="11.7942"/>
    <n v="11.5502"/>
    <n v="11.6722"/>
    <n v="28568"/>
    <n v="0.34899999999999998"/>
    <n v="2.1126999999999998"/>
  </r>
  <r>
    <n v="2330"/>
    <x v="1"/>
    <d v="2015-05-06T00:00:00"/>
    <x v="2"/>
    <x v="4"/>
    <n v="119.657"/>
    <n v="121.71299999999999"/>
    <n v="119.657"/>
    <n v="121.3018"/>
    <n v="18824"/>
    <n v="0.33960000000000001"/>
    <n v="1.7181999999999999"/>
  </r>
  <r>
    <n v="2303"/>
    <x v="0"/>
    <d v="2015-05-07T00:00:00"/>
    <x v="3"/>
    <x v="4"/>
    <n v="11.5909"/>
    <n v="11.5909"/>
    <n v="11.387499999999999"/>
    <n v="11.4282"/>
    <n v="61661"/>
    <n v="-2.1128"/>
    <n v="1.7857000000000001"/>
  </r>
  <r>
    <n v="2330"/>
    <x v="1"/>
    <d v="2015-05-07T00:00:00"/>
    <x v="3"/>
    <x v="4"/>
    <n v="120.0682"/>
    <n v="121.3018"/>
    <n v="120.0682"/>
    <n v="120.4794"/>
    <n v="21908"/>
    <n v="-0.68030000000000002"/>
    <n v="1.0274000000000001"/>
  </r>
  <r>
    <n v="2303"/>
    <x v="0"/>
    <d v="2015-05-08T00:00:00"/>
    <x v="4"/>
    <x v="4"/>
    <n v="11.4282"/>
    <n v="11.509499999999999"/>
    <n v="11.265499999999999"/>
    <n v="11.265499999999999"/>
    <n v="60537"/>
    <n v="-1.4337"/>
    <n v="2.1661000000000001"/>
  </r>
  <r>
    <n v="2330"/>
    <x v="1"/>
    <d v="2015-05-08T00:00:00"/>
    <x v="4"/>
    <x v="4"/>
    <n v="120.0682"/>
    <n v="121.3018"/>
    <n v="120.0682"/>
    <n v="120.4794"/>
    <n v="20035"/>
    <n v="0"/>
    <n v="1.0274000000000001"/>
  </r>
  <r>
    <n v="2303"/>
    <x v="0"/>
    <d v="2015-05-11T00:00:00"/>
    <x v="0"/>
    <x v="4"/>
    <n v="11.4282"/>
    <n v="11.509499999999999"/>
    <n v="11.3468"/>
    <n v="11.387499999999999"/>
    <n v="57175"/>
    <n v="1.0771999999999999"/>
    <n v="1.4337"/>
  </r>
  <r>
    <n v="2330"/>
    <x v="1"/>
    <d v="2015-05-11T00:00:00"/>
    <x v="0"/>
    <x v="4"/>
    <n v="122.5354"/>
    <n v="122.5354"/>
    <n v="120.89060000000001"/>
    <n v="122.1242"/>
    <n v="20402"/>
    <n v="1.3560000000000001"/>
    <n v="1.3605"/>
  </r>
  <r>
    <n v="2303"/>
    <x v="0"/>
    <d v="2015-05-12T00:00:00"/>
    <x v="1"/>
    <x v="4"/>
    <n v="10.9808"/>
    <n v="11.265499999999999"/>
    <n v="10.818099999999999"/>
    <n v="11.184200000000001"/>
    <n v="149274"/>
    <n v="-1.8019000000000001"/>
    <n v="4.1353"/>
  </r>
  <r>
    <n v="2330"/>
    <x v="1"/>
    <d v="2015-05-12T00:00:00"/>
    <x v="1"/>
    <x v="4"/>
    <n v="120.89060000000001"/>
    <n v="122.1242"/>
    <n v="120.89060000000001"/>
    <n v="121.3018"/>
    <n v="24956"/>
    <n v="-0.67569999999999997"/>
    <n v="1.0204"/>
  </r>
  <r>
    <n v="2303"/>
    <x v="0"/>
    <d v="2015-05-13T00:00:00"/>
    <x v="2"/>
    <x v="4"/>
    <n v="11.184200000000001"/>
    <n v="11.4282"/>
    <n v="11.1028"/>
    <n v="11.3468"/>
    <n v="63740"/>
    <n v="1.4440999999999999"/>
    <n v="2.9304000000000001"/>
  </r>
  <r>
    <n v="2330"/>
    <x v="1"/>
    <d v="2015-05-13T00:00:00"/>
    <x v="2"/>
    <x v="4"/>
    <n v="121.3018"/>
    <n v="122.5354"/>
    <n v="120.89060000000001"/>
    <n v="121.71299999999999"/>
    <n v="19437"/>
    <n v="0.33839999999999998"/>
    <n v="1.3605"/>
  </r>
  <r>
    <n v="2303"/>
    <x v="0"/>
    <d v="2015-05-14T00:00:00"/>
    <x v="3"/>
    <x v="4"/>
    <n v="11.3468"/>
    <n v="11.387499999999999"/>
    <n v="11.184200000000001"/>
    <n v="11.184200000000001"/>
    <n v="52111"/>
    <n v="-1.4440999999999999"/>
    <n v="1.8182"/>
  </r>
  <r>
    <n v="2330"/>
    <x v="1"/>
    <d v="2015-05-14T00:00:00"/>
    <x v="3"/>
    <x v="4"/>
    <n v="121.71299999999999"/>
    <n v="122.1242"/>
    <n v="120.0682"/>
    <n v="120.0682"/>
    <n v="39888"/>
    <n v="-1.3606"/>
    <n v="1.7122999999999999"/>
  </r>
  <r>
    <n v="2303"/>
    <x v="0"/>
    <d v="2015-05-15T00:00:00"/>
    <x v="4"/>
    <x v="4"/>
    <n v="11.184200000000001"/>
    <n v="11.3062"/>
    <n v="11.1435"/>
    <n v="11.184200000000001"/>
    <n v="32507"/>
    <n v="0"/>
    <n v="1.4599"/>
  </r>
  <r>
    <n v="2330"/>
    <x v="1"/>
    <d v="2015-05-15T00:00:00"/>
    <x v="4"/>
    <x v="4"/>
    <n v="120.89060000000001"/>
    <n v="120.89060000000001"/>
    <n v="119.2458"/>
    <n v="120.4794"/>
    <n v="24831"/>
    <n v="0.34189999999999998"/>
    <n v="1.3793"/>
  </r>
  <r>
    <n v="2303"/>
    <x v="0"/>
    <d v="2015-05-18T00:00:00"/>
    <x v="0"/>
    <x v="4"/>
    <n v="11.184200000000001"/>
    <n v="11.2248"/>
    <n v="11.062099999999999"/>
    <n v="11.062099999999999"/>
    <n v="34008"/>
    <n v="-1.0969"/>
    <n v="1.4705999999999999"/>
  </r>
  <r>
    <n v="2330"/>
    <x v="1"/>
    <d v="2015-05-18T00:00:00"/>
    <x v="0"/>
    <x v="4"/>
    <n v="120.89060000000001"/>
    <n v="120.89060000000001"/>
    <n v="119.2458"/>
    <n v="120.4794"/>
    <n v="26212"/>
    <n v="0"/>
    <n v="1.3793"/>
  </r>
  <r>
    <n v="2303"/>
    <x v="0"/>
    <d v="2015-05-19T00:00:00"/>
    <x v="1"/>
    <x v="4"/>
    <n v="11.184200000000001"/>
    <n v="11.4688"/>
    <n v="11.1435"/>
    <n v="11.3468"/>
    <n v="53316"/>
    <n v="2.5409999999999999"/>
    <n v="2.9197000000000002"/>
  </r>
  <r>
    <n v="2330"/>
    <x v="1"/>
    <d v="2015-05-19T00:00:00"/>
    <x v="1"/>
    <x v="4"/>
    <n v="119.657"/>
    <n v="121.3018"/>
    <n v="119.2458"/>
    <n v="120.4794"/>
    <n v="26321"/>
    <n v="0"/>
    <n v="1.7241"/>
  </r>
  <r>
    <n v="2303"/>
    <x v="0"/>
    <d v="2015-05-20T00:00:00"/>
    <x v="2"/>
    <x v="4"/>
    <n v="11.3468"/>
    <n v="11.4688"/>
    <n v="11.265499999999999"/>
    <n v="11.3062"/>
    <n v="32392"/>
    <n v="-0.35909999999999997"/>
    <n v="1.8050999999999999"/>
  </r>
  <r>
    <n v="2330"/>
    <x v="1"/>
    <d v="2015-05-20T00:00:00"/>
    <x v="2"/>
    <x v="4"/>
    <n v="120.4794"/>
    <n v="120.89060000000001"/>
    <n v="120.0682"/>
    <n v="120.4794"/>
    <n v="26984"/>
    <n v="0"/>
    <n v="0.68489999999999995"/>
  </r>
  <r>
    <n v="2303"/>
    <x v="0"/>
    <d v="2015-05-21T00:00:00"/>
    <x v="3"/>
    <x v="4"/>
    <n v="11.265499999999999"/>
    <n v="11.3062"/>
    <n v="11.1028"/>
    <n v="11.2248"/>
    <n v="34256"/>
    <n v="-0.72199999999999998"/>
    <n v="1.8314999999999999"/>
  </r>
  <r>
    <n v="2330"/>
    <x v="1"/>
    <d v="2015-05-21T00:00:00"/>
    <x v="3"/>
    <x v="4"/>
    <n v="120.0682"/>
    <n v="120.4794"/>
    <n v="118.83459999999999"/>
    <n v="119.657"/>
    <n v="41286"/>
    <n v="-0.68489999999999995"/>
    <n v="1.3841000000000001"/>
  </r>
  <r>
    <n v="2303"/>
    <x v="0"/>
    <d v="2015-05-22T00:00:00"/>
    <x v="4"/>
    <x v="4"/>
    <n v="11.3062"/>
    <n v="11.3468"/>
    <n v="11.2248"/>
    <n v="11.3062"/>
    <n v="37428"/>
    <n v="0.72199999999999998"/>
    <n v="1.087"/>
  </r>
  <r>
    <n v="2330"/>
    <x v="1"/>
    <d v="2015-05-22T00:00:00"/>
    <x v="4"/>
    <x v="4"/>
    <n v="120.0682"/>
    <n v="120.89060000000001"/>
    <n v="119.2458"/>
    <n v="119.657"/>
    <n v="22103"/>
    <n v="0"/>
    <n v="1.3793"/>
  </r>
  <r>
    <n v="2303"/>
    <x v="0"/>
    <d v="2015-05-25T00:00:00"/>
    <x v="0"/>
    <x v="4"/>
    <n v="11.387499999999999"/>
    <n v="11.387499999999999"/>
    <n v="11.2248"/>
    <n v="11.2248"/>
    <n v="17940"/>
    <n v="-0.72199999999999998"/>
    <n v="1.4493"/>
  </r>
  <r>
    <n v="2330"/>
    <x v="1"/>
    <d v="2015-05-25T00:00:00"/>
    <x v="0"/>
    <x v="4"/>
    <n v="120.4794"/>
    <n v="121.3018"/>
    <n v="119.657"/>
    <n v="121.3018"/>
    <n v="16323"/>
    <n v="1.3652"/>
    <n v="1.3746"/>
  </r>
  <r>
    <n v="2303"/>
    <x v="0"/>
    <d v="2015-05-26T00:00:00"/>
    <x v="1"/>
    <x v="4"/>
    <n v="11.3468"/>
    <n v="11.387499999999999"/>
    <n v="11.265499999999999"/>
    <n v="11.3062"/>
    <n v="20221"/>
    <n v="0.72199999999999998"/>
    <n v="1.083"/>
  </r>
  <r>
    <n v="2330"/>
    <x v="1"/>
    <d v="2015-05-26T00:00:00"/>
    <x v="1"/>
    <x v="4"/>
    <n v="122.1242"/>
    <n v="122.1242"/>
    <n v="120.4794"/>
    <n v="120.4794"/>
    <n v="16069"/>
    <n v="-0.68030000000000002"/>
    <n v="1.3652"/>
  </r>
  <r>
    <n v="2303"/>
    <x v="0"/>
    <d v="2015-05-27T00:00:00"/>
    <x v="2"/>
    <x v="4"/>
    <n v="11.3468"/>
    <n v="11.387499999999999"/>
    <n v="11.2248"/>
    <n v="11.3468"/>
    <n v="22913"/>
    <n v="0.35909999999999997"/>
    <n v="1.4493"/>
  </r>
  <r>
    <n v="2330"/>
    <x v="1"/>
    <d v="2015-05-27T00:00:00"/>
    <x v="2"/>
    <x v="4"/>
    <n v="119.657"/>
    <n v="120.89060000000001"/>
    <n v="119.2458"/>
    <n v="119.2458"/>
    <n v="24257"/>
    <n v="-1.0291999999999999"/>
    <n v="1.3793"/>
  </r>
  <r>
    <n v="2303"/>
    <x v="0"/>
    <d v="2015-05-28T00:00:00"/>
    <x v="3"/>
    <x v="4"/>
    <n v="11.4688"/>
    <n v="11.509499999999999"/>
    <n v="11.387499999999999"/>
    <n v="11.4688"/>
    <n v="42520"/>
    <n v="1.0694999999999999"/>
    <n v="1.0713999999999999"/>
  </r>
  <r>
    <n v="2330"/>
    <x v="1"/>
    <d v="2015-05-28T00:00:00"/>
    <x v="3"/>
    <x v="4"/>
    <n v="120.89060000000001"/>
    <n v="121.3018"/>
    <n v="120.0682"/>
    <n v="120.89060000000001"/>
    <n v="36704"/>
    <n v="1.3698999999999999"/>
    <n v="1.0274000000000001"/>
  </r>
  <r>
    <n v="2303"/>
    <x v="0"/>
    <d v="2015-05-29T00:00:00"/>
    <x v="4"/>
    <x v="4"/>
    <n v="11.4688"/>
    <n v="11.509499999999999"/>
    <n v="11.3062"/>
    <n v="11.3062"/>
    <n v="47003"/>
    <n v="-1.4286000000000001"/>
    <n v="1.7986"/>
  </r>
  <r>
    <n v="2330"/>
    <x v="1"/>
    <d v="2015-05-29T00:00:00"/>
    <x v="4"/>
    <x v="4"/>
    <n v="120.89060000000001"/>
    <n v="121.3018"/>
    <n v="119.657"/>
    <n v="120.0682"/>
    <n v="61983"/>
    <n v="-0.68259999999999998"/>
    <n v="1.3746"/>
  </r>
  <r>
    <n v="2303"/>
    <x v="0"/>
    <d v="2015-06-01T00:00:00"/>
    <x v="0"/>
    <x v="5"/>
    <n v="11.265499999999999"/>
    <n v="11.3062"/>
    <n v="11.1028"/>
    <n v="11.184200000000001"/>
    <n v="45654"/>
    <n v="-1.085"/>
    <n v="1.8314999999999999"/>
  </r>
  <r>
    <n v="2330"/>
    <x v="1"/>
    <d v="2015-06-01T00:00:00"/>
    <x v="0"/>
    <x v="5"/>
    <n v="119.657"/>
    <n v="120.0682"/>
    <n v="118.4234"/>
    <n v="119.2458"/>
    <n v="31646"/>
    <n v="-0.68730000000000002"/>
    <n v="1.3889"/>
  </r>
  <r>
    <n v="2303"/>
    <x v="0"/>
    <d v="2015-06-02T00:00:00"/>
    <x v="1"/>
    <x v="5"/>
    <n v="11.184200000000001"/>
    <n v="11.3468"/>
    <n v="11.1028"/>
    <n v="11.1435"/>
    <n v="50359"/>
    <n v="-0.36430000000000001"/>
    <n v="2.1978"/>
  </r>
  <r>
    <n v="2330"/>
    <x v="1"/>
    <d v="2015-06-02T00:00:00"/>
    <x v="1"/>
    <x v="5"/>
    <n v="118.83459999999999"/>
    <n v="118.83459999999999"/>
    <n v="118.01220000000001"/>
    <n v="118.4234"/>
    <n v="33433"/>
    <n v="-0.69199999999999995"/>
    <n v="0.69689999999999996"/>
  </r>
  <r>
    <n v="2303"/>
    <x v="0"/>
    <d v="2015-06-03T00:00:00"/>
    <x v="2"/>
    <x v="5"/>
    <n v="11.184200000000001"/>
    <n v="11.3062"/>
    <n v="11.1435"/>
    <n v="11.2248"/>
    <n v="34671"/>
    <n v="0.72729999999999995"/>
    <n v="1.4599"/>
  </r>
  <r>
    <n v="2330"/>
    <x v="1"/>
    <d v="2015-06-03T00:00:00"/>
    <x v="2"/>
    <x v="5"/>
    <n v="118.01220000000001"/>
    <n v="118.83459999999999"/>
    <n v="117.6011"/>
    <n v="117.6011"/>
    <n v="30174"/>
    <n v="-0.69689999999999996"/>
    <n v="1.0489999999999999"/>
  </r>
  <r>
    <n v="2303"/>
    <x v="0"/>
    <d v="2015-06-04T00:00:00"/>
    <x v="3"/>
    <x v="5"/>
    <n v="11.1435"/>
    <n v="11.184200000000001"/>
    <n v="10.8995"/>
    <n v="10.940099999999999"/>
    <n v="67962"/>
    <n v="-2.5689000000000002"/>
    <n v="2.6118999999999999"/>
  </r>
  <r>
    <n v="2330"/>
    <x v="1"/>
    <d v="2015-06-04T00:00:00"/>
    <x v="3"/>
    <x v="5"/>
    <n v="116.7787"/>
    <n v="117.18989999999999"/>
    <n v="115.1339"/>
    <n v="115.9563"/>
    <n v="62313"/>
    <n v="-1.4085000000000001"/>
    <n v="1.7857000000000001"/>
  </r>
  <r>
    <n v="2303"/>
    <x v="0"/>
    <d v="2015-06-05T00:00:00"/>
    <x v="4"/>
    <x v="5"/>
    <n v="10.8995"/>
    <n v="11.062099999999999"/>
    <n v="10.8588"/>
    <n v="10.8588"/>
    <n v="46354"/>
    <n v="-0.74629999999999996"/>
    <n v="1.8727"/>
  </r>
  <r>
    <n v="2330"/>
    <x v="1"/>
    <d v="2015-06-05T00:00:00"/>
    <x v="4"/>
    <x v="5"/>
    <n v="114.7227"/>
    <n v="115.54510000000001"/>
    <n v="114.3115"/>
    <n v="115.1339"/>
    <n v="42846"/>
    <n v="-0.7117"/>
    <n v="1.0790999999999999"/>
  </r>
  <r>
    <n v="2303"/>
    <x v="0"/>
    <d v="2015-06-08T00:00:00"/>
    <x v="0"/>
    <x v="5"/>
    <n v="10.818099999999999"/>
    <n v="10.8995"/>
    <n v="10.696099999999999"/>
    <n v="10.736800000000001"/>
    <n v="53361"/>
    <n v="-1.1299999999999999"/>
    <n v="1.9011"/>
  </r>
  <r>
    <n v="2330"/>
    <x v="1"/>
    <d v="2015-06-08T00:00:00"/>
    <x v="0"/>
    <x v="5"/>
    <n v="114.7227"/>
    <n v="115.1339"/>
    <n v="113.9003"/>
    <n v="113.9003"/>
    <n v="45637"/>
    <n v="-1.0771999999999999"/>
    <n v="1.083"/>
  </r>
  <r>
    <n v="2303"/>
    <x v="0"/>
    <d v="2015-06-09T00:00:00"/>
    <x v="1"/>
    <x v="5"/>
    <n v="10.736800000000001"/>
    <n v="10.8995"/>
    <n v="10.5334"/>
    <n v="10.614800000000001"/>
    <n v="63214"/>
    <n v="-1.1429"/>
    <n v="3.4748999999999999"/>
  </r>
  <r>
    <n v="2330"/>
    <x v="1"/>
    <d v="2015-06-09T00:00:00"/>
    <x v="1"/>
    <x v="5"/>
    <n v="113.9003"/>
    <n v="115.1339"/>
    <n v="113.48909999999999"/>
    <n v="114.3115"/>
    <n v="31663"/>
    <n v="0.3604"/>
    <n v="1.4493"/>
  </r>
  <r>
    <n v="2303"/>
    <x v="0"/>
    <d v="2015-06-10T00:00:00"/>
    <x v="2"/>
    <x v="5"/>
    <n v="10.6554"/>
    <n v="10.7775"/>
    <n v="10.5741"/>
    <n v="10.7775"/>
    <n v="63506"/>
    <n v="1.5208999999999999"/>
    <n v="1.9231"/>
  </r>
  <r>
    <n v="2330"/>
    <x v="1"/>
    <d v="2015-06-10T00:00:00"/>
    <x v="2"/>
    <x v="5"/>
    <n v="115.9563"/>
    <n v="116.36750000000001"/>
    <n v="114.7227"/>
    <n v="114.7227"/>
    <n v="37243"/>
    <n v="0.35909999999999997"/>
    <n v="1.4337"/>
  </r>
  <r>
    <n v="2303"/>
    <x v="0"/>
    <d v="2015-06-11T00:00:00"/>
    <x v="3"/>
    <x v="5"/>
    <n v="10.818099999999999"/>
    <n v="10.8588"/>
    <n v="10.614800000000001"/>
    <n v="10.6554"/>
    <n v="42714"/>
    <n v="-1.1385000000000001"/>
    <n v="2.2989000000000002"/>
  </r>
  <r>
    <n v="2330"/>
    <x v="1"/>
    <d v="2015-06-11T00:00:00"/>
    <x v="3"/>
    <x v="5"/>
    <n v="115.9563"/>
    <n v="118.4234"/>
    <n v="115.9563"/>
    <n v="118.01220000000001"/>
    <n v="46455"/>
    <n v="2.827"/>
    <n v="2.1276999999999999"/>
  </r>
  <r>
    <n v="2303"/>
    <x v="0"/>
    <d v="2015-06-12T00:00:00"/>
    <x v="4"/>
    <x v="5"/>
    <n v="10.6554"/>
    <n v="10.696099999999999"/>
    <n v="10.5741"/>
    <n v="10.6554"/>
    <n v="29999"/>
    <n v="0"/>
    <n v="1.1537999999999999"/>
  </r>
  <r>
    <n v="2330"/>
    <x v="1"/>
    <d v="2015-06-12T00:00:00"/>
    <x v="4"/>
    <x v="5"/>
    <n v="118.4234"/>
    <n v="118.83459999999999"/>
    <n v="117.18989999999999"/>
    <n v="118.83459999999999"/>
    <n v="35243"/>
    <n v="0.69440000000000002"/>
    <n v="1.4035"/>
  </r>
  <r>
    <n v="2303"/>
    <x v="0"/>
    <d v="2015-06-15T00:00:00"/>
    <x v="0"/>
    <x v="5"/>
    <n v="10.6554"/>
    <n v="10.736800000000001"/>
    <n v="10.614800000000001"/>
    <n v="10.736800000000001"/>
    <n v="34810"/>
    <n v="0.76049999999999995"/>
    <n v="1.1494"/>
  </r>
  <r>
    <n v="2330"/>
    <x v="1"/>
    <d v="2015-06-15T00:00:00"/>
    <x v="0"/>
    <x v="5"/>
    <n v="118.83459999999999"/>
    <n v="118.83459999999999"/>
    <n v="117.18989999999999"/>
    <n v="117.6011"/>
    <n v="23775"/>
    <n v="-1.0435000000000001"/>
    <n v="1.4035"/>
  </r>
  <r>
    <n v="2303"/>
    <x v="0"/>
    <d v="2015-06-16T00:00:00"/>
    <x v="1"/>
    <x v="5"/>
    <n v="10.6554"/>
    <n v="10.736800000000001"/>
    <n v="10.5741"/>
    <n v="10.5741"/>
    <n v="30732"/>
    <n v="-1.5266999999999999"/>
    <n v="1.5385"/>
  </r>
  <r>
    <n v="2330"/>
    <x v="1"/>
    <d v="2015-06-16T00:00:00"/>
    <x v="1"/>
    <x v="5"/>
    <n v="117.6011"/>
    <n v="117.6011"/>
    <n v="115.9563"/>
    <n v="116.7787"/>
    <n v="28696"/>
    <n v="-0.70179999999999998"/>
    <n v="1.4184000000000001"/>
  </r>
  <r>
    <n v="2303"/>
    <x v="0"/>
    <d v="2015-06-17T00:00:00"/>
    <x v="2"/>
    <x v="5"/>
    <n v="10.5741"/>
    <n v="10.6554"/>
    <n v="10.5334"/>
    <n v="10.5334"/>
    <n v="35422"/>
    <n v="-0.38540000000000002"/>
    <n v="1.1583000000000001"/>
  </r>
  <r>
    <n v="2330"/>
    <x v="1"/>
    <d v="2015-06-17T00:00:00"/>
    <x v="2"/>
    <x v="5"/>
    <n v="117.6011"/>
    <n v="118.01220000000001"/>
    <n v="116.7787"/>
    <n v="117.18989999999999"/>
    <n v="31675"/>
    <n v="0.35149999999999998"/>
    <n v="1.0563"/>
  </r>
  <r>
    <n v="2303"/>
    <x v="0"/>
    <d v="2015-06-18T00:00:00"/>
    <x v="3"/>
    <x v="5"/>
    <n v="10.5741"/>
    <n v="10.6554"/>
    <n v="10.5741"/>
    <n v="10.5741"/>
    <n v="32766"/>
    <n v="0.38540000000000002"/>
    <n v="0.76919999999999999"/>
  </r>
  <r>
    <n v="2330"/>
    <x v="1"/>
    <d v="2015-06-18T00:00:00"/>
    <x v="3"/>
    <x v="5"/>
    <n v="116.7787"/>
    <n v="117.6011"/>
    <n v="116.7787"/>
    <n v="116.7787"/>
    <n v="28627"/>
    <n v="-0.35149999999999998"/>
    <n v="0.70420000000000005"/>
  </r>
  <r>
    <n v="2303"/>
    <x v="0"/>
    <d v="2015-06-22T00:00:00"/>
    <x v="0"/>
    <x v="5"/>
    <n v="10.5741"/>
    <n v="10.7775"/>
    <n v="10.5741"/>
    <n v="10.696099999999999"/>
    <n v="50929"/>
    <n v="1.1472"/>
    <n v="1.9231"/>
  </r>
  <r>
    <n v="2330"/>
    <x v="1"/>
    <d v="2015-06-22T00:00:00"/>
    <x v="0"/>
    <x v="5"/>
    <n v="116.7787"/>
    <n v="118.01220000000001"/>
    <n v="116.7787"/>
    <n v="116.7787"/>
    <n v="29598"/>
    <n v="0"/>
    <n v="1.0563"/>
  </r>
  <r>
    <n v="2303"/>
    <x v="0"/>
    <d v="2015-06-23T00:00:00"/>
    <x v="1"/>
    <x v="5"/>
    <n v="10.7775"/>
    <n v="10.8588"/>
    <n v="10.736800000000001"/>
    <n v="10.818099999999999"/>
    <n v="39622"/>
    <n v="1.1342000000000001"/>
    <n v="1.1364000000000001"/>
  </r>
  <r>
    <n v="2330"/>
    <x v="1"/>
    <d v="2015-06-23T00:00:00"/>
    <x v="1"/>
    <x v="5"/>
    <n v="117.6011"/>
    <n v="119.2458"/>
    <n v="117.18989999999999"/>
    <n v="118.83459999999999"/>
    <n v="37809"/>
    <n v="1.7452000000000001"/>
    <n v="1.7544"/>
  </r>
  <r>
    <n v="2303"/>
    <x v="0"/>
    <d v="2015-06-24T00:00:00"/>
    <x v="2"/>
    <x v="5"/>
    <n v="10.818099999999999"/>
    <n v="10.8588"/>
    <n v="10.696099999999999"/>
    <n v="10.7775"/>
    <n v="24119"/>
    <n v="-0.37659999999999999"/>
    <n v="1.5208999999999999"/>
  </r>
  <r>
    <n v="2330"/>
    <x v="1"/>
    <d v="2015-06-24T00:00:00"/>
    <x v="2"/>
    <x v="5"/>
    <n v="118.83459999999999"/>
    <n v="119.2458"/>
    <n v="118.01220000000001"/>
    <n v="119.2458"/>
    <n v="21134"/>
    <n v="0.34539999999999998"/>
    <n v="1.0452999999999999"/>
  </r>
  <r>
    <n v="2303"/>
    <x v="0"/>
    <d v="2015-06-25T00:00:00"/>
    <x v="3"/>
    <x v="5"/>
    <n v="10.8588"/>
    <n v="11.0215"/>
    <n v="10.7775"/>
    <n v="11.0215"/>
    <n v="59134"/>
    <n v="2.2389000000000001"/>
    <n v="2.2642000000000002"/>
  </r>
  <r>
    <n v="2330"/>
    <x v="1"/>
    <d v="2015-06-25T00:00:00"/>
    <x v="3"/>
    <x v="5"/>
    <n v="119.2458"/>
    <n v="120.89060000000001"/>
    <n v="119.2458"/>
    <n v="120.4794"/>
    <n v="45571"/>
    <n v="1.0291999999999999"/>
    <n v="1.3793"/>
  </r>
  <r>
    <n v="2303"/>
    <x v="0"/>
    <d v="2015-06-26T00:00:00"/>
    <x v="4"/>
    <x v="5"/>
    <n v="10.9808"/>
    <n v="11.0215"/>
    <n v="10.7775"/>
    <n v="10.7775"/>
    <n v="48728"/>
    <n v="-2.2389000000000001"/>
    <n v="2.2642000000000002"/>
  </r>
  <r>
    <n v="2330"/>
    <x v="1"/>
    <d v="2015-06-26T00:00:00"/>
    <x v="4"/>
    <x v="5"/>
    <n v="120.89060000000001"/>
    <n v="121.3018"/>
    <n v="119.657"/>
    <n v="120.0682"/>
    <n v="34170"/>
    <n v="-0.34189999999999998"/>
    <n v="1.3746"/>
  </r>
  <r>
    <n v="2303"/>
    <x v="0"/>
    <d v="2015-06-29T00:00:00"/>
    <x v="0"/>
    <x v="5"/>
    <n v="10.614800000000001"/>
    <n v="10.6554"/>
    <n v="10.4114"/>
    <n v="10.4521"/>
    <n v="66205"/>
    <n v="-3.0653999999999999"/>
    <n v="2.3437999999999999"/>
  </r>
  <r>
    <n v="2330"/>
    <x v="1"/>
    <d v="2015-06-29T00:00:00"/>
    <x v="0"/>
    <x v="5"/>
    <n v="119.2196"/>
    <n v="119.6439"/>
    <n v="117.52249999999999"/>
    <n v="117.52249999999999"/>
    <n v="53096"/>
    <n v="-2.0762999999999998"/>
    <n v="1.8050999999999999"/>
  </r>
  <r>
    <n v="2303"/>
    <x v="0"/>
    <d v="2015-06-30T00:00:00"/>
    <x v="1"/>
    <x v="5"/>
    <n v="10.4521"/>
    <n v="10.6554"/>
    <n v="10.4114"/>
    <n v="10.614800000000001"/>
    <n v="52214"/>
    <n v="1.5444"/>
    <n v="2.3437999999999999"/>
  </r>
  <r>
    <n v="2330"/>
    <x v="1"/>
    <d v="2015-06-30T00:00:00"/>
    <x v="1"/>
    <x v="5"/>
    <n v="117.9468"/>
    <n v="119.2196"/>
    <n v="117.52249999999999"/>
    <n v="119.2196"/>
    <n v="45375"/>
    <n v="1.4337"/>
    <n v="1.444"/>
  </r>
  <r>
    <n v="2303"/>
    <x v="0"/>
    <d v="2015-07-01T00:00:00"/>
    <x v="2"/>
    <x v="6"/>
    <n v="10.6554"/>
    <n v="10.818099999999999"/>
    <n v="10.614800000000001"/>
    <n v="10.7775"/>
    <n v="38562"/>
    <n v="1.5208999999999999"/>
    <n v="1.9157"/>
  </r>
  <r>
    <n v="2330"/>
    <x v="1"/>
    <d v="2015-07-01T00:00:00"/>
    <x v="2"/>
    <x v="6"/>
    <n v="118.7953"/>
    <n v="120.91670000000001"/>
    <n v="117.9468"/>
    <n v="119.6439"/>
    <n v="33330"/>
    <n v="0.35520000000000002"/>
    <n v="2.5179999999999998"/>
  </r>
  <r>
    <n v="2303"/>
    <x v="0"/>
    <d v="2015-07-02T00:00:00"/>
    <x v="3"/>
    <x v="6"/>
    <n v="10.696099999999999"/>
    <n v="10.818099999999999"/>
    <n v="10.696099999999999"/>
    <n v="10.696099999999999"/>
    <n v="43922"/>
    <n v="-0.75760000000000005"/>
    <n v="1.1407"/>
  </r>
  <r>
    <n v="2330"/>
    <x v="1"/>
    <d v="2015-07-02T00:00:00"/>
    <x v="3"/>
    <x v="6"/>
    <n v="119.2196"/>
    <n v="120.4924"/>
    <n v="119.2196"/>
    <n v="120.0681"/>
    <n v="24309"/>
    <n v="0.35399999999999998"/>
    <n v="1.0676000000000001"/>
  </r>
  <r>
    <n v="2303"/>
    <x v="0"/>
    <d v="2015-07-03T00:00:00"/>
    <x v="4"/>
    <x v="6"/>
    <n v="10.736800000000001"/>
    <n v="10.818099999999999"/>
    <n v="10.696099999999999"/>
    <n v="10.818099999999999"/>
    <n v="25399"/>
    <n v="1.1342000000000001"/>
    <n v="1.1407"/>
  </r>
  <r>
    <n v="2330"/>
    <x v="1"/>
    <d v="2015-07-03T00:00:00"/>
    <x v="4"/>
    <x v="6"/>
    <n v="120.0681"/>
    <n v="120.91670000000001"/>
    <n v="118.7953"/>
    <n v="120.91670000000001"/>
    <n v="17091"/>
    <n v="0.70420000000000005"/>
    <n v="1.7857000000000001"/>
  </r>
  <r>
    <n v="2303"/>
    <x v="0"/>
    <d v="2015-07-06T00:00:00"/>
    <x v="0"/>
    <x v="6"/>
    <n v="10.736800000000001"/>
    <n v="10.818099999999999"/>
    <n v="10.5741"/>
    <n v="10.614800000000001"/>
    <n v="39231"/>
    <n v="-1.8976"/>
    <n v="2.3077000000000001"/>
  </r>
  <r>
    <n v="2330"/>
    <x v="1"/>
    <d v="2015-07-06T00:00:00"/>
    <x v="0"/>
    <x v="6"/>
    <n v="119.6439"/>
    <n v="120.0681"/>
    <n v="119.2196"/>
    <n v="119.2196"/>
    <n v="20683"/>
    <n v="-1.4135"/>
    <n v="0.7117"/>
  </r>
  <r>
    <n v="2303"/>
    <x v="0"/>
    <d v="2015-07-07T00:00:00"/>
    <x v="1"/>
    <x v="6"/>
    <n v="10.614800000000001"/>
    <n v="10.736800000000001"/>
    <n v="10.492800000000001"/>
    <n v="10.492800000000001"/>
    <n v="51268"/>
    <n v="-1.1560999999999999"/>
    <n v="2.3256000000000001"/>
  </r>
  <r>
    <n v="2330"/>
    <x v="1"/>
    <d v="2015-07-07T00:00:00"/>
    <x v="1"/>
    <x v="6"/>
    <n v="119.6439"/>
    <n v="120.4924"/>
    <n v="119.2196"/>
    <n v="119.2196"/>
    <n v="26545"/>
    <n v="0"/>
    <n v="1.0676000000000001"/>
  </r>
  <r>
    <n v="2303"/>
    <x v="0"/>
    <d v="2015-07-08T00:00:00"/>
    <x v="2"/>
    <x v="6"/>
    <n v="10.4521"/>
    <n v="10.492800000000001"/>
    <n v="10.0047"/>
    <n v="10.0861"/>
    <n v="102642"/>
    <n v="-3.9531000000000001"/>
    <n v="4.8780000000000001"/>
  </r>
  <r>
    <n v="2330"/>
    <x v="1"/>
    <d v="2015-07-08T00:00:00"/>
    <x v="2"/>
    <x v="6"/>
    <n v="119.2196"/>
    <n v="119.6439"/>
    <n v="117.09820000000001"/>
    <n v="117.09820000000001"/>
    <n v="52066"/>
    <n v="-1.7954000000000001"/>
    <n v="2.1739000000000002"/>
  </r>
  <r>
    <n v="2303"/>
    <x v="0"/>
    <d v="2015-07-09T00:00:00"/>
    <x v="3"/>
    <x v="6"/>
    <n v="9.9641000000000002"/>
    <n v="10.167400000000001"/>
    <n v="9.8013999999999992"/>
    <n v="10.1267"/>
    <n v="57784"/>
    <n v="0.40239999999999998"/>
    <n v="3.7343999999999999"/>
  </r>
  <r>
    <n v="2330"/>
    <x v="1"/>
    <d v="2015-07-09T00:00:00"/>
    <x v="3"/>
    <x v="6"/>
    <n v="113.7041"/>
    <n v="117.09820000000001"/>
    <n v="113.7041"/>
    <n v="115.8254"/>
    <n v="53784"/>
    <n v="-1.0929"/>
    <n v="2.9851000000000001"/>
  </r>
  <r>
    <n v="2303"/>
    <x v="0"/>
    <d v="2015-07-13T00:00:00"/>
    <x v="0"/>
    <x v="6"/>
    <n v="10.167400000000001"/>
    <n v="10.248799999999999"/>
    <n v="10.167400000000001"/>
    <n v="10.2081"/>
    <n v="100128"/>
    <n v="0.8"/>
    <n v="0.8"/>
  </r>
  <r>
    <n v="2330"/>
    <x v="1"/>
    <d v="2015-07-13T00:00:00"/>
    <x v="0"/>
    <x v="6"/>
    <n v="116.2497"/>
    <n v="118.3711"/>
    <n v="116.2497"/>
    <n v="117.52249999999999"/>
    <n v="35404"/>
    <n v="1.4545999999999999"/>
    <n v="1.8248"/>
  </r>
  <r>
    <n v="2303"/>
    <x v="0"/>
    <d v="2015-07-14T00:00:00"/>
    <x v="1"/>
    <x v="6"/>
    <n v="10.378"/>
    <n v="10.505599999999999"/>
    <n v="10.3354"/>
    <n v="10.3354"/>
    <n v="56661"/>
    <n v="1.1857"/>
    <n v="1.6460999999999999"/>
  </r>
  <r>
    <n v="2330"/>
    <x v="1"/>
    <d v="2015-07-14T00:00:00"/>
    <x v="1"/>
    <x v="6"/>
    <n v="118.3711"/>
    <n v="119.2196"/>
    <n v="117.09820000000001"/>
    <n v="117.52249999999999"/>
    <n v="27574"/>
    <n v="0"/>
    <n v="1.8116000000000001"/>
  </r>
  <r>
    <n v="2303"/>
    <x v="0"/>
    <d v="2015-07-15T00:00:00"/>
    <x v="2"/>
    <x v="6"/>
    <n v="10.462999999999999"/>
    <n v="10.462999999999999"/>
    <n v="10.292899999999999"/>
    <n v="10.378"/>
    <n v="54716"/>
    <n v="0.41070000000000001"/>
    <n v="1.6529"/>
  </r>
  <r>
    <n v="2330"/>
    <x v="1"/>
    <d v="2015-07-15T00:00:00"/>
    <x v="2"/>
    <x v="6"/>
    <n v="117.9468"/>
    <n v="118.3711"/>
    <n v="117.09820000000001"/>
    <n v="117.52249999999999"/>
    <n v="23485"/>
    <n v="0"/>
    <n v="1.087"/>
  </r>
  <r>
    <n v="2303"/>
    <x v="0"/>
    <d v="2015-07-16T00:00:00"/>
    <x v="3"/>
    <x v="6"/>
    <n v="10.462999999999999"/>
    <n v="10.505599999999999"/>
    <n v="10.3354"/>
    <n v="10.378"/>
    <n v="28888"/>
    <n v="0"/>
    <n v="1.6460999999999999"/>
  </r>
  <r>
    <n v="2330"/>
    <x v="1"/>
    <d v="2015-07-16T00:00:00"/>
    <x v="3"/>
    <x v="6"/>
    <n v="118.7953"/>
    <n v="118.7953"/>
    <n v="114.9769"/>
    <n v="115.8254"/>
    <n v="37250"/>
    <n v="-1.4545999999999999"/>
    <n v="3.3210000000000002"/>
  </r>
  <r>
    <n v="2303"/>
    <x v="0"/>
    <d v="2015-07-17T00:00:00"/>
    <x v="4"/>
    <x v="6"/>
    <n v="10.292899999999999"/>
    <n v="10.378"/>
    <n v="10.1653"/>
    <n v="10.207800000000001"/>
    <n v="72978"/>
    <n v="-1.6529"/>
    <n v="2.0920999999999998"/>
  </r>
  <r>
    <n v="2330"/>
    <x v="1"/>
    <d v="2015-07-17T00:00:00"/>
    <x v="4"/>
    <x v="6"/>
    <n v="117.09820000000001"/>
    <n v="118.7953"/>
    <n v="117.09820000000001"/>
    <n v="118.7953"/>
    <n v="55848"/>
    <n v="2.5318000000000001"/>
    <n v="1.4493"/>
  </r>
  <r>
    <n v="2303"/>
    <x v="0"/>
    <d v="2015-07-20T00:00:00"/>
    <x v="0"/>
    <x v="6"/>
    <n v="10.292899999999999"/>
    <n v="10.292899999999999"/>
    <n v="10.1228"/>
    <n v="10.1653"/>
    <n v="49382"/>
    <n v="-0.41749999999999998"/>
    <n v="1.6807000000000001"/>
  </r>
  <r>
    <n v="2330"/>
    <x v="1"/>
    <d v="2015-07-20T00:00:00"/>
    <x v="0"/>
    <x v="6"/>
    <n v="120.0681"/>
    <n v="120.4924"/>
    <n v="117.52249999999999"/>
    <n v="117.9468"/>
    <n v="27906"/>
    <n v="-0.71679999999999999"/>
    <n v="2.5270999999999999"/>
  </r>
  <r>
    <n v="2303"/>
    <x v="0"/>
    <d v="2015-07-21T00:00:00"/>
    <x v="1"/>
    <x v="6"/>
    <n v="10.207800000000001"/>
    <n v="10.250400000000001"/>
    <n v="10.1228"/>
    <n v="10.250400000000001"/>
    <n v="50251"/>
    <n v="0.83330000000000004"/>
    <n v="1.2605"/>
  </r>
  <r>
    <n v="2330"/>
    <x v="1"/>
    <d v="2015-07-21T00:00:00"/>
    <x v="1"/>
    <x v="6"/>
    <n v="119.6439"/>
    <n v="120.0681"/>
    <n v="118.3711"/>
    <n v="119.2196"/>
    <n v="21857"/>
    <n v="1.0733999999999999"/>
    <n v="1.4337"/>
  </r>
  <r>
    <n v="2303"/>
    <x v="0"/>
    <d v="2015-07-22T00:00:00"/>
    <x v="2"/>
    <x v="6"/>
    <n v="10.1653"/>
    <n v="10.207800000000001"/>
    <n v="9.74"/>
    <n v="9.7825000000000006"/>
    <n v="126055"/>
    <n v="-4.6718000000000002"/>
    <n v="4.8034999999999997"/>
  </r>
  <r>
    <n v="2330"/>
    <x v="1"/>
    <d v="2015-07-22T00:00:00"/>
    <x v="2"/>
    <x v="6"/>
    <n v="117.9468"/>
    <n v="118.3711"/>
    <n v="117.09820000000001"/>
    <n v="117.9468"/>
    <n v="27408"/>
    <n v="-1.0733999999999999"/>
    <n v="1.087"/>
  </r>
  <r>
    <n v="2303"/>
    <x v="0"/>
    <d v="2015-07-23T00:00:00"/>
    <x v="3"/>
    <x v="6"/>
    <n v="9.7825000000000006"/>
    <n v="9.8675999999999995"/>
    <n v="9.4421999999999997"/>
    <n v="9.4847999999999999"/>
    <n v="86693"/>
    <n v="-3.0908000000000002"/>
    <n v="4.5045000000000002"/>
  </r>
  <r>
    <n v="2330"/>
    <x v="1"/>
    <d v="2015-07-23T00:00:00"/>
    <x v="3"/>
    <x v="6"/>
    <n v="116.2497"/>
    <n v="116.67400000000001"/>
    <n v="115.4012"/>
    <n v="115.4012"/>
    <n v="38176"/>
    <n v="-2.1819000000000002"/>
    <n v="1.1029"/>
  </r>
  <r>
    <n v="2303"/>
    <x v="0"/>
    <d v="2015-07-24T00:00:00"/>
    <x v="4"/>
    <x v="6"/>
    <n v="9.5273000000000003"/>
    <n v="9.6123999999999992"/>
    <n v="9.4847999999999999"/>
    <n v="9.6123999999999992"/>
    <n v="38064"/>
    <n v="1.3363"/>
    <n v="1.3452999999999999"/>
  </r>
  <r>
    <n v="2330"/>
    <x v="1"/>
    <d v="2015-07-24T00:00:00"/>
    <x v="4"/>
    <x v="6"/>
    <n v="117.09820000000001"/>
    <n v="117.09820000000001"/>
    <n v="115.4012"/>
    <n v="116.2497"/>
    <n v="39062"/>
    <n v="0.73260000000000003"/>
    <n v="1.4705999999999999"/>
  </r>
  <r>
    <n v="2303"/>
    <x v="0"/>
    <d v="2015-07-27T00:00:00"/>
    <x v="0"/>
    <x v="6"/>
    <n v="9.6123999999999992"/>
    <n v="9.6548999999999996"/>
    <n v="9.4421999999999997"/>
    <n v="9.4421999999999997"/>
    <n v="41483"/>
    <n v="-1.7858000000000001"/>
    <n v="2.2523"/>
  </r>
  <r>
    <n v="2330"/>
    <x v="1"/>
    <d v="2015-07-27T00:00:00"/>
    <x v="0"/>
    <x v="6"/>
    <n v="114.5526"/>
    <n v="114.9769"/>
    <n v="113.7041"/>
    <n v="113.7041"/>
    <n v="45080"/>
    <n v="-2.2141000000000002"/>
    <n v="1.1194"/>
  </r>
  <r>
    <n v="2303"/>
    <x v="0"/>
    <d v="2015-07-28T00:00:00"/>
    <x v="1"/>
    <x v="6"/>
    <n v="9.3572000000000006"/>
    <n v="9.4847999999999999"/>
    <n v="9.2721"/>
    <n v="9.2721"/>
    <n v="77569"/>
    <n v="-1.8182"/>
    <n v="2.2936000000000001"/>
  </r>
  <r>
    <n v="2330"/>
    <x v="1"/>
    <d v="2015-07-28T00:00:00"/>
    <x v="1"/>
    <x v="6"/>
    <n v="114.5526"/>
    <n v="115.8254"/>
    <n v="113.7041"/>
    <n v="113.7041"/>
    <n v="35777"/>
    <n v="0"/>
    <n v="1.8656999999999999"/>
  </r>
  <r>
    <n v="2303"/>
    <x v="0"/>
    <d v="2015-07-29T00:00:00"/>
    <x v="2"/>
    <x v="6"/>
    <n v="9.3572000000000006"/>
    <n v="9.3572000000000006"/>
    <n v="9.1445000000000007"/>
    <n v="9.1445000000000007"/>
    <n v="48726"/>
    <n v="-1.3856999999999999"/>
    <n v="2.3256000000000001"/>
  </r>
  <r>
    <n v="2330"/>
    <x v="1"/>
    <d v="2015-07-29T00:00:00"/>
    <x v="2"/>
    <x v="6"/>
    <n v="114.5526"/>
    <n v="115.4012"/>
    <n v="114.1284"/>
    <n v="114.9769"/>
    <n v="30500"/>
    <n v="1.1132"/>
    <n v="1.1152"/>
  </r>
  <r>
    <n v="2303"/>
    <x v="0"/>
    <d v="2015-07-30T00:00:00"/>
    <x v="3"/>
    <x v="6"/>
    <n v="9.4421999999999997"/>
    <n v="9.6974"/>
    <n v="9.4421999999999997"/>
    <n v="9.6548999999999996"/>
    <n v="83112"/>
    <n v="5.4311999999999996"/>
    <n v="2.7027000000000001"/>
  </r>
  <r>
    <n v="2330"/>
    <x v="1"/>
    <d v="2015-07-30T00:00:00"/>
    <x v="3"/>
    <x v="6"/>
    <n v="115.4012"/>
    <n v="117.9468"/>
    <n v="115.4012"/>
    <n v="117.52249999999999"/>
    <n v="37085"/>
    <n v="2.1899000000000002"/>
    <n v="2.2059000000000002"/>
  </r>
  <r>
    <n v="2303"/>
    <x v="0"/>
    <d v="2015-07-31T00:00:00"/>
    <x v="4"/>
    <x v="6"/>
    <n v="9.6974"/>
    <n v="9.74"/>
    <n v="9.4421999999999997"/>
    <n v="9.5698000000000008"/>
    <n v="55173"/>
    <n v="-0.88500000000000001"/>
    <n v="3.1532"/>
  </r>
  <r>
    <n v="2330"/>
    <x v="1"/>
    <d v="2015-07-31T00:00:00"/>
    <x v="4"/>
    <x v="6"/>
    <n v="119.2196"/>
    <n v="119.2196"/>
    <n v="116.67400000000001"/>
    <n v="118.3711"/>
    <n v="40479"/>
    <n v="0.71940000000000004"/>
    <n v="2.1818"/>
  </r>
  <r>
    <n v="2303"/>
    <x v="0"/>
    <d v="2015-08-03T00:00:00"/>
    <x v="0"/>
    <x v="7"/>
    <n v="9.6548999999999996"/>
    <n v="9.6974"/>
    <n v="9.4421999999999997"/>
    <n v="9.5273000000000003"/>
    <n v="58428"/>
    <n v="-0.44540000000000002"/>
    <n v="2.7027000000000001"/>
  </r>
  <r>
    <n v="2330"/>
    <x v="1"/>
    <d v="2015-08-03T00:00:00"/>
    <x v="0"/>
    <x v="7"/>
    <n v="117.52249999999999"/>
    <n v="117.52249999999999"/>
    <n v="114.1284"/>
    <n v="114.1284"/>
    <n v="33815"/>
    <n v="-3.65"/>
    <n v="2.9740000000000002"/>
  </r>
  <r>
    <n v="2303"/>
    <x v="0"/>
    <d v="2015-08-04T00:00:00"/>
    <x v="1"/>
    <x v="7"/>
    <n v="9.5273000000000003"/>
    <n v="9.5698000000000008"/>
    <n v="9.3572000000000006"/>
    <n v="9.4847999999999999"/>
    <n v="55688"/>
    <n v="-0.44740000000000002"/>
    <n v="2.2726999999999999"/>
  </r>
  <r>
    <n v="2330"/>
    <x v="1"/>
    <d v="2015-08-04T00:00:00"/>
    <x v="1"/>
    <x v="7"/>
    <n v="114.5526"/>
    <n v="115.8254"/>
    <n v="114.1284"/>
    <n v="115.8254"/>
    <n v="27514"/>
    <n v="1.476"/>
    <n v="1.4870000000000001"/>
  </r>
  <r>
    <n v="2303"/>
    <x v="0"/>
    <d v="2015-08-05T00:00:00"/>
    <x v="2"/>
    <x v="7"/>
    <n v="9.3572000000000006"/>
    <n v="9.5698000000000008"/>
    <n v="9.3572000000000006"/>
    <n v="9.5698000000000008"/>
    <n v="39007"/>
    <n v="0.89290000000000003"/>
    <n v="2.2726999999999999"/>
  </r>
  <r>
    <n v="2330"/>
    <x v="1"/>
    <d v="2015-08-05T00:00:00"/>
    <x v="2"/>
    <x v="7"/>
    <n v="114.9769"/>
    <n v="114.9769"/>
    <n v="113.7041"/>
    <n v="113.7041"/>
    <n v="28577"/>
    <n v="-1.8485"/>
    <n v="1.1194"/>
  </r>
  <r>
    <n v="2303"/>
    <x v="0"/>
    <d v="2015-08-06T00:00:00"/>
    <x v="3"/>
    <x v="7"/>
    <n v="9.5698000000000008"/>
    <n v="9.6123999999999992"/>
    <n v="9.4421999999999997"/>
    <n v="9.5698000000000008"/>
    <n v="40342"/>
    <n v="0"/>
    <n v="1.8018000000000001"/>
  </r>
  <r>
    <n v="2330"/>
    <x v="1"/>
    <d v="2015-08-06T00:00:00"/>
    <x v="3"/>
    <x v="7"/>
    <n v="115.4012"/>
    <n v="115.4012"/>
    <n v="112.00700000000001"/>
    <n v="113.7041"/>
    <n v="39658"/>
    <n v="0"/>
    <n v="3.0303"/>
  </r>
  <r>
    <n v="2303"/>
    <x v="0"/>
    <d v="2015-08-07T00:00:00"/>
    <x v="4"/>
    <x v="7"/>
    <n v="9.5273000000000003"/>
    <n v="9.5698000000000008"/>
    <n v="9.4421999999999997"/>
    <n v="9.5273000000000003"/>
    <n v="37234"/>
    <n v="-0.44540000000000002"/>
    <n v="1.3513999999999999"/>
  </r>
  <r>
    <n v="2330"/>
    <x v="1"/>
    <d v="2015-08-07T00:00:00"/>
    <x v="4"/>
    <x v="7"/>
    <n v="112.8556"/>
    <n v="113.27979999999999"/>
    <n v="111.5827"/>
    <n v="112.8556"/>
    <n v="30591"/>
    <n v="-0.74909999999999999"/>
    <n v="1.5208999999999999"/>
  </r>
  <r>
    <n v="2303"/>
    <x v="0"/>
    <d v="2015-08-10T00:00:00"/>
    <x v="0"/>
    <x v="7"/>
    <n v="9.4421999999999997"/>
    <n v="9.5273000000000003"/>
    <n v="9.4421999999999997"/>
    <n v="9.5273000000000003"/>
    <n v="35431"/>
    <n v="0"/>
    <n v="0.90090000000000003"/>
  </r>
  <r>
    <n v="2330"/>
    <x v="1"/>
    <d v="2015-08-10T00:00:00"/>
    <x v="0"/>
    <x v="7"/>
    <n v="111.1585"/>
    <n v="111.1585"/>
    <n v="106.4915"/>
    <n v="109.4614"/>
    <n v="65582"/>
    <n v="-3.0537000000000001"/>
    <n v="4.3825000000000003"/>
  </r>
  <r>
    <n v="2303"/>
    <x v="0"/>
    <d v="2015-08-11T00:00:00"/>
    <x v="1"/>
    <x v="7"/>
    <n v="9.6123999999999992"/>
    <n v="9.6548999999999996"/>
    <n v="9.5273000000000003"/>
    <n v="9.5273000000000003"/>
    <n v="41626"/>
    <n v="0"/>
    <n v="1.3392999999999999"/>
  </r>
  <r>
    <n v="2330"/>
    <x v="1"/>
    <d v="2015-08-11T00:00:00"/>
    <x v="1"/>
    <x v="7"/>
    <n v="113.27979999999999"/>
    <n v="113.27979999999999"/>
    <n v="110.7342"/>
    <n v="110.7342"/>
    <n v="65988"/>
    <n v="1.1560999999999999"/>
    <n v="2.2989000000000002"/>
  </r>
  <r>
    <n v="2303"/>
    <x v="0"/>
    <d v="2015-08-12T00:00:00"/>
    <x v="2"/>
    <x v="7"/>
    <n v="9.5273000000000003"/>
    <n v="9.6123999999999992"/>
    <n v="9.4421999999999997"/>
    <n v="9.5698000000000008"/>
    <n v="39506"/>
    <n v="0.44540000000000002"/>
    <n v="1.8018000000000001"/>
  </r>
  <r>
    <n v="2330"/>
    <x v="1"/>
    <d v="2015-08-12T00:00:00"/>
    <x v="2"/>
    <x v="7"/>
    <n v="109.8857"/>
    <n v="110.3099"/>
    <n v="108.18859999999999"/>
    <n v="109.0371"/>
    <n v="45838"/>
    <n v="-1.5444"/>
    <n v="1.9608000000000001"/>
  </r>
  <r>
    <n v="2303"/>
    <x v="0"/>
    <d v="2015-08-13T00:00:00"/>
    <x v="3"/>
    <x v="7"/>
    <n v="9.6123999999999992"/>
    <n v="9.6123999999999992"/>
    <n v="9.5273000000000003"/>
    <n v="9.5273000000000003"/>
    <n v="37414"/>
    <n v="-0.44540000000000002"/>
    <n v="0.89290000000000003"/>
  </r>
  <r>
    <n v="2330"/>
    <x v="1"/>
    <d v="2015-08-13T00:00:00"/>
    <x v="3"/>
    <x v="7"/>
    <n v="109.4614"/>
    <n v="110.3099"/>
    <n v="108.18859999999999"/>
    <n v="108.6129"/>
    <n v="43697"/>
    <n v="-0.38990000000000002"/>
    <n v="1.9608000000000001"/>
  </r>
  <r>
    <n v="2303"/>
    <x v="0"/>
    <d v="2015-08-14T00:00:00"/>
    <x v="4"/>
    <x v="7"/>
    <n v="9.5698000000000008"/>
    <n v="9.5698000000000008"/>
    <n v="9.5273000000000003"/>
    <n v="9.5273000000000003"/>
    <n v="26082"/>
    <n v="0"/>
    <n v="0.44640000000000002"/>
  </r>
  <r>
    <n v="2330"/>
    <x v="1"/>
    <d v="2015-08-14T00:00:00"/>
    <x v="4"/>
    <x v="7"/>
    <n v="108.6129"/>
    <n v="109.0371"/>
    <n v="106.0673"/>
    <n v="106.9158"/>
    <n v="40366"/>
    <n v="-1.5748"/>
    <n v="2.8"/>
  </r>
  <r>
    <n v="2303"/>
    <x v="0"/>
    <d v="2015-08-17T00:00:00"/>
    <x v="0"/>
    <x v="7"/>
    <n v="9.5698000000000008"/>
    <n v="9.5698000000000008"/>
    <n v="9.4421999999999997"/>
    <n v="9.4421999999999997"/>
    <n v="19377"/>
    <n v="-0.89690000000000003"/>
    <n v="1.3513999999999999"/>
  </r>
  <r>
    <n v="2330"/>
    <x v="1"/>
    <d v="2015-08-17T00:00:00"/>
    <x v="0"/>
    <x v="7"/>
    <n v="106.4915"/>
    <n v="106.4915"/>
    <n v="104.3702"/>
    <n v="105.2187"/>
    <n v="38956"/>
    <n v="-1.6"/>
    <n v="2.0325000000000002"/>
  </r>
  <r>
    <n v="2303"/>
    <x v="0"/>
    <d v="2015-08-18T00:00:00"/>
    <x v="1"/>
    <x v="7"/>
    <n v="9.4421999999999997"/>
    <n v="9.5273000000000003"/>
    <n v="9.4421999999999997"/>
    <n v="9.4847999999999999"/>
    <n v="25374"/>
    <n v="0.44940000000000002"/>
    <n v="0.90090000000000003"/>
  </r>
  <r>
    <n v="2330"/>
    <x v="1"/>
    <d v="2015-08-18T00:00:00"/>
    <x v="1"/>
    <x v="7"/>
    <n v="106.0673"/>
    <n v="107.34010000000001"/>
    <n v="106.0673"/>
    <n v="106.9158"/>
    <n v="41823"/>
    <n v="1.6"/>
    <n v="1.2"/>
  </r>
  <r>
    <n v="2303"/>
    <x v="0"/>
    <d v="2015-08-19T00:00:00"/>
    <x v="2"/>
    <x v="7"/>
    <n v="9.4421999999999997"/>
    <n v="9.4421999999999997"/>
    <n v="9.1020000000000003"/>
    <n v="9.2721"/>
    <n v="71130"/>
    <n v="-2.2677"/>
    <n v="3.7383000000000002"/>
  </r>
  <r>
    <n v="2330"/>
    <x v="1"/>
    <d v="2015-08-19T00:00:00"/>
    <x v="2"/>
    <x v="7"/>
    <n v="108.18859999999999"/>
    <n v="108.18859999999999"/>
    <n v="105.2187"/>
    <n v="106.0673"/>
    <n v="47213"/>
    <n v="-0.79679999999999995"/>
    <n v="2.8226"/>
  </r>
  <r>
    <n v="2303"/>
    <x v="0"/>
    <d v="2015-08-20T00:00:00"/>
    <x v="3"/>
    <x v="7"/>
    <n v="9.1869999999999994"/>
    <n v="9.3572000000000006"/>
    <n v="9.1445000000000007"/>
    <n v="9.2295999999999996"/>
    <n v="32063"/>
    <n v="-0.45979999999999999"/>
    <n v="2.3256000000000001"/>
  </r>
  <r>
    <n v="2330"/>
    <x v="1"/>
    <d v="2015-08-20T00:00:00"/>
    <x v="3"/>
    <x v="7"/>
    <n v="105.643"/>
    <n v="106.9158"/>
    <n v="104.7944"/>
    <n v="106.9158"/>
    <n v="38767"/>
    <n v="0.79679999999999995"/>
    <n v="2.0243000000000002"/>
  </r>
  <r>
    <n v="2303"/>
    <x v="0"/>
    <d v="2015-08-21T00:00:00"/>
    <x v="4"/>
    <x v="7"/>
    <n v="9.1020000000000003"/>
    <n v="9.1445000000000007"/>
    <n v="8.8468"/>
    <n v="8.8468"/>
    <n v="71699"/>
    <n v="-4.2359"/>
    <n v="3.3654000000000002"/>
  </r>
  <r>
    <n v="2330"/>
    <x v="1"/>
    <d v="2015-08-21T00:00:00"/>
    <x v="4"/>
    <x v="7"/>
    <n v="104.3702"/>
    <n v="105.643"/>
    <n v="102.67310000000001"/>
    <n v="102.67310000000001"/>
    <n v="67341"/>
    <n v="-4.0491000000000001"/>
    <n v="2.8925999999999998"/>
  </r>
  <r>
    <n v="2303"/>
    <x v="0"/>
    <d v="2015-08-24T00:00:00"/>
    <x v="0"/>
    <x v="7"/>
    <n v="8.6767000000000003"/>
    <n v="8.7616999999999994"/>
    <n v="8.4384999999999994"/>
    <n v="8.5490999999999993"/>
    <n v="86095"/>
    <n v="-3.4232999999999998"/>
    <n v="3.8306"/>
  </r>
  <r>
    <n v="2330"/>
    <x v="1"/>
    <d v="2015-08-24T00:00:00"/>
    <x v="0"/>
    <x v="7"/>
    <n v="101.8246"/>
    <n v="102.67310000000001"/>
    <n v="95.460499999999996"/>
    <n v="97.581900000000005"/>
    <n v="118882"/>
    <n v="-5.0857999999999999"/>
    <n v="7.5556000000000001"/>
  </r>
  <r>
    <n v="2303"/>
    <x v="0"/>
    <d v="2015-08-25T00:00:00"/>
    <x v="1"/>
    <x v="7"/>
    <n v="8.5915999999999997"/>
    <n v="9.0168999999999997"/>
    <n v="8.5915999999999997"/>
    <n v="8.8893000000000004"/>
    <n v="58326"/>
    <n v="3.9028999999999998"/>
    <n v="4.9504999999999999"/>
  </r>
  <r>
    <n v="2330"/>
    <x v="1"/>
    <d v="2015-08-25T00:00:00"/>
    <x v="1"/>
    <x v="7"/>
    <n v="100.1275"/>
    <n v="105.2187"/>
    <n v="99.703199999999995"/>
    <n v="104.7944"/>
    <n v="99479"/>
    <n v="7.1308999999999996"/>
    <n v="5.5319000000000003"/>
  </r>
  <r>
    <n v="2303"/>
    <x v="0"/>
    <d v="2015-08-26T00:00:00"/>
    <x v="2"/>
    <x v="7"/>
    <n v="8.8041999999999998"/>
    <n v="8.9318000000000008"/>
    <n v="8.6767000000000003"/>
    <n v="8.8468"/>
    <n v="45277"/>
    <n v="-0.47960000000000003"/>
    <n v="2.9411999999999998"/>
  </r>
  <r>
    <n v="2330"/>
    <x v="1"/>
    <d v="2015-08-26T00:00:00"/>
    <x v="2"/>
    <x v="7"/>
    <n v="102.67310000000001"/>
    <n v="105.643"/>
    <n v="101.4003"/>
    <n v="103.94589999999999"/>
    <n v="65899"/>
    <n v="-0.81299999999999994"/>
    <n v="4.1840999999999999"/>
  </r>
  <r>
    <n v="2303"/>
    <x v="0"/>
    <d v="2015-08-27T00:00:00"/>
    <x v="3"/>
    <x v="7"/>
    <n v="8.9743999999999993"/>
    <n v="9.0594000000000001"/>
    <n v="8.9318000000000008"/>
    <n v="8.9743999999999993"/>
    <n v="37225"/>
    <n v="1.4319999999999999"/>
    <n v="1.4286000000000001"/>
  </r>
  <r>
    <n v="2330"/>
    <x v="1"/>
    <d v="2015-08-27T00:00:00"/>
    <x v="3"/>
    <x v="7"/>
    <n v="106.0673"/>
    <n v="106.0673"/>
    <n v="103.52160000000001"/>
    <n v="105.2187"/>
    <n v="53549"/>
    <n v="1.2171000000000001"/>
    <n v="2.4590000000000001"/>
  </r>
  <r>
    <n v="2303"/>
    <x v="0"/>
    <d v="2015-08-28T00:00:00"/>
    <x v="4"/>
    <x v="7"/>
    <n v="9.1020000000000003"/>
    <n v="9.2295999999999996"/>
    <n v="9.0168999999999997"/>
    <n v="9.1869999999999994"/>
    <n v="40703"/>
    <n v="2.3420000000000001"/>
    <n v="2.3584999999999998"/>
  </r>
  <r>
    <n v="2330"/>
    <x v="1"/>
    <d v="2015-08-28T00:00:00"/>
    <x v="4"/>
    <x v="7"/>
    <n v="107.76430000000001"/>
    <n v="107.76430000000001"/>
    <n v="105.643"/>
    <n v="106.0673"/>
    <n v="41879"/>
    <n v="0.80320000000000003"/>
    <n v="2.008"/>
  </r>
  <r>
    <n v="2303"/>
    <x v="0"/>
    <d v="2015-08-31T00:00:00"/>
    <x v="0"/>
    <x v="7"/>
    <n v="9.2295999999999996"/>
    <n v="9.2295999999999996"/>
    <n v="9.0168999999999997"/>
    <n v="9.1445000000000007"/>
    <n v="50032"/>
    <n v="-0.46400000000000002"/>
    <n v="2.3584999999999998"/>
  </r>
  <r>
    <n v="2330"/>
    <x v="1"/>
    <d v="2015-08-31T00:00:00"/>
    <x v="0"/>
    <x v="7"/>
    <n v="106.9158"/>
    <n v="109.4614"/>
    <n v="104.7944"/>
    <n v="109.4614"/>
    <n v="57088"/>
    <n v="3.1499000000000001"/>
    <n v="4.4534000000000002"/>
  </r>
  <r>
    <n v="2303"/>
    <x v="0"/>
    <d v="2015-09-01T00:00:00"/>
    <x v="1"/>
    <x v="8"/>
    <n v="9.0168999999999997"/>
    <n v="9.1869999999999994"/>
    <n v="8.9743999999999993"/>
    <n v="9.1445000000000007"/>
    <n v="36579"/>
    <n v="0"/>
    <n v="2.3696999999999999"/>
  </r>
  <r>
    <n v="2330"/>
    <x v="1"/>
    <d v="2015-09-01T00:00:00"/>
    <x v="1"/>
    <x v="8"/>
    <n v="108.18859999999999"/>
    <n v="108.18859999999999"/>
    <n v="105.2187"/>
    <n v="105.2187"/>
    <n v="42394"/>
    <n v="-3.9531000000000001"/>
    <n v="2.8226"/>
  </r>
  <r>
    <n v="2303"/>
    <x v="0"/>
    <d v="2015-09-02T00:00:00"/>
    <x v="2"/>
    <x v="8"/>
    <n v="9.0594000000000001"/>
    <n v="9.2295999999999996"/>
    <n v="9.0168999999999997"/>
    <n v="9.1869999999999994"/>
    <n v="27751"/>
    <n v="0.46400000000000002"/>
    <n v="2.3584999999999998"/>
  </r>
  <r>
    <n v="2330"/>
    <x v="1"/>
    <d v="2015-09-02T00:00:00"/>
    <x v="2"/>
    <x v="8"/>
    <n v="104.3702"/>
    <n v="107.76430000000001"/>
    <n v="104.3702"/>
    <n v="106.4915"/>
    <n v="37232"/>
    <n v="1.2023999999999999"/>
    <n v="3.2519999999999998"/>
  </r>
  <r>
    <n v="2303"/>
    <x v="0"/>
    <d v="2015-09-03T00:00:00"/>
    <x v="3"/>
    <x v="8"/>
    <n v="9.2721"/>
    <n v="9.6548999999999996"/>
    <n v="9.1869999999999994"/>
    <n v="9.6548999999999996"/>
    <n v="66696"/>
    <n v="4.9672000000000001"/>
    <n v="5.0926"/>
  </r>
  <r>
    <n v="2330"/>
    <x v="1"/>
    <d v="2015-09-03T00:00:00"/>
    <x v="3"/>
    <x v="8"/>
    <n v="108.18859999999999"/>
    <n v="108.18859999999999"/>
    <n v="106.0673"/>
    <n v="107.76430000000001"/>
    <n v="24054"/>
    <n v="1.1880999999999999"/>
    <n v="2"/>
  </r>
  <r>
    <n v="2303"/>
    <x v="0"/>
    <d v="2015-09-04T00:00:00"/>
    <x v="4"/>
    <x v="8"/>
    <n v="9.6123999999999992"/>
    <n v="9.6548999999999996"/>
    <n v="9.3572000000000006"/>
    <n v="9.3996999999999993"/>
    <n v="36470"/>
    <n v="-2.6787000000000001"/>
    <n v="3.1818"/>
  </r>
  <r>
    <n v="2330"/>
    <x v="1"/>
    <d v="2015-09-04T00:00:00"/>
    <x v="4"/>
    <x v="8"/>
    <n v="107.34010000000001"/>
    <n v="107.76430000000001"/>
    <n v="104.7944"/>
    <n v="106.0673"/>
    <n v="23047"/>
    <n v="-1.5872999999999999"/>
    <n v="2.8340000000000001"/>
  </r>
  <r>
    <n v="2303"/>
    <x v="0"/>
    <d v="2015-09-07T00:00:00"/>
    <x v="0"/>
    <x v="8"/>
    <n v="9.3146000000000004"/>
    <n v="9.4847999999999999"/>
    <n v="9.2295999999999996"/>
    <n v="9.3572000000000006"/>
    <n v="28819"/>
    <n v="-0.45350000000000001"/>
    <n v="2.7650000000000001"/>
  </r>
  <r>
    <n v="2330"/>
    <x v="1"/>
    <d v="2015-09-07T00:00:00"/>
    <x v="0"/>
    <x v="8"/>
    <n v="105.643"/>
    <n v="106.9158"/>
    <n v="103.52160000000001"/>
    <n v="103.94589999999999"/>
    <n v="26152"/>
    <n v="-2.0203000000000002"/>
    <n v="3.2787000000000002"/>
  </r>
  <r>
    <n v="2303"/>
    <x v="0"/>
    <d v="2015-09-08T00:00:00"/>
    <x v="1"/>
    <x v="8"/>
    <n v="9.3572000000000006"/>
    <n v="9.4421999999999997"/>
    <n v="9.2721"/>
    <n v="9.4421999999999997"/>
    <n v="20028"/>
    <n v="0.90500000000000003"/>
    <n v="1.8349"/>
  </r>
  <r>
    <n v="2330"/>
    <x v="1"/>
    <d v="2015-09-08T00:00:00"/>
    <x v="1"/>
    <x v="8"/>
    <n v="103.94589999999999"/>
    <n v="104.7944"/>
    <n v="103.52160000000001"/>
    <n v="104.3702"/>
    <n v="15112"/>
    <n v="0.4073"/>
    <n v="1.2295"/>
  </r>
  <r>
    <n v="2303"/>
    <x v="0"/>
    <d v="2015-09-09T00:00:00"/>
    <x v="2"/>
    <x v="8"/>
    <n v="9.6548999999999996"/>
    <n v="9.8249999999999993"/>
    <n v="9.5698000000000008"/>
    <n v="9.6974"/>
    <n v="72389"/>
    <n v="2.6667999999999998"/>
    <n v="2.6667000000000001"/>
  </r>
  <r>
    <n v="2330"/>
    <x v="1"/>
    <d v="2015-09-09T00:00:00"/>
    <x v="2"/>
    <x v="8"/>
    <n v="107.34010000000001"/>
    <n v="109.4614"/>
    <n v="107.34010000000001"/>
    <n v="109.4614"/>
    <n v="53969"/>
    <n v="4.7628000000000004"/>
    <n v="1.9762999999999999"/>
  </r>
  <r>
    <n v="2303"/>
    <x v="0"/>
    <d v="2015-09-10T00:00:00"/>
    <x v="3"/>
    <x v="8"/>
    <n v="9.6123999999999992"/>
    <n v="9.7825000000000006"/>
    <n v="9.4847999999999999"/>
    <n v="9.7825000000000006"/>
    <n v="45010"/>
    <n v="0.87339999999999995"/>
    <n v="3.1389999999999998"/>
  </r>
  <r>
    <n v="2330"/>
    <x v="1"/>
    <d v="2015-09-10T00:00:00"/>
    <x v="3"/>
    <x v="8"/>
    <n v="107.76430000000001"/>
    <n v="108.6129"/>
    <n v="106.0673"/>
    <n v="106.0673"/>
    <n v="34029"/>
    <n v="-3.1499000000000001"/>
    <n v="2.4"/>
  </r>
  <r>
    <n v="2303"/>
    <x v="0"/>
    <d v="2015-09-11T00:00:00"/>
    <x v="4"/>
    <x v="8"/>
    <n v="9.6974"/>
    <n v="9.8249999999999993"/>
    <n v="9.6548999999999996"/>
    <n v="9.7825000000000006"/>
    <n v="24281"/>
    <n v="0"/>
    <n v="1.7621"/>
  </r>
  <r>
    <n v="2330"/>
    <x v="1"/>
    <d v="2015-09-11T00:00:00"/>
    <x v="4"/>
    <x v="8"/>
    <n v="106.4915"/>
    <n v="108.18859999999999"/>
    <n v="105.2187"/>
    <n v="108.18859999999999"/>
    <n v="24548"/>
    <n v="1.9802999999999999"/>
    <n v="2.8226"/>
  </r>
  <r>
    <n v="2303"/>
    <x v="0"/>
    <d v="2015-09-14T00:00:00"/>
    <x v="0"/>
    <x v="8"/>
    <n v="9.7825000000000006"/>
    <n v="9.8675999999999995"/>
    <n v="9.6974"/>
    <n v="9.7825000000000006"/>
    <n v="26126"/>
    <n v="0"/>
    <n v="1.7544"/>
  </r>
  <r>
    <n v="2330"/>
    <x v="1"/>
    <d v="2015-09-14T00:00:00"/>
    <x v="0"/>
    <x v="8"/>
    <n v="108.6129"/>
    <n v="109.4614"/>
    <n v="106.9158"/>
    <n v="108.18859999999999"/>
    <n v="25582"/>
    <n v="0"/>
    <n v="2.3809999999999998"/>
  </r>
  <r>
    <n v="2303"/>
    <x v="0"/>
    <d v="2015-09-15T00:00:00"/>
    <x v="1"/>
    <x v="8"/>
    <n v="9.7825000000000006"/>
    <n v="9.8249999999999993"/>
    <n v="9.6974"/>
    <n v="9.74"/>
    <n v="26565"/>
    <n v="-0.43569999999999998"/>
    <n v="1.3158000000000001"/>
  </r>
  <r>
    <n v="2330"/>
    <x v="1"/>
    <d v="2015-09-15T00:00:00"/>
    <x v="1"/>
    <x v="8"/>
    <n v="108.18859999999999"/>
    <n v="108.6129"/>
    <n v="106.4915"/>
    <n v="106.9158"/>
    <n v="22223"/>
    <n v="-1.1834"/>
    <n v="1.992"/>
  </r>
  <r>
    <n v="2303"/>
    <x v="0"/>
    <d v="2015-09-16T00:00:00"/>
    <x v="2"/>
    <x v="8"/>
    <n v="9.8249999999999993"/>
    <n v="9.8675999999999995"/>
    <n v="9.6548999999999996"/>
    <n v="9.6974"/>
    <n v="29432"/>
    <n v="-0.43759999999999999"/>
    <n v="2.2025999999999999"/>
  </r>
  <r>
    <n v="2330"/>
    <x v="1"/>
    <d v="2015-09-16T00:00:00"/>
    <x v="2"/>
    <x v="8"/>
    <n v="108.6129"/>
    <n v="110.3099"/>
    <n v="108.18859999999999"/>
    <n v="109.8857"/>
    <n v="44137"/>
    <n v="2.7399"/>
    <n v="1.9608000000000001"/>
  </r>
  <r>
    <n v="2303"/>
    <x v="0"/>
    <d v="2015-09-17T00:00:00"/>
    <x v="3"/>
    <x v="8"/>
    <n v="9.8249999999999993"/>
    <n v="9.8675999999999995"/>
    <n v="9.74"/>
    <n v="9.8249999999999993"/>
    <n v="41811"/>
    <n v="1.3071999999999999"/>
    <n v="1.31"/>
  </r>
  <r>
    <n v="2330"/>
    <x v="1"/>
    <d v="2015-09-17T00:00:00"/>
    <x v="3"/>
    <x v="8"/>
    <n v="110.7342"/>
    <n v="111.5827"/>
    <n v="110.3099"/>
    <n v="111.1585"/>
    <n v="52529"/>
    <n v="1.1516"/>
    <n v="1.1537999999999999"/>
  </r>
  <r>
    <n v="2303"/>
    <x v="0"/>
    <d v="2015-09-18T00:00:00"/>
    <x v="4"/>
    <x v="8"/>
    <n v="9.8249999999999993"/>
    <n v="9.8675999999999995"/>
    <n v="9.74"/>
    <n v="9.8675999999999995"/>
    <n v="30325"/>
    <n v="0.432"/>
    <n v="1.31"/>
  </r>
  <r>
    <n v="2330"/>
    <x v="1"/>
    <d v="2015-09-18T00:00:00"/>
    <x v="4"/>
    <x v="8"/>
    <n v="109.8857"/>
    <n v="111.5827"/>
    <n v="109.4614"/>
    <n v="111.5827"/>
    <n v="32590"/>
    <n v="0.38100000000000001"/>
    <n v="1.9379999999999999"/>
  </r>
  <r>
    <n v="2303"/>
    <x v="0"/>
    <d v="2015-09-21T00:00:00"/>
    <x v="0"/>
    <x v="8"/>
    <n v="9.74"/>
    <n v="9.7825000000000006"/>
    <n v="9.5273000000000003"/>
    <n v="9.5273000000000003"/>
    <n v="33232"/>
    <n v="-3.5091000000000001"/>
    <n v="2.6785999999999999"/>
  </r>
  <r>
    <n v="2330"/>
    <x v="1"/>
    <d v="2015-09-21T00:00:00"/>
    <x v="0"/>
    <x v="8"/>
    <n v="110.3099"/>
    <n v="110.3099"/>
    <n v="109.0371"/>
    <n v="109.8857"/>
    <n v="35271"/>
    <n v="-1.5326"/>
    <n v="1.1673"/>
  </r>
  <r>
    <n v="2303"/>
    <x v="0"/>
    <d v="2015-09-22T00:00:00"/>
    <x v="1"/>
    <x v="8"/>
    <n v="9.6548999999999996"/>
    <n v="9.6548999999999996"/>
    <n v="9.4847999999999999"/>
    <n v="9.6123999999999992"/>
    <n v="33478"/>
    <n v="0.88890000000000002"/>
    <n v="1.7937000000000001"/>
  </r>
  <r>
    <n v="2330"/>
    <x v="1"/>
    <d v="2015-09-22T00:00:00"/>
    <x v="1"/>
    <x v="8"/>
    <n v="110.3099"/>
    <n v="110.3099"/>
    <n v="109.0371"/>
    <n v="109.4614"/>
    <n v="18378"/>
    <n v="-0.38679999999999998"/>
    <n v="1.1673"/>
  </r>
  <r>
    <n v="2303"/>
    <x v="0"/>
    <d v="2015-09-23T00:00:00"/>
    <x v="2"/>
    <x v="8"/>
    <n v="9.4421999999999997"/>
    <n v="9.5273000000000003"/>
    <n v="9.2721"/>
    <n v="9.3146000000000004"/>
    <n v="44213"/>
    <n v="-3.1463000000000001"/>
    <n v="2.7523"/>
  </r>
  <r>
    <n v="2330"/>
    <x v="1"/>
    <d v="2015-09-23T00:00:00"/>
    <x v="2"/>
    <x v="8"/>
    <n v="107.76430000000001"/>
    <n v="108.18859999999999"/>
    <n v="105.643"/>
    <n v="105.643"/>
    <n v="35523"/>
    <n v="-3.5507"/>
    <n v="2.4096000000000002"/>
  </r>
  <r>
    <n v="2303"/>
    <x v="0"/>
    <d v="2015-09-24T00:00:00"/>
    <x v="3"/>
    <x v="8"/>
    <n v="9.3572000000000006"/>
    <n v="9.3996999999999993"/>
    <n v="9.1869999999999994"/>
    <n v="9.1869999999999994"/>
    <n v="37776"/>
    <n v="-1.3793"/>
    <n v="2.3148"/>
  </r>
  <r>
    <n v="2330"/>
    <x v="1"/>
    <d v="2015-09-24T00:00:00"/>
    <x v="3"/>
    <x v="8"/>
    <n v="107.76430000000001"/>
    <n v="108.6129"/>
    <n v="106.4915"/>
    <n v="107.76430000000001"/>
    <n v="44708"/>
    <n v="1.9881"/>
    <n v="1.992"/>
  </r>
  <r>
    <n v="2303"/>
    <x v="0"/>
    <d v="2015-09-25T00:00:00"/>
    <x v="4"/>
    <x v="8"/>
    <n v="9.2295999999999996"/>
    <n v="9.3146000000000004"/>
    <n v="9.1445000000000007"/>
    <n v="9.3146000000000004"/>
    <n v="31428"/>
    <n v="1.3793"/>
    <n v="1.8605"/>
  </r>
  <r>
    <n v="2330"/>
    <x v="1"/>
    <d v="2015-09-25T00:00:00"/>
    <x v="4"/>
    <x v="8"/>
    <n v="107.76430000000001"/>
    <n v="108.18859999999999"/>
    <n v="106.0673"/>
    <n v="107.76430000000001"/>
    <n v="24688"/>
    <n v="0"/>
    <n v="2"/>
  </r>
  <r>
    <n v="2303"/>
    <x v="0"/>
    <d v="2015-09-30T00:00:00"/>
    <x v="2"/>
    <x v="8"/>
    <n v="9.1020000000000003"/>
    <n v="9.2721"/>
    <n v="9.1020000000000003"/>
    <n v="9.1869999999999994"/>
    <n v="63361"/>
    <n v="-1.3793"/>
    <n v="1.8692"/>
  </r>
  <r>
    <n v="2330"/>
    <x v="1"/>
    <d v="2015-09-30T00:00:00"/>
    <x v="2"/>
    <x v="8"/>
    <n v="108.6129"/>
    <n v="111.1585"/>
    <n v="107.76430000000001"/>
    <n v="110.3099"/>
    <n v="76377"/>
    <n v="2.3347000000000002"/>
    <n v="3.1496"/>
  </r>
  <r>
    <n v="2303"/>
    <x v="0"/>
    <d v="2015-10-01T00:00:00"/>
    <x v="3"/>
    <x v="9"/>
    <n v="9.2295999999999996"/>
    <n v="9.3996999999999993"/>
    <n v="9.1869999999999994"/>
    <n v="9.2721"/>
    <n v="37873"/>
    <n v="0.92169999999999996"/>
    <n v="2.3148"/>
  </r>
  <r>
    <n v="2330"/>
    <x v="1"/>
    <d v="2015-10-01T00:00:00"/>
    <x v="3"/>
    <x v="9"/>
    <n v="111.1585"/>
    <n v="113.7041"/>
    <n v="109.8857"/>
    <n v="113.27979999999999"/>
    <n v="53400"/>
    <n v="2.6566999999999998"/>
    <n v="3.4748999999999999"/>
  </r>
  <r>
    <n v="2303"/>
    <x v="0"/>
    <d v="2015-10-02T00:00:00"/>
    <x v="4"/>
    <x v="9"/>
    <n v="9.3146000000000004"/>
    <n v="9.3572000000000006"/>
    <n v="9.2295999999999996"/>
    <n v="9.3146000000000004"/>
    <n v="22565"/>
    <n v="0.4577"/>
    <n v="1.3825000000000001"/>
  </r>
  <r>
    <n v="2330"/>
    <x v="1"/>
    <d v="2015-10-02T00:00:00"/>
    <x v="4"/>
    <x v="9"/>
    <n v="112.43129999999999"/>
    <n v="112.43129999999999"/>
    <n v="111.5827"/>
    <n v="112.00700000000001"/>
    <n v="25252"/>
    <n v="-1.1299999999999999"/>
    <n v="0.76049999999999995"/>
  </r>
  <r>
    <n v="2303"/>
    <x v="0"/>
    <d v="2015-10-05T00:00:00"/>
    <x v="0"/>
    <x v="9"/>
    <n v="9.3572000000000006"/>
    <n v="9.5273000000000003"/>
    <n v="9.3146000000000004"/>
    <n v="9.4847999999999999"/>
    <n v="28750"/>
    <n v="1.81"/>
    <n v="2.2831000000000001"/>
  </r>
  <r>
    <n v="2330"/>
    <x v="1"/>
    <d v="2015-10-05T00:00:00"/>
    <x v="0"/>
    <x v="9"/>
    <n v="112.8556"/>
    <n v="113.27979999999999"/>
    <n v="111.5827"/>
    <n v="112.43129999999999"/>
    <n v="30895"/>
    <n v="0.37809999999999999"/>
    <n v="1.5208999999999999"/>
  </r>
  <r>
    <n v="2303"/>
    <x v="0"/>
    <d v="2015-10-06T00:00:00"/>
    <x v="1"/>
    <x v="9"/>
    <n v="9.6123999999999992"/>
    <n v="9.6548999999999996"/>
    <n v="9.4847999999999999"/>
    <n v="9.5698000000000008"/>
    <n v="26158"/>
    <n v="0.89290000000000003"/>
    <n v="1.7937000000000001"/>
  </r>
  <r>
    <n v="2330"/>
    <x v="1"/>
    <d v="2015-10-06T00:00:00"/>
    <x v="1"/>
    <x v="9"/>
    <n v="114.5526"/>
    <n v="114.9769"/>
    <n v="112.43129999999999"/>
    <n v="112.8556"/>
    <n v="49925"/>
    <n v="0.37659999999999999"/>
    <n v="2.2642000000000002"/>
  </r>
  <r>
    <n v="2303"/>
    <x v="0"/>
    <d v="2015-10-07T00:00:00"/>
    <x v="2"/>
    <x v="9"/>
    <n v="9.5698000000000008"/>
    <n v="9.6123999999999992"/>
    <n v="9.4421999999999997"/>
    <n v="9.6123999999999992"/>
    <n v="30544"/>
    <n v="0.44350000000000001"/>
    <n v="1.8018000000000001"/>
  </r>
  <r>
    <n v="2330"/>
    <x v="1"/>
    <d v="2015-10-07T00:00:00"/>
    <x v="2"/>
    <x v="9"/>
    <n v="113.27979999999999"/>
    <n v="114.5526"/>
    <n v="112.8556"/>
    <n v="114.5526"/>
    <n v="32541"/>
    <n v="1.4925999999999999"/>
    <n v="1.5038"/>
  </r>
  <r>
    <n v="2303"/>
    <x v="0"/>
    <d v="2015-10-08T00:00:00"/>
    <x v="3"/>
    <x v="9"/>
    <n v="9.6974"/>
    <n v="9.6974"/>
    <n v="9.5273000000000003"/>
    <n v="9.5698000000000008"/>
    <n v="20222"/>
    <n v="-0.44350000000000001"/>
    <n v="1.7857000000000001"/>
  </r>
  <r>
    <n v="2330"/>
    <x v="1"/>
    <d v="2015-10-08T00:00:00"/>
    <x v="3"/>
    <x v="9"/>
    <n v="116.2497"/>
    <n v="116.2497"/>
    <n v="114.5526"/>
    <n v="115.4012"/>
    <n v="32054"/>
    <n v="0.73799999999999999"/>
    <n v="1.4815"/>
  </r>
  <r>
    <n v="2303"/>
    <x v="0"/>
    <d v="2015-10-12T00:00:00"/>
    <x v="0"/>
    <x v="9"/>
    <n v="9.5698000000000008"/>
    <n v="9.6974"/>
    <n v="9.5273000000000003"/>
    <n v="9.6974"/>
    <n v="47287"/>
    <n v="1.3245"/>
    <n v="1.7857000000000001"/>
  </r>
  <r>
    <n v="2330"/>
    <x v="1"/>
    <d v="2015-10-12T00:00:00"/>
    <x v="0"/>
    <x v="9"/>
    <n v="116.2497"/>
    <n v="117.9468"/>
    <n v="115.8254"/>
    <n v="117.52249999999999"/>
    <n v="51617"/>
    <n v="1.8214999999999999"/>
    <n v="1.8314999999999999"/>
  </r>
  <r>
    <n v="2303"/>
    <x v="0"/>
    <d v="2015-10-13T00:00:00"/>
    <x v="1"/>
    <x v="9"/>
    <n v="9.6974"/>
    <n v="9.74"/>
    <n v="9.6123999999999992"/>
    <n v="9.74"/>
    <n v="24773"/>
    <n v="0.43759999999999999"/>
    <n v="1.3273999999999999"/>
  </r>
  <r>
    <n v="2330"/>
    <x v="1"/>
    <d v="2015-10-13T00:00:00"/>
    <x v="1"/>
    <x v="9"/>
    <n v="117.52249999999999"/>
    <n v="117.52249999999999"/>
    <n v="115.4012"/>
    <n v="116.67400000000001"/>
    <n v="37227"/>
    <n v="-0.72460000000000002"/>
    <n v="1.8382000000000001"/>
  </r>
  <r>
    <n v="2303"/>
    <x v="0"/>
    <d v="2015-10-14T00:00:00"/>
    <x v="2"/>
    <x v="9"/>
    <n v="9.74"/>
    <n v="10.207800000000001"/>
    <n v="9.74"/>
    <n v="10.1228"/>
    <n v="123898"/>
    <n v="3.8549000000000002"/>
    <n v="4.8034999999999997"/>
  </r>
  <r>
    <n v="2330"/>
    <x v="1"/>
    <d v="2015-10-14T00:00:00"/>
    <x v="2"/>
    <x v="9"/>
    <n v="115.8254"/>
    <n v="116.67400000000001"/>
    <n v="115.4012"/>
    <n v="115.8254"/>
    <n v="65521"/>
    <n v="-0.72989999999999999"/>
    <n v="1.1029"/>
  </r>
  <r>
    <n v="2303"/>
    <x v="0"/>
    <d v="2015-10-15T00:00:00"/>
    <x v="3"/>
    <x v="9"/>
    <n v="10.250400000000001"/>
    <n v="10.462999999999999"/>
    <n v="10.250400000000001"/>
    <n v="10.462999999999999"/>
    <n v="107628"/>
    <n v="3.3060999999999998"/>
    <n v="2.0747"/>
  </r>
  <r>
    <n v="2330"/>
    <x v="1"/>
    <d v="2015-10-15T00:00:00"/>
    <x v="3"/>
    <x v="9"/>
    <n v="117.9468"/>
    <n v="119.6439"/>
    <n v="117.9468"/>
    <n v="118.7953"/>
    <n v="73316"/>
    <n v="2.5318000000000001"/>
    <n v="1.4388000000000001"/>
  </r>
  <r>
    <n v="2303"/>
    <x v="0"/>
    <d v="2015-10-16T00:00:00"/>
    <x v="4"/>
    <x v="9"/>
    <n v="10.462999999999999"/>
    <n v="10.462999999999999"/>
    <n v="10.250400000000001"/>
    <n v="10.3354"/>
    <n v="65908"/>
    <n v="-1.2270000000000001"/>
    <n v="2.0747"/>
  </r>
  <r>
    <n v="2330"/>
    <x v="1"/>
    <d v="2015-10-16T00:00:00"/>
    <x v="4"/>
    <x v="9"/>
    <n v="116.2497"/>
    <n v="116.67400000000001"/>
    <n v="115.4012"/>
    <n v="116.67400000000001"/>
    <n v="37189"/>
    <n v="-1.8019000000000001"/>
    <n v="1.1029"/>
  </r>
  <r>
    <n v="2303"/>
    <x v="0"/>
    <d v="2015-10-19T00:00:00"/>
    <x v="0"/>
    <x v="9"/>
    <n v="10.3354"/>
    <n v="10.5481"/>
    <n v="10.3354"/>
    <n v="10.505599999999999"/>
    <n v="40911"/>
    <n v="1.6327"/>
    <n v="2.0575999999999999"/>
  </r>
  <r>
    <n v="2330"/>
    <x v="1"/>
    <d v="2015-10-19T00:00:00"/>
    <x v="0"/>
    <x v="9"/>
    <n v="117.52249999999999"/>
    <n v="117.9468"/>
    <n v="116.2497"/>
    <n v="117.09820000000001"/>
    <n v="26173"/>
    <n v="0.36299999999999999"/>
    <n v="1.4599"/>
  </r>
  <r>
    <n v="2303"/>
    <x v="0"/>
    <d v="2015-10-20T00:00:00"/>
    <x v="1"/>
    <x v="9"/>
    <n v="10.5906"/>
    <n v="10.5906"/>
    <n v="10.420500000000001"/>
    <n v="10.420500000000001"/>
    <n v="35820"/>
    <n v="-0.81299999999999994"/>
    <n v="1.6327"/>
  </r>
  <r>
    <n v="2330"/>
    <x v="1"/>
    <d v="2015-10-20T00:00:00"/>
    <x v="1"/>
    <x v="9"/>
    <n v="117.9468"/>
    <n v="117.9468"/>
    <n v="116.67400000000001"/>
    <n v="117.9468"/>
    <n v="28795"/>
    <n v="0.72199999999999998"/>
    <n v="1.0909"/>
  </r>
  <r>
    <n v="2303"/>
    <x v="0"/>
    <d v="2015-10-21T00:00:00"/>
    <x v="2"/>
    <x v="9"/>
    <n v="10.462999999999999"/>
    <n v="10.462999999999999"/>
    <n v="10.207800000000001"/>
    <n v="10.250400000000001"/>
    <n v="29263"/>
    <n v="-1.6460999999999999"/>
    <n v="2.5"/>
  </r>
  <r>
    <n v="2330"/>
    <x v="1"/>
    <d v="2015-10-21T00:00:00"/>
    <x v="2"/>
    <x v="9"/>
    <n v="118.3711"/>
    <n v="118.7953"/>
    <n v="116.67400000000001"/>
    <n v="117.52249999999999"/>
    <n v="20006"/>
    <n v="-0.3604"/>
    <n v="1.8182"/>
  </r>
  <r>
    <n v="2303"/>
    <x v="0"/>
    <d v="2015-10-22T00:00:00"/>
    <x v="3"/>
    <x v="9"/>
    <n v="10.250400000000001"/>
    <n v="10.378"/>
    <n v="10.250400000000001"/>
    <n v="10.3354"/>
    <n v="20155"/>
    <n v="0.82650000000000001"/>
    <n v="1.2447999999999999"/>
  </r>
  <r>
    <n v="2330"/>
    <x v="1"/>
    <d v="2015-10-22T00:00:00"/>
    <x v="3"/>
    <x v="9"/>
    <n v="117.09820000000001"/>
    <n v="117.52249999999999"/>
    <n v="116.2497"/>
    <n v="116.67400000000001"/>
    <n v="15168"/>
    <n v="-0.72460000000000002"/>
    <n v="1.0949"/>
  </r>
  <r>
    <n v="2303"/>
    <x v="0"/>
    <d v="2015-10-23T00:00:00"/>
    <x v="4"/>
    <x v="9"/>
    <n v="10.5481"/>
    <n v="10.5906"/>
    <n v="10.462999999999999"/>
    <n v="10.505599999999999"/>
    <n v="48582"/>
    <n v="1.6327"/>
    <n v="1.2195"/>
  </r>
  <r>
    <n v="2330"/>
    <x v="1"/>
    <d v="2015-10-23T00:00:00"/>
    <x v="4"/>
    <x v="9"/>
    <n v="118.7953"/>
    <n v="119.2196"/>
    <n v="117.9468"/>
    <n v="118.7953"/>
    <n v="35666"/>
    <n v="1.8019000000000001"/>
    <n v="1.0790999999999999"/>
  </r>
  <r>
    <n v="2303"/>
    <x v="0"/>
    <d v="2015-10-26T00:00:00"/>
    <x v="0"/>
    <x v="9"/>
    <n v="10.5906"/>
    <n v="10.633100000000001"/>
    <n v="10.505599999999999"/>
    <n v="10.5906"/>
    <n v="29510"/>
    <n v="0.80649999999999999"/>
    <n v="1.2145999999999999"/>
  </r>
  <r>
    <n v="2330"/>
    <x v="1"/>
    <d v="2015-10-26T00:00:00"/>
    <x v="0"/>
    <x v="9"/>
    <n v="119.2196"/>
    <n v="119.2196"/>
    <n v="117.9468"/>
    <n v="118.7953"/>
    <n v="24412"/>
    <n v="0"/>
    <n v="1.0790999999999999"/>
  </r>
  <r>
    <n v="2303"/>
    <x v="0"/>
    <d v="2015-10-27T00:00:00"/>
    <x v="1"/>
    <x v="9"/>
    <n v="10.5906"/>
    <n v="10.633100000000001"/>
    <n v="10.462999999999999"/>
    <n v="10.633100000000001"/>
    <n v="20301"/>
    <n v="0.40079999999999999"/>
    <n v="1.6259999999999999"/>
  </r>
  <r>
    <n v="2330"/>
    <x v="1"/>
    <d v="2015-10-27T00:00:00"/>
    <x v="1"/>
    <x v="9"/>
    <n v="117.52249999999999"/>
    <n v="118.7953"/>
    <n v="116.67400000000001"/>
    <n v="117.9468"/>
    <n v="26557"/>
    <n v="-0.71679999999999999"/>
    <n v="1.8182"/>
  </r>
  <r>
    <n v="2303"/>
    <x v="0"/>
    <d v="2015-10-28T00:00:00"/>
    <x v="2"/>
    <x v="9"/>
    <n v="10.5481"/>
    <n v="10.5481"/>
    <n v="10.250400000000001"/>
    <n v="10.292899999999999"/>
    <n v="34470"/>
    <n v="-3.2523"/>
    <n v="2.9045999999999998"/>
  </r>
  <r>
    <n v="2330"/>
    <x v="1"/>
    <d v="2015-10-28T00:00:00"/>
    <x v="2"/>
    <x v="9"/>
    <n v="116.2497"/>
    <n v="117.9468"/>
    <n v="116.2497"/>
    <n v="117.09820000000001"/>
    <n v="22557"/>
    <n v="-0.72199999999999998"/>
    <n v="1.4599"/>
  </r>
  <r>
    <n v="2303"/>
    <x v="0"/>
    <d v="2015-10-29T00:00:00"/>
    <x v="3"/>
    <x v="9"/>
    <n v="10.250400000000001"/>
    <n v="10.292899999999999"/>
    <n v="10.037699999999999"/>
    <n v="10.1228"/>
    <n v="53952"/>
    <n v="-1.6667000000000001"/>
    <n v="2.5424000000000002"/>
  </r>
  <r>
    <n v="2330"/>
    <x v="1"/>
    <d v="2015-10-29T00:00:00"/>
    <x v="3"/>
    <x v="9"/>
    <n v="117.9468"/>
    <n v="118.3711"/>
    <n v="115.8254"/>
    <n v="115.8254"/>
    <n v="20463"/>
    <n v="-1.0929"/>
    <n v="2.1978"/>
  </r>
  <r>
    <n v="2303"/>
    <x v="0"/>
    <d v="2015-10-30T00:00:00"/>
    <x v="4"/>
    <x v="9"/>
    <n v="10.1228"/>
    <n v="10.207800000000001"/>
    <n v="10.0802"/>
    <n v="10.1228"/>
    <n v="23307"/>
    <n v="0"/>
    <n v="1.2658"/>
  </r>
  <r>
    <n v="2330"/>
    <x v="1"/>
    <d v="2015-10-30T00:00:00"/>
    <x v="4"/>
    <x v="9"/>
    <n v="116.2497"/>
    <n v="116.67400000000001"/>
    <n v="115.4012"/>
    <n v="115.8254"/>
    <n v="28293"/>
    <n v="0"/>
    <n v="1.1029"/>
  </r>
  <r>
    <n v="2303"/>
    <x v="0"/>
    <d v="2015-11-02T00:00:00"/>
    <x v="0"/>
    <x v="10"/>
    <n v="10.207800000000001"/>
    <n v="10.378"/>
    <n v="10.1653"/>
    <n v="10.250400000000001"/>
    <n v="26530"/>
    <n v="1.2525999999999999"/>
    <n v="2.0920999999999998"/>
  </r>
  <r>
    <n v="2330"/>
    <x v="1"/>
    <d v="2015-11-02T00:00:00"/>
    <x v="0"/>
    <x v="10"/>
    <n v="117.52249999999999"/>
    <n v="117.52249999999999"/>
    <n v="114.9769"/>
    <n v="116.67400000000001"/>
    <n v="22789"/>
    <n v="0.72989999999999999"/>
    <n v="2.214"/>
  </r>
  <r>
    <n v="2303"/>
    <x v="0"/>
    <d v="2015-11-03T00:00:00"/>
    <x v="1"/>
    <x v="10"/>
    <n v="10.250400000000001"/>
    <n v="10.462999999999999"/>
    <n v="10.250400000000001"/>
    <n v="10.462999999999999"/>
    <n v="36582"/>
    <n v="2.0535000000000001"/>
    <n v="2.0747"/>
  </r>
  <r>
    <n v="2330"/>
    <x v="1"/>
    <d v="2015-11-03T00:00:00"/>
    <x v="1"/>
    <x v="10"/>
    <n v="117.52249999999999"/>
    <n v="118.7953"/>
    <n v="117.09820000000001"/>
    <n v="118.3711"/>
    <n v="36442"/>
    <n v="1.4440999999999999"/>
    <n v="1.4493"/>
  </r>
  <r>
    <n v="2303"/>
    <x v="0"/>
    <d v="2015-11-04T00:00:00"/>
    <x v="2"/>
    <x v="10"/>
    <n v="10.5481"/>
    <n v="10.7182"/>
    <n v="10.505599999999999"/>
    <n v="10.5481"/>
    <n v="73770"/>
    <n v="0.80969999999999998"/>
    <n v="2.0243000000000002"/>
  </r>
  <r>
    <n v="2330"/>
    <x v="1"/>
    <d v="2015-11-04T00:00:00"/>
    <x v="2"/>
    <x v="10"/>
    <n v="120.0681"/>
    <n v="122.61369999999999"/>
    <n v="119.6439"/>
    <n v="122.61369999999999"/>
    <n v="75685"/>
    <n v="3.5215000000000001"/>
    <n v="2.4823"/>
  </r>
  <r>
    <n v="2303"/>
    <x v="0"/>
    <d v="2015-11-05T00:00:00"/>
    <x v="3"/>
    <x v="10"/>
    <n v="10.675700000000001"/>
    <n v="10.8033"/>
    <n v="10.5906"/>
    <n v="10.7182"/>
    <n v="50267"/>
    <n v="1.6"/>
    <n v="2.008"/>
  </r>
  <r>
    <n v="2330"/>
    <x v="1"/>
    <d v="2015-11-05T00:00:00"/>
    <x v="3"/>
    <x v="10"/>
    <n v="122.1895"/>
    <n v="122.61369999999999"/>
    <n v="120.91670000000001"/>
    <n v="120.91670000000001"/>
    <n v="37827"/>
    <n v="-1.3937999999999999"/>
    <n v="1.4035"/>
  </r>
  <r>
    <n v="2303"/>
    <x v="0"/>
    <d v="2015-11-06T00:00:00"/>
    <x v="4"/>
    <x v="10"/>
    <n v="10.633100000000001"/>
    <n v="10.675700000000001"/>
    <n v="10.505599999999999"/>
    <n v="10.5481"/>
    <n v="37566"/>
    <n v="-1.6"/>
    <n v="1.6194"/>
  </r>
  <r>
    <n v="2330"/>
    <x v="1"/>
    <d v="2015-11-06T00:00:00"/>
    <x v="4"/>
    <x v="10"/>
    <n v="122.1895"/>
    <n v="122.1895"/>
    <n v="117.9468"/>
    <n v="118.7953"/>
    <n v="51889"/>
    <n v="-1.77"/>
    <n v="3.5971000000000002"/>
  </r>
  <r>
    <n v="2303"/>
    <x v="0"/>
    <d v="2015-11-09T00:00:00"/>
    <x v="0"/>
    <x v="10"/>
    <n v="10.462999999999999"/>
    <n v="10.633100000000001"/>
    <n v="10.3354"/>
    <n v="10.3354"/>
    <n v="30381"/>
    <n v="-2.0367000000000002"/>
    <n v="2.8807"/>
  </r>
  <r>
    <n v="2330"/>
    <x v="1"/>
    <d v="2015-11-09T00:00:00"/>
    <x v="0"/>
    <x v="10"/>
    <n v="119.6439"/>
    <n v="121.3409"/>
    <n v="119.2196"/>
    <n v="120.4924"/>
    <n v="24863"/>
    <n v="1.4185000000000001"/>
    <n v="1.7794000000000001"/>
  </r>
  <r>
    <n v="2303"/>
    <x v="0"/>
    <d v="2015-11-10T00:00:00"/>
    <x v="1"/>
    <x v="10"/>
    <n v="10.3354"/>
    <n v="10.378"/>
    <n v="10.207800000000001"/>
    <n v="10.250400000000001"/>
    <n v="37683"/>
    <n v="-0.82650000000000001"/>
    <n v="1.6667000000000001"/>
  </r>
  <r>
    <n v="2330"/>
    <x v="1"/>
    <d v="2015-11-10T00:00:00"/>
    <x v="1"/>
    <x v="10"/>
    <n v="120.0681"/>
    <n v="120.0681"/>
    <n v="117.9468"/>
    <n v="118.3711"/>
    <n v="23336"/>
    <n v="-1.7762"/>
    <n v="1.7986"/>
  </r>
  <r>
    <n v="2303"/>
    <x v="0"/>
    <d v="2015-11-11T00:00:00"/>
    <x v="2"/>
    <x v="10"/>
    <n v="10.292899999999999"/>
    <n v="10.378"/>
    <n v="10.1228"/>
    <n v="10.207800000000001"/>
    <n v="29651"/>
    <n v="-0.4158"/>
    <n v="2.5209999999999999"/>
  </r>
  <r>
    <n v="2330"/>
    <x v="1"/>
    <d v="2015-11-11T00:00:00"/>
    <x v="2"/>
    <x v="10"/>
    <n v="119.2196"/>
    <n v="119.2196"/>
    <n v="115.8254"/>
    <n v="116.67400000000001"/>
    <n v="29463"/>
    <n v="-1.4440999999999999"/>
    <n v="2.9304000000000001"/>
  </r>
  <r>
    <n v="2303"/>
    <x v="0"/>
    <d v="2015-11-12T00:00:00"/>
    <x v="3"/>
    <x v="10"/>
    <n v="10.250400000000001"/>
    <n v="10.292899999999999"/>
    <n v="10.1228"/>
    <n v="10.1653"/>
    <n v="20336"/>
    <n v="-0.41749999999999998"/>
    <n v="1.6807000000000001"/>
  </r>
  <r>
    <n v="2330"/>
    <x v="1"/>
    <d v="2015-11-12T00:00:00"/>
    <x v="3"/>
    <x v="10"/>
    <n v="117.52249999999999"/>
    <n v="117.9468"/>
    <n v="117.09820000000001"/>
    <n v="117.52249999999999"/>
    <n v="16485"/>
    <n v="0.72460000000000002"/>
    <n v="0.72460000000000002"/>
  </r>
  <r>
    <n v="2303"/>
    <x v="0"/>
    <d v="2015-11-13T00:00:00"/>
    <x v="4"/>
    <x v="10"/>
    <n v="10.1228"/>
    <n v="10.292899999999999"/>
    <n v="10.1228"/>
    <n v="10.1228"/>
    <n v="23937"/>
    <n v="-0.41930000000000001"/>
    <n v="1.6807000000000001"/>
  </r>
  <r>
    <n v="2330"/>
    <x v="1"/>
    <d v="2015-11-13T00:00:00"/>
    <x v="4"/>
    <x v="10"/>
    <n v="116.67400000000001"/>
    <n v="117.9468"/>
    <n v="115.4012"/>
    <n v="115.4012"/>
    <n v="22956"/>
    <n v="-1.8214999999999999"/>
    <n v="2.2059000000000002"/>
  </r>
  <r>
    <n v="2303"/>
    <x v="0"/>
    <d v="2015-11-16T00:00:00"/>
    <x v="0"/>
    <x v="10"/>
    <n v="10.0802"/>
    <n v="10.1228"/>
    <n v="9.7825000000000006"/>
    <n v="9.8249999999999993"/>
    <n v="56784"/>
    <n v="-2.9853000000000001"/>
    <n v="3.4782999999999999"/>
  </r>
  <r>
    <n v="2330"/>
    <x v="1"/>
    <d v="2015-11-16T00:00:00"/>
    <x v="0"/>
    <x v="10"/>
    <n v="113.7041"/>
    <n v="114.9769"/>
    <n v="113.7041"/>
    <n v="114.5526"/>
    <n v="32132"/>
    <n v="-0.73799999999999999"/>
    <n v="1.1194"/>
  </r>
  <r>
    <n v="2303"/>
    <x v="0"/>
    <d v="2015-11-17T00:00:00"/>
    <x v="1"/>
    <x v="10"/>
    <n v="9.9952000000000005"/>
    <n v="10.378"/>
    <n v="9.9952000000000005"/>
    <n v="10.378"/>
    <n v="54411"/>
    <n v="5.4751000000000003"/>
    <n v="3.8298000000000001"/>
  </r>
  <r>
    <n v="2330"/>
    <x v="1"/>
    <d v="2015-11-17T00:00:00"/>
    <x v="1"/>
    <x v="10"/>
    <n v="117.09820000000001"/>
    <n v="118.7953"/>
    <n v="116.67400000000001"/>
    <n v="117.52249999999999"/>
    <n v="28224"/>
    <n v="2.5596000000000001"/>
    <n v="1.8182"/>
  </r>
  <r>
    <n v="2303"/>
    <x v="0"/>
    <d v="2015-11-18T00:00:00"/>
    <x v="2"/>
    <x v="10"/>
    <n v="10.420500000000001"/>
    <n v="10.420500000000001"/>
    <n v="10.250400000000001"/>
    <n v="10.292899999999999"/>
    <n v="30695"/>
    <n v="-0.82299999999999995"/>
    <n v="1.6597999999999999"/>
  </r>
  <r>
    <n v="2330"/>
    <x v="1"/>
    <d v="2015-11-18T00:00:00"/>
    <x v="2"/>
    <x v="10"/>
    <n v="118.3711"/>
    <n v="118.7953"/>
    <n v="115.8254"/>
    <n v="116.2497"/>
    <n v="29455"/>
    <n v="-1.0889"/>
    <n v="2.5640999999999998"/>
  </r>
  <r>
    <n v="2303"/>
    <x v="0"/>
    <d v="2015-11-19T00:00:00"/>
    <x v="3"/>
    <x v="10"/>
    <n v="10.420500000000001"/>
    <n v="10.462999999999999"/>
    <n v="10.250400000000001"/>
    <n v="10.420500000000001"/>
    <n v="38000"/>
    <n v="1.232"/>
    <n v="2.0747"/>
  </r>
  <r>
    <n v="2330"/>
    <x v="1"/>
    <d v="2015-11-19T00:00:00"/>
    <x v="3"/>
    <x v="10"/>
    <n v="117.52249999999999"/>
    <n v="119.2196"/>
    <n v="117.09820000000001"/>
    <n v="119.2196"/>
    <n v="28723"/>
    <n v="2.5226999999999999"/>
    <n v="1.8116000000000001"/>
  </r>
  <r>
    <n v="2303"/>
    <x v="0"/>
    <d v="2015-11-20T00:00:00"/>
    <x v="4"/>
    <x v="10"/>
    <n v="10.378"/>
    <n v="10.5906"/>
    <n v="10.378"/>
    <n v="10.505599999999999"/>
    <n v="52737"/>
    <n v="0.81299999999999994"/>
    <n v="2.0491999999999999"/>
  </r>
  <r>
    <n v="2330"/>
    <x v="1"/>
    <d v="2015-11-20T00:00:00"/>
    <x v="4"/>
    <x v="10"/>
    <n v="119.2196"/>
    <n v="119.6439"/>
    <n v="118.7953"/>
    <n v="119.6439"/>
    <n v="21649"/>
    <n v="0.35520000000000002"/>
    <n v="0.71430000000000005"/>
  </r>
  <r>
    <n v="2303"/>
    <x v="0"/>
    <d v="2015-11-23T00:00:00"/>
    <x v="0"/>
    <x v="10"/>
    <n v="10.5906"/>
    <n v="10.5906"/>
    <n v="10.420500000000001"/>
    <n v="10.5481"/>
    <n v="29083"/>
    <n v="0.40400000000000003"/>
    <n v="1.6327"/>
  </r>
  <r>
    <n v="2330"/>
    <x v="1"/>
    <d v="2015-11-23T00:00:00"/>
    <x v="0"/>
    <x v="10"/>
    <n v="119.6439"/>
    <n v="120.0681"/>
    <n v="118.7953"/>
    <n v="119.6439"/>
    <n v="20543"/>
    <n v="0"/>
    <n v="1.0713999999999999"/>
  </r>
  <r>
    <n v="2303"/>
    <x v="0"/>
    <d v="2015-11-24T00:00:00"/>
    <x v="1"/>
    <x v="10"/>
    <n v="10.420500000000001"/>
    <n v="10.462999999999999"/>
    <n v="10.1653"/>
    <n v="10.1653"/>
    <n v="30847"/>
    <n v="-3.6964999999999999"/>
    <n v="2.9289000000000001"/>
  </r>
  <r>
    <n v="2330"/>
    <x v="1"/>
    <d v="2015-11-24T00:00:00"/>
    <x v="1"/>
    <x v="10"/>
    <n v="118.7953"/>
    <n v="120.0681"/>
    <n v="118.3711"/>
    <n v="118.3711"/>
    <n v="23245"/>
    <n v="-1.0694999999999999"/>
    <n v="1.4337"/>
  </r>
  <r>
    <n v="2303"/>
    <x v="0"/>
    <d v="2015-11-25T00:00:00"/>
    <x v="2"/>
    <x v="10"/>
    <n v="10.207800000000001"/>
    <n v="10.3354"/>
    <n v="10.1228"/>
    <n v="10.292899999999999"/>
    <n v="19050"/>
    <n v="1.2474000000000001"/>
    <n v="2.1008"/>
  </r>
  <r>
    <n v="2330"/>
    <x v="1"/>
    <d v="2015-11-25T00:00:00"/>
    <x v="2"/>
    <x v="10"/>
    <n v="118.3711"/>
    <n v="119.6439"/>
    <n v="117.52249999999999"/>
    <n v="119.6439"/>
    <n v="34540"/>
    <n v="1.0694999999999999"/>
    <n v="1.8050999999999999"/>
  </r>
  <r>
    <n v="2303"/>
    <x v="0"/>
    <d v="2015-11-26T00:00:00"/>
    <x v="3"/>
    <x v="10"/>
    <n v="10.378"/>
    <n v="10.5481"/>
    <n v="10.3354"/>
    <n v="10.378"/>
    <n v="24427"/>
    <n v="0.82299999999999995"/>
    <n v="2.0575999999999999"/>
  </r>
  <r>
    <n v="2330"/>
    <x v="1"/>
    <d v="2015-11-26T00:00:00"/>
    <x v="3"/>
    <x v="10"/>
    <n v="119.6439"/>
    <n v="120.91670000000001"/>
    <n v="118.7953"/>
    <n v="120.91670000000001"/>
    <n v="32927"/>
    <n v="1.0582"/>
    <n v="1.7857000000000001"/>
  </r>
  <r>
    <n v="2303"/>
    <x v="0"/>
    <d v="2015-11-27T00:00:00"/>
    <x v="4"/>
    <x v="10"/>
    <n v="10.378"/>
    <n v="10.420500000000001"/>
    <n v="10.207800000000001"/>
    <n v="10.250400000000001"/>
    <n v="11380"/>
    <n v="-1.2371000000000001"/>
    <n v="2.0832999999999999"/>
  </r>
  <r>
    <n v="2330"/>
    <x v="1"/>
    <d v="2015-11-27T00:00:00"/>
    <x v="4"/>
    <x v="10"/>
    <n v="121.3409"/>
    <n v="121.3409"/>
    <n v="117.9468"/>
    <n v="117.9468"/>
    <n v="26742"/>
    <n v="-2.4868000000000001"/>
    <n v="2.8776999999999999"/>
  </r>
  <r>
    <n v="2303"/>
    <x v="0"/>
    <d v="2015-11-30T00:00:00"/>
    <x v="0"/>
    <x v="10"/>
    <n v="10.1653"/>
    <n v="10.292899999999999"/>
    <n v="10.0802"/>
    <n v="10.0802"/>
    <n v="64168"/>
    <n v="-1.6737"/>
    <n v="2.1097000000000001"/>
  </r>
  <r>
    <n v="2330"/>
    <x v="1"/>
    <d v="2015-11-30T00:00:00"/>
    <x v="0"/>
    <x v="10"/>
    <n v="115.8254"/>
    <n v="117.9468"/>
    <n v="115.4012"/>
    <n v="117.9468"/>
    <n v="110350"/>
    <n v="0"/>
    <n v="2.2059000000000002"/>
  </r>
  <r>
    <n v="2303"/>
    <x v="0"/>
    <d v="2015-12-01T00:00:00"/>
    <x v="1"/>
    <x v="11"/>
    <n v="10.207800000000001"/>
    <n v="10.378"/>
    <n v="10.1228"/>
    <n v="10.378"/>
    <n v="22344"/>
    <n v="2.9108000000000001"/>
    <n v="2.5209999999999999"/>
  </r>
  <r>
    <n v="2330"/>
    <x v="1"/>
    <d v="2015-12-01T00:00:00"/>
    <x v="1"/>
    <x v="11"/>
    <n v="119.2196"/>
    <n v="120.91670000000001"/>
    <n v="117.52249999999999"/>
    <n v="120.91670000000001"/>
    <n v="48931"/>
    <n v="2.4868000000000001"/>
    <n v="2.8881000000000001"/>
  </r>
  <r>
    <n v="2303"/>
    <x v="0"/>
    <d v="2015-12-02T00:00:00"/>
    <x v="2"/>
    <x v="11"/>
    <n v="10.1653"/>
    <n v="10.378"/>
    <n v="10.1653"/>
    <n v="10.250400000000001"/>
    <n v="29551"/>
    <n v="-1.2371000000000001"/>
    <n v="2.0920999999999998"/>
  </r>
  <r>
    <n v="2330"/>
    <x v="1"/>
    <d v="2015-12-02T00:00:00"/>
    <x v="2"/>
    <x v="11"/>
    <n v="122.1895"/>
    <n v="122.1895"/>
    <n v="120.4924"/>
    <n v="120.91670000000001"/>
    <n v="31767"/>
    <n v="0"/>
    <n v="1.4085000000000001"/>
  </r>
  <r>
    <n v="2303"/>
    <x v="0"/>
    <d v="2015-12-03T00:00:00"/>
    <x v="3"/>
    <x v="11"/>
    <n v="10.250400000000001"/>
    <n v="10.505599999999999"/>
    <n v="10.1653"/>
    <n v="10.420500000000001"/>
    <n v="38699"/>
    <n v="1.6460999999999999"/>
    <n v="3.3473000000000002"/>
  </r>
  <r>
    <n v="2330"/>
    <x v="1"/>
    <d v="2015-12-03T00:00:00"/>
    <x v="3"/>
    <x v="11"/>
    <n v="120.0681"/>
    <n v="121.3409"/>
    <n v="120.0681"/>
    <n v="120.91670000000001"/>
    <n v="28204"/>
    <n v="0"/>
    <n v="1.0601"/>
  </r>
  <r>
    <n v="2303"/>
    <x v="0"/>
    <d v="2015-12-04T00:00:00"/>
    <x v="4"/>
    <x v="11"/>
    <n v="10.250400000000001"/>
    <n v="10.378"/>
    <n v="10.250400000000001"/>
    <n v="10.250400000000001"/>
    <n v="22296"/>
    <n v="-1.6460999999999999"/>
    <n v="1.2447999999999999"/>
  </r>
  <r>
    <n v="2330"/>
    <x v="1"/>
    <d v="2015-12-04T00:00:00"/>
    <x v="4"/>
    <x v="11"/>
    <n v="119.6439"/>
    <n v="120.91670000000001"/>
    <n v="119.2196"/>
    <n v="119.2196"/>
    <n v="31780"/>
    <n v="-1.4135"/>
    <n v="1.4235"/>
  </r>
  <r>
    <n v="2303"/>
    <x v="0"/>
    <d v="2015-12-07T00:00:00"/>
    <x v="0"/>
    <x v="11"/>
    <n v="10.292899999999999"/>
    <n v="10.420500000000001"/>
    <n v="10.250400000000001"/>
    <n v="10.292899999999999"/>
    <n v="26879"/>
    <n v="0.41410000000000002"/>
    <n v="1.6597999999999999"/>
  </r>
  <r>
    <n v="2330"/>
    <x v="1"/>
    <d v="2015-12-07T00:00:00"/>
    <x v="0"/>
    <x v="11"/>
    <n v="120.4924"/>
    <n v="122.61369999999999"/>
    <n v="120.4924"/>
    <n v="121.76519999999999"/>
    <n v="41097"/>
    <n v="2.1128"/>
    <n v="1.7605999999999999"/>
  </r>
  <r>
    <n v="2303"/>
    <x v="0"/>
    <d v="2015-12-08T00:00:00"/>
    <x v="1"/>
    <x v="11"/>
    <n v="10.292899999999999"/>
    <n v="10.3354"/>
    <n v="10.1228"/>
    <n v="10.1653"/>
    <n v="25908"/>
    <n v="-1.2474000000000001"/>
    <n v="2.1008"/>
  </r>
  <r>
    <n v="2330"/>
    <x v="1"/>
    <d v="2015-12-08T00:00:00"/>
    <x v="1"/>
    <x v="11"/>
    <n v="121.76519999999999"/>
    <n v="122.1895"/>
    <n v="119.6439"/>
    <n v="120.91670000000001"/>
    <n v="34037"/>
    <n v="-0.69930000000000003"/>
    <n v="2.1276999999999999"/>
  </r>
  <r>
    <n v="2303"/>
    <x v="0"/>
    <d v="2015-12-09T00:00:00"/>
    <x v="2"/>
    <x v="11"/>
    <n v="10.1228"/>
    <n v="10.1653"/>
    <n v="9.8675999999999995"/>
    <n v="9.8675999999999995"/>
    <n v="44402"/>
    <n v="-2.9725999999999999"/>
    <n v="3.0171999999999999"/>
  </r>
  <r>
    <n v="2330"/>
    <x v="1"/>
    <d v="2015-12-09T00:00:00"/>
    <x v="2"/>
    <x v="11"/>
    <n v="120.4924"/>
    <n v="120.4924"/>
    <n v="119.2196"/>
    <n v="119.2196"/>
    <n v="30640"/>
    <n v="-1.4135"/>
    <n v="1.0676000000000001"/>
  </r>
  <r>
    <n v="2303"/>
    <x v="0"/>
    <d v="2015-12-10T00:00:00"/>
    <x v="3"/>
    <x v="11"/>
    <n v="9.6974"/>
    <n v="9.8675999999999995"/>
    <n v="9.6123999999999992"/>
    <n v="9.8249999999999993"/>
    <n v="55043"/>
    <n v="-0.432"/>
    <n v="2.6549"/>
  </r>
  <r>
    <n v="2330"/>
    <x v="1"/>
    <d v="2015-12-10T00:00:00"/>
    <x v="3"/>
    <x v="11"/>
    <n v="119.2196"/>
    <n v="120.0681"/>
    <n v="117.9468"/>
    <n v="119.6439"/>
    <n v="41487"/>
    <n v="0.35520000000000002"/>
    <n v="1.7986"/>
  </r>
  <r>
    <n v="2303"/>
    <x v="0"/>
    <d v="2015-12-11T00:00:00"/>
    <x v="4"/>
    <x v="11"/>
    <n v="9.8675999999999995"/>
    <n v="10.037699999999999"/>
    <n v="9.8675999999999995"/>
    <n v="9.9526000000000003"/>
    <n v="43207"/>
    <n v="1.2903"/>
    <n v="1.7241"/>
  </r>
  <r>
    <n v="2330"/>
    <x v="1"/>
    <d v="2015-12-11T00:00:00"/>
    <x v="4"/>
    <x v="11"/>
    <n v="119.6439"/>
    <n v="120.4924"/>
    <n v="117.9468"/>
    <n v="118.3711"/>
    <n v="32030"/>
    <n v="-1.0694999999999999"/>
    <n v="2.1583000000000001"/>
  </r>
  <r>
    <n v="2303"/>
    <x v="0"/>
    <d v="2015-12-14T00:00:00"/>
    <x v="0"/>
    <x v="11"/>
    <n v="9.8675999999999995"/>
    <n v="9.9526000000000003"/>
    <n v="9.7825000000000006"/>
    <n v="9.9526000000000003"/>
    <n v="20931"/>
    <n v="0"/>
    <n v="1.7391000000000001"/>
  </r>
  <r>
    <n v="2330"/>
    <x v="1"/>
    <d v="2015-12-14T00:00:00"/>
    <x v="0"/>
    <x v="11"/>
    <n v="116.67400000000001"/>
    <n v="118.3711"/>
    <n v="116.67400000000001"/>
    <n v="117.9468"/>
    <n v="37666"/>
    <n v="-0.35909999999999997"/>
    <n v="1.4544999999999999"/>
  </r>
  <r>
    <n v="2303"/>
    <x v="0"/>
    <d v="2015-12-15T00:00:00"/>
    <x v="1"/>
    <x v="11"/>
    <n v="10.037699999999999"/>
    <n v="10.0802"/>
    <n v="9.8675999999999995"/>
    <n v="9.8675999999999995"/>
    <n v="18566"/>
    <n v="-0.85840000000000005"/>
    <n v="2.1551999999999998"/>
  </r>
  <r>
    <n v="2330"/>
    <x v="1"/>
    <d v="2015-12-15T00:00:00"/>
    <x v="1"/>
    <x v="11"/>
    <n v="118.3711"/>
    <n v="119.2196"/>
    <n v="117.09820000000001"/>
    <n v="117.09820000000001"/>
    <n v="27973"/>
    <n v="-0.72199999999999998"/>
    <n v="1.8116000000000001"/>
  </r>
  <r>
    <n v="2303"/>
    <x v="0"/>
    <d v="2015-12-16T00:00:00"/>
    <x v="2"/>
    <x v="11"/>
    <n v="10.0802"/>
    <n v="10.1228"/>
    <n v="9.9526000000000003"/>
    <n v="10.037699999999999"/>
    <n v="25532"/>
    <n v="1.7094"/>
    <n v="1.7094"/>
  </r>
  <r>
    <n v="2330"/>
    <x v="1"/>
    <d v="2015-12-16T00:00:00"/>
    <x v="2"/>
    <x v="11"/>
    <n v="120.4924"/>
    <n v="122.1895"/>
    <n v="119.6439"/>
    <n v="121.76519999999999"/>
    <n v="58669"/>
    <n v="3.9081000000000001"/>
    <n v="2.1276999999999999"/>
  </r>
  <r>
    <n v="2303"/>
    <x v="0"/>
    <d v="2015-12-17T00:00:00"/>
    <x v="3"/>
    <x v="11"/>
    <n v="10.1228"/>
    <n v="10.378"/>
    <n v="10.0802"/>
    <n v="10.3354"/>
    <n v="43690"/>
    <n v="2.923"/>
    <n v="2.9535999999999998"/>
  </r>
  <r>
    <n v="2330"/>
    <x v="1"/>
    <d v="2015-12-17T00:00:00"/>
    <x v="3"/>
    <x v="11"/>
    <n v="122.61369999999999"/>
    <n v="123.038"/>
    <n v="121.3409"/>
    <n v="123.038"/>
    <n v="34710"/>
    <n v="1.0399"/>
    <n v="1.3986000000000001"/>
  </r>
  <r>
    <n v="2303"/>
    <x v="0"/>
    <d v="2015-12-18T00:00:00"/>
    <x v="4"/>
    <x v="11"/>
    <n v="10.250400000000001"/>
    <n v="10.378"/>
    <n v="10.1653"/>
    <n v="10.207800000000001"/>
    <n v="41032"/>
    <n v="-1.2423"/>
    <n v="2.0920999999999998"/>
  </r>
  <r>
    <n v="2330"/>
    <x v="1"/>
    <d v="2015-12-18T00:00:00"/>
    <x v="4"/>
    <x v="11"/>
    <n v="121.3409"/>
    <n v="123.038"/>
    <n v="120.4924"/>
    <n v="120.4924"/>
    <n v="41615"/>
    <n v="-2.0907"/>
    <n v="2.1126999999999998"/>
  </r>
  <r>
    <n v="2303"/>
    <x v="0"/>
    <d v="2015-12-21T00:00:00"/>
    <x v="0"/>
    <x v="11"/>
    <n v="10.292899999999999"/>
    <n v="10.7182"/>
    <n v="10.250400000000001"/>
    <n v="10.5906"/>
    <n v="84011"/>
    <n v="3.6814"/>
    <n v="4.5643000000000002"/>
  </r>
  <r>
    <n v="2330"/>
    <x v="1"/>
    <d v="2015-12-21T00:00:00"/>
    <x v="0"/>
    <x v="11"/>
    <n v="120.0681"/>
    <n v="120.91670000000001"/>
    <n v="119.2196"/>
    <n v="120.0681"/>
    <n v="26939"/>
    <n v="-0.35270000000000001"/>
    <n v="1.4235"/>
  </r>
  <r>
    <n v="2303"/>
    <x v="0"/>
    <d v="2015-12-22T00:00:00"/>
    <x v="1"/>
    <x v="11"/>
    <n v="10.633100000000001"/>
    <n v="10.633100000000001"/>
    <n v="10.420500000000001"/>
    <n v="10.505599999999999"/>
    <n v="23495"/>
    <n v="-0.80649999999999999"/>
    <n v="2.0407999999999999"/>
  </r>
  <r>
    <n v="2330"/>
    <x v="1"/>
    <d v="2015-12-22T00:00:00"/>
    <x v="1"/>
    <x v="11"/>
    <n v="119.6439"/>
    <n v="120.4924"/>
    <n v="119.2196"/>
    <n v="120.4924"/>
    <n v="17209"/>
    <n v="0.35270000000000001"/>
    <n v="1.0676000000000001"/>
  </r>
  <r>
    <n v="2303"/>
    <x v="0"/>
    <d v="2015-12-23T00:00:00"/>
    <x v="2"/>
    <x v="11"/>
    <n v="10.505599999999999"/>
    <n v="10.633100000000001"/>
    <n v="10.462999999999999"/>
    <n v="10.5906"/>
    <n v="26385"/>
    <n v="0.80649999999999999"/>
    <n v="1.6259999999999999"/>
  </r>
  <r>
    <n v="2330"/>
    <x v="1"/>
    <d v="2015-12-23T00:00:00"/>
    <x v="2"/>
    <x v="11"/>
    <n v="119.6439"/>
    <n v="121.3409"/>
    <n v="119.2196"/>
    <n v="120.0681"/>
    <n v="18152"/>
    <n v="-0.35270000000000001"/>
    <n v="1.7794000000000001"/>
  </r>
  <r>
    <n v="2303"/>
    <x v="0"/>
    <d v="2015-12-24T00:00:00"/>
    <x v="3"/>
    <x v="11"/>
    <n v="10.633100000000001"/>
    <n v="10.675700000000001"/>
    <n v="10.462999999999999"/>
    <n v="10.462999999999999"/>
    <n v="14485"/>
    <n v="-1.2121"/>
    <n v="2.0325000000000002"/>
  </r>
  <r>
    <n v="2330"/>
    <x v="1"/>
    <d v="2015-12-24T00:00:00"/>
    <x v="3"/>
    <x v="11"/>
    <n v="121.3409"/>
    <n v="121.76519999999999"/>
    <n v="120.4924"/>
    <n v="120.4924"/>
    <n v="13495"/>
    <n v="0.35270000000000001"/>
    <n v="1.0563"/>
  </r>
  <r>
    <n v="2303"/>
    <x v="0"/>
    <d v="2015-12-25T00:00:00"/>
    <x v="4"/>
    <x v="11"/>
    <n v="10.462999999999999"/>
    <n v="10.5906"/>
    <n v="10.462999999999999"/>
    <n v="10.5481"/>
    <n v="7344"/>
    <n v="0.80969999999999998"/>
    <n v="1.2195"/>
  </r>
  <r>
    <n v="2330"/>
    <x v="1"/>
    <d v="2015-12-25T00:00:00"/>
    <x v="4"/>
    <x v="11"/>
    <n v="120.4924"/>
    <n v="121.76519999999999"/>
    <n v="120.4924"/>
    <n v="121.3409"/>
    <n v="6168"/>
    <n v="0.70179999999999998"/>
    <n v="1.0563"/>
  </r>
  <r>
    <n v="2303"/>
    <x v="0"/>
    <d v="2015-12-28T00:00:00"/>
    <x v="0"/>
    <x v="11"/>
    <n v="10.5906"/>
    <n v="10.5906"/>
    <n v="10.462999999999999"/>
    <n v="10.462999999999999"/>
    <n v="10496"/>
    <n v="-0.80969999999999998"/>
    <n v="1.2195"/>
  </r>
  <r>
    <n v="2330"/>
    <x v="1"/>
    <d v="2015-12-28T00:00:00"/>
    <x v="0"/>
    <x v="11"/>
    <n v="121.76519999999999"/>
    <n v="122.1895"/>
    <n v="121.3409"/>
    <n v="121.76519999999999"/>
    <n v="10831"/>
    <n v="0.34899999999999998"/>
    <n v="0.69930000000000003"/>
  </r>
  <r>
    <n v="2303"/>
    <x v="0"/>
    <d v="2015-12-29T00:00:00"/>
    <x v="1"/>
    <x v="11"/>
    <n v="10.462999999999999"/>
    <n v="10.505599999999999"/>
    <n v="10.3354"/>
    <n v="10.3354"/>
    <n v="16761"/>
    <n v="-1.2270000000000001"/>
    <n v="1.6460999999999999"/>
  </r>
  <r>
    <n v="2330"/>
    <x v="1"/>
    <d v="2015-12-29T00:00:00"/>
    <x v="1"/>
    <x v="11"/>
    <n v="121.76519999999999"/>
    <n v="122.1895"/>
    <n v="120.0681"/>
    <n v="120.4924"/>
    <n v="12968"/>
    <n v="-1.0508"/>
    <n v="1.7667999999999999"/>
  </r>
  <r>
    <n v="2303"/>
    <x v="0"/>
    <d v="2015-12-30T00:00:00"/>
    <x v="2"/>
    <x v="11"/>
    <n v="10.378"/>
    <n v="10.420500000000001"/>
    <n v="10.292899999999999"/>
    <n v="10.292899999999999"/>
    <n v="11862"/>
    <n v="-0.41239999999999999"/>
    <n v="1.2397"/>
  </r>
  <r>
    <n v="2330"/>
    <x v="1"/>
    <d v="2015-12-30T00:00:00"/>
    <x v="2"/>
    <x v="11"/>
    <n v="120.91670000000001"/>
    <n v="122.1895"/>
    <n v="120.4924"/>
    <n v="120.91670000000001"/>
    <n v="14713"/>
    <n v="0.35149999999999998"/>
    <n v="1.4085000000000001"/>
  </r>
  <r>
    <n v="2303"/>
    <x v="0"/>
    <d v="2015-12-31T00:00:00"/>
    <x v="3"/>
    <x v="11"/>
    <n v="10.292899999999999"/>
    <n v="10.378"/>
    <n v="10.250400000000001"/>
    <n v="10.292899999999999"/>
    <n v="13959"/>
    <n v="0"/>
    <n v="1.2447999999999999"/>
  </r>
  <r>
    <n v="2330"/>
    <x v="1"/>
    <d v="2015-12-31T00:00:00"/>
    <x v="3"/>
    <x v="11"/>
    <n v="120.4924"/>
    <n v="122.1895"/>
    <n v="119.6439"/>
    <n v="121.3409"/>
    <n v="18677"/>
    <n v="0.3503"/>
    <n v="2.1276999999999999"/>
  </r>
  <r>
    <n v="2303"/>
    <x v="0"/>
    <d v="2016-01-04T00:00:00"/>
    <x v="0"/>
    <x v="0"/>
    <n v="10.292899999999999"/>
    <n v="10.3354"/>
    <n v="10.037699999999999"/>
    <n v="10.037699999999999"/>
    <n v="44642"/>
    <n v="-2.5106000000000002"/>
    <n v="2.9661"/>
  </r>
  <r>
    <n v="2330"/>
    <x v="1"/>
    <d v="2016-01-04T00:00:00"/>
    <x v="0"/>
    <x v="0"/>
    <n v="120.91670000000001"/>
    <n v="121.76519999999999"/>
    <n v="117.9468"/>
    <n v="118.3711"/>
    <n v="43800"/>
    <n v="-2.4780000000000002"/>
    <n v="3.2374000000000001"/>
  </r>
  <r>
    <n v="2303"/>
    <x v="0"/>
    <d v="2016-01-05T00:00:00"/>
    <x v="1"/>
    <x v="0"/>
    <n v="10.037699999999999"/>
    <n v="10.250400000000001"/>
    <n v="9.9526000000000003"/>
    <n v="9.9952000000000005"/>
    <n v="37725"/>
    <n v="-0.42459999999999998"/>
    <n v="2.9914999999999998"/>
  </r>
  <r>
    <n v="2330"/>
    <x v="1"/>
    <d v="2016-01-05T00:00:00"/>
    <x v="1"/>
    <x v="0"/>
    <n v="117.9468"/>
    <n v="118.7953"/>
    <n v="116.2497"/>
    <n v="117.09820000000001"/>
    <n v="46502"/>
    <n v="-1.0810999999999999"/>
    <n v="2.1898"/>
  </r>
  <r>
    <n v="2303"/>
    <x v="0"/>
    <d v="2016-01-06T00:00:00"/>
    <x v="2"/>
    <x v="0"/>
    <n v="10.0802"/>
    <n v="10.1653"/>
    <n v="9.9100999999999999"/>
    <n v="9.9952000000000005"/>
    <n v="25394"/>
    <n v="0"/>
    <n v="2.5750999999999999"/>
  </r>
  <r>
    <n v="2330"/>
    <x v="1"/>
    <d v="2016-01-06T00:00:00"/>
    <x v="2"/>
    <x v="0"/>
    <n v="117.09820000000001"/>
    <n v="117.09820000000001"/>
    <n v="114.5526"/>
    <n v="114.9769"/>
    <n v="53873"/>
    <n v="-1.8282"/>
    <n v="2.2222"/>
  </r>
  <r>
    <n v="2303"/>
    <x v="0"/>
    <d v="2016-01-07T00:00:00"/>
    <x v="3"/>
    <x v="0"/>
    <n v="9.9526000000000003"/>
    <n v="9.9952000000000005"/>
    <n v="9.6974"/>
    <n v="9.74"/>
    <n v="57790"/>
    <n v="-2.5863999999999998"/>
    <n v="3.0701999999999998"/>
  </r>
  <r>
    <n v="2330"/>
    <x v="1"/>
    <d v="2016-01-07T00:00:00"/>
    <x v="3"/>
    <x v="0"/>
    <n v="114.1284"/>
    <n v="114.5526"/>
    <n v="110.7342"/>
    <n v="112.8556"/>
    <n v="63475"/>
    <n v="-1.8623000000000001"/>
    <n v="3.4483000000000001"/>
  </r>
  <r>
    <n v="2303"/>
    <x v="0"/>
    <d v="2016-01-08T00:00:00"/>
    <x v="4"/>
    <x v="0"/>
    <n v="9.5273000000000003"/>
    <n v="9.7825000000000006"/>
    <n v="9.5273000000000003"/>
    <n v="9.6974"/>
    <n v="42956"/>
    <n v="-0.43759999999999999"/>
    <n v="2.6785999999999999"/>
  </r>
  <r>
    <n v="2330"/>
    <x v="1"/>
    <d v="2016-01-08T00:00:00"/>
    <x v="4"/>
    <x v="0"/>
    <n v="112.00700000000001"/>
    <n v="114.5526"/>
    <n v="112.00700000000001"/>
    <n v="113.7041"/>
    <n v="52641"/>
    <n v="0.74909999999999999"/>
    <n v="2.2726999999999999"/>
  </r>
  <r>
    <n v="2303"/>
    <x v="0"/>
    <d v="2016-01-11T00:00:00"/>
    <x v="0"/>
    <x v="0"/>
    <n v="9.5273000000000003"/>
    <n v="9.6123999999999992"/>
    <n v="9.3996999999999993"/>
    <n v="9.3996999999999993"/>
    <n v="41438"/>
    <n v="-3.1183000000000001"/>
    <n v="2.2624"/>
  </r>
  <r>
    <n v="2330"/>
    <x v="1"/>
    <d v="2016-01-11T00:00:00"/>
    <x v="0"/>
    <x v="0"/>
    <n v="112.8556"/>
    <n v="114.1284"/>
    <n v="110.7342"/>
    <n v="112.8556"/>
    <n v="48536"/>
    <n v="-0.74909999999999999"/>
    <n v="3.0651000000000002"/>
  </r>
  <r>
    <n v="2303"/>
    <x v="0"/>
    <d v="2016-01-12T00:00:00"/>
    <x v="1"/>
    <x v="0"/>
    <n v="9.4847999999999999"/>
    <n v="9.5273000000000003"/>
    <n v="9.4421999999999997"/>
    <n v="9.4421999999999997"/>
    <n v="22816"/>
    <n v="0.45150000000000001"/>
    <n v="0.90090000000000003"/>
  </r>
  <r>
    <n v="2330"/>
    <x v="1"/>
    <d v="2016-01-12T00:00:00"/>
    <x v="1"/>
    <x v="0"/>
    <n v="112.8556"/>
    <n v="113.7041"/>
    <n v="111.5827"/>
    <n v="112.8556"/>
    <n v="35133"/>
    <n v="0"/>
    <n v="1.9011"/>
  </r>
  <r>
    <n v="2303"/>
    <x v="0"/>
    <d v="2016-01-13T00:00:00"/>
    <x v="2"/>
    <x v="0"/>
    <n v="9.4847999999999999"/>
    <n v="9.5698000000000008"/>
    <n v="9.3572000000000006"/>
    <n v="9.3996999999999993"/>
    <n v="35275"/>
    <n v="-0.45150000000000001"/>
    <n v="2.2726999999999999"/>
  </r>
  <r>
    <n v="2330"/>
    <x v="1"/>
    <d v="2016-01-13T00:00:00"/>
    <x v="2"/>
    <x v="0"/>
    <n v="113.27979999999999"/>
    <n v="114.9769"/>
    <n v="112.8556"/>
    <n v="113.27979999999999"/>
    <n v="50237"/>
    <n v="0.37519999999999998"/>
    <n v="1.8796999999999999"/>
  </r>
  <r>
    <n v="2303"/>
    <x v="0"/>
    <d v="2016-01-14T00:00:00"/>
    <x v="3"/>
    <x v="0"/>
    <n v="9.3572000000000006"/>
    <n v="9.4847999999999999"/>
    <n v="9.1869999999999994"/>
    <n v="9.4847999999999999"/>
    <n v="31979"/>
    <n v="0.90090000000000003"/>
    <n v="3.2406999999999999"/>
  </r>
  <r>
    <n v="2330"/>
    <x v="1"/>
    <d v="2016-01-14T00:00:00"/>
    <x v="3"/>
    <x v="0"/>
    <n v="110.7342"/>
    <n v="112.00700000000001"/>
    <n v="110.7342"/>
    <n v="111.5827"/>
    <n v="39498"/>
    <n v="-1.5095000000000001"/>
    <n v="1.1494"/>
  </r>
  <r>
    <n v="2303"/>
    <x v="0"/>
    <d v="2016-01-15T00:00:00"/>
    <x v="4"/>
    <x v="0"/>
    <n v="9.5698000000000008"/>
    <n v="9.6123999999999992"/>
    <n v="9.3996999999999993"/>
    <n v="9.5698000000000008"/>
    <n v="36397"/>
    <n v="0.89290000000000003"/>
    <n v="2.2624"/>
  </r>
  <r>
    <n v="2330"/>
    <x v="1"/>
    <d v="2016-01-15T00:00:00"/>
    <x v="4"/>
    <x v="0"/>
    <n v="116.67400000000001"/>
    <n v="117.09820000000001"/>
    <n v="114.9769"/>
    <n v="116.2497"/>
    <n v="79648"/>
    <n v="4.0974000000000004"/>
    <n v="1.845"/>
  </r>
  <r>
    <n v="2303"/>
    <x v="0"/>
    <d v="2016-01-18T00:00:00"/>
    <x v="0"/>
    <x v="0"/>
    <n v="9.3572000000000006"/>
    <n v="9.5273000000000003"/>
    <n v="9.3146000000000004"/>
    <n v="9.4847999999999999"/>
    <n v="23425"/>
    <n v="-0.89290000000000003"/>
    <n v="2.2831000000000001"/>
  </r>
  <r>
    <n v="2330"/>
    <x v="1"/>
    <d v="2016-01-18T00:00:00"/>
    <x v="0"/>
    <x v="0"/>
    <n v="114.5526"/>
    <n v="117.09820000000001"/>
    <n v="114.1284"/>
    <n v="116.2497"/>
    <n v="37008"/>
    <n v="0"/>
    <n v="2.6021999999999998"/>
  </r>
  <r>
    <n v="2303"/>
    <x v="0"/>
    <d v="2016-01-19T00:00:00"/>
    <x v="1"/>
    <x v="0"/>
    <n v="9.4847999999999999"/>
    <n v="9.5273000000000003"/>
    <n v="9.4421999999999997"/>
    <n v="9.4847999999999999"/>
    <n v="12942"/>
    <n v="0"/>
    <n v="0.90090000000000003"/>
  </r>
  <r>
    <n v="2330"/>
    <x v="1"/>
    <d v="2016-01-19T00:00:00"/>
    <x v="1"/>
    <x v="0"/>
    <n v="116.67400000000001"/>
    <n v="117.09820000000001"/>
    <n v="115.4012"/>
    <n v="117.09820000000001"/>
    <n v="24995"/>
    <n v="0.72729999999999995"/>
    <n v="1.4705999999999999"/>
  </r>
  <r>
    <n v="2303"/>
    <x v="0"/>
    <d v="2016-01-20T00:00:00"/>
    <x v="2"/>
    <x v="0"/>
    <n v="9.4847999999999999"/>
    <n v="9.5273000000000003"/>
    <n v="9.4421999999999997"/>
    <n v="9.4421999999999997"/>
    <n v="27609"/>
    <n v="-0.44940000000000002"/>
    <n v="0.90090000000000003"/>
  </r>
  <r>
    <n v="2330"/>
    <x v="1"/>
    <d v="2016-01-20T00:00:00"/>
    <x v="2"/>
    <x v="0"/>
    <n v="116.67400000000001"/>
    <n v="116.67400000000001"/>
    <n v="113.27979999999999"/>
    <n v="114.1284"/>
    <n v="44423"/>
    <n v="-2.5689000000000002"/>
    <n v="2.9963000000000002"/>
  </r>
  <r>
    <n v="2303"/>
    <x v="0"/>
    <d v="2016-01-21T00:00:00"/>
    <x v="3"/>
    <x v="0"/>
    <n v="9.4847999999999999"/>
    <n v="9.5273000000000003"/>
    <n v="9.3996999999999993"/>
    <n v="9.4421999999999997"/>
    <n v="17723"/>
    <n v="0"/>
    <n v="1.3574999999999999"/>
  </r>
  <r>
    <n v="2330"/>
    <x v="1"/>
    <d v="2016-01-21T00:00:00"/>
    <x v="3"/>
    <x v="0"/>
    <n v="113.7041"/>
    <n v="115.8254"/>
    <n v="113.7041"/>
    <n v="114.5526"/>
    <n v="31957"/>
    <n v="0.37109999999999999"/>
    <n v="1.8656999999999999"/>
  </r>
  <r>
    <n v="2303"/>
    <x v="0"/>
    <d v="2016-01-22T00:00:00"/>
    <x v="4"/>
    <x v="0"/>
    <n v="9.5273000000000003"/>
    <n v="9.5698000000000008"/>
    <n v="9.4847999999999999"/>
    <n v="9.5698000000000008"/>
    <n v="14734"/>
    <n v="1.3423"/>
    <n v="0.89690000000000003"/>
  </r>
  <r>
    <n v="2330"/>
    <x v="1"/>
    <d v="2016-01-22T00:00:00"/>
    <x v="4"/>
    <x v="0"/>
    <n v="115.8254"/>
    <n v="117.52249999999999"/>
    <n v="115.4012"/>
    <n v="117.52249999999999"/>
    <n v="33926"/>
    <n v="2.5596000000000001"/>
    <n v="1.8382000000000001"/>
  </r>
  <r>
    <n v="2303"/>
    <x v="0"/>
    <d v="2016-01-25T00:00:00"/>
    <x v="0"/>
    <x v="0"/>
    <n v="9.6548999999999996"/>
    <n v="9.8249999999999993"/>
    <n v="9.6123999999999992"/>
    <n v="9.74"/>
    <n v="22302"/>
    <n v="1.7622"/>
    <n v="2.2124000000000001"/>
  </r>
  <r>
    <n v="2330"/>
    <x v="1"/>
    <d v="2016-01-25T00:00:00"/>
    <x v="0"/>
    <x v="0"/>
    <n v="118.7953"/>
    <n v="118.7953"/>
    <n v="117.9468"/>
    <n v="118.3711"/>
    <n v="27213"/>
    <n v="0.71940000000000004"/>
    <n v="0.71940000000000004"/>
  </r>
  <r>
    <n v="2303"/>
    <x v="0"/>
    <d v="2016-01-26T00:00:00"/>
    <x v="1"/>
    <x v="0"/>
    <n v="9.7825000000000006"/>
    <n v="9.9526000000000003"/>
    <n v="9.6974"/>
    <n v="9.9526000000000003"/>
    <n v="43563"/>
    <n v="2.1598999999999999"/>
    <n v="2.6316000000000002"/>
  </r>
  <r>
    <n v="2330"/>
    <x v="1"/>
    <d v="2016-01-26T00:00:00"/>
    <x v="1"/>
    <x v="0"/>
    <n v="116.67400000000001"/>
    <n v="117.9468"/>
    <n v="116.2497"/>
    <n v="116.67400000000001"/>
    <n v="24102"/>
    <n v="-1.4440999999999999"/>
    <n v="1.4599"/>
  </r>
  <r>
    <n v="2303"/>
    <x v="0"/>
    <d v="2016-01-27T00:00:00"/>
    <x v="2"/>
    <x v="0"/>
    <n v="9.9952000000000005"/>
    <n v="10.037699999999999"/>
    <n v="9.8675999999999995"/>
    <n v="9.9526000000000003"/>
    <n v="22755"/>
    <n v="0"/>
    <n v="1.7241"/>
  </r>
  <r>
    <n v="2330"/>
    <x v="1"/>
    <d v="2016-01-27T00:00:00"/>
    <x v="2"/>
    <x v="0"/>
    <n v="117.9468"/>
    <n v="118.3711"/>
    <n v="117.52249999999999"/>
    <n v="118.3711"/>
    <n v="24547"/>
    <n v="1.4440999999999999"/>
    <n v="0.72199999999999998"/>
  </r>
  <r>
    <n v="2303"/>
    <x v="0"/>
    <d v="2016-01-28T00:00:00"/>
    <x v="3"/>
    <x v="0"/>
    <n v="10.250400000000001"/>
    <n v="10.930899999999999"/>
    <n v="10.250400000000001"/>
    <n v="10.845800000000001"/>
    <n v="205155"/>
    <n v="8.5942000000000007"/>
    <n v="6.6390000000000002"/>
  </r>
  <r>
    <n v="2330"/>
    <x v="1"/>
    <d v="2016-01-28T00:00:00"/>
    <x v="3"/>
    <x v="0"/>
    <n v="117.09820000000001"/>
    <n v="119.2196"/>
    <n v="117.09820000000001"/>
    <n v="118.7953"/>
    <n v="37913"/>
    <n v="0.35780000000000001"/>
    <n v="1.8116000000000001"/>
  </r>
  <r>
    <n v="2303"/>
    <x v="0"/>
    <d v="2016-01-29T00:00:00"/>
    <x v="4"/>
    <x v="0"/>
    <n v="10.930899999999999"/>
    <n v="10.9734"/>
    <n v="10.7182"/>
    <n v="10.930899999999999"/>
    <n v="89587"/>
    <n v="0.78129999999999999"/>
    <n v="2.3809999999999998"/>
  </r>
  <r>
    <n v="2330"/>
    <x v="1"/>
    <d v="2016-01-29T00:00:00"/>
    <x v="4"/>
    <x v="0"/>
    <n v="117.52249999999999"/>
    <n v="121.3409"/>
    <n v="117.09820000000001"/>
    <n v="121.3409"/>
    <n v="57557"/>
    <n v="2.1202000000000001"/>
    <n v="3.6232000000000002"/>
  </r>
  <r>
    <n v="2303"/>
    <x v="0"/>
    <d v="2016-01-30T00:00:00"/>
    <x v="5"/>
    <x v="0"/>
    <n v="10.930899999999999"/>
    <n v="10.9734"/>
    <n v="10.8033"/>
    <n v="10.845800000000001"/>
    <n v="17613"/>
    <n v="-0.78129999999999999"/>
    <n v="1.5748"/>
  </r>
  <r>
    <n v="2330"/>
    <x v="1"/>
    <d v="2016-01-30T00:00:00"/>
    <x v="5"/>
    <x v="0"/>
    <n v="120.91670000000001"/>
    <n v="121.3409"/>
    <n v="119.6439"/>
    <n v="120.4924"/>
    <n v="11865"/>
    <n v="-0.70179999999999998"/>
    <n v="1.4184000000000001"/>
  </r>
  <r>
    <n v="2303"/>
    <x v="0"/>
    <d v="2016-02-01T00:00:00"/>
    <x v="0"/>
    <x v="1"/>
    <n v="10.930899999999999"/>
    <n v="10.9734"/>
    <n v="10.8033"/>
    <n v="10.9734"/>
    <n v="41304"/>
    <n v="1.1696"/>
    <n v="1.5748"/>
  </r>
  <r>
    <n v="2330"/>
    <x v="1"/>
    <d v="2016-02-01T00:00:00"/>
    <x v="0"/>
    <x v="1"/>
    <n v="122.1895"/>
    <n v="122.1895"/>
    <n v="120.0681"/>
    <n v="122.1895"/>
    <n v="43828"/>
    <n v="1.3986000000000001"/>
    <n v="1.7667999999999999"/>
  </r>
  <r>
    <n v="2303"/>
    <x v="0"/>
    <d v="2016-02-02T00:00:00"/>
    <x v="1"/>
    <x v="1"/>
    <n v="10.9734"/>
    <n v="11.1435"/>
    <n v="10.888299999999999"/>
    <n v="11.1435"/>
    <n v="70066"/>
    <n v="1.5385"/>
    <n v="2.3437999999999999"/>
  </r>
  <r>
    <n v="2330"/>
    <x v="1"/>
    <d v="2016-02-02T00:00:00"/>
    <x v="1"/>
    <x v="1"/>
    <n v="122.1895"/>
    <n v="122.61369999999999"/>
    <n v="120.0681"/>
    <n v="120.91670000000001"/>
    <n v="25400"/>
    <n v="-1.0470999999999999"/>
    <n v="2.1200999999999999"/>
  </r>
  <r>
    <n v="2303"/>
    <x v="0"/>
    <d v="2016-02-03T00:00:00"/>
    <x v="2"/>
    <x v="1"/>
    <n v="11.0585"/>
    <n v="11.101000000000001"/>
    <n v="10.930899999999999"/>
    <n v="10.9734"/>
    <n v="30282"/>
    <n v="-1.5385"/>
    <n v="1.5564"/>
  </r>
  <r>
    <n v="2330"/>
    <x v="1"/>
    <d v="2016-02-03T00:00:00"/>
    <x v="2"/>
    <x v="1"/>
    <n v="123.038"/>
    <n v="123.8865"/>
    <n v="122.61369999999999"/>
    <n v="123.8865"/>
    <n v="71652"/>
    <n v="2.4264999999999999"/>
    <n v="1.0381"/>
  </r>
  <r>
    <n v="2303"/>
    <x v="0"/>
    <d v="2016-02-15T00:00:00"/>
    <x v="0"/>
    <x v="1"/>
    <n v="10.845800000000001"/>
    <n v="11.271100000000001"/>
    <n v="10.8033"/>
    <n v="11.2286"/>
    <n v="69373"/>
    <n v="2.2989999999999999"/>
    <n v="4.3307000000000002"/>
  </r>
  <r>
    <n v="2330"/>
    <x v="1"/>
    <d v="2016-02-15T00:00:00"/>
    <x v="0"/>
    <x v="1"/>
    <n v="120.4924"/>
    <n v="124.3108"/>
    <n v="120.4924"/>
    <n v="123.038"/>
    <n v="77064"/>
    <n v="-0.68730000000000002"/>
    <n v="3.169"/>
  </r>
  <r>
    <n v="2303"/>
    <x v="0"/>
    <d v="2016-02-16T00:00:00"/>
    <x v="1"/>
    <x v="1"/>
    <n v="11.1435"/>
    <n v="11.2286"/>
    <n v="11.0159"/>
    <n v="11.1861"/>
    <n v="28936"/>
    <n v="-0.3795"/>
    <n v="1.9305000000000001"/>
  </r>
  <r>
    <n v="2330"/>
    <x v="1"/>
    <d v="2016-02-16T00:00:00"/>
    <x v="1"/>
    <x v="1"/>
    <n v="123.8865"/>
    <n v="125.5836"/>
    <n v="123.4623"/>
    <n v="125.15940000000001"/>
    <n v="56361"/>
    <n v="1.7094"/>
    <n v="1.7181999999999999"/>
  </r>
  <r>
    <n v="2303"/>
    <x v="0"/>
    <d v="2016-02-17T00:00:00"/>
    <x v="2"/>
    <x v="1"/>
    <n v="11.1861"/>
    <n v="11.313700000000001"/>
    <n v="11.0585"/>
    <n v="11.271100000000001"/>
    <n v="36743"/>
    <n v="0.75760000000000005"/>
    <n v="2.3077000000000001"/>
  </r>
  <r>
    <n v="2330"/>
    <x v="1"/>
    <d v="2016-02-17T00:00:00"/>
    <x v="2"/>
    <x v="1"/>
    <n v="126.43219999999999"/>
    <n v="126.43219999999999"/>
    <n v="124.7351"/>
    <n v="125.5836"/>
    <n v="38486"/>
    <n v="0.33839999999999998"/>
    <n v="1.3605"/>
  </r>
  <r>
    <n v="2303"/>
    <x v="0"/>
    <d v="2016-02-18T00:00:00"/>
    <x v="3"/>
    <x v="1"/>
    <n v="11.3987"/>
    <n v="11.526300000000001"/>
    <n v="11.313700000000001"/>
    <n v="11.3987"/>
    <n v="63552"/>
    <n v="1.1256999999999999"/>
    <n v="1.8796999999999999"/>
  </r>
  <r>
    <n v="2330"/>
    <x v="1"/>
    <d v="2016-02-18T00:00:00"/>
    <x v="3"/>
    <x v="1"/>
    <n v="127.2807"/>
    <n v="128.1292"/>
    <n v="126.85639999999999"/>
    <n v="128.1292"/>
    <n v="61877"/>
    <n v="2.0068000000000001"/>
    <n v="1.0033000000000001"/>
  </r>
  <r>
    <n v="2303"/>
    <x v="0"/>
    <d v="2016-02-19T00:00:00"/>
    <x v="4"/>
    <x v="1"/>
    <n v="11.3987"/>
    <n v="11.4413"/>
    <n v="11.2286"/>
    <n v="11.2286"/>
    <n v="25996"/>
    <n v="-1.5038"/>
    <n v="1.8938999999999999"/>
  </r>
  <r>
    <n v="2330"/>
    <x v="1"/>
    <d v="2016-02-19T00:00:00"/>
    <x v="4"/>
    <x v="1"/>
    <n v="126.43219999999999"/>
    <n v="128.1292"/>
    <n v="126.43219999999999"/>
    <n v="128.1292"/>
    <n v="37444"/>
    <n v="0"/>
    <n v="1.3423"/>
  </r>
  <r>
    <n v="2303"/>
    <x v="0"/>
    <d v="2016-02-22T00:00:00"/>
    <x v="0"/>
    <x v="1"/>
    <n v="11.2286"/>
    <n v="11.356199999999999"/>
    <n v="11.1435"/>
    <n v="11.2286"/>
    <n v="24168"/>
    <n v="0"/>
    <n v="1.9084000000000001"/>
  </r>
  <r>
    <n v="2330"/>
    <x v="1"/>
    <d v="2016-02-22T00:00:00"/>
    <x v="0"/>
    <x v="1"/>
    <n v="126.85639999999999"/>
    <n v="129.40199999999999"/>
    <n v="126.85639999999999"/>
    <n v="128.1292"/>
    <n v="29751"/>
    <n v="0"/>
    <n v="2.0066999999999999"/>
  </r>
  <r>
    <n v="2303"/>
    <x v="0"/>
    <d v="2016-02-23T00:00:00"/>
    <x v="1"/>
    <x v="1"/>
    <n v="11.2286"/>
    <n v="11.313700000000001"/>
    <n v="11.1861"/>
    <n v="11.2286"/>
    <n v="27948"/>
    <n v="0"/>
    <n v="1.1407"/>
  </r>
  <r>
    <n v="2330"/>
    <x v="1"/>
    <d v="2016-02-23T00:00:00"/>
    <x v="1"/>
    <x v="1"/>
    <n v="127.705"/>
    <n v="128.1292"/>
    <n v="126.43219999999999"/>
    <n v="126.85639999999999"/>
    <n v="22500"/>
    <n v="-0.99829999999999997"/>
    <n v="1.3423"/>
  </r>
  <r>
    <n v="2303"/>
    <x v="0"/>
    <d v="2016-02-24T00:00:00"/>
    <x v="2"/>
    <x v="1"/>
    <n v="11.2286"/>
    <n v="11.313700000000001"/>
    <n v="11.101000000000001"/>
    <n v="11.2286"/>
    <n v="26021"/>
    <n v="0"/>
    <n v="1.9157"/>
  </r>
  <r>
    <n v="2330"/>
    <x v="1"/>
    <d v="2016-02-24T00:00:00"/>
    <x v="2"/>
    <x v="1"/>
    <n v="126.85639999999999"/>
    <n v="127.705"/>
    <n v="124.7351"/>
    <n v="125.5836"/>
    <n v="22082"/>
    <n v="-1.0084"/>
    <n v="2.3809999999999998"/>
  </r>
  <r>
    <n v="2303"/>
    <x v="0"/>
    <d v="2016-02-25T00:00:00"/>
    <x v="3"/>
    <x v="1"/>
    <n v="11.2286"/>
    <n v="11.313700000000001"/>
    <n v="11.1435"/>
    <n v="11.271100000000001"/>
    <n v="26704"/>
    <n v="0.37809999999999999"/>
    <n v="1.5266999999999999"/>
  </r>
  <r>
    <n v="2330"/>
    <x v="1"/>
    <d v="2016-02-25T00:00:00"/>
    <x v="3"/>
    <x v="1"/>
    <n v="126.43219999999999"/>
    <n v="128.1292"/>
    <n v="126.00790000000001"/>
    <n v="127.705"/>
    <n v="25233"/>
    <n v="1.6751"/>
    <n v="1.6835"/>
  </r>
  <r>
    <n v="2303"/>
    <x v="0"/>
    <d v="2016-02-26T00:00:00"/>
    <x v="4"/>
    <x v="1"/>
    <n v="11.313700000000001"/>
    <n v="11.4838"/>
    <n v="11.271100000000001"/>
    <n v="11.356199999999999"/>
    <n v="50549"/>
    <n v="0.75190000000000001"/>
    <n v="1.8868"/>
  </r>
  <r>
    <n v="2330"/>
    <x v="1"/>
    <d v="2016-02-26T00:00:00"/>
    <x v="4"/>
    <x v="1"/>
    <n v="128.1292"/>
    <n v="128.55350000000001"/>
    <n v="125.5836"/>
    <n v="126.43219999999999"/>
    <n v="46425"/>
    <n v="-1.0017"/>
    <n v="2.3649"/>
  </r>
  <r>
    <n v="2303"/>
    <x v="0"/>
    <d v="2016-03-01T00:00:00"/>
    <x v="1"/>
    <x v="2"/>
    <n v="11.356199999999999"/>
    <n v="11.4413"/>
    <n v="11.313700000000001"/>
    <n v="11.3987"/>
    <n v="31294"/>
    <n v="0.37380000000000002"/>
    <n v="1.1277999999999999"/>
  </r>
  <r>
    <n v="2330"/>
    <x v="1"/>
    <d v="2016-03-01T00:00:00"/>
    <x v="1"/>
    <x v="2"/>
    <n v="126.00790000000001"/>
    <n v="128.9778"/>
    <n v="126.00790000000001"/>
    <n v="128.9778"/>
    <n v="44046"/>
    <n v="1.9934000000000001"/>
    <n v="2.3569"/>
  </r>
  <r>
    <n v="2303"/>
    <x v="0"/>
    <d v="2016-03-02T00:00:00"/>
    <x v="2"/>
    <x v="2"/>
    <n v="11.4838"/>
    <n v="11.526300000000001"/>
    <n v="11.356199999999999"/>
    <n v="11.356199999999999"/>
    <n v="27153"/>
    <n v="-0.37380000000000002"/>
    <n v="1.4981"/>
  </r>
  <r>
    <n v="2330"/>
    <x v="1"/>
    <d v="2016-03-02T00:00:00"/>
    <x v="2"/>
    <x v="2"/>
    <n v="130.67490000000001"/>
    <n v="131.09909999999999"/>
    <n v="129.8263"/>
    <n v="129.8263"/>
    <n v="36101"/>
    <n v="0.65569999999999995"/>
    <n v="0.98040000000000005"/>
  </r>
  <r>
    <n v="2303"/>
    <x v="0"/>
    <d v="2016-03-03T00:00:00"/>
    <x v="3"/>
    <x v="2"/>
    <n v="11.356199999999999"/>
    <n v="11.4413"/>
    <n v="11.313700000000001"/>
    <n v="11.4413"/>
    <n v="30567"/>
    <n v="0.74629999999999996"/>
    <n v="1.1277999999999999"/>
  </r>
  <r>
    <n v="2330"/>
    <x v="1"/>
    <d v="2016-03-03T00:00:00"/>
    <x v="3"/>
    <x v="2"/>
    <n v="130.67490000000001"/>
    <n v="131.09909999999999"/>
    <n v="129.8263"/>
    <n v="130.67490000000001"/>
    <n v="28867"/>
    <n v="0.65149999999999997"/>
    <n v="0.98040000000000005"/>
  </r>
  <r>
    <n v="2303"/>
    <x v="0"/>
    <d v="2016-03-04T00:00:00"/>
    <x v="4"/>
    <x v="2"/>
    <n v="11.4413"/>
    <n v="11.4838"/>
    <n v="11.356199999999999"/>
    <n v="11.3987"/>
    <n v="30905"/>
    <n v="-0.37240000000000001"/>
    <n v="1.1235999999999999"/>
  </r>
  <r>
    <n v="2330"/>
    <x v="1"/>
    <d v="2016-03-04T00:00:00"/>
    <x v="4"/>
    <x v="2"/>
    <n v="129.8263"/>
    <n v="130.25059999999999"/>
    <n v="128.55350000000001"/>
    <n v="129.40199999999999"/>
    <n v="37794"/>
    <n v="-0.9788"/>
    <n v="1.3201000000000001"/>
  </r>
  <r>
    <n v="2303"/>
    <x v="0"/>
    <d v="2016-03-07T00:00:00"/>
    <x v="0"/>
    <x v="2"/>
    <n v="11.4413"/>
    <n v="11.4838"/>
    <n v="11.271100000000001"/>
    <n v="11.3987"/>
    <n v="29719"/>
    <n v="0"/>
    <n v="1.8868"/>
  </r>
  <r>
    <n v="2330"/>
    <x v="1"/>
    <d v="2016-03-07T00:00:00"/>
    <x v="0"/>
    <x v="2"/>
    <n v="129.40199999999999"/>
    <n v="130.25059999999999"/>
    <n v="128.1292"/>
    <n v="128.9778"/>
    <n v="24052"/>
    <n v="-0.32840000000000003"/>
    <n v="1.6556"/>
  </r>
  <r>
    <n v="2303"/>
    <x v="0"/>
    <d v="2016-03-08T00:00:00"/>
    <x v="1"/>
    <x v="2"/>
    <n v="11.356199999999999"/>
    <n v="11.3987"/>
    <n v="11.1435"/>
    <n v="11.2286"/>
    <n v="38388"/>
    <n v="-1.5038"/>
    <n v="2.2900999999999998"/>
  </r>
  <r>
    <n v="2330"/>
    <x v="1"/>
    <d v="2016-03-08T00:00:00"/>
    <x v="1"/>
    <x v="2"/>
    <n v="128.1292"/>
    <n v="128.9778"/>
    <n v="126.85639999999999"/>
    <n v="128.9778"/>
    <n v="40643"/>
    <n v="0"/>
    <n v="1.6721999999999999"/>
  </r>
  <r>
    <n v="2303"/>
    <x v="0"/>
    <d v="2016-03-09T00:00:00"/>
    <x v="2"/>
    <x v="2"/>
    <n v="11.2286"/>
    <n v="11.2286"/>
    <n v="10.9734"/>
    <n v="10.9734"/>
    <n v="29306"/>
    <n v="-2.2989999999999999"/>
    <n v="2.3256000000000001"/>
  </r>
  <r>
    <n v="2330"/>
    <x v="1"/>
    <d v="2016-03-09T00:00:00"/>
    <x v="2"/>
    <x v="2"/>
    <n v="128.9778"/>
    <n v="129.8263"/>
    <n v="127.705"/>
    <n v="129.8263"/>
    <n v="24634"/>
    <n v="0.65569999999999995"/>
    <n v="1.6611"/>
  </r>
  <r>
    <n v="2303"/>
    <x v="0"/>
    <d v="2016-03-10T00:00:00"/>
    <x v="3"/>
    <x v="2"/>
    <n v="11.0159"/>
    <n v="11.3987"/>
    <n v="11.0159"/>
    <n v="11.1861"/>
    <n v="51489"/>
    <n v="1.9194"/>
    <n v="3.4748999999999999"/>
  </r>
  <r>
    <n v="2330"/>
    <x v="1"/>
    <d v="2016-03-10T00:00:00"/>
    <x v="3"/>
    <x v="2"/>
    <n v="129.8263"/>
    <n v="131.09909999999999"/>
    <n v="128.55350000000001"/>
    <n v="131.09909999999999"/>
    <n v="31343"/>
    <n v="0.97560000000000002"/>
    <n v="1.9802"/>
  </r>
  <r>
    <n v="2303"/>
    <x v="0"/>
    <d v="2016-03-11T00:00:00"/>
    <x v="4"/>
    <x v="2"/>
    <n v="11.1861"/>
    <n v="11.271100000000001"/>
    <n v="11.101000000000001"/>
    <n v="11.271100000000001"/>
    <n v="28372"/>
    <n v="0.75760000000000005"/>
    <n v="1.5326"/>
  </r>
  <r>
    <n v="2330"/>
    <x v="1"/>
    <d v="2016-03-11T00:00:00"/>
    <x v="4"/>
    <x v="2"/>
    <n v="131.09909999999999"/>
    <n v="131.52340000000001"/>
    <n v="129.8263"/>
    <n v="131.52340000000001"/>
    <n v="31297"/>
    <n v="0.3231"/>
    <n v="1.3071999999999999"/>
  </r>
  <r>
    <n v="2303"/>
    <x v="0"/>
    <d v="2016-03-14T00:00:00"/>
    <x v="0"/>
    <x v="2"/>
    <n v="11.313700000000001"/>
    <n v="11.3987"/>
    <n v="11.313700000000001"/>
    <n v="11.3987"/>
    <n v="29655"/>
    <n v="1.1256999999999999"/>
    <n v="0.75190000000000001"/>
  </r>
  <r>
    <n v="2330"/>
    <x v="1"/>
    <d v="2016-03-14T00:00:00"/>
    <x v="0"/>
    <x v="2"/>
    <n v="132.7962"/>
    <n v="133.6447"/>
    <n v="131.9477"/>
    <n v="132.37190000000001"/>
    <n v="32987"/>
    <n v="0.6431"/>
    <n v="1.2862"/>
  </r>
  <r>
    <n v="2303"/>
    <x v="0"/>
    <d v="2016-03-15T00:00:00"/>
    <x v="1"/>
    <x v="2"/>
    <n v="11.3987"/>
    <n v="11.3987"/>
    <n v="11.1435"/>
    <n v="11.271100000000001"/>
    <n v="28124"/>
    <n v="-1.1256999999999999"/>
    <n v="2.2900999999999998"/>
  </r>
  <r>
    <n v="2330"/>
    <x v="1"/>
    <d v="2016-03-15T00:00:00"/>
    <x v="1"/>
    <x v="2"/>
    <n v="131.52340000000001"/>
    <n v="132.7962"/>
    <n v="129.8263"/>
    <n v="131.09909999999999"/>
    <n v="29437"/>
    <n v="-0.96619999999999995"/>
    <n v="2.2875999999999999"/>
  </r>
  <r>
    <n v="2303"/>
    <x v="0"/>
    <d v="2016-03-16T00:00:00"/>
    <x v="2"/>
    <x v="2"/>
    <n v="11.271100000000001"/>
    <n v="11.356199999999999"/>
    <n v="11.2286"/>
    <n v="11.271100000000001"/>
    <n v="15550"/>
    <n v="0"/>
    <n v="1.1364000000000001"/>
  </r>
  <r>
    <n v="2330"/>
    <x v="1"/>
    <d v="2016-03-16T00:00:00"/>
    <x v="2"/>
    <x v="2"/>
    <n v="131.9477"/>
    <n v="132.37190000000001"/>
    <n v="130.67490000000001"/>
    <n v="132.37190000000001"/>
    <n v="31126"/>
    <n v="0.96619999999999995"/>
    <n v="1.2987"/>
  </r>
  <r>
    <n v="2303"/>
    <x v="0"/>
    <d v="2016-03-17T00:00:00"/>
    <x v="3"/>
    <x v="2"/>
    <n v="11.4413"/>
    <n v="11.4838"/>
    <n v="11.271100000000001"/>
    <n v="11.313700000000001"/>
    <n v="31027"/>
    <n v="0.37659999999999999"/>
    <n v="1.8868"/>
  </r>
  <r>
    <n v="2330"/>
    <x v="1"/>
    <d v="2016-03-17T00:00:00"/>
    <x v="3"/>
    <x v="2"/>
    <n v="135.34180000000001"/>
    <n v="135.76609999999999"/>
    <n v="133.6447"/>
    <n v="134.4933"/>
    <n v="52228"/>
    <n v="1.5899000000000001"/>
    <n v="1.5872999999999999"/>
  </r>
  <r>
    <n v="2303"/>
    <x v="0"/>
    <d v="2016-03-18T00:00:00"/>
    <x v="4"/>
    <x v="2"/>
    <n v="11.313700000000001"/>
    <n v="11.3987"/>
    <n v="11.2286"/>
    <n v="11.313700000000001"/>
    <n v="46190"/>
    <n v="0"/>
    <n v="1.5152000000000001"/>
  </r>
  <r>
    <n v="2330"/>
    <x v="1"/>
    <d v="2016-03-18T00:00:00"/>
    <x v="4"/>
    <x v="2"/>
    <n v="134.4933"/>
    <n v="135.34180000000001"/>
    <n v="134.4933"/>
    <n v="135.34180000000001"/>
    <n v="57866"/>
    <n v="0.62890000000000001"/>
    <n v="0.63090000000000002"/>
  </r>
  <r>
    <n v="2303"/>
    <x v="0"/>
    <d v="2016-03-21T00:00:00"/>
    <x v="0"/>
    <x v="2"/>
    <n v="11.313700000000001"/>
    <n v="11.356199999999999"/>
    <n v="11.2286"/>
    <n v="11.356199999999999"/>
    <n v="13206"/>
    <n v="0.37519999999999998"/>
    <n v="1.1364000000000001"/>
  </r>
  <r>
    <n v="2330"/>
    <x v="1"/>
    <d v="2016-03-21T00:00:00"/>
    <x v="0"/>
    <x v="2"/>
    <n v="135.76609999999999"/>
    <n v="135.76609999999999"/>
    <n v="134.06899999999999"/>
    <n v="135.76609999999999"/>
    <n v="27687"/>
    <n v="0.313"/>
    <n v="1.2658"/>
  </r>
  <r>
    <n v="2303"/>
    <x v="0"/>
    <d v="2016-03-22T00:00:00"/>
    <x v="1"/>
    <x v="2"/>
    <n v="11.3987"/>
    <n v="11.3987"/>
    <n v="11.1435"/>
    <n v="11.313700000000001"/>
    <n v="22854"/>
    <n v="-0.37519999999999998"/>
    <n v="2.2900999999999998"/>
  </r>
  <r>
    <n v="2330"/>
    <x v="1"/>
    <d v="2016-03-22T00:00:00"/>
    <x v="1"/>
    <x v="2"/>
    <n v="135.34180000000001"/>
    <n v="135.34180000000001"/>
    <n v="133.22049999999999"/>
    <n v="134.4933"/>
    <n v="29303"/>
    <n v="-0.94189999999999996"/>
    <n v="1.5924"/>
  </r>
  <r>
    <n v="2303"/>
    <x v="0"/>
    <d v="2016-03-23T00:00:00"/>
    <x v="2"/>
    <x v="2"/>
    <n v="11.313700000000001"/>
    <n v="11.356199999999999"/>
    <n v="11.1861"/>
    <n v="11.2286"/>
    <n v="13796"/>
    <n v="-0.75470000000000004"/>
    <n v="1.5208999999999999"/>
  </r>
  <r>
    <n v="2330"/>
    <x v="1"/>
    <d v="2016-03-23T00:00:00"/>
    <x v="2"/>
    <x v="2"/>
    <n v="134.4933"/>
    <n v="135.34180000000001"/>
    <n v="134.06899999999999"/>
    <n v="135.34180000000001"/>
    <n v="29439"/>
    <n v="0.62890000000000001"/>
    <n v="0.94940000000000002"/>
  </r>
  <r>
    <n v="2303"/>
    <x v="0"/>
    <d v="2016-03-24T00:00:00"/>
    <x v="3"/>
    <x v="2"/>
    <n v="11.2286"/>
    <n v="11.3987"/>
    <n v="11.1435"/>
    <n v="11.271100000000001"/>
    <n v="24113"/>
    <n v="0.37809999999999999"/>
    <n v="2.2900999999999998"/>
  </r>
  <r>
    <n v="2330"/>
    <x v="1"/>
    <d v="2016-03-24T00:00:00"/>
    <x v="3"/>
    <x v="2"/>
    <n v="134.06899999999999"/>
    <n v="134.91749999999999"/>
    <n v="133.22049999999999"/>
    <n v="134.4933"/>
    <n v="25198"/>
    <n v="-0.62890000000000001"/>
    <n v="1.2739"/>
  </r>
  <r>
    <n v="2303"/>
    <x v="0"/>
    <d v="2016-03-25T00:00:00"/>
    <x v="4"/>
    <x v="2"/>
    <n v="11.271100000000001"/>
    <n v="11.313700000000001"/>
    <n v="11.1435"/>
    <n v="11.1435"/>
    <n v="8084"/>
    <n v="-1.1385000000000001"/>
    <n v="1.5266999999999999"/>
  </r>
  <r>
    <n v="2330"/>
    <x v="1"/>
    <d v="2016-03-25T00:00:00"/>
    <x v="4"/>
    <x v="2"/>
    <n v="134.4933"/>
    <n v="134.91749999999999"/>
    <n v="133.22049999999999"/>
    <n v="134.06899999999999"/>
    <n v="10970"/>
    <n v="-0.316"/>
    <n v="1.2739"/>
  </r>
  <r>
    <n v="2303"/>
    <x v="0"/>
    <d v="2016-03-28T00:00:00"/>
    <x v="0"/>
    <x v="2"/>
    <n v="11.1435"/>
    <n v="11.1861"/>
    <n v="11.101000000000001"/>
    <n v="11.1435"/>
    <n v="15699"/>
    <n v="0"/>
    <n v="0.76629999999999998"/>
  </r>
  <r>
    <n v="2330"/>
    <x v="1"/>
    <d v="2016-03-28T00:00:00"/>
    <x v="0"/>
    <x v="2"/>
    <n v="134.06899999999999"/>
    <n v="134.91749999999999"/>
    <n v="133.22049999999999"/>
    <n v="134.91749999999999"/>
    <n v="15857"/>
    <n v="0.63090000000000002"/>
    <n v="1.2739"/>
  </r>
  <r>
    <n v="2303"/>
    <x v="0"/>
    <d v="2016-03-29T00:00:00"/>
    <x v="1"/>
    <x v="2"/>
    <n v="11.1435"/>
    <n v="11.1861"/>
    <n v="10.9734"/>
    <n v="10.9734"/>
    <n v="16811"/>
    <n v="-1.5385"/>
    <n v="1.9379999999999999"/>
  </r>
  <r>
    <n v="2330"/>
    <x v="1"/>
    <d v="2016-03-29T00:00:00"/>
    <x v="1"/>
    <x v="2"/>
    <n v="134.4933"/>
    <n v="135.34180000000001"/>
    <n v="134.06899999999999"/>
    <n v="134.91749999999999"/>
    <n v="19152"/>
    <n v="0"/>
    <n v="0.94940000000000002"/>
  </r>
  <r>
    <n v="2303"/>
    <x v="0"/>
    <d v="2016-03-30T00:00:00"/>
    <x v="2"/>
    <x v="2"/>
    <n v="11.0585"/>
    <n v="11.271100000000001"/>
    <n v="11.0159"/>
    <n v="11.271100000000001"/>
    <n v="41341"/>
    <n v="2.677"/>
    <n v="2.3166000000000002"/>
  </r>
  <r>
    <n v="2330"/>
    <x v="1"/>
    <d v="2016-03-30T00:00:00"/>
    <x v="2"/>
    <x v="2"/>
    <n v="134.4933"/>
    <n v="137.4632"/>
    <n v="134.4933"/>
    <n v="137.03890000000001"/>
    <n v="46113"/>
    <n v="1.5601"/>
    <n v="2.2082000000000002"/>
  </r>
  <r>
    <n v="2303"/>
    <x v="0"/>
    <d v="2016-03-31T00:00:00"/>
    <x v="3"/>
    <x v="2"/>
    <n v="11.271100000000001"/>
    <n v="11.313700000000001"/>
    <n v="11.2286"/>
    <n v="11.313700000000001"/>
    <n v="41615"/>
    <n v="0.37659999999999999"/>
    <n v="0.75760000000000005"/>
  </r>
  <r>
    <n v="2330"/>
    <x v="1"/>
    <d v="2016-03-31T00:00:00"/>
    <x v="3"/>
    <x v="2"/>
    <n v="137.4632"/>
    <n v="138.3117"/>
    <n v="134.91749999999999"/>
    <n v="137.4632"/>
    <n v="54094"/>
    <n v="0.30909999999999999"/>
    <n v="2.5156999999999998"/>
  </r>
  <r>
    <n v="2303"/>
    <x v="0"/>
    <d v="2016-04-01T00:00:00"/>
    <x v="4"/>
    <x v="3"/>
    <n v="11.1861"/>
    <n v="11.313700000000001"/>
    <n v="11.0585"/>
    <n v="11.1861"/>
    <n v="23276"/>
    <n v="-1.1342000000000001"/>
    <n v="2.3077000000000001"/>
  </r>
  <r>
    <n v="2330"/>
    <x v="1"/>
    <d v="2016-04-01T00:00:00"/>
    <x v="4"/>
    <x v="3"/>
    <n v="136.6146"/>
    <n v="136.6146"/>
    <n v="133.6447"/>
    <n v="134.4933"/>
    <n v="34544"/>
    <n v="-2.1842000000000001"/>
    <n v="2.2222"/>
  </r>
  <r>
    <n v="2303"/>
    <x v="0"/>
    <d v="2016-04-06T00:00:00"/>
    <x v="2"/>
    <x v="3"/>
    <n v="11.0585"/>
    <n v="11.101000000000001"/>
    <n v="10.845800000000001"/>
    <n v="10.845800000000001"/>
    <n v="33869"/>
    <n v="-3.089"/>
    <n v="2.3529"/>
  </r>
  <r>
    <n v="2330"/>
    <x v="1"/>
    <d v="2016-04-06T00:00:00"/>
    <x v="2"/>
    <x v="3"/>
    <n v="131.9477"/>
    <n v="132.37190000000001"/>
    <n v="130.25059999999999"/>
    <n v="130.25059999999999"/>
    <n v="63133"/>
    <n v="-3.2054"/>
    <n v="1.6287"/>
  </r>
  <r>
    <n v="2303"/>
    <x v="0"/>
    <d v="2016-04-07T00:00:00"/>
    <x v="3"/>
    <x v="3"/>
    <n v="10.845800000000001"/>
    <n v="10.930899999999999"/>
    <n v="10.5906"/>
    <n v="10.7182"/>
    <n v="51115"/>
    <n v="-1.1834"/>
    <n v="3.2128999999999999"/>
  </r>
  <r>
    <n v="2330"/>
    <x v="1"/>
    <d v="2016-04-07T00:00:00"/>
    <x v="3"/>
    <x v="3"/>
    <n v="131.52340000000001"/>
    <n v="131.52340000000001"/>
    <n v="129.40199999999999"/>
    <n v="131.09909999999999"/>
    <n v="35933"/>
    <n v="0.64939999999999998"/>
    <n v="1.6393"/>
  </r>
  <r>
    <n v="2303"/>
    <x v="0"/>
    <d v="2016-04-08T00:00:00"/>
    <x v="4"/>
    <x v="3"/>
    <n v="10.633100000000001"/>
    <n v="10.845800000000001"/>
    <n v="10.5906"/>
    <n v="10.845800000000001"/>
    <n v="50652"/>
    <n v="1.1834"/>
    <n v="2.4096000000000002"/>
  </r>
  <r>
    <n v="2330"/>
    <x v="1"/>
    <d v="2016-04-08T00:00:00"/>
    <x v="4"/>
    <x v="3"/>
    <n v="130.67490000000001"/>
    <n v="134.06899999999999"/>
    <n v="130.67490000000001"/>
    <n v="133.6447"/>
    <n v="42324"/>
    <n v="1.9231"/>
    <n v="2.5973999999999999"/>
  </r>
  <r>
    <n v="2303"/>
    <x v="0"/>
    <d v="2016-04-11T00:00:00"/>
    <x v="0"/>
    <x v="3"/>
    <n v="10.7607"/>
    <n v="10.8033"/>
    <n v="10.5906"/>
    <n v="10.7182"/>
    <n v="30621"/>
    <n v="-1.1834"/>
    <n v="2.008"/>
  </r>
  <r>
    <n v="2330"/>
    <x v="1"/>
    <d v="2016-04-11T00:00:00"/>
    <x v="0"/>
    <x v="3"/>
    <n v="132.37190000000001"/>
    <n v="134.91749999999999"/>
    <n v="131.9477"/>
    <n v="134.4933"/>
    <n v="23189"/>
    <n v="0.63290000000000002"/>
    <n v="2.2507999999999999"/>
  </r>
  <r>
    <n v="2303"/>
    <x v="0"/>
    <d v="2016-04-12T00:00:00"/>
    <x v="1"/>
    <x v="3"/>
    <n v="10.8033"/>
    <n v="11.0585"/>
    <n v="10.7607"/>
    <n v="10.9734"/>
    <n v="38186"/>
    <n v="2.3530000000000002"/>
    <n v="2.7667999999999999"/>
  </r>
  <r>
    <n v="2330"/>
    <x v="1"/>
    <d v="2016-04-12T00:00:00"/>
    <x v="1"/>
    <x v="3"/>
    <n v="133.6447"/>
    <n v="135.34180000000001"/>
    <n v="133.6447"/>
    <n v="134.4933"/>
    <n v="14877"/>
    <n v="0"/>
    <n v="1.2698"/>
  </r>
  <r>
    <n v="2303"/>
    <x v="0"/>
    <d v="2016-04-13T00:00:00"/>
    <x v="2"/>
    <x v="3"/>
    <n v="10.9734"/>
    <n v="10.9734"/>
    <n v="10.8033"/>
    <n v="10.9734"/>
    <n v="33634"/>
    <n v="0"/>
    <n v="1.5748"/>
  </r>
  <r>
    <n v="2330"/>
    <x v="1"/>
    <d v="2016-04-13T00:00:00"/>
    <x v="2"/>
    <x v="3"/>
    <n v="135.76609999999999"/>
    <n v="137.4632"/>
    <n v="135.34180000000001"/>
    <n v="137.03890000000001"/>
    <n v="40333"/>
    <n v="1.8751"/>
    <n v="1.5673999999999999"/>
  </r>
  <r>
    <n v="2303"/>
    <x v="0"/>
    <d v="2016-04-14T00:00:00"/>
    <x v="3"/>
    <x v="3"/>
    <n v="10.930899999999999"/>
    <n v="10.9734"/>
    <n v="10.845800000000001"/>
    <n v="10.930899999999999"/>
    <n v="36915"/>
    <n v="-0.38840000000000002"/>
    <n v="1.1765000000000001"/>
  </r>
  <r>
    <n v="2330"/>
    <x v="1"/>
    <d v="2016-04-14T00:00:00"/>
    <x v="3"/>
    <x v="3"/>
    <n v="137.4632"/>
    <n v="137.88740000000001"/>
    <n v="135.76609999999999"/>
    <n v="137.03890000000001"/>
    <n v="31377"/>
    <n v="0"/>
    <n v="1.5625"/>
  </r>
  <r>
    <n v="2303"/>
    <x v="0"/>
    <d v="2016-04-15T00:00:00"/>
    <x v="4"/>
    <x v="3"/>
    <n v="10.845800000000001"/>
    <n v="10.930899999999999"/>
    <n v="10.7607"/>
    <n v="10.930899999999999"/>
    <n v="33087"/>
    <n v="0"/>
    <n v="1.581"/>
  </r>
  <r>
    <n v="2330"/>
    <x v="1"/>
    <d v="2016-04-15T00:00:00"/>
    <x v="4"/>
    <x v="3"/>
    <n v="133.22049999999999"/>
    <n v="135.76609999999999"/>
    <n v="132.37190000000001"/>
    <n v="135.34180000000001"/>
    <n v="50339"/>
    <n v="-1.2461"/>
    <n v="2.5640999999999998"/>
  </r>
  <r>
    <n v="2303"/>
    <x v="0"/>
    <d v="2016-04-18T00:00:00"/>
    <x v="0"/>
    <x v="3"/>
    <n v="10.9734"/>
    <n v="11.1435"/>
    <n v="10.930899999999999"/>
    <n v="10.9734"/>
    <n v="46407"/>
    <n v="0.38840000000000002"/>
    <n v="1.9455"/>
  </r>
  <r>
    <n v="2330"/>
    <x v="1"/>
    <d v="2016-04-18T00:00:00"/>
    <x v="0"/>
    <x v="3"/>
    <n v="134.06899999999999"/>
    <n v="134.4933"/>
    <n v="133.6447"/>
    <n v="134.06899999999999"/>
    <n v="20876"/>
    <n v="-0.94489999999999996"/>
    <n v="0.63490000000000002"/>
  </r>
  <r>
    <n v="2303"/>
    <x v="0"/>
    <d v="2016-04-19T00:00:00"/>
    <x v="1"/>
    <x v="3"/>
    <n v="11.0585"/>
    <n v="11.0585"/>
    <n v="10.7607"/>
    <n v="10.7607"/>
    <n v="24863"/>
    <n v="-1.9570000000000001"/>
    <n v="2.7667999999999999"/>
  </r>
  <r>
    <n v="2330"/>
    <x v="1"/>
    <d v="2016-04-19T00:00:00"/>
    <x v="1"/>
    <x v="3"/>
    <n v="135.76609999999999"/>
    <n v="136.6146"/>
    <n v="133.22049999999999"/>
    <n v="133.6447"/>
    <n v="27622"/>
    <n v="-0.317"/>
    <n v="2.5478000000000001"/>
  </r>
  <r>
    <n v="2303"/>
    <x v="0"/>
    <d v="2016-04-20T00:00:00"/>
    <x v="2"/>
    <x v="3"/>
    <n v="10.8033"/>
    <n v="10.888299999999999"/>
    <n v="10.7182"/>
    <n v="10.7182"/>
    <n v="30777"/>
    <n v="-0.39600000000000002"/>
    <n v="1.5872999999999999"/>
  </r>
  <r>
    <n v="2330"/>
    <x v="1"/>
    <d v="2016-04-20T00:00:00"/>
    <x v="2"/>
    <x v="3"/>
    <n v="133.6447"/>
    <n v="134.06899999999999"/>
    <n v="130.67490000000001"/>
    <n v="130.67490000000001"/>
    <n v="43418"/>
    <n v="-2.2473000000000001"/>
    <n v="2.5973999999999999"/>
  </r>
  <r>
    <n v="2303"/>
    <x v="0"/>
    <d v="2016-04-21T00:00:00"/>
    <x v="3"/>
    <x v="3"/>
    <n v="10.7182"/>
    <n v="10.8033"/>
    <n v="10.633100000000001"/>
    <n v="10.675700000000001"/>
    <n v="21954"/>
    <n v="-0.39760000000000001"/>
    <n v="1.6"/>
  </r>
  <r>
    <n v="2330"/>
    <x v="1"/>
    <d v="2016-04-21T00:00:00"/>
    <x v="3"/>
    <x v="3"/>
    <n v="132.37190000000001"/>
    <n v="133.22049999999999"/>
    <n v="130.67490000000001"/>
    <n v="133.22049999999999"/>
    <n v="30419"/>
    <n v="1.9293"/>
    <n v="1.9480999999999999"/>
  </r>
  <r>
    <n v="2303"/>
    <x v="0"/>
    <d v="2016-04-22T00:00:00"/>
    <x v="4"/>
    <x v="3"/>
    <n v="10.633100000000001"/>
    <n v="10.845800000000001"/>
    <n v="10.5906"/>
    <n v="10.8033"/>
    <n v="26274"/>
    <n v="1.1880999999999999"/>
    <n v="2.4096000000000002"/>
  </r>
  <r>
    <n v="2330"/>
    <x v="1"/>
    <d v="2016-04-22T00:00:00"/>
    <x v="4"/>
    <x v="3"/>
    <n v="131.9477"/>
    <n v="134.06899999999999"/>
    <n v="131.52340000000001"/>
    <n v="132.7962"/>
    <n v="29237"/>
    <n v="-0.31900000000000001"/>
    <n v="1.9355"/>
  </r>
  <r>
    <n v="2303"/>
    <x v="0"/>
    <d v="2016-04-25T00:00:00"/>
    <x v="0"/>
    <x v="3"/>
    <n v="10.8033"/>
    <n v="10.845800000000001"/>
    <n v="10.7182"/>
    <n v="10.8033"/>
    <n v="10877"/>
    <n v="0"/>
    <n v="1.1904999999999999"/>
  </r>
  <r>
    <n v="2330"/>
    <x v="1"/>
    <d v="2016-04-25T00:00:00"/>
    <x v="0"/>
    <x v="3"/>
    <n v="132.7962"/>
    <n v="133.6447"/>
    <n v="132.37190000000001"/>
    <n v="133.6447"/>
    <n v="14669"/>
    <n v="0.63690000000000002"/>
    <n v="0.96150000000000002"/>
  </r>
  <r>
    <n v="2303"/>
    <x v="0"/>
    <d v="2016-04-26T00:00:00"/>
    <x v="1"/>
    <x v="3"/>
    <n v="10.7182"/>
    <n v="10.845800000000001"/>
    <n v="10.675700000000001"/>
    <n v="10.8033"/>
    <n v="27758"/>
    <n v="0"/>
    <n v="1.5935999999999999"/>
  </r>
  <r>
    <n v="2330"/>
    <x v="1"/>
    <d v="2016-04-26T00:00:00"/>
    <x v="1"/>
    <x v="3"/>
    <n v="132.7962"/>
    <n v="134.4933"/>
    <n v="132.7962"/>
    <n v="134.06899999999999"/>
    <n v="18539"/>
    <n v="0.317"/>
    <n v="1.278"/>
  </r>
  <r>
    <n v="2303"/>
    <x v="0"/>
    <d v="2016-04-27T00:00:00"/>
    <x v="2"/>
    <x v="3"/>
    <n v="10.7182"/>
    <n v="10.7607"/>
    <n v="10.633100000000001"/>
    <n v="10.675700000000001"/>
    <n v="30163"/>
    <n v="-1.1880999999999999"/>
    <n v="1.2"/>
  </r>
  <r>
    <n v="2330"/>
    <x v="1"/>
    <d v="2016-04-27T00:00:00"/>
    <x v="2"/>
    <x v="3"/>
    <n v="132.37190000000001"/>
    <n v="133.6447"/>
    <n v="131.9477"/>
    <n v="132.7962"/>
    <n v="36967"/>
    <n v="-0.95389999999999997"/>
    <n v="1.2862"/>
  </r>
  <r>
    <n v="2303"/>
    <x v="0"/>
    <d v="2016-04-28T00:00:00"/>
    <x v="3"/>
    <x v="3"/>
    <n v="10.5906"/>
    <n v="10.5906"/>
    <n v="10.0802"/>
    <n v="10.207800000000001"/>
    <n v="101651"/>
    <n v="-4.4813999999999998"/>
    <n v="5.0632999999999999"/>
  </r>
  <r>
    <n v="2330"/>
    <x v="1"/>
    <d v="2016-04-28T00:00:00"/>
    <x v="3"/>
    <x v="3"/>
    <n v="133.6447"/>
    <n v="134.06899999999999"/>
    <n v="129.8263"/>
    <n v="129.8263"/>
    <n v="49282"/>
    <n v="-2.2618"/>
    <n v="3.2679999999999998"/>
  </r>
  <r>
    <n v="2303"/>
    <x v="0"/>
    <d v="2016-04-29T00:00:00"/>
    <x v="4"/>
    <x v="3"/>
    <n v="10.1228"/>
    <n v="10.207800000000001"/>
    <n v="10.0802"/>
    <n v="10.207800000000001"/>
    <n v="36442"/>
    <n v="0"/>
    <n v="1.2658"/>
  </r>
  <r>
    <n v="2330"/>
    <x v="1"/>
    <d v="2016-04-29T00:00:00"/>
    <x v="4"/>
    <x v="3"/>
    <n v="128.1292"/>
    <n v="128.1292"/>
    <n v="126.43219999999999"/>
    <n v="127.2807"/>
    <n v="75959"/>
    <n v="-1.9802999999999999"/>
    <n v="1.3423"/>
  </r>
  <r>
    <n v="2303"/>
    <x v="0"/>
    <d v="2016-05-03T00:00:00"/>
    <x v="1"/>
    <x v="4"/>
    <n v="10.1228"/>
    <n v="10.1653"/>
    <n v="9.8675999999999995"/>
    <n v="9.9100999999999999"/>
    <n v="39129"/>
    <n v="-2.96"/>
    <n v="3.0171999999999999"/>
  </r>
  <r>
    <n v="2330"/>
    <x v="1"/>
    <d v="2016-05-03T00:00:00"/>
    <x v="1"/>
    <x v="4"/>
    <n v="125.5836"/>
    <n v="126.00790000000001"/>
    <n v="124.3108"/>
    <n v="125.15940000000001"/>
    <n v="68909"/>
    <n v="-1.6807000000000001"/>
    <n v="1.3652"/>
  </r>
  <r>
    <n v="2303"/>
    <x v="0"/>
    <d v="2016-05-04T00:00:00"/>
    <x v="2"/>
    <x v="4"/>
    <n v="9.8249999999999993"/>
    <n v="9.8675999999999995"/>
    <n v="9.6548999999999996"/>
    <n v="9.74"/>
    <n v="60940"/>
    <n v="-1.7316"/>
    <n v="2.2025999999999999"/>
  </r>
  <r>
    <n v="2330"/>
    <x v="1"/>
    <d v="2016-05-04T00:00:00"/>
    <x v="2"/>
    <x v="4"/>
    <n v="124.7351"/>
    <n v="126.43219999999999"/>
    <n v="124.3108"/>
    <n v="124.7351"/>
    <n v="55586"/>
    <n v="-0.33960000000000001"/>
    <n v="1.7064999999999999"/>
  </r>
  <r>
    <n v="2303"/>
    <x v="0"/>
    <d v="2016-05-05T00:00:00"/>
    <x v="3"/>
    <x v="4"/>
    <n v="9.6974"/>
    <n v="9.74"/>
    <n v="9.5698000000000008"/>
    <n v="9.6123999999999992"/>
    <n v="48217"/>
    <n v="-1.3187"/>
    <n v="1.7778"/>
  </r>
  <r>
    <n v="2330"/>
    <x v="1"/>
    <d v="2016-05-05T00:00:00"/>
    <x v="3"/>
    <x v="4"/>
    <n v="125.15940000000001"/>
    <n v="126.00790000000001"/>
    <n v="123.8865"/>
    <n v="125.15940000000001"/>
    <n v="40687"/>
    <n v="0.33960000000000001"/>
    <n v="1.7122999999999999"/>
  </r>
  <r>
    <n v="2303"/>
    <x v="0"/>
    <d v="2016-05-06T00:00:00"/>
    <x v="4"/>
    <x v="4"/>
    <n v="9.6123999999999992"/>
    <n v="9.6548999999999996"/>
    <n v="9.5273000000000003"/>
    <n v="9.6123999999999992"/>
    <n v="41375"/>
    <n v="0"/>
    <n v="1.3392999999999999"/>
  </r>
  <r>
    <n v="2330"/>
    <x v="1"/>
    <d v="2016-05-06T00:00:00"/>
    <x v="4"/>
    <x v="4"/>
    <n v="126.00790000000001"/>
    <n v="126.00790000000001"/>
    <n v="124.7351"/>
    <n v="125.5836"/>
    <n v="39401"/>
    <n v="0.33839999999999998"/>
    <n v="1.0204"/>
  </r>
  <r>
    <n v="2303"/>
    <x v="0"/>
    <d v="2016-05-09T00:00:00"/>
    <x v="0"/>
    <x v="4"/>
    <n v="9.6123999999999992"/>
    <n v="9.6548999999999996"/>
    <n v="9.4847999999999999"/>
    <n v="9.5698000000000008"/>
    <n v="21307"/>
    <n v="-0.44350000000000001"/>
    <n v="1.7937000000000001"/>
  </r>
  <r>
    <n v="2330"/>
    <x v="1"/>
    <d v="2016-05-09T00:00:00"/>
    <x v="0"/>
    <x v="4"/>
    <n v="126.00790000000001"/>
    <n v="126.43219999999999"/>
    <n v="124.3108"/>
    <n v="125.15940000000001"/>
    <n v="39783"/>
    <n v="-0.33839999999999998"/>
    <n v="1.7064999999999999"/>
  </r>
  <r>
    <n v="2303"/>
    <x v="0"/>
    <d v="2016-05-10T00:00:00"/>
    <x v="1"/>
    <x v="4"/>
    <n v="9.5273000000000003"/>
    <n v="9.6548999999999996"/>
    <n v="9.4847999999999999"/>
    <n v="9.5698000000000008"/>
    <n v="23385"/>
    <n v="0"/>
    <n v="1.7937000000000001"/>
  </r>
  <r>
    <n v="2330"/>
    <x v="1"/>
    <d v="2016-05-10T00:00:00"/>
    <x v="1"/>
    <x v="4"/>
    <n v="124.7351"/>
    <n v="125.5836"/>
    <n v="124.3108"/>
    <n v="124.7351"/>
    <n v="39210"/>
    <n v="-0.33960000000000001"/>
    <n v="1.0239"/>
  </r>
  <r>
    <n v="2303"/>
    <x v="0"/>
    <d v="2016-05-11T00:00:00"/>
    <x v="2"/>
    <x v="4"/>
    <n v="9.6548999999999996"/>
    <n v="9.74"/>
    <n v="9.5698000000000008"/>
    <n v="9.5698000000000008"/>
    <n v="39491"/>
    <n v="0"/>
    <n v="1.7778"/>
  </r>
  <r>
    <n v="2330"/>
    <x v="1"/>
    <d v="2016-05-11T00:00:00"/>
    <x v="2"/>
    <x v="4"/>
    <n v="126.00790000000001"/>
    <n v="126.43219999999999"/>
    <n v="124.3108"/>
    <n v="124.7351"/>
    <n v="45610"/>
    <n v="0"/>
    <n v="1.7064999999999999"/>
  </r>
  <r>
    <n v="2303"/>
    <x v="0"/>
    <d v="2016-05-12T00:00:00"/>
    <x v="3"/>
    <x v="4"/>
    <n v="9.7825000000000006"/>
    <n v="9.8675999999999995"/>
    <n v="9.6974"/>
    <n v="9.6974"/>
    <n v="38675"/>
    <n v="1.3245"/>
    <n v="1.7544"/>
  </r>
  <r>
    <n v="2330"/>
    <x v="1"/>
    <d v="2016-05-12T00:00:00"/>
    <x v="3"/>
    <x v="4"/>
    <n v="124.7351"/>
    <n v="125.5836"/>
    <n v="123.8865"/>
    <n v="123.8865"/>
    <n v="24008"/>
    <n v="-0.68259999999999998"/>
    <n v="1.3698999999999999"/>
  </r>
  <r>
    <n v="2303"/>
    <x v="0"/>
    <d v="2016-05-13T00:00:00"/>
    <x v="4"/>
    <x v="4"/>
    <n v="9.6548999999999996"/>
    <n v="9.6548999999999996"/>
    <n v="9.5273000000000003"/>
    <n v="9.6123999999999992"/>
    <n v="38105"/>
    <n v="-0.88109999999999999"/>
    <n v="1.3392999999999999"/>
  </r>
  <r>
    <n v="2330"/>
    <x v="1"/>
    <d v="2016-05-13T00:00:00"/>
    <x v="4"/>
    <x v="4"/>
    <n v="123.038"/>
    <n v="123.4623"/>
    <n v="121.3409"/>
    <n v="122.1895"/>
    <n v="60713"/>
    <n v="-1.3793"/>
    <n v="1.7483"/>
  </r>
  <r>
    <n v="2303"/>
    <x v="0"/>
    <d v="2016-05-16T00:00:00"/>
    <x v="0"/>
    <x v="4"/>
    <n v="9.5273000000000003"/>
    <n v="9.74"/>
    <n v="9.5273000000000003"/>
    <n v="9.74"/>
    <n v="25451"/>
    <n v="1.3187"/>
    <n v="2.2321"/>
  </r>
  <r>
    <n v="2330"/>
    <x v="1"/>
    <d v="2016-05-16T00:00:00"/>
    <x v="0"/>
    <x v="4"/>
    <n v="121.3409"/>
    <n v="123.4623"/>
    <n v="121.3409"/>
    <n v="122.61369999999999"/>
    <n v="32239"/>
    <n v="0.34660000000000002"/>
    <n v="1.7483"/>
  </r>
  <r>
    <n v="2303"/>
    <x v="0"/>
    <d v="2016-05-17T00:00:00"/>
    <x v="1"/>
    <x v="4"/>
    <n v="9.6974"/>
    <n v="9.8249999999999993"/>
    <n v="9.6548999999999996"/>
    <n v="9.8249999999999993"/>
    <n v="36772"/>
    <n v="0.86960000000000004"/>
    <n v="1.7621"/>
  </r>
  <r>
    <n v="2330"/>
    <x v="1"/>
    <d v="2016-05-17T00:00:00"/>
    <x v="1"/>
    <x v="4"/>
    <n v="123.4623"/>
    <n v="124.7351"/>
    <n v="123.038"/>
    <n v="124.7351"/>
    <n v="32716"/>
    <n v="1.7153"/>
    <n v="1.3793"/>
  </r>
  <r>
    <n v="2303"/>
    <x v="0"/>
    <d v="2016-05-18T00:00:00"/>
    <x v="2"/>
    <x v="4"/>
    <n v="9.6974"/>
    <n v="9.8249999999999993"/>
    <n v="9.6548999999999996"/>
    <n v="9.8249999999999993"/>
    <n v="28008"/>
    <n v="0"/>
    <n v="1.7621"/>
  </r>
  <r>
    <n v="2330"/>
    <x v="1"/>
    <d v="2016-05-18T00:00:00"/>
    <x v="2"/>
    <x v="4"/>
    <n v="123.8865"/>
    <n v="124.7351"/>
    <n v="123.038"/>
    <n v="124.7351"/>
    <n v="31106"/>
    <n v="0"/>
    <n v="1.3793"/>
  </r>
  <r>
    <n v="2303"/>
    <x v="0"/>
    <d v="2016-05-19T00:00:00"/>
    <x v="3"/>
    <x v="4"/>
    <n v="9.74"/>
    <n v="9.7825000000000006"/>
    <n v="9.6548999999999996"/>
    <n v="9.7825000000000006"/>
    <n v="33075"/>
    <n v="-0.43380000000000002"/>
    <n v="1.3216000000000001"/>
  </r>
  <r>
    <n v="2330"/>
    <x v="1"/>
    <d v="2016-05-19T00:00:00"/>
    <x v="3"/>
    <x v="4"/>
    <n v="125.5836"/>
    <n v="126.00790000000001"/>
    <n v="123.4623"/>
    <n v="124.7351"/>
    <n v="35192"/>
    <n v="0"/>
    <n v="2.0619000000000001"/>
  </r>
  <r>
    <n v="2303"/>
    <x v="0"/>
    <d v="2016-05-20T00:00:00"/>
    <x v="4"/>
    <x v="4"/>
    <n v="9.6974"/>
    <n v="9.8249999999999993"/>
    <n v="9.6974"/>
    <n v="9.8249999999999993"/>
    <n v="27719"/>
    <n v="0.43380000000000002"/>
    <n v="1.3158000000000001"/>
  </r>
  <r>
    <n v="2330"/>
    <x v="1"/>
    <d v="2016-05-20T00:00:00"/>
    <x v="4"/>
    <x v="4"/>
    <n v="125.15940000000001"/>
    <n v="126.85639999999999"/>
    <n v="124.7351"/>
    <n v="126.00790000000001"/>
    <n v="38046"/>
    <n v="1.0152000000000001"/>
    <n v="1.7007000000000001"/>
  </r>
  <r>
    <n v="2303"/>
    <x v="0"/>
    <d v="2016-05-23T00:00:00"/>
    <x v="0"/>
    <x v="4"/>
    <n v="9.74"/>
    <n v="10.037699999999999"/>
    <n v="9.6974"/>
    <n v="10.037699999999999"/>
    <n v="37639"/>
    <n v="2.1414"/>
    <n v="3.5087999999999999"/>
  </r>
  <r>
    <n v="2330"/>
    <x v="1"/>
    <d v="2016-05-23T00:00:00"/>
    <x v="0"/>
    <x v="4"/>
    <n v="127.705"/>
    <n v="131.09909999999999"/>
    <n v="126.85639999999999"/>
    <n v="130.67490000000001"/>
    <n v="50174"/>
    <n v="3.6368"/>
    <n v="3.3445"/>
  </r>
  <r>
    <n v="2303"/>
    <x v="0"/>
    <d v="2016-05-24T00:00:00"/>
    <x v="1"/>
    <x v="4"/>
    <n v="9.9526000000000003"/>
    <n v="10.037699999999999"/>
    <n v="9.9100999999999999"/>
    <n v="10.037699999999999"/>
    <n v="23921"/>
    <n v="0"/>
    <n v="1.2876000000000001"/>
  </r>
  <r>
    <n v="2330"/>
    <x v="1"/>
    <d v="2016-05-24T00:00:00"/>
    <x v="1"/>
    <x v="4"/>
    <n v="129.40199999999999"/>
    <n v="130.25059999999999"/>
    <n v="128.1292"/>
    <n v="128.1292"/>
    <n v="25677"/>
    <n v="-1.9673"/>
    <n v="1.6556"/>
  </r>
  <r>
    <n v="2303"/>
    <x v="0"/>
    <d v="2016-05-25T00:00:00"/>
    <x v="2"/>
    <x v="4"/>
    <n v="10.1228"/>
    <n v="10.3354"/>
    <n v="10.037699999999999"/>
    <n v="10.207800000000001"/>
    <n v="55060"/>
    <n v="1.6807000000000001"/>
    <n v="2.9661"/>
  </r>
  <r>
    <n v="2330"/>
    <x v="1"/>
    <d v="2016-05-25T00:00:00"/>
    <x v="2"/>
    <x v="4"/>
    <n v="130.25059999999999"/>
    <n v="131.52340000000001"/>
    <n v="129.40199999999999"/>
    <n v="131.09909999999999"/>
    <n v="35410"/>
    <n v="2.2913999999999999"/>
    <n v="1.6393"/>
  </r>
  <r>
    <n v="2303"/>
    <x v="0"/>
    <d v="2016-05-26T00:00:00"/>
    <x v="3"/>
    <x v="4"/>
    <n v="10.207800000000001"/>
    <n v="10.292899999999999"/>
    <n v="10.1228"/>
    <n v="10.292899999999999"/>
    <n v="30516"/>
    <n v="0.82989999999999997"/>
    <n v="1.6807000000000001"/>
  </r>
  <r>
    <n v="2330"/>
    <x v="1"/>
    <d v="2016-05-26T00:00:00"/>
    <x v="3"/>
    <x v="4"/>
    <n v="131.09909999999999"/>
    <n v="131.52340000000001"/>
    <n v="130.25059999999999"/>
    <n v="131.52340000000001"/>
    <n v="18822"/>
    <n v="0.3231"/>
    <n v="0.97719999999999996"/>
  </r>
  <r>
    <n v="2303"/>
    <x v="0"/>
    <d v="2016-05-27T00:00:00"/>
    <x v="4"/>
    <x v="4"/>
    <n v="10.3354"/>
    <n v="10.3354"/>
    <n v="10.250400000000001"/>
    <n v="10.3354"/>
    <n v="21362"/>
    <n v="0.41239999999999999"/>
    <n v="0.82989999999999997"/>
  </r>
  <r>
    <n v="2330"/>
    <x v="1"/>
    <d v="2016-05-27T00:00:00"/>
    <x v="4"/>
    <x v="4"/>
    <n v="132.37190000000001"/>
    <n v="132.7962"/>
    <n v="131.09909999999999"/>
    <n v="132.7962"/>
    <n v="26617"/>
    <n v="0.96309999999999996"/>
    <n v="1.2945"/>
  </r>
  <r>
    <n v="2303"/>
    <x v="0"/>
    <d v="2016-05-30T00:00:00"/>
    <x v="0"/>
    <x v="4"/>
    <n v="10.292899999999999"/>
    <n v="10.378"/>
    <n v="10.250400000000001"/>
    <n v="10.378"/>
    <n v="23966"/>
    <n v="0.41070000000000001"/>
    <n v="1.2447999999999999"/>
  </r>
  <r>
    <n v="2330"/>
    <x v="1"/>
    <d v="2016-05-30T00:00:00"/>
    <x v="0"/>
    <x v="4"/>
    <n v="133.22049999999999"/>
    <n v="134.06899999999999"/>
    <n v="131.52340000000001"/>
    <n v="133.22049999999999"/>
    <n v="38311"/>
    <n v="0.31900000000000001"/>
    <n v="1.9355"/>
  </r>
  <r>
    <n v="2303"/>
    <x v="0"/>
    <d v="2016-05-31T00:00:00"/>
    <x v="1"/>
    <x v="4"/>
    <n v="10.3354"/>
    <n v="10.378"/>
    <n v="10.292899999999999"/>
    <n v="10.378"/>
    <n v="44053"/>
    <n v="0"/>
    <n v="0.82640000000000002"/>
  </r>
  <r>
    <n v="2330"/>
    <x v="1"/>
    <d v="2016-05-31T00:00:00"/>
    <x v="1"/>
    <x v="4"/>
    <n v="132.7962"/>
    <n v="133.6447"/>
    <n v="131.52340000000001"/>
    <n v="132.7962"/>
    <n v="70177"/>
    <n v="-0.31900000000000001"/>
    <n v="1.6129"/>
  </r>
  <r>
    <n v="2303"/>
    <x v="0"/>
    <d v="2016-06-01T00:00:00"/>
    <x v="2"/>
    <x v="5"/>
    <n v="10.292899999999999"/>
    <n v="10.420500000000001"/>
    <n v="10.292899999999999"/>
    <n v="10.420500000000001"/>
    <n v="28601"/>
    <n v="0.40899999999999997"/>
    <n v="1.2397"/>
  </r>
  <r>
    <n v="2330"/>
    <x v="1"/>
    <d v="2016-06-01T00:00:00"/>
    <x v="2"/>
    <x v="5"/>
    <n v="132.37190000000001"/>
    <n v="134.91749999999999"/>
    <n v="132.37190000000001"/>
    <n v="134.91749999999999"/>
    <n v="27743"/>
    <n v="1.5848"/>
    <n v="1.9231"/>
  </r>
  <r>
    <n v="2303"/>
    <x v="0"/>
    <d v="2016-06-02T00:00:00"/>
    <x v="3"/>
    <x v="5"/>
    <n v="10.378"/>
    <n v="10.5481"/>
    <n v="10.3354"/>
    <n v="10.420500000000001"/>
    <n v="29264"/>
    <n v="0"/>
    <n v="2.0575999999999999"/>
  </r>
  <r>
    <n v="2330"/>
    <x v="1"/>
    <d v="2016-06-02T00:00:00"/>
    <x v="3"/>
    <x v="5"/>
    <n v="134.91749999999999"/>
    <n v="135.76609999999999"/>
    <n v="134.06899999999999"/>
    <n v="134.91749999999999"/>
    <n v="21999"/>
    <n v="0"/>
    <n v="1.2658"/>
  </r>
  <r>
    <n v="2303"/>
    <x v="0"/>
    <d v="2016-06-03T00:00:00"/>
    <x v="4"/>
    <x v="5"/>
    <n v="10.420500000000001"/>
    <n v="10.5481"/>
    <n v="10.3354"/>
    <n v="10.5481"/>
    <n v="23315"/>
    <n v="1.2171000000000001"/>
    <n v="2.0575999999999999"/>
  </r>
  <r>
    <n v="2330"/>
    <x v="1"/>
    <d v="2016-06-03T00:00:00"/>
    <x v="4"/>
    <x v="5"/>
    <n v="134.91749999999999"/>
    <n v="136.19030000000001"/>
    <n v="134.91749999999999"/>
    <n v="136.19030000000001"/>
    <n v="32020"/>
    <n v="0.93899999999999995"/>
    <n v="0.94340000000000002"/>
  </r>
  <r>
    <n v="2303"/>
    <x v="0"/>
    <d v="2016-06-04T00:00:00"/>
    <x v="5"/>
    <x v="5"/>
    <n v="10.5481"/>
    <n v="10.5906"/>
    <n v="10.462999999999999"/>
    <n v="10.505599999999999"/>
    <n v="6095"/>
    <n v="-0.40400000000000003"/>
    <n v="1.2195"/>
  </r>
  <r>
    <n v="2330"/>
    <x v="1"/>
    <d v="2016-06-04T00:00:00"/>
    <x v="5"/>
    <x v="5"/>
    <n v="135.76609999999999"/>
    <n v="135.76609999999999"/>
    <n v="135.34180000000001"/>
    <n v="135.76609999999999"/>
    <n v="2631"/>
    <n v="-0.312"/>
    <n v="0.3135"/>
  </r>
  <r>
    <n v="2303"/>
    <x v="0"/>
    <d v="2016-06-06T00:00:00"/>
    <x v="0"/>
    <x v="5"/>
    <n v="10.505599999999999"/>
    <n v="10.5481"/>
    <n v="10.462999999999999"/>
    <n v="10.5481"/>
    <n v="20017"/>
    <n v="0.40400000000000003"/>
    <n v="0.81299999999999994"/>
  </r>
  <r>
    <n v="2330"/>
    <x v="1"/>
    <d v="2016-06-06T00:00:00"/>
    <x v="0"/>
    <x v="5"/>
    <n v="136.6146"/>
    <n v="137.4632"/>
    <n v="135.76609999999999"/>
    <n v="136.6146"/>
    <n v="28898"/>
    <n v="0.62309999999999999"/>
    <n v="1.25"/>
  </r>
  <r>
    <n v="2303"/>
    <x v="0"/>
    <d v="2016-06-07T00:00:00"/>
    <x v="1"/>
    <x v="5"/>
    <n v="10.505599999999999"/>
    <n v="10.5906"/>
    <n v="10.462999999999999"/>
    <n v="10.5906"/>
    <n v="28009"/>
    <n v="0.40239999999999998"/>
    <n v="1.2195"/>
  </r>
  <r>
    <n v="2330"/>
    <x v="1"/>
    <d v="2016-06-07T00:00:00"/>
    <x v="1"/>
    <x v="5"/>
    <n v="137.03890000000001"/>
    <n v="138.73599999999999"/>
    <n v="136.6146"/>
    <n v="137.4632"/>
    <n v="47573"/>
    <n v="0.61919999999999997"/>
    <n v="1.5528"/>
  </r>
  <r>
    <n v="2303"/>
    <x v="0"/>
    <d v="2016-06-08T00:00:00"/>
    <x v="2"/>
    <x v="5"/>
    <n v="10.5906"/>
    <n v="10.633100000000001"/>
    <n v="10.462999999999999"/>
    <n v="10.5481"/>
    <n v="42234"/>
    <n v="-0.40239999999999998"/>
    <n v="1.6259999999999999"/>
  </r>
  <r>
    <n v="2330"/>
    <x v="1"/>
    <d v="2016-06-08T00:00:00"/>
    <x v="2"/>
    <x v="5"/>
    <n v="139.1602"/>
    <n v="140.85730000000001"/>
    <n v="138.73599999999999"/>
    <n v="140.43299999999999"/>
    <n v="45587"/>
    <n v="2.1375000000000002"/>
    <n v="1.5290999999999999"/>
  </r>
  <r>
    <n v="2303"/>
    <x v="0"/>
    <d v="2016-06-13T00:00:00"/>
    <x v="0"/>
    <x v="5"/>
    <n v="10.505599999999999"/>
    <n v="10.505599999999999"/>
    <n v="10.207800000000001"/>
    <n v="10.378"/>
    <n v="46820"/>
    <n v="-1.6261000000000001"/>
    <n v="2.9167000000000001"/>
  </r>
  <r>
    <n v="2330"/>
    <x v="1"/>
    <d v="2016-06-13T00:00:00"/>
    <x v="0"/>
    <x v="5"/>
    <n v="136.6146"/>
    <n v="137.88740000000001"/>
    <n v="136.6146"/>
    <n v="137.4632"/>
    <n v="54689"/>
    <n v="-2.1375000000000002"/>
    <n v="0.93169999999999997"/>
  </r>
  <r>
    <n v="2303"/>
    <x v="0"/>
    <d v="2016-06-14T00:00:00"/>
    <x v="1"/>
    <x v="5"/>
    <n v="10.3354"/>
    <n v="10.378"/>
    <n v="10.207800000000001"/>
    <n v="10.292899999999999"/>
    <n v="25940"/>
    <n v="-0.82299999999999995"/>
    <n v="1.6667000000000001"/>
  </r>
  <r>
    <n v="2330"/>
    <x v="1"/>
    <d v="2016-06-14T00:00:00"/>
    <x v="1"/>
    <x v="5"/>
    <n v="136.6146"/>
    <n v="138.3117"/>
    <n v="136.6146"/>
    <n v="137.4632"/>
    <n v="27823"/>
    <n v="0"/>
    <n v="1.2422"/>
  </r>
  <r>
    <n v="2303"/>
    <x v="0"/>
    <d v="2016-06-15T00:00:00"/>
    <x v="2"/>
    <x v="5"/>
    <n v="10.292899999999999"/>
    <n v="10.420500000000001"/>
    <n v="10.250400000000001"/>
    <n v="10.420500000000001"/>
    <n v="19786"/>
    <n v="1.232"/>
    <n v="1.6597999999999999"/>
  </r>
  <r>
    <n v="2330"/>
    <x v="1"/>
    <d v="2016-06-15T00:00:00"/>
    <x v="2"/>
    <x v="5"/>
    <n v="137.4632"/>
    <n v="138.3117"/>
    <n v="136.6146"/>
    <n v="138.3117"/>
    <n v="29328"/>
    <n v="0.61539999999999995"/>
    <n v="1.2422"/>
  </r>
  <r>
    <n v="2303"/>
    <x v="0"/>
    <d v="2016-06-16T00:00:00"/>
    <x v="3"/>
    <x v="5"/>
    <n v="10.420500000000001"/>
    <n v="10.420500000000001"/>
    <n v="10.1228"/>
    <n v="10.207800000000001"/>
    <n v="27551"/>
    <n v="-2.0619000000000001"/>
    <n v="2.9411999999999998"/>
  </r>
  <r>
    <n v="2330"/>
    <x v="1"/>
    <d v="2016-06-16T00:00:00"/>
    <x v="3"/>
    <x v="5"/>
    <n v="137.03890000000001"/>
    <n v="137.88740000000001"/>
    <n v="135.34180000000001"/>
    <n v="136.19030000000001"/>
    <n v="36957"/>
    <n v="-1.5456000000000001"/>
    <n v="1.8809"/>
  </r>
  <r>
    <n v="2303"/>
    <x v="0"/>
    <d v="2016-06-17T00:00:00"/>
    <x v="4"/>
    <x v="5"/>
    <n v="10.207800000000001"/>
    <n v="10.3354"/>
    <n v="10.207800000000001"/>
    <n v="10.3354"/>
    <n v="35633"/>
    <n v="1.2423"/>
    <n v="1.25"/>
  </r>
  <r>
    <n v="2330"/>
    <x v="1"/>
    <d v="2016-06-17T00:00:00"/>
    <x v="4"/>
    <x v="5"/>
    <n v="137.88740000000001"/>
    <n v="139.58449999999999"/>
    <n v="137.4632"/>
    <n v="138.3117"/>
    <n v="31326"/>
    <n v="1.5456000000000001"/>
    <n v="1.5431999999999999"/>
  </r>
  <r>
    <n v="2303"/>
    <x v="0"/>
    <d v="2016-06-20T00:00:00"/>
    <x v="0"/>
    <x v="5"/>
    <n v="10.3354"/>
    <n v="10.5906"/>
    <n v="10.292899999999999"/>
    <n v="10.5906"/>
    <n v="31788"/>
    <n v="2.4390999999999998"/>
    <n v="2.8925999999999998"/>
  </r>
  <r>
    <n v="2330"/>
    <x v="1"/>
    <d v="2016-06-20T00:00:00"/>
    <x v="0"/>
    <x v="5"/>
    <n v="139.58449999999999"/>
    <n v="140.00880000000001"/>
    <n v="138.3117"/>
    <n v="138.3117"/>
    <n v="24949"/>
    <n v="0"/>
    <n v="1.2270000000000001"/>
  </r>
  <r>
    <n v="2303"/>
    <x v="0"/>
    <d v="2016-06-21T00:00:00"/>
    <x v="1"/>
    <x v="5"/>
    <n v="10.5906"/>
    <n v="10.633100000000001"/>
    <n v="10.420500000000001"/>
    <n v="10.420500000000001"/>
    <n v="29126"/>
    <n v="-1.6194999999999999"/>
    <n v="2.0407999999999999"/>
  </r>
  <r>
    <n v="2330"/>
    <x v="1"/>
    <d v="2016-06-21T00:00:00"/>
    <x v="1"/>
    <x v="5"/>
    <n v="139.1602"/>
    <n v="140.43299999999999"/>
    <n v="138.73599999999999"/>
    <n v="140.43299999999999"/>
    <n v="28042"/>
    <n v="1.5221"/>
    <n v="1.2232000000000001"/>
  </r>
  <r>
    <n v="2303"/>
    <x v="0"/>
    <d v="2016-06-22T00:00:00"/>
    <x v="2"/>
    <x v="5"/>
    <n v="10.462999999999999"/>
    <n v="10.633100000000001"/>
    <n v="10.420500000000001"/>
    <n v="10.5906"/>
    <n v="27867"/>
    <n v="1.6194999999999999"/>
    <n v="2.0407999999999999"/>
  </r>
  <r>
    <n v="2330"/>
    <x v="1"/>
    <d v="2016-06-22T00:00:00"/>
    <x v="2"/>
    <x v="5"/>
    <n v="139.58449999999999"/>
    <n v="140.85730000000001"/>
    <n v="138.73599999999999"/>
    <n v="140.85730000000001"/>
    <n v="30409"/>
    <n v="0.30170000000000002"/>
    <n v="1.5290999999999999"/>
  </r>
  <r>
    <n v="2303"/>
    <x v="0"/>
    <d v="2016-06-23T00:00:00"/>
    <x v="3"/>
    <x v="5"/>
    <n v="10.5481"/>
    <n v="10.7182"/>
    <n v="10.505599999999999"/>
    <n v="10.675700000000001"/>
    <n v="38214"/>
    <n v="0.8"/>
    <n v="2.0243000000000002"/>
  </r>
  <r>
    <n v="2330"/>
    <x v="1"/>
    <d v="2016-06-23T00:00:00"/>
    <x v="3"/>
    <x v="5"/>
    <n v="140.43299999999999"/>
    <n v="140.85730000000001"/>
    <n v="139.1602"/>
    <n v="139.1602"/>
    <n v="22592"/>
    <n v="-1.2121"/>
    <n v="1.2195"/>
  </r>
  <r>
    <n v="2303"/>
    <x v="0"/>
    <d v="2016-06-24T00:00:00"/>
    <x v="4"/>
    <x v="5"/>
    <n v="10.675700000000001"/>
    <n v="10.675700000000001"/>
    <n v="10.1653"/>
    <n v="10.207800000000001"/>
    <n v="69696"/>
    <n v="-4.4813999999999998"/>
    <n v="5.0209000000000001"/>
  </r>
  <r>
    <n v="2330"/>
    <x v="1"/>
    <d v="2016-06-24T00:00:00"/>
    <x v="4"/>
    <x v="5"/>
    <n v="139.1602"/>
    <n v="139.1602"/>
    <n v="131.09909999999999"/>
    <n v="134.91749999999999"/>
    <n v="86994"/>
    <n v="-3.0962000000000001"/>
    <n v="6.1489000000000003"/>
  </r>
  <r>
    <n v="2303"/>
    <x v="0"/>
    <d v="2016-06-27T00:00:00"/>
    <x v="0"/>
    <x v="5"/>
    <n v="10.250400000000001"/>
    <n v="10.633100000000001"/>
    <n v="10.207800000000001"/>
    <n v="10.5906"/>
    <n v="40233"/>
    <n v="3.6814"/>
    <n v="4.1666999999999996"/>
  </r>
  <r>
    <n v="2330"/>
    <x v="1"/>
    <d v="2016-06-27T00:00:00"/>
    <x v="0"/>
    <x v="5"/>
    <n v="136.24010000000001"/>
    <n v="137.56280000000001"/>
    <n v="135.79920000000001"/>
    <n v="137.12190000000001"/>
    <n v="43401"/>
    <n v="1.5601"/>
    <n v="1.2987"/>
  </r>
  <r>
    <n v="2303"/>
    <x v="0"/>
    <d v="2016-06-28T00:00:00"/>
    <x v="1"/>
    <x v="5"/>
    <n v="10.5481"/>
    <n v="10.5481"/>
    <n v="10.420500000000001"/>
    <n v="10.462999999999999"/>
    <n v="32104"/>
    <n v="-1.2121"/>
    <n v="1.2244999999999999"/>
  </r>
  <r>
    <n v="2330"/>
    <x v="1"/>
    <d v="2016-06-28T00:00:00"/>
    <x v="1"/>
    <x v="5"/>
    <n v="137.12190000000001"/>
    <n v="138.88550000000001"/>
    <n v="136.68100000000001"/>
    <n v="138.44460000000001"/>
    <n v="39095"/>
    <n v="0.96"/>
    <n v="1.6129"/>
  </r>
  <r>
    <n v="2303"/>
    <x v="0"/>
    <d v="2016-06-29T00:00:00"/>
    <x v="2"/>
    <x v="5"/>
    <n v="10.5481"/>
    <n v="10.675700000000001"/>
    <n v="10.505599999999999"/>
    <n v="10.675700000000001"/>
    <n v="24539"/>
    <n v="2.0121000000000002"/>
    <n v="1.6194"/>
  </r>
  <r>
    <n v="2330"/>
    <x v="1"/>
    <d v="2016-06-29T00:00:00"/>
    <x v="2"/>
    <x v="5"/>
    <n v="139.76740000000001"/>
    <n v="141.09010000000001"/>
    <n v="139.32650000000001"/>
    <n v="140.20830000000001"/>
    <n v="32131"/>
    <n v="1.2658"/>
    <n v="1.2658"/>
  </r>
  <r>
    <n v="2303"/>
    <x v="0"/>
    <d v="2016-06-30T00:00:00"/>
    <x v="3"/>
    <x v="5"/>
    <n v="10.7182"/>
    <n v="10.7182"/>
    <n v="10.5906"/>
    <n v="10.7182"/>
    <n v="16744"/>
    <n v="0.39760000000000001"/>
    <n v="1.2048000000000001"/>
  </r>
  <r>
    <n v="2330"/>
    <x v="1"/>
    <d v="2016-06-30T00:00:00"/>
    <x v="3"/>
    <x v="5"/>
    <n v="141.97190000000001"/>
    <n v="143.7355"/>
    <n v="140.64920000000001"/>
    <n v="143.2946"/>
    <n v="42854"/>
    <n v="2.1774"/>
    <n v="2.1943999999999999"/>
  </r>
  <r>
    <n v="2303"/>
    <x v="0"/>
    <d v="2016-07-01T00:00:00"/>
    <x v="4"/>
    <x v="6"/>
    <n v="10.7607"/>
    <n v="10.8033"/>
    <n v="10.675700000000001"/>
    <n v="10.675700000000001"/>
    <n v="20915"/>
    <n v="-0.39760000000000001"/>
    <n v="1.1952"/>
  </r>
  <r>
    <n v="2330"/>
    <x v="1"/>
    <d v="2016-07-01T00:00:00"/>
    <x v="4"/>
    <x v="6"/>
    <n v="145.0582"/>
    <n v="146.381"/>
    <n v="144.1764"/>
    <n v="146.381"/>
    <n v="36577"/>
    <n v="2.1309999999999998"/>
    <n v="1.5290999999999999"/>
  </r>
  <r>
    <n v="2303"/>
    <x v="0"/>
    <d v="2016-07-04T00:00:00"/>
    <x v="0"/>
    <x v="6"/>
    <n v="10.675700000000001"/>
    <n v="10.8033"/>
    <n v="10.675700000000001"/>
    <n v="10.7607"/>
    <n v="18420"/>
    <n v="0.79369999999999996"/>
    <n v="1.1952"/>
  </r>
  <r>
    <n v="2330"/>
    <x v="1"/>
    <d v="2016-07-04T00:00:00"/>
    <x v="0"/>
    <x v="6"/>
    <n v="145.9401"/>
    <n v="146.8219"/>
    <n v="145.0582"/>
    <n v="146.381"/>
    <n v="25968"/>
    <n v="0"/>
    <n v="1.2158"/>
  </r>
  <r>
    <n v="2303"/>
    <x v="0"/>
    <d v="2016-07-05T00:00:00"/>
    <x v="1"/>
    <x v="6"/>
    <n v="10.7607"/>
    <n v="10.8033"/>
    <n v="10.675700000000001"/>
    <n v="10.7182"/>
    <n v="11136"/>
    <n v="-0.39600000000000002"/>
    <n v="1.1952"/>
  </r>
  <r>
    <n v="2330"/>
    <x v="1"/>
    <d v="2016-07-05T00:00:00"/>
    <x v="1"/>
    <x v="6"/>
    <n v="145.4991"/>
    <n v="145.9401"/>
    <n v="144.6173"/>
    <n v="144.6173"/>
    <n v="16422"/>
    <n v="-1.2121"/>
    <n v="0.91459999999999997"/>
  </r>
  <r>
    <n v="2303"/>
    <x v="0"/>
    <d v="2016-07-06T00:00:00"/>
    <x v="2"/>
    <x v="6"/>
    <n v="10.675700000000001"/>
    <n v="10.675700000000001"/>
    <n v="10.505599999999999"/>
    <n v="10.505599999999999"/>
    <n v="32563"/>
    <n v="-2.0041000000000002"/>
    <n v="1.6194"/>
  </r>
  <r>
    <n v="2330"/>
    <x v="1"/>
    <d v="2016-07-06T00:00:00"/>
    <x v="2"/>
    <x v="6"/>
    <n v="143.7355"/>
    <n v="143.7355"/>
    <n v="141.53100000000001"/>
    <n v="142.4128"/>
    <n v="35100"/>
    <n v="-1.5361"/>
    <n v="1.5576000000000001"/>
  </r>
  <r>
    <n v="2303"/>
    <x v="0"/>
    <d v="2016-07-07T00:00:00"/>
    <x v="3"/>
    <x v="6"/>
    <n v="10.5481"/>
    <n v="10.675700000000001"/>
    <n v="10.5481"/>
    <n v="10.5481"/>
    <n v="64390"/>
    <n v="0.40400000000000003"/>
    <n v="1.2097"/>
  </r>
  <r>
    <n v="2330"/>
    <x v="1"/>
    <d v="2016-07-07T00:00:00"/>
    <x v="3"/>
    <x v="6"/>
    <n v="144.1764"/>
    <n v="145.4991"/>
    <n v="143.7355"/>
    <n v="145.0582"/>
    <n v="24442"/>
    <n v="1.8405"/>
    <n v="1.2270000000000001"/>
  </r>
  <r>
    <n v="2303"/>
    <x v="0"/>
    <d v="2016-07-11T00:00:00"/>
    <x v="0"/>
    <x v="6"/>
    <n v="10.8033"/>
    <n v="11.0585"/>
    <n v="10.7607"/>
    <n v="11.0159"/>
    <n v="151252"/>
    <n v="4.3399000000000001"/>
    <n v="2.7667999999999999"/>
  </r>
  <r>
    <n v="2330"/>
    <x v="1"/>
    <d v="2016-07-11T00:00:00"/>
    <x v="0"/>
    <x v="6"/>
    <n v="149.90819999999999"/>
    <n v="150.34909999999999"/>
    <n v="148.5855"/>
    <n v="149.90819999999999"/>
    <n v="53434"/>
    <n v="3.2888000000000002"/>
    <n v="1.1869000000000001"/>
  </r>
  <r>
    <n v="2303"/>
    <x v="0"/>
    <d v="2016-07-12T00:00:00"/>
    <x v="1"/>
    <x v="6"/>
    <n v="11.1182"/>
    <n v="11.1182"/>
    <n v="10.940300000000001"/>
    <n v="11.0738"/>
    <n v="93175"/>
    <n v="0.50080000000000002"/>
    <n v="1.6259999999999999"/>
  </r>
  <r>
    <n v="2330"/>
    <x v="1"/>
    <d v="2016-07-12T00:00:00"/>
    <x v="1"/>
    <x v="6"/>
    <n v="150.79"/>
    <n v="151.23089999999999"/>
    <n v="149.46729999999999"/>
    <n v="150.79"/>
    <n v="42128"/>
    <n v="0.58650000000000002"/>
    <n v="1.1798999999999999"/>
  </r>
  <r>
    <n v="2303"/>
    <x v="0"/>
    <d v="2016-07-13T00:00:00"/>
    <x v="2"/>
    <x v="6"/>
    <n v="11.162699999999999"/>
    <n v="11.2072"/>
    <n v="10.9848"/>
    <n v="11.1182"/>
    <n v="45069"/>
    <n v="0.40079999999999999"/>
    <n v="2.0243000000000002"/>
  </r>
  <r>
    <n v="2330"/>
    <x v="1"/>
    <d v="2016-07-13T00:00:00"/>
    <x v="2"/>
    <x v="6"/>
    <n v="149.46729999999999"/>
    <n v="149.90819999999999"/>
    <n v="147.2628"/>
    <n v="148.5855"/>
    <n v="51719"/>
    <n v="-1.4728000000000001"/>
    <n v="1.7964"/>
  </r>
  <r>
    <n v="2303"/>
    <x v="0"/>
    <d v="2016-07-14T00:00:00"/>
    <x v="3"/>
    <x v="6"/>
    <n v="11.1182"/>
    <n v="11.1182"/>
    <n v="11.029299999999999"/>
    <n v="11.1182"/>
    <n v="18987"/>
    <n v="0"/>
    <n v="0.80649999999999999"/>
  </r>
  <r>
    <n v="2330"/>
    <x v="1"/>
    <d v="2016-07-14T00:00:00"/>
    <x v="3"/>
    <x v="6"/>
    <n v="147.2628"/>
    <n v="149.90819999999999"/>
    <n v="147.2628"/>
    <n v="149.0264"/>
    <n v="36131"/>
    <n v="0.29630000000000001"/>
    <n v="1.7964"/>
  </r>
  <r>
    <n v="2303"/>
    <x v="0"/>
    <d v="2016-07-15T00:00:00"/>
    <x v="4"/>
    <x v="6"/>
    <n v="11.1182"/>
    <n v="11.162699999999999"/>
    <n v="10.9848"/>
    <n v="10.9848"/>
    <n v="28714"/>
    <n v="-1.2073"/>
    <n v="1.6194"/>
  </r>
  <r>
    <n v="2330"/>
    <x v="1"/>
    <d v="2016-07-15T00:00:00"/>
    <x v="4"/>
    <x v="6"/>
    <n v="148.1446"/>
    <n v="149.46729999999999"/>
    <n v="146.8219"/>
    <n v="149.46729999999999"/>
    <n v="41822"/>
    <n v="0.2954"/>
    <n v="1.8018000000000001"/>
  </r>
  <r>
    <n v="2303"/>
    <x v="0"/>
    <d v="2016-07-18T00:00:00"/>
    <x v="0"/>
    <x v="6"/>
    <n v="11.0738"/>
    <n v="11.1182"/>
    <n v="11.029299999999999"/>
    <n v="11.1182"/>
    <n v="23007"/>
    <n v="1.2073"/>
    <n v="0.80649999999999999"/>
  </r>
  <r>
    <n v="2330"/>
    <x v="1"/>
    <d v="2016-07-18T00:00:00"/>
    <x v="0"/>
    <x v="6"/>
    <n v="148.1446"/>
    <n v="149.90819999999999"/>
    <n v="148.1446"/>
    <n v="149.46729999999999"/>
    <n v="24774"/>
    <n v="0"/>
    <n v="1.1904999999999999"/>
  </r>
  <r>
    <n v="2303"/>
    <x v="0"/>
    <d v="2016-07-19T00:00:00"/>
    <x v="1"/>
    <x v="6"/>
    <n v="11.0738"/>
    <n v="11.1182"/>
    <n v="10.9848"/>
    <n v="11.0738"/>
    <n v="32520"/>
    <n v="-0.40079999999999999"/>
    <n v="1.2145999999999999"/>
  </r>
  <r>
    <n v="2330"/>
    <x v="1"/>
    <d v="2016-07-19T00:00:00"/>
    <x v="1"/>
    <x v="6"/>
    <n v="150.34909999999999"/>
    <n v="150.34909999999999"/>
    <n v="149.0264"/>
    <n v="150.34909999999999"/>
    <n v="43707"/>
    <n v="0.58819999999999995"/>
    <n v="0.88759999999999994"/>
  </r>
  <r>
    <n v="2303"/>
    <x v="0"/>
    <d v="2016-07-20T00:00:00"/>
    <x v="2"/>
    <x v="6"/>
    <n v="11.029299999999999"/>
    <n v="11.0738"/>
    <n v="10.895899999999999"/>
    <n v="10.9848"/>
    <n v="32052"/>
    <n v="-0.80649999999999999"/>
    <n v="1.6327"/>
  </r>
  <r>
    <n v="2330"/>
    <x v="1"/>
    <d v="2016-07-20T00:00:00"/>
    <x v="2"/>
    <x v="6"/>
    <n v="149.90819999999999"/>
    <n v="150.34909999999999"/>
    <n v="149.0264"/>
    <n v="149.90819999999999"/>
    <n v="39076"/>
    <n v="-0.29370000000000002"/>
    <n v="0.88759999999999994"/>
  </r>
  <r>
    <n v="2303"/>
    <x v="0"/>
    <d v="2016-07-21T00:00:00"/>
    <x v="3"/>
    <x v="6"/>
    <n v="11.029299999999999"/>
    <n v="11.1182"/>
    <n v="10.9848"/>
    <n v="11.1182"/>
    <n v="29424"/>
    <n v="1.2073"/>
    <n v="1.2145999999999999"/>
  </r>
  <r>
    <n v="2330"/>
    <x v="1"/>
    <d v="2016-07-21T00:00:00"/>
    <x v="3"/>
    <x v="6"/>
    <n v="150.79"/>
    <n v="151.67179999999999"/>
    <n v="149.90819999999999"/>
    <n v="151.67179999999999"/>
    <n v="35220"/>
    <n v="1.1696"/>
    <n v="1.1765000000000001"/>
  </r>
  <r>
    <n v="2303"/>
    <x v="0"/>
    <d v="2016-07-22T00:00:00"/>
    <x v="4"/>
    <x v="6"/>
    <n v="11.029299999999999"/>
    <n v="11.1182"/>
    <n v="10.940300000000001"/>
    <n v="10.940300000000001"/>
    <n v="25533"/>
    <n v="-1.6129"/>
    <n v="1.6259999999999999"/>
  </r>
  <r>
    <n v="2330"/>
    <x v="1"/>
    <d v="2016-07-22T00:00:00"/>
    <x v="4"/>
    <x v="6"/>
    <n v="151.67179999999999"/>
    <n v="151.67179999999999"/>
    <n v="150.34909999999999"/>
    <n v="150.79"/>
    <n v="29804"/>
    <n v="-0.58309999999999995"/>
    <n v="0.87980000000000003"/>
  </r>
  <r>
    <n v="2303"/>
    <x v="0"/>
    <d v="2016-07-25T00:00:00"/>
    <x v="0"/>
    <x v="6"/>
    <n v="10.9848"/>
    <n v="11.0738"/>
    <n v="10.8514"/>
    <n v="10.940300000000001"/>
    <n v="21327"/>
    <n v="0"/>
    <n v="2.0491999999999999"/>
  </r>
  <r>
    <n v="2330"/>
    <x v="1"/>
    <d v="2016-07-25T00:00:00"/>
    <x v="0"/>
    <x v="6"/>
    <n v="151.67179999999999"/>
    <n v="152.55359999999999"/>
    <n v="149.0264"/>
    <n v="151.23089999999999"/>
    <n v="27180"/>
    <n v="0.29199999999999998"/>
    <n v="2.3668999999999998"/>
  </r>
  <r>
    <n v="2303"/>
    <x v="0"/>
    <d v="2016-07-26T00:00:00"/>
    <x v="1"/>
    <x v="6"/>
    <n v="10.9848"/>
    <n v="11.029299999999999"/>
    <n v="10.940300000000001"/>
    <n v="11.029299999999999"/>
    <n v="24305"/>
    <n v="0.80969999999999998"/>
    <n v="0.81299999999999994"/>
  </r>
  <r>
    <n v="2330"/>
    <x v="1"/>
    <d v="2016-07-26T00:00:00"/>
    <x v="1"/>
    <x v="6"/>
    <n v="151.67179999999999"/>
    <n v="152.55359999999999"/>
    <n v="151.23089999999999"/>
    <n v="152.55359999999999"/>
    <n v="32736"/>
    <n v="0.87080000000000002"/>
    <n v="0.87460000000000004"/>
  </r>
  <r>
    <n v="2303"/>
    <x v="0"/>
    <d v="2016-07-27T00:00:00"/>
    <x v="2"/>
    <x v="6"/>
    <n v="11.1182"/>
    <n v="11.2072"/>
    <n v="11.0738"/>
    <n v="11.162699999999999"/>
    <n v="54761"/>
    <n v="1.2023999999999999"/>
    <n v="1.2048000000000001"/>
  </r>
  <r>
    <n v="2330"/>
    <x v="1"/>
    <d v="2016-07-27T00:00:00"/>
    <x v="2"/>
    <x v="6"/>
    <n v="154.31729999999999"/>
    <n v="155.19909999999999"/>
    <n v="153.87639999999999"/>
    <n v="154.31729999999999"/>
    <n v="36108"/>
    <n v="1.1494"/>
    <n v="0.85960000000000003"/>
  </r>
  <r>
    <n v="2303"/>
    <x v="0"/>
    <d v="2016-07-28T00:00:00"/>
    <x v="3"/>
    <x v="6"/>
    <n v="10.718"/>
    <n v="10.806900000000001"/>
    <n v="10.5846"/>
    <n v="10.762499999999999"/>
    <n v="130639"/>
    <n v="-3.6515"/>
    <n v="2.1008"/>
  </r>
  <r>
    <n v="2330"/>
    <x v="1"/>
    <d v="2016-07-28T00:00:00"/>
    <x v="3"/>
    <x v="6"/>
    <n v="154.31729999999999"/>
    <n v="155.63999999999999"/>
    <n v="152.55359999999999"/>
    <n v="155.63999999999999"/>
    <n v="31138"/>
    <n v="0.85350000000000004"/>
    <n v="2.0230999999999999"/>
  </r>
  <r>
    <n v="2303"/>
    <x v="0"/>
    <d v="2016-07-29T00:00:00"/>
    <x v="4"/>
    <x v="6"/>
    <n v="10.673500000000001"/>
    <n v="10.718"/>
    <n v="10.5846"/>
    <n v="10.5846"/>
    <n v="46087"/>
    <n v="-1.6667000000000001"/>
    <n v="1.2605"/>
  </r>
  <r>
    <n v="2330"/>
    <x v="1"/>
    <d v="2016-07-29T00:00:00"/>
    <x v="4"/>
    <x v="6"/>
    <n v="156.08090000000001"/>
    <n v="156.08090000000001"/>
    <n v="152.11269999999999"/>
    <n v="152.11269999999999"/>
    <n v="30008"/>
    <n v="-2.2924000000000002"/>
    <n v="2.6086999999999998"/>
  </r>
  <r>
    <n v="2303"/>
    <x v="0"/>
    <d v="2016-08-01T00:00:00"/>
    <x v="0"/>
    <x v="7"/>
    <n v="10.5846"/>
    <n v="10.673500000000001"/>
    <n v="10.5846"/>
    <n v="10.5846"/>
    <n v="25816"/>
    <n v="0"/>
    <n v="0.84030000000000005"/>
  </r>
  <r>
    <n v="2330"/>
    <x v="1"/>
    <d v="2016-08-01T00:00:00"/>
    <x v="0"/>
    <x v="7"/>
    <n v="154.31729999999999"/>
    <n v="156.08090000000001"/>
    <n v="153.87639999999999"/>
    <n v="156.08090000000001"/>
    <n v="34703"/>
    <n v="2.5752000000000002"/>
    <n v="1.4327000000000001"/>
  </r>
  <r>
    <n v="2303"/>
    <x v="0"/>
    <d v="2016-08-02T00:00:00"/>
    <x v="1"/>
    <x v="7"/>
    <n v="10.629"/>
    <n v="10.718"/>
    <n v="10.629"/>
    <n v="10.629"/>
    <n v="18170"/>
    <n v="0.41930000000000001"/>
    <n v="0.83679999999999999"/>
  </r>
  <r>
    <n v="2330"/>
    <x v="1"/>
    <d v="2016-08-02T00:00:00"/>
    <x v="1"/>
    <x v="7"/>
    <n v="156.52180000000001"/>
    <n v="156.52180000000001"/>
    <n v="154.75819999999999"/>
    <n v="155.19909999999999"/>
    <n v="15366"/>
    <n v="-0.56659999999999999"/>
    <n v="1.1395999999999999"/>
  </r>
  <r>
    <n v="2303"/>
    <x v="0"/>
    <d v="2016-08-03T00:00:00"/>
    <x v="2"/>
    <x v="7"/>
    <n v="10.540100000000001"/>
    <n v="10.5846"/>
    <n v="10.4956"/>
    <n v="10.4956"/>
    <n v="30930"/>
    <n v="-1.2632000000000001"/>
    <n v="0.84750000000000003"/>
  </r>
  <r>
    <n v="2330"/>
    <x v="1"/>
    <d v="2016-08-03T00:00:00"/>
    <x v="2"/>
    <x v="7"/>
    <n v="152.11269999999999"/>
    <n v="153.43549999999999"/>
    <n v="151.67179999999999"/>
    <n v="152.11269999999999"/>
    <n v="21652"/>
    <n v="-2.0087000000000002"/>
    <n v="1.1628000000000001"/>
  </r>
  <r>
    <n v="2303"/>
    <x v="0"/>
    <d v="2016-08-04T00:00:00"/>
    <x v="3"/>
    <x v="7"/>
    <n v="10.540100000000001"/>
    <n v="10.5846"/>
    <n v="10.4956"/>
    <n v="10.5846"/>
    <n v="12729"/>
    <n v="0.84389999999999998"/>
    <n v="0.84750000000000003"/>
  </r>
  <r>
    <n v="2330"/>
    <x v="1"/>
    <d v="2016-08-04T00:00:00"/>
    <x v="3"/>
    <x v="7"/>
    <n v="152.55359999999999"/>
    <n v="153.87639999999999"/>
    <n v="152.11269999999999"/>
    <n v="153.87639999999999"/>
    <n v="14292"/>
    <n v="1.1528"/>
    <n v="1.1594"/>
  </r>
  <r>
    <n v="2303"/>
    <x v="0"/>
    <d v="2016-08-05T00:00:00"/>
    <x v="4"/>
    <x v="7"/>
    <n v="10.5846"/>
    <n v="10.673500000000001"/>
    <n v="10.540100000000001"/>
    <n v="10.5846"/>
    <n v="19739"/>
    <n v="0"/>
    <n v="1.2658"/>
  </r>
  <r>
    <n v="2330"/>
    <x v="1"/>
    <d v="2016-08-05T00:00:00"/>
    <x v="4"/>
    <x v="7"/>
    <n v="154.31729999999999"/>
    <n v="156.52180000000001"/>
    <n v="153.43549999999999"/>
    <n v="156.08090000000001"/>
    <n v="25803"/>
    <n v="1.4225000000000001"/>
    <n v="2.0114999999999998"/>
  </r>
  <r>
    <n v="2303"/>
    <x v="0"/>
    <d v="2016-08-08T00:00:00"/>
    <x v="0"/>
    <x v="7"/>
    <n v="10.673500000000001"/>
    <n v="10.673500000000001"/>
    <n v="10.4956"/>
    <n v="10.5846"/>
    <n v="23076"/>
    <n v="0"/>
    <n v="1.6949000000000001"/>
  </r>
  <r>
    <n v="2330"/>
    <x v="1"/>
    <d v="2016-08-08T00:00:00"/>
    <x v="0"/>
    <x v="7"/>
    <n v="156.96270000000001"/>
    <n v="156.96270000000001"/>
    <n v="155.63999999999999"/>
    <n v="156.96270000000001"/>
    <n v="16241"/>
    <n v="0.56340000000000001"/>
    <n v="0.84989999999999999"/>
  </r>
  <r>
    <n v="2303"/>
    <x v="0"/>
    <d v="2016-08-09T00:00:00"/>
    <x v="1"/>
    <x v="7"/>
    <n v="10.540100000000001"/>
    <n v="10.629"/>
    <n v="10.4956"/>
    <n v="10.629"/>
    <n v="23575"/>
    <n v="0.41930000000000001"/>
    <n v="1.2712000000000001"/>
  </r>
  <r>
    <n v="2330"/>
    <x v="1"/>
    <d v="2016-08-09T00:00:00"/>
    <x v="1"/>
    <x v="7"/>
    <n v="157.40360000000001"/>
    <n v="158.28540000000001"/>
    <n v="156.08090000000001"/>
    <n v="157.40360000000001"/>
    <n v="16443"/>
    <n v="0.28050000000000003"/>
    <n v="1.4124000000000001"/>
  </r>
  <r>
    <n v="2303"/>
    <x v="0"/>
    <d v="2016-08-10T00:00:00"/>
    <x v="2"/>
    <x v="7"/>
    <n v="10.5846"/>
    <n v="10.629"/>
    <n v="10.4956"/>
    <n v="10.5846"/>
    <n v="16673"/>
    <n v="-0.41930000000000001"/>
    <n v="1.2712000000000001"/>
  </r>
  <r>
    <n v="2330"/>
    <x v="1"/>
    <d v="2016-08-10T00:00:00"/>
    <x v="2"/>
    <x v="7"/>
    <n v="157.84450000000001"/>
    <n v="158.28540000000001"/>
    <n v="156.96270000000001"/>
    <n v="158.28540000000001"/>
    <n v="19307"/>
    <n v="0.55869999999999997"/>
    <n v="0.8427"/>
  </r>
  <r>
    <n v="2303"/>
    <x v="0"/>
    <d v="2016-08-11T00:00:00"/>
    <x v="3"/>
    <x v="7"/>
    <n v="10.540100000000001"/>
    <n v="10.629"/>
    <n v="10.4956"/>
    <n v="10.629"/>
    <n v="18720"/>
    <n v="0.41930000000000001"/>
    <n v="1.2712000000000001"/>
  </r>
  <r>
    <n v="2330"/>
    <x v="1"/>
    <d v="2016-08-11T00:00:00"/>
    <x v="3"/>
    <x v="7"/>
    <n v="156.52180000000001"/>
    <n v="156.96270000000001"/>
    <n v="154.75819999999999"/>
    <n v="155.63999999999999"/>
    <n v="28216"/>
    <n v="-1.6854"/>
    <n v="1.4245000000000001"/>
  </r>
  <r>
    <n v="2303"/>
    <x v="0"/>
    <d v="2016-08-12T00:00:00"/>
    <x v="4"/>
    <x v="7"/>
    <n v="10.629"/>
    <n v="10.673500000000001"/>
    <n v="10.5846"/>
    <n v="10.673500000000001"/>
    <n v="11579"/>
    <n v="0.41749999999999998"/>
    <n v="0.84030000000000005"/>
  </r>
  <r>
    <n v="2330"/>
    <x v="1"/>
    <d v="2016-08-12T00:00:00"/>
    <x v="4"/>
    <x v="7"/>
    <n v="157.40360000000001"/>
    <n v="157.40360000000001"/>
    <n v="156.08090000000001"/>
    <n v="156.52180000000001"/>
    <n v="23986"/>
    <n v="0.56499999999999995"/>
    <n v="0.84750000000000003"/>
  </r>
  <r>
    <n v="2303"/>
    <x v="0"/>
    <d v="2016-08-15T00:00:00"/>
    <x v="0"/>
    <x v="7"/>
    <n v="10.629"/>
    <n v="10.673500000000001"/>
    <n v="10.4956"/>
    <n v="10.540100000000001"/>
    <n v="16151"/>
    <n v="-1.2579"/>
    <n v="1.6949000000000001"/>
  </r>
  <r>
    <n v="2330"/>
    <x v="1"/>
    <d v="2016-08-15T00:00:00"/>
    <x v="0"/>
    <x v="7"/>
    <n v="157.40360000000001"/>
    <n v="157.84450000000001"/>
    <n v="156.52180000000001"/>
    <n v="157.84450000000001"/>
    <n v="13660"/>
    <n v="0.84150000000000003"/>
    <n v="0.84509999999999996"/>
  </r>
  <r>
    <n v="2303"/>
    <x v="0"/>
    <d v="2016-08-16T00:00:00"/>
    <x v="1"/>
    <x v="7"/>
    <n v="10.540100000000001"/>
    <n v="10.5846"/>
    <n v="10.406700000000001"/>
    <n v="10.4511"/>
    <n v="35671"/>
    <n v="-0.84750000000000003"/>
    <n v="1.7094"/>
  </r>
  <r>
    <n v="2330"/>
    <x v="1"/>
    <d v="2016-08-16T00:00:00"/>
    <x v="1"/>
    <x v="7"/>
    <n v="156.96270000000001"/>
    <n v="157.84450000000001"/>
    <n v="154.31729999999999"/>
    <n v="154.75819999999999"/>
    <n v="34284"/>
    <n v="-1.9746999999999999"/>
    <n v="2.2856999999999998"/>
  </r>
  <r>
    <n v="2303"/>
    <x v="0"/>
    <d v="2016-08-17T00:00:00"/>
    <x v="2"/>
    <x v="7"/>
    <n v="10.4511"/>
    <n v="10.4956"/>
    <n v="10.3177"/>
    <n v="10.4511"/>
    <n v="21041"/>
    <n v="0"/>
    <n v="1.7241"/>
  </r>
  <r>
    <n v="2330"/>
    <x v="1"/>
    <d v="2016-08-17T00:00:00"/>
    <x v="2"/>
    <x v="7"/>
    <n v="156.08090000000001"/>
    <n v="156.52180000000001"/>
    <n v="155.19909999999999"/>
    <n v="156.08090000000001"/>
    <n v="24169"/>
    <n v="0.85109999999999997"/>
    <n v="0.85229999999999995"/>
  </r>
  <r>
    <n v="2303"/>
    <x v="0"/>
    <d v="2016-08-18T00:00:00"/>
    <x v="3"/>
    <x v="7"/>
    <n v="10.406700000000001"/>
    <n v="10.4511"/>
    <n v="10.3622"/>
    <n v="10.3622"/>
    <n v="14296"/>
    <n v="-0.85470000000000002"/>
    <n v="0.85840000000000005"/>
  </r>
  <r>
    <n v="2330"/>
    <x v="1"/>
    <d v="2016-08-18T00:00:00"/>
    <x v="3"/>
    <x v="7"/>
    <n v="155.19909999999999"/>
    <n v="155.63999999999999"/>
    <n v="154.31729999999999"/>
    <n v="155.19909999999999"/>
    <n v="27899"/>
    <n v="-0.56659999999999999"/>
    <n v="0.85709999999999997"/>
  </r>
  <r>
    <n v="2303"/>
    <x v="0"/>
    <d v="2016-08-19T00:00:00"/>
    <x v="4"/>
    <x v="7"/>
    <n v="10.3622"/>
    <n v="10.406700000000001"/>
    <n v="10.273300000000001"/>
    <n v="10.273300000000001"/>
    <n v="23669"/>
    <n v="-0.86209999999999998"/>
    <n v="1.2987"/>
  </r>
  <r>
    <n v="2330"/>
    <x v="1"/>
    <d v="2016-08-19T00:00:00"/>
    <x v="4"/>
    <x v="7"/>
    <n v="156.08090000000001"/>
    <n v="156.52180000000001"/>
    <n v="153.43549999999999"/>
    <n v="153.87639999999999"/>
    <n v="23496"/>
    <n v="-0.85589999999999999"/>
    <n v="2.0114999999999998"/>
  </r>
  <r>
    <n v="2303"/>
    <x v="0"/>
    <d v="2016-08-22T00:00:00"/>
    <x v="0"/>
    <x v="7"/>
    <n v="10.273300000000001"/>
    <n v="10.3177"/>
    <n v="10.139799999999999"/>
    <n v="10.139799999999999"/>
    <n v="25356"/>
    <n v="-1.3071999999999999"/>
    <n v="1.7544"/>
  </r>
  <r>
    <n v="2330"/>
    <x v="1"/>
    <d v="2016-08-22T00:00:00"/>
    <x v="0"/>
    <x v="7"/>
    <n v="152.55359999999999"/>
    <n v="153.43549999999999"/>
    <n v="151.23089999999999"/>
    <n v="152.55359999999999"/>
    <n v="21822"/>
    <n v="-0.86329999999999996"/>
    <n v="1.4577"/>
  </r>
  <r>
    <n v="2303"/>
    <x v="0"/>
    <d v="2016-08-23T00:00:00"/>
    <x v="1"/>
    <x v="7"/>
    <n v="10.139799999999999"/>
    <n v="10.2288"/>
    <n v="10.139799999999999"/>
    <n v="10.1843"/>
    <n v="21224"/>
    <n v="0.43759999999999999"/>
    <n v="0.87719999999999998"/>
  </r>
  <r>
    <n v="2330"/>
    <x v="1"/>
    <d v="2016-08-23T00:00:00"/>
    <x v="1"/>
    <x v="7"/>
    <n v="153.43549999999999"/>
    <n v="154.31729999999999"/>
    <n v="152.99459999999999"/>
    <n v="153.43549999999999"/>
    <n v="21467"/>
    <n v="0.57640000000000002"/>
    <n v="0.86460000000000004"/>
  </r>
  <r>
    <n v="2303"/>
    <x v="0"/>
    <d v="2016-08-24T00:00:00"/>
    <x v="2"/>
    <x v="7"/>
    <n v="10.2288"/>
    <n v="10.273300000000001"/>
    <n v="10.1843"/>
    <n v="10.1843"/>
    <n v="15527"/>
    <n v="0"/>
    <n v="0.87339999999999995"/>
  </r>
  <r>
    <n v="2330"/>
    <x v="1"/>
    <d v="2016-08-24T00:00:00"/>
    <x v="2"/>
    <x v="7"/>
    <n v="154.31729999999999"/>
    <n v="154.75819999999999"/>
    <n v="152.99459999999999"/>
    <n v="152.99459999999999"/>
    <n v="12532"/>
    <n v="-0.2878"/>
    <n v="1.1527000000000001"/>
  </r>
  <r>
    <n v="2303"/>
    <x v="0"/>
    <d v="2016-08-25T00:00:00"/>
    <x v="3"/>
    <x v="7"/>
    <n v="10.2288"/>
    <n v="10.540100000000001"/>
    <n v="10.1843"/>
    <n v="10.540100000000001"/>
    <n v="56398"/>
    <n v="3.4338000000000002"/>
    <n v="3.4933999999999998"/>
  </r>
  <r>
    <n v="2330"/>
    <x v="1"/>
    <d v="2016-08-25T00:00:00"/>
    <x v="3"/>
    <x v="7"/>
    <n v="154.31729999999999"/>
    <n v="156.08090000000001"/>
    <n v="153.87639999999999"/>
    <n v="156.08090000000001"/>
    <n v="23973"/>
    <n v="1.9972000000000001"/>
    <n v="1.4327000000000001"/>
  </r>
  <r>
    <n v="2303"/>
    <x v="0"/>
    <d v="2016-08-26T00:00:00"/>
    <x v="4"/>
    <x v="7"/>
    <n v="10.540100000000001"/>
    <n v="10.540100000000001"/>
    <n v="10.406700000000001"/>
    <n v="10.4956"/>
    <n v="27154"/>
    <n v="-0.42280000000000001"/>
    <n v="1.2821"/>
  </r>
  <r>
    <n v="2330"/>
    <x v="1"/>
    <d v="2016-08-26T00:00:00"/>
    <x v="4"/>
    <x v="7"/>
    <n v="154.31729999999999"/>
    <n v="156.08090000000001"/>
    <n v="154.31729999999999"/>
    <n v="156.08090000000001"/>
    <n v="15804"/>
    <n v="0"/>
    <n v="1.1429"/>
  </r>
  <r>
    <n v="2303"/>
    <x v="0"/>
    <d v="2016-08-29T00:00:00"/>
    <x v="0"/>
    <x v="7"/>
    <n v="10.4956"/>
    <n v="10.4956"/>
    <n v="10.273300000000001"/>
    <n v="10.3177"/>
    <n v="28011"/>
    <n v="-1.7094"/>
    <n v="2.1644999999999999"/>
  </r>
  <r>
    <n v="2330"/>
    <x v="1"/>
    <d v="2016-08-29T00:00:00"/>
    <x v="0"/>
    <x v="7"/>
    <n v="154.31729999999999"/>
    <n v="156.08090000000001"/>
    <n v="153.43549999999999"/>
    <n v="155.63999999999999"/>
    <n v="16967"/>
    <n v="-0.28289999999999998"/>
    <n v="1.7241"/>
  </r>
  <r>
    <n v="2303"/>
    <x v="0"/>
    <d v="2016-08-30T00:00:00"/>
    <x v="1"/>
    <x v="7"/>
    <n v="10.3622"/>
    <n v="10.406700000000001"/>
    <n v="10.2288"/>
    <n v="10.3177"/>
    <n v="21095"/>
    <n v="0"/>
    <n v="1.7391000000000001"/>
  </r>
  <r>
    <n v="2330"/>
    <x v="1"/>
    <d v="2016-08-30T00:00:00"/>
    <x v="1"/>
    <x v="7"/>
    <n v="155.19909999999999"/>
    <n v="155.63999999999999"/>
    <n v="153.43549999999999"/>
    <n v="153.87639999999999"/>
    <n v="19752"/>
    <n v="-1.1395999999999999"/>
    <n v="1.4368000000000001"/>
  </r>
  <r>
    <n v="2303"/>
    <x v="0"/>
    <d v="2016-08-31T00:00:00"/>
    <x v="2"/>
    <x v="7"/>
    <n v="10.3622"/>
    <n v="10.3622"/>
    <n v="10.2288"/>
    <n v="10.2288"/>
    <n v="32554"/>
    <n v="-0.86580000000000001"/>
    <n v="1.3043"/>
  </r>
  <r>
    <n v="2330"/>
    <x v="1"/>
    <d v="2016-08-31T00:00:00"/>
    <x v="2"/>
    <x v="7"/>
    <n v="155.63999999999999"/>
    <n v="156.08090000000001"/>
    <n v="153.87639999999999"/>
    <n v="155.19909999999999"/>
    <n v="42461"/>
    <n v="0.85589999999999999"/>
    <n v="1.4327000000000001"/>
  </r>
  <r>
    <n v="2303"/>
    <x v="0"/>
    <d v="2016-09-01T00:00:00"/>
    <x v="3"/>
    <x v="8"/>
    <n v="10.2288"/>
    <n v="10.273300000000001"/>
    <n v="10.1843"/>
    <n v="10.2288"/>
    <n v="25835"/>
    <n v="0"/>
    <n v="0.87339999999999995"/>
  </r>
  <r>
    <n v="2330"/>
    <x v="1"/>
    <d v="2016-09-01T00:00:00"/>
    <x v="3"/>
    <x v="8"/>
    <n v="155.19909999999999"/>
    <n v="155.19909999999999"/>
    <n v="152.55359999999999"/>
    <n v="152.99459999999999"/>
    <n v="26101"/>
    <n v="-1.4306000000000001"/>
    <n v="1.7341"/>
  </r>
  <r>
    <n v="2303"/>
    <x v="0"/>
    <d v="2016-09-02T00:00:00"/>
    <x v="4"/>
    <x v="8"/>
    <n v="10.3177"/>
    <n v="10.3177"/>
    <n v="10.2288"/>
    <n v="10.3177"/>
    <n v="19335"/>
    <n v="0.86580000000000001"/>
    <n v="0.86960000000000004"/>
  </r>
  <r>
    <n v="2330"/>
    <x v="1"/>
    <d v="2016-09-02T00:00:00"/>
    <x v="4"/>
    <x v="8"/>
    <n v="155.63999999999999"/>
    <n v="155.63999999999999"/>
    <n v="153.43549999999999"/>
    <n v="153.87639999999999"/>
    <n v="19489"/>
    <n v="0.57469999999999999"/>
    <n v="1.4368000000000001"/>
  </r>
  <r>
    <n v="2303"/>
    <x v="0"/>
    <d v="2016-09-05T00:00:00"/>
    <x v="0"/>
    <x v="8"/>
    <n v="10.3622"/>
    <n v="10.406700000000001"/>
    <n v="10.3177"/>
    <n v="10.3622"/>
    <n v="11897"/>
    <n v="0.43009999999999998"/>
    <n v="0.86209999999999998"/>
  </r>
  <r>
    <n v="2330"/>
    <x v="1"/>
    <d v="2016-09-05T00:00:00"/>
    <x v="0"/>
    <x v="8"/>
    <n v="155.63999999999999"/>
    <n v="156.52180000000001"/>
    <n v="155.63999999999999"/>
    <n v="155.63999999999999"/>
    <n v="27982"/>
    <n v="1.1395999999999999"/>
    <n v="0.56659999999999999"/>
  </r>
  <r>
    <n v="2303"/>
    <x v="0"/>
    <d v="2016-09-06T00:00:00"/>
    <x v="1"/>
    <x v="8"/>
    <n v="10.3622"/>
    <n v="10.4511"/>
    <n v="10.3622"/>
    <n v="10.4511"/>
    <n v="17052"/>
    <n v="0.85470000000000002"/>
    <n v="0.85840000000000005"/>
  </r>
  <r>
    <n v="2330"/>
    <x v="1"/>
    <d v="2016-09-06T00:00:00"/>
    <x v="1"/>
    <x v="8"/>
    <n v="156.08090000000001"/>
    <n v="157.84450000000001"/>
    <n v="155.63999999999999"/>
    <n v="157.84450000000001"/>
    <n v="29646"/>
    <n v="1.4065000000000001"/>
    <n v="1.4164000000000001"/>
  </r>
  <r>
    <n v="2303"/>
    <x v="0"/>
    <d v="2016-09-07T00:00:00"/>
    <x v="2"/>
    <x v="8"/>
    <n v="10.4511"/>
    <n v="10.5846"/>
    <n v="10.406700000000001"/>
    <n v="10.540100000000001"/>
    <n v="30041"/>
    <n v="0.84750000000000003"/>
    <n v="1.7094"/>
  </r>
  <r>
    <n v="2330"/>
    <x v="1"/>
    <d v="2016-09-07T00:00:00"/>
    <x v="2"/>
    <x v="8"/>
    <n v="159.16720000000001"/>
    <n v="163.1354"/>
    <n v="158.72630000000001"/>
    <n v="162.25360000000001"/>
    <n v="50851"/>
    <n v="2.7549999999999999"/>
    <n v="2.7778"/>
  </r>
  <r>
    <n v="2303"/>
    <x v="0"/>
    <d v="2016-09-08T00:00:00"/>
    <x v="3"/>
    <x v="8"/>
    <n v="10.4511"/>
    <n v="10.4956"/>
    <n v="10.406700000000001"/>
    <n v="10.4511"/>
    <n v="15831"/>
    <n v="-0.84750000000000003"/>
    <n v="0.85470000000000002"/>
  </r>
  <r>
    <n v="2330"/>
    <x v="1"/>
    <d v="2016-09-08T00:00:00"/>
    <x v="3"/>
    <x v="8"/>
    <n v="160.93090000000001"/>
    <n v="162.69450000000001"/>
    <n v="160.93090000000001"/>
    <n v="161.37180000000001"/>
    <n v="30307"/>
    <n v="-0.54500000000000004"/>
    <n v="1.0959000000000001"/>
  </r>
  <r>
    <n v="2303"/>
    <x v="0"/>
    <d v="2016-09-09T00:00:00"/>
    <x v="4"/>
    <x v="8"/>
    <n v="10.3177"/>
    <n v="10.406700000000001"/>
    <n v="10.3177"/>
    <n v="10.3622"/>
    <n v="14219"/>
    <n v="-0.85470000000000002"/>
    <n v="0.86209999999999998"/>
  </r>
  <r>
    <n v="2330"/>
    <x v="1"/>
    <d v="2016-09-09T00:00:00"/>
    <x v="4"/>
    <x v="8"/>
    <n v="159.60820000000001"/>
    <n v="159.60820000000001"/>
    <n v="158.28540000000001"/>
    <n v="158.28540000000001"/>
    <n v="30635"/>
    <n v="-1.9311"/>
    <n v="0.8357"/>
  </r>
  <r>
    <n v="2303"/>
    <x v="0"/>
    <d v="2016-09-10T00:00:00"/>
    <x v="5"/>
    <x v="8"/>
    <n v="10.2288"/>
    <n v="10.3177"/>
    <n v="10.2288"/>
    <n v="10.273300000000001"/>
    <n v="9547"/>
    <n v="-0.86209999999999998"/>
    <n v="0.86960000000000004"/>
  </r>
  <r>
    <n v="2330"/>
    <x v="1"/>
    <d v="2016-09-10T00:00:00"/>
    <x v="5"/>
    <x v="8"/>
    <n v="156.08090000000001"/>
    <n v="157.84450000000001"/>
    <n v="155.19909999999999"/>
    <n v="156.96270000000001"/>
    <n v="15470"/>
    <n v="-0.83919999999999995"/>
    <n v="1.7044999999999999"/>
  </r>
  <r>
    <n v="2303"/>
    <x v="0"/>
    <d v="2016-09-12T00:00:00"/>
    <x v="0"/>
    <x v="8"/>
    <n v="10.2288"/>
    <n v="10.3177"/>
    <n v="10.1843"/>
    <n v="10.273300000000001"/>
    <n v="26712"/>
    <n v="0"/>
    <n v="1.31"/>
  </r>
  <r>
    <n v="2330"/>
    <x v="1"/>
    <d v="2016-09-12T00:00:00"/>
    <x v="0"/>
    <x v="8"/>
    <n v="156.52180000000001"/>
    <n v="156.52180000000001"/>
    <n v="153.43549999999999"/>
    <n v="154.31729999999999"/>
    <n v="42751"/>
    <n v="-1.6998"/>
    <n v="2.0114999999999998"/>
  </r>
  <r>
    <n v="2303"/>
    <x v="0"/>
    <d v="2016-09-13T00:00:00"/>
    <x v="1"/>
    <x v="8"/>
    <n v="10.273300000000001"/>
    <n v="10.3177"/>
    <n v="10.1843"/>
    <n v="10.2288"/>
    <n v="24414"/>
    <n v="-0.43380000000000002"/>
    <n v="1.31"/>
  </r>
  <r>
    <n v="2330"/>
    <x v="1"/>
    <d v="2016-09-13T00:00:00"/>
    <x v="1"/>
    <x v="8"/>
    <n v="155.63999999999999"/>
    <n v="155.63999999999999"/>
    <n v="152.99459999999999"/>
    <n v="154.31729999999999"/>
    <n v="38438"/>
    <n v="0"/>
    <n v="1.7291000000000001"/>
  </r>
  <r>
    <n v="2303"/>
    <x v="0"/>
    <d v="2016-09-14T00:00:00"/>
    <x v="2"/>
    <x v="8"/>
    <n v="10.1843"/>
    <n v="10.273300000000001"/>
    <n v="10.139799999999999"/>
    <n v="10.139799999999999"/>
    <n v="24412"/>
    <n v="-0.87339999999999995"/>
    <n v="1.3158000000000001"/>
  </r>
  <r>
    <n v="2330"/>
    <x v="1"/>
    <d v="2016-09-14T00:00:00"/>
    <x v="2"/>
    <x v="8"/>
    <n v="153.43549999999999"/>
    <n v="155.19909999999999"/>
    <n v="152.99459999999999"/>
    <n v="152.99459999999999"/>
    <n v="52966"/>
    <n v="-0.86080000000000001"/>
    <n v="1.4409000000000001"/>
  </r>
  <r>
    <n v="2303"/>
    <x v="0"/>
    <d v="2016-09-19T00:00:00"/>
    <x v="0"/>
    <x v="8"/>
    <n v="10.1843"/>
    <n v="10.406700000000001"/>
    <n v="10.1843"/>
    <n v="10.273300000000001"/>
    <n v="38459"/>
    <n v="1.3071999999999999"/>
    <n v="2.1833999999999998"/>
  </r>
  <r>
    <n v="2330"/>
    <x v="1"/>
    <d v="2016-09-19T00:00:00"/>
    <x v="0"/>
    <x v="8"/>
    <n v="158.28540000000001"/>
    <n v="161.37180000000001"/>
    <n v="157.40360000000001"/>
    <n v="160.93090000000001"/>
    <n v="57296"/>
    <n v="5.0572999999999997"/>
    <n v="2.5209999999999999"/>
  </r>
  <r>
    <n v="2303"/>
    <x v="0"/>
    <d v="2016-09-20T00:00:00"/>
    <x v="1"/>
    <x v="8"/>
    <n v="10.273300000000001"/>
    <n v="10.3177"/>
    <n v="10.2288"/>
    <n v="10.273300000000001"/>
    <n v="23350"/>
    <n v="0"/>
    <n v="0.86960000000000004"/>
  </r>
  <r>
    <n v="2330"/>
    <x v="1"/>
    <d v="2016-09-20T00:00:00"/>
    <x v="1"/>
    <x v="8"/>
    <n v="160.49"/>
    <n v="161.81270000000001"/>
    <n v="160.04910000000001"/>
    <n v="161.37180000000001"/>
    <n v="23647"/>
    <n v="0.27360000000000001"/>
    <n v="1.1019000000000001"/>
  </r>
  <r>
    <n v="2303"/>
    <x v="0"/>
    <d v="2016-09-21T00:00:00"/>
    <x v="2"/>
    <x v="8"/>
    <n v="10.3177"/>
    <n v="10.4956"/>
    <n v="10.273300000000001"/>
    <n v="10.4956"/>
    <n v="38043"/>
    <n v="2.1414"/>
    <n v="2.1644999999999999"/>
  </r>
  <r>
    <n v="2330"/>
    <x v="1"/>
    <d v="2016-09-21T00:00:00"/>
    <x v="2"/>
    <x v="8"/>
    <n v="159.60820000000001"/>
    <n v="162.25360000000001"/>
    <n v="159.16720000000001"/>
    <n v="162.25360000000001"/>
    <n v="26261"/>
    <n v="0.54500000000000004"/>
    <n v="1.9391"/>
  </r>
  <r>
    <n v="2303"/>
    <x v="0"/>
    <d v="2016-09-22T00:00:00"/>
    <x v="3"/>
    <x v="8"/>
    <n v="10.540100000000001"/>
    <n v="10.540100000000001"/>
    <n v="10.3622"/>
    <n v="10.4511"/>
    <n v="26284"/>
    <n v="-0.42459999999999998"/>
    <n v="1.7166999999999999"/>
  </r>
  <r>
    <n v="2330"/>
    <x v="1"/>
    <d v="2016-09-22T00:00:00"/>
    <x v="3"/>
    <x v="8"/>
    <n v="163.1354"/>
    <n v="163.5763"/>
    <n v="161.81270000000001"/>
    <n v="163.5763"/>
    <n v="21213"/>
    <n v="0.81189999999999996"/>
    <n v="1.0899000000000001"/>
  </r>
  <r>
    <n v="2303"/>
    <x v="0"/>
    <d v="2016-09-23T00:00:00"/>
    <x v="4"/>
    <x v="8"/>
    <n v="10.4511"/>
    <n v="10.4511"/>
    <n v="10.3622"/>
    <n v="10.4511"/>
    <n v="17800"/>
    <n v="0"/>
    <n v="0.85840000000000005"/>
  </r>
  <r>
    <n v="2330"/>
    <x v="1"/>
    <d v="2016-09-23T00:00:00"/>
    <x v="4"/>
    <x v="8"/>
    <n v="163.1354"/>
    <n v="165.3399"/>
    <n v="162.69450000000001"/>
    <n v="165.3399"/>
    <n v="23141"/>
    <n v="1.0724"/>
    <n v="1.6259999999999999"/>
  </r>
  <r>
    <n v="2303"/>
    <x v="0"/>
    <d v="2016-09-26T00:00:00"/>
    <x v="0"/>
    <x v="8"/>
    <n v="10.406700000000001"/>
    <n v="10.4511"/>
    <n v="10.273300000000001"/>
    <n v="10.3177"/>
    <n v="13589"/>
    <n v="-1.2847999999999999"/>
    <n v="1.7316"/>
  </r>
  <r>
    <n v="2330"/>
    <x v="1"/>
    <d v="2016-09-26T00:00:00"/>
    <x v="0"/>
    <x v="8"/>
    <n v="161.81270000000001"/>
    <n v="163.1354"/>
    <n v="161.37180000000001"/>
    <n v="161.37180000000001"/>
    <n v="25218"/>
    <n v="-2.4293"/>
    <n v="1.0929"/>
  </r>
  <r>
    <n v="2303"/>
    <x v="0"/>
    <d v="2016-09-29T00:00:00"/>
    <x v="3"/>
    <x v="8"/>
    <n v="10.3177"/>
    <n v="10.4511"/>
    <n v="10.3177"/>
    <n v="10.3622"/>
    <n v="29375"/>
    <n v="0.43009999999999998"/>
    <n v="1.2930999999999999"/>
  </r>
  <r>
    <n v="2330"/>
    <x v="1"/>
    <d v="2016-09-29T00:00:00"/>
    <x v="3"/>
    <x v="8"/>
    <n v="163.5763"/>
    <n v="165.3399"/>
    <n v="163.5763"/>
    <n v="163.5763"/>
    <n v="57778"/>
    <n v="1.3569"/>
    <n v="1.0782"/>
  </r>
  <r>
    <n v="2303"/>
    <x v="0"/>
    <d v="2016-09-30T00:00:00"/>
    <x v="4"/>
    <x v="8"/>
    <n v="10.3622"/>
    <n v="10.3622"/>
    <n v="10.2288"/>
    <n v="10.273300000000001"/>
    <n v="26443"/>
    <n v="-0.86209999999999998"/>
    <n v="1.3043"/>
  </r>
  <r>
    <n v="2330"/>
    <x v="1"/>
    <d v="2016-09-30T00:00:00"/>
    <x v="4"/>
    <x v="8"/>
    <n v="163.5763"/>
    <n v="164.4581"/>
    <n v="160.93090000000001"/>
    <n v="160.93090000000001"/>
    <n v="45163"/>
    <n v="-1.6305000000000001"/>
    <n v="2.1918000000000002"/>
  </r>
  <r>
    <n v="2303"/>
    <x v="0"/>
    <d v="2016-10-03T00:00:00"/>
    <x v="0"/>
    <x v="9"/>
    <n v="10.273300000000001"/>
    <n v="10.3622"/>
    <n v="10.273300000000001"/>
    <n v="10.3177"/>
    <n v="10253"/>
    <n v="0.432"/>
    <n v="0.86580000000000001"/>
  </r>
  <r>
    <n v="2330"/>
    <x v="1"/>
    <d v="2016-10-03T00:00:00"/>
    <x v="0"/>
    <x v="9"/>
    <n v="164.0172"/>
    <n v="164.4581"/>
    <n v="162.69450000000001"/>
    <n v="164.0172"/>
    <n v="18987"/>
    <n v="1.8996999999999999"/>
    <n v="1.0840000000000001"/>
  </r>
  <r>
    <n v="2303"/>
    <x v="0"/>
    <d v="2016-10-04T00:00:00"/>
    <x v="1"/>
    <x v="9"/>
    <n v="10.3177"/>
    <n v="10.3177"/>
    <n v="10.273300000000001"/>
    <n v="10.3177"/>
    <n v="13675"/>
    <n v="0"/>
    <n v="0.43290000000000001"/>
  </r>
  <r>
    <n v="2330"/>
    <x v="1"/>
    <d v="2016-10-04T00:00:00"/>
    <x v="1"/>
    <x v="9"/>
    <n v="163.1354"/>
    <n v="164.899"/>
    <n v="163.1354"/>
    <n v="164.899"/>
    <n v="17139"/>
    <n v="0.53620000000000001"/>
    <n v="1.0810999999999999"/>
  </r>
  <r>
    <n v="2303"/>
    <x v="0"/>
    <d v="2016-10-05T00:00:00"/>
    <x v="2"/>
    <x v="9"/>
    <n v="10.2288"/>
    <n v="10.3177"/>
    <n v="10.2288"/>
    <n v="10.3177"/>
    <n v="14220"/>
    <n v="0"/>
    <n v="0.86960000000000004"/>
  </r>
  <r>
    <n v="2330"/>
    <x v="1"/>
    <d v="2016-10-05T00:00:00"/>
    <x v="2"/>
    <x v="9"/>
    <n v="164.0172"/>
    <n v="164.0172"/>
    <n v="162.69450000000001"/>
    <n v="164.0172"/>
    <n v="19144"/>
    <n v="-0.53620000000000001"/>
    <n v="0.81299999999999994"/>
  </r>
  <r>
    <n v="2303"/>
    <x v="0"/>
    <d v="2016-10-06T00:00:00"/>
    <x v="3"/>
    <x v="9"/>
    <n v="10.273300000000001"/>
    <n v="10.3177"/>
    <n v="10.273300000000001"/>
    <n v="10.3177"/>
    <n v="12184"/>
    <n v="0"/>
    <n v="0.43290000000000001"/>
  </r>
  <r>
    <n v="2330"/>
    <x v="1"/>
    <d v="2016-10-06T00:00:00"/>
    <x v="3"/>
    <x v="9"/>
    <n v="163.1354"/>
    <n v="165.3399"/>
    <n v="163.1354"/>
    <n v="165.3399"/>
    <n v="15715"/>
    <n v="0.80320000000000003"/>
    <n v="1.3513999999999999"/>
  </r>
  <r>
    <n v="2303"/>
    <x v="0"/>
    <d v="2016-10-07T00:00:00"/>
    <x v="4"/>
    <x v="9"/>
    <n v="10.3177"/>
    <n v="10.3177"/>
    <n v="10.2288"/>
    <n v="10.2288"/>
    <n v="9149"/>
    <n v="-0.86580000000000001"/>
    <n v="0.86960000000000004"/>
  </r>
  <r>
    <n v="2330"/>
    <x v="1"/>
    <d v="2016-10-07T00:00:00"/>
    <x v="4"/>
    <x v="9"/>
    <n v="165.7808"/>
    <n v="165.7808"/>
    <n v="164.0172"/>
    <n v="165.7808"/>
    <n v="15870"/>
    <n v="0.26629999999999998"/>
    <n v="1.0752999999999999"/>
  </r>
  <r>
    <n v="2303"/>
    <x v="0"/>
    <d v="2016-10-11T00:00:00"/>
    <x v="1"/>
    <x v="9"/>
    <n v="10.3177"/>
    <n v="10.406700000000001"/>
    <n v="10.2288"/>
    <n v="10.3622"/>
    <n v="37427"/>
    <n v="1.2959000000000001"/>
    <n v="1.7391000000000001"/>
  </r>
  <r>
    <n v="2330"/>
    <x v="1"/>
    <d v="2016-10-11T00:00:00"/>
    <x v="1"/>
    <x v="9"/>
    <n v="168.4263"/>
    <n v="168.4263"/>
    <n v="164.0172"/>
    <n v="165.3399"/>
    <n v="31107"/>
    <n v="-0.26629999999999998"/>
    <n v="2.6882000000000001"/>
  </r>
  <r>
    <n v="2303"/>
    <x v="0"/>
    <d v="2016-10-12T00:00:00"/>
    <x v="2"/>
    <x v="9"/>
    <n v="10.3177"/>
    <n v="10.3622"/>
    <n v="10.2288"/>
    <n v="10.273300000000001"/>
    <n v="23419"/>
    <n v="-0.86209999999999998"/>
    <n v="1.3043"/>
  </r>
  <r>
    <n v="2330"/>
    <x v="1"/>
    <d v="2016-10-12T00:00:00"/>
    <x v="2"/>
    <x v="9"/>
    <n v="164.4581"/>
    <n v="167.5445"/>
    <n v="164.0172"/>
    <n v="167.1036"/>
    <n v="24592"/>
    <n v="1.0609999999999999"/>
    <n v="2.1505000000000001"/>
  </r>
  <r>
    <n v="2303"/>
    <x v="0"/>
    <d v="2016-10-13T00:00:00"/>
    <x v="3"/>
    <x v="9"/>
    <n v="10.3177"/>
    <n v="10.3177"/>
    <n v="10.1843"/>
    <n v="10.2288"/>
    <n v="29280"/>
    <n v="-0.43380000000000002"/>
    <n v="1.31"/>
  </r>
  <r>
    <n v="2330"/>
    <x v="1"/>
    <d v="2016-10-13T00:00:00"/>
    <x v="3"/>
    <x v="9"/>
    <n v="167.9854"/>
    <n v="168.4263"/>
    <n v="164.899"/>
    <n v="166.2218"/>
    <n v="40728"/>
    <n v="-0.52910000000000001"/>
    <n v="2.1389999999999998"/>
  </r>
  <r>
    <n v="2303"/>
    <x v="0"/>
    <d v="2016-10-14T00:00:00"/>
    <x v="4"/>
    <x v="9"/>
    <n v="10.2288"/>
    <n v="10.406700000000001"/>
    <n v="10.1843"/>
    <n v="10.3622"/>
    <n v="29111"/>
    <n v="1.2959000000000001"/>
    <n v="2.1833999999999998"/>
  </r>
  <r>
    <n v="2330"/>
    <x v="1"/>
    <d v="2016-10-14T00:00:00"/>
    <x v="4"/>
    <x v="9"/>
    <n v="164.899"/>
    <n v="166.6627"/>
    <n v="164.4581"/>
    <n v="165.7808"/>
    <n v="34340"/>
    <n v="-0.2656"/>
    <n v="1.3405"/>
  </r>
  <r>
    <n v="2303"/>
    <x v="0"/>
    <d v="2016-10-17T00:00:00"/>
    <x v="0"/>
    <x v="9"/>
    <n v="10.3622"/>
    <n v="10.3622"/>
    <n v="10.2288"/>
    <n v="10.273300000000001"/>
    <n v="12931"/>
    <n v="-0.86209999999999998"/>
    <n v="1.3043"/>
  </r>
  <r>
    <n v="2330"/>
    <x v="1"/>
    <d v="2016-10-17T00:00:00"/>
    <x v="0"/>
    <x v="9"/>
    <n v="164.4581"/>
    <n v="165.3399"/>
    <n v="163.1354"/>
    <n v="164.4581"/>
    <n v="37878"/>
    <n v="-0.80110000000000003"/>
    <n v="1.3513999999999999"/>
  </r>
  <r>
    <n v="2303"/>
    <x v="0"/>
    <d v="2016-10-18T00:00:00"/>
    <x v="1"/>
    <x v="9"/>
    <n v="10.273300000000001"/>
    <n v="10.3622"/>
    <n v="10.273300000000001"/>
    <n v="10.3622"/>
    <n v="14198"/>
    <n v="0.86209999999999998"/>
    <n v="0.86580000000000001"/>
  </r>
  <r>
    <n v="2330"/>
    <x v="1"/>
    <d v="2016-10-18T00:00:00"/>
    <x v="1"/>
    <x v="9"/>
    <n v="164.4581"/>
    <n v="164.899"/>
    <n v="163.5763"/>
    <n v="164.899"/>
    <n v="40651"/>
    <n v="0.26769999999999999"/>
    <n v="0.80859999999999999"/>
  </r>
  <r>
    <n v="2303"/>
    <x v="0"/>
    <d v="2016-10-19T00:00:00"/>
    <x v="2"/>
    <x v="9"/>
    <n v="10.3622"/>
    <n v="10.406700000000001"/>
    <n v="10.3177"/>
    <n v="10.406700000000001"/>
    <n v="17853"/>
    <n v="0.42830000000000001"/>
    <n v="0.86209999999999998"/>
  </r>
  <r>
    <n v="2330"/>
    <x v="1"/>
    <d v="2016-10-19T00:00:00"/>
    <x v="2"/>
    <x v="9"/>
    <n v="165.3399"/>
    <n v="167.1036"/>
    <n v="165.3399"/>
    <n v="167.1036"/>
    <n v="38143"/>
    <n v="1.3280000000000001"/>
    <n v="1.0667"/>
  </r>
  <r>
    <n v="2303"/>
    <x v="0"/>
    <d v="2016-10-20T00:00:00"/>
    <x v="3"/>
    <x v="9"/>
    <n v="10.406700000000001"/>
    <n v="10.406700000000001"/>
    <n v="10.3177"/>
    <n v="10.3622"/>
    <n v="11772"/>
    <n v="-0.42830000000000001"/>
    <n v="0.86209999999999998"/>
  </r>
  <r>
    <n v="2330"/>
    <x v="1"/>
    <d v="2016-10-20T00:00:00"/>
    <x v="3"/>
    <x v="9"/>
    <n v="167.1036"/>
    <n v="167.9854"/>
    <n v="166.6627"/>
    <n v="167.9854"/>
    <n v="15736"/>
    <n v="0.52629999999999999"/>
    <n v="0.79369999999999996"/>
  </r>
  <r>
    <n v="2303"/>
    <x v="0"/>
    <d v="2016-10-21T00:00:00"/>
    <x v="4"/>
    <x v="9"/>
    <n v="10.3177"/>
    <n v="10.406700000000001"/>
    <n v="10.3177"/>
    <n v="10.406700000000001"/>
    <n v="14109"/>
    <n v="0.42830000000000001"/>
    <n v="0.86209999999999998"/>
  </r>
  <r>
    <n v="2330"/>
    <x v="1"/>
    <d v="2016-10-21T00:00:00"/>
    <x v="4"/>
    <x v="9"/>
    <n v="168.4263"/>
    <n v="169.3081"/>
    <n v="166.2218"/>
    <n v="166.2218"/>
    <n v="22316"/>
    <n v="-1.0553999999999999"/>
    <n v="1.8568"/>
  </r>
  <r>
    <n v="2303"/>
    <x v="0"/>
    <d v="2016-10-24T00:00:00"/>
    <x v="0"/>
    <x v="9"/>
    <n v="10.4511"/>
    <n v="10.4511"/>
    <n v="10.3177"/>
    <n v="10.3622"/>
    <n v="12059"/>
    <n v="-0.42830000000000001"/>
    <n v="1.2930999999999999"/>
  </r>
  <r>
    <n v="2330"/>
    <x v="1"/>
    <d v="2016-10-24T00:00:00"/>
    <x v="0"/>
    <x v="9"/>
    <n v="168.4263"/>
    <n v="168.4263"/>
    <n v="167.1036"/>
    <n v="168.4263"/>
    <n v="14381"/>
    <n v="1.3174999999999999"/>
    <n v="0.79159999999999997"/>
  </r>
  <r>
    <n v="2303"/>
    <x v="0"/>
    <d v="2016-10-25T00:00:00"/>
    <x v="1"/>
    <x v="9"/>
    <n v="10.406700000000001"/>
    <n v="10.4511"/>
    <n v="10.3622"/>
    <n v="10.406700000000001"/>
    <n v="17768"/>
    <n v="0.42830000000000001"/>
    <n v="0.85840000000000005"/>
  </r>
  <r>
    <n v="2330"/>
    <x v="1"/>
    <d v="2016-10-25T00:00:00"/>
    <x v="1"/>
    <x v="9"/>
    <n v="169.3081"/>
    <n v="170.18989999999999"/>
    <n v="168.4263"/>
    <n v="170.18989999999999"/>
    <n v="19145"/>
    <n v="1.0417000000000001"/>
    <n v="1.0470999999999999"/>
  </r>
  <r>
    <n v="2303"/>
    <x v="0"/>
    <d v="2016-10-26T00:00:00"/>
    <x v="2"/>
    <x v="9"/>
    <n v="10.3622"/>
    <n v="10.406700000000001"/>
    <n v="10.2288"/>
    <n v="10.273300000000001"/>
    <n v="25010"/>
    <n v="-1.2903"/>
    <n v="1.7391000000000001"/>
  </r>
  <r>
    <n v="2330"/>
    <x v="1"/>
    <d v="2016-10-26T00:00:00"/>
    <x v="2"/>
    <x v="9"/>
    <n v="167.9854"/>
    <n v="169.749"/>
    <n v="167.9854"/>
    <n v="168.8672"/>
    <n v="24885"/>
    <n v="-0.7802"/>
    <n v="1.0499000000000001"/>
  </r>
  <r>
    <n v="2303"/>
    <x v="0"/>
    <d v="2016-10-27T00:00:00"/>
    <x v="3"/>
    <x v="9"/>
    <n v="10.3177"/>
    <n v="10.3622"/>
    <n v="10.2288"/>
    <n v="10.2288"/>
    <n v="25679"/>
    <n v="-0.43380000000000002"/>
    <n v="1.3043"/>
  </r>
  <r>
    <n v="2330"/>
    <x v="1"/>
    <d v="2016-10-27T00:00:00"/>
    <x v="3"/>
    <x v="9"/>
    <n v="168.8672"/>
    <n v="168.8672"/>
    <n v="166.2218"/>
    <n v="166.2218"/>
    <n v="26883"/>
    <n v="-1.579"/>
    <n v="1.5914999999999999"/>
  </r>
  <r>
    <n v="2303"/>
    <x v="0"/>
    <d v="2016-10-28T00:00:00"/>
    <x v="4"/>
    <x v="9"/>
    <n v="10.273300000000001"/>
    <n v="10.406700000000001"/>
    <n v="10.2288"/>
    <n v="10.406700000000001"/>
    <n v="29434"/>
    <n v="1.7242"/>
    <n v="1.7391000000000001"/>
  </r>
  <r>
    <n v="2330"/>
    <x v="1"/>
    <d v="2016-10-28T00:00:00"/>
    <x v="4"/>
    <x v="9"/>
    <n v="167.1036"/>
    <n v="167.5445"/>
    <n v="166.2218"/>
    <n v="167.1036"/>
    <n v="33106"/>
    <n v="0.52910000000000001"/>
    <n v="0.79579999999999995"/>
  </r>
  <r>
    <n v="2303"/>
    <x v="0"/>
    <d v="2016-10-31T00:00:00"/>
    <x v="0"/>
    <x v="9"/>
    <n v="10.406700000000001"/>
    <n v="10.4956"/>
    <n v="10.3177"/>
    <n v="10.4511"/>
    <n v="29446"/>
    <n v="0.4264"/>
    <n v="1.7241"/>
  </r>
  <r>
    <n v="2330"/>
    <x v="1"/>
    <d v="2016-10-31T00:00:00"/>
    <x v="0"/>
    <x v="9"/>
    <n v="166.6627"/>
    <n v="167.9854"/>
    <n v="164.4581"/>
    <n v="166.2218"/>
    <n v="25830"/>
    <n v="-0.52910000000000001"/>
    <n v="2.1448"/>
  </r>
  <r>
    <n v="2303"/>
    <x v="0"/>
    <d v="2016-11-01T00:00:00"/>
    <x v="1"/>
    <x v="10"/>
    <n v="10.406700000000001"/>
    <n v="10.4956"/>
    <n v="10.3622"/>
    <n v="10.4511"/>
    <n v="14241"/>
    <n v="0"/>
    <n v="1.2876000000000001"/>
  </r>
  <r>
    <n v="2330"/>
    <x v="1"/>
    <d v="2016-11-01T00:00:00"/>
    <x v="1"/>
    <x v="10"/>
    <n v="166.2218"/>
    <n v="167.1036"/>
    <n v="165.3399"/>
    <n v="167.1036"/>
    <n v="15128"/>
    <n v="0.52910000000000001"/>
    <n v="1.0667"/>
  </r>
  <r>
    <n v="2303"/>
    <x v="0"/>
    <d v="2016-11-02T00:00:00"/>
    <x v="2"/>
    <x v="10"/>
    <n v="10.4511"/>
    <n v="10.4511"/>
    <n v="10.3177"/>
    <n v="10.406700000000001"/>
    <n v="14517"/>
    <n v="-0.4264"/>
    <n v="1.2930999999999999"/>
  </r>
  <r>
    <n v="2330"/>
    <x v="1"/>
    <d v="2016-11-02T00:00:00"/>
    <x v="2"/>
    <x v="10"/>
    <n v="165.3399"/>
    <n v="165.7808"/>
    <n v="164.0172"/>
    <n v="164.0172"/>
    <n v="16529"/>
    <n v="-1.8642000000000001"/>
    <n v="1.0752999999999999"/>
  </r>
  <r>
    <n v="2303"/>
    <x v="0"/>
    <d v="2016-11-03T00:00:00"/>
    <x v="3"/>
    <x v="10"/>
    <n v="10.406700000000001"/>
    <n v="10.4511"/>
    <n v="10.3177"/>
    <n v="10.3177"/>
    <n v="12008"/>
    <n v="-0.85840000000000005"/>
    <n v="1.2930999999999999"/>
  </r>
  <r>
    <n v="2330"/>
    <x v="1"/>
    <d v="2016-11-03T00:00:00"/>
    <x v="3"/>
    <x v="10"/>
    <n v="163.5763"/>
    <n v="164.4581"/>
    <n v="162.69450000000001"/>
    <n v="162.69450000000001"/>
    <n v="25531"/>
    <n v="-0.80969999999999998"/>
    <n v="1.0840000000000001"/>
  </r>
  <r>
    <n v="2303"/>
    <x v="0"/>
    <d v="2016-11-04T00:00:00"/>
    <x v="4"/>
    <x v="10"/>
    <n v="10.3177"/>
    <n v="10.3622"/>
    <n v="10.273300000000001"/>
    <n v="10.3177"/>
    <n v="9142"/>
    <n v="0"/>
    <n v="0.86580000000000001"/>
  </r>
  <r>
    <n v="2330"/>
    <x v="1"/>
    <d v="2016-11-04T00:00:00"/>
    <x v="4"/>
    <x v="10"/>
    <n v="162.69450000000001"/>
    <n v="164.0172"/>
    <n v="162.25360000000001"/>
    <n v="162.69450000000001"/>
    <n v="15107"/>
    <n v="0"/>
    <n v="1.087"/>
  </r>
  <r>
    <n v="2303"/>
    <x v="0"/>
    <d v="2016-11-07T00:00:00"/>
    <x v="0"/>
    <x v="10"/>
    <n v="10.3622"/>
    <n v="10.406700000000001"/>
    <n v="10.3177"/>
    <n v="10.3622"/>
    <n v="10903"/>
    <n v="0.43009999999999998"/>
    <n v="0.86209999999999998"/>
  </r>
  <r>
    <n v="2330"/>
    <x v="1"/>
    <d v="2016-11-07T00:00:00"/>
    <x v="0"/>
    <x v="10"/>
    <n v="164.4581"/>
    <n v="166.6627"/>
    <n v="164.0172"/>
    <n v="166.6627"/>
    <n v="21430"/>
    <n v="2.4098000000000002"/>
    <n v="1.6129"/>
  </r>
  <r>
    <n v="2303"/>
    <x v="0"/>
    <d v="2016-11-08T00:00:00"/>
    <x v="1"/>
    <x v="10"/>
    <n v="10.3622"/>
    <n v="10.406700000000001"/>
    <n v="10.3177"/>
    <n v="10.406700000000001"/>
    <n v="11672"/>
    <n v="0.42830000000000001"/>
    <n v="0.86209999999999998"/>
  </r>
  <r>
    <n v="2330"/>
    <x v="1"/>
    <d v="2016-11-08T00:00:00"/>
    <x v="1"/>
    <x v="10"/>
    <n v="167.5445"/>
    <n v="167.5445"/>
    <n v="165.7808"/>
    <n v="166.2218"/>
    <n v="15954"/>
    <n v="-0.26490000000000002"/>
    <n v="1.0638000000000001"/>
  </r>
  <r>
    <n v="2303"/>
    <x v="0"/>
    <d v="2016-11-09T00:00:00"/>
    <x v="2"/>
    <x v="10"/>
    <n v="10.4511"/>
    <n v="10.4511"/>
    <n v="10.1843"/>
    <n v="10.2288"/>
    <n v="34093"/>
    <n v="-1.7242"/>
    <n v="2.6200999999999999"/>
  </r>
  <r>
    <n v="2330"/>
    <x v="1"/>
    <d v="2016-11-09T00:00:00"/>
    <x v="2"/>
    <x v="10"/>
    <n v="167.5445"/>
    <n v="167.9854"/>
    <n v="160.49"/>
    <n v="160.49"/>
    <n v="55579"/>
    <n v="-3.5091000000000001"/>
    <n v="4.6703000000000001"/>
  </r>
  <r>
    <n v="2303"/>
    <x v="0"/>
    <d v="2016-11-10T00:00:00"/>
    <x v="3"/>
    <x v="10"/>
    <n v="10.3177"/>
    <n v="10.3622"/>
    <n v="10.273300000000001"/>
    <n v="10.3177"/>
    <n v="22450"/>
    <n v="0.86580000000000001"/>
    <n v="0.86580000000000001"/>
  </r>
  <r>
    <n v="2330"/>
    <x v="1"/>
    <d v="2016-11-10T00:00:00"/>
    <x v="3"/>
    <x v="10"/>
    <n v="164.899"/>
    <n v="165.7808"/>
    <n v="163.5763"/>
    <n v="163.5763"/>
    <n v="38869"/>
    <n v="1.9048"/>
    <n v="1.3476999999999999"/>
  </r>
  <r>
    <n v="2303"/>
    <x v="0"/>
    <d v="2016-11-11T00:00:00"/>
    <x v="4"/>
    <x v="10"/>
    <n v="10.2288"/>
    <n v="10.273300000000001"/>
    <n v="10.0509"/>
    <n v="10.0954"/>
    <n v="49255"/>
    <n v="-2.1787000000000001"/>
    <n v="2.2124000000000001"/>
  </r>
  <r>
    <n v="2330"/>
    <x v="1"/>
    <d v="2016-11-11T00:00:00"/>
    <x v="4"/>
    <x v="10"/>
    <n v="160.04910000000001"/>
    <n v="161.37180000000001"/>
    <n v="159.60820000000001"/>
    <n v="160.04910000000001"/>
    <n v="67636"/>
    <n v="-2.1798999999999999"/>
    <n v="1.105"/>
  </r>
  <r>
    <n v="2303"/>
    <x v="0"/>
    <d v="2016-11-14T00:00:00"/>
    <x v="0"/>
    <x v="10"/>
    <n v="10.139799999999999"/>
    <n v="10.2288"/>
    <n v="10.006399999999999"/>
    <n v="10.0509"/>
    <n v="26733"/>
    <n v="-0.4415"/>
    <n v="2.2222"/>
  </r>
  <r>
    <n v="2330"/>
    <x v="1"/>
    <d v="2016-11-14T00:00:00"/>
    <x v="0"/>
    <x v="10"/>
    <n v="159.60820000000001"/>
    <n v="160.49"/>
    <n v="158.72630000000001"/>
    <n v="159.16720000000001"/>
    <n v="48032"/>
    <n v="-0.55249999999999999"/>
    <n v="1.1111"/>
  </r>
  <r>
    <n v="2303"/>
    <x v="0"/>
    <d v="2016-11-15T00:00:00"/>
    <x v="1"/>
    <x v="10"/>
    <n v="10.0509"/>
    <n v="10.139799999999999"/>
    <n v="10.0509"/>
    <n v="10.0509"/>
    <n v="16941"/>
    <n v="0"/>
    <n v="0.88500000000000001"/>
  </r>
  <r>
    <n v="2330"/>
    <x v="1"/>
    <d v="2016-11-15T00:00:00"/>
    <x v="1"/>
    <x v="10"/>
    <n v="158.28540000000001"/>
    <n v="160.49"/>
    <n v="157.84450000000001"/>
    <n v="158.72630000000001"/>
    <n v="33528"/>
    <n v="-0.27739999999999998"/>
    <n v="1.6759999999999999"/>
  </r>
  <r>
    <n v="2303"/>
    <x v="0"/>
    <d v="2016-11-16T00:00:00"/>
    <x v="2"/>
    <x v="10"/>
    <n v="10.0954"/>
    <n v="10.139799999999999"/>
    <n v="10.0509"/>
    <n v="10.0509"/>
    <n v="19914"/>
    <n v="0"/>
    <n v="0.88500000000000001"/>
  </r>
  <r>
    <n v="2330"/>
    <x v="1"/>
    <d v="2016-11-16T00:00:00"/>
    <x v="2"/>
    <x v="10"/>
    <n v="159.16720000000001"/>
    <n v="161.37180000000001"/>
    <n v="158.72630000000001"/>
    <n v="158.72630000000001"/>
    <n v="35293"/>
    <n v="0"/>
    <n v="1.6667000000000001"/>
  </r>
  <r>
    <n v="2303"/>
    <x v="0"/>
    <d v="2016-11-17T00:00:00"/>
    <x v="3"/>
    <x v="10"/>
    <n v="10.0954"/>
    <n v="10.1843"/>
    <n v="10.0509"/>
    <n v="10.0954"/>
    <n v="18716"/>
    <n v="0.4415"/>
    <n v="1.3273999999999999"/>
  </r>
  <r>
    <n v="2330"/>
    <x v="1"/>
    <d v="2016-11-17T00:00:00"/>
    <x v="3"/>
    <x v="10"/>
    <n v="160.49"/>
    <n v="160.93090000000001"/>
    <n v="159.16720000000001"/>
    <n v="160.04910000000001"/>
    <n v="23256"/>
    <n v="0.82989999999999997"/>
    <n v="1.1080000000000001"/>
  </r>
  <r>
    <n v="2303"/>
    <x v="0"/>
    <d v="2016-11-18T00:00:00"/>
    <x v="4"/>
    <x v="10"/>
    <n v="10.0954"/>
    <n v="10.139799999999999"/>
    <n v="10.0509"/>
    <n v="10.0509"/>
    <n v="22094"/>
    <n v="-0.4415"/>
    <n v="0.88500000000000001"/>
  </r>
  <r>
    <n v="2330"/>
    <x v="1"/>
    <d v="2016-11-18T00:00:00"/>
    <x v="4"/>
    <x v="10"/>
    <n v="160.04910000000001"/>
    <n v="160.04910000000001"/>
    <n v="158.72630000000001"/>
    <n v="159.60820000000001"/>
    <n v="23731"/>
    <n v="-0.27589999999999998"/>
    <n v="0.83330000000000004"/>
  </r>
  <r>
    <n v="2303"/>
    <x v="0"/>
    <d v="2016-11-21T00:00:00"/>
    <x v="0"/>
    <x v="10"/>
    <n v="10.139799999999999"/>
    <n v="10.273300000000001"/>
    <n v="10.139799999999999"/>
    <n v="10.139799999999999"/>
    <n v="19337"/>
    <n v="0.88109999999999999"/>
    <n v="1.3158000000000001"/>
  </r>
  <r>
    <n v="2330"/>
    <x v="1"/>
    <d v="2016-11-21T00:00:00"/>
    <x v="0"/>
    <x v="10"/>
    <n v="159.16720000000001"/>
    <n v="160.04910000000001"/>
    <n v="158.72630000000001"/>
    <n v="159.60820000000001"/>
    <n v="15622"/>
    <n v="0"/>
    <n v="0.83330000000000004"/>
  </r>
  <r>
    <n v="2303"/>
    <x v="0"/>
    <d v="2016-11-22T00:00:00"/>
    <x v="1"/>
    <x v="10"/>
    <n v="10.139799999999999"/>
    <n v="10.1843"/>
    <n v="10.0954"/>
    <n v="10.139799999999999"/>
    <n v="18335"/>
    <n v="0"/>
    <n v="0.88109999999999999"/>
  </r>
  <r>
    <n v="2330"/>
    <x v="1"/>
    <d v="2016-11-22T00:00:00"/>
    <x v="1"/>
    <x v="10"/>
    <n v="160.49"/>
    <n v="163.1354"/>
    <n v="160.04910000000001"/>
    <n v="162.25360000000001"/>
    <n v="31348"/>
    <n v="1.6438999999999999"/>
    <n v="1.9283999999999999"/>
  </r>
  <r>
    <n v="2303"/>
    <x v="0"/>
    <d v="2016-11-23T00:00:00"/>
    <x v="2"/>
    <x v="10"/>
    <n v="10.139799999999999"/>
    <n v="10.1843"/>
    <n v="10.0954"/>
    <n v="10.1843"/>
    <n v="7948"/>
    <n v="0.43759999999999999"/>
    <n v="0.88109999999999999"/>
  </r>
  <r>
    <n v="2330"/>
    <x v="1"/>
    <d v="2016-11-23T00:00:00"/>
    <x v="2"/>
    <x v="10"/>
    <n v="162.69450000000001"/>
    <n v="164.4581"/>
    <n v="162.25360000000001"/>
    <n v="163.5763"/>
    <n v="23068"/>
    <n v="0.81189999999999996"/>
    <n v="1.3587"/>
  </r>
  <r>
    <n v="2303"/>
    <x v="0"/>
    <d v="2016-11-24T00:00:00"/>
    <x v="3"/>
    <x v="10"/>
    <n v="10.1843"/>
    <n v="10.1843"/>
    <n v="10.0954"/>
    <n v="10.0954"/>
    <n v="8463"/>
    <n v="-0.87719999999999998"/>
    <n v="0.88109999999999999"/>
  </r>
  <r>
    <n v="2330"/>
    <x v="1"/>
    <d v="2016-11-24T00:00:00"/>
    <x v="3"/>
    <x v="10"/>
    <n v="162.25360000000001"/>
    <n v="163.1354"/>
    <n v="161.37180000000001"/>
    <n v="161.37180000000001"/>
    <n v="19098"/>
    <n v="-1.3569"/>
    <n v="1.0929"/>
  </r>
  <r>
    <n v="2303"/>
    <x v="0"/>
    <d v="2016-11-25T00:00:00"/>
    <x v="4"/>
    <x v="10"/>
    <n v="10.0954"/>
    <n v="10.139799999999999"/>
    <n v="10.0954"/>
    <n v="10.0954"/>
    <n v="6402"/>
    <n v="0"/>
    <n v="0.4405"/>
  </r>
  <r>
    <n v="2330"/>
    <x v="1"/>
    <d v="2016-11-25T00:00:00"/>
    <x v="4"/>
    <x v="10"/>
    <n v="160.93090000000001"/>
    <n v="161.81270000000001"/>
    <n v="160.49"/>
    <n v="160.49"/>
    <n v="10226"/>
    <n v="-0.54790000000000005"/>
    <n v="0.82420000000000004"/>
  </r>
  <r>
    <n v="2303"/>
    <x v="0"/>
    <d v="2016-11-28T00:00:00"/>
    <x v="0"/>
    <x v="10"/>
    <n v="10.0954"/>
    <n v="10.139799999999999"/>
    <n v="10.0954"/>
    <n v="10.0954"/>
    <n v="12463"/>
    <n v="0"/>
    <n v="0.4405"/>
  </r>
  <r>
    <n v="2330"/>
    <x v="1"/>
    <d v="2016-11-28T00:00:00"/>
    <x v="0"/>
    <x v="10"/>
    <n v="160.04910000000001"/>
    <n v="162.25360000000001"/>
    <n v="160.04910000000001"/>
    <n v="162.25360000000001"/>
    <n v="22360"/>
    <n v="1.0929"/>
    <n v="1.3774"/>
  </r>
  <r>
    <n v="2303"/>
    <x v="0"/>
    <d v="2016-11-29T00:00:00"/>
    <x v="1"/>
    <x v="10"/>
    <n v="10.0954"/>
    <n v="10.139799999999999"/>
    <n v="10.0509"/>
    <n v="10.0954"/>
    <n v="15726"/>
    <n v="0"/>
    <n v="0.88500000000000001"/>
  </r>
  <r>
    <n v="2330"/>
    <x v="1"/>
    <d v="2016-11-29T00:00:00"/>
    <x v="1"/>
    <x v="10"/>
    <n v="161.81270000000001"/>
    <n v="163.1354"/>
    <n v="160.49"/>
    <n v="160.49"/>
    <n v="26894"/>
    <n v="-1.0929"/>
    <n v="1.6484000000000001"/>
  </r>
  <r>
    <n v="2303"/>
    <x v="0"/>
    <d v="2016-11-30T00:00:00"/>
    <x v="2"/>
    <x v="10"/>
    <n v="10.139799999999999"/>
    <n v="10.139799999999999"/>
    <n v="10.006399999999999"/>
    <n v="10.006399999999999"/>
    <n v="81583"/>
    <n v="-0.88500000000000001"/>
    <n v="1.3332999999999999"/>
  </r>
  <r>
    <n v="2330"/>
    <x v="1"/>
    <d v="2016-11-30T00:00:00"/>
    <x v="2"/>
    <x v="10"/>
    <n v="160.04910000000001"/>
    <n v="161.37180000000001"/>
    <n v="160.04910000000001"/>
    <n v="161.37180000000001"/>
    <n v="54053"/>
    <n v="0.54790000000000005"/>
    <n v="0.82640000000000002"/>
  </r>
  <r>
    <n v="2303"/>
    <x v="0"/>
    <d v="2016-12-01T00:00:00"/>
    <x v="3"/>
    <x v="11"/>
    <n v="10.006399999999999"/>
    <n v="10.0954"/>
    <n v="10.006399999999999"/>
    <n v="10.0954"/>
    <n v="21837"/>
    <n v="0.88500000000000001"/>
    <n v="0.88890000000000002"/>
  </r>
  <r>
    <n v="2330"/>
    <x v="1"/>
    <d v="2016-12-01T00:00:00"/>
    <x v="3"/>
    <x v="11"/>
    <n v="160.49"/>
    <n v="161.37180000000001"/>
    <n v="160.04910000000001"/>
    <n v="161.37180000000001"/>
    <n v="13923"/>
    <n v="0"/>
    <n v="0.82640000000000002"/>
  </r>
  <r>
    <n v="2303"/>
    <x v="0"/>
    <d v="2016-12-02T00:00:00"/>
    <x v="4"/>
    <x v="11"/>
    <n v="10.0954"/>
    <n v="10.0954"/>
    <n v="10.006399999999999"/>
    <n v="10.0509"/>
    <n v="17443"/>
    <n v="-0.4415"/>
    <n v="0.88890000000000002"/>
  </r>
  <r>
    <n v="2330"/>
    <x v="1"/>
    <d v="2016-12-02T00:00:00"/>
    <x v="4"/>
    <x v="11"/>
    <n v="157.84450000000001"/>
    <n v="158.28540000000001"/>
    <n v="156.96270000000001"/>
    <n v="156.96270000000001"/>
    <n v="53946"/>
    <n v="-2.7703000000000002"/>
    <n v="0.8427"/>
  </r>
  <r>
    <n v="2303"/>
    <x v="0"/>
    <d v="2016-12-05T00:00:00"/>
    <x v="0"/>
    <x v="11"/>
    <n v="10.0509"/>
    <n v="10.0509"/>
    <n v="9.9619"/>
    <n v="9.9619"/>
    <n v="17384"/>
    <n v="-0.88890000000000002"/>
    <n v="0.89290000000000003"/>
  </r>
  <r>
    <n v="2330"/>
    <x v="1"/>
    <d v="2016-12-05T00:00:00"/>
    <x v="0"/>
    <x v="11"/>
    <n v="156.96270000000001"/>
    <n v="158.72630000000001"/>
    <n v="156.96270000000001"/>
    <n v="157.84450000000001"/>
    <n v="32249"/>
    <n v="0.56020000000000003"/>
    <n v="1.1235999999999999"/>
  </r>
  <r>
    <n v="2303"/>
    <x v="0"/>
    <d v="2016-12-06T00:00:00"/>
    <x v="1"/>
    <x v="11"/>
    <n v="10.0509"/>
    <n v="10.139799999999999"/>
    <n v="10.006399999999999"/>
    <n v="10.139799999999999"/>
    <n v="18368"/>
    <n v="1.77"/>
    <n v="1.3332999999999999"/>
  </r>
  <r>
    <n v="2330"/>
    <x v="1"/>
    <d v="2016-12-06T00:00:00"/>
    <x v="1"/>
    <x v="11"/>
    <n v="159.60820000000001"/>
    <n v="161.37180000000001"/>
    <n v="159.16720000000001"/>
    <n v="160.49"/>
    <n v="27728"/>
    <n v="1.6620999999999999"/>
    <n v="1.385"/>
  </r>
  <r>
    <n v="2303"/>
    <x v="0"/>
    <d v="2016-12-07T00:00:00"/>
    <x v="2"/>
    <x v="11"/>
    <n v="10.139799999999999"/>
    <n v="10.139799999999999"/>
    <n v="10.0954"/>
    <n v="10.0954"/>
    <n v="10922"/>
    <n v="-0.43959999999999999"/>
    <n v="0.4405"/>
  </r>
  <r>
    <n v="2330"/>
    <x v="1"/>
    <d v="2016-12-07T00:00:00"/>
    <x v="2"/>
    <x v="11"/>
    <n v="161.37180000000001"/>
    <n v="161.81270000000001"/>
    <n v="160.04910000000001"/>
    <n v="160.04910000000001"/>
    <n v="14529"/>
    <n v="-0.27510000000000001"/>
    <n v="1.1019000000000001"/>
  </r>
  <r>
    <n v="2303"/>
    <x v="0"/>
    <d v="2016-12-08T00:00:00"/>
    <x v="3"/>
    <x v="11"/>
    <n v="10.139799999999999"/>
    <n v="10.1843"/>
    <n v="10.0509"/>
    <n v="10.139799999999999"/>
    <n v="25528"/>
    <n v="0.43959999999999999"/>
    <n v="1.3273999999999999"/>
  </r>
  <r>
    <n v="2330"/>
    <x v="1"/>
    <d v="2016-12-08T00:00:00"/>
    <x v="3"/>
    <x v="11"/>
    <n v="162.25360000000001"/>
    <n v="163.5763"/>
    <n v="161.37180000000001"/>
    <n v="163.5763"/>
    <n v="27276"/>
    <n v="2.1798999999999999"/>
    <n v="1.3661000000000001"/>
  </r>
  <r>
    <n v="2303"/>
    <x v="0"/>
    <d v="2016-12-09T00:00:00"/>
    <x v="4"/>
    <x v="11"/>
    <n v="10.139799999999999"/>
    <n v="10.139799999999999"/>
    <n v="10.0509"/>
    <n v="10.0954"/>
    <n v="16806"/>
    <n v="-0.43959999999999999"/>
    <n v="0.88500000000000001"/>
  </r>
  <r>
    <n v="2330"/>
    <x v="1"/>
    <d v="2016-12-09T00:00:00"/>
    <x v="4"/>
    <x v="11"/>
    <n v="164.0172"/>
    <n v="164.0172"/>
    <n v="162.69450000000001"/>
    <n v="164.0172"/>
    <n v="24890"/>
    <n v="0.26919999999999999"/>
    <n v="0.81299999999999994"/>
  </r>
  <r>
    <n v="2303"/>
    <x v="0"/>
    <d v="2016-12-12T00:00:00"/>
    <x v="0"/>
    <x v="11"/>
    <n v="10.0954"/>
    <n v="10.139799999999999"/>
    <n v="10.0509"/>
    <n v="10.0509"/>
    <n v="12028"/>
    <n v="-0.4415"/>
    <n v="0.88500000000000001"/>
  </r>
  <r>
    <n v="2330"/>
    <x v="1"/>
    <d v="2016-12-12T00:00:00"/>
    <x v="0"/>
    <x v="11"/>
    <n v="164.0172"/>
    <n v="164.899"/>
    <n v="162.25360000000001"/>
    <n v="163.1354"/>
    <n v="18817"/>
    <n v="-0.53910000000000002"/>
    <n v="1.6304000000000001"/>
  </r>
  <r>
    <n v="2303"/>
    <x v="0"/>
    <d v="2016-12-13T00:00:00"/>
    <x v="1"/>
    <x v="11"/>
    <n v="10.0509"/>
    <n v="10.0954"/>
    <n v="10.006399999999999"/>
    <n v="10.0509"/>
    <n v="27743"/>
    <n v="0"/>
    <n v="0.88890000000000002"/>
  </r>
  <r>
    <n v="2330"/>
    <x v="1"/>
    <d v="2016-12-13T00:00:00"/>
    <x v="1"/>
    <x v="11"/>
    <n v="164.4581"/>
    <n v="164.4581"/>
    <n v="162.69450000000001"/>
    <n v="164.0172"/>
    <n v="23692"/>
    <n v="0.53910000000000002"/>
    <n v="1.0840000000000001"/>
  </r>
  <r>
    <n v="2303"/>
    <x v="0"/>
    <d v="2016-12-14T00:00:00"/>
    <x v="2"/>
    <x v="11"/>
    <n v="10.0509"/>
    <n v="10.0954"/>
    <n v="9.9619"/>
    <n v="9.9619"/>
    <n v="26752"/>
    <n v="-0.88890000000000002"/>
    <n v="1.3392999999999999"/>
  </r>
  <r>
    <n v="2330"/>
    <x v="1"/>
    <d v="2016-12-14T00:00:00"/>
    <x v="2"/>
    <x v="11"/>
    <n v="164.4581"/>
    <n v="165.3399"/>
    <n v="163.5763"/>
    <n v="165.3399"/>
    <n v="16768"/>
    <n v="0.80320000000000003"/>
    <n v="1.0782"/>
  </r>
  <r>
    <n v="2303"/>
    <x v="0"/>
    <d v="2016-12-15T00:00:00"/>
    <x v="3"/>
    <x v="11"/>
    <n v="10.006399999999999"/>
    <n v="10.0954"/>
    <n v="10.006399999999999"/>
    <n v="10.0509"/>
    <n v="17368"/>
    <n v="0.88890000000000002"/>
    <n v="0.88890000000000002"/>
  </r>
  <r>
    <n v="2330"/>
    <x v="1"/>
    <d v="2016-12-15T00:00:00"/>
    <x v="3"/>
    <x v="11"/>
    <n v="163.1354"/>
    <n v="165.3399"/>
    <n v="162.69450000000001"/>
    <n v="164.899"/>
    <n v="24244"/>
    <n v="-0.26700000000000002"/>
    <n v="1.6259999999999999"/>
  </r>
  <r>
    <n v="2303"/>
    <x v="0"/>
    <d v="2016-12-16T00:00:00"/>
    <x v="4"/>
    <x v="11"/>
    <n v="10.0954"/>
    <n v="10.139799999999999"/>
    <n v="10.0509"/>
    <n v="10.0509"/>
    <n v="16320"/>
    <n v="0"/>
    <n v="0.88500000000000001"/>
  </r>
  <r>
    <n v="2330"/>
    <x v="1"/>
    <d v="2016-12-16T00:00:00"/>
    <x v="4"/>
    <x v="11"/>
    <n v="163.5763"/>
    <n v="164.899"/>
    <n v="163.1354"/>
    <n v="163.1354"/>
    <n v="36266"/>
    <n v="-1.0752999999999999"/>
    <n v="1.0810999999999999"/>
  </r>
  <r>
    <n v="2303"/>
    <x v="0"/>
    <d v="2016-12-19T00:00:00"/>
    <x v="0"/>
    <x v="11"/>
    <n v="10.0954"/>
    <n v="10.0954"/>
    <n v="10.0509"/>
    <n v="10.0509"/>
    <n v="9135"/>
    <n v="0"/>
    <n v="0.4425"/>
  </r>
  <r>
    <n v="2330"/>
    <x v="1"/>
    <d v="2016-12-19T00:00:00"/>
    <x v="0"/>
    <x v="11"/>
    <n v="162.25360000000001"/>
    <n v="162.69450000000001"/>
    <n v="160.93090000000001"/>
    <n v="160.93090000000001"/>
    <n v="20553"/>
    <n v="-1.3606"/>
    <n v="1.0959000000000001"/>
  </r>
  <r>
    <n v="2303"/>
    <x v="0"/>
    <d v="2016-12-20T00:00:00"/>
    <x v="1"/>
    <x v="11"/>
    <n v="10.0509"/>
    <n v="10.0954"/>
    <n v="10.006399999999999"/>
    <n v="10.0509"/>
    <n v="17830"/>
    <n v="0"/>
    <n v="0.88890000000000002"/>
  </r>
  <r>
    <n v="2330"/>
    <x v="1"/>
    <d v="2016-12-20T00:00:00"/>
    <x v="1"/>
    <x v="11"/>
    <n v="159.60820000000001"/>
    <n v="160.93090000000001"/>
    <n v="158.72630000000001"/>
    <n v="160.93090000000001"/>
    <n v="24243"/>
    <n v="0"/>
    <n v="1.3889"/>
  </r>
  <r>
    <n v="2303"/>
    <x v="0"/>
    <d v="2016-12-21T00:00:00"/>
    <x v="2"/>
    <x v="11"/>
    <n v="10.0509"/>
    <n v="10.0954"/>
    <n v="10.0509"/>
    <n v="10.0509"/>
    <n v="17516"/>
    <n v="0"/>
    <n v="0.4425"/>
  </r>
  <r>
    <n v="2330"/>
    <x v="1"/>
    <d v="2016-12-21T00:00:00"/>
    <x v="2"/>
    <x v="11"/>
    <n v="159.60820000000001"/>
    <n v="160.49"/>
    <n v="158.72630000000001"/>
    <n v="158.72630000000001"/>
    <n v="32234"/>
    <n v="-1.3793"/>
    <n v="1.1111"/>
  </r>
  <r>
    <n v="2303"/>
    <x v="0"/>
    <d v="2016-12-22T00:00:00"/>
    <x v="3"/>
    <x v="11"/>
    <n v="10.0509"/>
    <n v="10.0954"/>
    <n v="10.0509"/>
    <n v="10.0509"/>
    <n v="14071"/>
    <n v="0"/>
    <n v="0.4425"/>
  </r>
  <r>
    <n v="2330"/>
    <x v="1"/>
    <d v="2016-12-22T00:00:00"/>
    <x v="3"/>
    <x v="11"/>
    <n v="158.72630000000001"/>
    <n v="159.16720000000001"/>
    <n v="157.84450000000001"/>
    <n v="157.84450000000001"/>
    <n v="26509"/>
    <n v="-0.55710000000000004"/>
    <n v="0.83799999999999997"/>
  </r>
  <r>
    <n v="2303"/>
    <x v="0"/>
    <d v="2016-12-23T00:00:00"/>
    <x v="4"/>
    <x v="11"/>
    <n v="10.0954"/>
    <n v="10.139799999999999"/>
    <n v="10.0509"/>
    <n v="10.0509"/>
    <n v="18976"/>
    <n v="0"/>
    <n v="0.88500000000000001"/>
  </r>
  <r>
    <n v="2330"/>
    <x v="1"/>
    <d v="2016-12-23T00:00:00"/>
    <x v="4"/>
    <x v="11"/>
    <n v="157.84450000000001"/>
    <n v="158.72630000000001"/>
    <n v="157.40360000000001"/>
    <n v="157.40360000000001"/>
    <n v="24376"/>
    <n v="-0.2797"/>
    <n v="0.84030000000000005"/>
  </r>
  <r>
    <n v="2303"/>
    <x v="0"/>
    <d v="2016-12-26T00:00:00"/>
    <x v="0"/>
    <x v="11"/>
    <n v="10.0509"/>
    <n v="10.0954"/>
    <n v="10.0509"/>
    <n v="10.0509"/>
    <n v="6978"/>
    <n v="0"/>
    <n v="0.4425"/>
  </r>
  <r>
    <n v="2330"/>
    <x v="1"/>
    <d v="2016-12-26T00:00:00"/>
    <x v="0"/>
    <x v="11"/>
    <n v="157.84450000000001"/>
    <n v="158.72630000000001"/>
    <n v="157.84450000000001"/>
    <n v="158.28540000000001"/>
    <n v="5694"/>
    <n v="0.55869999999999997"/>
    <n v="0.55869999999999997"/>
  </r>
  <r>
    <n v="2303"/>
    <x v="0"/>
    <d v="2016-12-27T00:00:00"/>
    <x v="1"/>
    <x v="11"/>
    <n v="10.0954"/>
    <n v="10.0954"/>
    <n v="10.0509"/>
    <n v="10.0509"/>
    <n v="6275"/>
    <n v="0"/>
    <n v="0.4425"/>
  </r>
  <r>
    <n v="2330"/>
    <x v="1"/>
    <d v="2016-12-27T00:00:00"/>
    <x v="1"/>
    <x v="11"/>
    <n v="158.72630000000001"/>
    <n v="159.16720000000001"/>
    <n v="158.28540000000001"/>
    <n v="158.72630000000001"/>
    <n v="8276"/>
    <n v="0.2782"/>
    <n v="0.55710000000000004"/>
  </r>
  <r>
    <n v="2303"/>
    <x v="0"/>
    <d v="2016-12-28T00:00:00"/>
    <x v="2"/>
    <x v="11"/>
    <n v="10.0954"/>
    <n v="10.139799999999999"/>
    <n v="10.0509"/>
    <n v="10.0954"/>
    <n v="10043"/>
    <n v="0.4415"/>
    <n v="0.88500000000000001"/>
  </r>
  <r>
    <n v="2330"/>
    <x v="1"/>
    <d v="2016-12-28T00:00:00"/>
    <x v="2"/>
    <x v="11"/>
    <n v="159.60820000000001"/>
    <n v="160.49"/>
    <n v="159.16720000000001"/>
    <n v="160.49"/>
    <n v="21441"/>
    <n v="1.105"/>
    <n v="0.83099999999999996"/>
  </r>
  <r>
    <n v="2303"/>
    <x v="0"/>
    <d v="2016-12-29T00:00:00"/>
    <x v="3"/>
    <x v="11"/>
    <n v="10.0509"/>
    <n v="10.139799999999999"/>
    <n v="10.0509"/>
    <n v="10.0509"/>
    <n v="13316"/>
    <n v="-0.4415"/>
    <n v="0.88500000000000001"/>
  </r>
  <r>
    <n v="2330"/>
    <x v="1"/>
    <d v="2016-12-29T00:00:00"/>
    <x v="3"/>
    <x v="11"/>
    <n v="158.72630000000001"/>
    <n v="160.04910000000001"/>
    <n v="158.72630000000001"/>
    <n v="158.72630000000001"/>
    <n v="30211"/>
    <n v="-1.105"/>
    <n v="0.83330000000000004"/>
  </r>
  <r>
    <n v="2303"/>
    <x v="0"/>
    <d v="2016-12-30T00:00:00"/>
    <x v="4"/>
    <x v="11"/>
    <n v="10.0509"/>
    <n v="10.139799999999999"/>
    <n v="10.0509"/>
    <n v="10.139799999999999"/>
    <n v="13585"/>
    <n v="0.88109999999999999"/>
    <n v="0.88500000000000001"/>
  </r>
  <r>
    <n v="2330"/>
    <x v="1"/>
    <d v="2016-12-30T00:00:00"/>
    <x v="4"/>
    <x v="11"/>
    <n v="159.60820000000001"/>
    <n v="160.93090000000001"/>
    <n v="158.72630000000001"/>
    <n v="160.04910000000001"/>
    <n v="36748"/>
    <n v="0.82989999999999997"/>
    <n v="1.3889"/>
  </r>
  <r>
    <n v="2303"/>
    <x v="0"/>
    <d v="2017-01-03T00:00:00"/>
    <x v="1"/>
    <x v="0"/>
    <n v="10.139799999999999"/>
    <n v="10.139799999999999"/>
    <n v="10.0509"/>
    <n v="10.139799999999999"/>
    <n v="10177"/>
    <n v="0"/>
    <n v="0.88500000000000001"/>
  </r>
  <r>
    <n v="2330"/>
    <x v="1"/>
    <d v="2017-01-03T00:00:00"/>
    <x v="1"/>
    <x v="0"/>
    <n v="160.04910000000001"/>
    <n v="161.81270000000001"/>
    <n v="159.60820000000001"/>
    <n v="161.37180000000001"/>
    <n v="23550"/>
    <n v="0.82299999999999995"/>
    <n v="1.3812"/>
  </r>
  <r>
    <n v="2303"/>
    <x v="0"/>
    <d v="2017-01-04T00:00:00"/>
    <x v="2"/>
    <x v="0"/>
    <n v="10.139799999999999"/>
    <n v="10.139799999999999"/>
    <n v="10.0954"/>
    <n v="10.0954"/>
    <n v="11119"/>
    <n v="-0.43959999999999999"/>
    <n v="0.4405"/>
  </r>
  <r>
    <n v="2330"/>
    <x v="1"/>
    <d v="2017-01-04T00:00:00"/>
    <x v="2"/>
    <x v="0"/>
    <n v="161.37180000000001"/>
    <n v="162.25360000000001"/>
    <n v="160.04910000000001"/>
    <n v="161.37180000000001"/>
    <n v="24482"/>
    <n v="0"/>
    <n v="1.3774"/>
  </r>
  <r>
    <n v="2303"/>
    <x v="0"/>
    <d v="2017-01-05T00:00:00"/>
    <x v="3"/>
    <x v="0"/>
    <n v="10.0954"/>
    <n v="10.1843"/>
    <n v="10.0509"/>
    <n v="10.139799999999999"/>
    <n v="20844"/>
    <n v="0.43959999999999999"/>
    <n v="1.3273999999999999"/>
  </r>
  <r>
    <n v="2330"/>
    <x v="1"/>
    <d v="2017-01-05T00:00:00"/>
    <x v="3"/>
    <x v="0"/>
    <n v="160.49"/>
    <n v="161.81270000000001"/>
    <n v="160.04910000000001"/>
    <n v="161.81270000000001"/>
    <n v="21373"/>
    <n v="0.27289999999999998"/>
    <n v="1.1019000000000001"/>
  </r>
  <r>
    <n v="2303"/>
    <x v="0"/>
    <d v="2017-01-06T00:00:00"/>
    <x v="4"/>
    <x v="0"/>
    <n v="10.139799999999999"/>
    <n v="10.3622"/>
    <n v="10.139799999999999"/>
    <n v="10.3177"/>
    <n v="37951"/>
    <n v="1.7392000000000001"/>
    <n v="2.1930000000000001"/>
  </r>
  <r>
    <n v="2330"/>
    <x v="1"/>
    <d v="2017-01-06T00:00:00"/>
    <x v="4"/>
    <x v="0"/>
    <n v="162.25360000000001"/>
    <n v="162.69450000000001"/>
    <n v="161.81270000000001"/>
    <n v="162.25360000000001"/>
    <n v="23120"/>
    <n v="0.27210000000000001"/>
    <n v="0.54500000000000004"/>
  </r>
  <r>
    <n v="2303"/>
    <x v="0"/>
    <d v="2017-01-09T00:00:00"/>
    <x v="0"/>
    <x v="0"/>
    <n v="10.3177"/>
    <n v="10.4511"/>
    <n v="10.273300000000001"/>
    <n v="10.3177"/>
    <n v="30051"/>
    <n v="0"/>
    <n v="1.7316"/>
  </r>
  <r>
    <n v="2330"/>
    <x v="1"/>
    <d v="2017-01-09T00:00:00"/>
    <x v="0"/>
    <x v="0"/>
    <n v="162.25360000000001"/>
    <n v="163.1354"/>
    <n v="161.37180000000001"/>
    <n v="162.25360000000001"/>
    <n v="18583"/>
    <n v="0"/>
    <n v="1.0929"/>
  </r>
  <r>
    <n v="2303"/>
    <x v="0"/>
    <d v="2017-01-10T00:00:00"/>
    <x v="1"/>
    <x v="0"/>
    <n v="10.3177"/>
    <n v="10.3622"/>
    <n v="10.273300000000001"/>
    <n v="10.3622"/>
    <n v="19440"/>
    <n v="0.43009999999999998"/>
    <n v="0.86580000000000001"/>
  </r>
  <r>
    <n v="2330"/>
    <x v="1"/>
    <d v="2017-01-10T00:00:00"/>
    <x v="1"/>
    <x v="0"/>
    <n v="162.69450000000001"/>
    <n v="163.5763"/>
    <n v="161.81270000000001"/>
    <n v="162.25360000000001"/>
    <n v="20691"/>
    <n v="0"/>
    <n v="1.0899000000000001"/>
  </r>
  <r>
    <n v="2303"/>
    <x v="0"/>
    <d v="2017-01-11T00:00:00"/>
    <x v="2"/>
    <x v="0"/>
    <n v="10.3622"/>
    <n v="10.406700000000001"/>
    <n v="10.3177"/>
    <n v="10.3622"/>
    <n v="13494"/>
    <n v="0"/>
    <n v="0.86209999999999998"/>
  </r>
  <r>
    <n v="2330"/>
    <x v="1"/>
    <d v="2017-01-11T00:00:00"/>
    <x v="2"/>
    <x v="0"/>
    <n v="163.1354"/>
    <n v="163.1354"/>
    <n v="160.04910000000001"/>
    <n v="160.49"/>
    <n v="29747"/>
    <n v="-1.0929"/>
    <n v="1.9283999999999999"/>
  </r>
  <r>
    <n v="2303"/>
    <x v="0"/>
    <d v="2017-01-12T00:00:00"/>
    <x v="3"/>
    <x v="0"/>
    <n v="10.406700000000001"/>
    <n v="10.4956"/>
    <n v="10.3622"/>
    <n v="10.4956"/>
    <n v="27694"/>
    <n v="1.2793000000000001"/>
    <n v="1.2876000000000001"/>
  </r>
  <r>
    <n v="2330"/>
    <x v="1"/>
    <d v="2017-01-12T00:00:00"/>
    <x v="3"/>
    <x v="0"/>
    <n v="160.93090000000001"/>
    <n v="163.5763"/>
    <n v="160.93090000000001"/>
    <n v="162.69450000000001"/>
    <n v="48599"/>
    <n v="1.3643000000000001"/>
    <n v="1.6437999999999999"/>
  </r>
  <r>
    <n v="2303"/>
    <x v="0"/>
    <d v="2017-01-13T00:00:00"/>
    <x v="4"/>
    <x v="0"/>
    <n v="10.4511"/>
    <n v="10.4956"/>
    <n v="10.3622"/>
    <n v="10.4956"/>
    <n v="22218"/>
    <n v="0"/>
    <n v="1.2876000000000001"/>
  </r>
  <r>
    <n v="2330"/>
    <x v="1"/>
    <d v="2017-01-13T00:00:00"/>
    <x v="4"/>
    <x v="0"/>
    <n v="159.16720000000001"/>
    <n v="160.93090000000001"/>
    <n v="159.16720000000001"/>
    <n v="160.04910000000001"/>
    <n v="53089"/>
    <n v="-1.6394"/>
    <n v="1.1080000000000001"/>
  </r>
  <r>
    <n v="2303"/>
    <x v="0"/>
    <d v="2017-01-16T00:00:00"/>
    <x v="0"/>
    <x v="0"/>
    <n v="10.406700000000001"/>
    <n v="10.4511"/>
    <n v="10.3622"/>
    <n v="10.3622"/>
    <n v="9080"/>
    <n v="-1.2793000000000001"/>
    <n v="0.85840000000000005"/>
  </r>
  <r>
    <n v="2330"/>
    <x v="1"/>
    <d v="2017-01-16T00:00:00"/>
    <x v="0"/>
    <x v="0"/>
    <n v="158.72630000000001"/>
    <n v="159.16720000000001"/>
    <n v="157.84450000000001"/>
    <n v="158.28540000000001"/>
    <n v="30878"/>
    <n v="-1.1080000000000001"/>
    <n v="0.83799999999999997"/>
  </r>
  <r>
    <n v="2303"/>
    <x v="0"/>
    <d v="2017-01-17T00:00:00"/>
    <x v="1"/>
    <x v="0"/>
    <n v="10.3177"/>
    <n v="10.4511"/>
    <n v="10.3177"/>
    <n v="10.3622"/>
    <n v="9470"/>
    <n v="0"/>
    <n v="1.2930999999999999"/>
  </r>
  <r>
    <n v="2330"/>
    <x v="1"/>
    <d v="2017-01-17T00:00:00"/>
    <x v="1"/>
    <x v="0"/>
    <n v="159.16720000000001"/>
    <n v="159.60820000000001"/>
    <n v="158.28540000000001"/>
    <n v="159.60820000000001"/>
    <n v="13207"/>
    <n v="0.83220000000000005"/>
    <n v="0.8357"/>
  </r>
  <r>
    <n v="2303"/>
    <x v="0"/>
    <d v="2017-01-18T00:00:00"/>
    <x v="2"/>
    <x v="0"/>
    <n v="10.3622"/>
    <n v="10.406700000000001"/>
    <n v="10.3177"/>
    <n v="10.3622"/>
    <n v="15844"/>
    <n v="0"/>
    <n v="0.86209999999999998"/>
  </r>
  <r>
    <n v="2330"/>
    <x v="1"/>
    <d v="2017-01-18T00:00:00"/>
    <x v="2"/>
    <x v="0"/>
    <n v="159.16720000000001"/>
    <n v="159.60820000000001"/>
    <n v="158.28540000000001"/>
    <n v="159.60820000000001"/>
    <n v="23810"/>
    <n v="0"/>
    <n v="0.8357"/>
  </r>
  <r>
    <n v="2303"/>
    <x v="0"/>
    <d v="2017-01-19T00:00:00"/>
    <x v="3"/>
    <x v="0"/>
    <n v="10.3622"/>
    <n v="10.406700000000001"/>
    <n v="10.3177"/>
    <n v="10.3177"/>
    <n v="14998"/>
    <n v="-0.43009999999999998"/>
    <n v="0.86209999999999998"/>
  </r>
  <r>
    <n v="2330"/>
    <x v="1"/>
    <d v="2017-01-19T00:00:00"/>
    <x v="3"/>
    <x v="0"/>
    <n v="158.28540000000001"/>
    <n v="159.60820000000001"/>
    <n v="158.28540000000001"/>
    <n v="159.16720000000001"/>
    <n v="25935"/>
    <n v="-0.27660000000000001"/>
    <n v="0.8357"/>
  </r>
  <r>
    <n v="2303"/>
    <x v="0"/>
    <d v="2017-01-20T00:00:00"/>
    <x v="4"/>
    <x v="0"/>
    <n v="10.3177"/>
    <n v="10.406700000000001"/>
    <n v="10.273300000000001"/>
    <n v="10.3177"/>
    <n v="13888"/>
    <n v="0"/>
    <n v="1.2987"/>
  </r>
  <r>
    <n v="2330"/>
    <x v="1"/>
    <d v="2017-01-20T00:00:00"/>
    <x v="4"/>
    <x v="0"/>
    <n v="159.60820000000001"/>
    <n v="160.04910000000001"/>
    <n v="159.16720000000001"/>
    <n v="159.60820000000001"/>
    <n v="42317"/>
    <n v="0.27660000000000001"/>
    <n v="0.55400000000000005"/>
  </r>
  <r>
    <n v="2303"/>
    <x v="0"/>
    <d v="2017-01-23T00:00:00"/>
    <x v="0"/>
    <x v="0"/>
    <n v="10.3177"/>
    <n v="10.3622"/>
    <n v="10.273300000000001"/>
    <n v="10.273300000000001"/>
    <n v="23688"/>
    <n v="-0.432"/>
    <n v="0.86580000000000001"/>
  </r>
  <r>
    <n v="2330"/>
    <x v="1"/>
    <d v="2017-01-23T00:00:00"/>
    <x v="0"/>
    <x v="0"/>
    <n v="160.93090000000001"/>
    <n v="163.1354"/>
    <n v="160.93090000000001"/>
    <n v="163.1354"/>
    <n v="58299"/>
    <n v="2.1859000000000002"/>
    <n v="1.3698999999999999"/>
  </r>
  <r>
    <n v="2303"/>
    <x v="0"/>
    <d v="2017-01-24T00:00:00"/>
    <x v="1"/>
    <x v="0"/>
    <n v="10.1843"/>
    <n v="10.2288"/>
    <n v="10.0954"/>
    <n v="10.0954"/>
    <n v="45636"/>
    <n v="-1.7467999999999999"/>
    <n v="1.3216000000000001"/>
  </r>
  <r>
    <n v="2330"/>
    <x v="1"/>
    <d v="2017-01-24T00:00:00"/>
    <x v="1"/>
    <x v="0"/>
    <n v="163.1354"/>
    <n v="164.4581"/>
    <n v="162.69450000000001"/>
    <n v="163.5763"/>
    <n v="72014"/>
    <n v="0.26989999999999997"/>
    <n v="1.0840000000000001"/>
  </r>
  <r>
    <n v="2303"/>
    <x v="0"/>
    <d v="2017-02-02T00:00:00"/>
    <x v="3"/>
    <x v="1"/>
    <n v="10.2288"/>
    <n v="10.273300000000001"/>
    <n v="10.0509"/>
    <n v="10.0509"/>
    <n v="50885"/>
    <n v="-0.4415"/>
    <n v="2.2124000000000001"/>
  </r>
  <r>
    <n v="2330"/>
    <x v="1"/>
    <d v="2017-02-02T00:00:00"/>
    <x v="3"/>
    <x v="1"/>
    <n v="165.7808"/>
    <n v="166.2218"/>
    <n v="162.25360000000001"/>
    <n v="162.69450000000001"/>
    <n v="153703"/>
    <n v="-0.54049999999999998"/>
    <n v="2.4457"/>
  </r>
  <r>
    <n v="2303"/>
    <x v="0"/>
    <d v="2017-02-03T00:00:00"/>
    <x v="4"/>
    <x v="1"/>
    <n v="10.0954"/>
    <n v="10.139799999999999"/>
    <n v="10.0509"/>
    <n v="10.139799999999999"/>
    <n v="32233"/>
    <n v="0.88109999999999999"/>
    <n v="0.88500000000000001"/>
  </r>
  <r>
    <n v="2330"/>
    <x v="1"/>
    <d v="2017-02-03T00:00:00"/>
    <x v="4"/>
    <x v="1"/>
    <n v="164.0172"/>
    <n v="164.0172"/>
    <n v="161.81270000000001"/>
    <n v="162.69450000000001"/>
    <n v="30387"/>
    <n v="0"/>
    <n v="1.3624000000000001"/>
  </r>
  <r>
    <n v="2303"/>
    <x v="0"/>
    <d v="2017-02-06T00:00:00"/>
    <x v="0"/>
    <x v="1"/>
    <n v="10.139799999999999"/>
    <n v="10.2288"/>
    <n v="10.0954"/>
    <n v="10.1843"/>
    <n v="30150"/>
    <n v="0.43759999999999999"/>
    <n v="1.3216000000000001"/>
  </r>
  <r>
    <n v="2330"/>
    <x v="1"/>
    <d v="2017-02-06T00:00:00"/>
    <x v="0"/>
    <x v="1"/>
    <n v="162.69450000000001"/>
    <n v="163.5763"/>
    <n v="162.25360000000001"/>
    <n v="162.69450000000001"/>
    <n v="29702"/>
    <n v="0"/>
    <n v="0.81520000000000004"/>
  </r>
  <r>
    <n v="2303"/>
    <x v="0"/>
    <d v="2017-02-07T00:00:00"/>
    <x v="1"/>
    <x v="1"/>
    <n v="10.139799999999999"/>
    <n v="10.273300000000001"/>
    <n v="10.139799999999999"/>
    <n v="10.2288"/>
    <n v="30242"/>
    <n v="0.43569999999999998"/>
    <n v="1.3158000000000001"/>
  </r>
  <r>
    <n v="2330"/>
    <x v="1"/>
    <d v="2017-02-07T00:00:00"/>
    <x v="1"/>
    <x v="1"/>
    <n v="161.81270000000001"/>
    <n v="163.1354"/>
    <n v="161.37180000000001"/>
    <n v="162.69450000000001"/>
    <n v="23981"/>
    <n v="0"/>
    <n v="1.0929"/>
  </r>
  <r>
    <n v="2303"/>
    <x v="0"/>
    <d v="2017-02-08T00:00:00"/>
    <x v="2"/>
    <x v="1"/>
    <n v="10.2288"/>
    <n v="10.273300000000001"/>
    <n v="10.139799999999999"/>
    <n v="10.1843"/>
    <n v="27217"/>
    <n v="-0.43569999999999998"/>
    <n v="1.3158000000000001"/>
  </r>
  <r>
    <n v="2330"/>
    <x v="1"/>
    <d v="2017-02-08T00:00:00"/>
    <x v="2"/>
    <x v="1"/>
    <n v="161.81270000000001"/>
    <n v="162.69450000000001"/>
    <n v="161.37180000000001"/>
    <n v="161.81270000000001"/>
    <n v="45607"/>
    <n v="-0.54349999999999998"/>
    <n v="0.81969999999999998"/>
  </r>
  <r>
    <n v="2303"/>
    <x v="0"/>
    <d v="2017-02-09T00:00:00"/>
    <x v="3"/>
    <x v="1"/>
    <n v="10.2288"/>
    <n v="10.273300000000001"/>
    <n v="10.1843"/>
    <n v="10.2288"/>
    <n v="22546"/>
    <n v="0.43569999999999998"/>
    <n v="0.87339999999999995"/>
  </r>
  <r>
    <n v="2330"/>
    <x v="1"/>
    <d v="2017-02-09T00:00:00"/>
    <x v="3"/>
    <x v="1"/>
    <n v="162.25360000000001"/>
    <n v="163.5763"/>
    <n v="161.81270000000001"/>
    <n v="162.25360000000001"/>
    <n v="23419"/>
    <n v="0.27210000000000001"/>
    <n v="1.0899000000000001"/>
  </r>
  <r>
    <n v="2303"/>
    <x v="0"/>
    <d v="2017-02-10T00:00:00"/>
    <x v="4"/>
    <x v="1"/>
    <n v="10.273300000000001"/>
    <n v="10.3177"/>
    <n v="10.2288"/>
    <n v="10.3177"/>
    <n v="31536"/>
    <n v="0.86580000000000001"/>
    <n v="0.86960000000000004"/>
  </r>
  <r>
    <n v="2330"/>
    <x v="1"/>
    <d v="2017-02-10T00:00:00"/>
    <x v="4"/>
    <x v="1"/>
    <n v="162.69450000000001"/>
    <n v="163.5763"/>
    <n v="162.25360000000001"/>
    <n v="163.5763"/>
    <n v="49257"/>
    <n v="0.81189999999999996"/>
    <n v="0.81520000000000004"/>
  </r>
  <r>
    <n v="2303"/>
    <x v="0"/>
    <d v="2017-02-13T00:00:00"/>
    <x v="0"/>
    <x v="1"/>
    <n v="10.3177"/>
    <n v="10.406700000000001"/>
    <n v="10.273300000000001"/>
    <n v="10.406700000000001"/>
    <n v="22519"/>
    <n v="0.85840000000000005"/>
    <n v="1.2987"/>
  </r>
  <r>
    <n v="2330"/>
    <x v="1"/>
    <d v="2017-02-13T00:00:00"/>
    <x v="0"/>
    <x v="1"/>
    <n v="164.4581"/>
    <n v="165.7808"/>
    <n v="164.4581"/>
    <n v="165.3399"/>
    <n v="26155"/>
    <n v="1.0724"/>
    <n v="0.80430000000000001"/>
  </r>
  <r>
    <n v="2303"/>
    <x v="0"/>
    <d v="2017-02-14T00:00:00"/>
    <x v="1"/>
    <x v="1"/>
    <n v="10.406700000000001"/>
    <n v="10.4511"/>
    <n v="10.3622"/>
    <n v="10.406700000000001"/>
    <n v="20660"/>
    <n v="0"/>
    <n v="0.85840000000000005"/>
  </r>
  <r>
    <n v="2330"/>
    <x v="1"/>
    <d v="2017-02-14T00:00:00"/>
    <x v="1"/>
    <x v="1"/>
    <n v="166.6627"/>
    <n v="167.5445"/>
    <n v="165.3399"/>
    <n v="165.3399"/>
    <n v="46716"/>
    <n v="0"/>
    <n v="1.3332999999999999"/>
  </r>
  <r>
    <n v="2303"/>
    <x v="0"/>
    <d v="2017-02-15T00:00:00"/>
    <x v="2"/>
    <x v="1"/>
    <n v="10.406700000000001"/>
    <n v="10.4511"/>
    <n v="10.3177"/>
    <n v="10.4511"/>
    <n v="29867"/>
    <n v="0.4264"/>
    <n v="1.2930999999999999"/>
  </r>
  <r>
    <n v="2330"/>
    <x v="1"/>
    <d v="2017-02-15T00:00:00"/>
    <x v="2"/>
    <x v="1"/>
    <n v="164.899"/>
    <n v="167.1036"/>
    <n v="164.4581"/>
    <n v="166.6627"/>
    <n v="39928"/>
    <n v="0.79679999999999995"/>
    <n v="1.6086"/>
  </r>
  <r>
    <n v="2303"/>
    <x v="0"/>
    <d v="2017-02-16T00:00:00"/>
    <x v="3"/>
    <x v="1"/>
    <n v="10.4956"/>
    <n v="10.5846"/>
    <n v="10.406700000000001"/>
    <n v="10.4956"/>
    <n v="43941"/>
    <n v="0.42459999999999998"/>
    <n v="1.7094"/>
  </r>
  <r>
    <n v="2330"/>
    <x v="1"/>
    <d v="2017-02-16T00:00:00"/>
    <x v="3"/>
    <x v="1"/>
    <n v="167.5445"/>
    <n v="167.9854"/>
    <n v="165.7808"/>
    <n v="166.6627"/>
    <n v="28371"/>
    <n v="0"/>
    <n v="1.3298000000000001"/>
  </r>
  <r>
    <n v="2303"/>
    <x v="0"/>
    <d v="2017-02-17T00:00:00"/>
    <x v="4"/>
    <x v="1"/>
    <n v="10.4956"/>
    <n v="10.4956"/>
    <n v="10.406700000000001"/>
    <n v="10.4511"/>
    <n v="14992"/>
    <n v="-0.42459999999999998"/>
    <n v="0.85470000000000002"/>
  </r>
  <r>
    <n v="2330"/>
    <x v="1"/>
    <d v="2017-02-17T00:00:00"/>
    <x v="4"/>
    <x v="1"/>
    <n v="167.5445"/>
    <n v="167.9854"/>
    <n v="166.6627"/>
    <n v="167.1036"/>
    <n v="20407"/>
    <n v="0.26419999999999999"/>
    <n v="0.79369999999999996"/>
  </r>
  <r>
    <n v="2303"/>
    <x v="0"/>
    <d v="2017-02-18T00:00:00"/>
    <x v="5"/>
    <x v="1"/>
    <n v="10.4511"/>
    <n v="10.4956"/>
    <n v="10.406700000000001"/>
    <n v="10.4511"/>
    <n v="5656"/>
    <n v="0"/>
    <n v="0.85470000000000002"/>
  </r>
  <r>
    <n v="2330"/>
    <x v="1"/>
    <d v="2017-02-18T00:00:00"/>
    <x v="5"/>
    <x v="1"/>
    <n v="167.5445"/>
    <n v="167.9854"/>
    <n v="167.1036"/>
    <n v="167.1036"/>
    <n v="3517"/>
    <n v="0"/>
    <n v="0.52769999999999995"/>
  </r>
  <r>
    <n v="2303"/>
    <x v="0"/>
    <d v="2017-02-20T00:00:00"/>
    <x v="0"/>
    <x v="1"/>
    <n v="10.4511"/>
    <n v="10.4956"/>
    <n v="10.406700000000001"/>
    <n v="10.4511"/>
    <n v="11660"/>
    <n v="0"/>
    <n v="0.85470000000000002"/>
  </r>
  <r>
    <n v="2330"/>
    <x v="1"/>
    <d v="2017-02-20T00:00:00"/>
    <x v="0"/>
    <x v="1"/>
    <n v="167.5445"/>
    <n v="167.9854"/>
    <n v="167.1036"/>
    <n v="167.5445"/>
    <n v="13280"/>
    <n v="0.26350000000000001"/>
    <n v="0.52769999999999995"/>
  </r>
  <r>
    <n v="2303"/>
    <x v="0"/>
    <d v="2017-02-21T00:00:00"/>
    <x v="1"/>
    <x v="1"/>
    <n v="10.4511"/>
    <n v="10.4511"/>
    <n v="10.406700000000001"/>
    <n v="10.4511"/>
    <n v="9529"/>
    <n v="0"/>
    <n v="0.4274"/>
  </r>
  <r>
    <n v="2330"/>
    <x v="1"/>
    <d v="2017-02-21T00:00:00"/>
    <x v="1"/>
    <x v="1"/>
    <n v="167.5445"/>
    <n v="167.5445"/>
    <n v="166.2218"/>
    <n v="167.5445"/>
    <n v="31987"/>
    <n v="0"/>
    <n v="0.79579999999999995"/>
  </r>
  <r>
    <n v="2303"/>
    <x v="0"/>
    <d v="2017-02-22T00:00:00"/>
    <x v="2"/>
    <x v="1"/>
    <n v="10.4511"/>
    <n v="10.4956"/>
    <n v="10.273300000000001"/>
    <n v="10.273300000000001"/>
    <n v="32022"/>
    <n v="-1.7168000000000001"/>
    <n v="2.1644999999999999"/>
  </r>
  <r>
    <n v="2330"/>
    <x v="1"/>
    <d v="2017-02-22T00:00:00"/>
    <x v="2"/>
    <x v="1"/>
    <n v="167.9854"/>
    <n v="168.4263"/>
    <n v="166.2218"/>
    <n v="166.2218"/>
    <n v="26144"/>
    <n v="-0.79259999999999997"/>
    <n v="1.3263"/>
  </r>
  <r>
    <n v="2303"/>
    <x v="0"/>
    <d v="2017-02-23T00:00:00"/>
    <x v="3"/>
    <x v="1"/>
    <n v="10.3622"/>
    <n v="10.4956"/>
    <n v="10.3622"/>
    <n v="10.4511"/>
    <n v="22240"/>
    <n v="1.7168000000000001"/>
    <n v="1.2876000000000001"/>
  </r>
  <r>
    <n v="2330"/>
    <x v="1"/>
    <d v="2017-02-23T00:00:00"/>
    <x v="3"/>
    <x v="1"/>
    <n v="165.7808"/>
    <n v="167.1036"/>
    <n v="164.899"/>
    <n v="166.2218"/>
    <n v="36095"/>
    <n v="0"/>
    <n v="1.3369"/>
  </r>
  <r>
    <n v="2303"/>
    <x v="0"/>
    <d v="2017-02-24T00:00:00"/>
    <x v="4"/>
    <x v="1"/>
    <n v="10.540100000000001"/>
    <n v="11.429500000000001"/>
    <n v="10.4956"/>
    <n v="11.3406"/>
    <n v="318123"/>
    <n v="8.1677999999999997"/>
    <n v="8.8983000000000008"/>
  </r>
  <r>
    <n v="2330"/>
    <x v="1"/>
    <d v="2017-02-24T00:00:00"/>
    <x v="4"/>
    <x v="1"/>
    <n v="165.3399"/>
    <n v="167.9854"/>
    <n v="165.3399"/>
    <n v="166.6627"/>
    <n v="26177"/>
    <n v="0.26490000000000002"/>
    <n v="1.6"/>
  </r>
  <r>
    <n v="2303"/>
    <x v="0"/>
    <d v="2017-03-01T00:00:00"/>
    <x v="2"/>
    <x v="2"/>
    <n v="11.3406"/>
    <n v="11.429500000000001"/>
    <n v="11.029299999999999"/>
    <n v="11.029299999999999"/>
    <n v="154601"/>
    <n v="-2.7835000000000001"/>
    <n v="3.629"/>
  </r>
  <r>
    <n v="2330"/>
    <x v="1"/>
    <d v="2017-03-01T00:00:00"/>
    <x v="2"/>
    <x v="2"/>
    <n v="166.2218"/>
    <n v="166.2218"/>
    <n v="164.0172"/>
    <n v="164.0172"/>
    <n v="48263"/>
    <n v="-1.6"/>
    <n v="1.3441000000000001"/>
  </r>
  <r>
    <n v="2303"/>
    <x v="0"/>
    <d v="2017-03-02T00:00:00"/>
    <x v="3"/>
    <x v="2"/>
    <n v="11.2072"/>
    <n v="11.2517"/>
    <n v="10.895899999999999"/>
    <n v="10.940300000000001"/>
    <n v="67103"/>
    <n v="-0.80969999999999998"/>
    <n v="3.2652999999999999"/>
  </r>
  <r>
    <n v="2330"/>
    <x v="1"/>
    <d v="2017-03-02T00:00:00"/>
    <x v="3"/>
    <x v="2"/>
    <n v="165.7808"/>
    <n v="166.2218"/>
    <n v="163.1354"/>
    <n v="164.0172"/>
    <n v="40879"/>
    <n v="0"/>
    <n v="1.8918999999999999"/>
  </r>
  <r>
    <n v="2303"/>
    <x v="0"/>
    <d v="2017-03-03T00:00:00"/>
    <x v="4"/>
    <x v="2"/>
    <n v="10.940300000000001"/>
    <n v="11.029299999999999"/>
    <n v="10.806900000000001"/>
    <n v="10.806900000000001"/>
    <n v="51288"/>
    <n v="-1.2270000000000001"/>
    <n v="2.0575999999999999"/>
  </r>
  <r>
    <n v="2330"/>
    <x v="1"/>
    <d v="2017-03-03T00:00:00"/>
    <x v="4"/>
    <x v="2"/>
    <n v="162.69450000000001"/>
    <n v="163.1354"/>
    <n v="162.25360000000001"/>
    <n v="162.25360000000001"/>
    <n v="28213"/>
    <n v="-1.0810999999999999"/>
    <n v="0.54349999999999998"/>
  </r>
  <r>
    <n v="2303"/>
    <x v="0"/>
    <d v="2017-03-06T00:00:00"/>
    <x v="0"/>
    <x v="2"/>
    <n v="10.806900000000001"/>
    <n v="10.8514"/>
    <n v="10.762499999999999"/>
    <n v="10.762499999999999"/>
    <n v="32723"/>
    <n v="-0.41239999999999999"/>
    <n v="0.82640000000000002"/>
  </r>
  <r>
    <n v="2330"/>
    <x v="1"/>
    <d v="2017-03-06T00:00:00"/>
    <x v="0"/>
    <x v="2"/>
    <n v="162.25360000000001"/>
    <n v="162.69450000000001"/>
    <n v="161.81270000000001"/>
    <n v="161.81270000000001"/>
    <n v="12633"/>
    <n v="-0.27210000000000001"/>
    <n v="0.54500000000000004"/>
  </r>
  <r>
    <n v="2303"/>
    <x v="0"/>
    <d v="2017-03-07T00:00:00"/>
    <x v="1"/>
    <x v="2"/>
    <n v="10.806900000000001"/>
    <n v="11.2517"/>
    <n v="10.806900000000001"/>
    <n v="11.0738"/>
    <n v="88804"/>
    <n v="2.8515000000000001"/>
    <n v="4.1151999999999997"/>
  </r>
  <r>
    <n v="2330"/>
    <x v="1"/>
    <d v="2017-03-07T00:00:00"/>
    <x v="1"/>
    <x v="2"/>
    <n v="162.25360000000001"/>
    <n v="163.5763"/>
    <n v="162.25360000000001"/>
    <n v="163.5763"/>
    <n v="22816"/>
    <n v="1.0840000000000001"/>
    <n v="0.81520000000000004"/>
  </r>
  <r>
    <n v="2303"/>
    <x v="0"/>
    <d v="2017-03-08T00:00:00"/>
    <x v="2"/>
    <x v="2"/>
    <n v="11.029299999999999"/>
    <n v="11.0738"/>
    <n v="10.895899999999999"/>
    <n v="10.895899999999999"/>
    <n v="31666"/>
    <n v="-1.6194999999999999"/>
    <n v="1.6327"/>
  </r>
  <r>
    <n v="2330"/>
    <x v="1"/>
    <d v="2017-03-08T00:00:00"/>
    <x v="2"/>
    <x v="2"/>
    <n v="164.0172"/>
    <n v="165.7808"/>
    <n v="163.5763"/>
    <n v="164.899"/>
    <n v="38657"/>
    <n v="0.8054"/>
    <n v="1.3476999999999999"/>
  </r>
  <r>
    <n v="2303"/>
    <x v="0"/>
    <d v="2017-03-09T00:00:00"/>
    <x v="3"/>
    <x v="2"/>
    <n v="10.895899999999999"/>
    <n v="10.940300000000001"/>
    <n v="10.762499999999999"/>
    <n v="10.762499999999999"/>
    <n v="44677"/>
    <n v="-1.232"/>
    <n v="1.6529"/>
  </r>
  <r>
    <n v="2330"/>
    <x v="1"/>
    <d v="2017-03-09T00:00:00"/>
    <x v="3"/>
    <x v="2"/>
    <n v="163.5763"/>
    <n v="164.0172"/>
    <n v="162.25360000000001"/>
    <n v="162.69450000000001"/>
    <n v="31119"/>
    <n v="-1.3459000000000001"/>
    <n v="1.087"/>
  </r>
  <r>
    <n v="2303"/>
    <x v="0"/>
    <d v="2017-03-10T00:00:00"/>
    <x v="4"/>
    <x v="2"/>
    <n v="10.806900000000001"/>
    <n v="10.8514"/>
    <n v="10.718"/>
    <n v="10.762499999999999"/>
    <n v="24266"/>
    <n v="0"/>
    <n v="1.2447999999999999"/>
  </r>
  <r>
    <n v="2330"/>
    <x v="1"/>
    <d v="2017-03-10T00:00:00"/>
    <x v="4"/>
    <x v="2"/>
    <n v="162.25360000000001"/>
    <n v="162.69450000000001"/>
    <n v="161.37180000000001"/>
    <n v="161.81270000000001"/>
    <n v="24886"/>
    <n v="-0.54349999999999998"/>
    <n v="0.81969999999999998"/>
  </r>
  <r>
    <n v="2303"/>
    <x v="0"/>
    <d v="2017-03-13T00:00:00"/>
    <x v="0"/>
    <x v="2"/>
    <n v="10.8514"/>
    <n v="10.895899999999999"/>
    <n v="10.762499999999999"/>
    <n v="10.8514"/>
    <n v="12214"/>
    <n v="0.82299999999999995"/>
    <n v="1.2397"/>
  </r>
  <r>
    <n v="2330"/>
    <x v="1"/>
    <d v="2017-03-13T00:00:00"/>
    <x v="0"/>
    <x v="2"/>
    <n v="163.1354"/>
    <n v="164.4581"/>
    <n v="163.1354"/>
    <n v="164.4581"/>
    <n v="11025"/>
    <n v="1.6216999999999999"/>
    <n v="0.81079999999999997"/>
  </r>
  <r>
    <n v="2303"/>
    <x v="0"/>
    <d v="2017-03-14T00:00:00"/>
    <x v="1"/>
    <x v="2"/>
    <n v="10.8514"/>
    <n v="10.895899999999999"/>
    <n v="10.762499999999999"/>
    <n v="10.8514"/>
    <n v="19702"/>
    <n v="0"/>
    <n v="1.2397"/>
  </r>
  <r>
    <n v="2330"/>
    <x v="1"/>
    <d v="2017-03-14T00:00:00"/>
    <x v="1"/>
    <x v="2"/>
    <n v="165.7808"/>
    <n v="165.7808"/>
    <n v="164.0172"/>
    <n v="164.0172"/>
    <n v="24373"/>
    <n v="-0.26850000000000002"/>
    <n v="1.0752999999999999"/>
  </r>
  <r>
    <n v="2303"/>
    <x v="0"/>
    <d v="2017-03-15T00:00:00"/>
    <x v="2"/>
    <x v="2"/>
    <n v="10.8514"/>
    <n v="10.940300000000001"/>
    <n v="10.806900000000001"/>
    <n v="10.895899999999999"/>
    <n v="21710"/>
    <n v="0.40899999999999997"/>
    <n v="1.2345999999999999"/>
  </r>
  <r>
    <n v="2330"/>
    <x v="1"/>
    <d v="2017-03-15T00:00:00"/>
    <x v="2"/>
    <x v="2"/>
    <n v="163.5763"/>
    <n v="164.899"/>
    <n v="163.5763"/>
    <n v="164.4581"/>
    <n v="14147"/>
    <n v="0.26850000000000002"/>
    <n v="0.80859999999999999"/>
  </r>
  <r>
    <n v="2303"/>
    <x v="0"/>
    <d v="2017-03-16T00:00:00"/>
    <x v="3"/>
    <x v="2"/>
    <n v="10.9848"/>
    <n v="11.0738"/>
    <n v="10.940300000000001"/>
    <n v="11.029299999999999"/>
    <n v="49115"/>
    <n v="1.2171000000000001"/>
    <n v="1.2195"/>
  </r>
  <r>
    <n v="2330"/>
    <x v="1"/>
    <d v="2017-03-16T00:00:00"/>
    <x v="3"/>
    <x v="2"/>
    <n v="165.7808"/>
    <n v="167.5445"/>
    <n v="165.7808"/>
    <n v="167.5445"/>
    <n v="32452"/>
    <n v="1.8593"/>
    <n v="1.0638000000000001"/>
  </r>
  <r>
    <n v="2303"/>
    <x v="0"/>
    <d v="2017-03-17T00:00:00"/>
    <x v="4"/>
    <x v="2"/>
    <n v="11.029299999999999"/>
    <n v="11.0738"/>
    <n v="10.940300000000001"/>
    <n v="11.029299999999999"/>
    <n v="33157"/>
    <n v="0"/>
    <n v="1.2195"/>
  </r>
  <r>
    <n v="2330"/>
    <x v="1"/>
    <d v="2017-03-17T00:00:00"/>
    <x v="4"/>
    <x v="2"/>
    <n v="167.1036"/>
    <n v="168.8672"/>
    <n v="166.6627"/>
    <n v="168.8672"/>
    <n v="38698"/>
    <n v="0.78639999999999999"/>
    <n v="1.3228"/>
  </r>
  <r>
    <n v="2303"/>
    <x v="0"/>
    <d v="2017-03-20T00:00:00"/>
    <x v="0"/>
    <x v="2"/>
    <n v="10.9848"/>
    <n v="10.9848"/>
    <n v="10.895899999999999"/>
    <n v="10.940300000000001"/>
    <n v="17498"/>
    <n v="-0.80969999999999998"/>
    <n v="0.81630000000000003"/>
  </r>
  <r>
    <n v="2330"/>
    <x v="1"/>
    <d v="2017-03-20T00:00:00"/>
    <x v="0"/>
    <x v="2"/>
    <n v="168.8672"/>
    <n v="168.8672"/>
    <n v="167.1036"/>
    <n v="168.8672"/>
    <n v="16531"/>
    <n v="0"/>
    <n v="1.0553999999999999"/>
  </r>
  <r>
    <n v="2303"/>
    <x v="0"/>
    <d v="2017-03-21T00:00:00"/>
    <x v="1"/>
    <x v="2"/>
    <n v="10.9848"/>
    <n v="10.9848"/>
    <n v="10.895899999999999"/>
    <n v="10.940300000000001"/>
    <n v="23642"/>
    <n v="0"/>
    <n v="0.81630000000000003"/>
  </r>
  <r>
    <n v="2330"/>
    <x v="1"/>
    <d v="2017-03-21T00:00:00"/>
    <x v="1"/>
    <x v="2"/>
    <n v="169.3081"/>
    <n v="171.95349999999999"/>
    <n v="168.8672"/>
    <n v="171.95349999999999"/>
    <n v="33662"/>
    <n v="1.8111999999999999"/>
    <n v="1.8277000000000001"/>
  </r>
  <r>
    <n v="2303"/>
    <x v="0"/>
    <d v="2017-03-22T00:00:00"/>
    <x v="2"/>
    <x v="2"/>
    <n v="10.8514"/>
    <n v="10.895899999999999"/>
    <n v="10.806900000000001"/>
    <n v="10.8514"/>
    <n v="31031"/>
    <n v="-0.81630000000000003"/>
    <n v="0.82299999999999995"/>
  </r>
  <r>
    <n v="2330"/>
    <x v="1"/>
    <d v="2017-03-22T00:00:00"/>
    <x v="2"/>
    <x v="2"/>
    <n v="169.749"/>
    <n v="170.63079999999999"/>
    <n v="168.8672"/>
    <n v="170.63079999999999"/>
    <n v="27766"/>
    <n v="-0.7722"/>
    <n v="1.0444"/>
  </r>
  <r>
    <n v="2303"/>
    <x v="0"/>
    <d v="2017-03-23T00:00:00"/>
    <x v="3"/>
    <x v="2"/>
    <n v="10.8514"/>
    <n v="11.0738"/>
    <n v="10.8514"/>
    <n v="11.029299999999999"/>
    <n v="44714"/>
    <n v="1.6261000000000001"/>
    <n v="2.0491999999999999"/>
  </r>
  <r>
    <n v="2330"/>
    <x v="1"/>
    <d v="2017-03-23T00:00:00"/>
    <x v="3"/>
    <x v="2"/>
    <n v="169.3081"/>
    <n v="170.63079999999999"/>
    <n v="169.3081"/>
    <n v="170.63079999999999"/>
    <n v="18831"/>
    <n v="0"/>
    <n v="0.78129999999999999"/>
  </r>
  <r>
    <n v="2303"/>
    <x v="0"/>
    <d v="2017-03-24T00:00:00"/>
    <x v="4"/>
    <x v="2"/>
    <n v="11.029299999999999"/>
    <n v="11.0738"/>
    <n v="10.895899999999999"/>
    <n v="10.895899999999999"/>
    <n v="26257"/>
    <n v="-1.2171000000000001"/>
    <n v="1.6327"/>
  </r>
  <r>
    <n v="2330"/>
    <x v="1"/>
    <d v="2017-03-24T00:00:00"/>
    <x v="4"/>
    <x v="2"/>
    <n v="169.3081"/>
    <n v="170.18989999999999"/>
    <n v="169.3081"/>
    <n v="169.749"/>
    <n v="17722"/>
    <n v="-0.5181"/>
    <n v="0.52080000000000004"/>
  </r>
  <r>
    <n v="2303"/>
    <x v="0"/>
    <d v="2017-03-27T00:00:00"/>
    <x v="0"/>
    <x v="2"/>
    <n v="10.895899999999999"/>
    <n v="11.029299999999999"/>
    <n v="10.8514"/>
    <n v="10.895899999999999"/>
    <n v="24519"/>
    <n v="0"/>
    <n v="1.6393"/>
  </r>
  <r>
    <n v="2330"/>
    <x v="1"/>
    <d v="2017-03-27T00:00:00"/>
    <x v="0"/>
    <x v="2"/>
    <n v="171.51259999999999"/>
    <n v="171.51259999999999"/>
    <n v="169.3081"/>
    <n v="170.18989999999999"/>
    <n v="29867"/>
    <n v="0.25940000000000002"/>
    <n v="1.3021"/>
  </r>
  <r>
    <n v="2303"/>
    <x v="0"/>
    <d v="2017-03-28T00:00:00"/>
    <x v="1"/>
    <x v="2"/>
    <n v="10.895899999999999"/>
    <n v="10.940300000000001"/>
    <n v="10.718"/>
    <n v="10.762499999999999"/>
    <n v="49243"/>
    <n v="-1.232"/>
    <n v="2.0747"/>
  </r>
  <r>
    <n v="2330"/>
    <x v="1"/>
    <d v="2017-03-28T00:00:00"/>
    <x v="1"/>
    <x v="2"/>
    <n v="171.95349999999999"/>
    <n v="171.95349999999999"/>
    <n v="169.749"/>
    <n v="171.51259999999999"/>
    <n v="39522"/>
    <n v="0.7742"/>
    <n v="1.2987"/>
  </r>
  <r>
    <n v="2303"/>
    <x v="0"/>
    <d v="2017-03-29T00:00:00"/>
    <x v="2"/>
    <x v="2"/>
    <n v="10.806900000000001"/>
    <n v="10.8514"/>
    <n v="10.718"/>
    <n v="10.762499999999999"/>
    <n v="25865"/>
    <n v="0"/>
    <n v="1.2447999999999999"/>
  </r>
  <r>
    <n v="2330"/>
    <x v="1"/>
    <d v="2017-03-29T00:00:00"/>
    <x v="2"/>
    <x v="2"/>
    <n v="171.51259999999999"/>
    <n v="171.51259999999999"/>
    <n v="168.4263"/>
    <n v="168.8672"/>
    <n v="33839"/>
    <n v="-1.5544"/>
    <n v="1.8325"/>
  </r>
  <r>
    <n v="2303"/>
    <x v="0"/>
    <d v="2017-03-30T00:00:00"/>
    <x v="3"/>
    <x v="2"/>
    <n v="10.806900000000001"/>
    <n v="10.940300000000001"/>
    <n v="10.762499999999999"/>
    <n v="10.8514"/>
    <n v="21407"/>
    <n v="0.82299999999999995"/>
    <n v="1.6529"/>
  </r>
  <r>
    <n v="2330"/>
    <x v="1"/>
    <d v="2017-03-30T00:00:00"/>
    <x v="3"/>
    <x v="2"/>
    <n v="169.749"/>
    <n v="170.18989999999999"/>
    <n v="167.9854"/>
    <n v="168.8672"/>
    <n v="30716"/>
    <n v="0"/>
    <n v="1.3123"/>
  </r>
  <r>
    <n v="2303"/>
    <x v="0"/>
    <d v="2017-03-31T00:00:00"/>
    <x v="4"/>
    <x v="2"/>
    <n v="10.806900000000001"/>
    <n v="10.8514"/>
    <n v="10.762499999999999"/>
    <n v="10.8514"/>
    <n v="31810"/>
    <n v="0"/>
    <n v="0.82640000000000002"/>
  </r>
  <r>
    <n v="2330"/>
    <x v="1"/>
    <d v="2017-03-31T00:00:00"/>
    <x v="4"/>
    <x v="2"/>
    <n v="168.4263"/>
    <n v="169.3081"/>
    <n v="166.6627"/>
    <n v="166.6627"/>
    <n v="33996"/>
    <n v="-1.3141"/>
    <n v="1.5872999999999999"/>
  </r>
  <r>
    <n v="2303"/>
    <x v="0"/>
    <d v="2017-04-05T00:00:00"/>
    <x v="2"/>
    <x v="3"/>
    <n v="10.8514"/>
    <n v="10.940300000000001"/>
    <n v="10.806900000000001"/>
    <n v="10.895899999999999"/>
    <n v="39627"/>
    <n v="0.40899999999999997"/>
    <n v="1.2345999999999999"/>
  </r>
  <r>
    <n v="2330"/>
    <x v="1"/>
    <d v="2017-04-05T00:00:00"/>
    <x v="2"/>
    <x v="3"/>
    <n v="167.1036"/>
    <n v="170.18989999999999"/>
    <n v="167.1036"/>
    <n v="170.18989999999999"/>
    <n v="45116"/>
    <n v="2.0943000000000001"/>
    <n v="1.847"/>
  </r>
  <r>
    <n v="2303"/>
    <x v="0"/>
    <d v="2017-04-06T00:00:00"/>
    <x v="3"/>
    <x v="3"/>
    <n v="10.8514"/>
    <n v="10.895899999999999"/>
    <n v="10.762499999999999"/>
    <n v="10.8514"/>
    <n v="17529"/>
    <n v="-0.40899999999999997"/>
    <n v="1.2397"/>
  </r>
  <r>
    <n v="2330"/>
    <x v="1"/>
    <d v="2017-04-06T00:00:00"/>
    <x v="3"/>
    <x v="3"/>
    <n v="170.18989999999999"/>
    <n v="170.18989999999999"/>
    <n v="168.4263"/>
    <n v="168.8672"/>
    <n v="17417"/>
    <n v="-0.7802"/>
    <n v="1.0470999999999999"/>
  </r>
  <r>
    <n v="2303"/>
    <x v="0"/>
    <d v="2017-04-07T00:00:00"/>
    <x v="4"/>
    <x v="3"/>
    <n v="10.806900000000001"/>
    <n v="10.8514"/>
    <n v="10.718"/>
    <n v="10.806900000000001"/>
    <n v="22756"/>
    <n v="-0.41070000000000001"/>
    <n v="1.2447999999999999"/>
  </r>
  <r>
    <n v="2330"/>
    <x v="1"/>
    <d v="2017-04-07T00:00:00"/>
    <x v="4"/>
    <x v="3"/>
    <n v="169.3081"/>
    <n v="169.3081"/>
    <n v="166.2218"/>
    <n v="168.4263"/>
    <n v="19066"/>
    <n v="-0.26140000000000002"/>
    <n v="1.8568"/>
  </r>
  <r>
    <n v="2303"/>
    <x v="0"/>
    <d v="2017-04-10T00:00:00"/>
    <x v="0"/>
    <x v="3"/>
    <n v="10.806900000000001"/>
    <n v="10.895899999999999"/>
    <n v="10.762499999999999"/>
    <n v="10.806900000000001"/>
    <n v="17390"/>
    <n v="0"/>
    <n v="1.2397"/>
  </r>
  <r>
    <n v="2330"/>
    <x v="1"/>
    <d v="2017-04-10T00:00:00"/>
    <x v="0"/>
    <x v="3"/>
    <n v="168.4263"/>
    <n v="168.8672"/>
    <n v="167.1036"/>
    <n v="167.5445"/>
    <n v="17388"/>
    <n v="-0.52490000000000003"/>
    <n v="1.0553999999999999"/>
  </r>
  <r>
    <n v="2303"/>
    <x v="0"/>
    <d v="2017-04-11T00:00:00"/>
    <x v="1"/>
    <x v="3"/>
    <n v="10.762499999999999"/>
    <n v="10.8514"/>
    <n v="10.762499999999999"/>
    <n v="10.806900000000001"/>
    <n v="16374"/>
    <n v="0"/>
    <n v="0.82640000000000002"/>
  </r>
  <r>
    <n v="2330"/>
    <x v="1"/>
    <d v="2017-04-11T00:00:00"/>
    <x v="1"/>
    <x v="3"/>
    <n v="167.5445"/>
    <n v="168.4263"/>
    <n v="166.6627"/>
    <n v="168.4263"/>
    <n v="9788"/>
    <n v="0.52490000000000003"/>
    <n v="1.0582"/>
  </r>
  <r>
    <n v="2303"/>
    <x v="0"/>
    <d v="2017-04-12T00:00:00"/>
    <x v="2"/>
    <x v="3"/>
    <n v="10.762499999999999"/>
    <n v="10.806900000000001"/>
    <n v="10.673500000000001"/>
    <n v="10.673500000000001"/>
    <n v="27865"/>
    <n v="-1.2423"/>
    <n v="1.25"/>
  </r>
  <r>
    <n v="2330"/>
    <x v="1"/>
    <d v="2017-04-12T00:00:00"/>
    <x v="2"/>
    <x v="3"/>
    <n v="167.9854"/>
    <n v="168.8672"/>
    <n v="167.5445"/>
    <n v="168.4263"/>
    <n v="17418"/>
    <n v="0"/>
    <n v="0.78949999999999998"/>
  </r>
  <r>
    <n v="2303"/>
    <x v="0"/>
    <d v="2017-04-13T00:00:00"/>
    <x v="3"/>
    <x v="3"/>
    <n v="10.718"/>
    <n v="10.806900000000001"/>
    <n v="10.673500000000001"/>
    <n v="10.762499999999999"/>
    <n v="22564"/>
    <n v="0.82989999999999997"/>
    <n v="1.25"/>
  </r>
  <r>
    <n v="2330"/>
    <x v="1"/>
    <d v="2017-04-13T00:00:00"/>
    <x v="3"/>
    <x v="3"/>
    <n v="167.1036"/>
    <n v="169.3081"/>
    <n v="167.1036"/>
    <n v="168.8672"/>
    <n v="14796"/>
    <n v="0.26140000000000002"/>
    <n v="1.3192999999999999"/>
  </r>
  <r>
    <n v="2303"/>
    <x v="0"/>
    <d v="2017-04-14T00:00:00"/>
    <x v="4"/>
    <x v="3"/>
    <n v="10.762499999999999"/>
    <n v="10.762499999999999"/>
    <n v="10.673500000000001"/>
    <n v="10.673500000000001"/>
    <n v="19467"/>
    <n v="-0.82989999999999997"/>
    <n v="0.83330000000000004"/>
  </r>
  <r>
    <n v="2330"/>
    <x v="1"/>
    <d v="2017-04-14T00:00:00"/>
    <x v="4"/>
    <x v="3"/>
    <n v="167.1036"/>
    <n v="167.1036"/>
    <n v="165.7808"/>
    <n v="166.6627"/>
    <n v="31317"/>
    <n v="-1.3141"/>
    <n v="0.79790000000000005"/>
  </r>
  <r>
    <n v="2303"/>
    <x v="0"/>
    <d v="2017-04-17T00:00:00"/>
    <x v="0"/>
    <x v="3"/>
    <n v="10.673500000000001"/>
    <n v="10.718"/>
    <n v="10.629"/>
    <n v="10.718"/>
    <n v="16948"/>
    <n v="0.4158"/>
    <n v="0.83679999999999999"/>
  </r>
  <r>
    <n v="2330"/>
    <x v="1"/>
    <d v="2017-04-17T00:00:00"/>
    <x v="0"/>
    <x v="3"/>
    <n v="166.6627"/>
    <n v="166.6627"/>
    <n v="165.3399"/>
    <n v="165.3399"/>
    <n v="17111"/>
    <n v="-0.79679999999999995"/>
    <n v="0.8"/>
  </r>
  <r>
    <n v="2303"/>
    <x v="0"/>
    <d v="2017-04-18T00:00:00"/>
    <x v="1"/>
    <x v="3"/>
    <n v="10.718"/>
    <n v="10.940300000000001"/>
    <n v="10.673500000000001"/>
    <n v="10.762499999999999"/>
    <n v="38367"/>
    <n v="0.41410000000000002"/>
    <n v="2.5"/>
  </r>
  <r>
    <n v="2330"/>
    <x v="1"/>
    <d v="2017-04-18T00:00:00"/>
    <x v="1"/>
    <x v="3"/>
    <n v="165.7808"/>
    <n v="167.1036"/>
    <n v="165.3399"/>
    <n v="165.7808"/>
    <n v="28732"/>
    <n v="0.26629999999999998"/>
    <n v="1.0667"/>
  </r>
  <r>
    <n v="2303"/>
    <x v="0"/>
    <d v="2017-04-19T00:00:00"/>
    <x v="2"/>
    <x v="3"/>
    <n v="10.718"/>
    <n v="10.762499999999999"/>
    <n v="10.5846"/>
    <n v="10.629"/>
    <n v="29690"/>
    <n v="-1.2474000000000001"/>
    <n v="1.6807000000000001"/>
  </r>
  <r>
    <n v="2330"/>
    <x v="1"/>
    <d v="2017-04-19T00:00:00"/>
    <x v="2"/>
    <x v="3"/>
    <n v="165.3399"/>
    <n v="165.3399"/>
    <n v="164.4581"/>
    <n v="164.4581"/>
    <n v="31171"/>
    <n v="-0.80110000000000003"/>
    <n v="0.53620000000000001"/>
  </r>
  <r>
    <n v="2303"/>
    <x v="0"/>
    <d v="2017-04-20T00:00:00"/>
    <x v="3"/>
    <x v="3"/>
    <n v="10.5846"/>
    <n v="10.629"/>
    <n v="10.540100000000001"/>
    <n v="10.540100000000001"/>
    <n v="23794"/>
    <n v="-0.84030000000000005"/>
    <n v="0.84389999999999998"/>
  </r>
  <r>
    <n v="2330"/>
    <x v="1"/>
    <d v="2017-04-20T00:00:00"/>
    <x v="3"/>
    <x v="3"/>
    <n v="164.4581"/>
    <n v="165.7808"/>
    <n v="164.4581"/>
    <n v="164.899"/>
    <n v="32697"/>
    <n v="0.26769999999999999"/>
    <n v="0.80430000000000001"/>
  </r>
  <r>
    <n v="2303"/>
    <x v="0"/>
    <d v="2017-04-21T00:00:00"/>
    <x v="4"/>
    <x v="3"/>
    <n v="10.5846"/>
    <n v="10.629"/>
    <n v="10.540100000000001"/>
    <n v="10.5846"/>
    <n v="23892"/>
    <n v="0.42109999999999997"/>
    <n v="0.84389999999999998"/>
  </r>
  <r>
    <n v="2330"/>
    <x v="1"/>
    <d v="2017-04-21T00:00:00"/>
    <x v="4"/>
    <x v="3"/>
    <n v="165.3399"/>
    <n v="167.5445"/>
    <n v="165.3399"/>
    <n v="167.5445"/>
    <n v="19034"/>
    <n v="1.5914999999999999"/>
    <n v="1.3332999999999999"/>
  </r>
  <r>
    <n v="2303"/>
    <x v="0"/>
    <d v="2017-04-24T00:00:00"/>
    <x v="0"/>
    <x v="3"/>
    <n v="10.5846"/>
    <n v="10.629"/>
    <n v="10.540100000000001"/>
    <n v="10.5846"/>
    <n v="18824"/>
    <n v="0"/>
    <n v="0.84389999999999998"/>
  </r>
  <r>
    <n v="2330"/>
    <x v="1"/>
    <d v="2017-04-24T00:00:00"/>
    <x v="0"/>
    <x v="3"/>
    <n v="168.4263"/>
    <n v="168.8672"/>
    <n v="166.2218"/>
    <n v="167.5445"/>
    <n v="29572"/>
    <n v="0"/>
    <n v="1.5914999999999999"/>
  </r>
  <r>
    <n v="2303"/>
    <x v="0"/>
    <d v="2017-04-25T00:00:00"/>
    <x v="1"/>
    <x v="3"/>
    <n v="10.5846"/>
    <n v="10.718"/>
    <n v="10.540100000000001"/>
    <n v="10.673500000000001"/>
    <n v="24368"/>
    <n v="0.83679999999999999"/>
    <n v="1.6878"/>
  </r>
  <r>
    <n v="2330"/>
    <x v="1"/>
    <d v="2017-04-25T00:00:00"/>
    <x v="1"/>
    <x v="3"/>
    <n v="167.9854"/>
    <n v="169.3081"/>
    <n v="167.1036"/>
    <n v="169.3081"/>
    <n v="31952"/>
    <n v="1.0470999999999999"/>
    <n v="1.3192999999999999"/>
  </r>
  <r>
    <n v="2303"/>
    <x v="0"/>
    <d v="2017-04-26T00:00:00"/>
    <x v="2"/>
    <x v="3"/>
    <n v="10.673500000000001"/>
    <n v="10.762499999999999"/>
    <n v="10.629"/>
    <n v="10.762499999999999"/>
    <n v="23540"/>
    <n v="0.82989999999999997"/>
    <n v="1.2552000000000001"/>
  </r>
  <r>
    <n v="2330"/>
    <x v="1"/>
    <d v="2017-04-26T00:00:00"/>
    <x v="2"/>
    <x v="3"/>
    <n v="169.3081"/>
    <n v="169.3081"/>
    <n v="167.9854"/>
    <n v="168.4263"/>
    <n v="31119"/>
    <n v="-0.5222"/>
    <n v="0.78739999999999999"/>
  </r>
  <r>
    <n v="2303"/>
    <x v="0"/>
    <d v="2017-04-27T00:00:00"/>
    <x v="3"/>
    <x v="3"/>
    <n v="10.718"/>
    <n v="10.806900000000001"/>
    <n v="10.673500000000001"/>
    <n v="10.762499999999999"/>
    <n v="29987"/>
    <n v="0"/>
    <n v="1.25"/>
  </r>
  <r>
    <n v="2330"/>
    <x v="1"/>
    <d v="2017-04-27T00:00:00"/>
    <x v="3"/>
    <x v="3"/>
    <n v="169.3081"/>
    <n v="170.18989999999999"/>
    <n v="167.9854"/>
    <n v="170.18989999999999"/>
    <n v="35812"/>
    <n v="1.0417000000000001"/>
    <n v="1.3123"/>
  </r>
  <r>
    <n v="2303"/>
    <x v="0"/>
    <d v="2017-04-28T00:00:00"/>
    <x v="4"/>
    <x v="3"/>
    <n v="10.762499999999999"/>
    <n v="10.762499999999999"/>
    <n v="10.673500000000001"/>
    <n v="10.718"/>
    <n v="31481"/>
    <n v="-0.41410000000000002"/>
    <n v="0.83330000000000004"/>
  </r>
  <r>
    <n v="2330"/>
    <x v="1"/>
    <d v="2017-04-28T00:00:00"/>
    <x v="4"/>
    <x v="3"/>
    <n v="170.63079999999999"/>
    <n v="171.51259999999999"/>
    <n v="170.18989999999999"/>
    <n v="171.51259999999999"/>
    <n v="38381"/>
    <n v="0.7742"/>
    <n v="0.7772"/>
  </r>
  <r>
    <n v="2303"/>
    <x v="0"/>
    <d v="2017-05-02T00:00:00"/>
    <x v="1"/>
    <x v="4"/>
    <n v="10.762499999999999"/>
    <n v="10.806900000000001"/>
    <n v="10.718"/>
    <n v="10.718"/>
    <n v="22698"/>
    <n v="0"/>
    <n v="0.82989999999999997"/>
  </r>
  <r>
    <n v="2330"/>
    <x v="1"/>
    <d v="2017-05-02T00:00:00"/>
    <x v="1"/>
    <x v="4"/>
    <n v="175.03989999999999"/>
    <n v="175.48079999999999"/>
    <n v="172.39439999999999"/>
    <n v="173.27629999999999"/>
    <n v="45851"/>
    <n v="1.0229999999999999"/>
    <n v="1.7903"/>
  </r>
  <r>
    <n v="2303"/>
    <x v="0"/>
    <d v="2017-05-03T00:00:00"/>
    <x v="2"/>
    <x v="4"/>
    <n v="10.718"/>
    <n v="10.8514"/>
    <n v="10.673500000000001"/>
    <n v="10.718"/>
    <n v="33865"/>
    <n v="0"/>
    <n v="1.6667000000000001"/>
  </r>
  <r>
    <n v="2330"/>
    <x v="1"/>
    <d v="2017-05-03T00:00:00"/>
    <x v="2"/>
    <x v="4"/>
    <n v="174.59899999999999"/>
    <n v="175.03989999999999"/>
    <n v="173.71719999999999"/>
    <n v="174.59899999999999"/>
    <n v="27240"/>
    <n v="0.76049999999999995"/>
    <n v="0.76139999999999997"/>
  </r>
  <r>
    <n v="2303"/>
    <x v="0"/>
    <d v="2017-05-04T00:00:00"/>
    <x v="3"/>
    <x v="4"/>
    <n v="10.806900000000001"/>
    <n v="10.8514"/>
    <n v="10.718"/>
    <n v="10.8514"/>
    <n v="18642"/>
    <n v="1.2371000000000001"/>
    <n v="1.2447999999999999"/>
  </r>
  <r>
    <n v="2330"/>
    <x v="1"/>
    <d v="2017-05-04T00:00:00"/>
    <x v="3"/>
    <x v="4"/>
    <n v="175.03989999999999"/>
    <n v="175.48079999999999"/>
    <n v="173.71719999999999"/>
    <n v="174.59899999999999"/>
    <n v="22194"/>
    <n v="0"/>
    <n v="1.0152000000000001"/>
  </r>
  <r>
    <n v="2303"/>
    <x v="0"/>
    <d v="2017-05-05T00:00:00"/>
    <x v="4"/>
    <x v="4"/>
    <n v="10.895899999999999"/>
    <n v="10.895899999999999"/>
    <n v="10.762499999999999"/>
    <n v="10.762499999999999"/>
    <n v="23465"/>
    <n v="-0.82299999999999995"/>
    <n v="1.2397"/>
  </r>
  <r>
    <n v="2330"/>
    <x v="1"/>
    <d v="2017-05-05T00:00:00"/>
    <x v="4"/>
    <x v="4"/>
    <n v="173.71719999999999"/>
    <n v="175.03989999999999"/>
    <n v="173.71719999999999"/>
    <n v="174.15809999999999"/>
    <n v="17618"/>
    <n v="-0.25280000000000002"/>
    <n v="0.76139999999999997"/>
  </r>
  <r>
    <n v="2303"/>
    <x v="0"/>
    <d v="2017-05-08T00:00:00"/>
    <x v="0"/>
    <x v="4"/>
    <n v="10.8514"/>
    <n v="10.895899999999999"/>
    <n v="10.806900000000001"/>
    <n v="10.8514"/>
    <n v="25166"/>
    <n v="0.82299999999999995"/>
    <n v="0.82299999999999995"/>
  </r>
  <r>
    <n v="2330"/>
    <x v="1"/>
    <d v="2017-05-08T00:00:00"/>
    <x v="0"/>
    <x v="4"/>
    <n v="175.48079999999999"/>
    <n v="178.56710000000001"/>
    <n v="175.48079999999999"/>
    <n v="178.56710000000001"/>
    <n v="39591"/>
    <n v="2.5001000000000002"/>
    <n v="1.7587999999999999"/>
  </r>
  <r>
    <n v="2303"/>
    <x v="0"/>
    <d v="2017-05-09T00:00:00"/>
    <x v="1"/>
    <x v="4"/>
    <n v="10.895899999999999"/>
    <n v="10.940300000000001"/>
    <n v="10.762499999999999"/>
    <n v="10.762499999999999"/>
    <n v="18943"/>
    <n v="-0.82299999999999995"/>
    <n v="1.6529"/>
  </r>
  <r>
    <n v="2330"/>
    <x v="1"/>
    <d v="2017-05-09T00:00:00"/>
    <x v="1"/>
    <x v="4"/>
    <n v="181.21260000000001"/>
    <n v="182.53530000000001"/>
    <n v="179.44890000000001"/>
    <n v="179.44890000000001"/>
    <n v="48285"/>
    <n v="0.49259999999999998"/>
    <n v="1.7199"/>
  </r>
  <r>
    <n v="2303"/>
    <x v="0"/>
    <d v="2017-05-10T00:00:00"/>
    <x v="2"/>
    <x v="4"/>
    <n v="10.8514"/>
    <n v="10.940300000000001"/>
    <n v="10.806900000000001"/>
    <n v="10.895899999999999"/>
    <n v="35670"/>
    <n v="1.232"/>
    <n v="1.2345999999999999"/>
  </r>
  <r>
    <n v="2330"/>
    <x v="1"/>
    <d v="2017-05-10T00:00:00"/>
    <x v="2"/>
    <x v="4"/>
    <n v="179.88990000000001"/>
    <n v="181.65350000000001"/>
    <n v="179.88990000000001"/>
    <n v="181.21260000000001"/>
    <n v="31075"/>
    <n v="0.97799999999999998"/>
    <n v="0.98040000000000005"/>
  </r>
  <r>
    <n v="2303"/>
    <x v="0"/>
    <d v="2017-05-11T00:00:00"/>
    <x v="3"/>
    <x v="4"/>
    <n v="10.940300000000001"/>
    <n v="10.940300000000001"/>
    <n v="10.8514"/>
    <n v="10.8514"/>
    <n v="22797"/>
    <n v="-0.40899999999999997"/>
    <n v="0.81969999999999998"/>
  </r>
  <r>
    <n v="2330"/>
    <x v="1"/>
    <d v="2017-05-11T00:00:00"/>
    <x v="3"/>
    <x v="4"/>
    <n v="180.33080000000001"/>
    <n v="183.858"/>
    <n v="179.88990000000001"/>
    <n v="182.97620000000001"/>
    <n v="44286"/>
    <n v="0.96850000000000003"/>
    <n v="2.2059000000000002"/>
  </r>
  <r>
    <n v="2303"/>
    <x v="0"/>
    <d v="2017-05-12T00:00:00"/>
    <x v="4"/>
    <x v="4"/>
    <n v="10.895899999999999"/>
    <n v="10.940300000000001"/>
    <n v="10.8514"/>
    <n v="10.940300000000001"/>
    <n v="23892"/>
    <n v="0.81630000000000003"/>
    <n v="0.81969999999999998"/>
  </r>
  <r>
    <n v="2330"/>
    <x v="1"/>
    <d v="2017-05-12T00:00:00"/>
    <x v="4"/>
    <x v="4"/>
    <n v="180.77170000000001"/>
    <n v="182.53530000000001"/>
    <n v="180.77170000000001"/>
    <n v="181.65350000000001"/>
    <n v="25507"/>
    <n v="-0.72550000000000003"/>
    <n v="0.97560000000000002"/>
  </r>
  <r>
    <n v="2303"/>
    <x v="0"/>
    <d v="2017-05-15T00:00:00"/>
    <x v="0"/>
    <x v="4"/>
    <n v="10.940300000000001"/>
    <n v="10.940300000000001"/>
    <n v="10.8514"/>
    <n v="10.895899999999999"/>
    <n v="14180"/>
    <n v="-0.4073"/>
    <n v="0.81969999999999998"/>
  </r>
  <r>
    <n v="2330"/>
    <x v="1"/>
    <d v="2017-05-15T00:00:00"/>
    <x v="0"/>
    <x v="4"/>
    <n v="179.88990000000001"/>
    <n v="181.65350000000001"/>
    <n v="179.88990000000001"/>
    <n v="181.65350000000001"/>
    <n v="25922"/>
    <n v="0"/>
    <n v="0.98040000000000005"/>
  </r>
  <r>
    <n v="2303"/>
    <x v="0"/>
    <d v="2017-05-16T00:00:00"/>
    <x v="1"/>
    <x v="4"/>
    <n v="10.895899999999999"/>
    <n v="10.895899999999999"/>
    <n v="10.806900000000001"/>
    <n v="10.806900000000001"/>
    <n v="17113"/>
    <n v="-0.81969999999999998"/>
    <n v="0.82299999999999995"/>
  </r>
  <r>
    <n v="2330"/>
    <x v="1"/>
    <d v="2017-05-16T00:00:00"/>
    <x v="1"/>
    <x v="4"/>
    <n v="180.77170000000001"/>
    <n v="180.77170000000001"/>
    <n v="179.44890000000001"/>
    <n v="180.33080000000001"/>
    <n v="36604"/>
    <n v="-0.73080000000000001"/>
    <n v="0.73709999999999998"/>
  </r>
  <r>
    <n v="2303"/>
    <x v="0"/>
    <d v="2017-05-17T00:00:00"/>
    <x v="2"/>
    <x v="4"/>
    <n v="10.8514"/>
    <n v="10.895899999999999"/>
    <n v="10.762499999999999"/>
    <n v="10.8514"/>
    <n v="25439"/>
    <n v="0.41070000000000001"/>
    <n v="1.2397"/>
  </r>
  <r>
    <n v="2330"/>
    <x v="1"/>
    <d v="2017-05-17T00:00:00"/>
    <x v="2"/>
    <x v="4"/>
    <n v="179.00800000000001"/>
    <n v="179.88990000000001"/>
    <n v="179.00800000000001"/>
    <n v="179.88990000000001"/>
    <n v="22606"/>
    <n v="-0.24479999999999999"/>
    <n v="0.49259999999999998"/>
  </r>
  <r>
    <n v="2303"/>
    <x v="0"/>
    <d v="2017-05-18T00:00:00"/>
    <x v="3"/>
    <x v="4"/>
    <n v="10.762499999999999"/>
    <n v="10.895899999999999"/>
    <n v="10.718"/>
    <n v="10.895899999999999"/>
    <n v="16623"/>
    <n v="0.40899999999999997"/>
    <n v="1.6597999999999999"/>
  </r>
  <r>
    <n v="2330"/>
    <x v="1"/>
    <d v="2017-05-18T00:00:00"/>
    <x v="3"/>
    <x v="4"/>
    <n v="178.56710000000001"/>
    <n v="179.88990000000001"/>
    <n v="177.68530000000001"/>
    <n v="179.44890000000001"/>
    <n v="22490"/>
    <n v="-0.24540000000000001"/>
    <n v="1.2406999999999999"/>
  </r>
  <r>
    <n v="2303"/>
    <x v="0"/>
    <d v="2017-05-19T00:00:00"/>
    <x v="4"/>
    <x v="4"/>
    <n v="10.895899999999999"/>
    <n v="10.940300000000001"/>
    <n v="10.806900000000001"/>
    <n v="10.8514"/>
    <n v="18679"/>
    <n v="-0.40899999999999997"/>
    <n v="1.2345999999999999"/>
  </r>
  <r>
    <n v="2330"/>
    <x v="1"/>
    <d v="2017-05-19T00:00:00"/>
    <x v="4"/>
    <x v="4"/>
    <n v="179.44890000000001"/>
    <n v="180.33080000000001"/>
    <n v="178.56710000000001"/>
    <n v="179.00800000000001"/>
    <n v="17163"/>
    <n v="-0.246"/>
    <n v="0.98770000000000002"/>
  </r>
  <r>
    <n v="2303"/>
    <x v="0"/>
    <d v="2017-05-22T00:00:00"/>
    <x v="0"/>
    <x v="4"/>
    <n v="10.895899999999999"/>
    <n v="10.940300000000001"/>
    <n v="10.8514"/>
    <n v="10.895899999999999"/>
    <n v="12869"/>
    <n v="0.40899999999999997"/>
    <n v="0.81969999999999998"/>
  </r>
  <r>
    <n v="2330"/>
    <x v="1"/>
    <d v="2017-05-22T00:00:00"/>
    <x v="0"/>
    <x v="4"/>
    <n v="179.44890000000001"/>
    <n v="180.77170000000001"/>
    <n v="179.00800000000001"/>
    <n v="180.77170000000001"/>
    <n v="17419"/>
    <n v="0.98040000000000005"/>
    <n v="0.98519999999999996"/>
  </r>
  <r>
    <n v="2303"/>
    <x v="0"/>
    <d v="2017-05-23T00:00:00"/>
    <x v="1"/>
    <x v="4"/>
    <n v="10.895899999999999"/>
    <n v="10.9848"/>
    <n v="10.895899999999999"/>
    <n v="10.9848"/>
    <n v="30403"/>
    <n v="0.81299999999999994"/>
    <n v="0.81630000000000003"/>
  </r>
  <r>
    <n v="2330"/>
    <x v="1"/>
    <d v="2017-05-23T00:00:00"/>
    <x v="1"/>
    <x v="4"/>
    <n v="180.77170000000001"/>
    <n v="182.53530000000001"/>
    <n v="180.33080000000001"/>
    <n v="180.77170000000001"/>
    <n v="23028"/>
    <n v="0"/>
    <n v="1.2224999999999999"/>
  </r>
  <r>
    <n v="2303"/>
    <x v="0"/>
    <d v="2017-05-24T00:00:00"/>
    <x v="2"/>
    <x v="4"/>
    <n v="10.9848"/>
    <n v="11.0738"/>
    <n v="10.940300000000001"/>
    <n v="10.9848"/>
    <n v="23896"/>
    <n v="0"/>
    <n v="1.2195"/>
  </r>
  <r>
    <n v="2330"/>
    <x v="1"/>
    <d v="2017-05-24T00:00:00"/>
    <x v="2"/>
    <x v="4"/>
    <n v="180.77170000000001"/>
    <n v="181.65350000000001"/>
    <n v="180.77170000000001"/>
    <n v="181.21260000000001"/>
    <n v="18307"/>
    <n v="0.24360000000000001"/>
    <n v="0.48780000000000001"/>
  </r>
  <r>
    <n v="2303"/>
    <x v="0"/>
    <d v="2017-05-25T00:00:00"/>
    <x v="3"/>
    <x v="4"/>
    <n v="10.9848"/>
    <n v="11.0738"/>
    <n v="10.9848"/>
    <n v="11.029299999999999"/>
    <n v="20872"/>
    <n v="0.40400000000000003"/>
    <n v="0.80969999999999998"/>
  </r>
  <r>
    <n v="2330"/>
    <x v="1"/>
    <d v="2017-05-25T00:00:00"/>
    <x v="3"/>
    <x v="4"/>
    <n v="181.65350000000001"/>
    <n v="182.53530000000001"/>
    <n v="181.21260000000001"/>
    <n v="182.53530000000001"/>
    <n v="26088"/>
    <n v="0.72729999999999995"/>
    <n v="0.72989999999999999"/>
  </r>
  <r>
    <n v="2303"/>
    <x v="0"/>
    <d v="2017-05-26T00:00:00"/>
    <x v="4"/>
    <x v="4"/>
    <n v="11.029299999999999"/>
    <n v="11.0738"/>
    <n v="10.940300000000001"/>
    <n v="11.0738"/>
    <n v="16680"/>
    <n v="0.40239999999999998"/>
    <n v="1.2195"/>
  </r>
  <r>
    <n v="2330"/>
    <x v="1"/>
    <d v="2017-05-26T00:00:00"/>
    <x v="4"/>
    <x v="4"/>
    <n v="180.77170000000001"/>
    <n v="182.53530000000001"/>
    <n v="180.77170000000001"/>
    <n v="182.53530000000001"/>
    <n v="32976"/>
    <n v="0"/>
    <n v="0.97560000000000002"/>
  </r>
  <r>
    <n v="2303"/>
    <x v="0"/>
    <d v="2017-05-31T00:00:00"/>
    <x v="2"/>
    <x v="4"/>
    <n v="11.1182"/>
    <n v="11.162699999999999"/>
    <n v="10.9848"/>
    <n v="11.0738"/>
    <n v="31518"/>
    <n v="0"/>
    <n v="1.6194"/>
  </r>
  <r>
    <n v="2330"/>
    <x v="1"/>
    <d v="2017-05-31T00:00:00"/>
    <x v="2"/>
    <x v="4"/>
    <n v="182.09440000000001"/>
    <n v="182.53530000000001"/>
    <n v="179.00800000000001"/>
    <n v="179.00800000000001"/>
    <n v="67935"/>
    <n v="-1.9513"/>
    <n v="1.9703999999999999"/>
  </r>
  <r>
    <n v="2303"/>
    <x v="0"/>
    <d v="2017-06-01T00:00:00"/>
    <x v="3"/>
    <x v="5"/>
    <n v="11.0738"/>
    <n v="11.1182"/>
    <n v="11.029299999999999"/>
    <n v="11.029299999999999"/>
    <n v="16729"/>
    <n v="-0.40239999999999998"/>
    <n v="0.80649999999999999"/>
  </r>
  <r>
    <n v="2330"/>
    <x v="1"/>
    <d v="2017-06-01T00:00:00"/>
    <x v="3"/>
    <x v="5"/>
    <n v="180.77170000000001"/>
    <n v="182.53530000000001"/>
    <n v="180.33080000000001"/>
    <n v="182.53530000000001"/>
    <n v="29623"/>
    <n v="1.9513"/>
    <n v="1.2224999999999999"/>
  </r>
  <r>
    <n v="2303"/>
    <x v="0"/>
    <d v="2017-06-02T00:00:00"/>
    <x v="4"/>
    <x v="5"/>
    <n v="11.0738"/>
    <n v="11.1182"/>
    <n v="10.9848"/>
    <n v="11.029299999999999"/>
    <n v="15861"/>
    <n v="0"/>
    <n v="1.2145999999999999"/>
  </r>
  <r>
    <n v="2330"/>
    <x v="1"/>
    <d v="2017-06-02T00:00:00"/>
    <x v="4"/>
    <x v="5"/>
    <n v="183.858"/>
    <n v="184.2989"/>
    <n v="182.97620000000001"/>
    <n v="184.2989"/>
    <n v="23265"/>
    <n v="0.96150000000000002"/>
    <n v="0.72289999999999999"/>
  </r>
  <r>
    <n v="2303"/>
    <x v="0"/>
    <d v="2017-06-03T00:00:00"/>
    <x v="5"/>
    <x v="5"/>
    <n v="11.0738"/>
    <n v="11.0738"/>
    <n v="10.9848"/>
    <n v="11.029299999999999"/>
    <n v="5733"/>
    <n v="0"/>
    <n v="0.80969999999999998"/>
  </r>
  <r>
    <n v="2330"/>
    <x v="1"/>
    <d v="2017-06-03T00:00:00"/>
    <x v="5"/>
    <x v="5"/>
    <n v="184.2989"/>
    <n v="184.2989"/>
    <n v="183.4171"/>
    <n v="184.2989"/>
    <n v="1535"/>
    <n v="0"/>
    <n v="0.48080000000000001"/>
  </r>
  <r>
    <n v="2303"/>
    <x v="0"/>
    <d v="2017-06-05T00:00:00"/>
    <x v="0"/>
    <x v="5"/>
    <n v="10.9848"/>
    <n v="11.0738"/>
    <n v="10.940300000000001"/>
    <n v="11.0738"/>
    <n v="19833"/>
    <n v="0.40239999999999998"/>
    <n v="1.2195"/>
  </r>
  <r>
    <n v="2330"/>
    <x v="1"/>
    <d v="2017-06-05T00:00:00"/>
    <x v="0"/>
    <x v="5"/>
    <n v="184.7398"/>
    <n v="186.9444"/>
    <n v="184.2989"/>
    <n v="186.9444"/>
    <n v="22545"/>
    <n v="1.4252"/>
    <n v="1.4354"/>
  </r>
  <r>
    <n v="2303"/>
    <x v="0"/>
    <d v="2017-06-06T00:00:00"/>
    <x v="1"/>
    <x v="5"/>
    <n v="11.0738"/>
    <n v="11.0738"/>
    <n v="10.9848"/>
    <n v="11.0738"/>
    <n v="11596"/>
    <n v="0"/>
    <n v="0.80969999999999998"/>
  </r>
  <r>
    <n v="2330"/>
    <x v="1"/>
    <d v="2017-06-06T00:00:00"/>
    <x v="1"/>
    <x v="5"/>
    <n v="185.6216"/>
    <n v="186.5034"/>
    <n v="185.6216"/>
    <n v="185.6216"/>
    <n v="15382"/>
    <n v="-0.71009999999999995"/>
    <n v="0.47510000000000002"/>
  </r>
  <r>
    <n v="2303"/>
    <x v="0"/>
    <d v="2017-06-07T00:00:00"/>
    <x v="2"/>
    <x v="5"/>
    <n v="11.0738"/>
    <n v="11.1182"/>
    <n v="11.029299999999999"/>
    <n v="11.0738"/>
    <n v="17606"/>
    <n v="0"/>
    <n v="0.80649999999999999"/>
  </r>
  <r>
    <n v="2330"/>
    <x v="1"/>
    <d v="2017-06-07T00:00:00"/>
    <x v="2"/>
    <x v="5"/>
    <n v="186.9444"/>
    <n v="187.3853"/>
    <n v="185.1807"/>
    <n v="186.5034"/>
    <n v="34729"/>
    <n v="0.47389999999999999"/>
    <n v="1.1904999999999999"/>
  </r>
  <r>
    <n v="2303"/>
    <x v="0"/>
    <d v="2017-06-08T00:00:00"/>
    <x v="3"/>
    <x v="5"/>
    <n v="10.9848"/>
    <n v="11.0738"/>
    <n v="10.9848"/>
    <n v="10.9848"/>
    <n v="17652"/>
    <n v="-0.80649999999999999"/>
    <n v="0.80969999999999998"/>
  </r>
  <r>
    <n v="2330"/>
    <x v="1"/>
    <d v="2017-06-08T00:00:00"/>
    <x v="3"/>
    <x v="5"/>
    <n v="186.9444"/>
    <n v="187.8262"/>
    <n v="186.5034"/>
    <n v="187.8262"/>
    <n v="21654"/>
    <n v="0.70669999999999999"/>
    <n v="0.70920000000000005"/>
  </r>
  <r>
    <n v="2303"/>
    <x v="0"/>
    <d v="2017-06-09T00:00:00"/>
    <x v="4"/>
    <x v="5"/>
    <n v="10.9848"/>
    <n v="11.0738"/>
    <n v="10.895899999999999"/>
    <n v="10.895899999999999"/>
    <n v="23368"/>
    <n v="-0.81299999999999994"/>
    <n v="1.6327"/>
  </r>
  <r>
    <n v="2330"/>
    <x v="1"/>
    <d v="2017-06-09T00:00:00"/>
    <x v="4"/>
    <x v="5"/>
    <n v="189.1489"/>
    <n v="189.5898"/>
    <n v="186.9444"/>
    <n v="186.9444"/>
    <n v="35190"/>
    <n v="-0.47060000000000002"/>
    <n v="1.4151"/>
  </r>
  <r>
    <n v="2303"/>
    <x v="0"/>
    <d v="2017-06-12T00:00:00"/>
    <x v="0"/>
    <x v="5"/>
    <n v="10.8514"/>
    <n v="10.895899999999999"/>
    <n v="10.806900000000001"/>
    <n v="10.806900000000001"/>
    <n v="18811"/>
    <n v="-0.81969999999999998"/>
    <n v="0.82299999999999995"/>
  </r>
  <r>
    <n v="2330"/>
    <x v="1"/>
    <d v="2017-06-12T00:00:00"/>
    <x v="0"/>
    <x v="5"/>
    <n v="182.53530000000001"/>
    <n v="185.1807"/>
    <n v="182.53530000000001"/>
    <n v="182.97620000000001"/>
    <n v="63111"/>
    <n v="-2.1455000000000002"/>
    <n v="1.4493"/>
  </r>
  <r>
    <n v="2303"/>
    <x v="0"/>
    <d v="2017-06-13T00:00:00"/>
    <x v="1"/>
    <x v="5"/>
    <n v="10.8514"/>
    <n v="10.895899999999999"/>
    <n v="10.762499999999999"/>
    <n v="10.8514"/>
    <n v="18400"/>
    <n v="0.41070000000000001"/>
    <n v="1.2397"/>
  </r>
  <r>
    <n v="2330"/>
    <x v="1"/>
    <d v="2017-06-13T00:00:00"/>
    <x v="1"/>
    <x v="5"/>
    <n v="182.53530000000001"/>
    <n v="183.858"/>
    <n v="182.09440000000001"/>
    <n v="183.4171"/>
    <n v="49983"/>
    <n v="0.2407"/>
    <n v="0.96850000000000003"/>
  </r>
  <r>
    <n v="2303"/>
    <x v="0"/>
    <d v="2017-06-14T00:00:00"/>
    <x v="2"/>
    <x v="5"/>
    <n v="10.895899999999999"/>
    <n v="10.895899999999999"/>
    <n v="10.673500000000001"/>
    <n v="10.806900000000001"/>
    <n v="23818"/>
    <n v="-0.41070000000000001"/>
    <n v="2.0832999999999999"/>
  </r>
  <r>
    <n v="2330"/>
    <x v="1"/>
    <d v="2017-06-14T00:00:00"/>
    <x v="2"/>
    <x v="5"/>
    <n v="183.858"/>
    <n v="184.7398"/>
    <n v="181.65350000000001"/>
    <n v="182.53530000000001"/>
    <n v="39083"/>
    <n v="-0.4819"/>
    <n v="1.6990000000000001"/>
  </r>
  <r>
    <n v="2303"/>
    <x v="0"/>
    <d v="2017-06-15T00:00:00"/>
    <x v="3"/>
    <x v="5"/>
    <n v="10.762499999999999"/>
    <n v="10.8514"/>
    <n v="10.762499999999999"/>
    <n v="10.8514"/>
    <n v="15676"/>
    <n v="0.41070000000000001"/>
    <n v="0.82640000000000002"/>
  </r>
  <r>
    <n v="2330"/>
    <x v="1"/>
    <d v="2017-06-15T00:00:00"/>
    <x v="3"/>
    <x v="5"/>
    <n v="182.97620000000001"/>
    <n v="183.4171"/>
    <n v="182.53530000000001"/>
    <n v="183.4171"/>
    <n v="19486"/>
    <n v="0.4819"/>
    <n v="0.48309999999999997"/>
  </r>
  <r>
    <n v="2303"/>
    <x v="0"/>
    <d v="2017-06-16T00:00:00"/>
    <x v="4"/>
    <x v="5"/>
    <n v="10.8514"/>
    <n v="10.895899999999999"/>
    <n v="10.806900000000001"/>
    <n v="10.8514"/>
    <n v="22341"/>
    <n v="0"/>
    <n v="0.82299999999999995"/>
  </r>
  <r>
    <n v="2330"/>
    <x v="1"/>
    <d v="2017-06-16T00:00:00"/>
    <x v="4"/>
    <x v="5"/>
    <n v="182.97620000000001"/>
    <n v="186.9444"/>
    <n v="182.53530000000001"/>
    <n v="186.5034"/>
    <n v="32856"/>
    <n v="1.6687000000000001"/>
    <n v="2.4155000000000002"/>
  </r>
  <r>
    <n v="2303"/>
    <x v="0"/>
    <d v="2017-06-19T00:00:00"/>
    <x v="0"/>
    <x v="5"/>
    <n v="10.8514"/>
    <n v="10.895899999999999"/>
    <n v="10.806900000000001"/>
    <n v="10.895899999999999"/>
    <n v="17387"/>
    <n v="0.40899999999999997"/>
    <n v="0.82299999999999995"/>
  </r>
  <r>
    <n v="2330"/>
    <x v="1"/>
    <d v="2017-06-19T00:00:00"/>
    <x v="0"/>
    <x v="5"/>
    <n v="186.0625"/>
    <n v="187.8262"/>
    <n v="185.6216"/>
    <n v="187.8262"/>
    <n v="17489"/>
    <n v="0.70669999999999999"/>
    <n v="1.1876"/>
  </r>
  <r>
    <n v="2303"/>
    <x v="0"/>
    <d v="2017-06-20T00:00:00"/>
    <x v="1"/>
    <x v="5"/>
    <n v="10.895899999999999"/>
    <n v="10.940300000000001"/>
    <n v="10.8514"/>
    <n v="10.940300000000001"/>
    <n v="10463"/>
    <n v="0.4073"/>
    <n v="0.81969999999999998"/>
  </r>
  <r>
    <n v="2330"/>
    <x v="1"/>
    <d v="2017-06-20T00:00:00"/>
    <x v="1"/>
    <x v="5"/>
    <n v="189.5898"/>
    <n v="192.23519999999999"/>
    <n v="189.1489"/>
    <n v="190.91249999999999"/>
    <n v="28784"/>
    <n v="1.6297999999999999"/>
    <n v="1.6316999999999999"/>
  </r>
  <r>
    <n v="2303"/>
    <x v="0"/>
    <d v="2017-06-21T00:00:00"/>
    <x v="2"/>
    <x v="5"/>
    <n v="10.895899999999999"/>
    <n v="11.162699999999999"/>
    <n v="10.8514"/>
    <n v="11.029299999999999"/>
    <n v="74633"/>
    <n v="0.80969999999999998"/>
    <n v="2.8689"/>
  </r>
  <r>
    <n v="2330"/>
    <x v="1"/>
    <d v="2017-06-21T00:00:00"/>
    <x v="2"/>
    <x v="5"/>
    <n v="190.4716"/>
    <n v="191.35339999999999"/>
    <n v="189.1489"/>
    <n v="190.0307"/>
    <n v="45384"/>
    <n v="-0.46300000000000002"/>
    <n v="1.1655"/>
  </r>
  <r>
    <n v="2303"/>
    <x v="0"/>
    <d v="2017-06-22T00:00:00"/>
    <x v="3"/>
    <x v="5"/>
    <n v="11.0738"/>
    <n v="11.1182"/>
    <n v="10.940300000000001"/>
    <n v="11.029299999999999"/>
    <n v="18503"/>
    <n v="0"/>
    <n v="1.6259999999999999"/>
  </r>
  <r>
    <n v="2330"/>
    <x v="1"/>
    <d v="2017-06-22T00:00:00"/>
    <x v="3"/>
    <x v="5"/>
    <n v="191.35339999999999"/>
    <n v="192.23519999999999"/>
    <n v="190.91249999999999"/>
    <n v="192.23519999999999"/>
    <n v="26094"/>
    <n v="1.1534"/>
    <n v="0.69279999999999997"/>
  </r>
  <r>
    <n v="2303"/>
    <x v="0"/>
    <d v="2017-06-23T00:00:00"/>
    <x v="4"/>
    <x v="5"/>
    <n v="11.0738"/>
    <n v="11.5185"/>
    <n v="11.029299999999999"/>
    <n v="11.3851"/>
    <n v="176325"/>
    <n v="3.1749000000000001"/>
    <n v="4.4355000000000002"/>
  </r>
  <r>
    <n v="2330"/>
    <x v="1"/>
    <d v="2017-06-23T00:00:00"/>
    <x v="4"/>
    <x v="5"/>
    <n v="192.23519999999999"/>
    <n v="192.67609999999999"/>
    <n v="191.35339999999999"/>
    <n v="191.35339999999999"/>
    <n v="39686"/>
    <n v="-0.45979999999999999"/>
    <n v="0.69120000000000004"/>
  </r>
  <r>
    <n v="2303"/>
    <x v="0"/>
    <d v="2017-06-26T00:00:00"/>
    <x v="0"/>
    <x v="5"/>
    <n v="11.429500000000001"/>
    <n v="11.963200000000001"/>
    <n v="11.429500000000001"/>
    <n v="11.829800000000001"/>
    <n v="190887"/>
    <n v="3.8319000000000001"/>
    <n v="4.6692999999999998"/>
  </r>
  <r>
    <n v="2330"/>
    <x v="1"/>
    <d v="2017-06-26T00:00:00"/>
    <x v="0"/>
    <x v="5"/>
    <n v="193.17609999999999"/>
    <n v="195.90969999999999"/>
    <n v="193.17609999999999"/>
    <n v="195.90969999999999"/>
    <n v="60140"/>
    <n v="2.278"/>
    <n v="1.4151"/>
  </r>
  <r>
    <n v="2303"/>
    <x v="0"/>
    <d v="2017-06-27T00:00:00"/>
    <x v="1"/>
    <x v="5"/>
    <n v="11.918799999999999"/>
    <n v="12.0966"/>
    <n v="11.696400000000001"/>
    <n v="11.696400000000001"/>
    <n v="105334"/>
    <n v="-1.1342000000000001"/>
    <n v="3.4220999999999999"/>
  </r>
  <r>
    <n v="2330"/>
    <x v="1"/>
    <d v="2017-06-27T00:00:00"/>
    <x v="1"/>
    <x v="5"/>
    <n v="194.99850000000001"/>
    <n v="194.99850000000001"/>
    <n v="192.26490000000001"/>
    <n v="192.72049999999999"/>
    <n v="44504"/>
    <n v="-1.6413"/>
    <n v="1.4218"/>
  </r>
  <r>
    <n v="2303"/>
    <x v="0"/>
    <d v="2017-06-28T00:00:00"/>
    <x v="2"/>
    <x v="5"/>
    <n v="12.0077"/>
    <n v="12.8527"/>
    <n v="12.0077"/>
    <n v="12.8527"/>
    <n v="517994"/>
    <n v="9.4273000000000007"/>
    <n v="7.0369999999999999"/>
  </r>
  <r>
    <n v="2330"/>
    <x v="1"/>
    <d v="2017-06-28T00:00:00"/>
    <x v="2"/>
    <x v="5"/>
    <n v="190.8981"/>
    <n v="191.3537"/>
    <n v="189.53129999999999"/>
    <n v="189.98689999999999"/>
    <n v="52273"/>
    <n v="-1.4286000000000001"/>
    <n v="0.96150000000000002"/>
  </r>
  <r>
    <n v="2303"/>
    <x v="0"/>
    <d v="2017-06-29T00:00:00"/>
    <x v="3"/>
    <x v="5"/>
    <n v="13.4308"/>
    <n v="13.5642"/>
    <n v="13.074999999999999"/>
    <n v="13.1195"/>
    <n v="439590"/>
    <n v="2.0548999999999999"/>
    <n v="3.7414999999999998"/>
  </r>
  <r>
    <n v="2330"/>
    <x v="1"/>
    <d v="2017-06-29T00:00:00"/>
    <x v="3"/>
    <x v="5"/>
    <n v="191.80930000000001"/>
    <n v="191.80930000000001"/>
    <n v="189.98689999999999"/>
    <n v="191.3537"/>
    <n v="27049"/>
    <n v="0.71679999999999999"/>
    <n v="0.95920000000000005"/>
  </r>
  <r>
    <n v="2303"/>
    <x v="0"/>
    <d v="2017-06-30T00:00:00"/>
    <x v="4"/>
    <x v="5"/>
    <n v="12.941599999999999"/>
    <n v="13.164"/>
    <n v="12.8972"/>
    <n v="13.1195"/>
    <n v="225871"/>
    <n v="0"/>
    <n v="2.069"/>
  </r>
  <r>
    <n v="2330"/>
    <x v="1"/>
    <d v="2017-06-30T00:00:00"/>
    <x v="4"/>
    <x v="5"/>
    <n v="188.1645"/>
    <n v="189.98689999999999"/>
    <n v="188.1645"/>
    <n v="189.98689999999999"/>
    <n v="31709"/>
    <n v="-0.71679999999999999"/>
    <n v="0.96850000000000003"/>
  </r>
  <r>
    <n v="2303"/>
    <x v="0"/>
    <d v="2017-07-03T00:00:00"/>
    <x v="0"/>
    <x v="6"/>
    <n v="13.164"/>
    <n v="13.208500000000001"/>
    <n v="12.7637"/>
    <n v="12.808199999999999"/>
    <n v="150889"/>
    <n v="-2.4015"/>
    <n v="3.4843000000000002"/>
  </r>
  <r>
    <n v="2330"/>
    <x v="1"/>
    <d v="2017-07-03T00:00:00"/>
    <x v="0"/>
    <x v="6"/>
    <n v="189.07570000000001"/>
    <n v="190.4425"/>
    <n v="188.62010000000001"/>
    <n v="190.4425"/>
    <n v="21066"/>
    <n v="0.23949999999999999"/>
    <n v="0.96619999999999995"/>
  </r>
  <r>
    <n v="2303"/>
    <x v="0"/>
    <d v="2017-07-04T00:00:00"/>
    <x v="1"/>
    <x v="6"/>
    <n v="12.8527"/>
    <n v="12.9861"/>
    <n v="12.6303"/>
    <n v="12.6303"/>
    <n v="99895"/>
    <n v="-1.3986000000000001"/>
    <n v="2.8169"/>
  </r>
  <r>
    <n v="2330"/>
    <x v="1"/>
    <d v="2017-07-04T00:00:00"/>
    <x v="1"/>
    <x v="6"/>
    <n v="189.53129999999999"/>
    <n v="189.98689999999999"/>
    <n v="188.62010000000001"/>
    <n v="188.62010000000001"/>
    <n v="21592"/>
    <n v="-0.96150000000000002"/>
    <n v="0.72460000000000002"/>
  </r>
  <r>
    <n v="2303"/>
    <x v="0"/>
    <d v="2017-07-05T00:00:00"/>
    <x v="2"/>
    <x v="6"/>
    <n v="12.7193"/>
    <n v="12.8527"/>
    <n v="12.674799999999999"/>
    <n v="12.808199999999999"/>
    <n v="116244"/>
    <n v="1.3986000000000001"/>
    <n v="1.4035"/>
  </r>
  <r>
    <n v="2330"/>
    <x v="1"/>
    <d v="2017-07-05T00:00:00"/>
    <x v="2"/>
    <x v="6"/>
    <n v="188.62010000000001"/>
    <n v="189.98689999999999"/>
    <n v="188.1645"/>
    <n v="189.98689999999999"/>
    <n v="23463"/>
    <n v="0.72199999999999998"/>
    <n v="0.96850000000000003"/>
  </r>
  <r>
    <n v="2303"/>
    <x v="0"/>
    <d v="2017-07-06T00:00:00"/>
    <x v="3"/>
    <x v="6"/>
    <n v="12.8527"/>
    <n v="12.8527"/>
    <n v="12.674799999999999"/>
    <n v="12.8527"/>
    <n v="66013"/>
    <n v="0.34660000000000002"/>
    <n v="1.4035"/>
  </r>
  <r>
    <n v="2330"/>
    <x v="1"/>
    <d v="2017-07-06T00:00:00"/>
    <x v="3"/>
    <x v="6"/>
    <n v="189.53129999999999"/>
    <n v="189.98689999999999"/>
    <n v="188.62010000000001"/>
    <n v="189.07570000000001"/>
    <n v="15260"/>
    <n v="-0.48080000000000001"/>
    <n v="0.72460000000000002"/>
  </r>
  <r>
    <n v="2303"/>
    <x v="0"/>
    <d v="2017-07-07T00:00:00"/>
    <x v="4"/>
    <x v="6"/>
    <n v="12.808199999999999"/>
    <n v="12.8527"/>
    <n v="12.7193"/>
    <n v="12.7637"/>
    <n v="78876"/>
    <n v="-0.69440000000000002"/>
    <n v="1.0489999999999999"/>
  </r>
  <r>
    <n v="2330"/>
    <x v="1"/>
    <d v="2017-07-07T00:00:00"/>
    <x v="4"/>
    <x v="6"/>
    <n v="188.62010000000001"/>
    <n v="189.07570000000001"/>
    <n v="187.25319999999999"/>
    <n v="187.7088"/>
    <n v="21567"/>
    <n v="-0.72550000000000003"/>
    <n v="0.97319999999999995"/>
  </r>
  <r>
    <n v="2303"/>
    <x v="0"/>
    <d v="2017-07-10T00:00:00"/>
    <x v="0"/>
    <x v="6"/>
    <n v="12.8527"/>
    <n v="12.8972"/>
    <n v="12.674799999999999"/>
    <n v="12.7193"/>
    <n v="136523"/>
    <n v="-0.34899999999999998"/>
    <n v="1.7544"/>
  </r>
  <r>
    <n v="2330"/>
    <x v="1"/>
    <d v="2017-07-10T00:00:00"/>
    <x v="0"/>
    <x v="6"/>
    <n v="188.1645"/>
    <n v="188.62010000000001"/>
    <n v="187.7088"/>
    <n v="187.7088"/>
    <n v="13326"/>
    <n v="0"/>
    <n v="0.4854"/>
  </r>
  <r>
    <n v="2303"/>
    <x v="0"/>
    <d v="2017-07-11T00:00:00"/>
    <x v="1"/>
    <x v="6"/>
    <n v="12.7193"/>
    <n v="12.995799999999999"/>
    <n v="12.6732"/>
    <n v="12.995799999999999"/>
    <n v="96298"/>
    <n v="2.0762"/>
    <n v="2.5455000000000001"/>
  </r>
  <r>
    <n v="2330"/>
    <x v="1"/>
    <d v="2017-07-11T00:00:00"/>
    <x v="1"/>
    <x v="6"/>
    <n v="189.53129999999999"/>
    <n v="193.17609999999999"/>
    <n v="189.07570000000001"/>
    <n v="193.17609999999999"/>
    <n v="34593"/>
    <n v="2.871"/>
    <n v="2.1686999999999999"/>
  </r>
  <r>
    <n v="2303"/>
    <x v="0"/>
    <d v="2017-07-12T00:00:00"/>
    <x v="2"/>
    <x v="6"/>
    <n v="13.0419"/>
    <n v="13.134"/>
    <n v="12.995799999999999"/>
    <n v="13.087899999999999"/>
    <n v="73168"/>
    <n v="0.70669999999999999"/>
    <n v="1.0638000000000001"/>
  </r>
  <r>
    <n v="2330"/>
    <x v="1"/>
    <d v="2017-07-12T00:00:00"/>
    <x v="2"/>
    <x v="6"/>
    <n v="192.26490000000001"/>
    <n v="193.6317"/>
    <n v="191.80930000000001"/>
    <n v="191.80930000000001"/>
    <n v="26887"/>
    <n v="-0.71009999999999995"/>
    <n v="0.95009999999999994"/>
  </r>
  <r>
    <n v="2303"/>
    <x v="0"/>
    <d v="2017-07-13T00:00:00"/>
    <x v="3"/>
    <x v="6"/>
    <n v="13.2262"/>
    <n v="13.7331"/>
    <n v="13.134"/>
    <n v="13.686999999999999"/>
    <n v="217680"/>
    <n v="4.4757999999999996"/>
    <n v="4.5613999999999999"/>
  </r>
  <r>
    <n v="2330"/>
    <x v="1"/>
    <d v="2017-07-13T00:00:00"/>
    <x v="3"/>
    <x v="6"/>
    <n v="193.17609999999999"/>
    <n v="196.82089999999999"/>
    <n v="192.72049999999999"/>
    <n v="195.45410000000001"/>
    <n v="50136"/>
    <n v="1.8824000000000001"/>
    <n v="2.1276999999999999"/>
  </r>
  <r>
    <n v="2303"/>
    <x v="0"/>
    <d v="2017-07-14T00:00:00"/>
    <x v="4"/>
    <x v="6"/>
    <n v="13.7331"/>
    <n v="13.7331"/>
    <n v="13.410500000000001"/>
    <n v="13.410500000000001"/>
    <n v="85412"/>
    <n v="-2.0409000000000002"/>
    <n v="2.4055"/>
  </r>
  <r>
    <n v="2330"/>
    <x v="1"/>
    <d v="2017-07-14T00:00:00"/>
    <x v="4"/>
    <x v="6"/>
    <n v="194.0873"/>
    <n v="195.45410000000001"/>
    <n v="193.17609999999999"/>
    <n v="194.0873"/>
    <n v="22364"/>
    <n v="-0.70179999999999998"/>
    <n v="1.1792"/>
  </r>
  <r>
    <n v="2303"/>
    <x v="0"/>
    <d v="2017-07-17T00:00:00"/>
    <x v="0"/>
    <x v="6"/>
    <n v="13.5488"/>
    <n v="13.5488"/>
    <n v="13.2262"/>
    <n v="13.3184"/>
    <n v="46586"/>
    <n v="-0.68969999999999998"/>
    <n v="2.4390000000000001"/>
  </r>
  <r>
    <n v="2330"/>
    <x v="1"/>
    <d v="2017-07-17T00:00:00"/>
    <x v="0"/>
    <x v="6"/>
    <n v="195.90969999999999"/>
    <n v="196.36529999999999"/>
    <n v="192.72049999999999"/>
    <n v="194.0873"/>
    <n v="21400"/>
    <n v="0"/>
    <n v="1.8913"/>
  </r>
  <r>
    <n v="2303"/>
    <x v="0"/>
    <d v="2017-07-18T00:00:00"/>
    <x v="1"/>
    <x v="6"/>
    <n v="13.2723"/>
    <n v="13.3184"/>
    <n v="13.2262"/>
    <n v="13.3184"/>
    <n v="39035"/>
    <n v="0"/>
    <n v="0.69689999999999996"/>
  </r>
  <r>
    <n v="2330"/>
    <x v="1"/>
    <d v="2017-07-18T00:00:00"/>
    <x v="1"/>
    <x v="6"/>
    <n v="194.0873"/>
    <n v="194.99850000000001"/>
    <n v="193.17609999999999"/>
    <n v="194.99850000000001"/>
    <n v="18756"/>
    <n v="0.46839999999999998"/>
    <n v="0.94340000000000002"/>
  </r>
  <r>
    <n v="2303"/>
    <x v="0"/>
    <d v="2017-07-19T00:00:00"/>
    <x v="2"/>
    <x v="6"/>
    <n v="13.410500000000001"/>
    <n v="13.779199999999999"/>
    <n v="13.3644"/>
    <n v="13.641"/>
    <n v="110697"/>
    <n v="2.3933"/>
    <n v="3.1034000000000002"/>
  </r>
  <r>
    <n v="2330"/>
    <x v="1"/>
    <d v="2017-07-19T00:00:00"/>
    <x v="2"/>
    <x v="6"/>
    <n v="193.6317"/>
    <n v="195.90969999999999"/>
    <n v="193.6317"/>
    <n v="195.45410000000001"/>
    <n v="20661"/>
    <n v="0.2334"/>
    <n v="1.1765000000000001"/>
  </r>
  <r>
    <n v="2303"/>
    <x v="0"/>
    <d v="2017-07-20T00:00:00"/>
    <x v="3"/>
    <x v="6"/>
    <n v="13.8253"/>
    <n v="14.0557"/>
    <n v="13.7331"/>
    <n v="13.8714"/>
    <n v="153001"/>
    <n v="1.6751"/>
    <n v="2.3490000000000002"/>
  </r>
  <r>
    <n v="2330"/>
    <x v="1"/>
    <d v="2017-07-20T00:00:00"/>
    <x v="3"/>
    <x v="6"/>
    <n v="195.90969999999999"/>
    <n v="196.36529999999999"/>
    <n v="194.99850000000001"/>
    <n v="196.36529999999999"/>
    <n v="20795"/>
    <n v="0.46510000000000001"/>
    <n v="0.70089999999999997"/>
  </r>
  <r>
    <n v="2303"/>
    <x v="0"/>
    <d v="2017-07-21T00:00:00"/>
    <x v="4"/>
    <x v="6"/>
    <n v="13.8714"/>
    <n v="13.9175"/>
    <n v="13.502700000000001"/>
    <n v="13.594900000000001"/>
    <n v="65438"/>
    <n v="-2.0135000000000001"/>
    <n v="3.0716999999999999"/>
  </r>
  <r>
    <n v="2330"/>
    <x v="1"/>
    <d v="2017-07-21T00:00:00"/>
    <x v="4"/>
    <x v="6"/>
    <n v="194.99850000000001"/>
    <n v="195.90969999999999"/>
    <n v="194.5429"/>
    <n v="194.99850000000001"/>
    <n v="15422"/>
    <n v="-0.69850000000000001"/>
    <n v="0.7026"/>
  </r>
  <r>
    <n v="2303"/>
    <x v="0"/>
    <d v="2017-07-24T00:00:00"/>
    <x v="0"/>
    <x v="6"/>
    <n v="13.641"/>
    <n v="13.686999999999999"/>
    <n v="13.502700000000001"/>
    <n v="13.641"/>
    <n v="50249"/>
    <n v="0.33839999999999998"/>
    <n v="1.3652"/>
  </r>
  <r>
    <n v="2330"/>
    <x v="1"/>
    <d v="2017-07-24T00:00:00"/>
    <x v="0"/>
    <x v="6"/>
    <n v="194.5429"/>
    <n v="195.45410000000001"/>
    <n v="194.0873"/>
    <n v="195.45410000000001"/>
    <n v="20002"/>
    <n v="0.2334"/>
    <n v="0.70420000000000005"/>
  </r>
  <r>
    <n v="2303"/>
    <x v="0"/>
    <d v="2017-07-25T00:00:00"/>
    <x v="1"/>
    <x v="6"/>
    <n v="13.7331"/>
    <n v="13.779199999999999"/>
    <n v="13.594900000000001"/>
    <n v="13.7331"/>
    <n v="43400"/>
    <n v="0.6734"/>
    <n v="1.3559000000000001"/>
  </r>
  <r>
    <n v="2330"/>
    <x v="1"/>
    <d v="2017-07-25T00:00:00"/>
    <x v="1"/>
    <x v="6"/>
    <n v="194.99850000000001"/>
    <n v="195.45410000000001"/>
    <n v="194.5429"/>
    <n v="194.99850000000001"/>
    <n v="13853"/>
    <n v="-0.2334"/>
    <n v="0.46839999999999998"/>
  </r>
  <r>
    <n v="2303"/>
    <x v="0"/>
    <d v="2017-07-26T00:00:00"/>
    <x v="2"/>
    <x v="6"/>
    <n v="14.009600000000001"/>
    <n v="14.24"/>
    <n v="13.9175"/>
    <n v="14.194000000000001"/>
    <n v="208085"/>
    <n v="3.3006000000000002"/>
    <n v="2.3178999999999998"/>
  </r>
  <r>
    <n v="2330"/>
    <x v="1"/>
    <d v="2017-07-26T00:00:00"/>
    <x v="2"/>
    <x v="6"/>
    <n v="195.90969999999999"/>
    <n v="195.90969999999999"/>
    <n v="193.6317"/>
    <n v="194.0873"/>
    <n v="15900"/>
    <n v="-0.46839999999999998"/>
    <n v="1.1765000000000001"/>
  </r>
  <r>
    <n v="2303"/>
    <x v="0"/>
    <d v="2017-07-27T00:00:00"/>
    <x v="3"/>
    <x v="6"/>
    <n v="13.087899999999999"/>
    <n v="13.3644"/>
    <n v="12.903600000000001"/>
    <n v="13.134"/>
    <n v="299439"/>
    <n v="-7.7610999999999999"/>
    <n v="3.5714000000000001"/>
  </r>
  <r>
    <n v="2330"/>
    <x v="1"/>
    <d v="2017-07-27T00:00:00"/>
    <x v="3"/>
    <x v="6"/>
    <n v="194.5429"/>
    <n v="196.82089999999999"/>
    <n v="194.5429"/>
    <n v="196.36529999999999"/>
    <n v="23045"/>
    <n v="1.1669"/>
    <n v="1.171"/>
  </r>
  <r>
    <n v="2303"/>
    <x v="0"/>
    <d v="2017-07-28T00:00:00"/>
    <x v="4"/>
    <x v="6"/>
    <n v="12.995799999999999"/>
    <n v="13.087899999999999"/>
    <n v="12.7654"/>
    <n v="12.811400000000001"/>
    <n v="129135"/>
    <n v="-2.4868000000000001"/>
    <n v="2.5270999999999999"/>
  </r>
  <r>
    <n v="2330"/>
    <x v="1"/>
    <d v="2017-07-28T00:00:00"/>
    <x v="4"/>
    <x v="6"/>
    <n v="194.0873"/>
    <n v="194.99850000000001"/>
    <n v="193.6317"/>
    <n v="194.0873"/>
    <n v="21121"/>
    <n v="-1.1669"/>
    <n v="0.70589999999999997"/>
  </r>
  <r>
    <n v="2303"/>
    <x v="0"/>
    <d v="2017-07-31T00:00:00"/>
    <x v="0"/>
    <x v="6"/>
    <n v="12.811400000000001"/>
    <n v="12.9497"/>
    <n v="12.7193"/>
    <n v="12.811400000000001"/>
    <n v="77484"/>
    <n v="0"/>
    <n v="1.8116000000000001"/>
  </r>
  <r>
    <n v="2330"/>
    <x v="1"/>
    <d v="2017-07-31T00:00:00"/>
    <x v="0"/>
    <x v="6"/>
    <n v="192.72049999999999"/>
    <n v="195.45410000000001"/>
    <n v="192.72049999999999"/>
    <n v="195.45410000000001"/>
    <n v="20363"/>
    <n v="0.70179999999999998"/>
    <n v="1.4184000000000001"/>
  </r>
  <r>
    <n v="2303"/>
    <x v="0"/>
    <d v="2017-08-01T00:00:00"/>
    <x v="1"/>
    <x v="7"/>
    <n v="12.7654"/>
    <n v="12.811400000000001"/>
    <n v="12.581"/>
    <n v="12.581"/>
    <n v="57761"/>
    <n v="-1.8149"/>
    <n v="1.8314999999999999"/>
  </r>
  <r>
    <n v="2330"/>
    <x v="1"/>
    <d v="2017-08-01T00:00:00"/>
    <x v="1"/>
    <x v="7"/>
    <n v="193.6317"/>
    <n v="194.99850000000001"/>
    <n v="193.17609999999999"/>
    <n v="193.17609999999999"/>
    <n v="20314"/>
    <n v="-1.1722999999999999"/>
    <n v="0.94340000000000002"/>
  </r>
  <r>
    <n v="2303"/>
    <x v="0"/>
    <d v="2017-08-02T00:00:00"/>
    <x v="2"/>
    <x v="7"/>
    <n v="12.6271"/>
    <n v="12.7654"/>
    <n v="12.5349"/>
    <n v="12.581"/>
    <n v="55716"/>
    <n v="0"/>
    <n v="1.8382000000000001"/>
  </r>
  <r>
    <n v="2330"/>
    <x v="1"/>
    <d v="2017-08-02T00:00:00"/>
    <x v="2"/>
    <x v="7"/>
    <n v="194.99850000000001"/>
    <n v="196.82089999999999"/>
    <n v="194.99850000000001"/>
    <n v="196.82089999999999"/>
    <n v="30528"/>
    <n v="1.8692"/>
    <n v="0.93459999999999999"/>
  </r>
  <r>
    <n v="2303"/>
    <x v="0"/>
    <d v="2017-08-03T00:00:00"/>
    <x v="3"/>
    <x v="7"/>
    <n v="12.488799999999999"/>
    <n v="12.5349"/>
    <n v="12.3506"/>
    <n v="12.3506"/>
    <n v="58963"/>
    <n v="-1.8485"/>
    <n v="1.4924999999999999"/>
  </r>
  <r>
    <n v="2330"/>
    <x v="1"/>
    <d v="2017-08-03T00:00:00"/>
    <x v="3"/>
    <x v="7"/>
    <n v="194.0873"/>
    <n v="194.99850000000001"/>
    <n v="193.6317"/>
    <n v="194.5429"/>
    <n v="27097"/>
    <n v="-1.1641999999999999"/>
    <n v="0.70589999999999997"/>
  </r>
  <r>
    <n v="2303"/>
    <x v="0"/>
    <d v="2017-08-04T00:00:00"/>
    <x v="4"/>
    <x v="7"/>
    <n v="12.3506"/>
    <n v="12.7654"/>
    <n v="12.3506"/>
    <n v="12.7654"/>
    <n v="109015"/>
    <n v="3.3031000000000001"/>
    <n v="3.3582000000000001"/>
  </r>
  <r>
    <n v="2330"/>
    <x v="1"/>
    <d v="2017-08-04T00:00:00"/>
    <x v="4"/>
    <x v="7"/>
    <n v="194.5429"/>
    <n v="194.99850000000001"/>
    <n v="193.6317"/>
    <n v="194.0873"/>
    <n v="22187"/>
    <n v="-0.23449999999999999"/>
    <n v="0.70589999999999997"/>
  </r>
  <r>
    <n v="2303"/>
    <x v="0"/>
    <d v="2017-08-07T00:00:00"/>
    <x v="0"/>
    <x v="7"/>
    <n v="12.7654"/>
    <n v="12.8575"/>
    <n v="12.6732"/>
    <n v="12.811400000000001"/>
    <n v="52277"/>
    <n v="0.3604"/>
    <n v="1.4544999999999999"/>
  </r>
  <r>
    <n v="2330"/>
    <x v="1"/>
    <d v="2017-08-07T00:00:00"/>
    <x v="0"/>
    <x v="7"/>
    <n v="194.5429"/>
    <n v="197.2765"/>
    <n v="194.5429"/>
    <n v="196.82089999999999"/>
    <n v="21594"/>
    <n v="1.3986000000000001"/>
    <n v="1.4052"/>
  </r>
  <r>
    <n v="2303"/>
    <x v="0"/>
    <d v="2017-08-08T00:00:00"/>
    <x v="1"/>
    <x v="7"/>
    <n v="12.9497"/>
    <n v="12.995799999999999"/>
    <n v="12.811400000000001"/>
    <n v="12.903600000000001"/>
    <n v="50427"/>
    <n v="0.71679999999999999"/>
    <n v="1.4388000000000001"/>
  </r>
  <r>
    <n v="2330"/>
    <x v="1"/>
    <d v="2017-08-08T00:00:00"/>
    <x v="1"/>
    <x v="7"/>
    <n v="198.18770000000001"/>
    <n v="199.55459999999999"/>
    <n v="196.82089999999999"/>
    <n v="198.18770000000001"/>
    <n v="25223"/>
    <n v="0.69199999999999995"/>
    <n v="1.3889"/>
  </r>
  <r>
    <n v="2303"/>
    <x v="0"/>
    <d v="2017-08-09T00:00:00"/>
    <x v="2"/>
    <x v="7"/>
    <n v="12.903600000000001"/>
    <n v="12.903600000000001"/>
    <n v="12.811400000000001"/>
    <n v="12.811400000000001"/>
    <n v="40279"/>
    <n v="-0.71679999999999999"/>
    <n v="0.71940000000000004"/>
  </r>
  <r>
    <n v="2330"/>
    <x v="1"/>
    <d v="2017-08-09T00:00:00"/>
    <x v="2"/>
    <x v="7"/>
    <n v="195.90969999999999"/>
    <n v="196.36529999999999"/>
    <n v="194.5429"/>
    <n v="195.45410000000001"/>
    <n v="28129"/>
    <n v="-1.3889"/>
    <n v="0.93679999999999997"/>
  </r>
  <r>
    <n v="2303"/>
    <x v="0"/>
    <d v="2017-08-10T00:00:00"/>
    <x v="3"/>
    <x v="7"/>
    <n v="12.8575"/>
    <n v="13.087899999999999"/>
    <n v="12.811400000000001"/>
    <n v="12.903600000000001"/>
    <n v="124671"/>
    <n v="0.71679999999999999"/>
    <n v="2.1583000000000001"/>
  </r>
  <r>
    <n v="2330"/>
    <x v="1"/>
    <d v="2017-08-10T00:00:00"/>
    <x v="3"/>
    <x v="7"/>
    <n v="196.36529999999999"/>
    <n v="196.36529999999999"/>
    <n v="193.6317"/>
    <n v="194.99850000000001"/>
    <n v="27440"/>
    <n v="-0.2334"/>
    <n v="1.4117999999999999"/>
  </r>
  <r>
    <n v="2303"/>
    <x v="0"/>
    <d v="2017-08-11T00:00:00"/>
    <x v="4"/>
    <x v="7"/>
    <n v="12.7193"/>
    <n v="12.995799999999999"/>
    <n v="12.7193"/>
    <n v="12.9497"/>
    <n v="81554"/>
    <n v="0.35649999999999998"/>
    <n v="2.1739000000000002"/>
  </r>
  <r>
    <n v="2330"/>
    <x v="1"/>
    <d v="2017-08-11T00:00:00"/>
    <x v="4"/>
    <x v="7"/>
    <n v="192.26490000000001"/>
    <n v="194.5429"/>
    <n v="191.80930000000001"/>
    <n v="193.6317"/>
    <n v="41592"/>
    <n v="-0.70340000000000003"/>
    <n v="1.4252"/>
  </r>
  <r>
    <n v="2303"/>
    <x v="0"/>
    <d v="2017-08-14T00:00:00"/>
    <x v="0"/>
    <x v="7"/>
    <n v="13.0419"/>
    <n v="13.0419"/>
    <n v="12.8575"/>
    <n v="12.9497"/>
    <n v="45665"/>
    <n v="0"/>
    <n v="1.4337"/>
  </r>
  <r>
    <n v="2330"/>
    <x v="1"/>
    <d v="2017-08-14T00:00:00"/>
    <x v="0"/>
    <x v="7"/>
    <n v="194.5429"/>
    <n v="194.99850000000001"/>
    <n v="191.3537"/>
    <n v="192.26490000000001"/>
    <n v="29414"/>
    <n v="-0.70840000000000003"/>
    <n v="1.9048"/>
  </r>
  <r>
    <n v="2303"/>
    <x v="0"/>
    <d v="2017-08-15T00:00:00"/>
    <x v="1"/>
    <x v="7"/>
    <n v="13.0419"/>
    <n v="13.0419"/>
    <n v="12.811400000000001"/>
    <n v="12.995799999999999"/>
    <n v="64115"/>
    <n v="0.35520000000000002"/>
    <n v="1.7986"/>
  </r>
  <r>
    <n v="2330"/>
    <x v="1"/>
    <d v="2017-08-15T00:00:00"/>
    <x v="1"/>
    <x v="7"/>
    <n v="194.0873"/>
    <n v="195.45410000000001"/>
    <n v="194.0873"/>
    <n v="194.99850000000001"/>
    <n v="14385"/>
    <n v="1.4117999999999999"/>
    <n v="0.70420000000000005"/>
  </r>
  <r>
    <n v="2303"/>
    <x v="0"/>
    <d v="2017-08-16T00:00:00"/>
    <x v="2"/>
    <x v="7"/>
    <n v="12.903600000000001"/>
    <n v="13.0419"/>
    <n v="12.903600000000001"/>
    <n v="12.9497"/>
    <n v="44862"/>
    <n v="-0.35520000000000002"/>
    <n v="1.0713999999999999"/>
  </r>
  <r>
    <n v="2330"/>
    <x v="1"/>
    <d v="2017-08-16T00:00:00"/>
    <x v="2"/>
    <x v="7"/>
    <n v="195.45410000000001"/>
    <n v="195.45410000000001"/>
    <n v="192.26490000000001"/>
    <n v="194.0873"/>
    <n v="25206"/>
    <n v="-0.46839999999999998"/>
    <n v="1.6588000000000001"/>
  </r>
  <r>
    <n v="2303"/>
    <x v="0"/>
    <d v="2017-08-17T00:00:00"/>
    <x v="3"/>
    <x v="7"/>
    <n v="12.995799999999999"/>
    <n v="13.087899999999999"/>
    <n v="12.9497"/>
    <n v="13.0419"/>
    <n v="30038"/>
    <n v="0.70920000000000005"/>
    <n v="1.0676000000000001"/>
  </r>
  <r>
    <n v="2330"/>
    <x v="1"/>
    <d v="2017-08-17T00:00:00"/>
    <x v="3"/>
    <x v="7"/>
    <n v="194.5429"/>
    <n v="194.99850000000001"/>
    <n v="194.0873"/>
    <n v="194.99850000000001"/>
    <n v="8353"/>
    <n v="0.46839999999999998"/>
    <n v="0.46949999999999997"/>
  </r>
  <r>
    <n v="2303"/>
    <x v="0"/>
    <d v="2017-08-18T00:00:00"/>
    <x v="4"/>
    <x v="7"/>
    <n v="12.903600000000001"/>
    <n v="12.995799999999999"/>
    <n v="12.903600000000001"/>
    <n v="12.995799999999999"/>
    <n v="22984"/>
    <n v="-0.35399999999999998"/>
    <n v="0.71430000000000005"/>
  </r>
  <r>
    <n v="2330"/>
    <x v="1"/>
    <d v="2017-08-18T00:00:00"/>
    <x v="4"/>
    <x v="7"/>
    <n v="193.17609999999999"/>
    <n v="194.0873"/>
    <n v="192.26490000000001"/>
    <n v="193.6317"/>
    <n v="14363"/>
    <n v="-0.70340000000000003"/>
    <n v="0.94789999999999996"/>
  </r>
  <r>
    <n v="2303"/>
    <x v="0"/>
    <d v="2017-08-21T00:00:00"/>
    <x v="0"/>
    <x v="7"/>
    <n v="12.995799999999999"/>
    <n v="13.180099999999999"/>
    <n v="12.9497"/>
    <n v="13.0419"/>
    <n v="39046"/>
    <n v="0.35399999999999998"/>
    <n v="1.7794000000000001"/>
  </r>
  <r>
    <n v="2330"/>
    <x v="1"/>
    <d v="2017-08-21T00:00:00"/>
    <x v="0"/>
    <x v="7"/>
    <n v="193.6317"/>
    <n v="194.0873"/>
    <n v="192.72049999999999"/>
    <n v="192.72049999999999"/>
    <n v="13847"/>
    <n v="-0.47170000000000001"/>
    <n v="0.70920000000000005"/>
  </r>
  <r>
    <n v="2303"/>
    <x v="0"/>
    <d v="2017-08-22T00:00:00"/>
    <x v="1"/>
    <x v="7"/>
    <n v="13.180099999999999"/>
    <n v="13.180099999999999"/>
    <n v="13.0419"/>
    <n v="13.180099999999999"/>
    <n v="29141"/>
    <n v="1.0545"/>
    <n v="1.0601"/>
  </r>
  <r>
    <n v="2330"/>
    <x v="1"/>
    <d v="2017-08-22T00:00:00"/>
    <x v="1"/>
    <x v="7"/>
    <n v="194.5429"/>
    <n v="195.45410000000001"/>
    <n v="194.0873"/>
    <n v="195.45410000000001"/>
    <n v="17330"/>
    <n v="1.4085000000000001"/>
    <n v="0.70420000000000005"/>
  </r>
  <r>
    <n v="2303"/>
    <x v="0"/>
    <d v="2017-08-23T00:00:00"/>
    <x v="2"/>
    <x v="7"/>
    <n v="13.2723"/>
    <n v="13.2723"/>
    <n v="13.0419"/>
    <n v="13.087899999999999"/>
    <n v="30575"/>
    <n v="-0.70179999999999998"/>
    <n v="1.7667999999999999"/>
  </r>
  <r>
    <n v="2330"/>
    <x v="1"/>
    <d v="2017-08-23T00:00:00"/>
    <x v="2"/>
    <x v="7"/>
    <n v="196.36529999999999"/>
    <n v="196.82089999999999"/>
    <n v="194.99850000000001"/>
    <n v="196.36529999999999"/>
    <n v="11757"/>
    <n v="0.46510000000000001"/>
    <n v="0.93459999999999999"/>
  </r>
  <r>
    <n v="2303"/>
    <x v="0"/>
    <d v="2017-08-24T00:00:00"/>
    <x v="3"/>
    <x v="7"/>
    <n v="13.2262"/>
    <n v="13.8253"/>
    <n v="13.180099999999999"/>
    <n v="13.779199999999999"/>
    <n v="149395"/>
    <n v="5.1468999999999996"/>
    <n v="4.8951000000000002"/>
  </r>
  <r>
    <n v="2330"/>
    <x v="1"/>
    <d v="2017-08-24T00:00:00"/>
    <x v="3"/>
    <x v="7"/>
    <n v="196.82089999999999"/>
    <n v="197.7321"/>
    <n v="196.36529999999999"/>
    <n v="197.7321"/>
    <n v="15426"/>
    <n v="0.69359999999999999"/>
    <n v="0.69610000000000005"/>
  </r>
  <r>
    <n v="2303"/>
    <x v="0"/>
    <d v="2017-08-25T00:00:00"/>
    <x v="4"/>
    <x v="7"/>
    <n v="13.8253"/>
    <n v="13.8253"/>
    <n v="13.5488"/>
    <n v="13.7331"/>
    <n v="61559"/>
    <n v="-0.33500000000000002"/>
    <n v="2.0407999999999999"/>
  </r>
  <r>
    <n v="2330"/>
    <x v="1"/>
    <d v="2017-08-25T00:00:00"/>
    <x v="4"/>
    <x v="7"/>
    <n v="198.18770000000001"/>
    <n v="198.18770000000001"/>
    <n v="196.82089999999999"/>
    <n v="198.18770000000001"/>
    <n v="10975"/>
    <n v="0.2301"/>
    <n v="0.69440000000000002"/>
  </r>
  <r>
    <n v="2303"/>
    <x v="0"/>
    <d v="2017-08-28T00:00:00"/>
    <x v="0"/>
    <x v="7"/>
    <n v="13.8253"/>
    <n v="13.9635"/>
    <n v="13.7331"/>
    <n v="13.7331"/>
    <n v="50027"/>
    <n v="0"/>
    <n v="1.6778999999999999"/>
  </r>
  <r>
    <n v="2330"/>
    <x v="1"/>
    <d v="2017-08-28T00:00:00"/>
    <x v="0"/>
    <x v="7"/>
    <n v="195.90969999999999"/>
    <n v="197.2765"/>
    <n v="195.90969999999999"/>
    <n v="196.82089999999999"/>
    <n v="16512"/>
    <n v="-0.69199999999999995"/>
    <n v="0.69769999999999999"/>
  </r>
  <r>
    <n v="2303"/>
    <x v="0"/>
    <d v="2017-08-29T00:00:00"/>
    <x v="1"/>
    <x v="7"/>
    <n v="13.8253"/>
    <n v="13.9175"/>
    <n v="13.641"/>
    <n v="13.7331"/>
    <n v="43363"/>
    <n v="0"/>
    <n v="2.0270000000000001"/>
  </r>
  <r>
    <n v="2330"/>
    <x v="1"/>
    <d v="2017-08-29T00:00:00"/>
    <x v="1"/>
    <x v="7"/>
    <n v="196.82089999999999"/>
    <n v="196.82089999999999"/>
    <n v="195.90969999999999"/>
    <n v="196.82089999999999"/>
    <n v="16561"/>
    <n v="0"/>
    <n v="0.46510000000000001"/>
  </r>
  <r>
    <n v="2303"/>
    <x v="0"/>
    <d v="2017-08-30T00:00:00"/>
    <x v="2"/>
    <x v="7"/>
    <n v="13.8253"/>
    <n v="13.8714"/>
    <n v="13.5488"/>
    <n v="13.686999999999999"/>
    <n v="37189"/>
    <n v="-0.33610000000000001"/>
    <n v="2.3809999999999998"/>
  </r>
  <r>
    <n v="2330"/>
    <x v="1"/>
    <d v="2017-08-30T00:00:00"/>
    <x v="2"/>
    <x v="7"/>
    <n v="196.82089999999999"/>
    <n v="198.64330000000001"/>
    <n v="196.82089999999999"/>
    <n v="198.18770000000001"/>
    <n v="19674"/>
    <n v="0.69199999999999995"/>
    <n v="0.92589999999999995"/>
  </r>
  <r>
    <n v="2303"/>
    <x v="0"/>
    <d v="2017-08-31T00:00:00"/>
    <x v="3"/>
    <x v="7"/>
    <n v="13.779199999999999"/>
    <n v="14.1479"/>
    <n v="13.7331"/>
    <n v="13.8714"/>
    <n v="141684"/>
    <n v="1.3378000000000001"/>
    <n v="3.0200999999999998"/>
  </r>
  <r>
    <n v="2330"/>
    <x v="1"/>
    <d v="2017-08-31T00:00:00"/>
    <x v="3"/>
    <x v="7"/>
    <n v="198.18770000000001"/>
    <n v="198.64330000000001"/>
    <n v="196.36529999999999"/>
    <n v="197.2765"/>
    <n v="26945"/>
    <n v="-0.46079999999999999"/>
    <n v="1.1600999999999999"/>
  </r>
  <r>
    <n v="2303"/>
    <x v="0"/>
    <d v="2017-09-01T00:00:00"/>
    <x v="4"/>
    <x v="8"/>
    <n v="14.101800000000001"/>
    <n v="15.207800000000001"/>
    <n v="13.9635"/>
    <n v="14.793100000000001"/>
    <n v="373330"/>
    <n v="6.4330999999999996"/>
    <n v="8.9108999999999998"/>
  </r>
  <r>
    <n v="2330"/>
    <x v="1"/>
    <d v="2017-09-01T00:00:00"/>
    <x v="4"/>
    <x v="8"/>
    <n v="195.90969999999999"/>
    <n v="198.18770000000001"/>
    <n v="195.90969999999999"/>
    <n v="197.2765"/>
    <n v="17805"/>
    <n v="0"/>
    <n v="1.1628000000000001"/>
  </r>
  <r>
    <n v="2303"/>
    <x v="0"/>
    <d v="2017-09-04T00:00:00"/>
    <x v="0"/>
    <x v="8"/>
    <n v="14.885199999999999"/>
    <n v="15.4382"/>
    <n v="14.8391"/>
    <n v="15.207800000000001"/>
    <n v="220970"/>
    <n v="2.7652000000000001"/>
    <n v="4.0373000000000001"/>
  </r>
  <r>
    <n v="2330"/>
    <x v="1"/>
    <d v="2017-09-04T00:00:00"/>
    <x v="0"/>
    <x v="8"/>
    <n v="197.2765"/>
    <n v="198.64330000000001"/>
    <n v="196.36529999999999"/>
    <n v="198.18770000000001"/>
    <n v="15053"/>
    <n v="0.46079999999999999"/>
    <n v="1.1600999999999999"/>
  </r>
  <r>
    <n v="2303"/>
    <x v="0"/>
    <d v="2017-09-05T00:00:00"/>
    <x v="1"/>
    <x v="8"/>
    <n v="15.1157"/>
    <n v="15.207800000000001"/>
    <n v="14.885199999999999"/>
    <n v="15.207800000000001"/>
    <n v="111389"/>
    <n v="0"/>
    <n v="2.1671999999999998"/>
  </r>
  <r>
    <n v="2330"/>
    <x v="1"/>
    <d v="2017-09-05T00:00:00"/>
    <x v="1"/>
    <x v="8"/>
    <n v="198.64330000000001"/>
    <n v="198.64330000000001"/>
    <n v="197.2765"/>
    <n v="198.64330000000001"/>
    <n v="34514"/>
    <n v="0.2296"/>
    <n v="0.69279999999999997"/>
  </r>
  <r>
    <n v="2303"/>
    <x v="0"/>
    <d v="2017-09-06T00:00:00"/>
    <x v="2"/>
    <x v="8"/>
    <n v="15.0235"/>
    <n v="15.1157"/>
    <n v="14.700900000000001"/>
    <n v="14.793100000000001"/>
    <n v="111772"/>
    <n v="-2.7652000000000001"/>
    <n v="2.8212999999999999"/>
  </r>
  <r>
    <n v="2330"/>
    <x v="1"/>
    <d v="2017-09-06T00:00:00"/>
    <x v="2"/>
    <x v="8"/>
    <n v="197.2765"/>
    <n v="198.64330000000001"/>
    <n v="196.82089999999999"/>
    <n v="197.7321"/>
    <n v="28148"/>
    <n v="-0.45979999999999999"/>
    <n v="0.92589999999999995"/>
  </r>
  <r>
    <n v="2303"/>
    <x v="0"/>
    <d v="2017-09-07T00:00:00"/>
    <x v="3"/>
    <x v="8"/>
    <n v="14.793100000000001"/>
    <n v="15.484299999999999"/>
    <n v="14.793100000000001"/>
    <n v="15.0235"/>
    <n v="208678"/>
    <n v="1.5456000000000001"/>
    <n v="4.6729000000000003"/>
  </r>
  <r>
    <n v="2330"/>
    <x v="1"/>
    <d v="2017-09-07T00:00:00"/>
    <x v="3"/>
    <x v="8"/>
    <n v="198.64330000000001"/>
    <n v="199.09889999999999"/>
    <n v="196.82089999999999"/>
    <n v="197.7321"/>
    <n v="19198"/>
    <n v="0"/>
    <n v="1.1574"/>
  </r>
  <r>
    <n v="2303"/>
    <x v="0"/>
    <d v="2017-09-08T00:00:00"/>
    <x v="4"/>
    <x v="8"/>
    <n v="15.1157"/>
    <n v="15.207800000000001"/>
    <n v="14.9313"/>
    <n v="14.977399999999999"/>
    <n v="67429"/>
    <n v="-0.30719999999999997"/>
    <n v="1.8519000000000001"/>
  </r>
  <r>
    <n v="2330"/>
    <x v="1"/>
    <d v="2017-09-08T00:00:00"/>
    <x v="4"/>
    <x v="8"/>
    <n v="197.7321"/>
    <n v="198.64330000000001"/>
    <n v="197.2765"/>
    <n v="198.64330000000001"/>
    <n v="25512"/>
    <n v="0.45979999999999999"/>
    <n v="0.69279999999999997"/>
  </r>
  <r>
    <n v="2303"/>
    <x v="0"/>
    <d v="2017-09-11T00:00:00"/>
    <x v="0"/>
    <x v="8"/>
    <n v="14.977399999999999"/>
    <n v="15.1157"/>
    <n v="14.793100000000001"/>
    <n v="14.793100000000001"/>
    <n v="39683"/>
    <n v="-1.2383999999999999"/>
    <n v="2.1806999999999999"/>
  </r>
  <r>
    <n v="2330"/>
    <x v="1"/>
    <d v="2017-09-11T00:00:00"/>
    <x v="0"/>
    <x v="8"/>
    <n v="199.55459999999999"/>
    <n v="200.0102"/>
    <n v="197.2765"/>
    <n v="197.7321"/>
    <n v="19387"/>
    <n v="-0.45979999999999999"/>
    <n v="1.3856999999999999"/>
  </r>
  <r>
    <n v="2303"/>
    <x v="0"/>
    <d v="2017-09-12T00:00:00"/>
    <x v="1"/>
    <x v="8"/>
    <n v="14.8391"/>
    <n v="14.9313"/>
    <n v="14.5626"/>
    <n v="14.6548"/>
    <n v="68864"/>
    <n v="-0.93899999999999995"/>
    <n v="2.5316000000000001"/>
  </r>
  <r>
    <n v="2330"/>
    <x v="1"/>
    <d v="2017-09-12T00:00:00"/>
    <x v="1"/>
    <x v="8"/>
    <n v="199.55459999999999"/>
    <n v="200.0102"/>
    <n v="198.18770000000001"/>
    <n v="199.55459999999999"/>
    <n v="24862"/>
    <n v="0.91739999999999999"/>
    <n v="0.91949999999999998"/>
  </r>
  <r>
    <n v="2303"/>
    <x v="0"/>
    <d v="2017-09-13T00:00:00"/>
    <x v="2"/>
    <x v="8"/>
    <n v="14.700900000000001"/>
    <n v="14.8391"/>
    <n v="14.470499999999999"/>
    <n v="14.470499999999999"/>
    <n v="49706"/>
    <n v="-1.2658"/>
    <n v="2.5478000000000001"/>
  </r>
  <r>
    <n v="2330"/>
    <x v="1"/>
    <d v="2017-09-13T00:00:00"/>
    <x v="2"/>
    <x v="8"/>
    <n v="198.18770000000001"/>
    <n v="199.55459999999999"/>
    <n v="198.18770000000001"/>
    <n v="198.64330000000001"/>
    <n v="18336"/>
    <n v="-0.4577"/>
    <n v="0.68969999999999998"/>
  </r>
  <r>
    <n v="2303"/>
    <x v="0"/>
    <d v="2017-09-14T00:00:00"/>
    <x v="3"/>
    <x v="8"/>
    <n v="14.5626"/>
    <n v="14.8391"/>
    <n v="14.378299999999999"/>
    <n v="14.6548"/>
    <n v="55352"/>
    <n v="1.2658"/>
    <n v="3.2050999999999998"/>
  </r>
  <r>
    <n v="2330"/>
    <x v="1"/>
    <d v="2017-09-14T00:00:00"/>
    <x v="3"/>
    <x v="8"/>
    <n v="199.09889999999999"/>
    <n v="199.55459999999999"/>
    <n v="198.18770000000001"/>
    <n v="199.09889999999999"/>
    <n v="21508"/>
    <n v="0.2291"/>
    <n v="0.68969999999999998"/>
  </r>
  <r>
    <n v="2303"/>
    <x v="0"/>
    <d v="2017-09-15T00:00:00"/>
    <x v="4"/>
    <x v="8"/>
    <n v="14.6548"/>
    <n v="14.6548"/>
    <n v="14.3322"/>
    <n v="14.3322"/>
    <n v="66947"/>
    <n v="-2.2258"/>
    <n v="2.2507999999999999"/>
  </r>
  <r>
    <n v="2330"/>
    <x v="1"/>
    <d v="2017-09-15T00:00:00"/>
    <x v="4"/>
    <x v="8"/>
    <n v="199.09889999999999"/>
    <n v="199.55459999999999"/>
    <n v="197.7321"/>
    <n v="199.09889999999999"/>
    <n v="48901"/>
    <n v="0"/>
    <n v="0.92169999999999996"/>
  </r>
  <r>
    <n v="2303"/>
    <x v="0"/>
    <d v="2017-09-18T00:00:00"/>
    <x v="0"/>
    <x v="8"/>
    <n v="14.4244"/>
    <n v="14.747"/>
    <n v="14.378299999999999"/>
    <n v="14.6548"/>
    <n v="50776"/>
    <n v="2.2258"/>
    <n v="2.5640999999999998"/>
  </r>
  <r>
    <n v="2330"/>
    <x v="1"/>
    <d v="2017-09-18T00:00:00"/>
    <x v="0"/>
    <x v="8"/>
    <n v="199.55459999999999"/>
    <n v="200.4658"/>
    <n v="198.64330000000001"/>
    <n v="200.0102"/>
    <n v="17812"/>
    <n v="0.45660000000000001"/>
    <n v="0.91739999999999999"/>
  </r>
  <r>
    <n v="2303"/>
    <x v="0"/>
    <d v="2017-09-19T00:00:00"/>
    <x v="1"/>
    <x v="8"/>
    <n v="14.793100000000001"/>
    <n v="14.9313"/>
    <n v="14.608700000000001"/>
    <n v="14.747"/>
    <n v="64293"/>
    <n v="0.627"/>
    <n v="2.2082000000000002"/>
  </r>
  <r>
    <n v="2330"/>
    <x v="1"/>
    <d v="2017-09-19T00:00:00"/>
    <x v="1"/>
    <x v="8"/>
    <n v="201.83260000000001"/>
    <n v="201.83260000000001"/>
    <n v="200.4658"/>
    <n v="201.83260000000001"/>
    <n v="26255"/>
    <n v="0.90700000000000003"/>
    <n v="0.68179999999999996"/>
  </r>
  <r>
    <n v="2303"/>
    <x v="0"/>
    <d v="2017-09-20T00:00:00"/>
    <x v="2"/>
    <x v="8"/>
    <n v="14.747"/>
    <n v="14.747"/>
    <n v="14.3322"/>
    <n v="14.4244"/>
    <n v="38000"/>
    <n v="-2.2118000000000002"/>
    <n v="2.8938999999999999"/>
  </r>
  <r>
    <n v="2330"/>
    <x v="1"/>
    <d v="2017-09-20T00:00:00"/>
    <x v="2"/>
    <x v="8"/>
    <n v="201.37700000000001"/>
    <n v="202.28819999999999"/>
    <n v="200.4658"/>
    <n v="201.83260000000001"/>
    <n v="23434"/>
    <n v="0"/>
    <n v="0.90910000000000002"/>
  </r>
  <r>
    <n v="2303"/>
    <x v="0"/>
    <d v="2017-09-21T00:00:00"/>
    <x v="3"/>
    <x v="8"/>
    <n v="14.4244"/>
    <n v="14.6548"/>
    <n v="14.378299999999999"/>
    <n v="14.608700000000001"/>
    <n v="44092"/>
    <n v="1.2699"/>
    <n v="1.9231"/>
  </r>
  <r>
    <n v="2330"/>
    <x v="1"/>
    <d v="2017-09-21T00:00:00"/>
    <x v="3"/>
    <x v="8"/>
    <n v="201.37700000000001"/>
    <n v="203.1994"/>
    <n v="200.4658"/>
    <n v="201.37700000000001"/>
    <n v="18645"/>
    <n v="-0.22600000000000001"/>
    <n v="1.3635999999999999"/>
  </r>
  <r>
    <n v="2303"/>
    <x v="0"/>
    <d v="2017-09-22T00:00:00"/>
    <x v="4"/>
    <x v="8"/>
    <n v="14.608700000000001"/>
    <n v="14.6548"/>
    <n v="14.194000000000001"/>
    <n v="14.286099999999999"/>
    <n v="38645"/>
    <n v="-2.2328999999999999"/>
    <n v="3.2467999999999999"/>
  </r>
  <r>
    <n v="2330"/>
    <x v="1"/>
    <d v="2017-09-22T00:00:00"/>
    <x v="4"/>
    <x v="8"/>
    <n v="201.83260000000001"/>
    <n v="202.28819999999999"/>
    <n v="199.09889999999999"/>
    <n v="199.09889999999999"/>
    <n v="22456"/>
    <n v="-1.1376999999999999"/>
    <n v="1.6017999999999999"/>
  </r>
  <r>
    <n v="2303"/>
    <x v="0"/>
    <d v="2017-09-25T00:00:00"/>
    <x v="0"/>
    <x v="8"/>
    <n v="14.3322"/>
    <n v="14.4244"/>
    <n v="13.9635"/>
    <n v="14.009600000000001"/>
    <n v="42904"/>
    <n v="-1.9544999999999999"/>
    <n v="3.3003"/>
  </r>
  <r>
    <n v="2330"/>
    <x v="1"/>
    <d v="2017-09-25T00:00:00"/>
    <x v="0"/>
    <x v="8"/>
    <n v="198.18770000000001"/>
    <n v="199.09889999999999"/>
    <n v="197.7321"/>
    <n v="197.7321"/>
    <n v="17458"/>
    <n v="-0.68889999999999996"/>
    <n v="0.69120000000000004"/>
  </r>
  <r>
    <n v="2303"/>
    <x v="0"/>
    <d v="2017-09-26T00:00:00"/>
    <x v="1"/>
    <x v="8"/>
    <n v="13.9635"/>
    <n v="14.286099999999999"/>
    <n v="13.9175"/>
    <n v="14.0557"/>
    <n v="39562"/>
    <n v="0.32840000000000003"/>
    <n v="2.649"/>
  </r>
  <r>
    <n v="2330"/>
    <x v="1"/>
    <d v="2017-09-26T00:00:00"/>
    <x v="1"/>
    <x v="8"/>
    <n v="198.18770000000001"/>
    <n v="198.64330000000001"/>
    <n v="194.99850000000001"/>
    <n v="194.99850000000001"/>
    <n v="25003"/>
    <n v="-1.3920999999999999"/>
    <n v="1.8692"/>
  </r>
  <r>
    <n v="2303"/>
    <x v="0"/>
    <d v="2017-09-27T00:00:00"/>
    <x v="2"/>
    <x v="8"/>
    <n v="14.101800000000001"/>
    <n v="14.24"/>
    <n v="14.0557"/>
    <n v="14.0557"/>
    <n v="30568"/>
    <n v="0"/>
    <n v="1.3115000000000001"/>
  </r>
  <r>
    <n v="2330"/>
    <x v="1"/>
    <d v="2017-09-27T00:00:00"/>
    <x v="2"/>
    <x v="8"/>
    <n v="198.18770000000001"/>
    <n v="198.18770000000001"/>
    <n v="195.90969999999999"/>
    <n v="195.90969999999999"/>
    <n v="24794"/>
    <n v="0.4662"/>
    <n v="1.1628000000000001"/>
  </r>
  <r>
    <n v="2303"/>
    <x v="0"/>
    <d v="2017-09-28T00:00:00"/>
    <x v="3"/>
    <x v="8"/>
    <n v="14.24"/>
    <n v="14.286099999999999"/>
    <n v="14.0557"/>
    <n v="14.24"/>
    <n v="31420"/>
    <n v="1.3029999999999999"/>
    <n v="1.6393"/>
  </r>
  <r>
    <n v="2330"/>
    <x v="1"/>
    <d v="2017-09-28T00:00:00"/>
    <x v="3"/>
    <x v="8"/>
    <n v="195.90969999999999"/>
    <n v="196.82089999999999"/>
    <n v="194.5429"/>
    <n v="194.99850000000001"/>
    <n v="31616"/>
    <n v="-0.4662"/>
    <n v="1.171"/>
  </r>
  <r>
    <n v="2303"/>
    <x v="0"/>
    <d v="2017-09-29T00:00:00"/>
    <x v="4"/>
    <x v="8"/>
    <n v="14.24"/>
    <n v="14.24"/>
    <n v="13.9175"/>
    <n v="13.9635"/>
    <n v="50910"/>
    <n v="-1.9608000000000001"/>
    <n v="2.3178999999999998"/>
  </r>
  <r>
    <n v="2330"/>
    <x v="1"/>
    <d v="2017-09-29T00:00:00"/>
    <x v="4"/>
    <x v="8"/>
    <n v="196.82089999999999"/>
    <n v="198.18770000000001"/>
    <n v="196.36529999999999"/>
    <n v="197.2765"/>
    <n v="23954"/>
    <n v="1.1615"/>
    <n v="0.92810000000000004"/>
  </r>
  <r>
    <n v="2303"/>
    <x v="0"/>
    <d v="2017-09-30T00:00:00"/>
    <x v="5"/>
    <x v="8"/>
    <n v="13.9635"/>
    <n v="14.101800000000001"/>
    <n v="13.779199999999999"/>
    <n v="13.8253"/>
    <n v="17333"/>
    <n v="-0.995"/>
    <n v="2.3411"/>
  </r>
  <r>
    <n v="2330"/>
    <x v="1"/>
    <d v="2017-09-30T00:00:00"/>
    <x v="5"/>
    <x v="8"/>
    <n v="198.64330000000001"/>
    <n v="199.09889999999999"/>
    <n v="197.2765"/>
    <n v="197.2765"/>
    <n v="4254"/>
    <n v="0"/>
    <n v="0.92379999999999995"/>
  </r>
  <r>
    <n v="2303"/>
    <x v="0"/>
    <d v="2017-10-02T00:00:00"/>
    <x v="0"/>
    <x v="9"/>
    <n v="13.9175"/>
    <n v="14.0557"/>
    <n v="13.8714"/>
    <n v="13.9635"/>
    <n v="20672"/>
    <n v="0.995"/>
    <n v="1.3289"/>
  </r>
  <r>
    <n v="2330"/>
    <x v="1"/>
    <d v="2017-10-02T00:00:00"/>
    <x v="0"/>
    <x v="9"/>
    <n v="200.0102"/>
    <n v="200.92140000000001"/>
    <n v="199.09889999999999"/>
    <n v="200.92140000000001"/>
    <n v="28360"/>
    <n v="1.8307"/>
    <n v="0.9153"/>
  </r>
  <r>
    <n v="2303"/>
    <x v="0"/>
    <d v="2017-10-03T00:00:00"/>
    <x v="1"/>
    <x v="9"/>
    <n v="14.101800000000001"/>
    <n v="14.8391"/>
    <n v="14.0557"/>
    <n v="14.5626"/>
    <n v="121011"/>
    <n v="4.2008999999999999"/>
    <n v="5.5738000000000003"/>
  </r>
  <r>
    <n v="2330"/>
    <x v="1"/>
    <d v="2017-10-03T00:00:00"/>
    <x v="1"/>
    <x v="9"/>
    <n v="199.55459999999999"/>
    <n v="203.1994"/>
    <n v="199.55459999999999"/>
    <n v="202.74379999999999"/>
    <n v="38330"/>
    <n v="0.90290000000000004"/>
    <n v="1.8265"/>
  </r>
  <r>
    <n v="2303"/>
    <x v="0"/>
    <d v="2017-10-05T00:00:00"/>
    <x v="3"/>
    <x v="9"/>
    <n v="14.6548"/>
    <n v="14.747"/>
    <n v="14.4244"/>
    <n v="14.470499999999999"/>
    <n v="48563"/>
    <n v="-0.63490000000000002"/>
    <n v="2.2364000000000002"/>
  </r>
  <r>
    <n v="2330"/>
    <x v="1"/>
    <d v="2017-10-05T00:00:00"/>
    <x v="3"/>
    <x v="9"/>
    <n v="202.28819999999999"/>
    <n v="205.47739999999999"/>
    <n v="202.28819999999999"/>
    <n v="204.56620000000001"/>
    <n v="25397"/>
    <n v="0.89490000000000003"/>
    <n v="1.5766"/>
  </r>
  <r>
    <n v="2303"/>
    <x v="0"/>
    <d v="2017-10-06T00:00:00"/>
    <x v="4"/>
    <x v="9"/>
    <n v="14.470499999999999"/>
    <n v="14.5626"/>
    <n v="14.286099999999999"/>
    <n v="14.3322"/>
    <n v="38165"/>
    <n v="-0.96"/>
    <n v="1.9355"/>
  </r>
  <r>
    <n v="2330"/>
    <x v="1"/>
    <d v="2017-10-06T00:00:00"/>
    <x v="4"/>
    <x v="9"/>
    <n v="205.02180000000001"/>
    <n v="205.47739999999999"/>
    <n v="203.655"/>
    <n v="204.56620000000001"/>
    <n v="16040"/>
    <n v="0"/>
    <n v="0.89490000000000003"/>
  </r>
  <r>
    <n v="2303"/>
    <x v="0"/>
    <d v="2017-10-11T00:00:00"/>
    <x v="2"/>
    <x v="9"/>
    <n v="14.470499999999999"/>
    <n v="14.8391"/>
    <n v="14.4244"/>
    <n v="14.5626"/>
    <n v="71759"/>
    <n v="1.5949"/>
    <n v="2.8754"/>
  </r>
  <r>
    <n v="2330"/>
    <x v="1"/>
    <d v="2017-10-11T00:00:00"/>
    <x v="2"/>
    <x v="9"/>
    <n v="206.3886"/>
    <n v="212.7671"/>
    <n v="206.3886"/>
    <n v="212.3115"/>
    <n v="67649"/>
    <n v="3.7162999999999999"/>
    <n v="3.0905"/>
  </r>
  <r>
    <n v="2303"/>
    <x v="0"/>
    <d v="2017-10-12T00:00:00"/>
    <x v="3"/>
    <x v="9"/>
    <n v="14.700900000000001"/>
    <n v="14.8391"/>
    <n v="14.608700000000001"/>
    <n v="14.6548"/>
    <n v="43136"/>
    <n v="0.63090000000000002"/>
    <n v="1.5772999999999999"/>
  </r>
  <r>
    <n v="2330"/>
    <x v="1"/>
    <d v="2017-10-12T00:00:00"/>
    <x v="3"/>
    <x v="9"/>
    <n v="214.13390000000001"/>
    <n v="216.4119"/>
    <n v="213.67830000000001"/>
    <n v="216.4119"/>
    <n v="44176"/>
    <n v="1.9129"/>
    <n v="1.2793000000000001"/>
  </r>
  <r>
    <n v="2303"/>
    <x v="0"/>
    <d v="2017-10-13T00:00:00"/>
    <x v="4"/>
    <x v="9"/>
    <n v="14.6548"/>
    <n v="14.885199999999999"/>
    <n v="14.608700000000001"/>
    <n v="14.700900000000001"/>
    <n v="70840"/>
    <n v="0.314"/>
    <n v="1.8927"/>
  </r>
  <r>
    <n v="2330"/>
    <x v="1"/>
    <d v="2017-10-13T00:00:00"/>
    <x v="4"/>
    <x v="9"/>
    <n v="216.4119"/>
    <n v="216.4119"/>
    <n v="213.67830000000001"/>
    <n v="216.4119"/>
    <n v="23145"/>
    <n v="0"/>
    <n v="1.2793000000000001"/>
  </r>
  <r>
    <n v="2303"/>
    <x v="0"/>
    <d v="2017-10-16T00:00:00"/>
    <x v="0"/>
    <x v="9"/>
    <n v="14.747"/>
    <n v="14.793100000000001"/>
    <n v="14.6548"/>
    <n v="14.700900000000001"/>
    <n v="42692"/>
    <n v="0"/>
    <n v="0.94340000000000002"/>
  </r>
  <r>
    <n v="2330"/>
    <x v="1"/>
    <d v="2017-10-16T00:00:00"/>
    <x v="0"/>
    <x v="9"/>
    <n v="216.4119"/>
    <n v="216.86750000000001"/>
    <n v="215.04509999999999"/>
    <n v="216.86750000000001"/>
    <n v="20673"/>
    <n v="0.21029999999999999"/>
    <n v="0.84750000000000003"/>
  </r>
  <r>
    <n v="2303"/>
    <x v="0"/>
    <d v="2017-10-17T00:00:00"/>
    <x v="1"/>
    <x v="9"/>
    <n v="14.747"/>
    <n v="14.747"/>
    <n v="14.608700000000001"/>
    <n v="14.6548"/>
    <n v="24207"/>
    <n v="-0.314"/>
    <n v="0.94640000000000002"/>
  </r>
  <r>
    <n v="2330"/>
    <x v="1"/>
    <d v="2017-10-17T00:00:00"/>
    <x v="1"/>
    <x v="9"/>
    <n v="216.86750000000001"/>
    <n v="216.86750000000001"/>
    <n v="214.13390000000001"/>
    <n v="214.58949999999999"/>
    <n v="17652"/>
    <n v="-1.056"/>
    <n v="1.2766"/>
  </r>
  <r>
    <n v="2303"/>
    <x v="0"/>
    <d v="2017-10-18T00:00:00"/>
    <x v="2"/>
    <x v="9"/>
    <n v="14.747"/>
    <n v="14.885199999999999"/>
    <n v="14.6548"/>
    <n v="14.700900000000001"/>
    <n v="33201"/>
    <n v="0.314"/>
    <n v="1.5723"/>
  </r>
  <r>
    <n v="2330"/>
    <x v="1"/>
    <d v="2017-10-18T00:00:00"/>
    <x v="2"/>
    <x v="9"/>
    <n v="218.23429999999999"/>
    <n v="218.23429999999999"/>
    <n v="215.9563"/>
    <n v="216.4119"/>
    <n v="28970"/>
    <n v="0.84570000000000001"/>
    <n v="1.0548999999999999"/>
  </r>
  <r>
    <n v="2303"/>
    <x v="0"/>
    <d v="2017-10-19T00:00:00"/>
    <x v="3"/>
    <x v="9"/>
    <n v="14.747"/>
    <n v="14.8391"/>
    <n v="14.4244"/>
    <n v="14.4244"/>
    <n v="50698"/>
    <n v="-1.8988"/>
    <n v="2.8754"/>
  </r>
  <r>
    <n v="2330"/>
    <x v="1"/>
    <d v="2017-10-19T00:00:00"/>
    <x v="3"/>
    <x v="9"/>
    <n v="218.23429999999999"/>
    <n v="220.05670000000001"/>
    <n v="217.77869999999999"/>
    <n v="217.77869999999999"/>
    <n v="23481"/>
    <n v="0.62960000000000005"/>
    <n v="1.046"/>
  </r>
  <r>
    <n v="2303"/>
    <x v="0"/>
    <d v="2017-10-20T00:00:00"/>
    <x v="4"/>
    <x v="9"/>
    <n v="14.378299999999999"/>
    <n v="14.4244"/>
    <n v="14.194000000000001"/>
    <n v="14.3322"/>
    <n v="43608"/>
    <n v="-0.64100000000000001"/>
    <n v="1.6234"/>
  </r>
  <r>
    <n v="2330"/>
    <x v="1"/>
    <d v="2017-10-20T00:00:00"/>
    <x v="4"/>
    <x v="9"/>
    <n v="216.86750000000001"/>
    <n v="218.23429999999999"/>
    <n v="216.4119"/>
    <n v="216.4119"/>
    <n v="27056"/>
    <n v="-0.62960000000000005"/>
    <n v="0.84209999999999996"/>
  </r>
  <r>
    <n v="2303"/>
    <x v="0"/>
    <d v="2017-10-23T00:00:00"/>
    <x v="0"/>
    <x v="9"/>
    <n v="14.470499999999999"/>
    <n v="14.608700000000001"/>
    <n v="14.3322"/>
    <n v="14.378299999999999"/>
    <n v="31161"/>
    <n v="0.32100000000000001"/>
    <n v="1.9293"/>
  </r>
  <r>
    <n v="2330"/>
    <x v="1"/>
    <d v="2017-10-23T00:00:00"/>
    <x v="0"/>
    <x v="9"/>
    <n v="217.77869999999999"/>
    <n v="218.68989999999999"/>
    <n v="217.32310000000001"/>
    <n v="217.77869999999999"/>
    <n v="15959"/>
    <n v="0.62960000000000005"/>
    <n v="0.62890000000000001"/>
  </r>
  <r>
    <n v="2303"/>
    <x v="0"/>
    <d v="2017-10-24T00:00:00"/>
    <x v="1"/>
    <x v="9"/>
    <n v="14.4244"/>
    <n v="14.470499999999999"/>
    <n v="14.286099999999999"/>
    <n v="14.3322"/>
    <n v="18592"/>
    <n v="-0.32100000000000001"/>
    <n v="1.2903"/>
  </r>
  <r>
    <n v="2330"/>
    <x v="1"/>
    <d v="2017-10-24T00:00:00"/>
    <x v="1"/>
    <x v="9"/>
    <n v="218.68989999999999"/>
    <n v="218.68989999999999"/>
    <n v="216.86750000000001"/>
    <n v="216.86750000000001"/>
    <n v="16100"/>
    <n v="-0.41930000000000001"/>
    <n v="0.84030000000000005"/>
  </r>
  <r>
    <n v="2303"/>
    <x v="0"/>
    <d v="2017-10-25T00:00:00"/>
    <x v="2"/>
    <x v="9"/>
    <n v="14.4244"/>
    <n v="14.470499999999999"/>
    <n v="14.24"/>
    <n v="14.286099999999999"/>
    <n v="22519"/>
    <n v="-0.3221"/>
    <n v="1.6181000000000001"/>
  </r>
  <r>
    <n v="2330"/>
    <x v="1"/>
    <d v="2017-10-25T00:00:00"/>
    <x v="2"/>
    <x v="9"/>
    <n v="217.32310000000001"/>
    <n v="217.77869999999999"/>
    <n v="216.4119"/>
    <n v="216.86750000000001"/>
    <n v="17205"/>
    <n v="0"/>
    <n v="0.63160000000000005"/>
  </r>
  <r>
    <n v="2303"/>
    <x v="0"/>
    <d v="2017-10-26T00:00:00"/>
    <x v="3"/>
    <x v="9"/>
    <n v="14.101800000000001"/>
    <n v="14.378299999999999"/>
    <n v="13.8714"/>
    <n v="14.3322"/>
    <n v="86021"/>
    <n v="0.3221"/>
    <n v="3.6545000000000001"/>
  </r>
  <r>
    <n v="2330"/>
    <x v="1"/>
    <d v="2017-10-26T00:00:00"/>
    <x v="3"/>
    <x v="9"/>
    <n v="215.9563"/>
    <n v="216.86750000000001"/>
    <n v="215.04509999999999"/>
    <n v="215.04509999999999"/>
    <n v="12959"/>
    <n v="-0.84389999999999998"/>
    <n v="0.84750000000000003"/>
  </r>
  <r>
    <n v="2303"/>
    <x v="0"/>
    <d v="2017-10-27T00:00:00"/>
    <x v="4"/>
    <x v="9"/>
    <n v="14.3322"/>
    <n v="14.4244"/>
    <n v="14.194000000000001"/>
    <n v="14.24"/>
    <n v="33936"/>
    <n v="-0.6452"/>
    <n v="1.6234"/>
  </r>
  <r>
    <n v="2330"/>
    <x v="1"/>
    <d v="2017-10-27T00:00:00"/>
    <x v="4"/>
    <x v="9"/>
    <n v="216.4119"/>
    <n v="218.68989999999999"/>
    <n v="216.4119"/>
    <n v="217.77869999999999"/>
    <n v="18040"/>
    <n v="1.2632000000000001"/>
    <n v="1.0526"/>
  </r>
  <r>
    <n v="2303"/>
    <x v="0"/>
    <d v="2017-10-30T00:00:00"/>
    <x v="0"/>
    <x v="9"/>
    <n v="14.3322"/>
    <n v="14.608700000000001"/>
    <n v="14.3322"/>
    <n v="14.5626"/>
    <n v="49192"/>
    <n v="2.2401"/>
    <n v="1.9293"/>
  </r>
  <r>
    <n v="2330"/>
    <x v="1"/>
    <d v="2017-10-30T00:00:00"/>
    <x v="0"/>
    <x v="9"/>
    <n v="220.51230000000001"/>
    <n v="223.24600000000001"/>
    <n v="220.05670000000001"/>
    <n v="221.42349999999999"/>
    <n v="30241"/>
    <n v="1.6597999999999999"/>
    <n v="1.4493"/>
  </r>
  <r>
    <n v="2303"/>
    <x v="0"/>
    <d v="2017-10-31T00:00:00"/>
    <x v="1"/>
    <x v="9"/>
    <n v="14.5626"/>
    <n v="14.608700000000001"/>
    <n v="14.286099999999999"/>
    <n v="14.286099999999999"/>
    <n v="57658"/>
    <n v="-1.917"/>
    <n v="2.2581000000000002"/>
  </r>
  <r>
    <n v="2330"/>
    <x v="1"/>
    <d v="2017-10-31T00:00:00"/>
    <x v="1"/>
    <x v="9"/>
    <n v="221.87909999999999"/>
    <n v="223.24600000000001"/>
    <n v="220.05670000000001"/>
    <n v="221.42349999999999"/>
    <n v="22582"/>
    <n v="0"/>
    <n v="1.4493"/>
  </r>
  <r>
    <n v="2303"/>
    <x v="0"/>
    <d v="2017-11-01T00:00:00"/>
    <x v="2"/>
    <x v="10"/>
    <n v="14.4244"/>
    <n v="14.470499999999999"/>
    <n v="14.286099999999999"/>
    <n v="14.286099999999999"/>
    <n v="27554"/>
    <n v="0"/>
    <n v="1.2903"/>
  </r>
  <r>
    <n v="2330"/>
    <x v="1"/>
    <d v="2017-11-01T00:00:00"/>
    <x v="2"/>
    <x v="10"/>
    <n v="221.87909999999999"/>
    <n v="223.24600000000001"/>
    <n v="220.05670000000001"/>
    <n v="220.96789999999999"/>
    <n v="20465"/>
    <n v="-0.20599999999999999"/>
    <n v="1.4493"/>
  </r>
  <r>
    <n v="2303"/>
    <x v="0"/>
    <d v="2017-11-02T00:00:00"/>
    <x v="3"/>
    <x v="10"/>
    <n v="14.3322"/>
    <n v="14.378299999999999"/>
    <n v="14.24"/>
    <n v="14.286099999999999"/>
    <n v="23476"/>
    <n v="0"/>
    <n v="0.97089999999999999"/>
  </r>
  <r>
    <n v="2330"/>
    <x v="1"/>
    <d v="2017-11-02T00:00:00"/>
    <x v="3"/>
    <x v="10"/>
    <n v="220.51230000000001"/>
    <n v="220.96789999999999"/>
    <n v="219.1455"/>
    <n v="219.6011"/>
    <n v="16309"/>
    <n v="-0.62050000000000005"/>
    <n v="0.83160000000000001"/>
  </r>
  <r>
    <n v="2303"/>
    <x v="0"/>
    <d v="2017-11-03T00:00:00"/>
    <x v="4"/>
    <x v="10"/>
    <n v="14.378299999999999"/>
    <n v="14.378299999999999"/>
    <n v="14.24"/>
    <n v="14.24"/>
    <n v="21385"/>
    <n v="-0.3231"/>
    <n v="0.97089999999999999"/>
  </r>
  <r>
    <n v="2330"/>
    <x v="1"/>
    <d v="2017-11-03T00:00:00"/>
    <x v="4"/>
    <x v="10"/>
    <n v="219.1455"/>
    <n v="219.6011"/>
    <n v="217.32310000000001"/>
    <n v="217.77869999999999"/>
    <n v="18327"/>
    <n v="-0.83330000000000004"/>
    <n v="1.0482"/>
  </r>
  <r>
    <n v="2303"/>
    <x v="0"/>
    <d v="2017-11-06T00:00:00"/>
    <x v="0"/>
    <x v="10"/>
    <n v="14.24"/>
    <n v="14.286099999999999"/>
    <n v="14.009600000000001"/>
    <n v="14.0557"/>
    <n v="46148"/>
    <n v="-1.3029999999999999"/>
    <n v="1.9737"/>
  </r>
  <r>
    <n v="2330"/>
    <x v="1"/>
    <d v="2017-11-06T00:00:00"/>
    <x v="0"/>
    <x v="10"/>
    <n v="221.87909999999999"/>
    <n v="222.3348"/>
    <n v="217.77869999999999"/>
    <n v="218.23429999999999"/>
    <n v="21029"/>
    <n v="0.20899999999999999"/>
    <n v="2.0920999999999998"/>
  </r>
  <r>
    <n v="2303"/>
    <x v="0"/>
    <d v="2017-11-07T00:00:00"/>
    <x v="1"/>
    <x v="10"/>
    <n v="14.101800000000001"/>
    <n v="14.194000000000001"/>
    <n v="14.0557"/>
    <n v="14.194000000000001"/>
    <n v="17279"/>
    <n v="0.9788"/>
    <n v="0.98360000000000003"/>
  </r>
  <r>
    <n v="2330"/>
    <x v="1"/>
    <d v="2017-11-07T00:00:00"/>
    <x v="1"/>
    <x v="10"/>
    <n v="220.51230000000001"/>
    <n v="222.3348"/>
    <n v="220.05670000000001"/>
    <n v="222.3348"/>
    <n v="21689"/>
    <n v="1.8614999999999999"/>
    <n v="1.0351999999999999"/>
  </r>
  <r>
    <n v="2303"/>
    <x v="0"/>
    <d v="2017-11-08T00:00:00"/>
    <x v="2"/>
    <x v="10"/>
    <n v="14.194000000000001"/>
    <n v="14.194000000000001"/>
    <n v="14.101800000000001"/>
    <n v="14.1479"/>
    <n v="12630"/>
    <n v="-0.32519999999999999"/>
    <n v="0.65359999999999996"/>
  </r>
  <r>
    <n v="2330"/>
    <x v="1"/>
    <d v="2017-11-08T00:00:00"/>
    <x v="2"/>
    <x v="10"/>
    <n v="221.42349999999999"/>
    <n v="221.87909999999999"/>
    <n v="220.51230000000001"/>
    <n v="220.96789999999999"/>
    <n v="14579"/>
    <n v="-0.61670000000000003"/>
    <n v="0.61980000000000002"/>
  </r>
  <r>
    <n v="2303"/>
    <x v="0"/>
    <d v="2017-11-09T00:00:00"/>
    <x v="3"/>
    <x v="10"/>
    <n v="14.24"/>
    <n v="14.700900000000001"/>
    <n v="14.194000000000001"/>
    <n v="14.470499999999999"/>
    <n v="93048"/>
    <n v="2.2545000000000002"/>
    <n v="3.5714000000000001"/>
  </r>
  <r>
    <n v="2330"/>
    <x v="1"/>
    <d v="2017-11-09T00:00:00"/>
    <x v="3"/>
    <x v="10"/>
    <n v="219.1455"/>
    <n v="221.42349999999999"/>
    <n v="218.68989999999999"/>
    <n v="219.6011"/>
    <n v="21366"/>
    <n v="-0.62050000000000005"/>
    <n v="1.25"/>
  </r>
  <r>
    <n v="2303"/>
    <x v="0"/>
    <d v="2017-11-10T00:00:00"/>
    <x v="4"/>
    <x v="10"/>
    <n v="14.470499999999999"/>
    <n v="14.6548"/>
    <n v="14.378299999999999"/>
    <n v="14.608700000000001"/>
    <n v="37575"/>
    <n v="0.95089999999999997"/>
    <n v="1.9231"/>
  </r>
  <r>
    <n v="2330"/>
    <x v="1"/>
    <d v="2017-11-10T00:00:00"/>
    <x v="4"/>
    <x v="10"/>
    <n v="218.68989999999999"/>
    <n v="220.51230000000001"/>
    <n v="218.23429999999999"/>
    <n v="219.1455"/>
    <n v="15061"/>
    <n v="-0.2077"/>
    <n v="1.0438000000000001"/>
  </r>
  <r>
    <n v="2303"/>
    <x v="0"/>
    <d v="2017-11-13T00:00:00"/>
    <x v="0"/>
    <x v="10"/>
    <n v="14.5626"/>
    <n v="14.5626"/>
    <n v="14.378299999999999"/>
    <n v="14.4244"/>
    <n v="38438"/>
    <n v="-1.2699"/>
    <n v="1.2821"/>
  </r>
  <r>
    <n v="2330"/>
    <x v="1"/>
    <d v="2017-11-13T00:00:00"/>
    <x v="0"/>
    <x v="10"/>
    <n v="218.68989999999999"/>
    <n v="220.05670000000001"/>
    <n v="218.23429999999999"/>
    <n v="218.23429999999999"/>
    <n v="12087"/>
    <n v="-0.41670000000000001"/>
    <n v="0.83509999999999995"/>
  </r>
  <r>
    <n v="2303"/>
    <x v="0"/>
    <d v="2017-11-14T00:00:00"/>
    <x v="1"/>
    <x v="10"/>
    <n v="14.470499999999999"/>
    <n v="14.608700000000001"/>
    <n v="14.378299999999999"/>
    <n v="14.5166"/>
    <n v="39630"/>
    <n v="0.63690000000000002"/>
    <n v="1.6026"/>
  </r>
  <r>
    <n v="2330"/>
    <x v="1"/>
    <d v="2017-11-14T00:00:00"/>
    <x v="1"/>
    <x v="10"/>
    <n v="219.6011"/>
    <n v="219.6011"/>
    <n v="217.77869999999999"/>
    <n v="218.68989999999999"/>
    <n v="17229"/>
    <n v="0.20860000000000001"/>
    <n v="0.83679999999999999"/>
  </r>
  <r>
    <n v="2303"/>
    <x v="0"/>
    <d v="2017-11-15T00:00:00"/>
    <x v="2"/>
    <x v="10"/>
    <n v="14.470499999999999"/>
    <n v="14.5166"/>
    <n v="14.286099999999999"/>
    <n v="14.378299999999999"/>
    <n v="38238"/>
    <n v="-0.95689999999999997"/>
    <n v="1.6129"/>
  </r>
  <r>
    <n v="2330"/>
    <x v="1"/>
    <d v="2017-11-15T00:00:00"/>
    <x v="2"/>
    <x v="10"/>
    <n v="217.77869999999999"/>
    <n v="218.23429999999999"/>
    <n v="215.04509999999999"/>
    <n v="216.4119"/>
    <n v="29720"/>
    <n v="-1.0470999999999999"/>
    <n v="1.4831000000000001"/>
  </r>
  <r>
    <n v="2303"/>
    <x v="0"/>
    <d v="2017-11-16T00:00:00"/>
    <x v="3"/>
    <x v="10"/>
    <n v="14.378299999999999"/>
    <n v="14.5166"/>
    <n v="14.286099999999999"/>
    <n v="14.378299999999999"/>
    <n v="35151"/>
    <n v="0"/>
    <n v="1.6129"/>
  </r>
  <r>
    <n v="2330"/>
    <x v="1"/>
    <d v="2017-11-16T00:00:00"/>
    <x v="3"/>
    <x v="10"/>
    <n v="216.86750000000001"/>
    <n v="218.68989999999999"/>
    <n v="216.4119"/>
    <n v="216.86750000000001"/>
    <n v="17274"/>
    <n v="0.21029999999999999"/>
    <n v="1.0526"/>
  </r>
  <r>
    <n v="2303"/>
    <x v="0"/>
    <d v="2017-11-17T00:00:00"/>
    <x v="4"/>
    <x v="10"/>
    <n v="14.470499999999999"/>
    <n v="14.5626"/>
    <n v="14.378299999999999"/>
    <n v="14.4244"/>
    <n v="33105"/>
    <n v="0.32"/>
    <n v="1.2821"/>
  </r>
  <r>
    <n v="2330"/>
    <x v="1"/>
    <d v="2017-11-17T00:00:00"/>
    <x v="4"/>
    <x v="10"/>
    <n v="219.1455"/>
    <n v="220.96789999999999"/>
    <n v="219.1455"/>
    <n v="220.05670000000001"/>
    <n v="18741"/>
    <n v="1.4599"/>
    <n v="0.83160000000000001"/>
  </r>
  <r>
    <n v="2303"/>
    <x v="0"/>
    <d v="2017-11-20T00:00:00"/>
    <x v="0"/>
    <x v="10"/>
    <n v="14.4244"/>
    <n v="14.747"/>
    <n v="14.4244"/>
    <n v="14.6548"/>
    <n v="49301"/>
    <n v="1.5848"/>
    <n v="2.2364000000000002"/>
  </r>
  <r>
    <n v="2330"/>
    <x v="1"/>
    <d v="2017-11-20T00:00:00"/>
    <x v="0"/>
    <x v="10"/>
    <n v="219.6011"/>
    <n v="220.05670000000001"/>
    <n v="216.86750000000001"/>
    <n v="217.32310000000001"/>
    <n v="19811"/>
    <n v="-1.25"/>
    <n v="1.4705999999999999"/>
  </r>
  <r>
    <n v="2303"/>
    <x v="0"/>
    <d v="2017-11-21T00:00:00"/>
    <x v="1"/>
    <x v="10"/>
    <n v="14.6548"/>
    <n v="15.069599999999999"/>
    <n v="14.608700000000001"/>
    <n v="14.885199999999999"/>
    <n v="88638"/>
    <n v="1.5601"/>
    <n v="3.1545999999999998"/>
  </r>
  <r>
    <n v="2330"/>
    <x v="1"/>
    <d v="2017-11-21T00:00:00"/>
    <x v="1"/>
    <x v="10"/>
    <n v="218.68989999999999"/>
    <n v="221.42349999999999"/>
    <n v="218.23429999999999"/>
    <n v="221.42349999999999"/>
    <n v="22878"/>
    <n v="1.8692"/>
    <n v="1.4614"/>
  </r>
  <r>
    <n v="2303"/>
    <x v="0"/>
    <d v="2017-11-22T00:00:00"/>
    <x v="2"/>
    <x v="10"/>
    <n v="14.977399999999999"/>
    <n v="15.069599999999999"/>
    <n v="14.8391"/>
    <n v="14.8391"/>
    <n v="77239"/>
    <n v="-0.31009999999999999"/>
    <n v="1.5528"/>
  </r>
  <r>
    <n v="2330"/>
    <x v="1"/>
    <d v="2017-11-22T00:00:00"/>
    <x v="2"/>
    <x v="10"/>
    <n v="222.79040000000001"/>
    <n v="222.79040000000001"/>
    <n v="220.51230000000001"/>
    <n v="220.51230000000001"/>
    <n v="27251"/>
    <n v="-0.41239999999999999"/>
    <n v="1.0330999999999999"/>
  </r>
  <r>
    <n v="2303"/>
    <x v="0"/>
    <d v="2017-11-23T00:00:00"/>
    <x v="3"/>
    <x v="10"/>
    <n v="14.8391"/>
    <n v="14.885199999999999"/>
    <n v="14.6548"/>
    <n v="14.700900000000001"/>
    <n v="51589"/>
    <n v="-0.93600000000000005"/>
    <n v="1.5723"/>
  </r>
  <r>
    <n v="2330"/>
    <x v="1"/>
    <d v="2017-11-23T00:00:00"/>
    <x v="3"/>
    <x v="10"/>
    <n v="220.51230000000001"/>
    <n v="221.87909999999999"/>
    <n v="220.05670000000001"/>
    <n v="220.96789999999999"/>
    <n v="9562"/>
    <n v="0.2064"/>
    <n v="0.82820000000000005"/>
  </r>
  <r>
    <n v="2303"/>
    <x v="0"/>
    <d v="2017-11-24T00:00:00"/>
    <x v="4"/>
    <x v="10"/>
    <n v="14.747"/>
    <n v="14.8391"/>
    <n v="14.700900000000001"/>
    <n v="14.700900000000001"/>
    <n v="47073"/>
    <n v="0"/>
    <n v="0.94040000000000001"/>
  </r>
  <r>
    <n v="2330"/>
    <x v="1"/>
    <d v="2017-11-24T00:00:00"/>
    <x v="4"/>
    <x v="10"/>
    <n v="220.51230000000001"/>
    <n v="222.79040000000001"/>
    <n v="220.05670000000001"/>
    <n v="222.3348"/>
    <n v="11404"/>
    <n v="0.61670000000000003"/>
    <n v="1.2422"/>
  </r>
  <r>
    <n v="2303"/>
    <x v="0"/>
    <d v="2017-11-27T00:00:00"/>
    <x v="0"/>
    <x v="10"/>
    <n v="14.747"/>
    <n v="14.793100000000001"/>
    <n v="14.470499999999999"/>
    <n v="14.5626"/>
    <n v="29931"/>
    <n v="-0.94489999999999996"/>
    <n v="2.2292999999999998"/>
  </r>
  <r>
    <n v="2330"/>
    <x v="1"/>
    <d v="2017-11-27T00:00:00"/>
    <x v="0"/>
    <x v="10"/>
    <n v="218.68989999999999"/>
    <n v="218.68989999999999"/>
    <n v="215.9563"/>
    <n v="215.9563"/>
    <n v="32247"/>
    <n v="-2.9108000000000001"/>
    <n v="1.2658"/>
  </r>
  <r>
    <n v="2303"/>
    <x v="0"/>
    <d v="2017-11-28T00:00:00"/>
    <x v="1"/>
    <x v="10"/>
    <n v="14.6548"/>
    <n v="14.700900000000001"/>
    <n v="14.470499999999999"/>
    <n v="14.608700000000001"/>
    <n v="22794"/>
    <n v="0.316"/>
    <n v="1.5924"/>
  </r>
  <r>
    <n v="2330"/>
    <x v="1"/>
    <d v="2017-11-28T00:00:00"/>
    <x v="1"/>
    <x v="10"/>
    <n v="213.67830000000001"/>
    <n v="214.13390000000001"/>
    <n v="212.3115"/>
    <n v="213.2227"/>
    <n v="47834"/>
    <n v="-1.2739"/>
    <n v="0.85840000000000005"/>
  </r>
  <r>
    <n v="2303"/>
    <x v="0"/>
    <d v="2017-11-29T00:00:00"/>
    <x v="2"/>
    <x v="10"/>
    <n v="14.6548"/>
    <n v="14.700900000000001"/>
    <n v="14.378299999999999"/>
    <n v="14.470499999999999"/>
    <n v="31143"/>
    <n v="-0.95089999999999997"/>
    <n v="2.2435999999999998"/>
  </r>
  <r>
    <n v="2330"/>
    <x v="1"/>
    <d v="2017-11-29T00:00:00"/>
    <x v="2"/>
    <x v="10"/>
    <n v="214.13390000000001"/>
    <n v="215.04509999999999"/>
    <n v="213.67830000000001"/>
    <n v="213.67830000000001"/>
    <n v="26535"/>
    <n v="0.21340000000000001"/>
    <n v="0.63970000000000005"/>
  </r>
  <r>
    <n v="2303"/>
    <x v="0"/>
    <d v="2017-11-30T00:00:00"/>
    <x v="3"/>
    <x v="10"/>
    <n v="14.286099999999999"/>
    <n v="14.378299999999999"/>
    <n v="14.101800000000001"/>
    <n v="14.101800000000001"/>
    <n v="76813"/>
    <n v="-2.5808"/>
    <n v="1.9608000000000001"/>
  </r>
  <r>
    <n v="2330"/>
    <x v="1"/>
    <d v="2017-11-30T00:00:00"/>
    <x v="3"/>
    <x v="10"/>
    <n v="206.3886"/>
    <n v="210.0334"/>
    <n v="205.93299999999999"/>
    <n v="205.93299999999999"/>
    <n v="112262"/>
    <n v="-3.6920999999999999"/>
    <n v="1.9912000000000001"/>
  </r>
  <r>
    <n v="2303"/>
    <x v="0"/>
    <d v="2017-12-01T00:00:00"/>
    <x v="4"/>
    <x v="11"/>
    <n v="14.194000000000001"/>
    <n v="14.3322"/>
    <n v="13.9175"/>
    <n v="14.1479"/>
    <n v="38098"/>
    <n v="0.32629999999999998"/>
    <n v="2.9801000000000002"/>
  </r>
  <r>
    <n v="2330"/>
    <x v="1"/>
    <d v="2017-12-01T00:00:00"/>
    <x v="4"/>
    <x v="11"/>
    <n v="208.21100000000001"/>
    <n v="212.7671"/>
    <n v="207.2998"/>
    <n v="210.489"/>
    <n v="38356"/>
    <n v="2.1882999999999999"/>
    <n v="2.6374"/>
  </r>
  <r>
    <n v="2303"/>
    <x v="0"/>
    <d v="2017-12-04T00:00:00"/>
    <x v="0"/>
    <x v="11"/>
    <n v="14.24"/>
    <n v="14.470499999999999"/>
    <n v="14.1479"/>
    <n v="14.470499999999999"/>
    <n v="29442"/>
    <n v="2.2545000000000002"/>
    <n v="2.2801"/>
  </r>
  <r>
    <n v="2330"/>
    <x v="1"/>
    <d v="2017-12-04T00:00:00"/>
    <x v="0"/>
    <x v="11"/>
    <n v="211.85589999999999"/>
    <n v="213.67830000000001"/>
    <n v="210.489"/>
    <n v="213.2227"/>
    <n v="22939"/>
    <n v="1.2903"/>
    <n v="1.5152000000000001"/>
  </r>
  <r>
    <n v="2303"/>
    <x v="0"/>
    <d v="2017-12-05T00:00:00"/>
    <x v="1"/>
    <x v="11"/>
    <n v="14.4244"/>
    <n v="14.4244"/>
    <n v="14.24"/>
    <n v="14.3322"/>
    <n v="24366"/>
    <n v="-0.96"/>
    <n v="1.2945"/>
  </r>
  <r>
    <n v="2330"/>
    <x v="1"/>
    <d v="2017-12-05T00:00:00"/>
    <x v="1"/>
    <x v="11"/>
    <n v="210.489"/>
    <n v="210.489"/>
    <n v="208.21100000000001"/>
    <n v="209.12219999999999"/>
    <n v="30189"/>
    <n v="-1.9418"/>
    <n v="1.0941000000000001"/>
  </r>
  <r>
    <n v="2303"/>
    <x v="0"/>
    <d v="2017-12-06T00:00:00"/>
    <x v="2"/>
    <x v="11"/>
    <n v="14.24"/>
    <n v="14.286099999999999"/>
    <n v="13.7331"/>
    <n v="13.8253"/>
    <n v="54783"/>
    <n v="-3.601"/>
    <n v="4.0267999999999997"/>
  </r>
  <r>
    <n v="2330"/>
    <x v="1"/>
    <d v="2017-12-06T00:00:00"/>
    <x v="2"/>
    <x v="11"/>
    <n v="207.75540000000001"/>
    <n v="209.12219999999999"/>
    <n v="206.3886"/>
    <n v="206.8442"/>
    <n v="34031"/>
    <n v="-1.0952999999999999"/>
    <n v="1.3245"/>
  </r>
  <r>
    <n v="2303"/>
    <x v="0"/>
    <d v="2017-12-07T00:00:00"/>
    <x v="3"/>
    <x v="11"/>
    <n v="13.8714"/>
    <n v="14.0557"/>
    <n v="13.410500000000001"/>
    <n v="13.502700000000001"/>
    <n v="57685"/>
    <n v="-2.3610000000000002"/>
    <n v="4.8109999999999999"/>
  </r>
  <r>
    <n v="2330"/>
    <x v="1"/>
    <d v="2017-12-07T00:00:00"/>
    <x v="3"/>
    <x v="11"/>
    <n v="206.3886"/>
    <n v="206.3886"/>
    <n v="202.74379999999999"/>
    <n v="206.3886"/>
    <n v="41619"/>
    <n v="-0.2205"/>
    <n v="1.7978000000000001"/>
  </r>
  <r>
    <n v="2303"/>
    <x v="0"/>
    <d v="2017-12-08T00:00:00"/>
    <x v="4"/>
    <x v="11"/>
    <n v="13.641"/>
    <n v="13.686999999999999"/>
    <n v="13.410500000000001"/>
    <n v="13.502700000000001"/>
    <n v="36748"/>
    <n v="0"/>
    <n v="2.0619000000000001"/>
  </r>
  <r>
    <n v="2330"/>
    <x v="1"/>
    <d v="2017-12-08T00:00:00"/>
    <x v="4"/>
    <x v="11"/>
    <n v="210.489"/>
    <n v="210.489"/>
    <n v="204.56620000000001"/>
    <n v="206.8442"/>
    <n v="38183"/>
    <n v="0.2205"/>
    <n v="2.8953000000000002"/>
  </r>
  <r>
    <n v="2303"/>
    <x v="0"/>
    <d v="2017-12-11T00:00:00"/>
    <x v="0"/>
    <x v="11"/>
    <n v="13.686999999999999"/>
    <n v="13.9635"/>
    <n v="13.641"/>
    <n v="13.9635"/>
    <n v="33189"/>
    <n v="3.3559999999999999"/>
    <n v="2.3649"/>
  </r>
  <r>
    <n v="2330"/>
    <x v="1"/>
    <d v="2017-12-11T00:00:00"/>
    <x v="0"/>
    <x v="11"/>
    <n v="208.21100000000001"/>
    <n v="208.66659999999999"/>
    <n v="206.8442"/>
    <n v="207.2998"/>
    <n v="20649"/>
    <n v="0.22"/>
    <n v="0.88109999999999999"/>
  </r>
  <r>
    <n v="2303"/>
    <x v="0"/>
    <d v="2017-12-12T00:00:00"/>
    <x v="1"/>
    <x v="11"/>
    <n v="13.9635"/>
    <n v="13.9635"/>
    <n v="13.686999999999999"/>
    <n v="13.779199999999999"/>
    <n v="19606"/>
    <n v="-1.3289"/>
    <n v="2.0202"/>
  </r>
  <r>
    <n v="2330"/>
    <x v="1"/>
    <d v="2017-12-12T00:00:00"/>
    <x v="1"/>
    <x v="11"/>
    <n v="209.12219999999999"/>
    <n v="209.12219999999999"/>
    <n v="205.02180000000001"/>
    <n v="207.2998"/>
    <n v="28188"/>
    <n v="0"/>
    <n v="2"/>
  </r>
  <r>
    <n v="2303"/>
    <x v="0"/>
    <d v="2017-12-13T00:00:00"/>
    <x v="2"/>
    <x v="11"/>
    <n v="13.7331"/>
    <n v="13.779199999999999"/>
    <n v="13.641"/>
    <n v="13.641"/>
    <n v="11375"/>
    <n v="-1.0084"/>
    <n v="1.0135000000000001"/>
  </r>
  <r>
    <n v="2330"/>
    <x v="1"/>
    <d v="2017-12-13T00:00:00"/>
    <x v="2"/>
    <x v="11"/>
    <n v="207.2998"/>
    <n v="207.75540000000001"/>
    <n v="206.3886"/>
    <n v="206.8442"/>
    <n v="19619"/>
    <n v="-0.22"/>
    <n v="0.6623"/>
  </r>
  <r>
    <n v="2303"/>
    <x v="0"/>
    <d v="2017-12-14T00:00:00"/>
    <x v="3"/>
    <x v="11"/>
    <n v="13.7331"/>
    <n v="13.9635"/>
    <n v="13.686999999999999"/>
    <n v="13.7331"/>
    <n v="41188"/>
    <n v="0.6734"/>
    <n v="2.0202"/>
  </r>
  <r>
    <n v="2330"/>
    <x v="1"/>
    <d v="2017-12-14T00:00:00"/>
    <x v="3"/>
    <x v="11"/>
    <n v="207.75540000000001"/>
    <n v="210.0334"/>
    <n v="207.2998"/>
    <n v="210.0334"/>
    <n v="17263"/>
    <n v="1.5301"/>
    <n v="1.3187"/>
  </r>
  <r>
    <n v="2303"/>
    <x v="0"/>
    <d v="2017-12-15T00:00:00"/>
    <x v="4"/>
    <x v="11"/>
    <n v="13.686999999999999"/>
    <n v="13.7331"/>
    <n v="13.502700000000001"/>
    <n v="13.502700000000001"/>
    <n v="38377"/>
    <n v="-1.6920999999999999"/>
    <n v="1.7064999999999999"/>
  </r>
  <r>
    <n v="2330"/>
    <x v="1"/>
    <d v="2017-12-15T00:00:00"/>
    <x v="4"/>
    <x v="11"/>
    <n v="208.21100000000001"/>
    <n v="209.5778"/>
    <n v="206.3886"/>
    <n v="209.5778"/>
    <n v="42725"/>
    <n v="-0.2172"/>
    <n v="1.5452999999999999"/>
  </r>
  <r>
    <n v="2303"/>
    <x v="0"/>
    <d v="2017-12-18T00:00:00"/>
    <x v="0"/>
    <x v="11"/>
    <n v="13.594900000000001"/>
    <n v="13.641"/>
    <n v="13.3644"/>
    <n v="13.3644"/>
    <n v="27103"/>
    <n v="-1.0291999999999999"/>
    <n v="2.069"/>
  </r>
  <r>
    <n v="2330"/>
    <x v="1"/>
    <d v="2017-12-18T00:00:00"/>
    <x v="0"/>
    <x v="11"/>
    <n v="206.8442"/>
    <n v="207.75540000000001"/>
    <n v="206.3886"/>
    <n v="206.8442"/>
    <n v="15702"/>
    <n v="-1.3129"/>
    <n v="0.6623"/>
  </r>
  <r>
    <n v="2303"/>
    <x v="0"/>
    <d v="2017-12-19T00:00:00"/>
    <x v="1"/>
    <x v="11"/>
    <n v="13.4566"/>
    <n v="13.594900000000001"/>
    <n v="13.410500000000001"/>
    <n v="13.410500000000001"/>
    <n v="26186"/>
    <n v="0.34420000000000001"/>
    <n v="1.3746"/>
  </r>
  <r>
    <n v="2330"/>
    <x v="1"/>
    <d v="2017-12-19T00:00:00"/>
    <x v="1"/>
    <x v="11"/>
    <n v="206.3886"/>
    <n v="208.21100000000001"/>
    <n v="204.11060000000001"/>
    <n v="205.02180000000001"/>
    <n v="25899"/>
    <n v="-0.88500000000000001"/>
    <n v="2.0089000000000001"/>
  </r>
  <r>
    <n v="2303"/>
    <x v="0"/>
    <d v="2017-12-20T00:00:00"/>
    <x v="2"/>
    <x v="11"/>
    <n v="13.410500000000001"/>
    <n v="13.5488"/>
    <n v="13.3644"/>
    <n v="13.4566"/>
    <n v="17598"/>
    <n v="0.34310000000000002"/>
    <n v="1.3793"/>
  </r>
  <r>
    <n v="2330"/>
    <x v="1"/>
    <d v="2017-12-20T00:00:00"/>
    <x v="2"/>
    <x v="11"/>
    <n v="205.02180000000001"/>
    <n v="205.47739999999999"/>
    <n v="203.655"/>
    <n v="204.56620000000001"/>
    <n v="34514"/>
    <n v="-0.2225"/>
    <n v="0.89490000000000003"/>
  </r>
  <r>
    <n v="2303"/>
    <x v="0"/>
    <d v="2017-12-21T00:00:00"/>
    <x v="3"/>
    <x v="11"/>
    <n v="13.4566"/>
    <n v="13.5488"/>
    <n v="13.2723"/>
    <n v="13.3184"/>
    <n v="34815"/>
    <n v="-1.0327"/>
    <n v="2.0832999999999999"/>
  </r>
  <r>
    <n v="2330"/>
    <x v="1"/>
    <d v="2017-12-21T00:00:00"/>
    <x v="3"/>
    <x v="11"/>
    <n v="206.3886"/>
    <n v="206.8442"/>
    <n v="204.56620000000001"/>
    <n v="205.02180000000001"/>
    <n v="20826"/>
    <n v="0.2225"/>
    <n v="1.1135999999999999"/>
  </r>
  <r>
    <n v="2303"/>
    <x v="0"/>
    <d v="2017-12-22T00:00:00"/>
    <x v="4"/>
    <x v="11"/>
    <n v="13.3644"/>
    <n v="13.3644"/>
    <n v="13.180099999999999"/>
    <n v="13.2723"/>
    <n v="32325"/>
    <n v="-0.34660000000000002"/>
    <n v="1.3986000000000001"/>
  </r>
  <r>
    <n v="2330"/>
    <x v="1"/>
    <d v="2017-12-22T00:00:00"/>
    <x v="4"/>
    <x v="11"/>
    <n v="205.02180000000001"/>
    <n v="207.2998"/>
    <n v="204.11060000000001"/>
    <n v="207.2998"/>
    <n v="19106"/>
    <n v="1.105"/>
    <n v="1.5625"/>
  </r>
  <r>
    <n v="2303"/>
    <x v="0"/>
    <d v="2017-12-25T00:00:00"/>
    <x v="0"/>
    <x v="11"/>
    <n v="13.3184"/>
    <n v="13.3644"/>
    <n v="13.2723"/>
    <n v="13.3184"/>
    <n v="8019"/>
    <n v="0.34660000000000002"/>
    <n v="0.69440000000000002"/>
  </r>
  <r>
    <n v="2330"/>
    <x v="1"/>
    <d v="2017-12-25T00:00:00"/>
    <x v="0"/>
    <x v="11"/>
    <n v="207.75540000000001"/>
    <n v="209.12219999999999"/>
    <n v="206.3886"/>
    <n v="208.21100000000001"/>
    <n v="4579"/>
    <n v="0.43859999999999999"/>
    <n v="1.3245"/>
  </r>
  <r>
    <n v="2303"/>
    <x v="0"/>
    <d v="2017-12-26T00:00:00"/>
    <x v="1"/>
    <x v="11"/>
    <n v="13.3184"/>
    <n v="13.3644"/>
    <n v="12.9497"/>
    <n v="12.9497"/>
    <n v="29369"/>
    <n v="-2.8071999999999999"/>
    <n v="3.2027999999999999"/>
  </r>
  <r>
    <n v="2330"/>
    <x v="1"/>
    <d v="2017-12-26T00:00:00"/>
    <x v="1"/>
    <x v="11"/>
    <n v="208.66659999999999"/>
    <n v="208.66659999999999"/>
    <n v="205.02180000000001"/>
    <n v="205.93299999999999"/>
    <n v="13755"/>
    <n v="-1.1001000000000001"/>
    <n v="1.7778"/>
  </r>
  <r>
    <n v="2303"/>
    <x v="0"/>
    <d v="2017-12-27T00:00:00"/>
    <x v="2"/>
    <x v="11"/>
    <n v="12.995799999999999"/>
    <n v="13.134"/>
    <n v="12.995799999999999"/>
    <n v="13.087899999999999"/>
    <n v="16454"/>
    <n v="1.0620000000000001"/>
    <n v="1.0638000000000001"/>
  </r>
  <r>
    <n v="2330"/>
    <x v="1"/>
    <d v="2017-12-27T00:00:00"/>
    <x v="2"/>
    <x v="11"/>
    <n v="205.02180000000001"/>
    <n v="205.93299999999999"/>
    <n v="205.02180000000001"/>
    <n v="205.02180000000001"/>
    <n v="12515"/>
    <n v="-0.44350000000000001"/>
    <n v="0.44440000000000002"/>
  </r>
  <r>
    <n v="2303"/>
    <x v="0"/>
    <d v="2017-12-28T00:00:00"/>
    <x v="3"/>
    <x v="11"/>
    <n v="13.087899999999999"/>
    <n v="13.2723"/>
    <n v="13.0419"/>
    <n v="13.180099999999999"/>
    <n v="20198"/>
    <n v="0.70179999999999998"/>
    <n v="1.7667999999999999"/>
  </r>
  <r>
    <n v="2330"/>
    <x v="1"/>
    <d v="2017-12-28T00:00:00"/>
    <x v="3"/>
    <x v="11"/>
    <n v="206.3886"/>
    <n v="207.75540000000001"/>
    <n v="205.02180000000001"/>
    <n v="205.93299999999999"/>
    <n v="24370"/>
    <n v="0.44350000000000001"/>
    <n v="1.3332999999999999"/>
  </r>
  <r>
    <n v="2303"/>
    <x v="0"/>
    <d v="2017-12-29T00:00:00"/>
    <x v="4"/>
    <x v="11"/>
    <n v="13.180099999999999"/>
    <n v="13.3184"/>
    <n v="13.0419"/>
    <n v="13.087899999999999"/>
    <n v="33797"/>
    <n v="-0.70179999999999998"/>
    <n v="2.1200999999999999"/>
  </r>
  <r>
    <n v="2330"/>
    <x v="1"/>
    <d v="2017-12-29T00:00:00"/>
    <x v="4"/>
    <x v="11"/>
    <n v="207.2998"/>
    <n v="209.5778"/>
    <n v="206.3886"/>
    <n v="209.12219999999999"/>
    <n v="25610"/>
    <n v="1.5367999999999999"/>
    <n v="1.5452999999999999"/>
  </r>
  <r>
    <n v="2303"/>
    <x v="0"/>
    <d v="2018-01-02T00:00:00"/>
    <x v="1"/>
    <x v="0"/>
    <n v="13.087899999999999"/>
    <n v="13.180099999999999"/>
    <n v="13.0419"/>
    <n v="13.134"/>
    <n v="16608"/>
    <n v="0.35149999999999998"/>
    <n v="1.0601"/>
  </r>
  <r>
    <n v="2330"/>
    <x v="1"/>
    <d v="2018-01-02T00:00:00"/>
    <x v="1"/>
    <x v="0"/>
    <n v="210.94470000000001"/>
    <n v="211.85589999999999"/>
    <n v="210.489"/>
    <n v="211.85589999999999"/>
    <n v="18055"/>
    <n v="1.2987"/>
    <n v="0.64939999999999998"/>
  </r>
  <r>
    <n v="2303"/>
    <x v="0"/>
    <d v="2018-01-03T00:00:00"/>
    <x v="2"/>
    <x v="0"/>
    <n v="13.2723"/>
    <n v="13.4566"/>
    <n v="13.2262"/>
    <n v="13.2723"/>
    <n v="56967"/>
    <n v="1.0470999999999999"/>
    <n v="1.7422"/>
  </r>
  <r>
    <n v="2330"/>
    <x v="1"/>
    <d v="2018-01-03T00:00:00"/>
    <x v="2"/>
    <x v="0"/>
    <n v="215.04509999999999"/>
    <n v="216.86750000000001"/>
    <n v="214.58949999999999"/>
    <n v="215.9563"/>
    <n v="31706"/>
    <n v="1.917"/>
    <n v="1.0616000000000001"/>
  </r>
  <r>
    <n v="2303"/>
    <x v="0"/>
    <d v="2018-01-04T00:00:00"/>
    <x v="3"/>
    <x v="0"/>
    <n v="13.2723"/>
    <n v="13.3644"/>
    <n v="13.134"/>
    <n v="13.2262"/>
    <n v="32656"/>
    <n v="-0.3478"/>
    <n v="1.7544"/>
  </r>
  <r>
    <n v="2330"/>
    <x v="1"/>
    <d v="2018-01-04T00:00:00"/>
    <x v="3"/>
    <x v="0"/>
    <n v="218.68989999999999"/>
    <n v="218.68989999999999"/>
    <n v="215.50069999999999"/>
    <n v="218.23429999999999"/>
    <n v="29179"/>
    <n v="1.0492999999999999"/>
    <n v="1.4799"/>
  </r>
  <r>
    <n v="2303"/>
    <x v="0"/>
    <d v="2018-01-05T00:00:00"/>
    <x v="4"/>
    <x v="0"/>
    <n v="13.2723"/>
    <n v="13.410500000000001"/>
    <n v="13.2262"/>
    <n v="13.410500000000001"/>
    <n v="41523"/>
    <n v="1.3841000000000001"/>
    <n v="1.3936999999999999"/>
  </r>
  <r>
    <n v="2330"/>
    <x v="1"/>
    <d v="2018-01-05T00:00:00"/>
    <x v="4"/>
    <x v="0"/>
    <n v="218.68989999999999"/>
    <n v="218.68989999999999"/>
    <n v="216.86750000000001"/>
    <n v="218.68989999999999"/>
    <n v="23721"/>
    <n v="0.20860000000000001"/>
    <n v="0.84030000000000005"/>
  </r>
  <r>
    <n v="2303"/>
    <x v="0"/>
    <d v="2018-01-08T00:00:00"/>
    <x v="0"/>
    <x v="0"/>
    <n v="13.410500000000001"/>
    <n v="13.5488"/>
    <n v="13.3184"/>
    <n v="13.5488"/>
    <n v="49586"/>
    <n v="1.0257000000000001"/>
    <n v="1.7301"/>
  </r>
  <r>
    <n v="2330"/>
    <x v="1"/>
    <d v="2018-01-08T00:00:00"/>
    <x v="0"/>
    <x v="0"/>
    <n v="220.51230000000001"/>
    <n v="220.96789999999999"/>
    <n v="219.1455"/>
    <n v="220.51230000000001"/>
    <n v="21846"/>
    <n v="0.82989999999999997"/>
    <n v="0.83160000000000001"/>
  </r>
  <r>
    <n v="2303"/>
    <x v="0"/>
    <d v="2018-01-09T00:00:00"/>
    <x v="1"/>
    <x v="0"/>
    <n v="13.502700000000001"/>
    <n v="13.594900000000001"/>
    <n v="13.410500000000001"/>
    <n v="13.594900000000001"/>
    <n v="27627"/>
    <n v="0.33960000000000001"/>
    <n v="1.3746"/>
  </r>
  <r>
    <n v="2330"/>
    <x v="1"/>
    <d v="2018-01-09T00:00:00"/>
    <x v="1"/>
    <x v="0"/>
    <n v="220.51230000000001"/>
    <n v="220.51230000000001"/>
    <n v="218.23429999999999"/>
    <n v="220.51230000000001"/>
    <n v="19043"/>
    <n v="0"/>
    <n v="1.0438000000000001"/>
  </r>
  <r>
    <n v="2303"/>
    <x v="0"/>
    <d v="2018-01-10T00:00:00"/>
    <x v="2"/>
    <x v="0"/>
    <n v="13.502700000000001"/>
    <n v="13.5488"/>
    <n v="12.995799999999999"/>
    <n v="13.087899999999999"/>
    <n v="55622"/>
    <n v="-3.8001"/>
    <n v="4.2553000000000001"/>
  </r>
  <r>
    <n v="2330"/>
    <x v="1"/>
    <d v="2018-01-10T00:00:00"/>
    <x v="2"/>
    <x v="0"/>
    <n v="220.05670000000001"/>
    <n v="220.51230000000001"/>
    <n v="215.04509999999999"/>
    <n v="215.50069999999999"/>
    <n v="25716"/>
    <n v="-2.2989999999999999"/>
    <n v="2.5424000000000002"/>
  </r>
  <r>
    <n v="2303"/>
    <x v="0"/>
    <d v="2018-01-11T00:00:00"/>
    <x v="3"/>
    <x v="0"/>
    <n v="13.0419"/>
    <n v="13.087899999999999"/>
    <n v="12.811400000000001"/>
    <n v="12.903600000000001"/>
    <n v="51795"/>
    <n v="-1.4185000000000001"/>
    <n v="2.1583000000000001"/>
  </r>
  <r>
    <n v="2330"/>
    <x v="1"/>
    <d v="2018-01-11T00:00:00"/>
    <x v="3"/>
    <x v="0"/>
    <n v="214.13390000000001"/>
    <n v="215.04509999999999"/>
    <n v="211.85589999999999"/>
    <n v="214.13390000000001"/>
    <n v="32070"/>
    <n v="-0.63629999999999998"/>
    <n v="1.5054000000000001"/>
  </r>
  <r>
    <n v="2303"/>
    <x v="0"/>
    <d v="2018-01-12T00:00:00"/>
    <x v="4"/>
    <x v="0"/>
    <n v="12.9497"/>
    <n v="13.180099999999999"/>
    <n v="12.903600000000001"/>
    <n v="13.087899999999999"/>
    <n v="51589"/>
    <n v="1.4185000000000001"/>
    <n v="2.1429"/>
  </r>
  <r>
    <n v="2330"/>
    <x v="1"/>
    <d v="2018-01-12T00:00:00"/>
    <x v="4"/>
    <x v="0"/>
    <n v="213.67830000000001"/>
    <n v="216.86750000000001"/>
    <n v="212.7671"/>
    <n v="215.9563"/>
    <n v="23141"/>
    <n v="0.84750000000000003"/>
    <n v="1.9272"/>
  </r>
  <r>
    <n v="2303"/>
    <x v="0"/>
    <d v="2018-01-15T00:00:00"/>
    <x v="0"/>
    <x v="0"/>
    <n v="13.134"/>
    <n v="13.2262"/>
    <n v="13.087899999999999"/>
    <n v="13.180099999999999"/>
    <n v="21464"/>
    <n v="0.70179999999999998"/>
    <n v="1.0563"/>
  </r>
  <r>
    <n v="2330"/>
    <x v="1"/>
    <d v="2018-01-15T00:00:00"/>
    <x v="0"/>
    <x v="0"/>
    <n v="218.68989999999999"/>
    <n v="218.68989999999999"/>
    <n v="216.86750000000001"/>
    <n v="218.68989999999999"/>
    <n v="28576"/>
    <n v="1.2579"/>
    <n v="0.84030000000000005"/>
  </r>
  <r>
    <n v="2303"/>
    <x v="0"/>
    <d v="2018-01-16T00:00:00"/>
    <x v="1"/>
    <x v="0"/>
    <n v="13.180099999999999"/>
    <n v="13.180099999999999"/>
    <n v="13.0419"/>
    <n v="13.180099999999999"/>
    <n v="26699"/>
    <n v="0"/>
    <n v="1.0601"/>
  </r>
  <r>
    <n v="2330"/>
    <x v="1"/>
    <d v="2018-01-16T00:00:00"/>
    <x v="1"/>
    <x v="0"/>
    <n v="218.68989999999999"/>
    <n v="219.1455"/>
    <n v="216.86750000000001"/>
    <n v="219.1455"/>
    <n v="23407"/>
    <n v="0.20810000000000001"/>
    <n v="1.0504"/>
  </r>
  <r>
    <n v="2303"/>
    <x v="0"/>
    <d v="2018-01-17T00:00:00"/>
    <x v="2"/>
    <x v="0"/>
    <n v="13.087899999999999"/>
    <n v="13.2262"/>
    <n v="13.0419"/>
    <n v="13.180099999999999"/>
    <n v="26465"/>
    <n v="0"/>
    <n v="1.4134"/>
  </r>
  <r>
    <n v="2330"/>
    <x v="1"/>
    <d v="2018-01-17T00:00:00"/>
    <x v="2"/>
    <x v="0"/>
    <n v="219.1455"/>
    <n v="221.42349999999999"/>
    <n v="217.77869999999999"/>
    <n v="220.51230000000001"/>
    <n v="38118"/>
    <n v="0.62180000000000002"/>
    <n v="1.6736"/>
  </r>
  <r>
    <n v="2303"/>
    <x v="0"/>
    <d v="2018-01-18T00:00:00"/>
    <x v="3"/>
    <x v="0"/>
    <n v="13.180099999999999"/>
    <n v="13.2723"/>
    <n v="13.180099999999999"/>
    <n v="13.180099999999999"/>
    <n v="40184"/>
    <n v="0"/>
    <n v="0.69930000000000003"/>
  </r>
  <r>
    <n v="2330"/>
    <x v="1"/>
    <d v="2018-01-18T00:00:00"/>
    <x v="3"/>
    <x v="0"/>
    <n v="223.24600000000001"/>
    <n v="227.80199999999999"/>
    <n v="223.24600000000001"/>
    <n v="226.43520000000001"/>
    <n v="50119"/>
    <n v="2.6505000000000001"/>
    <n v="2.0407999999999999"/>
  </r>
  <r>
    <n v="2303"/>
    <x v="0"/>
    <d v="2018-01-19T00:00:00"/>
    <x v="4"/>
    <x v="0"/>
    <n v="13.2262"/>
    <n v="13.2262"/>
    <n v="12.9497"/>
    <n v="13.087899999999999"/>
    <n v="33002"/>
    <n v="-0.70179999999999998"/>
    <n v="2.1352000000000002"/>
  </r>
  <r>
    <n v="2330"/>
    <x v="1"/>
    <d v="2018-01-19T00:00:00"/>
    <x v="4"/>
    <x v="0"/>
    <n v="230.99119999999999"/>
    <n v="232.81360000000001"/>
    <n v="229.1688"/>
    <n v="232.81360000000001"/>
    <n v="55061"/>
    <n v="2.778"/>
    <n v="1.5905"/>
  </r>
  <r>
    <n v="2303"/>
    <x v="0"/>
    <d v="2018-01-22T00:00:00"/>
    <x v="0"/>
    <x v="0"/>
    <n v="13.0419"/>
    <n v="13.134"/>
    <n v="12.8575"/>
    <n v="12.903600000000001"/>
    <n v="79063"/>
    <n v="-1.4185000000000001"/>
    <n v="2.1505000000000001"/>
  </r>
  <r>
    <n v="2330"/>
    <x v="1"/>
    <d v="2018-01-22T00:00:00"/>
    <x v="0"/>
    <x v="0"/>
    <n v="234.6361"/>
    <n v="238.73650000000001"/>
    <n v="234.18049999999999"/>
    <n v="238.2809"/>
    <n v="45907"/>
    <n v="2.3212000000000002"/>
    <n v="1.9455"/>
  </r>
  <r>
    <n v="2303"/>
    <x v="0"/>
    <d v="2018-01-23T00:00:00"/>
    <x v="1"/>
    <x v="0"/>
    <n v="12.995799999999999"/>
    <n v="13.686999999999999"/>
    <n v="12.9497"/>
    <n v="13.4566"/>
    <n v="149322"/>
    <n v="4.1963999999999997"/>
    <n v="5.694"/>
  </r>
  <r>
    <n v="2330"/>
    <x v="1"/>
    <d v="2018-01-23T00:00:00"/>
    <x v="1"/>
    <x v="0"/>
    <n v="239.19210000000001"/>
    <n v="242.38130000000001"/>
    <n v="239.19210000000001"/>
    <n v="242.38130000000001"/>
    <n v="34606"/>
    <n v="1.7061999999999999"/>
    <n v="1.3332999999999999"/>
  </r>
  <r>
    <n v="2303"/>
    <x v="0"/>
    <d v="2018-01-24T00:00:00"/>
    <x v="2"/>
    <x v="0"/>
    <n v="13.3644"/>
    <n v="13.4566"/>
    <n v="13.180099999999999"/>
    <n v="13.2723"/>
    <n v="69620"/>
    <n v="-1.3793"/>
    <n v="2.0979000000000001"/>
  </r>
  <r>
    <n v="2330"/>
    <x v="1"/>
    <d v="2018-01-24T00:00:00"/>
    <x v="2"/>
    <x v="0"/>
    <n v="239.64769999999999"/>
    <n v="239.64769999999999"/>
    <n v="233.72489999999999"/>
    <n v="235.0917"/>
    <n v="42600"/>
    <n v="-3.0537000000000001"/>
    <n v="2.5341"/>
  </r>
  <r>
    <n v="2303"/>
    <x v="0"/>
    <d v="2018-01-25T00:00:00"/>
    <x v="3"/>
    <x v="0"/>
    <n v="13.4566"/>
    <n v="13.9175"/>
    <n v="13.3644"/>
    <n v="13.3644"/>
    <n v="162032"/>
    <n v="0.69199999999999995"/>
    <n v="4.1379000000000001"/>
  </r>
  <r>
    <n v="2330"/>
    <x v="1"/>
    <d v="2018-01-25T00:00:00"/>
    <x v="3"/>
    <x v="0"/>
    <n v="235.0917"/>
    <n v="240.55889999999999"/>
    <n v="233.72489999999999"/>
    <n v="235.0917"/>
    <n v="46214"/>
    <n v="0"/>
    <n v="2.9239999999999999"/>
  </r>
  <r>
    <n v="2303"/>
    <x v="0"/>
    <d v="2018-01-26T00:00:00"/>
    <x v="4"/>
    <x v="0"/>
    <n v="13.4566"/>
    <n v="13.502700000000001"/>
    <n v="13.2262"/>
    <n v="13.4566"/>
    <n v="75870"/>
    <n v="0.68730000000000002"/>
    <n v="2.0905999999999998"/>
  </r>
  <r>
    <n v="2330"/>
    <x v="1"/>
    <d v="2018-01-26T00:00:00"/>
    <x v="4"/>
    <x v="0"/>
    <n v="233.72489999999999"/>
    <n v="234.6361"/>
    <n v="230.99119999999999"/>
    <n v="232.358"/>
    <n v="43514"/>
    <n v="-1.1696"/>
    <n v="1.5779000000000001"/>
  </r>
  <r>
    <n v="2303"/>
    <x v="0"/>
    <d v="2018-01-29T00:00:00"/>
    <x v="0"/>
    <x v="0"/>
    <n v="13.594900000000001"/>
    <n v="13.686999999999999"/>
    <n v="13.3184"/>
    <n v="13.410500000000001"/>
    <n v="60472"/>
    <n v="-0.34310000000000002"/>
    <n v="2.7682000000000002"/>
  </r>
  <r>
    <n v="2330"/>
    <x v="1"/>
    <d v="2018-01-29T00:00:00"/>
    <x v="0"/>
    <x v="0"/>
    <n v="236.00290000000001"/>
    <n v="238.2809"/>
    <n v="232.358"/>
    <n v="235.54730000000001"/>
    <n v="31306"/>
    <n v="1.3632"/>
    <n v="2.5489999999999999"/>
  </r>
  <r>
    <n v="2303"/>
    <x v="0"/>
    <d v="2018-01-30T00:00:00"/>
    <x v="1"/>
    <x v="0"/>
    <n v="13.410500000000001"/>
    <n v="13.502700000000001"/>
    <n v="13.2723"/>
    <n v="13.3184"/>
    <n v="33310"/>
    <n v="-0.68969999999999998"/>
    <n v="1.7361"/>
  </r>
  <r>
    <n v="2330"/>
    <x v="1"/>
    <d v="2018-01-30T00:00:00"/>
    <x v="1"/>
    <x v="0"/>
    <n v="233.26920000000001"/>
    <n v="234.6361"/>
    <n v="230.08"/>
    <n v="230.53559999999999"/>
    <n v="37410"/>
    <n v="-2.1505999999999998"/>
    <n v="1.9802"/>
  </r>
  <r>
    <n v="2303"/>
    <x v="0"/>
    <d v="2018-01-31T00:00:00"/>
    <x v="2"/>
    <x v="0"/>
    <n v="13.2723"/>
    <n v="13.2723"/>
    <n v="13.087899999999999"/>
    <n v="13.134"/>
    <n v="75685"/>
    <n v="-1.3937999999999999"/>
    <n v="1.4085000000000001"/>
  </r>
  <r>
    <n v="2330"/>
    <x v="1"/>
    <d v="2018-01-31T00:00:00"/>
    <x v="2"/>
    <x v="0"/>
    <n v="230.53559999999999"/>
    <n v="234.6361"/>
    <n v="229.62440000000001"/>
    <n v="232.358"/>
    <n v="45807"/>
    <n v="0.78739999999999999"/>
    <n v="2.1825000000000001"/>
  </r>
  <r>
    <n v="2303"/>
    <x v="0"/>
    <d v="2018-02-01T00:00:00"/>
    <x v="3"/>
    <x v="1"/>
    <n v="13.134"/>
    <n v="13.410500000000001"/>
    <n v="13.134"/>
    <n v="13.2723"/>
    <n v="37161"/>
    <n v="1.0470999999999999"/>
    <n v="2.1053000000000002"/>
  </r>
  <r>
    <n v="2330"/>
    <x v="1"/>
    <d v="2018-02-01T00:00:00"/>
    <x v="3"/>
    <x v="1"/>
    <n v="234.6361"/>
    <n v="237.8253"/>
    <n v="234.18049999999999"/>
    <n v="236.45849999999999"/>
    <n v="30900"/>
    <n v="1.7493000000000001"/>
    <n v="1.5564"/>
  </r>
  <r>
    <n v="2303"/>
    <x v="0"/>
    <d v="2018-02-02T00:00:00"/>
    <x v="4"/>
    <x v="1"/>
    <n v="13.2262"/>
    <n v="13.4566"/>
    <n v="13.180099999999999"/>
    <n v="13.410500000000001"/>
    <n v="54740"/>
    <n v="1.0363"/>
    <n v="2.0979000000000001"/>
  </r>
  <r>
    <n v="2330"/>
    <x v="1"/>
    <d v="2018-02-02T00:00:00"/>
    <x v="4"/>
    <x v="1"/>
    <n v="236.00290000000001"/>
    <n v="236.91409999999999"/>
    <n v="232.358"/>
    <n v="236.45849999999999"/>
    <n v="25707"/>
    <n v="0"/>
    <n v="1.9608000000000001"/>
  </r>
  <r>
    <n v="2303"/>
    <x v="0"/>
    <d v="2018-02-05T00:00:00"/>
    <x v="0"/>
    <x v="1"/>
    <n v="13.087899999999999"/>
    <n v="13.3644"/>
    <n v="13.087899999999999"/>
    <n v="13.2723"/>
    <n v="37215"/>
    <n v="-1.0363"/>
    <n v="2.1126999999999998"/>
  </r>
  <r>
    <n v="2330"/>
    <x v="1"/>
    <d v="2018-02-05T00:00:00"/>
    <x v="0"/>
    <x v="1"/>
    <n v="228.7132"/>
    <n v="231.9024"/>
    <n v="228.2576"/>
    <n v="230.53559999999999"/>
    <n v="46554"/>
    <n v="-2.5367000000000002"/>
    <n v="1.5968"/>
  </r>
  <r>
    <n v="2303"/>
    <x v="0"/>
    <d v="2018-02-06T00:00:00"/>
    <x v="1"/>
    <x v="1"/>
    <n v="12.995799999999999"/>
    <n v="13.087899999999999"/>
    <n v="12.6732"/>
    <n v="12.8575"/>
    <n v="110514"/>
    <n v="-3.1749000000000001"/>
    <n v="3.2726999999999999"/>
  </r>
  <r>
    <n v="2330"/>
    <x v="1"/>
    <d v="2018-02-06T00:00:00"/>
    <x v="1"/>
    <x v="1"/>
    <n v="220.96789999999999"/>
    <n v="221.87909999999999"/>
    <n v="213.2227"/>
    <n v="217.77869999999999"/>
    <n v="104448"/>
    <n v="-5.6925999999999997"/>
    <n v="4.0598000000000001"/>
  </r>
  <r>
    <n v="2303"/>
    <x v="0"/>
    <d v="2018-02-07T00:00:00"/>
    <x v="2"/>
    <x v="1"/>
    <n v="13.0419"/>
    <n v="13.180099999999999"/>
    <n v="12.995799999999999"/>
    <n v="13.087899999999999"/>
    <n v="54288"/>
    <n v="1.7762"/>
    <n v="1.4184000000000001"/>
  </r>
  <r>
    <n v="2330"/>
    <x v="1"/>
    <d v="2018-02-07T00:00:00"/>
    <x v="2"/>
    <x v="1"/>
    <n v="223.24600000000001"/>
    <n v="223.70160000000001"/>
    <n v="218.23429999999999"/>
    <n v="218.68989999999999"/>
    <n v="82299"/>
    <n v="0.41749999999999998"/>
    <n v="2.5051999999999999"/>
  </r>
  <r>
    <n v="2303"/>
    <x v="0"/>
    <d v="2018-02-08T00:00:00"/>
    <x v="3"/>
    <x v="1"/>
    <n v="12.995799999999999"/>
    <n v="13.134"/>
    <n v="12.995799999999999"/>
    <n v="13.0419"/>
    <n v="36045"/>
    <n v="-0.35270000000000001"/>
    <n v="1.0638000000000001"/>
  </r>
  <r>
    <n v="2330"/>
    <x v="1"/>
    <d v="2018-02-08T00:00:00"/>
    <x v="3"/>
    <x v="1"/>
    <n v="218.23429999999999"/>
    <n v="220.51230000000001"/>
    <n v="216.86750000000001"/>
    <n v="217.32310000000001"/>
    <n v="31192"/>
    <n v="-0.627"/>
    <n v="1.6807000000000001"/>
  </r>
  <r>
    <n v="2303"/>
    <x v="0"/>
    <d v="2018-02-09T00:00:00"/>
    <x v="4"/>
    <x v="1"/>
    <n v="12.8575"/>
    <n v="13.087899999999999"/>
    <n v="12.6732"/>
    <n v="12.9497"/>
    <n v="82496"/>
    <n v="-0.70920000000000005"/>
    <n v="3.2726999999999999"/>
  </r>
  <r>
    <n v="2330"/>
    <x v="1"/>
    <d v="2018-02-09T00:00:00"/>
    <x v="4"/>
    <x v="1"/>
    <n v="209.5778"/>
    <n v="212.3115"/>
    <n v="208.21100000000001"/>
    <n v="211.85589999999999"/>
    <n v="65939"/>
    <n v="-2.5478999999999998"/>
    <n v="1.9694"/>
  </r>
  <r>
    <n v="2303"/>
    <x v="0"/>
    <d v="2018-02-12T00:00:00"/>
    <x v="0"/>
    <x v="1"/>
    <n v="12.9497"/>
    <n v="13.0419"/>
    <n v="12.7654"/>
    <n v="12.7654"/>
    <n v="50923"/>
    <n v="-1.4337"/>
    <n v="2.1661000000000001"/>
  </r>
  <r>
    <n v="2330"/>
    <x v="1"/>
    <d v="2018-02-12T00:00:00"/>
    <x v="0"/>
    <x v="1"/>
    <n v="214.58949999999999"/>
    <n v="216.4119"/>
    <n v="214.13390000000001"/>
    <n v="215.50069999999999"/>
    <n v="42917"/>
    <n v="1.7058"/>
    <n v="1.0638000000000001"/>
  </r>
  <r>
    <n v="2303"/>
    <x v="0"/>
    <d v="2018-02-21T00:00:00"/>
    <x v="2"/>
    <x v="1"/>
    <n v="12.9497"/>
    <n v="13.0419"/>
    <n v="12.8575"/>
    <n v="12.995799999999999"/>
    <n v="117876"/>
    <n v="1.7889999999999999"/>
    <n v="1.4337"/>
  </r>
  <r>
    <n v="2330"/>
    <x v="1"/>
    <d v="2018-02-21T00:00:00"/>
    <x v="2"/>
    <x v="1"/>
    <n v="222.79040000000001"/>
    <n v="222.79040000000001"/>
    <n v="220.51230000000001"/>
    <n v="220.96789999999999"/>
    <n v="76396"/>
    <n v="2.5053999999999998"/>
    <n v="1.0330999999999999"/>
  </r>
  <r>
    <n v="2303"/>
    <x v="0"/>
    <d v="2018-02-22T00:00:00"/>
    <x v="3"/>
    <x v="1"/>
    <n v="12.903600000000001"/>
    <n v="12.9497"/>
    <n v="12.811400000000001"/>
    <n v="12.8575"/>
    <n v="190247"/>
    <n v="-1.0694999999999999"/>
    <n v="1.0790999999999999"/>
  </r>
  <r>
    <n v="2330"/>
    <x v="1"/>
    <d v="2018-02-22T00:00:00"/>
    <x v="3"/>
    <x v="1"/>
    <n v="222.3348"/>
    <n v="222.3348"/>
    <n v="217.77869999999999"/>
    <n v="218.23429999999999"/>
    <n v="45492"/>
    <n v="-1.2447999999999999"/>
    <n v="2.0920999999999998"/>
  </r>
  <r>
    <n v="2303"/>
    <x v="0"/>
    <d v="2018-02-23T00:00:00"/>
    <x v="4"/>
    <x v="1"/>
    <n v="12.903600000000001"/>
    <n v="13.0419"/>
    <n v="12.903600000000001"/>
    <n v="13.0419"/>
    <n v="26398"/>
    <n v="1.4235"/>
    <n v="1.0713999999999999"/>
  </r>
  <r>
    <n v="2330"/>
    <x v="1"/>
    <d v="2018-02-23T00:00:00"/>
    <x v="4"/>
    <x v="1"/>
    <n v="219.6011"/>
    <n v="223.24600000000001"/>
    <n v="219.6011"/>
    <n v="223.24600000000001"/>
    <n v="26985"/>
    <n v="2.2705000000000002"/>
    <n v="1.6597999999999999"/>
  </r>
  <r>
    <n v="2303"/>
    <x v="0"/>
    <d v="2018-02-26T00:00:00"/>
    <x v="0"/>
    <x v="1"/>
    <n v="13.087899999999999"/>
    <n v="13.134"/>
    <n v="12.995799999999999"/>
    <n v="12.995799999999999"/>
    <n v="19235"/>
    <n v="-0.35399999999999998"/>
    <n v="1.0638000000000001"/>
  </r>
  <r>
    <n v="2330"/>
    <x v="1"/>
    <d v="2018-02-26T00:00:00"/>
    <x v="0"/>
    <x v="1"/>
    <n v="225.0684"/>
    <n v="225.524"/>
    <n v="223.24600000000001"/>
    <n v="224.61279999999999"/>
    <n v="36165"/>
    <n v="0.61040000000000005"/>
    <n v="1.0204"/>
  </r>
  <r>
    <n v="2303"/>
    <x v="0"/>
    <d v="2018-02-27T00:00:00"/>
    <x v="1"/>
    <x v="1"/>
    <n v="13.0419"/>
    <n v="13.134"/>
    <n v="13.0419"/>
    <n v="13.0419"/>
    <n v="25142"/>
    <n v="0.35399999999999998"/>
    <n v="0.70669999999999999"/>
  </r>
  <r>
    <n v="2330"/>
    <x v="1"/>
    <d v="2018-02-27T00:00:00"/>
    <x v="1"/>
    <x v="1"/>
    <n v="228.2576"/>
    <n v="228.2576"/>
    <n v="224.15719999999999"/>
    <n v="224.15719999999999"/>
    <n v="44699"/>
    <n v="-0.20300000000000001"/>
    <n v="1.8292999999999999"/>
  </r>
  <r>
    <n v="2303"/>
    <x v="0"/>
    <d v="2018-03-01T00:00:00"/>
    <x v="3"/>
    <x v="2"/>
    <n v="12.995799999999999"/>
    <n v="12.995799999999999"/>
    <n v="12.8575"/>
    <n v="12.903600000000001"/>
    <n v="31311"/>
    <n v="-1.0657000000000001"/>
    <n v="1.0752999999999999"/>
  </r>
  <r>
    <n v="2330"/>
    <x v="1"/>
    <d v="2018-03-01T00:00:00"/>
    <x v="3"/>
    <x v="2"/>
    <n v="222.3348"/>
    <n v="223.24600000000001"/>
    <n v="220.51230000000001"/>
    <n v="221.42349999999999"/>
    <n v="43847"/>
    <n v="-1.2270000000000001"/>
    <n v="1.2397"/>
  </r>
  <r>
    <n v="2303"/>
    <x v="0"/>
    <d v="2018-03-02T00:00:00"/>
    <x v="4"/>
    <x v="2"/>
    <n v="12.811400000000001"/>
    <n v="12.903600000000001"/>
    <n v="12.7654"/>
    <n v="12.903600000000001"/>
    <n v="24219"/>
    <n v="0"/>
    <n v="1.083"/>
  </r>
  <r>
    <n v="2330"/>
    <x v="1"/>
    <d v="2018-03-02T00:00:00"/>
    <x v="4"/>
    <x v="2"/>
    <n v="218.68989999999999"/>
    <n v="219.6011"/>
    <n v="217.32310000000001"/>
    <n v="218.68989999999999"/>
    <n v="35289"/>
    <n v="-1.2423"/>
    <n v="1.0482"/>
  </r>
  <r>
    <n v="2303"/>
    <x v="0"/>
    <d v="2018-03-05T00:00:00"/>
    <x v="0"/>
    <x v="2"/>
    <n v="12.903600000000001"/>
    <n v="12.9497"/>
    <n v="12.7654"/>
    <n v="12.811400000000001"/>
    <n v="18923"/>
    <n v="-0.71679999999999999"/>
    <n v="1.444"/>
  </r>
  <r>
    <n v="2330"/>
    <x v="1"/>
    <d v="2018-03-05T00:00:00"/>
    <x v="0"/>
    <x v="2"/>
    <n v="220.96789999999999"/>
    <n v="221.42349999999999"/>
    <n v="219.1455"/>
    <n v="220.05670000000001"/>
    <n v="27337"/>
    <n v="0.62309999999999999"/>
    <n v="1.0395000000000001"/>
  </r>
  <r>
    <n v="2303"/>
    <x v="0"/>
    <d v="2018-03-06T00:00:00"/>
    <x v="1"/>
    <x v="2"/>
    <n v="12.903600000000001"/>
    <n v="13.087899999999999"/>
    <n v="12.8575"/>
    <n v="13.0419"/>
    <n v="38196"/>
    <n v="1.7826"/>
    <n v="1.7921"/>
  </r>
  <r>
    <n v="2330"/>
    <x v="1"/>
    <d v="2018-03-06T00:00:00"/>
    <x v="1"/>
    <x v="2"/>
    <n v="223.70160000000001"/>
    <n v="227.80199999999999"/>
    <n v="223.70160000000001"/>
    <n v="227.80199999999999"/>
    <n v="36945"/>
    <n v="3.4590999999999998"/>
    <n v="1.833"/>
  </r>
  <r>
    <n v="2303"/>
    <x v="0"/>
    <d v="2018-03-07T00:00:00"/>
    <x v="2"/>
    <x v="2"/>
    <n v="12.995799999999999"/>
    <n v="13.087899999999999"/>
    <n v="12.903600000000001"/>
    <n v="12.9497"/>
    <n v="23556"/>
    <n v="-0.70920000000000005"/>
    <n v="1.4286000000000001"/>
  </r>
  <r>
    <n v="2330"/>
    <x v="1"/>
    <d v="2018-03-07T00:00:00"/>
    <x v="2"/>
    <x v="2"/>
    <n v="225.9796"/>
    <n v="226.43520000000001"/>
    <n v="224.15719999999999"/>
    <n v="225.0684"/>
    <n v="30391"/>
    <n v="-1.2073"/>
    <n v="1.0163"/>
  </r>
  <r>
    <n v="2303"/>
    <x v="0"/>
    <d v="2018-03-08T00:00:00"/>
    <x v="3"/>
    <x v="2"/>
    <n v="13.641"/>
    <n v="14.24"/>
    <n v="13.594900000000001"/>
    <n v="14.24"/>
    <n v="192883"/>
    <n v="9.4986999999999995"/>
    <n v="4.7458"/>
  </r>
  <r>
    <n v="2330"/>
    <x v="1"/>
    <d v="2018-03-08T00:00:00"/>
    <x v="3"/>
    <x v="2"/>
    <n v="227.34639999999999"/>
    <n v="229.1688"/>
    <n v="226.89080000000001"/>
    <n v="227.34639999999999"/>
    <n v="20645"/>
    <n v="1.0071000000000001"/>
    <n v="1.004"/>
  </r>
  <r>
    <n v="2303"/>
    <x v="0"/>
    <d v="2018-03-09T00:00:00"/>
    <x v="4"/>
    <x v="2"/>
    <n v="14.378299999999999"/>
    <n v="14.470499999999999"/>
    <n v="13.8714"/>
    <n v="13.9175"/>
    <n v="171989"/>
    <n v="-2.2913999999999999"/>
    <n v="4.3189000000000002"/>
  </r>
  <r>
    <n v="2330"/>
    <x v="1"/>
    <d v="2018-03-09T00:00:00"/>
    <x v="4"/>
    <x v="2"/>
    <n v="227.80199999999999"/>
    <n v="228.7132"/>
    <n v="226.43520000000001"/>
    <n v="228.2576"/>
    <n v="22887"/>
    <n v="0.4"/>
    <n v="1.006"/>
  </r>
  <r>
    <n v="2303"/>
    <x v="0"/>
    <d v="2018-03-12T00:00:00"/>
    <x v="0"/>
    <x v="2"/>
    <n v="14.101800000000001"/>
    <n v="14.24"/>
    <n v="14.009600000000001"/>
    <n v="14.0557"/>
    <n v="53982"/>
    <n v="0.98850000000000005"/>
    <n v="1.6447000000000001"/>
  </r>
  <r>
    <n v="2330"/>
    <x v="1"/>
    <d v="2018-03-12T00:00:00"/>
    <x v="0"/>
    <x v="2"/>
    <n v="229.62440000000001"/>
    <n v="232.358"/>
    <n v="229.1688"/>
    <n v="231.4468"/>
    <n v="25100"/>
    <n v="1.3875"/>
    <n v="1.3916999999999999"/>
  </r>
  <r>
    <n v="2303"/>
    <x v="0"/>
    <d v="2018-03-13T00:00:00"/>
    <x v="1"/>
    <x v="2"/>
    <n v="14.009600000000001"/>
    <n v="14.0557"/>
    <n v="13.9175"/>
    <n v="14.0557"/>
    <n v="41466"/>
    <n v="0"/>
    <n v="0.99339999999999995"/>
  </r>
  <r>
    <n v="2330"/>
    <x v="1"/>
    <d v="2018-03-13T00:00:00"/>
    <x v="1"/>
    <x v="2"/>
    <n v="232.81360000000001"/>
    <n v="236.00290000000001"/>
    <n v="232.358"/>
    <n v="236.00290000000001"/>
    <n v="34264"/>
    <n v="1.9494"/>
    <n v="1.5686"/>
  </r>
  <r>
    <n v="2303"/>
    <x v="0"/>
    <d v="2018-03-14T00:00:00"/>
    <x v="2"/>
    <x v="2"/>
    <n v="14.009600000000001"/>
    <n v="14.0557"/>
    <n v="13.8714"/>
    <n v="13.9175"/>
    <n v="30406"/>
    <n v="-0.98850000000000005"/>
    <n v="1.3289"/>
  </r>
  <r>
    <n v="2330"/>
    <x v="1"/>
    <d v="2018-03-14T00:00:00"/>
    <x v="2"/>
    <x v="2"/>
    <n v="233.72489999999999"/>
    <n v="234.6361"/>
    <n v="232.81360000000001"/>
    <n v="234.18049999999999"/>
    <n v="24254"/>
    <n v="-0.7752"/>
    <n v="0.78280000000000005"/>
  </r>
  <r>
    <n v="2303"/>
    <x v="0"/>
    <d v="2018-03-15T00:00:00"/>
    <x v="3"/>
    <x v="2"/>
    <n v="13.8714"/>
    <n v="14.009600000000001"/>
    <n v="13.8714"/>
    <n v="13.9175"/>
    <n v="26807"/>
    <n v="0"/>
    <n v="0.99670000000000003"/>
  </r>
  <r>
    <n v="2330"/>
    <x v="1"/>
    <d v="2018-03-15T00:00:00"/>
    <x v="3"/>
    <x v="2"/>
    <n v="235.0917"/>
    <n v="235.0917"/>
    <n v="232.358"/>
    <n v="232.358"/>
    <n v="19396"/>
    <n v="-0.78129999999999999"/>
    <n v="1.1765000000000001"/>
  </r>
  <r>
    <n v="2303"/>
    <x v="0"/>
    <d v="2018-03-16T00:00:00"/>
    <x v="4"/>
    <x v="2"/>
    <n v="13.8714"/>
    <n v="14.009600000000001"/>
    <n v="13.8253"/>
    <n v="14.009600000000001"/>
    <n v="40546"/>
    <n v="0.66010000000000002"/>
    <n v="1.3332999999999999"/>
  </r>
  <r>
    <n v="2330"/>
    <x v="1"/>
    <d v="2018-03-16T00:00:00"/>
    <x v="4"/>
    <x v="2"/>
    <n v="230.53559999999999"/>
    <n v="233.26920000000001"/>
    <n v="227.34639999999999"/>
    <n v="232.358"/>
    <n v="62989"/>
    <n v="0"/>
    <n v="2.6052"/>
  </r>
  <r>
    <n v="2303"/>
    <x v="0"/>
    <d v="2018-03-19T00:00:00"/>
    <x v="0"/>
    <x v="2"/>
    <n v="13.9635"/>
    <n v="14.1479"/>
    <n v="13.9175"/>
    <n v="14.0557"/>
    <n v="26548"/>
    <n v="0.32840000000000003"/>
    <n v="1.6556"/>
  </r>
  <r>
    <n v="2330"/>
    <x v="1"/>
    <d v="2018-03-19T00:00:00"/>
    <x v="0"/>
    <x v="2"/>
    <n v="230.08"/>
    <n v="232.81360000000001"/>
    <n v="228.7132"/>
    <n v="232.358"/>
    <n v="22440"/>
    <n v="0"/>
    <n v="1.7927999999999999"/>
  </r>
  <r>
    <n v="2303"/>
    <x v="0"/>
    <d v="2018-03-20T00:00:00"/>
    <x v="1"/>
    <x v="2"/>
    <n v="14.009600000000001"/>
    <n v="14.009600000000001"/>
    <n v="13.9175"/>
    <n v="14.009600000000001"/>
    <n v="22326"/>
    <n v="-0.32840000000000003"/>
    <n v="0.6623"/>
  </r>
  <r>
    <n v="2330"/>
    <x v="1"/>
    <d v="2018-03-20T00:00:00"/>
    <x v="1"/>
    <x v="2"/>
    <n v="230.53559999999999"/>
    <n v="231.4468"/>
    <n v="229.1688"/>
    <n v="230.53559999999999"/>
    <n v="22335"/>
    <n v="-0.78739999999999999"/>
    <n v="0.99399999999999999"/>
  </r>
  <r>
    <n v="2303"/>
    <x v="0"/>
    <d v="2018-03-21T00:00:00"/>
    <x v="2"/>
    <x v="2"/>
    <n v="14.009600000000001"/>
    <n v="14.0557"/>
    <n v="13.9175"/>
    <n v="14.009600000000001"/>
    <n v="30837"/>
    <n v="0"/>
    <n v="0.99339999999999995"/>
  </r>
  <r>
    <n v="2330"/>
    <x v="1"/>
    <d v="2018-03-21T00:00:00"/>
    <x v="2"/>
    <x v="2"/>
    <n v="232.358"/>
    <n v="232.358"/>
    <n v="228.7132"/>
    <n v="230.08"/>
    <n v="32977"/>
    <n v="-0.1978"/>
    <n v="1.5935999999999999"/>
  </r>
  <r>
    <n v="2303"/>
    <x v="0"/>
    <d v="2018-03-22T00:00:00"/>
    <x v="3"/>
    <x v="2"/>
    <n v="14.101800000000001"/>
    <n v="14.1479"/>
    <n v="13.9635"/>
    <n v="14.0557"/>
    <n v="30331"/>
    <n v="0.32840000000000003"/>
    <n v="1.3201000000000001"/>
  </r>
  <r>
    <n v="2330"/>
    <x v="1"/>
    <d v="2018-03-22T00:00:00"/>
    <x v="3"/>
    <x v="2"/>
    <n v="231.9024"/>
    <n v="231.9024"/>
    <n v="227.34639999999999"/>
    <n v="229.1688"/>
    <n v="27000"/>
    <n v="-0.39679999999999999"/>
    <n v="2.004"/>
  </r>
  <r>
    <n v="2303"/>
    <x v="0"/>
    <d v="2018-03-23T00:00:00"/>
    <x v="4"/>
    <x v="2"/>
    <n v="13.8714"/>
    <n v="14.009600000000001"/>
    <n v="13.8253"/>
    <n v="14.009600000000001"/>
    <n v="50157"/>
    <n v="-0.32840000000000003"/>
    <n v="1.3332999999999999"/>
  </r>
  <r>
    <n v="2330"/>
    <x v="1"/>
    <d v="2018-03-23T00:00:00"/>
    <x v="4"/>
    <x v="2"/>
    <n v="223.24600000000001"/>
    <n v="225.0684"/>
    <n v="222.3348"/>
    <n v="223.24600000000001"/>
    <n v="52974"/>
    <n v="-2.6185"/>
    <n v="1.2295"/>
  </r>
  <r>
    <n v="2303"/>
    <x v="0"/>
    <d v="2018-03-26T00:00:00"/>
    <x v="0"/>
    <x v="2"/>
    <n v="13.8714"/>
    <n v="14.009600000000001"/>
    <n v="13.8714"/>
    <n v="13.9635"/>
    <n v="34810"/>
    <n v="-0.32950000000000002"/>
    <n v="0.99670000000000003"/>
  </r>
  <r>
    <n v="2330"/>
    <x v="1"/>
    <d v="2018-03-26T00:00:00"/>
    <x v="0"/>
    <x v="2"/>
    <n v="220.05670000000001"/>
    <n v="222.79040000000001"/>
    <n v="220.05670000000001"/>
    <n v="221.87909999999999"/>
    <n v="39487"/>
    <n v="-0.61409999999999998"/>
    <n v="1.2422"/>
  </r>
  <r>
    <n v="2303"/>
    <x v="0"/>
    <d v="2018-03-27T00:00:00"/>
    <x v="1"/>
    <x v="2"/>
    <n v="14.009600000000001"/>
    <n v="14.4244"/>
    <n v="13.9635"/>
    <n v="14.3322"/>
    <n v="60879"/>
    <n v="2.6059999999999999"/>
    <n v="3.3003"/>
  </r>
  <r>
    <n v="2330"/>
    <x v="1"/>
    <d v="2018-03-27T00:00:00"/>
    <x v="1"/>
    <x v="2"/>
    <n v="225.9796"/>
    <n v="228.7132"/>
    <n v="225.0684"/>
    <n v="228.7132"/>
    <n v="31100"/>
    <n v="3.0335999999999999"/>
    <n v="1.6194"/>
  </r>
  <r>
    <n v="2303"/>
    <x v="0"/>
    <d v="2018-03-28T00:00:00"/>
    <x v="2"/>
    <x v="2"/>
    <n v="14.1479"/>
    <n v="14.286099999999999"/>
    <n v="14.101800000000001"/>
    <n v="14.194000000000001"/>
    <n v="19099"/>
    <n v="-0.96930000000000005"/>
    <n v="1.3071999999999999"/>
  </r>
  <r>
    <n v="2330"/>
    <x v="1"/>
    <d v="2018-03-28T00:00:00"/>
    <x v="2"/>
    <x v="2"/>
    <n v="225.524"/>
    <n v="225.9796"/>
    <n v="222.3348"/>
    <n v="223.24600000000001"/>
    <n v="29924"/>
    <n v="-2.4195000000000002"/>
    <n v="1.6393"/>
  </r>
  <r>
    <n v="2303"/>
    <x v="0"/>
    <d v="2018-03-29T00:00:00"/>
    <x v="3"/>
    <x v="2"/>
    <n v="14.1479"/>
    <n v="14.24"/>
    <n v="14.009600000000001"/>
    <n v="14.101800000000001"/>
    <n v="37000"/>
    <n v="-0.65149999999999997"/>
    <n v="1.6447000000000001"/>
  </r>
  <r>
    <n v="2330"/>
    <x v="1"/>
    <d v="2018-03-29T00:00:00"/>
    <x v="3"/>
    <x v="2"/>
    <n v="221.42349999999999"/>
    <n v="225.0684"/>
    <n v="220.96789999999999"/>
    <n v="222.3348"/>
    <n v="36427"/>
    <n v="-0.40899999999999997"/>
    <n v="1.8556999999999999"/>
  </r>
  <r>
    <n v="2303"/>
    <x v="0"/>
    <d v="2018-03-30T00:00:00"/>
    <x v="4"/>
    <x v="2"/>
    <n v="14.101800000000001"/>
    <n v="14.24"/>
    <n v="14.009600000000001"/>
    <n v="14.194000000000001"/>
    <n v="29931"/>
    <n v="0.65149999999999997"/>
    <n v="1.6447000000000001"/>
  </r>
  <r>
    <n v="2330"/>
    <x v="1"/>
    <d v="2018-03-30T00:00:00"/>
    <x v="4"/>
    <x v="2"/>
    <n v="225.524"/>
    <n v="227.34639999999999"/>
    <n v="224.15719999999999"/>
    <n v="224.15719999999999"/>
    <n v="16996"/>
    <n v="0.81630000000000003"/>
    <n v="1.4228000000000001"/>
  </r>
  <r>
    <n v="2303"/>
    <x v="0"/>
    <d v="2018-03-31T00:00:00"/>
    <x v="5"/>
    <x v="2"/>
    <n v="14.286099999999999"/>
    <n v="14.4244"/>
    <n v="14.194000000000001"/>
    <n v="14.286099999999999"/>
    <n v="17906"/>
    <n v="0.64729999999999999"/>
    <n v="1.6234"/>
  </r>
  <r>
    <n v="2330"/>
    <x v="1"/>
    <d v="2018-03-31T00:00:00"/>
    <x v="5"/>
    <x v="2"/>
    <n v="225.524"/>
    <n v="226.89080000000001"/>
    <n v="224.61279999999999"/>
    <n v="225.524"/>
    <n v="3603"/>
    <n v="0.6079"/>
    <n v="1.0142"/>
  </r>
  <r>
    <n v="2303"/>
    <x v="0"/>
    <d v="2018-04-02T00:00:00"/>
    <x v="0"/>
    <x v="3"/>
    <n v="14.286099999999999"/>
    <n v="14.5166"/>
    <n v="14.194000000000001"/>
    <n v="14.24"/>
    <n v="28643"/>
    <n v="-0.3231"/>
    <n v="2.2726999999999999"/>
  </r>
  <r>
    <n v="2330"/>
    <x v="1"/>
    <d v="2018-04-02T00:00:00"/>
    <x v="0"/>
    <x v="3"/>
    <n v="226.43520000000001"/>
    <n v="226.89080000000001"/>
    <n v="223.24600000000001"/>
    <n v="224.61279999999999"/>
    <n v="19029"/>
    <n v="-0.40489999999999998"/>
    <n v="1.6327"/>
  </r>
  <r>
    <n v="2303"/>
    <x v="0"/>
    <d v="2018-04-03T00:00:00"/>
    <x v="1"/>
    <x v="3"/>
    <n v="14.1479"/>
    <n v="14.24"/>
    <n v="14.101800000000001"/>
    <n v="14.194000000000001"/>
    <n v="27692"/>
    <n v="-0.3241"/>
    <n v="0.98040000000000005"/>
  </r>
  <r>
    <n v="2330"/>
    <x v="1"/>
    <d v="2018-04-03T00:00:00"/>
    <x v="1"/>
    <x v="3"/>
    <n v="221.42349999999999"/>
    <n v="222.79040000000001"/>
    <n v="220.51230000000001"/>
    <n v="222.3348"/>
    <n v="35813"/>
    <n v="-1.0194000000000001"/>
    <n v="1.0330999999999999"/>
  </r>
  <r>
    <n v="2303"/>
    <x v="0"/>
    <d v="2018-04-09T00:00:00"/>
    <x v="0"/>
    <x v="3"/>
    <n v="14.101800000000001"/>
    <n v="14.194000000000001"/>
    <n v="14.009600000000001"/>
    <n v="14.0557"/>
    <n v="44828"/>
    <n v="-0.9788"/>
    <n v="1.3158000000000001"/>
  </r>
  <r>
    <n v="2330"/>
    <x v="1"/>
    <d v="2018-04-09T00:00:00"/>
    <x v="0"/>
    <x v="3"/>
    <n v="225.9796"/>
    <n v="225.9796"/>
    <n v="221.87909999999999"/>
    <n v="223.24600000000001"/>
    <n v="35465"/>
    <n v="0.40899999999999997"/>
    <n v="1.8480000000000001"/>
  </r>
  <r>
    <n v="2303"/>
    <x v="0"/>
    <d v="2018-04-10T00:00:00"/>
    <x v="1"/>
    <x v="3"/>
    <n v="14.101800000000001"/>
    <n v="14.194000000000001"/>
    <n v="14.009600000000001"/>
    <n v="14.101800000000001"/>
    <n v="43687"/>
    <n v="0.32729999999999998"/>
    <n v="1.3158000000000001"/>
  </r>
  <r>
    <n v="2330"/>
    <x v="1"/>
    <d v="2018-04-10T00:00:00"/>
    <x v="1"/>
    <x v="3"/>
    <n v="222.79040000000001"/>
    <n v="226.89080000000001"/>
    <n v="221.87909999999999"/>
    <n v="223.70160000000001"/>
    <n v="25268"/>
    <n v="0.2039"/>
    <n v="2.2587000000000002"/>
  </r>
  <r>
    <n v="2303"/>
    <x v="0"/>
    <d v="2018-04-11T00:00:00"/>
    <x v="2"/>
    <x v="3"/>
    <n v="14.1479"/>
    <n v="14.378299999999999"/>
    <n v="14.101800000000001"/>
    <n v="14.194000000000001"/>
    <n v="29420"/>
    <n v="0.65149999999999997"/>
    <n v="1.9608000000000001"/>
  </r>
  <r>
    <n v="2330"/>
    <x v="1"/>
    <d v="2018-04-11T00:00:00"/>
    <x v="2"/>
    <x v="3"/>
    <n v="224.61279999999999"/>
    <n v="226.43520000000001"/>
    <n v="224.61279999999999"/>
    <n v="225.9796"/>
    <n v="21777"/>
    <n v="1.0132000000000001"/>
    <n v="0.81140000000000001"/>
  </r>
  <r>
    <n v="2303"/>
    <x v="0"/>
    <d v="2018-04-12T00:00:00"/>
    <x v="3"/>
    <x v="3"/>
    <n v="14.194000000000001"/>
    <n v="14.286099999999999"/>
    <n v="14.1479"/>
    <n v="14.24"/>
    <n v="24395"/>
    <n v="0.3241"/>
    <n v="0.97719999999999996"/>
  </r>
  <r>
    <n v="2330"/>
    <x v="1"/>
    <d v="2018-04-12T00:00:00"/>
    <x v="3"/>
    <x v="3"/>
    <n v="226.43520000000001"/>
    <n v="226.43520000000001"/>
    <n v="222.3348"/>
    <n v="223.24600000000001"/>
    <n v="20476"/>
    <n v="-1.2171000000000001"/>
    <n v="1.8443000000000001"/>
  </r>
  <r>
    <n v="2303"/>
    <x v="0"/>
    <d v="2018-04-13T00:00:00"/>
    <x v="4"/>
    <x v="3"/>
    <n v="14.194000000000001"/>
    <n v="14.286099999999999"/>
    <n v="14.194000000000001"/>
    <n v="14.194000000000001"/>
    <n v="19916"/>
    <n v="-0.3241"/>
    <n v="0.64939999999999998"/>
  </r>
  <r>
    <n v="2330"/>
    <x v="1"/>
    <d v="2018-04-13T00:00:00"/>
    <x v="4"/>
    <x v="3"/>
    <n v="224.15719999999999"/>
    <n v="224.15719999999999"/>
    <n v="222.3348"/>
    <n v="222.79040000000001"/>
    <n v="19946"/>
    <n v="-0.20430000000000001"/>
    <n v="0.81969999999999998"/>
  </r>
  <r>
    <n v="2303"/>
    <x v="0"/>
    <d v="2018-04-16T00:00:00"/>
    <x v="0"/>
    <x v="3"/>
    <n v="14.194000000000001"/>
    <n v="14.24"/>
    <n v="14.1479"/>
    <n v="14.1479"/>
    <n v="16106"/>
    <n v="-0.32519999999999999"/>
    <n v="0.65149999999999997"/>
  </r>
  <r>
    <n v="2330"/>
    <x v="1"/>
    <d v="2018-04-16T00:00:00"/>
    <x v="0"/>
    <x v="3"/>
    <n v="221.42349999999999"/>
    <n v="222.3348"/>
    <n v="220.51230000000001"/>
    <n v="221.87909999999999"/>
    <n v="21608"/>
    <n v="-0.4098"/>
    <n v="0.82640000000000002"/>
  </r>
  <r>
    <n v="2303"/>
    <x v="0"/>
    <d v="2018-04-17T00:00:00"/>
    <x v="1"/>
    <x v="3"/>
    <n v="14.1479"/>
    <n v="14.286099999999999"/>
    <n v="14.101800000000001"/>
    <n v="14.1479"/>
    <n v="33941"/>
    <n v="0"/>
    <n v="1.3071999999999999"/>
  </r>
  <r>
    <n v="2330"/>
    <x v="1"/>
    <d v="2018-04-17T00:00:00"/>
    <x v="1"/>
    <x v="3"/>
    <n v="221.42349999999999"/>
    <n v="221.87909999999999"/>
    <n v="216.4119"/>
    <n v="216.86750000000001"/>
    <n v="42756"/>
    <n v="-2.2846000000000002"/>
    <n v="2.5263"/>
  </r>
  <r>
    <n v="2303"/>
    <x v="0"/>
    <d v="2018-04-18T00:00:00"/>
    <x v="2"/>
    <x v="3"/>
    <n v="14.24"/>
    <n v="14.378299999999999"/>
    <n v="14.1479"/>
    <n v="14.378299999999999"/>
    <n v="43266"/>
    <n v="1.6154999999999999"/>
    <n v="1.6287"/>
  </r>
  <r>
    <n v="2330"/>
    <x v="1"/>
    <d v="2018-04-18T00:00:00"/>
    <x v="2"/>
    <x v="3"/>
    <n v="218.23429999999999"/>
    <n v="220.05670000000001"/>
    <n v="215.50069999999999"/>
    <n v="216.86750000000001"/>
    <n v="44768"/>
    <n v="0"/>
    <n v="2.1141999999999999"/>
  </r>
  <r>
    <n v="2303"/>
    <x v="0"/>
    <d v="2018-04-19T00:00:00"/>
    <x v="3"/>
    <x v="3"/>
    <n v="14.4244"/>
    <n v="14.747"/>
    <n v="14.378299999999999"/>
    <n v="14.608700000000001"/>
    <n v="57239"/>
    <n v="1.5899000000000001"/>
    <n v="2.5640999999999998"/>
  </r>
  <r>
    <n v="2330"/>
    <x v="1"/>
    <d v="2018-04-19T00:00:00"/>
    <x v="3"/>
    <x v="3"/>
    <n v="220.51230000000001"/>
    <n v="222.79040000000001"/>
    <n v="219.6011"/>
    <n v="222.79040000000001"/>
    <n v="33230"/>
    <n v="2.6945000000000001"/>
    <n v="1.4522999999999999"/>
  </r>
  <r>
    <n v="2303"/>
    <x v="0"/>
    <d v="2018-04-20T00:00:00"/>
    <x v="4"/>
    <x v="3"/>
    <n v="14.5166"/>
    <n v="14.5626"/>
    <n v="14.286099999999999"/>
    <n v="14.378299999999999"/>
    <n v="34122"/>
    <n v="-1.5899000000000001"/>
    <n v="1.9355"/>
  </r>
  <r>
    <n v="2330"/>
    <x v="1"/>
    <d v="2018-04-20T00:00:00"/>
    <x v="4"/>
    <x v="3"/>
    <n v="207.75540000000001"/>
    <n v="210.94470000000001"/>
    <n v="207.75540000000001"/>
    <n v="208.66659999999999"/>
    <n v="129890"/>
    <n v="-6.5492999999999997"/>
    <n v="1.5350999999999999"/>
  </r>
  <r>
    <n v="2303"/>
    <x v="0"/>
    <d v="2018-04-23T00:00:00"/>
    <x v="0"/>
    <x v="3"/>
    <n v="14.3322"/>
    <n v="14.5626"/>
    <n v="14.286099999999999"/>
    <n v="14.3322"/>
    <n v="20121"/>
    <n v="-0.32100000000000001"/>
    <n v="1.9355"/>
  </r>
  <r>
    <n v="2330"/>
    <x v="1"/>
    <d v="2018-04-23T00:00:00"/>
    <x v="0"/>
    <x v="3"/>
    <n v="206.3886"/>
    <n v="207.2998"/>
    <n v="205.02180000000001"/>
    <n v="206.3886"/>
    <n v="71901"/>
    <n v="-1.0976999999999999"/>
    <n v="1.1111"/>
  </r>
  <r>
    <n v="2303"/>
    <x v="0"/>
    <d v="2018-04-24T00:00:00"/>
    <x v="1"/>
    <x v="3"/>
    <n v="14.3322"/>
    <n v="14.4244"/>
    <n v="14.009600000000001"/>
    <n v="14.1479"/>
    <n v="57837"/>
    <n v="-1.2945"/>
    <n v="2.9605000000000001"/>
  </r>
  <r>
    <n v="2330"/>
    <x v="1"/>
    <d v="2018-04-24T00:00:00"/>
    <x v="1"/>
    <x v="3"/>
    <n v="205.02180000000001"/>
    <n v="207.2998"/>
    <n v="205.02180000000001"/>
    <n v="206.8442"/>
    <n v="45206"/>
    <n v="0.2205"/>
    <n v="1.1111"/>
  </r>
  <r>
    <n v="2303"/>
    <x v="0"/>
    <d v="2018-04-25T00:00:00"/>
    <x v="2"/>
    <x v="3"/>
    <n v="14.101800000000001"/>
    <n v="14.378299999999999"/>
    <n v="14.101800000000001"/>
    <n v="14.286099999999999"/>
    <n v="50347"/>
    <n v="0.97250000000000003"/>
    <n v="1.9608000000000001"/>
  </r>
  <r>
    <n v="2330"/>
    <x v="1"/>
    <d v="2018-04-25T00:00:00"/>
    <x v="2"/>
    <x v="3"/>
    <n v="205.47739999999999"/>
    <n v="205.93299999999999"/>
    <n v="204.11060000000001"/>
    <n v="205.02180000000001"/>
    <n v="48975"/>
    <n v="-0.88500000000000001"/>
    <n v="0.89290000000000003"/>
  </r>
  <r>
    <n v="2303"/>
    <x v="0"/>
    <d v="2018-04-26T00:00:00"/>
    <x v="3"/>
    <x v="3"/>
    <n v="14.286099999999999"/>
    <n v="14.608700000000001"/>
    <n v="14.194000000000001"/>
    <n v="14.470499999999999"/>
    <n v="79246"/>
    <n v="1.2821"/>
    <n v="2.9220999999999999"/>
  </r>
  <r>
    <n v="2330"/>
    <x v="1"/>
    <d v="2018-04-26T00:00:00"/>
    <x v="3"/>
    <x v="3"/>
    <n v="205.02180000000001"/>
    <n v="205.47739999999999"/>
    <n v="201.37700000000001"/>
    <n v="202.28819999999999"/>
    <n v="48176"/>
    <n v="-1.3423"/>
    <n v="2.0362"/>
  </r>
  <r>
    <n v="2303"/>
    <x v="0"/>
    <d v="2018-04-27T00:00:00"/>
    <x v="4"/>
    <x v="3"/>
    <n v="14.470499999999999"/>
    <n v="14.700900000000001"/>
    <n v="14.378299999999999"/>
    <n v="14.470499999999999"/>
    <n v="70981"/>
    <n v="0"/>
    <n v="2.2435999999999998"/>
  </r>
  <r>
    <n v="2330"/>
    <x v="1"/>
    <d v="2018-04-27T00:00:00"/>
    <x v="4"/>
    <x v="3"/>
    <n v="205.02180000000001"/>
    <n v="205.47739999999999"/>
    <n v="201.37700000000001"/>
    <n v="203.655"/>
    <n v="34443"/>
    <n v="0.6734"/>
    <n v="2.0362"/>
  </r>
  <r>
    <n v="2303"/>
    <x v="0"/>
    <d v="2018-04-30T00:00:00"/>
    <x v="0"/>
    <x v="3"/>
    <n v="14.470499999999999"/>
    <n v="14.8391"/>
    <n v="14.470499999999999"/>
    <n v="14.747"/>
    <n v="60872"/>
    <n v="1.8928"/>
    <n v="2.5478000000000001"/>
  </r>
  <r>
    <n v="2330"/>
    <x v="1"/>
    <d v="2018-04-30T00:00:00"/>
    <x v="0"/>
    <x v="3"/>
    <n v="204.56620000000001"/>
    <n v="207.75540000000001"/>
    <n v="202.74379999999999"/>
    <n v="206.8442"/>
    <n v="28500"/>
    <n v="1.5539000000000001"/>
    <n v="2.4719000000000002"/>
  </r>
  <r>
    <n v="2303"/>
    <x v="0"/>
    <d v="2018-05-02T00:00:00"/>
    <x v="2"/>
    <x v="4"/>
    <n v="14.747"/>
    <n v="15.5304"/>
    <n v="14.747"/>
    <n v="14.977399999999999"/>
    <n v="105765"/>
    <n v="1.5504"/>
    <n v="5.3125"/>
  </r>
  <r>
    <n v="2330"/>
    <x v="1"/>
    <d v="2018-05-02T00:00:00"/>
    <x v="2"/>
    <x v="4"/>
    <n v="206.8442"/>
    <n v="207.2998"/>
    <n v="202.74379999999999"/>
    <n v="203.1994"/>
    <n v="38436"/>
    <n v="-1.7778"/>
    <n v="2.2471999999999999"/>
  </r>
  <r>
    <n v="2303"/>
    <x v="0"/>
    <d v="2018-05-03T00:00:00"/>
    <x v="3"/>
    <x v="4"/>
    <n v="14.977399999999999"/>
    <n v="14.977399999999999"/>
    <n v="14.700900000000001"/>
    <n v="14.793100000000001"/>
    <n v="53928"/>
    <n v="-1.2383999999999999"/>
    <n v="1.8809"/>
  </r>
  <r>
    <n v="2330"/>
    <x v="1"/>
    <d v="2018-05-03T00:00:00"/>
    <x v="3"/>
    <x v="4"/>
    <n v="201.37700000000001"/>
    <n v="202.74379999999999"/>
    <n v="200.4658"/>
    <n v="200.92140000000001"/>
    <n v="33507"/>
    <n v="-1.1274"/>
    <n v="1.1364000000000001"/>
  </r>
  <r>
    <n v="2303"/>
    <x v="0"/>
    <d v="2018-05-04T00:00:00"/>
    <x v="4"/>
    <x v="4"/>
    <n v="14.747"/>
    <n v="15.1157"/>
    <n v="14.700900000000001"/>
    <n v="14.747"/>
    <n v="49075"/>
    <n v="-0.312"/>
    <n v="2.8212999999999999"/>
  </r>
  <r>
    <n v="2330"/>
    <x v="1"/>
    <d v="2018-05-04T00:00:00"/>
    <x v="4"/>
    <x v="4"/>
    <n v="201.37700000000001"/>
    <n v="204.11060000000001"/>
    <n v="200.92140000000001"/>
    <n v="203.1994"/>
    <n v="28477"/>
    <n v="1.1274"/>
    <n v="1.5872999999999999"/>
  </r>
  <r>
    <n v="2303"/>
    <x v="0"/>
    <d v="2018-05-07T00:00:00"/>
    <x v="0"/>
    <x v="4"/>
    <n v="14.8391"/>
    <n v="14.885199999999999"/>
    <n v="14.4244"/>
    <n v="14.4244"/>
    <n v="41618"/>
    <n v="-2.2118000000000002"/>
    <n v="3.1949000000000001"/>
  </r>
  <r>
    <n v="2330"/>
    <x v="1"/>
    <d v="2018-05-07T00:00:00"/>
    <x v="0"/>
    <x v="4"/>
    <n v="205.02180000000001"/>
    <n v="205.47739999999999"/>
    <n v="201.83260000000001"/>
    <n v="203.655"/>
    <n v="23751"/>
    <n v="0.224"/>
    <n v="1.8059000000000001"/>
  </r>
  <r>
    <n v="2303"/>
    <x v="0"/>
    <d v="2018-05-08T00:00:00"/>
    <x v="1"/>
    <x v="4"/>
    <n v="14.5626"/>
    <n v="14.608700000000001"/>
    <n v="14.4244"/>
    <n v="14.608700000000001"/>
    <n v="25284"/>
    <n v="1.2699"/>
    <n v="1.278"/>
  </r>
  <r>
    <n v="2330"/>
    <x v="1"/>
    <d v="2018-05-08T00:00:00"/>
    <x v="1"/>
    <x v="4"/>
    <n v="204.11060000000001"/>
    <n v="208.21100000000001"/>
    <n v="203.655"/>
    <n v="207.75540000000001"/>
    <n v="40324"/>
    <n v="1.9934000000000001"/>
    <n v="2.2370999999999999"/>
  </r>
  <r>
    <n v="2303"/>
    <x v="0"/>
    <d v="2018-05-09T00:00:00"/>
    <x v="2"/>
    <x v="4"/>
    <n v="14.608700000000001"/>
    <n v="15.2539"/>
    <n v="14.5166"/>
    <n v="14.9313"/>
    <n v="48096"/>
    <n v="2.1842000000000001"/>
    <n v="5.0793999999999997"/>
  </r>
  <r>
    <n v="2330"/>
    <x v="1"/>
    <d v="2018-05-09T00:00:00"/>
    <x v="2"/>
    <x v="4"/>
    <n v="208.21100000000001"/>
    <n v="211.40029999999999"/>
    <n v="208.21100000000001"/>
    <n v="209.12219999999999"/>
    <n v="35597"/>
    <n v="0.65569999999999995"/>
    <n v="1.5317000000000001"/>
  </r>
  <r>
    <n v="2303"/>
    <x v="0"/>
    <d v="2018-05-10T00:00:00"/>
    <x v="3"/>
    <x v="4"/>
    <n v="15.069599999999999"/>
    <n v="15.1617"/>
    <n v="14.700900000000001"/>
    <n v="14.700900000000001"/>
    <n v="23378"/>
    <n v="-1.5551999999999999"/>
    <n v="3.1347999999999998"/>
  </r>
  <r>
    <n v="2330"/>
    <x v="1"/>
    <d v="2018-05-10T00:00:00"/>
    <x v="3"/>
    <x v="4"/>
    <n v="210.489"/>
    <n v="210.94470000000001"/>
    <n v="208.66659999999999"/>
    <n v="209.12219999999999"/>
    <n v="27530"/>
    <n v="0"/>
    <n v="1.0916999999999999"/>
  </r>
  <r>
    <n v="2303"/>
    <x v="0"/>
    <d v="2018-05-11T00:00:00"/>
    <x v="4"/>
    <x v="4"/>
    <n v="14.8391"/>
    <n v="14.9313"/>
    <n v="14.747"/>
    <n v="14.885199999999999"/>
    <n v="31393"/>
    <n v="1.2461"/>
    <n v="1.25"/>
  </r>
  <r>
    <n v="2330"/>
    <x v="1"/>
    <d v="2018-05-11T00:00:00"/>
    <x v="4"/>
    <x v="4"/>
    <n v="211.40029999999999"/>
    <n v="213.2227"/>
    <n v="210.0334"/>
    <n v="212.3115"/>
    <n v="30693"/>
    <n v="1.5135000000000001"/>
    <n v="1.5184"/>
  </r>
  <r>
    <n v="2303"/>
    <x v="0"/>
    <d v="2018-05-14T00:00:00"/>
    <x v="0"/>
    <x v="4"/>
    <n v="14.9313"/>
    <n v="15.1157"/>
    <n v="14.747"/>
    <n v="15.1157"/>
    <n v="32914"/>
    <n v="1.5361"/>
    <n v="2.5"/>
  </r>
  <r>
    <n v="2330"/>
    <x v="1"/>
    <d v="2018-05-14T00:00:00"/>
    <x v="0"/>
    <x v="4"/>
    <n v="213.67830000000001"/>
    <n v="213.67830000000001"/>
    <n v="211.85589999999999"/>
    <n v="212.3115"/>
    <n v="23577"/>
    <n v="0"/>
    <n v="0.86019999999999996"/>
  </r>
  <r>
    <n v="2303"/>
    <x v="0"/>
    <d v="2018-05-15T00:00:00"/>
    <x v="1"/>
    <x v="4"/>
    <n v="15.069599999999999"/>
    <n v="15.2539"/>
    <n v="14.9313"/>
    <n v="15.1617"/>
    <n v="42548"/>
    <n v="0.3044"/>
    <n v="2.1604999999999999"/>
  </r>
  <r>
    <n v="2330"/>
    <x v="1"/>
    <d v="2018-05-15T00:00:00"/>
    <x v="1"/>
    <x v="4"/>
    <n v="212.7671"/>
    <n v="213.2227"/>
    <n v="209.12219999999999"/>
    <n v="210.0334"/>
    <n v="23771"/>
    <n v="-1.0788"/>
    <n v="1.9608000000000001"/>
  </r>
  <r>
    <n v="2303"/>
    <x v="0"/>
    <d v="2018-05-16T00:00:00"/>
    <x v="2"/>
    <x v="4"/>
    <n v="15.1157"/>
    <n v="15.2539"/>
    <n v="14.9313"/>
    <n v="15.0235"/>
    <n v="33701"/>
    <n v="-0.91600000000000004"/>
    <n v="2.1604999999999999"/>
  </r>
  <r>
    <n v="2330"/>
    <x v="1"/>
    <d v="2018-05-16T00:00:00"/>
    <x v="2"/>
    <x v="4"/>
    <n v="209.12219999999999"/>
    <n v="210.0334"/>
    <n v="208.21100000000001"/>
    <n v="210.0334"/>
    <n v="14834"/>
    <n v="0"/>
    <n v="0.87529999999999997"/>
  </r>
  <r>
    <n v="2303"/>
    <x v="0"/>
    <d v="2018-05-17T00:00:00"/>
    <x v="3"/>
    <x v="4"/>
    <n v="15.069599999999999"/>
    <n v="15.207800000000001"/>
    <n v="14.793100000000001"/>
    <n v="14.793100000000001"/>
    <n v="26416"/>
    <n v="-1.5456000000000001"/>
    <n v="2.8037000000000001"/>
  </r>
  <r>
    <n v="2330"/>
    <x v="1"/>
    <d v="2018-05-17T00:00:00"/>
    <x v="3"/>
    <x v="4"/>
    <n v="210.489"/>
    <n v="210.94470000000001"/>
    <n v="206.3886"/>
    <n v="206.3886"/>
    <n v="27702"/>
    <n v="-1.7505999999999999"/>
    <n v="2.2075"/>
  </r>
  <r>
    <n v="2303"/>
    <x v="0"/>
    <d v="2018-05-18T00:00:00"/>
    <x v="4"/>
    <x v="4"/>
    <n v="14.885199999999999"/>
    <n v="14.885199999999999"/>
    <n v="14.700900000000001"/>
    <n v="14.793100000000001"/>
    <n v="22129"/>
    <n v="0"/>
    <n v="1.2539"/>
  </r>
  <r>
    <n v="2330"/>
    <x v="1"/>
    <d v="2018-05-18T00:00:00"/>
    <x v="4"/>
    <x v="4"/>
    <n v="205.47739999999999"/>
    <n v="207.2998"/>
    <n v="203.655"/>
    <n v="203.655"/>
    <n v="28187"/>
    <n v="-1.3333999999999999"/>
    <n v="1.7897000000000001"/>
  </r>
  <r>
    <n v="2303"/>
    <x v="0"/>
    <d v="2018-05-21T00:00:00"/>
    <x v="0"/>
    <x v="4"/>
    <n v="14.793100000000001"/>
    <n v="14.885199999999999"/>
    <n v="14.747"/>
    <n v="14.793100000000001"/>
    <n v="10344"/>
    <n v="0"/>
    <n v="0.9375"/>
  </r>
  <r>
    <n v="2330"/>
    <x v="1"/>
    <d v="2018-05-21T00:00:00"/>
    <x v="0"/>
    <x v="4"/>
    <n v="205.02180000000001"/>
    <n v="209.5778"/>
    <n v="205.02180000000001"/>
    <n v="208.66659999999999"/>
    <n v="16417"/>
    <n v="2.4310999999999998"/>
    <n v="2.2222"/>
  </r>
  <r>
    <n v="2303"/>
    <x v="0"/>
    <d v="2018-05-22T00:00:00"/>
    <x v="1"/>
    <x v="4"/>
    <n v="14.977399999999999"/>
    <n v="15.3461"/>
    <n v="14.9313"/>
    <n v="14.9313"/>
    <n v="43275"/>
    <n v="0.93020000000000003"/>
    <n v="2.7778"/>
  </r>
  <r>
    <n v="2330"/>
    <x v="1"/>
    <d v="2018-05-22T00:00:00"/>
    <x v="1"/>
    <x v="4"/>
    <n v="209.5778"/>
    <n v="212.7671"/>
    <n v="208.66659999999999"/>
    <n v="208.66659999999999"/>
    <n v="22422"/>
    <n v="0"/>
    <n v="1.9651000000000001"/>
  </r>
  <r>
    <n v="2303"/>
    <x v="0"/>
    <d v="2018-05-23T00:00:00"/>
    <x v="2"/>
    <x v="4"/>
    <n v="15.069599999999999"/>
    <n v="15.1157"/>
    <n v="14.8391"/>
    <n v="14.9313"/>
    <n v="21014"/>
    <n v="0"/>
    <n v="1.8633999999999999"/>
  </r>
  <r>
    <n v="2330"/>
    <x v="1"/>
    <d v="2018-05-23T00:00:00"/>
    <x v="2"/>
    <x v="4"/>
    <n v="210.94470000000001"/>
    <n v="210.94470000000001"/>
    <n v="208.21100000000001"/>
    <n v="208.21100000000001"/>
    <n v="26737"/>
    <n v="-0.21859999999999999"/>
    <n v="1.3129"/>
  </r>
  <r>
    <n v="2303"/>
    <x v="0"/>
    <d v="2018-05-24T00:00:00"/>
    <x v="3"/>
    <x v="4"/>
    <n v="14.9313"/>
    <n v="15.0235"/>
    <n v="14.793100000000001"/>
    <n v="14.9313"/>
    <n v="13951"/>
    <n v="0"/>
    <n v="1.5576000000000001"/>
  </r>
  <r>
    <n v="2330"/>
    <x v="1"/>
    <d v="2018-05-24T00:00:00"/>
    <x v="3"/>
    <x v="4"/>
    <n v="209.12219999999999"/>
    <n v="209.5778"/>
    <n v="208.21100000000001"/>
    <n v="208.66659999999999"/>
    <n v="13450"/>
    <n v="0.21859999999999999"/>
    <n v="0.65649999999999997"/>
  </r>
  <r>
    <n v="2303"/>
    <x v="0"/>
    <d v="2018-05-25T00:00:00"/>
    <x v="4"/>
    <x v="4"/>
    <n v="14.9313"/>
    <n v="15.0235"/>
    <n v="14.885199999999999"/>
    <n v="14.977399999999999"/>
    <n v="25392"/>
    <n v="0.30819999999999997"/>
    <n v="0.92879999999999996"/>
  </r>
  <r>
    <n v="2330"/>
    <x v="1"/>
    <d v="2018-05-25T00:00:00"/>
    <x v="4"/>
    <x v="4"/>
    <n v="208.21100000000001"/>
    <n v="209.12219999999999"/>
    <n v="207.75540000000001"/>
    <n v="208.21100000000001"/>
    <n v="16486"/>
    <n v="-0.21859999999999999"/>
    <n v="0.65790000000000004"/>
  </r>
  <r>
    <n v="2303"/>
    <x v="0"/>
    <d v="2018-05-28T00:00:00"/>
    <x v="0"/>
    <x v="4"/>
    <n v="15.1617"/>
    <n v="15.207800000000001"/>
    <n v="14.977399999999999"/>
    <n v="15.1157"/>
    <n v="34010"/>
    <n v="0.91879999999999995"/>
    <n v="1.5385"/>
  </r>
  <r>
    <n v="2330"/>
    <x v="1"/>
    <d v="2018-05-28T00:00:00"/>
    <x v="0"/>
    <x v="4"/>
    <n v="209.12219999999999"/>
    <n v="209.5778"/>
    <n v="206.3886"/>
    <n v="206.8442"/>
    <n v="17673"/>
    <n v="-0.65859999999999996"/>
    <n v="1.5452999999999999"/>
  </r>
  <r>
    <n v="2303"/>
    <x v="0"/>
    <d v="2018-05-29T00:00:00"/>
    <x v="1"/>
    <x v="4"/>
    <n v="15.207800000000001"/>
    <n v="15.3"/>
    <n v="15.069599999999999"/>
    <n v="15.1617"/>
    <n v="33254"/>
    <n v="0.3044"/>
    <n v="1.5290999999999999"/>
  </r>
  <r>
    <n v="2330"/>
    <x v="1"/>
    <d v="2018-05-29T00:00:00"/>
    <x v="1"/>
    <x v="4"/>
    <n v="206.3886"/>
    <n v="206.3886"/>
    <n v="203.655"/>
    <n v="205.02180000000001"/>
    <n v="25770"/>
    <n v="-0.88500000000000001"/>
    <n v="1.3423"/>
  </r>
  <r>
    <n v="2303"/>
    <x v="0"/>
    <d v="2018-05-30T00:00:00"/>
    <x v="2"/>
    <x v="4"/>
    <n v="15.0235"/>
    <n v="15.392200000000001"/>
    <n v="14.977399999999999"/>
    <n v="15.1157"/>
    <n v="54574"/>
    <n v="-0.3044"/>
    <n v="2.7692000000000001"/>
  </r>
  <r>
    <n v="2330"/>
    <x v="1"/>
    <d v="2018-05-30T00:00:00"/>
    <x v="2"/>
    <x v="4"/>
    <n v="204.11060000000001"/>
    <n v="204.11060000000001"/>
    <n v="200.92140000000001"/>
    <n v="201.37700000000001"/>
    <n v="49667"/>
    <n v="-1.7938000000000001"/>
    <n v="1.5872999999999999"/>
  </r>
  <r>
    <n v="2303"/>
    <x v="0"/>
    <d v="2018-05-31T00:00:00"/>
    <x v="3"/>
    <x v="4"/>
    <n v="15.2539"/>
    <n v="15.3461"/>
    <n v="15.1157"/>
    <n v="15.3461"/>
    <n v="97295"/>
    <n v="1.5128999999999999"/>
    <n v="1.5244"/>
  </r>
  <r>
    <n v="2330"/>
    <x v="1"/>
    <d v="2018-05-31T00:00:00"/>
    <x v="3"/>
    <x v="4"/>
    <n v="201.83260000000001"/>
    <n v="204.11060000000001"/>
    <n v="200.92140000000001"/>
    <n v="204.11060000000001"/>
    <n v="96587"/>
    <n v="1.3483000000000001"/>
    <n v="1.5872999999999999"/>
  </r>
  <r>
    <n v="2303"/>
    <x v="0"/>
    <d v="2018-06-01T00:00:00"/>
    <x v="4"/>
    <x v="5"/>
    <n v="15.3461"/>
    <n v="15.392200000000001"/>
    <n v="15.1157"/>
    <n v="15.1617"/>
    <n v="52546"/>
    <n v="-1.2084999999999999"/>
    <n v="1.8292999999999999"/>
  </r>
  <r>
    <n v="2330"/>
    <x v="1"/>
    <d v="2018-06-01T00:00:00"/>
    <x v="4"/>
    <x v="5"/>
    <n v="204.56620000000001"/>
    <n v="206.3886"/>
    <n v="204.11060000000001"/>
    <n v="204.11060000000001"/>
    <n v="36652"/>
    <n v="0"/>
    <n v="1.1161000000000001"/>
  </r>
  <r>
    <n v="2303"/>
    <x v="0"/>
    <d v="2018-06-04T00:00:00"/>
    <x v="0"/>
    <x v="5"/>
    <n v="15.207800000000001"/>
    <n v="15.2539"/>
    <n v="15.1157"/>
    <n v="15.207800000000001"/>
    <n v="33403"/>
    <n v="0.30349999999999999"/>
    <n v="0.91459999999999997"/>
  </r>
  <r>
    <n v="2330"/>
    <x v="1"/>
    <d v="2018-06-04T00:00:00"/>
    <x v="0"/>
    <x v="5"/>
    <n v="207.2998"/>
    <n v="208.66659999999999"/>
    <n v="206.8442"/>
    <n v="208.66659999999999"/>
    <n v="31257"/>
    <n v="2.2075999999999998"/>
    <n v="0.88109999999999999"/>
  </r>
  <r>
    <n v="2303"/>
    <x v="0"/>
    <d v="2018-06-05T00:00:00"/>
    <x v="1"/>
    <x v="5"/>
    <n v="15.3"/>
    <n v="15.3461"/>
    <n v="15.1617"/>
    <n v="15.207800000000001"/>
    <n v="34025"/>
    <n v="0"/>
    <n v="1.2158"/>
  </r>
  <r>
    <n v="2330"/>
    <x v="1"/>
    <d v="2018-06-05T00:00:00"/>
    <x v="1"/>
    <x v="5"/>
    <n v="209.5778"/>
    <n v="209.5778"/>
    <n v="206.3886"/>
    <n v="208.66659999999999"/>
    <n v="27714"/>
    <n v="0"/>
    <n v="1.5452999999999999"/>
  </r>
  <r>
    <n v="2303"/>
    <x v="0"/>
    <d v="2018-06-06T00:00:00"/>
    <x v="2"/>
    <x v="5"/>
    <n v="15.207800000000001"/>
    <n v="15.2539"/>
    <n v="15.069599999999999"/>
    <n v="15.1157"/>
    <n v="42224"/>
    <n v="-0.6079"/>
    <n v="1.2232000000000001"/>
  </r>
  <r>
    <n v="2330"/>
    <x v="1"/>
    <d v="2018-06-06T00:00:00"/>
    <x v="2"/>
    <x v="5"/>
    <n v="208.66659999999999"/>
    <n v="209.5778"/>
    <n v="206.8442"/>
    <n v="209.5778"/>
    <n v="30375"/>
    <n v="0.43569999999999998"/>
    <n v="1.3216000000000001"/>
  </r>
  <r>
    <n v="2303"/>
    <x v="0"/>
    <d v="2018-06-07T00:00:00"/>
    <x v="3"/>
    <x v="5"/>
    <n v="15.1617"/>
    <n v="15.3"/>
    <n v="15.1157"/>
    <n v="15.3"/>
    <n v="38502"/>
    <n v="1.2121"/>
    <n v="1.2195"/>
  </r>
  <r>
    <n v="2330"/>
    <x v="1"/>
    <d v="2018-06-07T00:00:00"/>
    <x v="3"/>
    <x v="5"/>
    <n v="210.489"/>
    <n v="210.94470000000001"/>
    <n v="207.75540000000001"/>
    <n v="209.5778"/>
    <n v="25277"/>
    <n v="0"/>
    <n v="1.5350999999999999"/>
  </r>
  <r>
    <n v="2303"/>
    <x v="0"/>
    <d v="2018-06-08T00:00:00"/>
    <x v="4"/>
    <x v="5"/>
    <n v="15.2539"/>
    <n v="15.3"/>
    <n v="15.069599999999999"/>
    <n v="15.1157"/>
    <n v="29749"/>
    <n v="-1.2121"/>
    <n v="1.5290999999999999"/>
  </r>
  <r>
    <n v="2330"/>
    <x v="1"/>
    <d v="2018-06-08T00:00:00"/>
    <x v="4"/>
    <x v="5"/>
    <n v="208.66659999999999"/>
    <n v="208.66659999999999"/>
    <n v="205.93299999999999"/>
    <n v="206.8442"/>
    <n v="24192"/>
    <n v="-1.3129"/>
    <n v="1.3273999999999999"/>
  </r>
  <r>
    <n v="2303"/>
    <x v="0"/>
    <d v="2018-06-11T00:00:00"/>
    <x v="0"/>
    <x v="5"/>
    <n v="15.2539"/>
    <n v="15.484299999999999"/>
    <n v="15.207800000000001"/>
    <n v="15.484299999999999"/>
    <n v="99224"/>
    <n v="2.4098000000000002"/>
    <n v="1.8182"/>
  </r>
  <r>
    <n v="2330"/>
    <x v="1"/>
    <d v="2018-06-11T00:00:00"/>
    <x v="0"/>
    <x v="5"/>
    <n v="206.3886"/>
    <n v="206.8442"/>
    <n v="205.02180000000001"/>
    <n v="205.93299999999999"/>
    <n v="22028"/>
    <n v="-0.4415"/>
    <n v="0.88890000000000002"/>
  </r>
  <r>
    <n v="2303"/>
    <x v="0"/>
    <d v="2018-06-12T00:00:00"/>
    <x v="1"/>
    <x v="5"/>
    <n v="15.5304"/>
    <n v="15.668699999999999"/>
    <n v="15.4382"/>
    <n v="15.5304"/>
    <n v="177424"/>
    <n v="0.29720000000000002"/>
    <n v="1.4924999999999999"/>
  </r>
  <r>
    <n v="2330"/>
    <x v="1"/>
    <d v="2018-06-12T00:00:00"/>
    <x v="1"/>
    <x v="5"/>
    <n v="205.02180000000001"/>
    <n v="208.66659999999999"/>
    <n v="204.11060000000001"/>
    <n v="208.66659999999999"/>
    <n v="30189"/>
    <n v="1.3187"/>
    <n v="2.2321"/>
  </r>
  <r>
    <n v="2303"/>
    <x v="0"/>
    <d v="2018-06-13T00:00:00"/>
    <x v="2"/>
    <x v="5"/>
    <n v="16.037299999999998"/>
    <n v="17.051200000000001"/>
    <n v="15.853"/>
    <n v="17.051200000000001"/>
    <n v="350536"/>
    <n v="9.3420000000000005"/>
    <n v="7.5580999999999996"/>
  </r>
  <r>
    <n v="2330"/>
    <x v="1"/>
    <d v="2018-06-13T00:00:00"/>
    <x v="2"/>
    <x v="5"/>
    <n v="208.66659999999999"/>
    <n v="211.40029999999999"/>
    <n v="207.75540000000001"/>
    <n v="211.40029999999999"/>
    <n v="36081"/>
    <n v="1.3015000000000001"/>
    <n v="1.7544"/>
  </r>
  <r>
    <n v="2303"/>
    <x v="0"/>
    <d v="2018-06-14T00:00:00"/>
    <x v="3"/>
    <x v="5"/>
    <n v="16.9129"/>
    <n v="17.097300000000001"/>
    <n v="16.498200000000001"/>
    <n v="16.682500000000001"/>
    <n v="181043"/>
    <n v="-2.1859000000000002"/>
    <n v="3.6313"/>
  </r>
  <r>
    <n v="2330"/>
    <x v="1"/>
    <d v="2018-06-14T00:00:00"/>
    <x v="3"/>
    <x v="5"/>
    <n v="209.5778"/>
    <n v="209.5778"/>
    <n v="206.3886"/>
    <n v="206.3886"/>
    <n v="36932"/>
    <n v="-2.3992"/>
    <n v="1.5452999999999999"/>
  </r>
  <r>
    <n v="2303"/>
    <x v="0"/>
    <d v="2018-06-15T00:00:00"/>
    <x v="4"/>
    <x v="5"/>
    <n v="16.590299999999999"/>
    <n v="17.189399999999999"/>
    <n v="16.5443"/>
    <n v="17.189399999999999"/>
    <n v="96507"/>
    <n v="2.9933999999999998"/>
    <n v="3.8997000000000002"/>
  </r>
  <r>
    <n v="2330"/>
    <x v="1"/>
    <d v="2018-06-15T00:00:00"/>
    <x v="4"/>
    <x v="5"/>
    <n v="205.02180000000001"/>
    <n v="210.489"/>
    <n v="204.11060000000001"/>
    <n v="210.489"/>
    <n v="49506"/>
    <n v="1.9673"/>
    <n v="3.125"/>
  </r>
  <r>
    <n v="2303"/>
    <x v="0"/>
    <d v="2018-06-19T00:00:00"/>
    <x v="1"/>
    <x v="5"/>
    <n v="17.005099999999999"/>
    <n v="17.051200000000001"/>
    <n v="16.774699999999999"/>
    <n v="16.774699999999999"/>
    <n v="91259"/>
    <n v="-2.4424999999999999"/>
    <n v="1.6484000000000001"/>
  </r>
  <r>
    <n v="2330"/>
    <x v="1"/>
    <d v="2018-06-19T00:00:00"/>
    <x v="1"/>
    <x v="5"/>
    <n v="205.47739999999999"/>
    <n v="205.93299999999999"/>
    <n v="204.11060000000001"/>
    <n v="205.02180000000001"/>
    <n v="61142"/>
    <n v="-2.6316999999999999"/>
    <n v="0.89290000000000003"/>
  </r>
  <r>
    <n v="2303"/>
    <x v="0"/>
    <d v="2018-06-20T00:00:00"/>
    <x v="2"/>
    <x v="5"/>
    <n v="16.774699999999999"/>
    <n v="16.820799999999998"/>
    <n v="16.267800000000001"/>
    <n v="16.636399999999998"/>
    <n v="90050"/>
    <n v="-0.8276"/>
    <n v="3.3994"/>
  </r>
  <r>
    <n v="2330"/>
    <x v="1"/>
    <d v="2018-06-20T00:00:00"/>
    <x v="2"/>
    <x v="5"/>
    <n v="204.56620000000001"/>
    <n v="207.2998"/>
    <n v="203.655"/>
    <n v="205.93299999999999"/>
    <n v="40708"/>
    <n v="0.44350000000000001"/>
    <n v="1.7897000000000001"/>
  </r>
  <r>
    <n v="2303"/>
    <x v="0"/>
    <d v="2018-06-21T00:00:00"/>
    <x v="3"/>
    <x v="5"/>
    <n v="16.590299999999999"/>
    <n v="16.590299999999999"/>
    <n v="16.267800000000001"/>
    <n v="16.267800000000001"/>
    <n v="49753"/>
    <n v="-2.2410000000000001"/>
    <n v="1.9830000000000001"/>
  </r>
  <r>
    <n v="2330"/>
    <x v="1"/>
    <d v="2018-06-21T00:00:00"/>
    <x v="3"/>
    <x v="5"/>
    <n v="207.2998"/>
    <n v="207.75540000000001"/>
    <n v="205.93299999999999"/>
    <n v="206.3886"/>
    <n v="32572"/>
    <n v="0.221"/>
    <n v="0.88500000000000001"/>
  </r>
  <r>
    <n v="2303"/>
    <x v="0"/>
    <d v="2018-06-22T00:00:00"/>
    <x v="4"/>
    <x v="5"/>
    <n v="16.1295"/>
    <n v="16.498200000000001"/>
    <n v="15.853"/>
    <n v="16.405999999999999"/>
    <n v="58142"/>
    <n v="0.84630000000000005"/>
    <n v="4.0697999999999999"/>
  </r>
  <r>
    <n v="2330"/>
    <x v="1"/>
    <d v="2018-06-22T00:00:00"/>
    <x v="4"/>
    <x v="5"/>
    <n v="204.56620000000001"/>
    <n v="207.2998"/>
    <n v="204.11060000000001"/>
    <n v="207.2998"/>
    <n v="44211"/>
    <n v="0.4405"/>
    <n v="1.5625"/>
  </r>
  <r>
    <n v="2303"/>
    <x v="0"/>
    <d v="2018-06-25T00:00:00"/>
    <x v="0"/>
    <x v="5"/>
    <n v="16.3599"/>
    <n v="16.452100000000002"/>
    <n v="16.037299999999998"/>
    <n v="16.405999999999999"/>
    <n v="31182"/>
    <n v="0"/>
    <n v="2.5861999999999998"/>
  </r>
  <r>
    <n v="2330"/>
    <x v="1"/>
    <d v="2018-06-25T00:00:00"/>
    <x v="0"/>
    <x v="5"/>
    <n v="207.77199999999999"/>
    <n v="208.24420000000001"/>
    <n v="205.88310000000001"/>
    <n v="205.88310000000001"/>
    <n v="49058"/>
    <n v="-0.66149999999999998"/>
    <n v="1.1468"/>
  </r>
  <r>
    <n v="2303"/>
    <x v="0"/>
    <d v="2018-06-26T00:00:00"/>
    <x v="1"/>
    <x v="5"/>
    <n v="16.1295"/>
    <n v="16.267800000000001"/>
    <n v="16.037299999999998"/>
    <n v="16.221699999999998"/>
    <n v="30096"/>
    <n v="-1.1299999999999999"/>
    <n v="1.4368000000000001"/>
  </r>
  <r>
    <n v="2330"/>
    <x v="1"/>
    <d v="2018-06-26T00:00:00"/>
    <x v="1"/>
    <x v="5"/>
    <n v="203.52209999999999"/>
    <n v="203.99430000000001"/>
    <n v="200.68879999999999"/>
    <n v="202.57769999999999"/>
    <n v="43080"/>
    <n v="-1.6185"/>
    <n v="1.6471"/>
  </r>
  <r>
    <n v="2303"/>
    <x v="0"/>
    <d v="2018-06-27T00:00:00"/>
    <x v="2"/>
    <x v="5"/>
    <n v="16.313800000000001"/>
    <n v="16.590299999999999"/>
    <n v="16.1295"/>
    <n v="16.221699999999998"/>
    <n v="52024"/>
    <n v="0"/>
    <n v="2.8571"/>
  </r>
  <r>
    <n v="2330"/>
    <x v="1"/>
    <d v="2018-06-27T00:00:00"/>
    <x v="2"/>
    <x v="5"/>
    <n v="203.99430000000001"/>
    <n v="203.99430000000001"/>
    <n v="200.68879999999999"/>
    <n v="201.161"/>
    <n v="40863"/>
    <n v="-0.70179999999999998"/>
    <n v="1.6471"/>
  </r>
  <r>
    <n v="2303"/>
    <x v="0"/>
    <d v="2018-06-28T00:00:00"/>
    <x v="3"/>
    <x v="5"/>
    <n v="15.991300000000001"/>
    <n v="15.991300000000001"/>
    <n v="15.576499999999999"/>
    <n v="15.6226"/>
    <n v="70476"/>
    <n v="-3.7631000000000001"/>
    <n v="2.6627000000000001"/>
  </r>
  <r>
    <n v="2330"/>
    <x v="1"/>
    <d v="2018-06-28T00:00:00"/>
    <x v="3"/>
    <x v="5"/>
    <n v="199.2722"/>
    <n v="202.57769999999999"/>
    <n v="198.3278"/>
    <n v="200.2166"/>
    <n v="38816"/>
    <n v="-0.47060000000000002"/>
    <n v="2.1429"/>
  </r>
  <r>
    <n v="2303"/>
    <x v="0"/>
    <d v="2018-06-29T00:00:00"/>
    <x v="4"/>
    <x v="5"/>
    <n v="15.6226"/>
    <n v="15.6226"/>
    <n v="15.6226"/>
    <n v="15.6226"/>
    <n v="0"/>
    <n v="0"/>
    <n v="0"/>
  </r>
  <r>
    <n v="2330"/>
    <x v="1"/>
    <d v="2018-06-29T00:00:00"/>
    <x v="4"/>
    <x v="5"/>
    <n v="200.2166"/>
    <n v="204.93870000000001"/>
    <n v="200.2166"/>
    <n v="204.4665"/>
    <n v="36848"/>
    <n v="2.1004"/>
    <n v="2.3584999999999998"/>
  </r>
  <r>
    <n v="2303"/>
    <x v="0"/>
    <d v="2018-07-02T00:00:00"/>
    <x v="0"/>
    <x v="6"/>
    <n v="16.682500000000001"/>
    <n v="16.9129"/>
    <n v="16.452100000000002"/>
    <n v="16.774699999999999"/>
    <n v="162123"/>
    <n v="7.1154000000000002"/>
    <n v="2.8010999999999999"/>
  </r>
  <r>
    <n v="2330"/>
    <x v="1"/>
    <d v="2018-07-02T00:00:00"/>
    <x v="0"/>
    <x v="6"/>
    <n v="206.3553"/>
    <n v="206.82749999999999"/>
    <n v="202.10550000000001"/>
    <n v="202.10550000000001"/>
    <n v="33496"/>
    <n v="-1.1615"/>
    <n v="2.3363999999999998"/>
  </r>
  <r>
    <n v="2303"/>
    <x v="0"/>
    <d v="2018-07-03T00:00:00"/>
    <x v="1"/>
    <x v="6"/>
    <n v="16.590299999999999"/>
    <n v="16.7286"/>
    <n v="16.3599"/>
    <n v="16.5443"/>
    <n v="98406"/>
    <n v="-1.3831"/>
    <n v="2.2534999999999998"/>
  </r>
  <r>
    <n v="2330"/>
    <x v="1"/>
    <d v="2018-07-03T00:00:00"/>
    <x v="1"/>
    <x v="6"/>
    <n v="203.52209999999999"/>
    <n v="205.88310000000001"/>
    <n v="201.63319999999999"/>
    <n v="202.57769999999999"/>
    <n v="28663"/>
    <n v="0.2334"/>
    <n v="2.1076999999999999"/>
  </r>
  <r>
    <n v="2303"/>
    <x v="0"/>
    <d v="2018-07-04T00:00:00"/>
    <x v="2"/>
    <x v="6"/>
    <n v="16.774699999999999"/>
    <n v="17.189399999999999"/>
    <n v="16.452100000000002"/>
    <n v="16.5443"/>
    <n v="105768"/>
    <n v="0"/>
    <n v="4.4817999999999998"/>
  </r>
  <r>
    <n v="2330"/>
    <x v="1"/>
    <d v="2018-07-04T00:00:00"/>
    <x v="2"/>
    <x v="6"/>
    <n v="204.93870000000001"/>
    <n v="205.4109"/>
    <n v="203.52209999999999"/>
    <n v="203.99430000000001"/>
    <n v="15359"/>
    <n v="0.69689999999999996"/>
    <n v="0.92810000000000004"/>
  </r>
  <r>
    <n v="2303"/>
    <x v="0"/>
    <d v="2018-07-05T00:00:00"/>
    <x v="3"/>
    <x v="6"/>
    <n v="16.590299999999999"/>
    <n v="16.590299999999999"/>
    <n v="16.175599999999999"/>
    <n v="16.5443"/>
    <n v="56808"/>
    <n v="0"/>
    <n v="2.5640999999999998"/>
  </r>
  <r>
    <n v="2330"/>
    <x v="1"/>
    <d v="2018-07-05T00:00:00"/>
    <x v="3"/>
    <x v="6"/>
    <n v="202.10550000000001"/>
    <n v="203.04990000000001"/>
    <n v="201.161"/>
    <n v="202.57769999999999"/>
    <n v="18225"/>
    <n v="-0.69689999999999996"/>
    <n v="0.93899999999999995"/>
  </r>
  <r>
    <n v="2303"/>
    <x v="0"/>
    <d v="2018-07-06T00:00:00"/>
    <x v="4"/>
    <x v="6"/>
    <n v="16.3599"/>
    <n v="16.452100000000002"/>
    <n v="16.037299999999998"/>
    <n v="16.221699999999998"/>
    <n v="65571"/>
    <n v="-1.9691000000000001"/>
    <n v="2.5861999999999998"/>
  </r>
  <r>
    <n v="2330"/>
    <x v="1"/>
    <d v="2018-07-06T00:00:00"/>
    <x v="4"/>
    <x v="6"/>
    <n v="205.4109"/>
    <n v="205.4109"/>
    <n v="203.04990000000001"/>
    <n v="204.93870000000001"/>
    <n v="31344"/>
    <n v="1.1588000000000001"/>
    <n v="1.1628000000000001"/>
  </r>
  <r>
    <n v="2303"/>
    <x v="0"/>
    <d v="2018-07-09T00:00:00"/>
    <x v="0"/>
    <x v="6"/>
    <n v="16.221699999999998"/>
    <n v="16.313800000000001"/>
    <n v="16.1295"/>
    <n v="16.267800000000001"/>
    <n v="63985"/>
    <n v="0.28370000000000001"/>
    <n v="1.1429"/>
  </r>
  <r>
    <n v="2330"/>
    <x v="1"/>
    <d v="2018-07-09T00:00:00"/>
    <x v="0"/>
    <x v="6"/>
    <n v="207.2998"/>
    <n v="210.6052"/>
    <n v="206.3553"/>
    <n v="209.18860000000001"/>
    <n v="41165"/>
    <n v="2.0525000000000002"/>
    <n v="2.0594999999999999"/>
  </r>
  <r>
    <n v="2303"/>
    <x v="0"/>
    <d v="2018-07-10T00:00:00"/>
    <x v="1"/>
    <x v="6"/>
    <n v="16.519100000000002"/>
    <n v="16.5671"/>
    <n v="16.2789"/>
    <n v="16.327000000000002"/>
    <n v="58360"/>
    <n v="0.34860000000000002"/>
    <n v="1.7699"/>
  </r>
  <r>
    <n v="2330"/>
    <x v="1"/>
    <d v="2018-07-10T00:00:00"/>
    <x v="1"/>
    <x v="6"/>
    <n v="210.6052"/>
    <n v="211.5496"/>
    <n v="209.66079999999999"/>
    <n v="209.66079999999999"/>
    <n v="20196"/>
    <n v="0.22550000000000001"/>
    <n v="0.90090000000000003"/>
  </r>
  <r>
    <n v="2303"/>
    <x v="0"/>
    <d v="2018-07-11T00:00:00"/>
    <x v="2"/>
    <x v="6"/>
    <n v="16.2789"/>
    <n v="16.327000000000002"/>
    <n v="16.038799999999998"/>
    <n v="16.230899999999998"/>
    <n v="39298"/>
    <n v="-0.59"/>
    <n v="1.7964"/>
  </r>
  <r>
    <n v="2330"/>
    <x v="1"/>
    <d v="2018-07-11T00:00:00"/>
    <x v="2"/>
    <x v="6"/>
    <n v="207.77199999999999"/>
    <n v="207.77199999999999"/>
    <n v="205.88310000000001"/>
    <n v="207.77199999999999"/>
    <n v="19854"/>
    <n v="-0.90500000000000003"/>
    <n v="0.91739999999999999"/>
  </r>
  <r>
    <n v="2303"/>
    <x v="0"/>
    <d v="2018-07-12T00:00:00"/>
    <x v="3"/>
    <x v="6"/>
    <n v="16.327000000000002"/>
    <n v="16.903199999999998"/>
    <n v="16.2789"/>
    <n v="16.7592"/>
    <n v="75916"/>
    <n v="3.2025999999999999"/>
    <n v="3.8348"/>
  </r>
  <r>
    <n v="2330"/>
    <x v="1"/>
    <d v="2018-07-12T00:00:00"/>
    <x v="3"/>
    <x v="6"/>
    <n v="205.88310000000001"/>
    <n v="209.66079999999999"/>
    <n v="205.88310000000001"/>
    <n v="208.24420000000001"/>
    <n v="23806"/>
    <n v="0.22700000000000001"/>
    <n v="1.8349"/>
  </r>
  <r>
    <n v="2303"/>
    <x v="0"/>
    <d v="2018-07-13T00:00:00"/>
    <x v="4"/>
    <x v="6"/>
    <n v="16.8552"/>
    <n v="16.903199999999998"/>
    <n v="16.615100000000002"/>
    <n v="16.711099999999998"/>
    <n v="39393"/>
    <n v="-0.28689999999999999"/>
    <n v="1.7341"/>
  </r>
  <r>
    <n v="2330"/>
    <x v="1"/>
    <d v="2018-07-13T00:00:00"/>
    <x v="4"/>
    <x v="6"/>
    <n v="210.13300000000001"/>
    <n v="212.02180000000001"/>
    <n v="210.13300000000001"/>
    <n v="212.02180000000001"/>
    <n v="30419"/>
    <n v="1.7978000000000001"/>
    <n v="0.89890000000000003"/>
  </r>
  <r>
    <n v="2303"/>
    <x v="0"/>
    <d v="2018-07-16T00:00:00"/>
    <x v="0"/>
    <x v="6"/>
    <n v="16.7592"/>
    <n v="16.807200000000002"/>
    <n v="16.471"/>
    <n v="16.5671"/>
    <n v="35453"/>
    <n v="-0.86580000000000001"/>
    <n v="2.0407999999999999"/>
  </r>
  <r>
    <n v="2330"/>
    <x v="1"/>
    <d v="2018-07-16T00:00:00"/>
    <x v="0"/>
    <x v="6"/>
    <n v="212.02180000000001"/>
    <n v="212.494"/>
    <n v="211.07740000000001"/>
    <n v="211.07740000000001"/>
    <n v="16107"/>
    <n v="-0.44640000000000002"/>
    <n v="0.67110000000000003"/>
  </r>
  <r>
    <n v="2303"/>
    <x v="0"/>
    <d v="2018-07-17T00:00:00"/>
    <x v="1"/>
    <x v="6"/>
    <n v="16.519100000000002"/>
    <n v="16.6631"/>
    <n v="16.375"/>
    <n v="16.5671"/>
    <n v="33440"/>
    <n v="0"/>
    <n v="1.7595000000000001"/>
  </r>
  <r>
    <n v="2330"/>
    <x v="1"/>
    <d v="2018-07-17T00:00:00"/>
    <x v="1"/>
    <x v="6"/>
    <n v="210.13300000000001"/>
    <n v="211.07740000000001"/>
    <n v="208.71639999999999"/>
    <n v="209.18860000000001"/>
    <n v="22554"/>
    <n v="-0.89890000000000003"/>
    <n v="1.1312"/>
  </r>
  <r>
    <n v="2303"/>
    <x v="0"/>
    <d v="2018-07-18T00:00:00"/>
    <x v="2"/>
    <x v="6"/>
    <n v="16.5671"/>
    <n v="17.0473"/>
    <n v="16.471"/>
    <n v="16.711099999999998"/>
    <n v="69527"/>
    <n v="0.86580000000000001"/>
    <n v="3.4984999999999999"/>
  </r>
  <r>
    <n v="2330"/>
    <x v="1"/>
    <d v="2018-07-18T00:00:00"/>
    <x v="2"/>
    <x v="6"/>
    <n v="210.6052"/>
    <n v="211.5496"/>
    <n v="209.66079999999999"/>
    <n v="210.6052"/>
    <n v="45802"/>
    <n v="0.67490000000000006"/>
    <n v="0.90090000000000003"/>
  </r>
  <r>
    <n v="2303"/>
    <x v="0"/>
    <d v="2018-07-19T00:00:00"/>
    <x v="3"/>
    <x v="6"/>
    <n v="16.903199999999998"/>
    <n v="17.0473"/>
    <n v="16.807200000000002"/>
    <n v="16.903199999999998"/>
    <n v="59100"/>
    <n v="1.1429"/>
    <n v="1.4286000000000001"/>
  </r>
  <r>
    <n v="2330"/>
    <x v="1"/>
    <d v="2018-07-19T00:00:00"/>
    <x v="3"/>
    <x v="6"/>
    <n v="212.96629999999999"/>
    <n v="214.38290000000001"/>
    <n v="212.02180000000001"/>
    <n v="212.02180000000001"/>
    <n v="43976"/>
    <n v="0.6704"/>
    <n v="1.1135999999999999"/>
  </r>
  <r>
    <n v="2303"/>
    <x v="0"/>
    <d v="2018-07-20T00:00:00"/>
    <x v="4"/>
    <x v="6"/>
    <n v="17.1433"/>
    <n v="17.383400000000002"/>
    <n v="17.0473"/>
    <n v="17.1433"/>
    <n v="97511"/>
    <n v="1.4105000000000001"/>
    <n v="1.9718"/>
  </r>
  <r>
    <n v="2330"/>
    <x v="1"/>
    <d v="2018-07-20T00:00:00"/>
    <x v="4"/>
    <x v="6"/>
    <n v="221.93819999999999"/>
    <n v="224.29929999999999"/>
    <n v="220.04939999999999"/>
    <n v="224.29929999999999"/>
    <n v="103652"/>
    <n v="5.6292"/>
    <n v="1.9313"/>
  </r>
  <r>
    <n v="2303"/>
    <x v="0"/>
    <d v="2018-07-23T00:00:00"/>
    <x v="0"/>
    <x v="6"/>
    <n v="17.671500000000002"/>
    <n v="17.9116"/>
    <n v="17.3354"/>
    <n v="17.5275"/>
    <n v="106322"/>
    <n v="2.2162000000000002"/>
    <n v="3.3241000000000001"/>
  </r>
  <r>
    <n v="2330"/>
    <x v="1"/>
    <d v="2018-07-23T00:00:00"/>
    <x v="0"/>
    <x v="6"/>
    <n v="225.7159"/>
    <n v="231.38239999999999"/>
    <n v="225.24369999999999"/>
    <n v="227.60470000000001"/>
    <n v="52269"/>
    <n v="1.4629000000000001"/>
    <n v="2.7254"/>
  </r>
  <r>
    <n v="2303"/>
    <x v="0"/>
    <d v="2018-07-24T00:00:00"/>
    <x v="1"/>
    <x v="6"/>
    <n v="17.287400000000002"/>
    <n v="17.6235"/>
    <n v="17.191299999999998"/>
    <n v="17.479500000000002"/>
    <n v="73162"/>
    <n v="-0.27429999999999999"/>
    <n v="2.5139999999999998"/>
  </r>
  <r>
    <n v="2330"/>
    <x v="1"/>
    <d v="2018-07-24T00:00:00"/>
    <x v="1"/>
    <x v="6"/>
    <n v="226.66030000000001"/>
    <n v="228.07689999999999"/>
    <n v="225.24369999999999"/>
    <n v="227.60470000000001"/>
    <n v="27468"/>
    <n v="0"/>
    <n v="1.2579"/>
  </r>
  <r>
    <n v="2303"/>
    <x v="0"/>
    <d v="2018-07-25T00:00:00"/>
    <x v="2"/>
    <x v="6"/>
    <n v="17.4314"/>
    <n v="17.7196"/>
    <n v="17.2394"/>
    <n v="17.479500000000002"/>
    <n v="84335"/>
    <n v="0"/>
    <n v="2.7854999999999999"/>
  </r>
  <r>
    <n v="2330"/>
    <x v="1"/>
    <d v="2018-07-25T00:00:00"/>
    <x v="2"/>
    <x v="6"/>
    <n v="225.7159"/>
    <n v="227.60470000000001"/>
    <n v="225.7159"/>
    <n v="227.13249999999999"/>
    <n v="21530"/>
    <n v="-0.2077"/>
    <n v="0.83679999999999999"/>
  </r>
  <r>
    <n v="2303"/>
    <x v="0"/>
    <d v="2018-07-26T00:00:00"/>
    <x v="3"/>
    <x v="6"/>
    <n v="16.6631"/>
    <n v="16.8552"/>
    <n v="16.327000000000002"/>
    <n v="16.807200000000002"/>
    <n v="196330"/>
    <n v="-3.9220999999999999"/>
    <n v="3.2353000000000001"/>
  </r>
  <r>
    <n v="2330"/>
    <x v="1"/>
    <d v="2018-07-26T00:00:00"/>
    <x v="3"/>
    <x v="6"/>
    <n v="227.60470000000001"/>
    <n v="229.0214"/>
    <n v="226.18809999999999"/>
    <n v="227.60470000000001"/>
    <n v="30856"/>
    <n v="0.2077"/>
    <n v="1.2525999999999999"/>
  </r>
  <r>
    <n v="2303"/>
    <x v="0"/>
    <d v="2018-07-27T00:00:00"/>
    <x v="4"/>
    <x v="6"/>
    <n v="16.7592"/>
    <n v="16.8552"/>
    <n v="16.5671"/>
    <n v="16.615100000000002"/>
    <n v="58505"/>
    <n v="-1.1494"/>
    <n v="1.7391000000000001"/>
  </r>
  <r>
    <n v="2330"/>
    <x v="1"/>
    <d v="2018-07-27T00:00:00"/>
    <x v="4"/>
    <x v="6"/>
    <n v="228.54920000000001"/>
    <n v="230.9102"/>
    <n v="227.60470000000001"/>
    <n v="230.9102"/>
    <n v="27129"/>
    <n v="1.4418"/>
    <n v="1.4522999999999999"/>
  </r>
  <r>
    <n v="2303"/>
    <x v="0"/>
    <d v="2018-07-30T00:00:00"/>
    <x v="0"/>
    <x v="6"/>
    <n v="16.519100000000002"/>
    <n v="16.615100000000002"/>
    <n v="16.327000000000002"/>
    <n v="16.519100000000002"/>
    <n v="56184"/>
    <n v="-0.57969999999999999"/>
    <n v="1.7646999999999999"/>
  </r>
  <r>
    <n v="2330"/>
    <x v="1"/>
    <d v="2018-07-30T00:00:00"/>
    <x v="0"/>
    <x v="6"/>
    <n v="230.9102"/>
    <n v="231.8546"/>
    <n v="230.43799999999999"/>
    <n v="231.8546"/>
    <n v="22803"/>
    <n v="0.40820000000000001"/>
    <n v="0.61480000000000001"/>
  </r>
  <r>
    <n v="2303"/>
    <x v="0"/>
    <d v="2018-07-31T00:00:00"/>
    <x v="1"/>
    <x v="6"/>
    <n v="16.519100000000002"/>
    <n v="16.8552"/>
    <n v="16.471"/>
    <n v="16.8552"/>
    <n v="120093"/>
    <n v="2.0145"/>
    <n v="2.3323999999999998"/>
  </r>
  <r>
    <n v="2330"/>
    <x v="1"/>
    <d v="2018-07-31T00:00:00"/>
    <x v="1"/>
    <x v="6"/>
    <n v="229.9658"/>
    <n v="232.32679999999999"/>
    <n v="228.54920000000001"/>
    <n v="232.32679999999999"/>
    <n v="28202"/>
    <n v="0.20349999999999999"/>
    <n v="1.6529"/>
  </r>
  <r>
    <n v="2303"/>
    <x v="0"/>
    <d v="2018-08-01T00:00:00"/>
    <x v="2"/>
    <x v="7"/>
    <n v="16.807200000000002"/>
    <n v="16.807200000000002"/>
    <n v="16.519100000000002"/>
    <n v="16.711099999999998"/>
    <n v="32256"/>
    <n v="-0.85840000000000005"/>
    <n v="1.7442"/>
  </r>
  <r>
    <n v="2330"/>
    <x v="1"/>
    <d v="2018-08-01T00:00:00"/>
    <x v="2"/>
    <x v="7"/>
    <n v="233.27119999999999"/>
    <n v="234.2157"/>
    <n v="232.79900000000001"/>
    <n v="234.2157"/>
    <n v="29777"/>
    <n v="0.80969999999999998"/>
    <n v="0.60850000000000004"/>
  </r>
  <r>
    <n v="2303"/>
    <x v="0"/>
    <d v="2018-08-02T00:00:00"/>
    <x v="3"/>
    <x v="7"/>
    <n v="16.807200000000002"/>
    <n v="16.807200000000002"/>
    <n v="16.519100000000002"/>
    <n v="16.615100000000002"/>
    <n v="30848"/>
    <n v="-0.57640000000000002"/>
    <n v="1.7442"/>
  </r>
  <r>
    <n v="2330"/>
    <x v="1"/>
    <d v="2018-08-02T00:00:00"/>
    <x v="3"/>
    <x v="7"/>
    <n v="235.1601"/>
    <n v="235.63229999999999"/>
    <n v="229.9658"/>
    <n v="230.9102"/>
    <n v="22775"/>
    <n v="-1.4213"/>
    <n v="2.4641000000000002"/>
  </r>
  <r>
    <n v="2303"/>
    <x v="0"/>
    <d v="2018-08-03T00:00:00"/>
    <x v="4"/>
    <x v="7"/>
    <n v="16.711099999999998"/>
    <n v="17.0473"/>
    <n v="16.711099999999998"/>
    <n v="16.999300000000002"/>
    <n v="59521"/>
    <n v="2.2858000000000001"/>
    <n v="2.0114999999999998"/>
  </r>
  <r>
    <n v="2330"/>
    <x v="1"/>
    <d v="2018-08-03T00:00:00"/>
    <x v="4"/>
    <x v="7"/>
    <n v="232.32679999999999"/>
    <n v="234.2157"/>
    <n v="231.38239999999999"/>
    <n v="233.27119999999999"/>
    <n v="25165"/>
    <n v="1.0173000000000001"/>
    <n v="1.2244999999999999"/>
  </r>
  <r>
    <n v="2303"/>
    <x v="0"/>
    <d v="2018-08-06T00:00:00"/>
    <x v="0"/>
    <x v="7"/>
    <n v="17.095300000000002"/>
    <n v="17.3354"/>
    <n v="17.0473"/>
    <n v="17.2394"/>
    <n v="62004"/>
    <n v="1.4025000000000001"/>
    <n v="1.6900999999999999"/>
  </r>
  <r>
    <n v="2330"/>
    <x v="1"/>
    <d v="2018-08-06T00:00:00"/>
    <x v="0"/>
    <x v="7"/>
    <n v="231.38239999999999"/>
    <n v="233.27119999999999"/>
    <n v="230.43799999999999"/>
    <n v="231.8546"/>
    <n v="22364"/>
    <n v="-0.60909999999999997"/>
    <n v="1.2295"/>
  </r>
  <r>
    <n v="2303"/>
    <x v="0"/>
    <d v="2018-08-07T00:00:00"/>
    <x v="1"/>
    <x v="7"/>
    <n v="17.095300000000002"/>
    <n v="17.2394"/>
    <n v="16.999300000000002"/>
    <n v="17.1433"/>
    <n v="33961"/>
    <n v="-0.55869999999999997"/>
    <n v="1.4124000000000001"/>
  </r>
  <r>
    <n v="2330"/>
    <x v="1"/>
    <d v="2018-08-07T00:00:00"/>
    <x v="1"/>
    <x v="7"/>
    <n v="231.38239999999999"/>
    <n v="231.8546"/>
    <n v="228.07689999999999"/>
    <n v="228.07689999999999"/>
    <n v="24352"/>
    <n v="-1.6427"/>
    <n v="1.6563000000000001"/>
  </r>
  <r>
    <n v="2303"/>
    <x v="0"/>
    <d v="2018-08-08T00:00:00"/>
    <x v="2"/>
    <x v="7"/>
    <n v="17.2394"/>
    <n v="17.287400000000002"/>
    <n v="17.0473"/>
    <n v="17.2394"/>
    <n v="49063"/>
    <n v="0.55869999999999997"/>
    <n v="1.4085000000000001"/>
  </r>
  <r>
    <n v="2330"/>
    <x v="1"/>
    <d v="2018-08-08T00:00:00"/>
    <x v="2"/>
    <x v="7"/>
    <n v="231.38239999999999"/>
    <n v="233.74350000000001"/>
    <n v="230.9102"/>
    <n v="233.74350000000001"/>
    <n v="24382"/>
    <n v="2.4540999999999999"/>
    <n v="1.2270000000000001"/>
  </r>
  <r>
    <n v="2303"/>
    <x v="0"/>
    <d v="2018-08-09T00:00:00"/>
    <x v="3"/>
    <x v="7"/>
    <n v="17.1433"/>
    <n v="17.3354"/>
    <n v="16.999300000000002"/>
    <n v="17.1433"/>
    <n v="71095"/>
    <n v="-0.55869999999999997"/>
    <n v="1.9774"/>
  </r>
  <r>
    <n v="2330"/>
    <x v="1"/>
    <d v="2018-08-09T00:00:00"/>
    <x v="3"/>
    <x v="7"/>
    <n v="233.27119999999999"/>
    <n v="234.2157"/>
    <n v="232.32679999999999"/>
    <n v="233.27119999999999"/>
    <n v="15128"/>
    <n v="-0.20219999999999999"/>
    <n v="0.81299999999999994"/>
  </r>
  <r>
    <n v="2303"/>
    <x v="0"/>
    <d v="2018-08-10T00:00:00"/>
    <x v="4"/>
    <x v="7"/>
    <n v="17.095300000000002"/>
    <n v="17.3354"/>
    <n v="17.0473"/>
    <n v="17.2394"/>
    <n v="51563"/>
    <n v="0.55869999999999997"/>
    <n v="1.6900999999999999"/>
  </r>
  <r>
    <n v="2330"/>
    <x v="1"/>
    <d v="2018-08-10T00:00:00"/>
    <x v="4"/>
    <x v="7"/>
    <n v="232.79900000000001"/>
    <n v="233.27119999999999"/>
    <n v="230.9102"/>
    <n v="231.38239999999999"/>
    <n v="16125"/>
    <n v="-0.81299999999999994"/>
    <n v="1.0225"/>
  </r>
  <r>
    <n v="2303"/>
    <x v="0"/>
    <d v="2018-08-13T00:00:00"/>
    <x v="0"/>
    <x v="7"/>
    <n v="17.095300000000002"/>
    <n v="17.1433"/>
    <n v="16.615100000000002"/>
    <n v="16.615100000000002"/>
    <n v="56243"/>
    <n v="-3.6884000000000001"/>
    <n v="3.1791999999999998"/>
  </r>
  <r>
    <n v="2330"/>
    <x v="1"/>
    <d v="2018-08-13T00:00:00"/>
    <x v="0"/>
    <x v="7"/>
    <n v="228.07689999999999"/>
    <n v="229.49359999999999"/>
    <n v="225.7159"/>
    <n v="227.13249999999999"/>
    <n v="17881"/>
    <n v="-1.8537999999999999"/>
    <n v="1.6736"/>
  </r>
  <r>
    <n v="2303"/>
    <x v="0"/>
    <d v="2018-08-14T00:00:00"/>
    <x v="1"/>
    <x v="7"/>
    <n v="16.615100000000002"/>
    <n v="16.7592"/>
    <n v="16.5671"/>
    <n v="16.711099999999998"/>
    <n v="28349"/>
    <n v="0.57640000000000002"/>
    <n v="1.1594"/>
  </r>
  <r>
    <n v="2330"/>
    <x v="1"/>
    <d v="2018-08-14T00:00:00"/>
    <x v="1"/>
    <x v="7"/>
    <n v="231.38239999999999"/>
    <n v="231.38239999999999"/>
    <n v="229.0214"/>
    <n v="229.9658"/>
    <n v="17488"/>
    <n v="1.2397"/>
    <n v="1.0308999999999999"/>
  </r>
  <r>
    <n v="2303"/>
    <x v="0"/>
    <d v="2018-08-15T00:00:00"/>
    <x v="2"/>
    <x v="7"/>
    <n v="16.711099999999998"/>
    <n v="16.7592"/>
    <n v="16.2789"/>
    <n v="16.2789"/>
    <n v="54972"/>
    <n v="-2.6202000000000001"/>
    <n v="2.9499"/>
  </r>
  <r>
    <n v="2330"/>
    <x v="1"/>
    <d v="2018-08-15T00:00:00"/>
    <x v="2"/>
    <x v="7"/>
    <n v="230.9102"/>
    <n v="230.9102"/>
    <n v="226.18809999999999"/>
    <n v="228.07689999999999"/>
    <n v="19236"/>
    <n v="-0.82469999999999999"/>
    <n v="2.0876999999999999"/>
  </r>
  <r>
    <n v="2303"/>
    <x v="0"/>
    <d v="2018-08-16T00:00:00"/>
    <x v="3"/>
    <x v="7"/>
    <n v="16.0869"/>
    <n v="16.519100000000002"/>
    <n v="16.038799999999998"/>
    <n v="16.471"/>
    <n v="35998"/>
    <n v="1.173"/>
    <n v="2.9940000000000002"/>
  </r>
  <r>
    <n v="2330"/>
    <x v="1"/>
    <d v="2018-08-16T00:00:00"/>
    <x v="3"/>
    <x v="7"/>
    <n v="224.7715"/>
    <n v="228.07689999999999"/>
    <n v="224.7715"/>
    <n v="225.7159"/>
    <n v="19155"/>
    <n v="-1.0406"/>
    <n v="1.4705999999999999"/>
  </r>
  <r>
    <n v="2303"/>
    <x v="0"/>
    <d v="2018-08-17T00:00:00"/>
    <x v="4"/>
    <x v="7"/>
    <n v="16.471"/>
    <n v="16.5671"/>
    <n v="16.422999999999998"/>
    <n v="16.519100000000002"/>
    <n v="34151"/>
    <n v="0.29110000000000003"/>
    <n v="0.87719999999999998"/>
  </r>
  <r>
    <n v="2330"/>
    <x v="1"/>
    <d v="2018-08-17T00:00:00"/>
    <x v="4"/>
    <x v="7"/>
    <n v="226.18809999999999"/>
    <n v="227.60470000000001"/>
    <n v="225.7159"/>
    <n v="226.18809999999999"/>
    <n v="19634"/>
    <n v="0.20899999999999999"/>
    <n v="0.83679999999999999"/>
  </r>
  <r>
    <n v="2303"/>
    <x v="0"/>
    <d v="2018-08-20T00:00:00"/>
    <x v="0"/>
    <x v="7"/>
    <n v="16.5671"/>
    <n v="16.9512"/>
    <n v="16.519100000000002"/>
    <n v="16.8552"/>
    <n v="38445"/>
    <n v="2.0145"/>
    <n v="2.6162999999999998"/>
  </r>
  <r>
    <n v="2330"/>
    <x v="1"/>
    <d v="2018-08-20T00:00:00"/>
    <x v="0"/>
    <x v="7"/>
    <n v="226.18809999999999"/>
    <n v="226.66030000000001"/>
    <n v="224.7715"/>
    <n v="226.18809999999999"/>
    <n v="17014"/>
    <n v="0"/>
    <n v="0.84030000000000005"/>
  </r>
  <r>
    <n v="2303"/>
    <x v="0"/>
    <d v="2018-08-21T00:00:00"/>
    <x v="1"/>
    <x v="7"/>
    <n v="16.903199999999998"/>
    <n v="17.287400000000002"/>
    <n v="16.8552"/>
    <n v="17.287400000000002"/>
    <n v="80748"/>
    <n v="2.5318000000000001"/>
    <n v="2.5640999999999998"/>
  </r>
  <r>
    <n v="2330"/>
    <x v="1"/>
    <d v="2018-08-21T00:00:00"/>
    <x v="1"/>
    <x v="7"/>
    <n v="225.7159"/>
    <n v="227.60470000000001"/>
    <n v="225.24369999999999"/>
    <n v="227.60470000000001"/>
    <n v="13871"/>
    <n v="0.62439999999999996"/>
    <n v="1.0482"/>
  </r>
  <r>
    <n v="2303"/>
    <x v="0"/>
    <d v="2018-08-22T00:00:00"/>
    <x v="2"/>
    <x v="7"/>
    <n v="17.191299999999998"/>
    <n v="17.191299999999998"/>
    <n v="16.807200000000002"/>
    <n v="16.807200000000002"/>
    <n v="36992"/>
    <n v="-2.8170999999999999"/>
    <n v="2.2856999999999998"/>
  </r>
  <r>
    <n v="2330"/>
    <x v="1"/>
    <d v="2018-08-22T00:00:00"/>
    <x v="2"/>
    <x v="7"/>
    <n v="228.07689999999999"/>
    <n v="229.0214"/>
    <n v="227.13249999999999"/>
    <n v="228.54920000000001"/>
    <n v="12679"/>
    <n v="0.41410000000000002"/>
    <n v="0.83160000000000001"/>
  </r>
  <r>
    <n v="2303"/>
    <x v="0"/>
    <d v="2018-08-23T00:00:00"/>
    <x v="3"/>
    <x v="7"/>
    <n v="16.8552"/>
    <n v="16.9512"/>
    <n v="16.7592"/>
    <n v="16.9512"/>
    <n v="18832"/>
    <n v="0.85350000000000004"/>
    <n v="1.1460999999999999"/>
  </r>
  <r>
    <n v="2330"/>
    <x v="1"/>
    <d v="2018-08-23T00:00:00"/>
    <x v="3"/>
    <x v="7"/>
    <n v="229.49359999999999"/>
    <n v="230.9102"/>
    <n v="229.49359999999999"/>
    <n v="230.9102"/>
    <n v="17216"/>
    <n v="1.0278"/>
    <n v="0.61729999999999996"/>
  </r>
  <r>
    <n v="2303"/>
    <x v="0"/>
    <d v="2018-08-24T00:00:00"/>
    <x v="4"/>
    <x v="7"/>
    <n v="16.8552"/>
    <n v="16.9512"/>
    <n v="16.519100000000002"/>
    <n v="16.615100000000002"/>
    <n v="26098"/>
    <n v="-2.0028999999999999"/>
    <n v="2.6162999999999998"/>
  </r>
  <r>
    <n v="2330"/>
    <x v="1"/>
    <d v="2018-08-24T00:00:00"/>
    <x v="4"/>
    <x v="7"/>
    <n v="231.8546"/>
    <n v="232.32679999999999"/>
    <n v="229.49359999999999"/>
    <n v="229.9658"/>
    <n v="15446"/>
    <n v="-0.4098"/>
    <n v="1.2345999999999999"/>
  </r>
  <r>
    <n v="2303"/>
    <x v="0"/>
    <d v="2018-08-27T00:00:00"/>
    <x v="0"/>
    <x v="7"/>
    <n v="16.7592"/>
    <n v="16.7592"/>
    <n v="16.519100000000002"/>
    <n v="16.711099999999998"/>
    <n v="23325"/>
    <n v="0.57640000000000002"/>
    <n v="1.4535"/>
  </r>
  <r>
    <n v="2330"/>
    <x v="1"/>
    <d v="2018-08-27T00:00:00"/>
    <x v="0"/>
    <x v="7"/>
    <n v="232.32679999999999"/>
    <n v="232.79900000000001"/>
    <n v="230.9102"/>
    <n v="231.38239999999999"/>
    <n v="15579"/>
    <n v="0.61409999999999998"/>
    <n v="0.81799999999999995"/>
  </r>
  <r>
    <n v="2303"/>
    <x v="0"/>
    <d v="2018-08-28T00:00:00"/>
    <x v="1"/>
    <x v="7"/>
    <n v="16.711099999999998"/>
    <n v="16.999300000000002"/>
    <n v="16.6631"/>
    <n v="16.807200000000002"/>
    <n v="24876"/>
    <n v="0.57310000000000005"/>
    <n v="2.0173000000000001"/>
  </r>
  <r>
    <n v="2330"/>
    <x v="1"/>
    <d v="2018-08-28T00:00:00"/>
    <x v="1"/>
    <x v="7"/>
    <n v="234.68790000000001"/>
    <n v="236.1045"/>
    <n v="234.2157"/>
    <n v="235.63229999999999"/>
    <n v="40410"/>
    <n v="1.8201000000000001"/>
    <n v="0.80649999999999999"/>
  </r>
  <r>
    <n v="2303"/>
    <x v="0"/>
    <d v="2018-08-29T00:00:00"/>
    <x v="2"/>
    <x v="7"/>
    <n v="16.807200000000002"/>
    <n v="16.903199999999998"/>
    <n v="16.6631"/>
    <n v="16.8552"/>
    <n v="28640"/>
    <n v="0.2853"/>
    <n v="1.4409000000000001"/>
  </r>
  <r>
    <n v="2330"/>
    <x v="1"/>
    <d v="2018-08-29T00:00:00"/>
    <x v="2"/>
    <x v="7"/>
    <n v="239.41"/>
    <n v="244.60429999999999"/>
    <n v="239.41"/>
    <n v="244.60429999999999"/>
    <n v="57633"/>
    <n v="3.7368999999999999"/>
    <n v="2.1696"/>
  </r>
  <r>
    <n v="2303"/>
    <x v="0"/>
    <d v="2018-08-30T00:00:00"/>
    <x v="3"/>
    <x v="7"/>
    <n v="16.807200000000002"/>
    <n v="16.8552"/>
    <n v="16.6631"/>
    <n v="16.6631"/>
    <n v="25952"/>
    <n v="-1.1460999999999999"/>
    <n v="1.1527000000000001"/>
  </r>
  <r>
    <n v="2330"/>
    <x v="1"/>
    <d v="2018-08-30T00:00:00"/>
    <x v="3"/>
    <x v="7"/>
    <n v="249.79859999999999"/>
    <n v="253.10400000000001"/>
    <n v="247.90969999999999"/>
    <n v="248.85409999999999"/>
    <n v="52622"/>
    <n v="1.7224999999999999"/>
    <n v="2.0952000000000002"/>
  </r>
  <r>
    <n v="2303"/>
    <x v="0"/>
    <d v="2018-08-31T00:00:00"/>
    <x v="4"/>
    <x v="7"/>
    <n v="16.5671"/>
    <n v="16.6631"/>
    <n v="16.422999999999998"/>
    <n v="16.6631"/>
    <n v="43748"/>
    <n v="0"/>
    <n v="1.462"/>
  </r>
  <r>
    <n v="2330"/>
    <x v="1"/>
    <d v="2018-08-31T00:00:00"/>
    <x v="4"/>
    <x v="7"/>
    <n v="243.1876"/>
    <n v="244.60429999999999"/>
    <n v="239.88220000000001"/>
    <n v="241.77099999999999"/>
    <n v="70000"/>
    <n v="-2.8875999999999999"/>
    <n v="1.9684999999999999"/>
  </r>
  <r>
    <n v="2303"/>
    <x v="0"/>
    <d v="2018-09-03T00:00:00"/>
    <x v="0"/>
    <x v="8"/>
    <n v="16.519100000000002"/>
    <n v="16.615100000000002"/>
    <n v="16.375"/>
    <n v="16.422999999999998"/>
    <n v="25144"/>
    <n v="-1.4514"/>
    <n v="1.4662999999999999"/>
  </r>
  <r>
    <n v="2330"/>
    <x v="1"/>
    <d v="2018-09-03T00:00:00"/>
    <x v="0"/>
    <x v="8"/>
    <n v="244.60429999999999"/>
    <n v="245.5487"/>
    <n v="242.2432"/>
    <n v="242.71539999999999"/>
    <n v="34510"/>
    <n v="0.38990000000000002"/>
    <n v="1.3645"/>
  </r>
  <r>
    <n v="2303"/>
    <x v="0"/>
    <d v="2018-09-04T00:00:00"/>
    <x v="1"/>
    <x v="8"/>
    <n v="16.471"/>
    <n v="16.5671"/>
    <n v="16.422999999999998"/>
    <n v="16.519100000000002"/>
    <n v="16189"/>
    <n v="0.58309999999999995"/>
    <n v="0.87719999999999998"/>
  </r>
  <r>
    <n v="2330"/>
    <x v="1"/>
    <d v="2018-09-04T00:00:00"/>
    <x v="1"/>
    <x v="8"/>
    <n v="244.13210000000001"/>
    <n v="245.07650000000001"/>
    <n v="241.2988"/>
    <n v="243.1876"/>
    <n v="41455"/>
    <n v="0.19439999999999999"/>
    <n v="1.5656000000000001"/>
  </r>
  <r>
    <n v="2303"/>
    <x v="0"/>
    <d v="2018-09-05T00:00:00"/>
    <x v="2"/>
    <x v="8"/>
    <n v="16.422999999999998"/>
    <n v="16.471"/>
    <n v="16.327000000000002"/>
    <n v="16.327000000000002"/>
    <n v="33116"/>
    <n v="-1.1696"/>
    <n v="0.88239999999999996"/>
  </r>
  <r>
    <n v="2330"/>
    <x v="1"/>
    <d v="2018-09-05T00:00:00"/>
    <x v="2"/>
    <x v="8"/>
    <n v="245.5487"/>
    <n v="249.79859999999999"/>
    <n v="244.60429999999999"/>
    <n v="249.32640000000001"/>
    <n v="52706"/>
    <n v="2.4929000000000001"/>
    <n v="2.1236000000000002"/>
  </r>
  <r>
    <n v="2303"/>
    <x v="0"/>
    <d v="2018-09-06T00:00:00"/>
    <x v="3"/>
    <x v="8"/>
    <n v="16.1829"/>
    <n v="16.2789"/>
    <n v="16.0869"/>
    <n v="16.230899999999998"/>
    <n v="31933"/>
    <n v="-0.59"/>
    <n v="1.194"/>
  </r>
  <r>
    <n v="2330"/>
    <x v="1"/>
    <d v="2018-09-06T00:00:00"/>
    <x v="3"/>
    <x v="8"/>
    <n v="253.10400000000001"/>
    <n v="253.10400000000001"/>
    <n v="246.4931"/>
    <n v="246.4931"/>
    <n v="39779"/>
    <n v="-1.1429"/>
    <n v="2.6819999999999999"/>
  </r>
  <r>
    <n v="2303"/>
    <x v="0"/>
    <d v="2018-09-07T00:00:00"/>
    <x v="4"/>
    <x v="8"/>
    <n v="16.0869"/>
    <n v="16.1829"/>
    <n v="15.5106"/>
    <n v="15.6547"/>
    <n v="50782"/>
    <n v="-3.6149"/>
    <n v="4.3343999999999996"/>
  </r>
  <r>
    <n v="2330"/>
    <x v="1"/>
    <d v="2018-09-07T00:00:00"/>
    <x v="4"/>
    <x v="8"/>
    <n v="248.3819"/>
    <n v="249.32640000000001"/>
    <n v="246.02090000000001"/>
    <n v="249.32640000000001"/>
    <n v="44746"/>
    <n v="1.1429"/>
    <n v="1.3435999999999999"/>
  </r>
  <r>
    <n v="2303"/>
    <x v="0"/>
    <d v="2018-09-10T00:00:00"/>
    <x v="0"/>
    <x v="8"/>
    <n v="15.5586"/>
    <n v="15.6067"/>
    <n v="14.8864"/>
    <n v="14.9344"/>
    <n v="119456"/>
    <n v="-4.7103999999999999"/>
    <n v="4.8387000000000002"/>
  </r>
  <r>
    <n v="2330"/>
    <x v="1"/>
    <d v="2018-09-10T00:00:00"/>
    <x v="0"/>
    <x v="8"/>
    <n v="251.6874"/>
    <n v="251.6874"/>
    <n v="247.90969999999999"/>
    <n v="249.79859999999999"/>
    <n v="62851"/>
    <n v="0.18920000000000001"/>
    <n v="1.5238"/>
  </r>
  <r>
    <n v="2303"/>
    <x v="0"/>
    <d v="2018-09-11T00:00:00"/>
    <x v="1"/>
    <x v="8"/>
    <n v="14.8864"/>
    <n v="15.0784"/>
    <n v="14.7423"/>
    <n v="15.0304"/>
    <n v="68393"/>
    <n v="0.64100000000000001"/>
    <n v="2.2801"/>
  </r>
  <r>
    <n v="2330"/>
    <x v="1"/>
    <d v="2018-09-11T00:00:00"/>
    <x v="1"/>
    <x v="8"/>
    <n v="248.3819"/>
    <n v="248.85409999999999"/>
    <n v="243.65979999999999"/>
    <n v="245.5487"/>
    <n v="44981"/>
    <n v="-1.716"/>
    <n v="2.1318000000000001"/>
  </r>
  <r>
    <n v="2303"/>
    <x v="0"/>
    <d v="2018-09-12T00:00:00"/>
    <x v="2"/>
    <x v="8"/>
    <n v="15.0784"/>
    <n v="15.1265"/>
    <n v="14.6943"/>
    <n v="14.7903"/>
    <n v="36269"/>
    <n v="-1.6103000000000001"/>
    <n v="2.9411999999999998"/>
  </r>
  <r>
    <n v="2330"/>
    <x v="1"/>
    <d v="2018-09-12T00:00:00"/>
    <x v="2"/>
    <x v="8"/>
    <n v="246.4931"/>
    <n v="247.4375"/>
    <n v="243.65979999999999"/>
    <n v="246.02090000000001"/>
    <n v="38415"/>
    <n v="0.19209999999999999"/>
    <n v="1.5504"/>
  </r>
  <r>
    <n v="2303"/>
    <x v="0"/>
    <d v="2018-09-13T00:00:00"/>
    <x v="3"/>
    <x v="8"/>
    <n v="14.7903"/>
    <n v="14.9824"/>
    <n v="14.5982"/>
    <n v="14.9824"/>
    <n v="35107"/>
    <n v="1.2903"/>
    <n v="2.6316000000000002"/>
  </r>
  <r>
    <n v="2330"/>
    <x v="1"/>
    <d v="2018-09-13T00:00:00"/>
    <x v="3"/>
    <x v="8"/>
    <n v="245.5487"/>
    <n v="245.5487"/>
    <n v="239.41"/>
    <n v="240.82660000000001"/>
    <n v="37959"/>
    <n v="-2.1339000000000001"/>
    <n v="2.5640999999999998"/>
  </r>
  <r>
    <n v="2303"/>
    <x v="0"/>
    <d v="2018-09-14T00:00:00"/>
    <x v="4"/>
    <x v="8"/>
    <n v="15.0784"/>
    <n v="15.1745"/>
    <n v="14.9824"/>
    <n v="15.0784"/>
    <n v="34909"/>
    <n v="0.63900000000000001"/>
    <n v="1.2821"/>
  </r>
  <r>
    <n v="2330"/>
    <x v="1"/>
    <d v="2018-09-14T00:00:00"/>
    <x v="4"/>
    <x v="8"/>
    <n v="242.71539999999999"/>
    <n v="246.96530000000001"/>
    <n v="242.71539999999999"/>
    <n v="246.4931"/>
    <n v="40034"/>
    <n v="2.3256999999999999"/>
    <n v="1.7509999999999999"/>
  </r>
  <r>
    <n v="2303"/>
    <x v="0"/>
    <d v="2018-09-17T00:00:00"/>
    <x v="0"/>
    <x v="8"/>
    <n v="15.0784"/>
    <n v="15.0784"/>
    <n v="14.9344"/>
    <n v="14.9824"/>
    <n v="17324"/>
    <n v="-0.63900000000000001"/>
    <n v="0.96460000000000001"/>
  </r>
  <r>
    <n v="2330"/>
    <x v="1"/>
    <d v="2018-09-17T00:00:00"/>
    <x v="0"/>
    <x v="8"/>
    <n v="247.90969999999999"/>
    <n v="247.90969999999999"/>
    <n v="242.71539999999999"/>
    <n v="243.65979999999999"/>
    <n v="25041"/>
    <n v="-1.1560999999999999"/>
    <n v="2.1400999999999999"/>
  </r>
  <r>
    <n v="2303"/>
    <x v="0"/>
    <d v="2018-09-18T00:00:00"/>
    <x v="1"/>
    <x v="8"/>
    <n v="14.8864"/>
    <n v="14.9344"/>
    <n v="14.5982"/>
    <n v="14.6943"/>
    <n v="26206"/>
    <n v="-1.9418"/>
    <n v="2.3026"/>
  </r>
  <r>
    <n v="2330"/>
    <x v="1"/>
    <d v="2018-09-18T00:00:00"/>
    <x v="1"/>
    <x v="8"/>
    <n v="242.2432"/>
    <n v="242.71539999999999"/>
    <n v="239.88220000000001"/>
    <n v="240.3544"/>
    <n v="34381"/>
    <n v="-1.3658999999999999"/>
    <n v="1.1811"/>
  </r>
  <r>
    <n v="2303"/>
    <x v="0"/>
    <d v="2018-09-19T00:00:00"/>
    <x v="2"/>
    <x v="8"/>
    <n v="14.8383"/>
    <n v="15.0304"/>
    <n v="14.7423"/>
    <n v="14.9824"/>
    <n v="31600"/>
    <n v="1.9418"/>
    <n v="1.9543999999999999"/>
  </r>
  <r>
    <n v="2330"/>
    <x v="1"/>
    <d v="2018-09-19T00:00:00"/>
    <x v="2"/>
    <x v="8"/>
    <n v="243.65979999999999"/>
    <n v="245.5487"/>
    <n v="242.71539999999999"/>
    <n v="243.65979999999999"/>
    <n v="69978"/>
    <n v="1.3658999999999999"/>
    <n v="1.1673"/>
  </r>
  <r>
    <n v="2303"/>
    <x v="0"/>
    <d v="2018-09-20T00:00:00"/>
    <x v="3"/>
    <x v="8"/>
    <n v="14.9824"/>
    <n v="14.9824"/>
    <n v="14.7903"/>
    <n v="14.8383"/>
    <n v="23341"/>
    <n v="-0.96619999999999995"/>
    <n v="1.2987"/>
  </r>
  <r>
    <n v="2330"/>
    <x v="1"/>
    <d v="2018-09-20T00:00:00"/>
    <x v="3"/>
    <x v="8"/>
    <n v="246.96530000000001"/>
    <n v="246.96530000000001"/>
    <n v="243.1876"/>
    <n v="245.5487"/>
    <n v="35577"/>
    <n v="0.7722"/>
    <n v="1.5533999999999999"/>
  </r>
  <r>
    <n v="2303"/>
    <x v="0"/>
    <d v="2018-09-21T00:00:00"/>
    <x v="4"/>
    <x v="8"/>
    <n v="14.9344"/>
    <n v="15.2225"/>
    <n v="14.8383"/>
    <n v="15.2225"/>
    <n v="45287"/>
    <n v="2.556"/>
    <n v="2.589"/>
  </r>
  <r>
    <n v="2330"/>
    <x v="1"/>
    <d v="2018-09-21T00:00:00"/>
    <x v="4"/>
    <x v="8"/>
    <n v="246.96530000000001"/>
    <n v="246.96530000000001"/>
    <n v="243.65979999999999"/>
    <n v="246.96530000000001"/>
    <n v="36500"/>
    <n v="0.57530000000000003"/>
    <n v="1.3566"/>
  </r>
  <r>
    <n v="2303"/>
    <x v="0"/>
    <d v="2018-09-25T00:00:00"/>
    <x v="1"/>
    <x v="8"/>
    <n v="15.2705"/>
    <n v="15.2705"/>
    <n v="14.9824"/>
    <n v="15.0304"/>
    <n v="18291"/>
    <n v="-1.2699"/>
    <n v="1.9231"/>
  </r>
  <r>
    <n v="2330"/>
    <x v="1"/>
    <d v="2018-09-25T00:00:00"/>
    <x v="1"/>
    <x v="8"/>
    <n v="246.96530000000001"/>
    <n v="249.32640000000001"/>
    <n v="246.02090000000001"/>
    <n v="248.85409999999999"/>
    <n v="24978"/>
    <n v="0.76190000000000002"/>
    <n v="1.3435999999999999"/>
  </r>
  <r>
    <n v="2303"/>
    <x v="0"/>
    <d v="2018-09-26T00:00:00"/>
    <x v="2"/>
    <x v="8"/>
    <n v="14.9824"/>
    <n v="15.2705"/>
    <n v="14.9824"/>
    <n v="15.2705"/>
    <n v="26348"/>
    <n v="1.5848"/>
    <n v="1.9231"/>
  </r>
  <r>
    <n v="2330"/>
    <x v="1"/>
    <d v="2018-09-26T00:00:00"/>
    <x v="2"/>
    <x v="8"/>
    <n v="248.3819"/>
    <n v="248.85409999999999"/>
    <n v="246.4931"/>
    <n v="248.85409999999999"/>
    <n v="25061"/>
    <n v="0"/>
    <n v="0.95789999999999997"/>
  </r>
  <r>
    <n v="2303"/>
    <x v="0"/>
    <d v="2018-09-27T00:00:00"/>
    <x v="3"/>
    <x v="8"/>
    <n v="15.1745"/>
    <n v="15.3666"/>
    <n v="15.1265"/>
    <n v="15.3185"/>
    <n v="25682"/>
    <n v="0.314"/>
    <n v="1.5872999999999999"/>
  </r>
  <r>
    <n v="2330"/>
    <x v="1"/>
    <d v="2018-09-27T00:00:00"/>
    <x v="3"/>
    <x v="8"/>
    <n v="249.32640000000001"/>
    <n v="251.21520000000001"/>
    <n v="247.4375"/>
    <n v="250.27080000000001"/>
    <n v="38495"/>
    <n v="0.56759999999999999"/>
    <n v="1.5266999999999999"/>
  </r>
  <r>
    <n v="2303"/>
    <x v="0"/>
    <d v="2018-09-28T00:00:00"/>
    <x v="4"/>
    <x v="8"/>
    <n v="15.2705"/>
    <n v="15.5106"/>
    <n v="15.2225"/>
    <n v="15.5106"/>
    <n v="30177"/>
    <n v="1.2461"/>
    <n v="1.8927"/>
  </r>
  <r>
    <n v="2330"/>
    <x v="1"/>
    <d v="2018-09-28T00:00:00"/>
    <x v="4"/>
    <x v="8"/>
    <n v="251.21520000000001"/>
    <n v="251.21520000000001"/>
    <n v="245.5487"/>
    <n v="247.90969999999999"/>
    <n v="39645"/>
    <n v="-0.94789999999999996"/>
    <n v="2.3077000000000001"/>
  </r>
  <r>
    <n v="2303"/>
    <x v="0"/>
    <d v="2018-10-01T00:00:00"/>
    <x v="0"/>
    <x v="9"/>
    <n v="15.3666"/>
    <n v="15.3666"/>
    <n v="15.2225"/>
    <n v="15.2705"/>
    <n v="12175"/>
    <n v="-1.5601"/>
    <n v="0.94640000000000002"/>
  </r>
  <r>
    <n v="2330"/>
    <x v="1"/>
    <d v="2018-10-01T00:00:00"/>
    <x v="0"/>
    <x v="9"/>
    <n v="247.4375"/>
    <n v="249.32640000000001"/>
    <n v="246.4931"/>
    <n v="248.3819"/>
    <n v="22409"/>
    <n v="0.1903"/>
    <n v="1.1494"/>
  </r>
  <r>
    <n v="2303"/>
    <x v="0"/>
    <d v="2018-10-02T00:00:00"/>
    <x v="1"/>
    <x v="9"/>
    <n v="15.2225"/>
    <n v="15.3185"/>
    <n v="14.9824"/>
    <n v="14.9824"/>
    <n v="15619"/>
    <n v="-1.9048"/>
    <n v="2.2435999999999998"/>
  </r>
  <r>
    <n v="2330"/>
    <x v="1"/>
    <d v="2018-10-02T00:00:00"/>
    <x v="1"/>
    <x v="9"/>
    <n v="247.4375"/>
    <n v="248.3819"/>
    <n v="242.71539999999999"/>
    <n v="243.1876"/>
    <n v="38391"/>
    <n v="-2.1133999999999999"/>
    <n v="2.3346"/>
  </r>
  <r>
    <n v="2303"/>
    <x v="0"/>
    <d v="2018-10-03T00:00:00"/>
    <x v="2"/>
    <x v="9"/>
    <n v="14.9824"/>
    <n v="15.0784"/>
    <n v="14.8383"/>
    <n v="14.8864"/>
    <n v="17982"/>
    <n v="-0.6431"/>
    <n v="1.6181000000000001"/>
  </r>
  <r>
    <n v="2330"/>
    <x v="1"/>
    <d v="2018-10-03T00:00:00"/>
    <x v="2"/>
    <x v="9"/>
    <n v="243.1876"/>
    <n v="245.5487"/>
    <n v="242.71539999999999"/>
    <n v="245.5487"/>
    <n v="25228"/>
    <n v="0.96619999999999995"/>
    <n v="1.1673"/>
  </r>
  <r>
    <n v="2303"/>
    <x v="0"/>
    <d v="2018-10-04T00:00:00"/>
    <x v="3"/>
    <x v="9"/>
    <n v="14.7903"/>
    <n v="14.8383"/>
    <n v="14.4542"/>
    <n v="14.5022"/>
    <n v="48764"/>
    <n v="-2.6145"/>
    <n v="2.6577999999999999"/>
  </r>
  <r>
    <n v="2330"/>
    <x v="1"/>
    <d v="2018-10-04T00:00:00"/>
    <x v="3"/>
    <x v="9"/>
    <n v="242.71539999999999"/>
    <n v="243.1876"/>
    <n v="239.88220000000001"/>
    <n v="239.88220000000001"/>
    <n v="38009"/>
    <n v="-2.3347000000000002"/>
    <n v="1.3779999999999999"/>
  </r>
  <r>
    <n v="2303"/>
    <x v="0"/>
    <d v="2018-10-05T00:00:00"/>
    <x v="4"/>
    <x v="9"/>
    <n v="14.4062"/>
    <n v="14.5022"/>
    <n v="14.022"/>
    <n v="14.118"/>
    <n v="57497"/>
    <n v="-2.6846999999999999"/>
    <n v="3.4247000000000001"/>
  </r>
  <r>
    <n v="2330"/>
    <x v="1"/>
    <d v="2018-10-05T00:00:00"/>
    <x v="4"/>
    <x v="9"/>
    <n v="236.1045"/>
    <n v="238.93780000000001"/>
    <n v="234.68790000000001"/>
    <n v="236.1045"/>
    <n v="40396"/>
    <n v="-1.5872999999999999"/>
    <n v="1.8109"/>
  </r>
  <r>
    <n v="2303"/>
    <x v="0"/>
    <d v="2018-10-08T00:00:00"/>
    <x v="0"/>
    <x v="9"/>
    <n v="14.07"/>
    <n v="14.2621"/>
    <n v="14.07"/>
    <n v="14.2141"/>
    <n v="21627"/>
    <n v="0.67800000000000005"/>
    <n v="1.3652"/>
  </r>
  <r>
    <n v="2330"/>
    <x v="1"/>
    <d v="2018-10-08T00:00:00"/>
    <x v="0"/>
    <x v="9"/>
    <n v="231.8546"/>
    <n v="232.79900000000001"/>
    <n v="227.60470000000001"/>
    <n v="229.9658"/>
    <n v="51083"/>
    <n v="-2.6343999999999999"/>
    <n v="2.2822"/>
  </r>
  <r>
    <n v="2303"/>
    <x v="0"/>
    <d v="2018-10-09T00:00:00"/>
    <x v="1"/>
    <x v="9"/>
    <n v="14.2141"/>
    <n v="14.2621"/>
    <n v="13.7339"/>
    <n v="14.2141"/>
    <n v="48875"/>
    <n v="0"/>
    <n v="3.8462000000000001"/>
  </r>
  <r>
    <n v="2330"/>
    <x v="1"/>
    <d v="2018-10-09T00:00:00"/>
    <x v="1"/>
    <x v="9"/>
    <n v="229.9658"/>
    <n v="231.38239999999999"/>
    <n v="228.54920000000001"/>
    <n v="230.43799999999999"/>
    <n v="28933"/>
    <n v="0.2051"/>
    <n v="1.2397"/>
  </r>
  <r>
    <n v="2303"/>
    <x v="0"/>
    <d v="2018-10-11T00:00:00"/>
    <x v="3"/>
    <x v="9"/>
    <n v="13.4457"/>
    <n v="13.6858"/>
    <n v="13.1096"/>
    <n v="13.2056"/>
    <n v="121302"/>
    <n v="-7.3587999999999996"/>
    <n v="4.3956"/>
  </r>
  <r>
    <n v="2330"/>
    <x v="1"/>
    <d v="2018-10-11T00:00:00"/>
    <x v="3"/>
    <x v="9"/>
    <n v="220.52160000000001"/>
    <n v="220.52160000000001"/>
    <n v="214.38290000000001"/>
    <n v="214.85509999999999"/>
    <n v="96033"/>
    <n v="-7.0018000000000002"/>
    <n v="2.8633999999999999"/>
  </r>
  <r>
    <n v="2303"/>
    <x v="0"/>
    <d v="2018-10-12T00:00:00"/>
    <x v="4"/>
    <x v="9"/>
    <n v="13.1096"/>
    <n v="13.4938"/>
    <n v="13.1096"/>
    <n v="13.1096"/>
    <n v="101810"/>
    <n v="-0.72989999999999999"/>
    <n v="2.9304000000000001"/>
  </r>
  <r>
    <n v="2330"/>
    <x v="1"/>
    <d v="2018-10-12T00:00:00"/>
    <x v="4"/>
    <x v="9"/>
    <n v="218.16059999999999"/>
    <n v="223.8271"/>
    <n v="216.27170000000001"/>
    <n v="223.8271"/>
    <n v="54439"/>
    <n v="4.0910000000000002"/>
    <n v="3.4933999999999998"/>
  </r>
  <r>
    <n v="2303"/>
    <x v="0"/>
    <d v="2018-10-15T00:00:00"/>
    <x v="0"/>
    <x v="9"/>
    <n v="13.0136"/>
    <n v="13.1096"/>
    <n v="12.8215"/>
    <n v="12.8215"/>
    <n v="66024"/>
    <n v="-2.2223000000000002"/>
    <n v="2.2471999999999999"/>
  </r>
  <r>
    <n v="2330"/>
    <x v="1"/>
    <d v="2018-10-15T00:00:00"/>
    <x v="0"/>
    <x v="9"/>
    <n v="220.99379999999999"/>
    <n v="220.99379999999999"/>
    <n v="217.6883"/>
    <n v="217.6883"/>
    <n v="46471"/>
    <n v="-2.7808999999999999"/>
    <n v="1.5184"/>
  </r>
  <r>
    <n v="2303"/>
    <x v="0"/>
    <d v="2018-10-16T00:00:00"/>
    <x v="1"/>
    <x v="9"/>
    <n v="12.8215"/>
    <n v="12.9655"/>
    <n v="12.5814"/>
    <n v="12.6774"/>
    <n v="66044"/>
    <n v="-1.1299999999999999"/>
    <n v="3.0533999999999999"/>
  </r>
  <r>
    <n v="2330"/>
    <x v="1"/>
    <d v="2018-10-16T00:00:00"/>
    <x v="1"/>
    <x v="9"/>
    <n v="216.7439"/>
    <n v="223.8271"/>
    <n v="216.27170000000001"/>
    <n v="223.8271"/>
    <n v="39129"/>
    <n v="2.7808999999999999"/>
    <n v="3.4933999999999998"/>
  </r>
  <r>
    <n v="2303"/>
    <x v="0"/>
    <d v="2018-10-17T00:00:00"/>
    <x v="2"/>
    <x v="9"/>
    <n v="12.9175"/>
    <n v="13.0616"/>
    <n v="12.8215"/>
    <n v="13.0616"/>
    <n v="50915"/>
    <n v="2.9853000000000001"/>
    <n v="1.8727"/>
  </r>
  <r>
    <n v="2330"/>
    <x v="1"/>
    <d v="2018-10-17T00:00:00"/>
    <x v="2"/>
    <x v="9"/>
    <n v="228.07689999999999"/>
    <n v="229.49359999999999"/>
    <n v="224.7715"/>
    <n v="225.24369999999999"/>
    <n v="42887"/>
    <n v="0.63090000000000002"/>
    <n v="2.1008"/>
  </r>
  <r>
    <n v="2303"/>
    <x v="0"/>
    <d v="2018-10-18T00:00:00"/>
    <x v="3"/>
    <x v="9"/>
    <n v="13.0616"/>
    <n v="13.1096"/>
    <n v="12.6774"/>
    <n v="12.7254"/>
    <n v="48154"/>
    <n v="-2.6072000000000002"/>
    <n v="3.4091"/>
  </r>
  <r>
    <n v="2330"/>
    <x v="1"/>
    <d v="2018-10-18T00:00:00"/>
    <x v="3"/>
    <x v="9"/>
    <n v="224.7715"/>
    <n v="225.7159"/>
    <n v="222.41040000000001"/>
    <n v="223.35489999999999"/>
    <n v="27793"/>
    <n v="-0.84209999999999996"/>
    <n v="1.4862"/>
  </r>
  <r>
    <n v="2303"/>
    <x v="0"/>
    <d v="2018-10-19T00:00:00"/>
    <x v="4"/>
    <x v="9"/>
    <n v="12.5814"/>
    <n v="12.9175"/>
    <n v="12.485300000000001"/>
    <n v="12.7735"/>
    <n v="94342"/>
    <n v="0.37659999999999999"/>
    <n v="3.4615"/>
  </r>
  <r>
    <n v="2330"/>
    <x v="1"/>
    <d v="2018-10-19T00:00:00"/>
    <x v="4"/>
    <x v="9"/>
    <n v="218.16059999999999"/>
    <n v="223.35489999999999"/>
    <n v="217.21610000000001"/>
    <n v="222.8826"/>
    <n v="29648"/>
    <n v="-0.21160000000000001"/>
    <n v="2.8260999999999998"/>
  </r>
  <r>
    <n v="2303"/>
    <x v="0"/>
    <d v="2018-10-22T00:00:00"/>
    <x v="0"/>
    <x v="9"/>
    <n v="12.6774"/>
    <n v="12.6774"/>
    <n v="12.485300000000001"/>
    <n v="12.5814"/>
    <n v="55534"/>
    <n v="-1.5152000000000001"/>
    <n v="1.5385"/>
  </r>
  <r>
    <n v="2330"/>
    <x v="1"/>
    <d v="2018-10-22T00:00:00"/>
    <x v="0"/>
    <x v="9"/>
    <n v="219.5772"/>
    <n v="224.7715"/>
    <n v="218.6328"/>
    <n v="223.8271"/>
    <n v="29275"/>
    <n v="0.42280000000000001"/>
    <n v="2.8077999999999999"/>
  </r>
  <r>
    <n v="2303"/>
    <x v="0"/>
    <d v="2018-10-23T00:00:00"/>
    <x v="1"/>
    <x v="9"/>
    <n v="12.5334"/>
    <n v="12.5334"/>
    <n v="12.1972"/>
    <n v="12.245200000000001"/>
    <n v="47902"/>
    <n v="-2.7081"/>
    <n v="2.7559"/>
  </r>
  <r>
    <n v="2330"/>
    <x v="1"/>
    <d v="2018-10-23T00:00:00"/>
    <x v="1"/>
    <x v="9"/>
    <n v="219.10499999999999"/>
    <n v="220.99379999999999"/>
    <n v="217.21610000000001"/>
    <n v="217.21610000000001"/>
    <n v="36757"/>
    <n v="-2.9981"/>
    <n v="1.7391000000000001"/>
  </r>
  <r>
    <n v="2303"/>
    <x v="0"/>
    <d v="2018-10-24T00:00:00"/>
    <x v="2"/>
    <x v="9"/>
    <n v="12.245200000000001"/>
    <n v="12.485300000000001"/>
    <n v="12.005100000000001"/>
    <n v="12.1492"/>
    <n v="63429"/>
    <n v="-0.78739999999999999"/>
    <n v="4"/>
  </r>
  <r>
    <n v="2330"/>
    <x v="1"/>
    <d v="2018-10-24T00:00:00"/>
    <x v="2"/>
    <x v="9"/>
    <n v="217.21610000000001"/>
    <n v="218.16059999999999"/>
    <n v="214.38290000000001"/>
    <n v="216.7439"/>
    <n v="45480"/>
    <n v="-0.21759999999999999"/>
    <n v="1.7621"/>
  </r>
  <r>
    <n v="2303"/>
    <x v="0"/>
    <d v="2018-10-25T00:00:00"/>
    <x v="3"/>
    <x v="9"/>
    <n v="11.428900000000001"/>
    <n v="11.9091"/>
    <n v="11.3809"/>
    <n v="11.813000000000001"/>
    <n v="75059"/>
    <n v="-2.8058000000000001"/>
    <n v="4.6414"/>
  </r>
  <r>
    <n v="2330"/>
    <x v="1"/>
    <d v="2018-10-25T00:00:00"/>
    <x v="3"/>
    <x v="9"/>
    <n v="208.24420000000001"/>
    <n v="209.66079999999999"/>
    <n v="207.2998"/>
    <n v="207.2998"/>
    <n v="75524"/>
    <n v="-4.4550999999999998"/>
    <n v="1.139"/>
  </r>
  <r>
    <n v="2303"/>
    <x v="0"/>
    <d v="2018-10-26T00:00:00"/>
    <x v="4"/>
    <x v="9"/>
    <n v="11.524900000000001"/>
    <n v="11.572900000000001"/>
    <n v="11.1408"/>
    <n v="11.236800000000001"/>
    <n v="135893"/>
    <n v="-5.0010000000000003"/>
    <n v="3.8793000000000002"/>
  </r>
  <r>
    <n v="2330"/>
    <x v="1"/>
    <d v="2018-10-26T00:00:00"/>
    <x v="4"/>
    <x v="9"/>
    <n v="210.6052"/>
    <n v="211.5496"/>
    <n v="204.93870000000001"/>
    <n v="208.71639999999999"/>
    <n v="54073"/>
    <n v="0.68100000000000005"/>
    <n v="3.2258"/>
  </r>
  <r>
    <n v="2303"/>
    <x v="0"/>
    <d v="2018-10-29T00:00:00"/>
    <x v="0"/>
    <x v="9"/>
    <n v="11.044700000000001"/>
    <n v="11.332800000000001"/>
    <n v="11.044700000000001"/>
    <n v="11.1408"/>
    <n v="60307"/>
    <n v="-0.85840000000000005"/>
    <n v="2.6086999999999998"/>
  </r>
  <r>
    <n v="2330"/>
    <x v="1"/>
    <d v="2018-10-29T00:00:00"/>
    <x v="0"/>
    <x v="9"/>
    <n v="210.6052"/>
    <n v="211.5496"/>
    <n v="208.71639999999999"/>
    <n v="210.13300000000001"/>
    <n v="18463"/>
    <n v="0.6764"/>
    <n v="1.3574999999999999"/>
  </r>
  <r>
    <n v="2303"/>
    <x v="0"/>
    <d v="2018-10-30T00:00:00"/>
    <x v="1"/>
    <x v="9"/>
    <n v="11.1408"/>
    <n v="11.476900000000001"/>
    <n v="10.996700000000001"/>
    <n v="11.236800000000001"/>
    <n v="81090"/>
    <n v="0.85840000000000005"/>
    <n v="4.3667999999999996"/>
  </r>
  <r>
    <n v="2330"/>
    <x v="1"/>
    <d v="2018-10-30T00:00:00"/>
    <x v="1"/>
    <x v="9"/>
    <n v="208.71639999999999"/>
    <n v="212.494"/>
    <n v="208.24420000000001"/>
    <n v="210.6052"/>
    <n v="29085"/>
    <n v="0.22450000000000001"/>
    <n v="2.0407999999999999"/>
  </r>
  <r>
    <n v="2303"/>
    <x v="0"/>
    <d v="2018-10-31T00:00:00"/>
    <x v="2"/>
    <x v="9"/>
    <n v="11.3809"/>
    <n v="11.3809"/>
    <n v="11.188800000000001"/>
    <n v="11.332800000000001"/>
    <n v="89427"/>
    <n v="0.85109999999999997"/>
    <n v="1.7166999999999999"/>
  </r>
  <r>
    <n v="2330"/>
    <x v="1"/>
    <d v="2018-10-31T00:00:00"/>
    <x v="2"/>
    <x v="9"/>
    <n v="215.32730000000001"/>
    <n v="220.99379999999999"/>
    <n v="215.32730000000001"/>
    <n v="220.99379999999999"/>
    <n v="59933"/>
    <n v="4.8148999999999997"/>
    <n v="2.6316000000000002"/>
  </r>
  <r>
    <n v="2303"/>
    <x v="0"/>
    <d v="2018-11-01T00:00:00"/>
    <x v="3"/>
    <x v="10"/>
    <n v="11.236800000000001"/>
    <n v="11.572900000000001"/>
    <n v="11.188800000000001"/>
    <n v="11.476900000000001"/>
    <n v="71162"/>
    <n v="1.2632000000000001"/>
    <n v="3.4335"/>
  </r>
  <r>
    <n v="2330"/>
    <x v="1"/>
    <d v="2018-11-01T00:00:00"/>
    <x v="3"/>
    <x v="10"/>
    <n v="222.8826"/>
    <n v="223.8271"/>
    <n v="220.04939999999999"/>
    <n v="222.41040000000001"/>
    <n v="44514"/>
    <n v="0.63900000000000001"/>
    <n v="1.7166999999999999"/>
  </r>
  <r>
    <n v="2303"/>
    <x v="0"/>
    <d v="2018-11-02T00:00:00"/>
    <x v="4"/>
    <x v="10"/>
    <n v="11.332800000000001"/>
    <n v="11.428900000000001"/>
    <n v="11.1408"/>
    <n v="11.428900000000001"/>
    <n v="71540"/>
    <n v="-0.41930000000000001"/>
    <n v="2.5861999999999998"/>
  </r>
  <r>
    <n v="2330"/>
    <x v="1"/>
    <d v="2018-11-02T00:00:00"/>
    <x v="4"/>
    <x v="10"/>
    <n v="223.35489999999999"/>
    <n v="223.35489999999999"/>
    <n v="220.52160000000001"/>
    <n v="223.35489999999999"/>
    <n v="30785"/>
    <n v="0.42370000000000002"/>
    <n v="1.2847999999999999"/>
  </r>
  <r>
    <n v="2303"/>
    <x v="0"/>
    <d v="2018-11-05T00:00:00"/>
    <x v="0"/>
    <x v="10"/>
    <n v="10.324400000000001"/>
    <n v="10.756600000000001"/>
    <n v="10.324400000000001"/>
    <n v="10.324400000000001"/>
    <n v="236453"/>
    <n v="-10.1633"/>
    <n v="4.1859999999999999"/>
  </r>
  <r>
    <n v="2330"/>
    <x v="1"/>
    <d v="2018-11-05T00:00:00"/>
    <x v="0"/>
    <x v="10"/>
    <n v="220.04939999999999"/>
    <n v="222.41040000000001"/>
    <n v="219.10499999999999"/>
    <n v="221.93819999999999"/>
    <n v="28157"/>
    <n v="-0.63629999999999998"/>
    <n v="1.5085999999999999"/>
  </r>
  <r>
    <n v="2303"/>
    <x v="0"/>
    <d v="2018-11-06T00:00:00"/>
    <x v="1"/>
    <x v="10"/>
    <n v="10.612500000000001"/>
    <n v="10.756600000000001"/>
    <n v="10.324400000000001"/>
    <n v="10.468500000000001"/>
    <n v="211878"/>
    <n v="1.3856999999999999"/>
    <n v="4.1859999999999999"/>
  </r>
  <r>
    <n v="2330"/>
    <x v="1"/>
    <d v="2018-11-06T00:00:00"/>
    <x v="1"/>
    <x v="10"/>
    <n v="220.99379999999999"/>
    <n v="222.41040000000001"/>
    <n v="219.5772"/>
    <n v="221.46600000000001"/>
    <n v="35501"/>
    <n v="-0.21299999999999999"/>
    <n v="1.2903"/>
  </r>
  <r>
    <n v="2303"/>
    <x v="0"/>
    <d v="2018-11-07T00:00:00"/>
    <x v="2"/>
    <x v="10"/>
    <n v="10.564500000000001"/>
    <n v="10.660600000000001"/>
    <n v="10.372400000000001"/>
    <n v="10.516500000000001"/>
    <n v="108859"/>
    <n v="0.4577"/>
    <n v="2.7778"/>
  </r>
  <r>
    <n v="2330"/>
    <x v="1"/>
    <d v="2018-11-07T00:00:00"/>
    <x v="2"/>
    <x v="10"/>
    <n v="220.04939999999999"/>
    <n v="222.8826"/>
    <n v="219.5772"/>
    <n v="220.99379999999999"/>
    <n v="39842"/>
    <n v="-0.21340000000000001"/>
    <n v="1.5054000000000001"/>
  </r>
  <r>
    <n v="2303"/>
    <x v="0"/>
    <d v="2018-11-08T00:00:00"/>
    <x v="3"/>
    <x v="10"/>
    <n v="10.564500000000001"/>
    <n v="10.564500000000001"/>
    <n v="10.228400000000001"/>
    <n v="10.420400000000001"/>
    <n v="154165"/>
    <n v="-0.91739999999999999"/>
    <n v="3.2864"/>
  </r>
  <r>
    <n v="2330"/>
    <x v="1"/>
    <d v="2018-11-08T00:00:00"/>
    <x v="3"/>
    <x v="10"/>
    <n v="224.29929999999999"/>
    <n v="224.29929999999999"/>
    <n v="222.8826"/>
    <n v="223.35489999999999"/>
    <n v="28086"/>
    <n v="1.0627"/>
    <n v="0.63560000000000005"/>
  </r>
  <r>
    <n v="2303"/>
    <x v="0"/>
    <d v="2018-11-09T00:00:00"/>
    <x v="4"/>
    <x v="10"/>
    <n v="10.372400000000001"/>
    <n v="10.420400000000001"/>
    <n v="10.084300000000001"/>
    <n v="10.180300000000001"/>
    <n v="118601"/>
    <n v="-2.3311000000000002"/>
    <n v="3.3332999999999999"/>
  </r>
  <r>
    <n v="2330"/>
    <x v="1"/>
    <d v="2018-11-09T00:00:00"/>
    <x v="4"/>
    <x v="10"/>
    <n v="221.46600000000001"/>
    <n v="221.46600000000001"/>
    <n v="218.16059999999999"/>
    <n v="218.16059999999999"/>
    <n v="23792"/>
    <n v="-2.3530000000000002"/>
    <n v="1.5152000000000001"/>
  </r>
  <r>
    <n v="2303"/>
    <x v="0"/>
    <d v="2018-11-12T00:00:00"/>
    <x v="0"/>
    <x v="10"/>
    <n v="10.132300000000001"/>
    <n v="10.276400000000001"/>
    <n v="10.036300000000001"/>
    <n v="10.276400000000001"/>
    <n v="93985"/>
    <n v="0.93899999999999995"/>
    <n v="2.3923000000000001"/>
  </r>
  <r>
    <n v="2330"/>
    <x v="1"/>
    <d v="2018-11-12T00:00:00"/>
    <x v="0"/>
    <x v="10"/>
    <n v="217.21610000000001"/>
    <n v="221.46600000000001"/>
    <n v="217.21610000000001"/>
    <n v="218.6328"/>
    <n v="26202"/>
    <n v="0.2162"/>
    <n v="1.9564999999999999"/>
  </r>
  <r>
    <n v="2303"/>
    <x v="0"/>
    <d v="2018-11-13T00:00:00"/>
    <x v="1"/>
    <x v="10"/>
    <n v="10.084300000000001"/>
    <n v="10.180300000000001"/>
    <n v="9.9883000000000006"/>
    <n v="10.036300000000001"/>
    <n v="118463"/>
    <n v="-2.3641999999999999"/>
    <n v="1.9231"/>
  </r>
  <r>
    <n v="2330"/>
    <x v="1"/>
    <d v="2018-11-13T00:00:00"/>
    <x v="1"/>
    <x v="10"/>
    <n v="212.02180000000001"/>
    <n v="215.32730000000001"/>
    <n v="212.02180000000001"/>
    <n v="214.85509999999999"/>
    <n v="37565"/>
    <n v="-1.7430000000000001"/>
    <n v="1.5589999999999999"/>
  </r>
  <r>
    <n v="2303"/>
    <x v="0"/>
    <d v="2018-11-14T00:00:00"/>
    <x v="2"/>
    <x v="10"/>
    <n v="10.084300000000001"/>
    <n v="10.420400000000001"/>
    <n v="10.036300000000001"/>
    <n v="10.372400000000001"/>
    <n v="78000"/>
    <n v="3.2944"/>
    <n v="3.8277999999999999"/>
  </r>
  <r>
    <n v="2330"/>
    <x v="1"/>
    <d v="2018-11-14T00:00:00"/>
    <x v="2"/>
    <x v="10"/>
    <n v="217.21610000000001"/>
    <n v="218.16059999999999"/>
    <n v="215.79949999999999"/>
    <n v="215.79949999999999"/>
    <n v="24565"/>
    <n v="0.43859999999999999"/>
    <n v="1.0941000000000001"/>
  </r>
  <r>
    <n v="2303"/>
    <x v="0"/>
    <d v="2018-11-15T00:00:00"/>
    <x v="3"/>
    <x v="10"/>
    <n v="10.468500000000001"/>
    <n v="10.804600000000001"/>
    <n v="10.420400000000001"/>
    <n v="10.756600000000001"/>
    <n v="88478"/>
    <n v="3.6368"/>
    <n v="3.6865999999999999"/>
  </r>
  <r>
    <n v="2330"/>
    <x v="1"/>
    <d v="2018-11-15T00:00:00"/>
    <x v="3"/>
    <x v="10"/>
    <n v="216.7439"/>
    <n v="219.10499999999999"/>
    <n v="215.79949999999999"/>
    <n v="218.16059999999999"/>
    <n v="22230"/>
    <n v="1.0882000000000001"/>
    <n v="1.5317000000000001"/>
  </r>
  <r>
    <n v="2303"/>
    <x v="0"/>
    <d v="2018-11-16T00:00:00"/>
    <x v="4"/>
    <x v="10"/>
    <n v="10.852600000000001"/>
    <n v="10.852600000000001"/>
    <n v="10.468500000000001"/>
    <n v="10.564500000000001"/>
    <n v="88373"/>
    <n v="-1.8019000000000001"/>
    <n v="3.6697000000000002"/>
  </r>
  <r>
    <n v="2330"/>
    <x v="1"/>
    <d v="2018-11-16T00:00:00"/>
    <x v="4"/>
    <x v="10"/>
    <n v="216.27170000000001"/>
    <n v="216.27170000000001"/>
    <n v="212.494"/>
    <n v="213.4385"/>
    <n v="47138"/>
    <n v="-2.1882999999999999"/>
    <n v="1.7778"/>
  </r>
  <r>
    <n v="2303"/>
    <x v="0"/>
    <d v="2018-11-19T00:00:00"/>
    <x v="0"/>
    <x v="10"/>
    <n v="10.516500000000001"/>
    <n v="10.660600000000001"/>
    <n v="10.420400000000001"/>
    <n v="10.660600000000001"/>
    <n v="51529"/>
    <n v="0.90500000000000003"/>
    <n v="2.3041"/>
  </r>
  <r>
    <n v="2330"/>
    <x v="1"/>
    <d v="2018-11-19T00:00:00"/>
    <x v="0"/>
    <x v="10"/>
    <n v="212.494"/>
    <n v="212.494"/>
    <n v="208.71639999999999"/>
    <n v="209.66079999999999"/>
    <n v="51034"/>
    <n v="-1.7858000000000001"/>
    <n v="1.81"/>
  </r>
  <r>
    <n v="2303"/>
    <x v="0"/>
    <d v="2018-11-20T00:00:00"/>
    <x v="1"/>
    <x v="10"/>
    <n v="10.564500000000001"/>
    <n v="10.660600000000001"/>
    <n v="10.468500000000001"/>
    <n v="10.564500000000001"/>
    <n v="35297"/>
    <n v="-0.90500000000000003"/>
    <n v="1.8349"/>
  </r>
  <r>
    <n v="2330"/>
    <x v="1"/>
    <d v="2018-11-20T00:00:00"/>
    <x v="1"/>
    <x v="10"/>
    <n v="206.82749999999999"/>
    <n v="208.24420000000001"/>
    <n v="205.88310000000001"/>
    <n v="205.88310000000001"/>
    <n v="45686"/>
    <n v="-1.8182"/>
    <n v="1.1468"/>
  </r>
  <r>
    <n v="2303"/>
    <x v="0"/>
    <d v="2018-11-21T00:00:00"/>
    <x v="2"/>
    <x v="10"/>
    <n v="10.516500000000001"/>
    <n v="10.708600000000001"/>
    <n v="10.468500000000001"/>
    <n v="10.564500000000001"/>
    <n v="30692"/>
    <n v="0"/>
    <n v="2.2936000000000001"/>
  </r>
  <r>
    <n v="2330"/>
    <x v="1"/>
    <d v="2018-11-21T00:00:00"/>
    <x v="2"/>
    <x v="10"/>
    <n v="202.57769999999999"/>
    <n v="207.77199999999999"/>
    <n v="202.10550000000001"/>
    <n v="206.82749999999999"/>
    <n v="38478"/>
    <n v="0.4577"/>
    <n v="2.8037000000000001"/>
  </r>
  <r>
    <n v="2303"/>
    <x v="0"/>
    <d v="2018-11-22T00:00:00"/>
    <x v="3"/>
    <x v="10"/>
    <n v="10.612500000000001"/>
    <n v="10.756600000000001"/>
    <n v="10.564500000000001"/>
    <n v="10.756600000000001"/>
    <n v="39139"/>
    <n v="1.8019000000000001"/>
    <n v="1.8182"/>
  </r>
  <r>
    <n v="2330"/>
    <x v="1"/>
    <d v="2018-11-22T00:00:00"/>
    <x v="3"/>
    <x v="10"/>
    <n v="209.18860000000001"/>
    <n v="209.66079999999999"/>
    <n v="206.82749999999999"/>
    <n v="206.82749999999999"/>
    <n v="22060"/>
    <n v="0"/>
    <n v="1.3698999999999999"/>
  </r>
  <r>
    <n v="2303"/>
    <x v="0"/>
    <d v="2018-11-23T00:00:00"/>
    <x v="4"/>
    <x v="10"/>
    <n v="10.756600000000001"/>
    <n v="10.804600000000001"/>
    <n v="10.612500000000001"/>
    <n v="10.708600000000001"/>
    <n v="29624"/>
    <n v="-0.44740000000000002"/>
    <n v="1.81"/>
  </r>
  <r>
    <n v="2330"/>
    <x v="1"/>
    <d v="2018-11-23T00:00:00"/>
    <x v="4"/>
    <x v="10"/>
    <n v="208.24420000000001"/>
    <n v="208.24420000000001"/>
    <n v="204.93870000000001"/>
    <n v="206.3553"/>
    <n v="15553"/>
    <n v="-0.2286"/>
    <n v="1.6129"/>
  </r>
  <r>
    <n v="2303"/>
    <x v="0"/>
    <d v="2018-11-26T00:00:00"/>
    <x v="0"/>
    <x v="10"/>
    <n v="10.756600000000001"/>
    <n v="11.092700000000001"/>
    <n v="10.756600000000001"/>
    <n v="11.044700000000001"/>
    <n v="42897"/>
    <n v="3.0908000000000002"/>
    <n v="3.125"/>
  </r>
  <r>
    <n v="2330"/>
    <x v="1"/>
    <d v="2018-11-26T00:00:00"/>
    <x v="0"/>
    <x v="10"/>
    <n v="206.82749999999999"/>
    <n v="211.5496"/>
    <n v="206.3553"/>
    <n v="210.6052"/>
    <n v="35267"/>
    <n v="2.0386000000000002"/>
    <n v="2.5171999999999999"/>
  </r>
  <r>
    <n v="2303"/>
    <x v="0"/>
    <d v="2018-11-27T00:00:00"/>
    <x v="1"/>
    <x v="10"/>
    <n v="11.092700000000001"/>
    <n v="11.332800000000001"/>
    <n v="10.948700000000001"/>
    <n v="11.284800000000001"/>
    <n v="49199"/>
    <n v="2.1505999999999998"/>
    <n v="3.5087999999999999"/>
  </r>
  <r>
    <n v="2330"/>
    <x v="1"/>
    <d v="2018-11-27T00:00:00"/>
    <x v="1"/>
    <x v="10"/>
    <n v="207.77199999999999"/>
    <n v="212.02180000000001"/>
    <n v="206.82749999999999"/>
    <n v="211.5496"/>
    <n v="32676"/>
    <n v="0.44740000000000002"/>
    <n v="2.5114000000000001"/>
  </r>
  <r>
    <n v="2303"/>
    <x v="0"/>
    <d v="2018-11-28T00:00:00"/>
    <x v="2"/>
    <x v="10"/>
    <n v="11.284800000000001"/>
    <n v="11.3809"/>
    <n v="11.1408"/>
    <n v="11.284800000000001"/>
    <n v="54350"/>
    <n v="0"/>
    <n v="2.1551999999999998"/>
  </r>
  <r>
    <n v="2330"/>
    <x v="1"/>
    <d v="2018-11-28T00:00:00"/>
    <x v="2"/>
    <x v="10"/>
    <n v="210.13300000000001"/>
    <n v="214.38290000000001"/>
    <n v="209.66079999999999"/>
    <n v="213.91069999999999"/>
    <n v="24759"/>
    <n v="1.1099000000000001"/>
    <n v="2.2523"/>
  </r>
  <r>
    <n v="2303"/>
    <x v="0"/>
    <d v="2018-11-29T00:00:00"/>
    <x v="3"/>
    <x v="10"/>
    <n v="11.3809"/>
    <n v="11.3809"/>
    <n v="11.044700000000001"/>
    <n v="11.044700000000001"/>
    <n v="51312"/>
    <n v="-2.1505999999999998"/>
    <n v="3.0434999999999999"/>
  </r>
  <r>
    <n v="2330"/>
    <x v="1"/>
    <d v="2018-11-29T00:00:00"/>
    <x v="3"/>
    <x v="10"/>
    <n v="218.6328"/>
    <n v="218.6328"/>
    <n v="216.27170000000001"/>
    <n v="216.27170000000001"/>
    <n v="46206"/>
    <n v="1.0976999999999999"/>
    <n v="1.0916999999999999"/>
  </r>
  <r>
    <n v="2303"/>
    <x v="0"/>
    <d v="2018-11-30T00:00:00"/>
    <x v="4"/>
    <x v="10"/>
    <n v="11.092700000000001"/>
    <n v="11.236800000000001"/>
    <n v="10.948700000000001"/>
    <n v="11.092700000000001"/>
    <n v="122685"/>
    <n v="0.43380000000000002"/>
    <n v="2.6316000000000002"/>
  </r>
  <r>
    <n v="2330"/>
    <x v="1"/>
    <d v="2018-11-30T00:00:00"/>
    <x v="4"/>
    <x v="10"/>
    <n v="216.7439"/>
    <n v="218.16059999999999"/>
    <n v="212.96629999999999"/>
    <n v="212.96629999999999"/>
    <n v="57352"/>
    <n v="-1.5402"/>
    <n v="2.4390000000000001"/>
  </r>
  <r>
    <n v="2303"/>
    <x v="0"/>
    <d v="2018-12-03T00:00:00"/>
    <x v="0"/>
    <x v="11"/>
    <n v="11.236800000000001"/>
    <n v="11.3809"/>
    <n v="11.236800000000001"/>
    <n v="11.236800000000001"/>
    <n v="69986"/>
    <n v="1.2903"/>
    <n v="1.2821"/>
  </r>
  <r>
    <n v="2330"/>
    <x v="1"/>
    <d v="2018-12-03T00:00:00"/>
    <x v="0"/>
    <x v="11"/>
    <n v="218.16059999999999"/>
    <n v="221.93819999999999"/>
    <n v="218.16059999999999"/>
    <n v="221.93819999999999"/>
    <n v="49612"/>
    <n v="4.1265000000000001"/>
    <n v="1.7316"/>
  </r>
  <r>
    <n v="2303"/>
    <x v="0"/>
    <d v="2018-12-04T00:00:00"/>
    <x v="1"/>
    <x v="11"/>
    <n v="11.284800000000001"/>
    <n v="11.428900000000001"/>
    <n v="11.236800000000001"/>
    <n v="11.332800000000001"/>
    <n v="57135"/>
    <n v="0.85109999999999997"/>
    <n v="1.7094"/>
  </r>
  <r>
    <n v="2330"/>
    <x v="1"/>
    <d v="2018-12-04T00:00:00"/>
    <x v="1"/>
    <x v="11"/>
    <n v="220.04939999999999"/>
    <n v="221.46600000000001"/>
    <n v="218.16059999999999"/>
    <n v="220.99379999999999"/>
    <n v="41947"/>
    <n v="-0.4264"/>
    <n v="1.5152000000000001"/>
  </r>
  <r>
    <n v="2303"/>
    <x v="0"/>
    <d v="2018-12-05T00:00:00"/>
    <x v="2"/>
    <x v="11"/>
    <n v="11.188800000000001"/>
    <n v="11.236800000000001"/>
    <n v="11.044700000000001"/>
    <n v="11.092700000000001"/>
    <n v="37958"/>
    <n v="-2.1414"/>
    <n v="1.7391000000000001"/>
  </r>
  <r>
    <n v="2330"/>
    <x v="1"/>
    <d v="2018-12-05T00:00:00"/>
    <x v="2"/>
    <x v="11"/>
    <n v="213.91069999999999"/>
    <n v="214.85509999999999"/>
    <n v="212.494"/>
    <n v="213.4385"/>
    <n v="45634"/>
    <n v="-3.4786000000000001"/>
    <n v="1.1111"/>
  </r>
  <r>
    <n v="2303"/>
    <x v="0"/>
    <d v="2018-12-06T00:00:00"/>
    <x v="3"/>
    <x v="11"/>
    <n v="11.092700000000001"/>
    <n v="11.092700000000001"/>
    <n v="10.756600000000001"/>
    <n v="10.852600000000001"/>
    <n v="53465"/>
    <n v="-2.1882999999999999"/>
    <n v="3.125"/>
  </r>
  <r>
    <n v="2330"/>
    <x v="1"/>
    <d v="2018-12-06T00:00:00"/>
    <x v="3"/>
    <x v="11"/>
    <n v="207.77199999999999"/>
    <n v="209.66079999999999"/>
    <n v="207.2998"/>
    <n v="207.77199999999999"/>
    <n v="40181"/>
    <n v="-2.6907000000000001"/>
    <n v="1.139"/>
  </r>
  <r>
    <n v="2303"/>
    <x v="0"/>
    <d v="2018-12-07T00:00:00"/>
    <x v="4"/>
    <x v="11"/>
    <n v="10.852600000000001"/>
    <n v="10.900700000000001"/>
    <n v="10.660600000000001"/>
    <n v="10.756600000000001"/>
    <n v="41314"/>
    <n v="-0.88890000000000002"/>
    <n v="2.2523"/>
  </r>
  <r>
    <n v="2330"/>
    <x v="1"/>
    <d v="2018-12-07T00:00:00"/>
    <x v="4"/>
    <x v="11"/>
    <n v="210.13300000000001"/>
    <n v="211.07740000000001"/>
    <n v="208.24420000000001"/>
    <n v="208.71639999999999"/>
    <n v="31997"/>
    <n v="0.45350000000000001"/>
    <n v="1.3605"/>
  </r>
  <r>
    <n v="2303"/>
    <x v="0"/>
    <d v="2018-12-10T00:00:00"/>
    <x v="0"/>
    <x v="11"/>
    <n v="10.660600000000001"/>
    <n v="10.756600000000001"/>
    <n v="10.612500000000001"/>
    <n v="10.660600000000001"/>
    <n v="29147"/>
    <n v="-0.89690000000000003"/>
    <n v="1.3574999999999999"/>
  </r>
  <r>
    <n v="2330"/>
    <x v="1"/>
    <d v="2018-12-10T00:00:00"/>
    <x v="0"/>
    <x v="11"/>
    <n v="207.2998"/>
    <n v="207.77199999999999"/>
    <n v="206.3553"/>
    <n v="206.82749999999999"/>
    <n v="26229"/>
    <n v="-0.90910000000000002"/>
    <n v="0.6865"/>
  </r>
  <r>
    <n v="2303"/>
    <x v="0"/>
    <d v="2018-12-11T00:00:00"/>
    <x v="1"/>
    <x v="11"/>
    <n v="10.564500000000001"/>
    <n v="10.660600000000001"/>
    <n v="10.468500000000001"/>
    <n v="10.564500000000001"/>
    <n v="43093"/>
    <n v="-0.90500000000000003"/>
    <n v="1.8349"/>
  </r>
  <r>
    <n v="2330"/>
    <x v="1"/>
    <d v="2018-12-11T00:00:00"/>
    <x v="1"/>
    <x v="11"/>
    <n v="207.77199999999999"/>
    <n v="210.6052"/>
    <n v="206.82749999999999"/>
    <n v="210.13300000000001"/>
    <n v="27395"/>
    <n v="1.5854999999999999"/>
    <n v="1.8265"/>
  </r>
  <r>
    <n v="2303"/>
    <x v="0"/>
    <d v="2018-12-12T00:00:00"/>
    <x v="2"/>
    <x v="11"/>
    <n v="10.660600000000001"/>
    <n v="10.948700000000001"/>
    <n v="10.564500000000001"/>
    <n v="10.852600000000001"/>
    <n v="41642"/>
    <n v="2.6907000000000001"/>
    <n v="3.6364000000000001"/>
  </r>
  <r>
    <n v="2330"/>
    <x v="1"/>
    <d v="2018-12-12T00:00:00"/>
    <x v="2"/>
    <x v="11"/>
    <n v="211.07740000000001"/>
    <n v="214.38290000000001"/>
    <n v="210.13300000000001"/>
    <n v="213.91069999999999"/>
    <n v="32926"/>
    <n v="1.7818000000000001"/>
    <n v="2.0225"/>
  </r>
  <r>
    <n v="2303"/>
    <x v="0"/>
    <d v="2018-12-13T00:00:00"/>
    <x v="3"/>
    <x v="11"/>
    <n v="10.900700000000001"/>
    <n v="11.092700000000001"/>
    <n v="10.900700000000001"/>
    <n v="11.044700000000001"/>
    <n v="60680"/>
    <n v="1.7544"/>
    <n v="1.7621"/>
  </r>
  <r>
    <n v="2330"/>
    <x v="1"/>
    <d v="2018-12-13T00:00:00"/>
    <x v="3"/>
    <x v="11"/>
    <n v="214.38290000000001"/>
    <n v="214.85509999999999"/>
    <n v="212.494"/>
    <n v="213.4385"/>
    <n v="32433"/>
    <n v="-0.221"/>
    <n v="1.1111"/>
  </r>
  <r>
    <n v="2303"/>
    <x v="0"/>
    <d v="2018-12-14T00:00:00"/>
    <x v="4"/>
    <x v="11"/>
    <n v="10.948700000000001"/>
    <n v="11.044700000000001"/>
    <n v="10.804600000000001"/>
    <n v="10.900700000000001"/>
    <n v="43980"/>
    <n v="-1.3129"/>
    <n v="2.2222"/>
  </r>
  <r>
    <n v="2330"/>
    <x v="1"/>
    <d v="2018-12-14T00:00:00"/>
    <x v="4"/>
    <x v="11"/>
    <n v="210.6052"/>
    <n v="211.07740000000001"/>
    <n v="208.24420000000001"/>
    <n v="210.13300000000001"/>
    <n v="43226"/>
    <n v="-1.5608"/>
    <n v="1.3605"/>
  </r>
  <r>
    <n v="2303"/>
    <x v="0"/>
    <d v="2018-12-17T00:00:00"/>
    <x v="0"/>
    <x v="11"/>
    <n v="10.948700000000001"/>
    <n v="11.092700000000001"/>
    <n v="10.900700000000001"/>
    <n v="10.948700000000001"/>
    <n v="47487"/>
    <n v="0.43959999999999999"/>
    <n v="1.7621"/>
  </r>
  <r>
    <n v="2330"/>
    <x v="1"/>
    <d v="2018-12-17T00:00:00"/>
    <x v="0"/>
    <x v="11"/>
    <n v="208.71639999999999"/>
    <n v="212.494"/>
    <n v="207.77199999999999"/>
    <n v="211.07740000000001"/>
    <n v="18964"/>
    <n v="0.44840000000000002"/>
    <n v="2.2726999999999999"/>
  </r>
  <r>
    <n v="2303"/>
    <x v="0"/>
    <d v="2018-12-18T00:00:00"/>
    <x v="1"/>
    <x v="11"/>
    <n v="10.852600000000001"/>
    <n v="10.900700000000001"/>
    <n v="10.756600000000001"/>
    <n v="10.756600000000001"/>
    <n v="44070"/>
    <n v="-1.77"/>
    <n v="1.3392999999999999"/>
  </r>
  <r>
    <n v="2330"/>
    <x v="1"/>
    <d v="2018-12-18T00:00:00"/>
    <x v="1"/>
    <x v="11"/>
    <n v="208.71639999999999"/>
    <n v="210.6052"/>
    <n v="208.24420000000001"/>
    <n v="210.13300000000001"/>
    <n v="30270"/>
    <n v="-0.44840000000000002"/>
    <n v="1.1337999999999999"/>
  </r>
  <r>
    <n v="2303"/>
    <x v="0"/>
    <d v="2018-12-19T00:00:00"/>
    <x v="2"/>
    <x v="11"/>
    <n v="10.804600000000001"/>
    <n v="10.996700000000001"/>
    <n v="10.756600000000001"/>
    <n v="10.852600000000001"/>
    <n v="59388"/>
    <n v="0.88890000000000002"/>
    <n v="2.2321"/>
  </r>
  <r>
    <n v="2330"/>
    <x v="1"/>
    <d v="2018-12-19T00:00:00"/>
    <x v="2"/>
    <x v="11"/>
    <n v="209.66079999999999"/>
    <n v="212.96629999999999"/>
    <n v="209.66079999999999"/>
    <n v="212.96629999999999"/>
    <n v="23415"/>
    <n v="1.3392999999999999"/>
    <n v="1.5766"/>
  </r>
  <r>
    <n v="2303"/>
    <x v="0"/>
    <d v="2018-12-20T00:00:00"/>
    <x v="3"/>
    <x v="11"/>
    <n v="10.804600000000001"/>
    <n v="10.996700000000001"/>
    <n v="10.756600000000001"/>
    <n v="10.852600000000001"/>
    <n v="41050"/>
    <n v="0"/>
    <n v="2.2321"/>
  </r>
  <r>
    <n v="2330"/>
    <x v="1"/>
    <d v="2018-12-20T00:00:00"/>
    <x v="3"/>
    <x v="11"/>
    <n v="208.71639999999999"/>
    <n v="210.13300000000001"/>
    <n v="208.71639999999999"/>
    <n v="208.71639999999999"/>
    <n v="38697"/>
    <n v="-2.0156999999999998"/>
    <n v="0.67869999999999997"/>
  </r>
  <r>
    <n v="2303"/>
    <x v="0"/>
    <d v="2018-12-21T00:00:00"/>
    <x v="4"/>
    <x v="11"/>
    <n v="10.852600000000001"/>
    <n v="10.996700000000001"/>
    <n v="10.804600000000001"/>
    <n v="10.948700000000001"/>
    <n v="63593"/>
    <n v="0.88109999999999999"/>
    <n v="1.7778"/>
  </r>
  <r>
    <n v="2330"/>
    <x v="1"/>
    <d v="2018-12-21T00:00:00"/>
    <x v="4"/>
    <x v="11"/>
    <n v="206.82749999999999"/>
    <n v="211.5496"/>
    <n v="206.82749999999999"/>
    <n v="211.07740000000001"/>
    <n v="46947"/>
    <n v="1.1249"/>
    <n v="2.2831000000000001"/>
  </r>
  <r>
    <n v="2303"/>
    <x v="0"/>
    <d v="2018-12-22T00:00:00"/>
    <x v="5"/>
    <x v="11"/>
    <n v="10.900700000000001"/>
    <n v="10.948700000000001"/>
    <n v="10.756600000000001"/>
    <n v="10.804600000000001"/>
    <n v="14652"/>
    <n v="-1.3245"/>
    <n v="1.7857000000000001"/>
  </r>
  <r>
    <n v="2330"/>
    <x v="1"/>
    <d v="2018-12-22T00:00:00"/>
    <x v="5"/>
    <x v="11"/>
    <n v="207.77199999999999"/>
    <n v="209.18860000000001"/>
    <n v="207.77199999999999"/>
    <n v="209.18860000000001"/>
    <n v="5185"/>
    <n v="-0.89890000000000003"/>
    <n v="0.68179999999999996"/>
  </r>
  <r>
    <n v="2303"/>
    <x v="0"/>
    <d v="2018-12-24T00:00:00"/>
    <x v="0"/>
    <x v="11"/>
    <n v="10.852600000000001"/>
    <n v="10.900700000000001"/>
    <n v="10.708600000000001"/>
    <n v="10.756600000000001"/>
    <n v="25863"/>
    <n v="-0.44540000000000002"/>
    <n v="1.7937000000000001"/>
  </r>
  <r>
    <n v="2330"/>
    <x v="1"/>
    <d v="2018-12-24T00:00:00"/>
    <x v="0"/>
    <x v="11"/>
    <n v="209.18860000000001"/>
    <n v="209.18860000000001"/>
    <n v="207.2998"/>
    <n v="207.77199999999999"/>
    <n v="23376"/>
    <n v="-0.67949999999999999"/>
    <n v="0.91120000000000001"/>
  </r>
  <r>
    <n v="2303"/>
    <x v="0"/>
    <d v="2018-12-25T00:00:00"/>
    <x v="1"/>
    <x v="11"/>
    <n v="10.660600000000001"/>
    <n v="10.756600000000001"/>
    <n v="10.612500000000001"/>
    <n v="10.708600000000001"/>
    <n v="11846"/>
    <n v="-0.44740000000000002"/>
    <n v="1.3574999999999999"/>
  </r>
  <r>
    <n v="2330"/>
    <x v="1"/>
    <d v="2018-12-25T00:00:00"/>
    <x v="1"/>
    <x v="11"/>
    <n v="203.52209999999999"/>
    <n v="205.88310000000001"/>
    <n v="203.04990000000001"/>
    <n v="205.4109"/>
    <n v="19402"/>
    <n v="-1.1429"/>
    <n v="1.3953"/>
  </r>
  <r>
    <n v="2303"/>
    <x v="0"/>
    <d v="2018-12-26T00:00:00"/>
    <x v="2"/>
    <x v="11"/>
    <n v="10.756600000000001"/>
    <n v="10.804600000000001"/>
    <n v="10.708600000000001"/>
    <n v="10.756600000000001"/>
    <n v="12700"/>
    <n v="0.44740000000000002"/>
    <n v="0.89690000000000003"/>
  </r>
  <r>
    <n v="2330"/>
    <x v="1"/>
    <d v="2018-12-26T00:00:00"/>
    <x v="2"/>
    <x v="11"/>
    <n v="206.3553"/>
    <n v="207.2998"/>
    <n v="203.99430000000001"/>
    <n v="204.4665"/>
    <n v="16893"/>
    <n v="-0.46079999999999999"/>
    <n v="1.6204000000000001"/>
  </r>
  <r>
    <n v="2303"/>
    <x v="0"/>
    <d v="2018-12-27T00:00:00"/>
    <x v="3"/>
    <x v="11"/>
    <n v="10.900700000000001"/>
    <n v="10.948700000000001"/>
    <n v="10.756600000000001"/>
    <n v="10.804600000000001"/>
    <n v="20757"/>
    <n v="0.44540000000000002"/>
    <n v="1.7857000000000001"/>
  </r>
  <r>
    <n v="2330"/>
    <x v="1"/>
    <d v="2018-12-27T00:00:00"/>
    <x v="3"/>
    <x v="11"/>
    <n v="209.66079999999999"/>
    <n v="211.5496"/>
    <n v="208.24420000000001"/>
    <n v="210.6052"/>
    <n v="21915"/>
    <n v="2.9581"/>
    <n v="1.5872999999999999"/>
  </r>
  <r>
    <n v="2303"/>
    <x v="0"/>
    <d v="2018-12-28T00:00:00"/>
    <x v="4"/>
    <x v="11"/>
    <n v="10.804600000000001"/>
    <n v="10.852600000000001"/>
    <n v="10.756600000000001"/>
    <n v="10.804600000000001"/>
    <n v="17480"/>
    <n v="0"/>
    <n v="0.89290000000000003"/>
  </r>
  <r>
    <n v="2330"/>
    <x v="1"/>
    <d v="2018-12-28T00:00:00"/>
    <x v="4"/>
    <x v="11"/>
    <n v="211.07740000000001"/>
    <n v="212.96629999999999"/>
    <n v="210.13300000000001"/>
    <n v="212.96629999999999"/>
    <n v="30156"/>
    <n v="1.1148"/>
    <n v="1.3483000000000001"/>
  </r>
  <r>
    <n v="2303"/>
    <x v="0"/>
    <d v="2019-01-02T00:00:00"/>
    <x v="2"/>
    <x v="0"/>
    <n v="10.852600000000001"/>
    <n v="10.900700000000001"/>
    <n v="10.660600000000001"/>
    <n v="10.660600000000001"/>
    <n v="18798"/>
    <n v="-1.3423"/>
    <n v="2.2523"/>
  </r>
  <r>
    <n v="2330"/>
    <x v="1"/>
    <d v="2019-01-02T00:00:00"/>
    <x v="2"/>
    <x v="0"/>
    <n v="213.91069999999999"/>
    <n v="213.91069999999999"/>
    <n v="206.82749999999999"/>
    <n v="207.2998"/>
    <n v="32900"/>
    <n v="-2.6968000000000001"/>
    <n v="3.4247000000000001"/>
  </r>
  <r>
    <n v="2303"/>
    <x v="0"/>
    <d v="2019-01-03T00:00:00"/>
    <x v="3"/>
    <x v="0"/>
    <n v="10.660600000000001"/>
    <n v="10.660600000000001"/>
    <n v="10.324400000000001"/>
    <n v="10.468500000000001"/>
    <n v="49252"/>
    <n v="-1.8182"/>
    <n v="3.2557999999999998"/>
  </r>
  <r>
    <n v="2330"/>
    <x v="1"/>
    <d v="2019-01-03T00:00:00"/>
    <x v="3"/>
    <x v="0"/>
    <n v="202.10550000000001"/>
    <n v="205.88310000000001"/>
    <n v="202.10550000000001"/>
    <n v="203.52209999999999"/>
    <n v="34615"/>
    <n v="-1.8391"/>
    <n v="1.8692"/>
  </r>
  <r>
    <n v="2303"/>
    <x v="0"/>
    <d v="2019-01-04T00:00:00"/>
    <x v="4"/>
    <x v="0"/>
    <n v="10.276400000000001"/>
    <n v="10.324400000000001"/>
    <n v="10.132300000000001"/>
    <n v="10.276400000000001"/>
    <n v="43041"/>
    <n v="-1.8519000000000001"/>
    <n v="1.8956999999999999"/>
  </r>
  <r>
    <n v="2330"/>
    <x v="1"/>
    <d v="2019-01-04T00:00:00"/>
    <x v="4"/>
    <x v="0"/>
    <n v="199.74440000000001"/>
    <n v="199.74440000000001"/>
    <n v="195.0223"/>
    <n v="196.43889999999999"/>
    <n v="67043"/>
    <n v="-3.5423"/>
    <n v="2.4213"/>
  </r>
  <r>
    <n v="2303"/>
    <x v="0"/>
    <d v="2019-01-07T00:00:00"/>
    <x v="0"/>
    <x v="0"/>
    <n v="10.468500000000001"/>
    <n v="10.612500000000001"/>
    <n v="10.372400000000001"/>
    <n v="10.564500000000001"/>
    <n v="32910"/>
    <n v="2.7652000000000001"/>
    <n v="2.3148"/>
  </r>
  <r>
    <n v="2330"/>
    <x v="1"/>
    <d v="2019-01-07T00:00:00"/>
    <x v="0"/>
    <x v="0"/>
    <n v="200.2166"/>
    <n v="202.10550000000001"/>
    <n v="199.2722"/>
    <n v="201.161"/>
    <n v="35695"/>
    <n v="2.3754"/>
    <n v="1.4218"/>
  </r>
  <r>
    <n v="2303"/>
    <x v="0"/>
    <d v="2019-01-08T00:00:00"/>
    <x v="1"/>
    <x v="0"/>
    <n v="10.660600000000001"/>
    <n v="10.660600000000001"/>
    <n v="10.468500000000001"/>
    <n v="10.516500000000001"/>
    <n v="29489"/>
    <n v="-0.4556"/>
    <n v="1.8349"/>
  </r>
  <r>
    <n v="2330"/>
    <x v="1"/>
    <d v="2019-01-08T00:00:00"/>
    <x v="1"/>
    <x v="0"/>
    <n v="200.2166"/>
    <n v="200.68879999999999"/>
    <n v="198.3278"/>
    <n v="199.2722"/>
    <n v="23794"/>
    <n v="-0.94340000000000002"/>
    <n v="1.1904999999999999"/>
  </r>
  <r>
    <n v="2303"/>
    <x v="0"/>
    <d v="2019-01-09T00:00:00"/>
    <x v="2"/>
    <x v="0"/>
    <n v="10.660600000000001"/>
    <n v="10.708600000000001"/>
    <n v="10.612500000000001"/>
    <n v="10.660600000000001"/>
    <n v="38339"/>
    <n v="1.3606"/>
    <n v="0.90500000000000003"/>
  </r>
  <r>
    <n v="2330"/>
    <x v="1"/>
    <d v="2019-01-09T00:00:00"/>
    <x v="2"/>
    <x v="0"/>
    <n v="200.2166"/>
    <n v="204.4665"/>
    <n v="199.2722"/>
    <n v="203.52209999999999"/>
    <n v="51255"/>
    <n v="2.1103000000000001"/>
    <n v="2.6065999999999998"/>
  </r>
  <r>
    <n v="2303"/>
    <x v="0"/>
    <d v="2019-01-10T00:00:00"/>
    <x v="3"/>
    <x v="0"/>
    <n v="10.708600000000001"/>
    <n v="10.708600000000001"/>
    <n v="10.612500000000001"/>
    <n v="10.708600000000001"/>
    <n v="35341"/>
    <n v="0.44940000000000002"/>
    <n v="0.90500000000000003"/>
  </r>
  <r>
    <n v="2330"/>
    <x v="1"/>
    <d v="2019-01-10T00:00:00"/>
    <x v="3"/>
    <x v="0"/>
    <n v="203.99430000000001"/>
    <n v="204.4665"/>
    <n v="202.57769999999999"/>
    <n v="203.99430000000001"/>
    <n v="20832"/>
    <n v="0.23169999999999999"/>
    <n v="0.93240000000000001"/>
  </r>
  <r>
    <n v="2303"/>
    <x v="0"/>
    <d v="2019-01-11T00:00:00"/>
    <x v="4"/>
    <x v="0"/>
    <n v="10.708600000000001"/>
    <n v="10.756600000000001"/>
    <n v="10.660600000000001"/>
    <n v="10.756600000000001"/>
    <n v="23328"/>
    <n v="0.44740000000000002"/>
    <n v="0.90090000000000003"/>
  </r>
  <r>
    <n v="2330"/>
    <x v="1"/>
    <d v="2019-01-11T00:00:00"/>
    <x v="4"/>
    <x v="0"/>
    <n v="206.82749999999999"/>
    <n v="208.24420000000001"/>
    <n v="205.88310000000001"/>
    <n v="208.24420000000001"/>
    <n v="28658"/>
    <n v="2.0619000000000001"/>
    <n v="1.1468"/>
  </r>
  <r>
    <n v="2303"/>
    <x v="0"/>
    <d v="2019-01-14T00:00:00"/>
    <x v="0"/>
    <x v="0"/>
    <n v="10.756600000000001"/>
    <n v="10.804600000000001"/>
    <n v="10.612500000000001"/>
    <n v="10.660600000000001"/>
    <n v="25189"/>
    <n v="-0.89690000000000003"/>
    <n v="1.81"/>
  </r>
  <r>
    <n v="2330"/>
    <x v="1"/>
    <d v="2019-01-14T00:00:00"/>
    <x v="0"/>
    <x v="0"/>
    <n v="206.3553"/>
    <n v="207.77199999999999"/>
    <n v="204.93870000000001"/>
    <n v="206.3553"/>
    <n v="17612"/>
    <n v="-0.91120000000000001"/>
    <n v="1.3825000000000001"/>
  </r>
  <r>
    <n v="2303"/>
    <x v="0"/>
    <d v="2019-01-15T00:00:00"/>
    <x v="1"/>
    <x v="0"/>
    <n v="10.756600000000001"/>
    <n v="10.852600000000001"/>
    <n v="10.660600000000001"/>
    <n v="10.804600000000001"/>
    <n v="34809"/>
    <n v="1.3423"/>
    <n v="1.8018000000000001"/>
  </r>
  <r>
    <n v="2330"/>
    <x v="1"/>
    <d v="2019-01-15T00:00:00"/>
    <x v="1"/>
    <x v="0"/>
    <n v="204.4665"/>
    <n v="208.71639999999999"/>
    <n v="203.52209999999999"/>
    <n v="208.71639999999999"/>
    <n v="42990"/>
    <n v="1.1376999999999999"/>
    <n v="2.5522"/>
  </r>
  <r>
    <n v="2303"/>
    <x v="0"/>
    <d v="2019-01-16T00:00:00"/>
    <x v="2"/>
    <x v="0"/>
    <n v="10.804600000000001"/>
    <n v="10.900700000000001"/>
    <n v="10.708600000000001"/>
    <n v="10.852600000000001"/>
    <n v="30906"/>
    <n v="0.44350000000000001"/>
    <n v="1.7937000000000001"/>
  </r>
  <r>
    <n v="2330"/>
    <x v="1"/>
    <d v="2019-01-16T00:00:00"/>
    <x v="2"/>
    <x v="0"/>
    <n v="206.3553"/>
    <n v="207.77199999999999"/>
    <n v="205.4109"/>
    <n v="205.4109"/>
    <n v="30038"/>
    <n v="-1.5964"/>
    <n v="1.1494"/>
  </r>
  <r>
    <n v="2303"/>
    <x v="0"/>
    <d v="2019-01-17T00:00:00"/>
    <x v="3"/>
    <x v="0"/>
    <n v="10.900700000000001"/>
    <n v="10.948700000000001"/>
    <n v="10.756600000000001"/>
    <n v="10.804600000000001"/>
    <n v="45217"/>
    <n v="-0.44350000000000001"/>
    <n v="1.7857000000000001"/>
  </r>
  <r>
    <n v="2330"/>
    <x v="1"/>
    <d v="2019-01-17T00:00:00"/>
    <x v="3"/>
    <x v="0"/>
    <n v="205.88310000000001"/>
    <n v="208.71639999999999"/>
    <n v="205.88310000000001"/>
    <n v="208.24420000000001"/>
    <n v="21163"/>
    <n v="1.3698999999999999"/>
    <n v="1.3761000000000001"/>
  </r>
  <r>
    <n v="2303"/>
    <x v="0"/>
    <d v="2019-01-18T00:00:00"/>
    <x v="4"/>
    <x v="0"/>
    <n v="10.900700000000001"/>
    <n v="10.948700000000001"/>
    <n v="10.804600000000001"/>
    <n v="10.948700000000001"/>
    <n v="30066"/>
    <n v="1.3245"/>
    <n v="1.3332999999999999"/>
  </r>
  <r>
    <n v="2330"/>
    <x v="1"/>
    <d v="2019-01-18T00:00:00"/>
    <x v="4"/>
    <x v="0"/>
    <n v="206.82749999999999"/>
    <n v="207.77199999999999"/>
    <n v="205.4109"/>
    <n v="206.3553"/>
    <n v="52677"/>
    <n v="-0.91120000000000001"/>
    <n v="1.1494"/>
  </r>
  <r>
    <n v="2303"/>
    <x v="0"/>
    <d v="2019-01-21T00:00:00"/>
    <x v="0"/>
    <x v="0"/>
    <n v="11.044700000000001"/>
    <n v="11.284800000000001"/>
    <n v="10.996700000000001"/>
    <n v="11.236800000000001"/>
    <n v="60585"/>
    <n v="2.5975000000000001"/>
    <n v="2.6200999999999999"/>
  </r>
  <r>
    <n v="2330"/>
    <x v="1"/>
    <d v="2019-01-21T00:00:00"/>
    <x v="0"/>
    <x v="0"/>
    <n v="207.77199999999999"/>
    <n v="210.6052"/>
    <n v="207.77199999999999"/>
    <n v="208.71639999999999"/>
    <n v="32515"/>
    <n v="1.1376999999999999"/>
    <n v="1.3635999999999999"/>
  </r>
  <r>
    <n v="2303"/>
    <x v="0"/>
    <d v="2019-01-22T00:00:00"/>
    <x v="1"/>
    <x v="0"/>
    <n v="11.236800000000001"/>
    <n v="11.284800000000001"/>
    <n v="11.188800000000001"/>
    <n v="11.236800000000001"/>
    <n v="19850"/>
    <n v="0"/>
    <n v="0.85840000000000005"/>
  </r>
  <r>
    <n v="2330"/>
    <x v="1"/>
    <d v="2019-01-22T00:00:00"/>
    <x v="1"/>
    <x v="0"/>
    <n v="207.77199999999999"/>
    <n v="210.6052"/>
    <n v="206.82749999999999"/>
    <n v="210.6052"/>
    <n v="30958"/>
    <n v="0.90090000000000003"/>
    <n v="1.8265"/>
  </r>
  <r>
    <n v="2303"/>
    <x v="0"/>
    <d v="2019-01-23T00:00:00"/>
    <x v="2"/>
    <x v="0"/>
    <n v="11.188800000000001"/>
    <n v="11.188800000000001"/>
    <n v="11.092700000000001"/>
    <n v="11.092700000000001"/>
    <n v="9871"/>
    <n v="-1.2903"/>
    <n v="0.86580000000000001"/>
  </r>
  <r>
    <n v="2330"/>
    <x v="1"/>
    <d v="2019-01-23T00:00:00"/>
    <x v="2"/>
    <x v="0"/>
    <n v="209.18860000000001"/>
    <n v="209.66079999999999"/>
    <n v="207.77199999999999"/>
    <n v="208.24420000000001"/>
    <n v="18671"/>
    <n v="-1.1274"/>
    <n v="0.90910000000000002"/>
  </r>
  <r>
    <n v="2303"/>
    <x v="0"/>
    <d v="2019-01-24T00:00:00"/>
    <x v="3"/>
    <x v="0"/>
    <n v="11.1408"/>
    <n v="11.236800000000001"/>
    <n v="11.1408"/>
    <n v="11.236800000000001"/>
    <n v="13008"/>
    <n v="1.2903"/>
    <n v="0.86209999999999998"/>
  </r>
  <r>
    <n v="2330"/>
    <x v="1"/>
    <d v="2019-01-24T00:00:00"/>
    <x v="3"/>
    <x v="0"/>
    <n v="210.13300000000001"/>
    <n v="210.13300000000001"/>
    <n v="208.24420000000001"/>
    <n v="210.13300000000001"/>
    <n v="31348"/>
    <n v="0.90290000000000004"/>
    <n v="0.90700000000000003"/>
  </r>
  <r>
    <n v="2303"/>
    <x v="0"/>
    <d v="2019-01-25T00:00:00"/>
    <x v="4"/>
    <x v="0"/>
    <n v="11.332800000000001"/>
    <n v="11.476900000000001"/>
    <n v="11.284800000000001"/>
    <n v="11.476900000000001"/>
    <n v="43907"/>
    <n v="2.1141999999999999"/>
    <n v="1.7020999999999999"/>
  </r>
  <r>
    <n v="2330"/>
    <x v="1"/>
    <d v="2019-01-25T00:00:00"/>
    <x v="4"/>
    <x v="0"/>
    <n v="213.91069999999999"/>
    <n v="214.38290000000001"/>
    <n v="212.494"/>
    <n v="213.4385"/>
    <n v="48039"/>
    <n v="1.5608"/>
    <n v="0.88890000000000002"/>
  </r>
  <r>
    <n v="2303"/>
    <x v="0"/>
    <d v="2019-01-28T00:00:00"/>
    <x v="0"/>
    <x v="0"/>
    <n v="11.476900000000001"/>
    <n v="11.476900000000001"/>
    <n v="11.284800000000001"/>
    <n v="11.3809"/>
    <n v="34489"/>
    <n v="-0.84030000000000005"/>
    <n v="1.7020999999999999"/>
  </r>
  <r>
    <n v="2330"/>
    <x v="1"/>
    <d v="2019-01-28T00:00:00"/>
    <x v="0"/>
    <x v="0"/>
    <n v="216.7439"/>
    <n v="216.7439"/>
    <n v="215.32730000000001"/>
    <n v="216.27170000000001"/>
    <n v="29134"/>
    <n v="1.3187"/>
    <n v="0.65790000000000004"/>
  </r>
  <r>
    <n v="2303"/>
    <x v="0"/>
    <d v="2019-01-29T00:00:00"/>
    <x v="1"/>
    <x v="0"/>
    <n v="11.332800000000001"/>
    <n v="11.524900000000001"/>
    <n v="11.236800000000001"/>
    <n v="11.524900000000001"/>
    <n v="37926"/>
    <n v="1.2579"/>
    <n v="2.5640999999999998"/>
  </r>
  <r>
    <n v="2330"/>
    <x v="1"/>
    <d v="2019-01-29T00:00:00"/>
    <x v="1"/>
    <x v="0"/>
    <n v="210.13300000000001"/>
    <n v="212.494"/>
    <n v="209.66079999999999"/>
    <n v="210.13300000000001"/>
    <n v="42566"/>
    <n v="-2.8795000000000002"/>
    <n v="1.3513999999999999"/>
  </r>
  <r>
    <n v="2303"/>
    <x v="0"/>
    <d v="2019-01-30T00:00:00"/>
    <x v="2"/>
    <x v="0"/>
    <n v="10.948700000000001"/>
    <n v="11.044700000000001"/>
    <n v="10.804600000000001"/>
    <n v="10.900700000000001"/>
    <n v="95570"/>
    <n v="-5.5689000000000002"/>
    <n v="2.2222"/>
  </r>
  <r>
    <n v="2330"/>
    <x v="1"/>
    <d v="2019-01-30T00:00:00"/>
    <x v="2"/>
    <x v="0"/>
    <n v="208.24420000000001"/>
    <n v="209.18860000000001"/>
    <n v="207.77199999999999"/>
    <n v="208.71639999999999"/>
    <n v="51889"/>
    <n v="-0.6764"/>
    <n v="0.68179999999999996"/>
  </r>
  <r>
    <n v="2303"/>
    <x v="0"/>
    <d v="2019-02-11T00:00:00"/>
    <x v="0"/>
    <x v="1"/>
    <n v="10.948700000000001"/>
    <n v="10.948700000000001"/>
    <n v="10.372400000000001"/>
    <n v="10.420400000000001"/>
    <n v="82010"/>
    <n v="-4.5053000000000001"/>
    <n v="5.5556000000000001"/>
  </r>
  <r>
    <n v="2330"/>
    <x v="1"/>
    <d v="2019-02-11T00:00:00"/>
    <x v="0"/>
    <x v="1"/>
    <n v="215.32730000000001"/>
    <n v="216.27170000000001"/>
    <n v="213.91069999999999"/>
    <n v="215.32730000000001"/>
    <n v="81360"/>
    <n v="3.1183000000000001"/>
    <n v="1.1037999999999999"/>
  </r>
  <r>
    <n v="2303"/>
    <x v="0"/>
    <d v="2019-02-12T00:00:00"/>
    <x v="1"/>
    <x v="1"/>
    <n v="10.420400000000001"/>
    <n v="10.708600000000001"/>
    <n v="10.372400000000001"/>
    <n v="10.660600000000001"/>
    <n v="70690"/>
    <n v="2.278"/>
    <n v="3.2406999999999999"/>
  </r>
  <r>
    <n v="2330"/>
    <x v="1"/>
    <d v="2019-02-12T00:00:00"/>
    <x v="1"/>
    <x v="1"/>
    <n v="217.21610000000001"/>
    <n v="217.21610000000001"/>
    <n v="216.27170000000001"/>
    <n v="217.21610000000001"/>
    <n v="30125"/>
    <n v="0.87339999999999995"/>
    <n v="0.43669999999999998"/>
  </r>
  <r>
    <n v="2303"/>
    <x v="0"/>
    <d v="2019-02-13T00:00:00"/>
    <x v="2"/>
    <x v="1"/>
    <n v="10.756600000000001"/>
    <n v="10.756600000000001"/>
    <n v="10.564500000000001"/>
    <n v="10.660600000000001"/>
    <n v="70000"/>
    <n v="0"/>
    <n v="1.8182"/>
  </r>
  <r>
    <n v="2330"/>
    <x v="1"/>
    <d v="2019-02-13T00:00:00"/>
    <x v="2"/>
    <x v="1"/>
    <n v="219.10499999999999"/>
    <n v="219.10499999999999"/>
    <n v="215.79949999999999"/>
    <n v="216.27170000000001"/>
    <n v="28634"/>
    <n v="-0.43569999999999998"/>
    <n v="1.5317000000000001"/>
  </r>
  <r>
    <n v="2303"/>
    <x v="0"/>
    <d v="2019-02-14T00:00:00"/>
    <x v="3"/>
    <x v="1"/>
    <n v="10.708600000000001"/>
    <n v="10.852600000000001"/>
    <n v="10.660600000000001"/>
    <n v="10.852600000000001"/>
    <n v="26940"/>
    <n v="1.7858000000000001"/>
    <n v="1.8018000000000001"/>
  </r>
  <r>
    <n v="2330"/>
    <x v="1"/>
    <d v="2019-02-14T00:00:00"/>
    <x v="3"/>
    <x v="1"/>
    <n v="216.7439"/>
    <n v="217.21610000000001"/>
    <n v="213.4385"/>
    <n v="214.38290000000001"/>
    <n v="23647"/>
    <n v="-0.87719999999999998"/>
    <n v="1.7699"/>
  </r>
  <r>
    <n v="2303"/>
    <x v="0"/>
    <d v="2019-02-15T00:00:00"/>
    <x v="4"/>
    <x v="1"/>
    <n v="10.804600000000001"/>
    <n v="10.948700000000001"/>
    <n v="10.756600000000001"/>
    <n v="10.948700000000001"/>
    <n v="33217"/>
    <n v="0.88109999999999999"/>
    <n v="1.7857000000000001"/>
  </r>
  <r>
    <n v="2330"/>
    <x v="1"/>
    <d v="2019-02-15T00:00:00"/>
    <x v="4"/>
    <x v="1"/>
    <n v="216.27170000000001"/>
    <n v="216.27170000000001"/>
    <n v="213.91069999999999"/>
    <n v="214.38290000000001"/>
    <n v="22369"/>
    <n v="0"/>
    <n v="1.1037999999999999"/>
  </r>
  <r>
    <n v="2303"/>
    <x v="0"/>
    <d v="2019-02-18T00:00:00"/>
    <x v="0"/>
    <x v="1"/>
    <n v="11.044700000000001"/>
    <n v="11.092700000000001"/>
    <n v="10.996700000000001"/>
    <n v="10.996700000000001"/>
    <n v="23733"/>
    <n v="0.43759999999999999"/>
    <n v="0.87339999999999995"/>
  </r>
  <r>
    <n v="2330"/>
    <x v="1"/>
    <d v="2019-02-18T00:00:00"/>
    <x v="0"/>
    <x v="1"/>
    <n v="216.27170000000001"/>
    <n v="217.6883"/>
    <n v="215.79949999999999"/>
    <n v="217.21610000000001"/>
    <n v="18163"/>
    <n v="1.3129"/>
    <n v="0.87529999999999997"/>
  </r>
  <r>
    <n v="2303"/>
    <x v="0"/>
    <d v="2019-02-19T00:00:00"/>
    <x v="1"/>
    <x v="1"/>
    <n v="10.996700000000001"/>
    <n v="11.044700000000001"/>
    <n v="10.948700000000001"/>
    <n v="10.996700000000001"/>
    <n v="20956"/>
    <n v="0"/>
    <n v="0.87719999999999998"/>
  </r>
  <r>
    <n v="2330"/>
    <x v="1"/>
    <d v="2019-02-19T00:00:00"/>
    <x v="1"/>
    <x v="1"/>
    <n v="217.21610000000001"/>
    <n v="217.6883"/>
    <n v="216.27170000000001"/>
    <n v="216.27170000000001"/>
    <n v="18423"/>
    <n v="-0.43569999999999998"/>
    <n v="0.65500000000000003"/>
  </r>
  <r>
    <n v="2303"/>
    <x v="0"/>
    <d v="2019-02-20T00:00:00"/>
    <x v="2"/>
    <x v="1"/>
    <n v="10.996700000000001"/>
    <n v="10.996700000000001"/>
    <n v="10.900700000000001"/>
    <n v="10.948700000000001"/>
    <n v="23211"/>
    <n v="-0.43759999999999999"/>
    <n v="0.88109999999999999"/>
  </r>
  <r>
    <n v="2330"/>
    <x v="1"/>
    <d v="2019-02-20T00:00:00"/>
    <x v="2"/>
    <x v="1"/>
    <n v="218.6328"/>
    <n v="221.46600000000001"/>
    <n v="218.16059999999999"/>
    <n v="221.46600000000001"/>
    <n v="31887"/>
    <n v="2.3734000000000002"/>
    <n v="1.5152000000000001"/>
  </r>
  <r>
    <n v="2303"/>
    <x v="0"/>
    <d v="2019-02-21T00:00:00"/>
    <x v="3"/>
    <x v="1"/>
    <n v="10.996700000000001"/>
    <n v="11.044700000000001"/>
    <n v="10.900700000000001"/>
    <n v="10.996700000000001"/>
    <n v="33906"/>
    <n v="0.43759999999999999"/>
    <n v="1.3216000000000001"/>
  </r>
  <r>
    <n v="2330"/>
    <x v="1"/>
    <d v="2019-02-21T00:00:00"/>
    <x v="3"/>
    <x v="1"/>
    <n v="222.41040000000001"/>
    <n v="223.35489999999999"/>
    <n v="221.46600000000001"/>
    <n v="223.35489999999999"/>
    <n v="34013"/>
    <n v="0.84930000000000005"/>
    <n v="0.85289999999999999"/>
  </r>
  <r>
    <n v="2303"/>
    <x v="0"/>
    <d v="2019-02-22T00:00:00"/>
    <x v="4"/>
    <x v="1"/>
    <n v="10.996700000000001"/>
    <n v="11.044700000000001"/>
    <n v="10.852600000000001"/>
    <n v="11.044700000000001"/>
    <n v="39409"/>
    <n v="0.43569999999999998"/>
    <n v="1.7699"/>
  </r>
  <r>
    <n v="2330"/>
    <x v="1"/>
    <d v="2019-02-22T00:00:00"/>
    <x v="4"/>
    <x v="1"/>
    <n v="222.41040000000001"/>
    <n v="223.35489999999999"/>
    <n v="220.99379999999999"/>
    <n v="223.35489999999999"/>
    <n v="22032"/>
    <n v="0"/>
    <n v="1.0684"/>
  </r>
  <r>
    <n v="2303"/>
    <x v="0"/>
    <d v="2019-02-25T00:00:00"/>
    <x v="0"/>
    <x v="1"/>
    <n v="11.092700000000001"/>
    <n v="11.236800000000001"/>
    <n v="11.044700000000001"/>
    <n v="11.188800000000001"/>
    <n v="58222"/>
    <n v="1.2959000000000001"/>
    <n v="1.7391000000000001"/>
  </r>
  <r>
    <n v="2330"/>
    <x v="1"/>
    <d v="2019-02-25T00:00:00"/>
    <x v="0"/>
    <x v="1"/>
    <n v="224.29929999999999"/>
    <n v="225.7159"/>
    <n v="222.8826"/>
    <n v="224.7715"/>
    <n v="25227"/>
    <n v="0.63219999999999998"/>
    <n v="1.2712000000000001"/>
  </r>
  <r>
    <n v="2303"/>
    <x v="0"/>
    <d v="2019-02-26T00:00:00"/>
    <x v="1"/>
    <x v="1"/>
    <n v="11.188800000000001"/>
    <n v="11.284800000000001"/>
    <n v="11.1408"/>
    <n v="11.188800000000001"/>
    <n v="31765"/>
    <n v="0"/>
    <n v="1.2930999999999999"/>
  </r>
  <r>
    <n v="2330"/>
    <x v="1"/>
    <d v="2019-02-26T00:00:00"/>
    <x v="1"/>
    <x v="1"/>
    <n v="225.7159"/>
    <n v="226.66030000000001"/>
    <n v="223.35489999999999"/>
    <n v="226.18809999999999"/>
    <n v="24586"/>
    <n v="0.62829999999999997"/>
    <n v="1.4799"/>
  </r>
  <r>
    <n v="2303"/>
    <x v="0"/>
    <d v="2019-02-27T00:00:00"/>
    <x v="2"/>
    <x v="1"/>
    <n v="11.188800000000001"/>
    <n v="11.188800000000001"/>
    <n v="10.900700000000001"/>
    <n v="10.996700000000001"/>
    <n v="65102"/>
    <n v="-1.7316"/>
    <n v="2.6432000000000002"/>
  </r>
  <r>
    <n v="2330"/>
    <x v="1"/>
    <d v="2019-02-27T00:00:00"/>
    <x v="2"/>
    <x v="1"/>
    <n v="225.24369999999999"/>
    <n v="226.18809999999999"/>
    <n v="223.8271"/>
    <n v="225.7159"/>
    <n v="37947"/>
    <n v="-0.20899999999999999"/>
    <n v="1.0548999999999999"/>
  </r>
  <r>
    <n v="2303"/>
    <x v="0"/>
    <d v="2019-03-04T00:00:00"/>
    <x v="0"/>
    <x v="2"/>
    <n v="10.900700000000001"/>
    <n v="11.1408"/>
    <n v="10.852600000000001"/>
    <n v="10.996700000000001"/>
    <n v="27904"/>
    <n v="0"/>
    <n v="2.6549"/>
  </r>
  <r>
    <n v="2330"/>
    <x v="1"/>
    <d v="2019-03-04T00:00:00"/>
    <x v="0"/>
    <x v="2"/>
    <n v="226.18809999999999"/>
    <n v="226.18809999999999"/>
    <n v="221.46600000000001"/>
    <n v="222.41040000000001"/>
    <n v="45164"/>
    <n v="-1.4753000000000001"/>
    <n v="2.1322000000000001"/>
  </r>
  <r>
    <n v="2303"/>
    <x v="0"/>
    <d v="2019-03-05T00:00:00"/>
    <x v="1"/>
    <x v="2"/>
    <n v="10.948700000000001"/>
    <n v="11.1408"/>
    <n v="10.948700000000001"/>
    <n v="11.1408"/>
    <n v="22504"/>
    <n v="1.3015000000000001"/>
    <n v="1.7544"/>
  </r>
  <r>
    <n v="2330"/>
    <x v="1"/>
    <d v="2019-03-05T00:00:00"/>
    <x v="1"/>
    <x v="2"/>
    <n v="220.99379999999999"/>
    <n v="221.46600000000001"/>
    <n v="219.5772"/>
    <n v="220.04939999999999"/>
    <n v="23708"/>
    <n v="-1.0671999999999999"/>
    <n v="0.86019999999999996"/>
  </r>
  <r>
    <n v="2303"/>
    <x v="0"/>
    <d v="2019-03-06T00:00:00"/>
    <x v="2"/>
    <x v="2"/>
    <n v="11.092700000000001"/>
    <n v="11.284800000000001"/>
    <n v="11.092700000000001"/>
    <n v="11.236800000000001"/>
    <n v="20169"/>
    <n v="0.85840000000000005"/>
    <n v="1.7316"/>
  </r>
  <r>
    <n v="2330"/>
    <x v="1"/>
    <d v="2019-03-06T00:00:00"/>
    <x v="2"/>
    <x v="2"/>
    <n v="221.93819999999999"/>
    <n v="222.41040000000001"/>
    <n v="220.52160000000001"/>
    <n v="220.99379999999999"/>
    <n v="20811"/>
    <n v="0.42830000000000001"/>
    <n v="0.85650000000000004"/>
  </r>
  <r>
    <n v="2303"/>
    <x v="0"/>
    <d v="2019-03-07T00:00:00"/>
    <x v="3"/>
    <x v="2"/>
    <n v="11.284800000000001"/>
    <n v="11.524900000000001"/>
    <n v="11.284800000000001"/>
    <n v="11.3809"/>
    <n v="58798"/>
    <n v="1.2739"/>
    <n v="2.1276999999999999"/>
  </r>
  <r>
    <n v="2330"/>
    <x v="1"/>
    <d v="2019-03-07T00:00:00"/>
    <x v="3"/>
    <x v="2"/>
    <n v="221.93819999999999"/>
    <n v="221.93819999999999"/>
    <n v="220.04939999999999"/>
    <n v="220.99379999999999"/>
    <n v="17226"/>
    <n v="0"/>
    <n v="0.85840000000000005"/>
  </r>
  <r>
    <n v="2303"/>
    <x v="0"/>
    <d v="2019-03-08T00:00:00"/>
    <x v="4"/>
    <x v="2"/>
    <n v="11.3809"/>
    <n v="11.3809"/>
    <n v="11.1408"/>
    <n v="11.1408"/>
    <n v="26782"/>
    <n v="-2.1322999999999999"/>
    <n v="2.1551999999999998"/>
  </r>
  <r>
    <n v="2330"/>
    <x v="1"/>
    <d v="2019-03-08T00:00:00"/>
    <x v="4"/>
    <x v="2"/>
    <n v="218.16059999999999"/>
    <n v="218.6328"/>
    <n v="216.27170000000001"/>
    <n v="217.21610000000001"/>
    <n v="22535"/>
    <n v="-1.7242"/>
    <n v="1.0916999999999999"/>
  </r>
  <r>
    <n v="2303"/>
    <x v="0"/>
    <d v="2019-03-11T00:00:00"/>
    <x v="0"/>
    <x v="2"/>
    <n v="11.092700000000001"/>
    <n v="11.1408"/>
    <n v="10.948700000000001"/>
    <n v="10.996700000000001"/>
    <n v="40281"/>
    <n v="-1.3015000000000001"/>
    <n v="1.7544"/>
  </r>
  <r>
    <n v="2330"/>
    <x v="1"/>
    <d v="2019-03-11T00:00:00"/>
    <x v="0"/>
    <x v="2"/>
    <n v="215.32730000000001"/>
    <n v="217.6883"/>
    <n v="214.85509999999999"/>
    <n v="217.6883"/>
    <n v="34282"/>
    <n v="0.2172"/>
    <n v="1.3187"/>
  </r>
  <r>
    <n v="2303"/>
    <x v="0"/>
    <d v="2019-03-12T00:00:00"/>
    <x v="1"/>
    <x v="2"/>
    <n v="11.092700000000001"/>
    <n v="11.188800000000001"/>
    <n v="11.092700000000001"/>
    <n v="11.188800000000001"/>
    <n v="15935"/>
    <n v="1.7316"/>
    <n v="0.86580000000000001"/>
  </r>
  <r>
    <n v="2330"/>
    <x v="1"/>
    <d v="2019-03-12T00:00:00"/>
    <x v="1"/>
    <x v="2"/>
    <n v="220.04939999999999"/>
    <n v="223.8271"/>
    <n v="219.5772"/>
    <n v="222.41040000000001"/>
    <n v="23839"/>
    <n v="2.1459999999999999"/>
    <n v="1.9355"/>
  </r>
  <r>
    <n v="2303"/>
    <x v="0"/>
    <d v="2019-03-13T00:00:00"/>
    <x v="2"/>
    <x v="2"/>
    <n v="11.188800000000001"/>
    <n v="11.188800000000001"/>
    <n v="11.044700000000001"/>
    <n v="11.092700000000001"/>
    <n v="14050"/>
    <n v="-0.86209999999999998"/>
    <n v="1.3043"/>
  </r>
  <r>
    <n v="2330"/>
    <x v="1"/>
    <d v="2019-03-13T00:00:00"/>
    <x v="2"/>
    <x v="2"/>
    <n v="220.99379999999999"/>
    <n v="223.8271"/>
    <n v="220.99379999999999"/>
    <n v="223.8271"/>
    <n v="22493"/>
    <n v="0.63490000000000002"/>
    <n v="1.2821"/>
  </r>
  <r>
    <n v="2303"/>
    <x v="0"/>
    <d v="2019-03-14T00:00:00"/>
    <x v="3"/>
    <x v="2"/>
    <n v="11.092700000000001"/>
    <n v="11.1408"/>
    <n v="10.996700000000001"/>
    <n v="10.996700000000001"/>
    <n v="17760"/>
    <n v="-0.86960000000000004"/>
    <n v="1.31"/>
  </r>
  <r>
    <n v="2330"/>
    <x v="1"/>
    <d v="2019-03-14T00:00:00"/>
    <x v="3"/>
    <x v="2"/>
    <n v="225.7159"/>
    <n v="225.7159"/>
    <n v="220.99379999999999"/>
    <n v="221.46600000000001"/>
    <n v="17281"/>
    <n v="-1.0605"/>
    <n v="2.1368"/>
  </r>
  <r>
    <n v="2303"/>
    <x v="0"/>
    <d v="2019-03-15T00:00:00"/>
    <x v="4"/>
    <x v="2"/>
    <n v="10.996700000000001"/>
    <n v="11.188800000000001"/>
    <n v="10.996700000000001"/>
    <n v="11.188800000000001"/>
    <n v="28892"/>
    <n v="1.7316"/>
    <n v="1.7466999999999999"/>
  </r>
  <r>
    <n v="2330"/>
    <x v="1"/>
    <d v="2019-03-15T00:00:00"/>
    <x v="4"/>
    <x v="2"/>
    <n v="223.8271"/>
    <n v="226.18809999999999"/>
    <n v="222.41040000000001"/>
    <n v="225.7159"/>
    <n v="34542"/>
    <n v="1.9008"/>
    <n v="1.6984999999999999"/>
  </r>
  <r>
    <n v="2303"/>
    <x v="0"/>
    <d v="2019-03-18T00:00:00"/>
    <x v="0"/>
    <x v="2"/>
    <n v="11.092700000000001"/>
    <n v="11.236800000000001"/>
    <n v="11.092700000000001"/>
    <n v="11.236800000000001"/>
    <n v="23859"/>
    <n v="0.42830000000000001"/>
    <n v="1.2987"/>
  </r>
  <r>
    <n v="2330"/>
    <x v="1"/>
    <d v="2019-03-18T00:00:00"/>
    <x v="0"/>
    <x v="2"/>
    <n v="226.18809999999999"/>
    <n v="227.60470000000001"/>
    <n v="225.7159"/>
    <n v="227.60470000000001"/>
    <n v="27040"/>
    <n v="0.83330000000000004"/>
    <n v="0.83679999999999999"/>
  </r>
  <r>
    <n v="2303"/>
    <x v="0"/>
    <d v="2019-03-19T00:00:00"/>
    <x v="1"/>
    <x v="2"/>
    <n v="11.236800000000001"/>
    <n v="11.284800000000001"/>
    <n v="11.188800000000001"/>
    <n v="11.236800000000001"/>
    <n v="33532"/>
    <n v="0"/>
    <n v="0.85840000000000005"/>
  </r>
  <r>
    <n v="2330"/>
    <x v="1"/>
    <d v="2019-03-19T00:00:00"/>
    <x v="1"/>
    <x v="2"/>
    <n v="225.7159"/>
    <n v="227.13249999999999"/>
    <n v="224.7715"/>
    <n v="227.13249999999999"/>
    <n v="14620"/>
    <n v="-0.2077"/>
    <n v="1.0504"/>
  </r>
  <r>
    <n v="2303"/>
    <x v="0"/>
    <d v="2019-03-20T00:00:00"/>
    <x v="2"/>
    <x v="2"/>
    <n v="11.188800000000001"/>
    <n v="11.236800000000001"/>
    <n v="11.092700000000001"/>
    <n v="11.092700000000001"/>
    <n v="19746"/>
    <n v="-1.2903"/>
    <n v="1.2987"/>
  </r>
  <r>
    <n v="2330"/>
    <x v="1"/>
    <d v="2019-03-20T00:00:00"/>
    <x v="2"/>
    <x v="2"/>
    <n v="228.54920000000001"/>
    <n v="228.54920000000001"/>
    <n v="226.18809999999999"/>
    <n v="228.54920000000001"/>
    <n v="23055"/>
    <n v="0.62180000000000002"/>
    <n v="1.0438000000000001"/>
  </r>
  <r>
    <n v="2303"/>
    <x v="0"/>
    <d v="2019-03-21T00:00:00"/>
    <x v="3"/>
    <x v="2"/>
    <n v="11.1408"/>
    <n v="11.236800000000001"/>
    <n v="11.092700000000001"/>
    <n v="11.1408"/>
    <n v="27175"/>
    <n v="0.432"/>
    <n v="1.2987"/>
  </r>
  <r>
    <n v="2330"/>
    <x v="1"/>
    <d v="2019-03-21T00:00:00"/>
    <x v="3"/>
    <x v="2"/>
    <n v="229.0214"/>
    <n v="231.8546"/>
    <n v="227.60470000000001"/>
    <n v="231.8546"/>
    <n v="27514"/>
    <n v="1.4359"/>
    <n v="1.8672"/>
  </r>
  <r>
    <n v="2303"/>
    <x v="0"/>
    <d v="2019-03-22T00:00:00"/>
    <x v="4"/>
    <x v="2"/>
    <n v="11.188800000000001"/>
    <n v="11.332800000000001"/>
    <n v="11.188800000000001"/>
    <n v="11.332800000000001"/>
    <n v="32719"/>
    <n v="1.7094"/>
    <n v="1.2876000000000001"/>
  </r>
  <r>
    <n v="2330"/>
    <x v="1"/>
    <d v="2019-03-22T00:00:00"/>
    <x v="4"/>
    <x v="2"/>
    <n v="234.2157"/>
    <n v="234.68790000000001"/>
    <n v="230.9102"/>
    <n v="234.68790000000001"/>
    <n v="22996"/>
    <n v="1.2145999999999999"/>
    <n v="1.6359999999999999"/>
  </r>
  <r>
    <n v="2303"/>
    <x v="0"/>
    <d v="2019-03-25T00:00:00"/>
    <x v="0"/>
    <x v="2"/>
    <n v="11.188800000000001"/>
    <n v="11.332800000000001"/>
    <n v="11.1408"/>
    <n v="11.188800000000001"/>
    <n v="41937"/>
    <n v="-1.2793000000000001"/>
    <n v="1.7241"/>
  </r>
  <r>
    <n v="2330"/>
    <x v="1"/>
    <d v="2019-03-25T00:00:00"/>
    <x v="0"/>
    <x v="2"/>
    <n v="227.13249999999999"/>
    <n v="229.9658"/>
    <n v="227.13249999999999"/>
    <n v="228.07689999999999"/>
    <n v="19273"/>
    <n v="-2.8573"/>
    <n v="1.2474000000000001"/>
  </r>
  <r>
    <n v="2303"/>
    <x v="0"/>
    <d v="2019-03-26T00:00:00"/>
    <x v="1"/>
    <x v="2"/>
    <n v="11.188800000000001"/>
    <n v="11.284800000000001"/>
    <n v="11.188800000000001"/>
    <n v="11.188800000000001"/>
    <n v="13701"/>
    <n v="0"/>
    <n v="0.85840000000000005"/>
  </r>
  <r>
    <n v="2330"/>
    <x v="1"/>
    <d v="2019-03-26T00:00:00"/>
    <x v="1"/>
    <x v="2"/>
    <n v="229.49359999999999"/>
    <n v="230.43799999999999"/>
    <n v="227.60470000000001"/>
    <n v="230.43799999999999"/>
    <n v="21053"/>
    <n v="1.0299"/>
    <n v="1.2447999999999999"/>
  </r>
  <r>
    <n v="2303"/>
    <x v="0"/>
    <d v="2019-03-27T00:00:00"/>
    <x v="2"/>
    <x v="2"/>
    <n v="11.188800000000001"/>
    <n v="11.236800000000001"/>
    <n v="11.1408"/>
    <n v="11.188800000000001"/>
    <n v="14664"/>
    <n v="0"/>
    <n v="0.86209999999999998"/>
  </r>
  <r>
    <n v="2330"/>
    <x v="1"/>
    <d v="2019-03-27T00:00:00"/>
    <x v="2"/>
    <x v="2"/>
    <n v="228.54920000000001"/>
    <n v="229.0214"/>
    <n v="227.13249999999999"/>
    <n v="228.07689999999999"/>
    <n v="23622"/>
    <n v="-1.0299"/>
    <n v="0.83160000000000001"/>
  </r>
  <r>
    <n v="2303"/>
    <x v="0"/>
    <d v="2019-03-28T00:00:00"/>
    <x v="3"/>
    <x v="2"/>
    <n v="11.188800000000001"/>
    <n v="11.236800000000001"/>
    <n v="11.1408"/>
    <n v="11.188800000000001"/>
    <n v="28280"/>
    <n v="0"/>
    <n v="0.86209999999999998"/>
  </r>
  <r>
    <n v="2330"/>
    <x v="1"/>
    <d v="2019-03-28T00:00:00"/>
    <x v="3"/>
    <x v="2"/>
    <n v="227.13249999999999"/>
    <n v="229.0214"/>
    <n v="226.66030000000001"/>
    <n v="228.54920000000001"/>
    <n v="13998"/>
    <n v="0.20680000000000001"/>
    <n v="1.0417000000000001"/>
  </r>
  <r>
    <n v="2303"/>
    <x v="0"/>
    <d v="2019-03-29T00:00:00"/>
    <x v="4"/>
    <x v="2"/>
    <n v="11.188800000000001"/>
    <n v="11.236800000000001"/>
    <n v="11.1408"/>
    <n v="11.188800000000001"/>
    <n v="31034"/>
    <n v="0"/>
    <n v="0.86209999999999998"/>
  </r>
  <r>
    <n v="2330"/>
    <x v="1"/>
    <d v="2019-03-29T00:00:00"/>
    <x v="4"/>
    <x v="2"/>
    <n v="229.49359999999999"/>
    <n v="231.8546"/>
    <n v="227.13249999999999"/>
    <n v="231.8546"/>
    <n v="31024"/>
    <n v="1.4359"/>
    <n v="2.0790000000000002"/>
  </r>
  <r>
    <n v="2303"/>
    <x v="0"/>
    <d v="2019-04-01T00:00:00"/>
    <x v="0"/>
    <x v="3"/>
    <n v="11.236800000000001"/>
    <n v="11.284800000000001"/>
    <n v="11.092700000000001"/>
    <n v="11.092700000000001"/>
    <n v="22798"/>
    <n v="-0.86209999999999998"/>
    <n v="1.7316"/>
  </r>
  <r>
    <n v="2330"/>
    <x v="1"/>
    <d v="2019-04-01T00:00:00"/>
    <x v="0"/>
    <x v="3"/>
    <n v="237.0489"/>
    <n v="237.0489"/>
    <n v="231.38239999999999"/>
    <n v="231.8546"/>
    <n v="35330"/>
    <n v="0"/>
    <n v="2.4489999999999998"/>
  </r>
  <r>
    <n v="2303"/>
    <x v="0"/>
    <d v="2019-04-02T00:00:00"/>
    <x v="1"/>
    <x v="3"/>
    <n v="11.188800000000001"/>
    <n v="11.236800000000001"/>
    <n v="11.092700000000001"/>
    <n v="11.1408"/>
    <n v="23155"/>
    <n v="0.432"/>
    <n v="1.2987"/>
  </r>
  <r>
    <n v="2330"/>
    <x v="1"/>
    <d v="2019-04-02T00:00:00"/>
    <x v="1"/>
    <x v="3"/>
    <n v="235.63229999999999"/>
    <n v="235.63229999999999"/>
    <n v="232.32679999999999"/>
    <n v="232.32679999999999"/>
    <n v="25189"/>
    <n v="0.20349999999999999"/>
    <n v="1.4228000000000001"/>
  </r>
  <r>
    <n v="2303"/>
    <x v="0"/>
    <d v="2019-04-03T00:00:00"/>
    <x v="2"/>
    <x v="3"/>
    <n v="11.1408"/>
    <n v="11.188800000000001"/>
    <n v="11.092700000000001"/>
    <n v="11.092700000000001"/>
    <n v="21951"/>
    <n v="-0.432"/>
    <n v="0.86580000000000001"/>
  </r>
  <r>
    <n v="2330"/>
    <x v="1"/>
    <d v="2019-04-03T00:00:00"/>
    <x v="2"/>
    <x v="3"/>
    <n v="235.1601"/>
    <n v="235.1601"/>
    <n v="232.79900000000001"/>
    <n v="232.79900000000001"/>
    <n v="28581"/>
    <n v="0.20300000000000001"/>
    <n v="1.0142"/>
  </r>
  <r>
    <n v="2303"/>
    <x v="0"/>
    <d v="2019-04-08T00:00:00"/>
    <x v="0"/>
    <x v="3"/>
    <n v="11.1408"/>
    <n v="11.669"/>
    <n v="11.1408"/>
    <n v="11.428900000000001"/>
    <n v="105510"/>
    <n v="2.9853000000000001"/>
    <n v="4.7413999999999996"/>
  </r>
  <r>
    <n v="2330"/>
    <x v="1"/>
    <d v="2019-04-08T00:00:00"/>
    <x v="0"/>
    <x v="3"/>
    <n v="237.0489"/>
    <n v="238.93780000000001"/>
    <n v="236.57669999999999"/>
    <n v="238.93780000000001"/>
    <n v="46426"/>
    <n v="2.6027"/>
    <n v="0.998"/>
  </r>
  <r>
    <n v="2303"/>
    <x v="0"/>
    <d v="2019-04-09T00:00:00"/>
    <x v="1"/>
    <x v="3"/>
    <n v="11.524900000000001"/>
    <n v="11.813000000000001"/>
    <n v="11.476900000000001"/>
    <n v="11.813000000000001"/>
    <n v="86939"/>
    <n v="3.3060999999999998"/>
    <n v="2.9289000000000001"/>
  </r>
  <r>
    <n v="2330"/>
    <x v="1"/>
    <d v="2019-04-09T00:00:00"/>
    <x v="1"/>
    <x v="3"/>
    <n v="238.93780000000001"/>
    <n v="239.88220000000001"/>
    <n v="237.9933"/>
    <n v="239.88220000000001"/>
    <n v="22745"/>
    <n v="0.39450000000000002"/>
    <n v="0.79369999999999996"/>
  </r>
  <r>
    <n v="2303"/>
    <x v="0"/>
    <d v="2019-04-10T00:00:00"/>
    <x v="2"/>
    <x v="3"/>
    <n v="11.813000000000001"/>
    <n v="11.8611"/>
    <n v="11.621"/>
    <n v="11.765000000000001"/>
    <n v="48397"/>
    <n v="-0.4073"/>
    <n v="2.0661"/>
  </r>
  <r>
    <n v="2330"/>
    <x v="1"/>
    <d v="2019-04-10T00:00:00"/>
    <x v="2"/>
    <x v="3"/>
    <n v="238.93780000000001"/>
    <n v="240.3544"/>
    <n v="237.9933"/>
    <n v="239.88220000000001"/>
    <n v="33174"/>
    <n v="0"/>
    <n v="0.99209999999999998"/>
  </r>
  <r>
    <n v="2303"/>
    <x v="0"/>
    <d v="2019-04-11T00:00:00"/>
    <x v="3"/>
    <x v="3"/>
    <n v="11.8611"/>
    <n v="11.957100000000001"/>
    <n v="11.621"/>
    <n v="11.621"/>
    <n v="89309"/>
    <n v="-1.232"/>
    <n v="2.8925999999999998"/>
  </r>
  <r>
    <n v="2330"/>
    <x v="1"/>
    <d v="2019-04-11T00:00:00"/>
    <x v="3"/>
    <x v="3"/>
    <n v="238.93780000000001"/>
    <n v="239.88220000000001"/>
    <n v="237.52109999999999"/>
    <n v="237.9933"/>
    <n v="25146"/>
    <n v="-0.79049999999999998"/>
    <n v="0.99399999999999999"/>
  </r>
  <r>
    <n v="2303"/>
    <x v="0"/>
    <d v="2019-04-12T00:00:00"/>
    <x v="4"/>
    <x v="3"/>
    <n v="11.765000000000001"/>
    <n v="11.765000000000001"/>
    <n v="11.621"/>
    <n v="11.717000000000001"/>
    <n v="17252"/>
    <n v="0.82299999999999995"/>
    <n v="1.2397"/>
  </r>
  <r>
    <n v="2330"/>
    <x v="1"/>
    <d v="2019-04-12T00:00:00"/>
    <x v="4"/>
    <x v="3"/>
    <n v="237.52109999999999"/>
    <n v="238.93780000000001"/>
    <n v="237.0489"/>
    <n v="237.9933"/>
    <n v="13888"/>
    <n v="0"/>
    <n v="0.79679999999999995"/>
  </r>
  <r>
    <n v="2303"/>
    <x v="0"/>
    <d v="2019-04-15T00:00:00"/>
    <x v="0"/>
    <x v="3"/>
    <n v="11.765000000000001"/>
    <n v="11.813000000000001"/>
    <n v="11.572900000000001"/>
    <n v="11.572900000000001"/>
    <n v="34868"/>
    <n v="-1.2371000000000001"/>
    <n v="2.0747"/>
  </r>
  <r>
    <n v="2330"/>
    <x v="1"/>
    <d v="2019-04-15T00:00:00"/>
    <x v="0"/>
    <x v="3"/>
    <n v="240.82660000000001"/>
    <n v="241.77099999999999"/>
    <n v="239.88220000000001"/>
    <n v="241.2988"/>
    <n v="17257"/>
    <n v="1.3793"/>
    <n v="0.78739999999999999"/>
  </r>
  <r>
    <n v="2303"/>
    <x v="0"/>
    <d v="2019-04-16T00:00:00"/>
    <x v="1"/>
    <x v="3"/>
    <n v="11.621"/>
    <n v="11.765000000000001"/>
    <n v="11.524900000000001"/>
    <n v="11.621"/>
    <n v="35946"/>
    <n v="0.41410000000000002"/>
    <n v="2.0832999999999999"/>
  </r>
  <r>
    <n v="2330"/>
    <x v="1"/>
    <d v="2019-04-16T00:00:00"/>
    <x v="1"/>
    <x v="3"/>
    <n v="242.71539999999999"/>
    <n v="242.71539999999999"/>
    <n v="241.2988"/>
    <n v="242.71539999999999"/>
    <n v="20231"/>
    <n v="0.58540000000000003"/>
    <n v="0.58709999999999996"/>
  </r>
  <r>
    <n v="2303"/>
    <x v="0"/>
    <d v="2019-04-17T00:00:00"/>
    <x v="2"/>
    <x v="3"/>
    <n v="11.669"/>
    <n v="11.9091"/>
    <n v="11.621"/>
    <n v="11.717000000000001"/>
    <n v="60477"/>
    <n v="0.82299999999999995"/>
    <n v="2.4792999999999998"/>
  </r>
  <r>
    <n v="2330"/>
    <x v="1"/>
    <d v="2019-04-17T00:00:00"/>
    <x v="2"/>
    <x v="3"/>
    <n v="245.5487"/>
    <n v="248.3819"/>
    <n v="245.07650000000001"/>
    <n v="246.96530000000001"/>
    <n v="39037"/>
    <n v="1.7358"/>
    <n v="1.3487"/>
  </r>
  <r>
    <n v="2303"/>
    <x v="0"/>
    <d v="2019-04-18T00:00:00"/>
    <x v="3"/>
    <x v="3"/>
    <n v="11.765000000000001"/>
    <n v="11.813000000000001"/>
    <n v="11.428900000000001"/>
    <n v="11.524900000000001"/>
    <n v="48686"/>
    <n v="-1.6529"/>
    <n v="3.3613"/>
  </r>
  <r>
    <n v="2330"/>
    <x v="1"/>
    <d v="2019-04-18T00:00:00"/>
    <x v="3"/>
    <x v="3"/>
    <n v="249.32640000000001"/>
    <n v="251.21520000000001"/>
    <n v="248.85409999999999"/>
    <n v="249.79859999999999"/>
    <n v="48525"/>
    <n v="1.1407"/>
    <n v="0.94879999999999998"/>
  </r>
  <r>
    <n v="2303"/>
    <x v="0"/>
    <d v="2019-04-19T00:00:00"/>
    <x v="4"/>
    <x v="3"/>
    <n v="11.572900000000001"/>
    <n v="11.621"/>
    <n v="11.524900000000001"/>
    <n v="11.621"/>
    <n v="24015"/>
    <n v="0.82989999999999997"/>
    <n v="0.83330000000000004"/>
  </r>
  <r>
    <n v="2330"/>
    <x v="1"/>
    <d v="2019-04-19T00:00:00"/>
    <x v="4"/>
    <x v="3"/>
    <n v="254.04839999999999"/>
    <n v="254.52070000000001"/>
    <n v="248.85409999999999"/>
    <n v="249.79859999999999"/>
    <n v="47698"/>
    <n v="0"/>
    <n v="2.2770000000000001"/>
  </r>
  <r>
    <n v="2303"/>
    <x v="0"/>
    <d v="2019-04-22T00:00:00"/>
    <x v="0"/>
    <x v="3"/>
    <n v="11.669"/>
    <n v="11.669"/>
    <n v="11.428900000000001"/>
    <n v="11.428900000000001"/>
    <n v="28202"/>
    <n v="-1.6667000000000001"/>
    <n v="2.1008"/>
  </r>
  <r>
    <n v="2330"/>
    <x v="1"/>
    <d v="2019-04-22T00:00:00"/>
    <x v="0"/>
    <x v="3"/>
    <n v="251.6874"/>
    <n v="252.6318"/>
    <n v="250.27080000000001"/>
    <n v="251.21520000000001"/>
    <n v="24967"/>
    <n v="0.5655"/>
    <n v="0.94340000000000002"/>
  </r>
  <r>
    <n v="2303"/>
    <x v="0"/>
    <d v="2019-04-23T00:00:00"/>
    <x v="1"/>
    <x v="3"/>
    <n v="11.428900000000001"/>
    <n v="11.524900000000001"/>
    <n v="11.428900000000001"/>
    <n v="11.476900000000001"/>
    <n v="27169"/>
    <n v="0.41930000000000001"/>
    <n v="0.84030000000000005"/>
  </r>
  <r>
    <n v="2330"/>
    <x v="1"/>
    <d v="2019-04-23T00:00:00"/>
    <x v="1"/>
    <x v="3"/>
    <n v="251.6874"/>
    <n v="253.10400000000001"/>
    <n v="251.21520000000001"/>
    <n v="253.10400000000001"/>
    <n v="26251"/>
    <n v="0.74909999999999999"/>
    <n v="0.75190000000000001"/>
  </r>
  <r>
    <n v="2303"/>
    <x v="0"/>
    <d v="2019-04-24T00:00:00"/>
    <x v="2"/>
    <x v="3"/>
    <n v="11.572900000000001"/>
    <n v="11.621"/>
    <n v="11.3809"/>
    <n v="11.476900000000001"/>
    <n v="39688"/>
    <n v="0"/>
    <n v="2.1097000000000001"/>
  </r>
  <r>
    <n v="2330"/>
    <x v="1"/>
    <d v="2019-04-24T00:00:00"/>
    <x v="2"/>
    <x v="3"/>
    <n v="254.99289999999999"/>
    <n v="254.99289999999999"/>
    <n v="252.6318"/>
    <n v="254.04839999999999"/>
    <n v="37386"/>
    <n v="0.37240000000000001"/>
    <n v="0.93459999999999999"/>
  </r>
  <r>
    <n v="2303"/>
    <x v="0"/>
    <d v="2019-04-25T00:00:00"/>
    <x v="3"/>
    <x v="3"/>
    <n v="12.1012"/>
    <n v="12.5814"/>
    <n v="12.1012"/>
    <n v="12.5814"/>
    <n v="185934"/>
    <n v="9.1881000000000004"/>
    <n v="3.9683000000000002"/>
  </r>
  <r>
    <n v="2330"/>
    <x v="1"/>
    <d v="2019-04-25T00:00:00"/>
    <x v="3"/>
    <x v="3"/>
    <n v="253.5762"/>
    <n v="254.04839999999999"/>
    <n v="252.15960000000001"/>
    <n v="252.6318"/>
    <n v="36572"/>
    <n v="-0.55920000000000003"/>
    <n v="0.74909999999999999"/>
  </r>
  <r>
    <n v="2303"/>
    <x v="0"/>
    <d v="2019-04-26T00:00:00"/>
    <x v="4"/>
    <x v="3"/>
    <n v="12.5814"/>
    <n v="12.9175"/>
    <n v="12.4373"/>
    <n v="12.9175"/>
    <n v="225982"/>
    <n v="2.6366999999999998"/>
    <n v="3.8610000000000002"/>
  </r>
  <r>
    <n v="2330"/>
    <x v="1"/>
    <d v="2019-04-26T00:00:00"/>
    <x v="4"/>
    <x v="3"/>
    <n v="247.4375"/>
    <n v="248.3819"/>
    <n v="243.1876"/>
    <n v="245.5487"/>
    <n v="51743"/>
    <n v="-2.8437999999999999"/>
    <n v="2.1358999999999999"/>
  </r>
  <r>
    <n v="2303"/>
    <x v="0"/>
    <d v="2019-04-29T00:00:00"/>
    <x v="0"/>
    <x v="3"/>
    <n v="12.9175"/>
    <n v="12.9655"/>
    <n v="12.7254"/>
    <n v="12.8215"/>
    <n v="71900"/>
    <n v="-0.74629999999999996"/>
    <n v="1.8868"/>
  </r>
  <r>
    <n v="2330"/>
    <x v="1"/>
    <d v="2019-04-29T00:00:00"/>
    <x v="0"/>
    <x v="3"/>
    <n v="245.5487"/>
    <n v="247.4375"/>
    <n v="244.13210000000001"/>
    <n v="245.07650000000001"/>
    <n v="32651"/>
    <n v="-0.1925"/>
    <n v="1.3540000000000001"/>
  </r>
  <r>
    <n v="2303"/>
    <x v="0"/>
    <d v="2019-04-30T00:00:00"/>
    <x v="1"/>
    <x v="3"/>
    <n v="12.8215"/>
    <n v="12.9655"/>
    <n v="12.7735"/>
    <n v="12.9175"/>
    <n v="63857"/>
    <n v="0.74629999999999996"/>
    <n v="1.5038"/>
  </r>
  <r>
    <n v="2330"/>
    <x v="1"/>
    <d v="2019-04-30T00:00:00"/>
    <x v="1"/>
    <x v="3"/>
    <n v="245.5487"/>
    <n v="246.02090000000001"/>
    <n v="243.65979999999999"/>
    <n v="244.60429999999999"/>
    <n v="40446"/>
    <n v="-0.19289999999999999"/>
    <n v="0.96899999999999997"/>
  </r>
  <r>
    <n v="2303"/>
    <x v="0"/>
    <d v="2019-05-02T00:00:00"/>
    <x v="3"/>
    <x v="4"/>
    <n v="12.8215"/>
    <n v="13.0616"/>
    <n v="12.8215"/>
    <n v="13.0136"/>
    <n v="37508"/>
    <n v="0.74070000000000003"/>
    <n v="1.8727"/>
  </r>
  <r>
    <n v="2330"/>
    <x v="1"/>
    <d v="2019-05-02T00:00:00"/>
    <x v="3"/>
    <x v="4"/>
    <n v="246.96530000000001"/>
    <n v="247.90969999999999"/>
    <n v="244.13210000000001"/>
    <n v="244.60429999999999"/>
    <n v="27376"/>
    <n v="0"/>
    <n v="1.5474000000000001"/>
  </r>
  <r>
    <n v="2303"/>
    <x v="0"/>
    <d v="2019-05-03T00:00:00"/>
    <x v="4"/>
    <x v="4"/>
    <n v="13.0136"/>
    <n v="13.3497"/>
    <n v="13.0136"/>
    <n v="13.3017"/>
    <n v="87607"/>
    <n v="2.1899000000000002"/>
    <n v="2.5830000000000002"/>
  </r>
  <r>
    <n v="2330"/>
    <x v="1"/>
    <d v="2019-05-03T00:00:00"/>
    <x v="4"/>
    <x v="4"/>
    <n v="247.4375"/>
    <n v="250.27080000000001"/>
    <n v="246.02090000000001"/>
    <n v="250.27080000000001"/>
    <n v="30200"/>
    <n v="2.2902"/>
    <n v="1.7274"/>
  </r>
  <r>
    <n v="2303"/>
    <x v="0"/>
    <d v="2019-05-06T00:00:00"/>
    <x v="0"/>
    <x v="4"/>
    <n v="12.9655"/>
    <n v="13.1576"/>
    <n v="12.6294"/>
    <n v="12.6774"/>
    <n v="94350"/>
    <n v="-4.8068"/>
    <n v="4.1825000000000001"/>
  </r>
  <r>
    <n v="2330"/>
    <x v="1"/>
    <d v="2019-05-06T00:00:00"/>
    <x v="0"/>
    <x v="4"/>
    <n v="245.5487"/>
    <n v="245.5487"/>
    <n v="243.65979999999999"/>
    <n v="244.60429999999999"/>
    <n v="33688"/>
    <n v="-2.2902"/>
    <n v="0.7752"/>
  </r>
  <r>
    <n v="2303"/>
    <x v="0"/>
    <d v="2019-05-07T00:00:00"/>
    <x v="1"/>
    <x v="4"/>
    <n v="12.8215"/>
    <n v="13.1096"/>
    <n v="12.7254"/>
    <n v="13.0616"/>
    <n v="53939"/>
    <n v="2.9853000000000001"/>
    <n v="3.0188999999999999"/>
  </r>
  <r>
    <n v="2330"/>
    <x v="1"/>
    <d v="2019-05-07T00:00:00"/>
    <x v="1"/>
    <x v="4"/>
    <n v="245.07650000000001"/>
    <n v="248.3819"/>
    <n v="244.60429999999999"/>
    <n v="247.90969999999999"/>
    <n v="25686"/>
    <n v="1.3423"/>
    <n v="1.5444"/>
  </r>
  <r>
    <n v="2303"/>
    <x v="0"/>
    <d v="2019-05-08T00:00:00"/>
    <x v="2"/>
    <x v="4"/>
    <n v="12.8215"/>
    <n v="13.0136"/>
    <n v="12.7735"/>
    <n v="12.9175"/>
    <n v="53979"/>
    <n v="-1.1091"/>
    <n v="1.8796999999999999"/>
  </r>
  <r>
    <n v="2330"/>
    <x v="1"/>
    <d v="2019-05-08T00:00:00"/>
    <x v="2"/>
    <x v="4"/>
    <n v="245.5487"/>
    <n v="246.96530000000001"/>
    <n v="245.07650000000001"/>
    <n v="245.5487"/>
    <n v="25902"/>
    <n v="-0.95689999999999997"/>
    <n v="0.77070000000000005"/>
  </r>
  <r>
    <n v="2303"/>
    <x v="0"/>
    <d v="2019-05-09T00:00:00"/>
    <x v="3"/>
    <x v="4"/>
    <n v="12.8695"/>
    <n v="12.9175"/>
    <n v="12.485300000000001"/>
    <n v="12.6294"/>
    <n v="61722"/>
    <n v="-2.2557"/>
    <n v="3.4615"/>
  </r>
  <r>
    <n v="2330"/>
    <x v="1"/>
    <d v="2019-05-09T00:00:00"/>
    <x v="3"/>
    <x v="4"/>
    <n v="245.07650000000001"/>
    <n v="245.07650000000001"/>
    <n v="241.77099999999999"/>
    <n v="242.2432"/>
    <n v="34166"/>
    <n v="-1.3552999999999999"/>
    <n v="1.3672"/>
  </r>
  <r>
    <n v="2303"/>
    <x v="0"/>
    <d v="2019-05-10T00:00:00"/>
    <x v="4"/>
    <x v="4"/>
    <n v="12.7735"/>
    <n v="12.8695"/>
    <n v="12.5334"/>
    <n v="12.6774"/>
    <n v="34772"/>
    <n v="0.3795"/>
    <n v="2.6819999999999999"/>
  </r>
  <r>
    <n v="2330"/>
    <x v="1"/>
    <d v="2019-05-10T00:00:00"/>
    <x v="4"/>
    <x v="4"/>
    <n v="242.71539999999999"/>
    <n v="244.60429999999999"/>
    <n v="240.82660000000001"/>
    <n v="241.77099999999999"/>
    <n v="18868"/>
    <n v="-0.1951"/>
    <n v="1.5686"/>
  </r>
  <r>
    <n v="2303"/>
    <x v="0"/>
    <d v="2019-05-13T00:00:00"/>
    <x v="0"/>
    <x v="4"/>
    <n v="12.5814"/>
    <n v="12.6774"/>
    <n v="12.4373"/>
    <n v="12.4373"/>
    <n v="34652"/>
    <n v="-1.9120999999999999"/>
    <n v="1.9305000000000001"/>
  </r>
  <r>
    <n v="2330"/>
    <x v="1"/>
    <d v="2019-05-13T00:00:00"/>
    <x v="0"/>
    <x v="4"/>
    <n v="238.93780000000001"/>
    <n v="239.88220000000001"/>
    <n v="235.63229999999999"/>
    <n v="236.57669999999999"/>
    <n v="29317"/>
    <n v="-2.1718999999999999"/>
    <n v="1.8036000000000001"/>
  </r>
  <r>
    <n v="2303"/>
    <x v="0"/>
    <d v="2019-05-14T00:00:00"/>
    <x v="1"/>
    <x v="4"/>
    <n v="12.293200000000001"/>
    <n v="12.5814"/>
    <n v="12.1012"/>
    <n v="12.485300000000001"/>
    <n v="68436"/>
    <n v="0.38540000000000002"/>
    <n v="3.9683000000000002"/>
  </r>
  <r>
    <n v="2330"/>
    <x v="1"/>
    <d v="2019-05-14T00:00:00"/>
    <x v="1"/>
    <x v="4"/>
    <n v="233.74350000000001"/>
    <n v="237.0489"/>
    <n v="231.38239999999999"/>
    <n v="234.68790000000001"/>
    <n v="45620"/>
    <n v="-0.80159999999999998"/>
    <n v="2.4489999999999998"/>
  </r>
  <r>
    <n v="2303"/>
    <x v="0"/>
    <d v="2019-05-15T00:00:00"/>
    <x v="2"/>
    <x v="4"/>
    <n v="12.4373"/>
    <n v="12.6294"/>
    <n v="12.3893"/>
    <n v="12.3893"/>
    <n v="54345"/>
    <n v="-0.7722"/>
    <n v="1.9379999999999999"/>
  </r>
  <r>
    <n v="2330"/>
    <x v="1"/>
    <d v="2019-05-15T00:00:00"/>
    <x v="2"/>
    <x v="4"/>
    <n v="237.0489"/>
    <n v="237.9933"/>
    <n v="235.1601"/>
    <n v="235.1601"/>
    <n v="37223"/>
    <n v="0.20100000000000001"/>
    <n v="1.2048000000000001"/>
  </r>
  <r>
    <n v="2303"/>
    <x v="0"/>
    <d v="2019-05-16T00:00:00"/>
    <x v="3"/>
    <x v="4"/>
    <n v="12.3893"/>
    <n v="12.485300000000001"/>
    <n v="12.293200000000001"/>
    <n v="12.4373"/>
    <n v="32193"/>
    <n v="0.38679999999999998"/>
    <n v="1.5625"/>
  </r>
  <r>
    <n v="2330"/>
    <x v="1"/>
    <d v="2019-05-16T00:00:00"/>
    <x v="3"/>
    <x v="4"/>
    <n v="234.68790000000001"/>
    <n v="235.63229999999999"/>
    <n v="232.32679999999999"/>
    <n v="233.27119999999999"/>
    <n v="30331"/>
    <n v="-0.80649999999999999"/>
    <n v="1.4228000000000001"/>
  </r>
  <r>
    <n v="2303"/>
    <x v="0"/>
    <d v="2019-05-17T00:00:00"/>
    <x v="4"/>
    <x v="4"/>
    <n v="12.5814"/>
    <n v="12.7254"/>
    <n v="12.4373"/>
    <n v="12.485300000000001"/>
    <n v="52327"/>
    <n v="0.38540000000000002"/>
    <n v="2.3166000000000002"/>
  </r>
  <r>
    <n v="2330"/>
    <x v="1"/>
    <d v="2019-05-17T00:00:00"/>
    <x v="4"/>
    <x v="4"/>
    <n v="235.1601"/>
    <n v="235.1601"/>
    <n v="228.07689999999999"/>
    <n v="228.07689999999999"/>
    <n v="40006"/>
    <n v="-2.2519"/>
    <n v="3.1055999999999999"/>
  </r>
  <r>
    <n v="2303"/>
    <x v="0"/>
    <d v="2019-05-20T00:00:00"/>
    <x v="0"/>
    <x v="4"/>
    <n v="12.5334"/>
    <n v="12.5814"/>
    <n v="12.245200000000001"/>
    <n v="12.245200000000001"/>
    <n v="36419"/>
    <n v="-1.9418"/>
    <n v="2.7450999999999999"/>
  </r>
  <r>
    <n v="2330"/>
    <x v="1"/>
    <d v="2019-05-20T00:00:00"/>
    <x v="0"/>
    <x v="4"/>
    <n v="229.0214"/>
    <n v="229.49359999999999"/>
    <n v="224.7715"/>
    <n v="224.7715"/>
    <n v="47097"/>
    <n v="-1.4599"/>
    <n v="2.1008"/>
  </r>
  <r>
    <n v="2303"/>
    <x v="0"/>
    <d v="2019-05-21T00:00:00"/>
    <x v="1"/>
    <x v="4"/>
    <n v="12.1972"/>
    <n v="12.5334"/>
    <n v="12.1492"/>
    <n v="12.4373"/>
    <n v="39455"/>
    <n v="1.5565"/>
    <n v="3.1621000000000001"/>
  </r>
  <r>
    <n v="2330"/>
    <x v="1"/>
    <d v="2019-05-21T00:00:00"/>
    <x v="1"/>
    <x v="4"/>
    <n v="220.52160000000001"/>
    <n v="222.8826"/>
    <n v="219.5772"/>
    <n v="220.99379999999999"/>
    <n v="82872"/>
    <n v="-1.6950000000000001"/>
    <n v="1.5054000000000001"/>
  </r>
  <r>
    <n v="2303"/>
    <x v="0"/>
    <d v="2019-05-22T00:00:00"/>
    <x v="2"/>
    <x v="4"/>
    <n v="12.4373"/>
    <n v="12.5334"/>
    <n v="12.3413"/>
    <n v="12.485300000000001"/>
    <n v="25560"/>
    <n v="0.38540000000000002"/>
    <n v="1.5564"/>
  </r>
  <r>
    <n v="2330"/>
    <x v="1"/>
    <d v="2019-05-22T00:00:00"/>
    <x v="2"/>
    <x v="4"/>
    <n v="223.35489999999999"/>
    <n v="227.13249999999999"/>
    <n v="222.41040000000001"/>
    <n v="224.7715"/>
    <n v="36289"/>
    <n v="1.6950000000000001"/>
    <n v="2.1231"/>
  </r>
  <r>
    <n v="2303"/>
    <x v="0"/>
    <d v="2019-05-23T00:00:00"/>
    <x v="3"/>
    <x v="4"/>
    <n v="12.3413"/>
    <n v="12.485300000000001"/>
    <n v="12.245200000000001"/>
    <n v="12.3413"/>
    <n v="47580"/>
    <n v="-1.1606000000000001"/>
    <n v="1.9608000000000001"/>
  </r>
  <r>
    <n v="2330"/>
    <x v="1"/>
    <d v="2019-05-23T00:00:00"/>
    <x v="3"/>
    <x v="4"/>
    <n v="220.52160000000001"/>
    <n v="220.52160000000001"/>
    <n v="217.21610000000001"/>
    <n v="217.21610000000001"/>
    <n v="62258"/>
    <n v="-3.4190999999999998"/>
    <n v="1.5217000000000001"/>
  </r>
  <r>
    <n v="2303"/>
    <x v="0"/>
    <d v="2019-05-24T00:00:00"/>
    <x v="4"/>
    <x v="4"/>
    <n v="12.4373"/>
    <n v="12.5814"/>
    <n v="12.3893"/>
    <n v="12.4373"/>
    <n v="27753"/>
    <n v="0.7752"/>
    <n v="1.5504"/>
  </r>
  <r>
    <n v="2330"/>
    <x v="1"/>
    <d v="2019-05-24T00:00:00"/>
    <x v="4"/>
    <x v="4"/>
    <n v="217.21610000000001"/>
    <n v="220.99379999999999"/>
    <n v="217.21610000000001"/>
    <n v="220.04939999999999"/>
    <n v="38226"/>
    <n v="1.2959000000000001"/>
    <n v="1.7391000000000001"/>
  </r>
  <r>
    <n v="2303"/>
    <x v="0"/>
    <d v="2019-05-27T00:00:00"/>
    <x v="0"/>
    <x v="4"/>
    <n v="12.485300000000001"/>
    <n v="12.5334"/>
    <n v="12.293200000000001"/>
    <n v="12.293200000000001"/>
    <n v="25262"/>
    <n v="-1.1651"/>
    <n v="1.9531000000000001"/>
  </r>
  <r>
    <n v="2330"/>
    <x v="1"/>
    <d v="2019-05-27T00:00:00"/>
    <x v="0"/>
    <x v="4"/>
    <n v="220.99379999999999"/>
    <n v="221.93819999999999"/>
    <n v="218.16059999999999"/>
    <n v="218.16059999999999"/>
    <n v="37447"/>
    <n v="-0.86209999999999998"/>
    <n v="1.7316"/>
  </r>
  <r>
    <n v="2303"/>
    <x v="0"/>
    <d v="2019-05-28T00:00:00"/>
    <x v="1"/>
    <x v="4"/>
    <n v="12.293200000000001"/>
    <n v="12.293200000000001"/>
    <n v="11.9091"/>
    <n v="11.957100000000001"/>
    <n v="86813"/>
    <n v="-2.7725"/>
    <n v="3.2258"/>
  </r>
  <r>
    <n v="2330"/>
    <x v="1"/>
    <d v="2019-05-28T00:00:00"/>
    <x v="1"/>
    <x v="4"/>
    <n v="219.10499999999999"/>
    <n v="219.10499999999999"/>
    <n v="217.6883"/>
    <n v="217.6883"/>
    <n v="99322"/>
    <n v="-0.2167"/>
    <n v="0.65080000000000005"/>
  </r>
  <r>
    <n v="2303"/>
    <x v="0"/>
    <d v="2019-05-29T00:00:00"/>
    <x v="2"/>
    <x v="4"/>
    <n v="11.813000000000001"/>
    <n v="12.1012"/>
    <n v="11.669"/>
    <n v="12.1012"/>
    <n v="32266"/>
    <n v="1.1976"/>
    <n v="3.7037"/>
  </r>
  <r>
    <n v="2330"/>
    <x v="1"/>
    <d v="2019-05-29T00:00:00"/>
    <x v="2"/>
    <x v="4"/>
    <n v="215.32730000000001"/>
    <n v="217.6883"/>
    <n v="214.38290000000001"/>
    <n v="216.7439"/>
    <n v="32260"/>
    <n v="-0.43480000000000002"/>
    <n v="1.5419"/>
  </r>
  <r>
    <n v="2303"/>
    <x v="0"/>
    <d v="2019-05-30T00:00:00"/>
    <x v="3"/>
    <x v="4"/>
    <n v="12.1972"/>
    <n v="12.293200000000001"/>
    <n v="12.053100000000001"/>
    <n v="12.245200000000001"/>
    <n v="43693"/>
    <n v="1.1834"/>
    <n v="1.992"/>
  </r>
  <r>
    <n v="2330"/>
    <x v="1"/>
    <d v="2019-05-30T00:00:00"/>
    <x v="3"/>
    <x v="4"/>
    <n v="217.21610000000001"/>
    <n v="218.6328"/>
    <n v="216.27170000000001"/>
    <n v="218.16059999999999"/>
    <n v="40375"/>
    <n v="0.65149999999999997"/>
    <n v="1.0916999999999999"/>
  </r>
  <r>
    <n v="2303"/>
    <x v="0"/>
    <d v="2019-05-31T00:00:00"/>
    <x v="4"/>
    <x v="4"/>
    <n v="12.1492"/>
    <n v="12.4373"/>
    <n v="12.1492"/>
    <n v="12.3893"/>
    <n v="31740"/>
    <n v="1.1696"/>
    <n v="2.3715000000000002"/>
  </r>
  <r>
    <n v="2330"/>
    <x v="1"/>
    <d v="2019-05-31T00:00:00"/>
    <x v="4"/>
    <x v="4"/>
    <n v="219.10499999999999"/>
    <n v="224.29929999999999"/>
    <n v="218.16059999999999"/>
    <n v="222.41040000000001"/>
    <n v="49163"/>
    <n v="1.9293"/>
    <n v="2.8138999999999998"/>
  </r>
  <r>
    <n v="2303"/>
    <x v="0"/>
    <d v="2019-06-03T00:00:00"/>
    <x v="0"/>
    <x v="5"/>
    <n v="12.293200000000001"/>
    <n v="12.7254"/>
    <n v="12.1972"/>
    <n v="12.6774"/>
    <n v="41302"/>
    <n v="2.2989999999999999"/>
    <n v="4.3307000000000002"/>
  </r>
  <r>
    <n v="2330"/>
    <x v="1"/>
    <d v="2019-06-03T00:00:00"/>
    <x v="0"/>
    <x v="5"/>
    <n v="222.41040000000001"/>
    <n v="225.24369999999999"/>
    <n v="219.10499999999999"/>
    <n v="224.7715"/>
    <n v="36687"/>
    <n v="1.056"/>
    <n v="2.8016999999999999"/>
  </r>
  <r>
    <n v="2303"/>
    <x v="0"/>
    <d v="2019-06-04T00:00:00"/>
    <x v="1"/>
    <x v="5"/>
    <n v="12.6294"/>
    <n v="12.7735"/>
    <n v="12.3893"/>
    <n v="12.485300000000001"/>
    <n v="41757"/>
    <n v="-1.5266999999999999"/>
    <n v="3.1008"/>
  </r>
  <r>
    <n v="2330"/>
    <x v="1"/>
    <d v="2019-06-04T00:00:00"/>
    <x v="1"/>
    <x v="5"/>
    <n v="224.29929999999999"/>
    <n v="224.7715"/>
    <n v="220.04939999999999"/>
    <n v="220.04939999999999"/>
    <n v="24443"/>
    <n v="-2.1232000000000002"/>
    <n v="2.1459000000000001"/>
  </r>
  <r>
    <n v="2303"/>
    <x v="0"/>
    <d v="2019-06-05T00:00:00"/>
    <x v="2"/>
    <x v="5"/>
    <n v="12.6294"/>
    <n v="12.6774"/>
    <n v="12.3893"/>
    <n v="12.3893"/>
    <n v="27276"/>
    <n v="-0.7722"/>
    <n v="2.3256000000000001"/>
  </r>
  <r>
    <n v="2330"/>
    <x v="1"/>
    <d v="2019-06-05T00:00:00"/>
    <x v="2"/>
    <x v="5"/>
    <n v="224.7715"/>
    <n v="224.7715"/>
    <n v="220.99379999999999"/>
    <n v="221.93819999999999"/>
    <n v="35901"/>
    <n v="0.85470000000000002"/>
    <n v="1.7094"/>
  </r>
  <r>
    <n v="2303"/>
    <x v="0"/>
    <d v="2019-06-06T00:00:00"/>
    <x v="3"/>
    <x v="5"/>
    <n v="12.3893"/>
    <n v="12.5814"/>
    <n v="12.3413"/>
    <n v="12.5334"/>
    <n v="32018"/>
    <n v="1.1560999999999999"/>
    <n v="1.9455"/>
  </r>
  <r>
    <n v="2330"/>
    <x v="1"/>
    <d v="2019-06-06T00:00:00"/>
    <x v="3"/>
    <x v="5"/>
    <n v="218.6328"/>
    <n v="219.10499999999999"/>
    <n v="216.7439"/>
    <n v="219.10499999999999"/>
    <n v="34651"/>
    <n v="-1.2847999999999999"/>
    <n v="1.0892999999999999"/>
  </r>
  <r>
    <n v="2303"/>
    <x v="0"/>
    <d v="2019-06-10T00:00:00"/>
    <x v="0"/>
    <x v="5"/>
    <n v="12.6774"/>
    <n v="12.7735"/>
    <n v="12.5334"/>
    <n v="12.7735"/>
    <n v="28170"/>
    <n v="1.8976"/>
    <n v="1.9157"/>
  </r>
  <r>
    <n v="2330"/>
    <x v="1"/>
    <d v="2019-06-10T00:00:00"/>
    <x v="0"/>
    <x v="5"/>
    <n v="224.29929999999999"/>
    <n v="226.66030000000001"/>
    <n v="221.46600000000001"/>
    <n v="226.66030000000001"/>
    <n v="35521"/>
    <n v="3.3902000000000001"/>
    <n v="2.3454000000000002"/>
  </r>
  <r>
    <n v="2303"/>
    <x v="0"/>
    <d v="2019-06-11T00:00:00"/>
    <x v="1"/>
    <x v="5"/>
    <n v="12.8215"/>
    <n v="12.9175"/>
    <n v="12.7254"/>
    <n v="12.8695"/>
    <n v="32581"/>
    <n v="0.74909999999999999"/>
    <n v="1.5094000000000001"/>
  </r>
  <r>
    <n v="2330"/>
    <x v="1"/>
    <d v="2019-06-11T00:00:00"/>
    <x v="1"/>
    <x v="5"/>
    <n v="226.66030000000001"/>
    <n v="232.32679999999999"/>
    <n v="225.7159"/>
    <n v="230.9102"/>
    <n v="34691"/>
    <n v="1.8575999999999999"/>
    <n v="2.9289000000000001"/>
  </r>
  <r>
    <n v="2303"/>
    <x v="0"/>
    <d v="2019-06-12T00:00:00"/>
    <x v="2"/>
    <x v="5"/>
    <n v="12.9175"/>
    <n v="13.0136"/>
    <n v="12.8215"/>
    <n v="13.0136"/>
    <n v="30229"/>
    <n v="1.1132"/>
    <n v="1.4981"/>
  </r>
  <r>
    <n v="2330"/>
    <x v="1"/>
    <d v="2019-06-12T00:00:00"/>
    <x v="2"/>
    <x v="5"/>
    <n v="230.9102"/>
    <n v="233.74350000000001"/>
    <n v="229.49359999999999"/>
    <n v="232.32679999999999"/>
    <n v="30409"/>
    <n v="0.61160000000000003"/>
    <n v="1.8519000000000001"/>
  </r>
  <r>
    <n v="2303"/>
    <x v="0"/>
    <d v="2019-06-13T00:00:00"/>
    <x v="3"/>
    <x v="5"/>
    <n v="12.9655"/>
    <n v="13.3977"/>
    <n v="12.8695"/>
    <n v="13.2056"/>
    <n v="70097"/>
    <n v="1.4652000000000001"/>
    <n v="4.1044999999999998"/>
  </r>
  <r>
    <n v="2330"/>
    <x v="1"/>
    <d v="2019-06-13T00:00:00"/>
    <x v="3"/>
    <x v="5"/>
    <n v="229.0214"/>
    <n v="230.43799999999999"/>
    <n v="226.66030000000001"/>
    <n v="226.66030000000001"/>
    <n v="33731"/>
    <n v="-2.4693000000000001"/>
    <n v="1.6667000000000001"/>
  </r>
  <r>
    <n v="2303"/>
    <x v="0"/>
    <d v="2019-06-14T00:00:00"/>
    <x v="4"/>
    <x v="5"/>
    <n v="13.1576"/>
    <n v="13.2056"/>
    <n v="13.0616"/>
    <n v="13.1576"/>
    <n v="28211"/>
    <n v="-0.36430000000000001"/>
    <n v="1.1029"/>
  </r>
  <r>
    <n v="2330"/>
    <x v="1"/>
    <d v="2019-06-14T00:00:00"/>
    <x v="4"/>
    <x v="5"/>
    <n v="225.24369999999999"/>
    <n v="226.18809999999999"/>
    <n v="222.8826"/>
    <n v="222.8826"/>
    <n v="35403"/>
    <n v="-1.6807000000000001"/>
    <n v="1.4831000000000001"/>
  </r>
  <r>
    <n v="2303"/>
    <x v="0"/>
    <d v="2019-06-17T00:00:00"/>
    <x v="0"/>
    <x v="5"/>
    <n v="13.1576"/>
    <n v="13.3017"/>
    <n v="13.0616"/>
    <n v="13.1096"/>
    <n v="30522"/>
    <n v="-0.36559999999999998"/>
    <n v="1.8382000000000001"/>
  </r>
  <r>
    <n v="2330"/>
    <x v="1"/>
    <d v="2019-06-17T00:00:00"/>
    <x v="0"/>
    <x v="5"/>
    <n v="218.6328"/>
    <n v="221.93819999999999"/>
    <n v="217.6883"/>
    <n v="220.04939999999999"/>
    <n v="51692"/>
    <n v="-1.2793000000000001"/>
    <n v="1.9522999999999999"/>
  </r>
  <r>
    <n v="2303"/>
    <x v="0"/>
    <d v="2019-06-18T00:00:00"/>
    <x v="1"/>
    <x v="5"/>
    <n v="13.1096"/>
    <n v="13.1096"/>
    <n v="12.7254"/>
    <n v="12.7254"/>
    <n v="41290"/>
    <n v="-2.9742000000000002"/>
    <n v="3.0188999999999999"/>
  </r>
  <r>
    <n v="2330"/>
    <x v="1"/>
    <d v="2019-06-18T00:00:00"/>
    <x v="1"/>
    <x v="5"/>
    <n v="220.99379999999999"/>
    <n v="222.41040000000001"/>
    <n v="220.04939999999999"/>
    <n v="222.41040000000001"/>
    <n v="28798"/>
    <n v="1.0671999999999999"/>
    <n v="1.073"/>
  </r>
  <r>
    <n v="2303"/>
    <x v="0"/>
    <d v="2019-06-19T00:00:00"/>
    <x v="2"/>
    <x v="5"/>
    <n v="12.9175"/>
    <n v="13.1096"/>
    <n v="12.8215"/>
    <n v="13.1096"/>
    <n v="48300"/>
    <n v="2.9742000000000002"/>
    <n v="2.2471999999999999"/>
  </r>
  <r>
    <n v="2330"/>
    <x v="1"/>
    <d v="2019-06-19T00:00:00"/>
    <x v="2"/>
    <x v="5"/>
    <n v="229.0214"/>
    <n v="230.43799999999999"/>
    <n v="227.13249999999999"/>
    <n v="230.43799999999999"/>
    <n v="50234"/>
    <n v="3.5457000000000001"/>
    <n v="1.4553"/>
  </r>
  <r>
    <n v="2303"/>
    <x v="0"/>
    <d v="2019-06-20T00:00:00"/>
    <x v="3"/>
    <x v="5"/>
    <n v="13.1576"/>
    <n v="13.2056"/>
    <n v="12.8215"/>
    <n v="12.8695"/>
    <n v="38934"/>
    <n v="-1.8485"/>
    <n v="2.9963000000000002"/>
  </r>
  <r>
    <n v="2330"/>
    <x v="1"/>
    <d v="2019-06-20T00:00:00"/>
    <x v="3"/>
    <x v="5"/>
    <n v="228.54920000000001"/>
    <n v="231.8546"/>
    <n v="227.60470000000001"/>
    <n v="231.38239999999999"/>
    <n v="39717"/>
    <n v="0.40899999999999997"/>
    <n v="1.8672"/>
  </r>
  <r>
    <n v="2303"/>
    <x v="0"/>
    <d v="2019-06-21T00:00:00"/>
    <x v="4"/>
    <x v="5"/>
    <n v="13.0136"/>
    <n v="13.1576"/>
    <n v="12.9175"/>
    <n v="13.1576"/>
    <n v="48460"/>
    <n v="2.2141000000000002"/>
    <n v="1.8587"/>
  </r>
  <r>
    <n v="2330"/>
    <x v="1"/>
    <d v="2019-06-21T00:00:00"/>
    <x v="4"/>
    <x v="5"/>
    <n v="234.2157"/>
    <n v="234.68790000000001"/>
    <n v="232.32679999999999"/>
    <n v="234.68790000000001"/>
    <n v="62136"/>
    <n v="1.4185000000000001"/>
    <n v="1.0163"/>
  </r>
  <r>
    <n v="2303"/>
    <x v="0"/>
    <d v="2019-06-24T00:00:00"/>
    <x v="0"/>
    <x v="5"/>
    <n v="13.0136"/>
    <n v="13.2537"/>
    <n v="12.9655"/>
    <n v="13.2056"/>
    <n v="25972"/>
    <n v="0.36430000000000001"/>
    <n v="2.2222"/>
  </r>
  <r>
    <n v="2330"/>
    <x v="1"/>
    <d v="2019-06-24T00:00:00"/>
    <x v="0"/>
    <x v="5"/>
    <n v="235.1755"/>
    <n v="236.15129999999999"/>
    <n v="234.19970000000001"/>
    <n v="235.1755"/>
    <n v="43460"/>
    <n v="0.20100000000000001"/>
    <n v="0.83330000000000004"/>
  </r>
  <r>
    <n v="2303"/>
    <x v="0"/>
    <d v="2019-06-25T00:00:00"/>
    <x v="1"/>
    <x v="5"/>
    <n v="13.2056"/>
    <n v="13.3017"/>
    <n v="13.1096"/>
    <n v="13.1576"/>
    <n v="26154"/>
    <n v="-0.36430000000000001"/>
    <n v="1.4652000000000001"/>
  </r>
  <r>
    <n v="2330"/>
    <x v="1"/>
    <d v="2019-06-25T00:00:00"/>
    <x v="1"/>
    <x v="5"/>
    <n v="235.1755"/>
    <n v="235.6634"/>
    <n v="231.2722"/>
    <n v="232.73589999999999"/>
    <n v="29735"/>
    <n v="-1.0427999999999999"/>
    <n v="1.8987000000000001"/>
  </r>
  <r>
    <n v="2303"/>
    <x v="0"/>
    <d v="2019-06-26T00:00:00"/>
    <x v="2"/>
    <x v="5"/>
    <n v="13.3017"/>
    <n v="13.3977"/>
    <n v="13.2056"/>
    <n v="13.2537"/>
    <n v="59484"/>
    <n v="0.72729999999999995"/>
    <n v="1.4544999999999999"/>
  </r>
  <r>
    <n v="2330"/>
    <x v="1"/>
    <d v="2019-06-26T00:00:00"/>
    <x v="2"/>
    <x v="5"/>
    <n v="229.32050000000001"/>
    <n v="230.7843"/>
    <n v="228.34469999999999"/>
    <n v="228.83260000000001"/>
    <n v="28770"/>
    <n v="-1.6914"/>
    <n v="1.0684"/>
  </r>
  <r>
    <n v="2303"/>
    <x v="0"/>
    <d v="2019-06-27T00:00:00"/>
    <x v="3"/>
    <x v="5"/>
    <n v="13.3977"/>
    <n v="13.5418"/>
    <n v="13.3497"/>
    <n v="13.4457"/>
    <n v="62428"/>
    <n v="1.4389000000000001"/>
    <n v="1.4388000000000001"/>
  </r>
  <r>
    <n v="2330"/>
    <x v="1"/>
    <d v="2019-06-27T00:00:00"/>
    <x v="3"/>
    <x v="5"/>
    <n v="230.29640000000001"/>
    <n v="235.6634"/>
    <n v="230.29640000000001"/>
    <n v="234.6876"/>
    <n v="42007"/>
    <n v="2.5265"/>
    <n v="2.3304999999999998"/>
  </r>
  <r>
    <n v="2303"/>
    <x v="0"/>
    <d v="2019-06-28T00:00:00"/>
    <x v="4"/>
    <x v="5"/>
    <n v="13.5418"/>
    <n v="13.5418"/>
    <n v="13.3017"/>
    <n v="13.3977"/>
    <n v="32353"/>
    <n v="-0.35780000000000001"/>
    <n v="1.8050999999999999"/>
  </r>
  <r>
    <n v="2330"/>
    <x v="1"/>
    <d v="2019-06-28T00:00:00"/>
    <x v="4"/>
    <x v="5"/>
    <n v="235.6634"/>
    <n v="235.6634"/>
    <n v="232.24799999999999"/>
    <n v="233.22380000000001"/>
    <n v="28085"/>
    <n v="-0.62570000000000003"/>
    <n v="1.4705999999999999"/>
  </r>
  <r>
    <n v="2303"/>
    <x v="0"/>
    <d v="2019-07-01T00:00:00"/>
    <x v="0"/>
    <x v="6"/>
    <n v="13.4938"/>
    <n v="13.8779"/>
    <n v="13.4938"/>
    <n v="13.7819"/>
    <n v="47180"/>
    <n v="2.827"/>
    <n v="2.847"/>
  </r>
  <r>
    <n v="2330"/>
    <x v="1"/>
    <d v="2019-07-01T00:00:00"/>
    <x v="0"/>
    <x v="6"/>
    <n v="239.5668"/>
    <n v="243.958"/>
    <n v="239.0788"/>
    <n v="242.49430000000001"/>
    <n v="66370"/>
    <n v="3.8978999999999999"/>
    <n v="2.0407999999999999"/>
  </r>
  <r>
    <n v="2303"/>
    <x v="0"/>
    <d v="2019-07-02T00:00:00"/>
    <x v="1"/>
    <x v="6"/>
    <n v="13.8299"/>
    <n v="13.8299"/>
    <n v="13.6378"/>
    <n v="13.6858"/>
    <n v="17391"/>
    <n v="-0.69930000000000003"/>
    <n v="1.4085000000000001"/>
  </r>
  <r>
    <n v="2330"/>
    <x v="1"/>
    <d v="2019-07-02T00:00:00"/>
    <x v="1"/>
    <x v="6"/>
    <n v="243.4701"/>
    <n v="243.958"/>
    <n v="241.51840000000001"/>
    <n v="242.98220000000001"/>
    <n v="26832"/>
    <n v="0.20100000000000001"/>
    <n v="1.0101"/>
  </r>
  <r>
    <n v="2303"/>
    <x v="0"/>
    <d v="2019-07-03T00:00:00"/>
    <x v="2"/>
    <x v="6"/>
    <n v="13.5898"/>
    <n v="13.6858"/>
    <n v="13.4457"/>
    <n v="13.4938"/>
    <n v="22614"/>
    <n v="-1.4135"/>
    <n v="1.7857000000000001"/>
  </r>
  <r>
    <n v="2330"/>
    <x v="1"/>
    <d v="2019-07-03T00:00:00"/>
    <x v="2"/>
    <x v="6"/>
    <n v="238.10300000000001"/>
    <n v="239.0788"/>
    <n v="236.15129999999999"/>
    <n v="236.63929999999999"/>
    <n v="29549"/>
    <n v="-2.6450999999999998"/>
    <n v="1.2397"/>
  </r>
  <r>
    <n v="2303"/>
    <x v="0"/>
    <d v="2019-07-04T00:00:00"/>
    <x v="3"/>
    <x v="6"/>
    <n v="13.5418"/>
    <n v="13.6378"/>
    <n v="13.4457"/>
    <n v="13.5898"/>
    <n v="12644"/>
    <n v="0.70920000000000005"/>
    <n v="1.4286000000000001"/>
  </r>
  <r>
    <n v="2330"/>
    <x v="1"/>
    <d v="2019-07-04T00:00:00"/>
    <x v="3"/>
    <x v="6"/>
    <n v="238.5909"/>
    <n v="239.0788"/>
    <n v="236.63929999999999"/>
    <n v="238.10300000000001"/>
    <n v="18691"/>
    <n v="0.61670000000000003"/>
    <n v="1.0308999999999999"/>
  </r>
  <r>
    <n v="2303"/>
    <x v="0"/>
    <d v="2019-07-05T00:00:00"/>
    <x v="4"/>
    <x v="6"/>
    <n v="13.4938"/>
    <n v="13.6378"/>
    <n v="13.3497"/>
    <n v="13.5418"/>
    <n v="20384"/>
    <n v="-0.35399999999999998"/>
    <n v="2.1583000000000001"/>
  </r>
  <r>
    <n v="2330"/>
    <x v="1"/>
    <d v="2019-07-05T00:00:00"/>
    <x v="4"/>
    <x v="6"/>
    <n v="238.5909"/>
    <n v="239.0788"/>
    <n v="235.6634"/>
    <n v="237.12719999999999"/>
    <n v="27317"/>
    <n v="-0.41070000000000001"/>
    <n v="1.4493"/>
  </r>
  <r>
    <n v="2303"/>
    <x v="0"/>
    <d v="2019-07-08T00:00:00"/>
    <x v="0"/>
    <x v="6"/>
    <n v="13.3977"/>
    <n v="13.4938"/>
    <n v="13.2537"/>
    <n v="13.3977"/>
    <n v="25191"/>
    <n v="-1.0694999999999999"/>
    <n v="1.8116000000000001"/>
  </r>
  <r>
    <n v="2330"/>
    <x v="1"/>
    <d v="2019-07-08T00:00:00"/>
    <x v="0"/>
    <x v="6"/>
    <n v="234.19970000000001"/>
    <n v="238.5909"/>
    <n v="234.19970000000001"/>
    <n v="236.63929999999999"/>
    <n v="29190"/>
    <n v="-0.20599999999999999"/>
    <n v="1.875"/>
  </r>
  <r>
    <n v="2303"/>
    <x v="0"/>
    <d v="2019-07-09T00:00:00"/>
    <x v="1"/>
    <x v="6"/>
    <n v="13.3977"/>
    <n v="13.5418"/>
    <n v="13.3017"/>
    <n v="13.4457"/>
    <n v="24138"/>
    <n v="0.35780000000000001"/>
    <n v="1.8050999999999999"/>
  </r>
  <r>
    <n v="2330"/>
    <x v="1"/>
    <d v="2019-07-09T00:00:00"/>
    <x v="1"/>
    <x v="6"/>
    <n v="235.6634"/>
    <n v="237.12719999999999"/>
    <n v="234.6876"/>
    <n v="236.15129999999999"/>
    <n v="16538"/>
    <n v="-0.2064"/>
    <n v="1.0395000000000001"/>
  </r>
  <r>
    <n v="2303"/>
    <x v="0"/>
    <d v="2019-07-10T00:00:00"/>
    <x v="2"/>
    <x v="6"/>
    <n v="13.5418"/>
    <n v="14.118"/>
    <n v="13.5418"/>
    <n v="14.07"/>
    <n v="61150"/>
    <n v="4.5382999999999996"/>
    <n v="4.2553000000000001"/>
  </r>
  <r>
    <n v="2330"/>
    <x v="1"/>
    <d v="2019-07-10T00:00:00"/>
    <x v="2"/>
    <x v="6"/>
    <n v="237.12719999999999"/>
    <n v="241.03049999999999"/>
    <n v="237.12719999999999"/>
    <n v="241.03049999999999"/>
    <n v="23812"/>
    <n v="2.0451000000000001"/>
    <n v="1.6460999999999999"/>
  </r>
  <r>
    <n v="2303"/>
    <x v="0"/>
    <d v="2019-07-11T00:00:00"/>
    <x v="3"/>
    <x v="6"/>
    <n v="14.118"/>
    <n v="14.4062"/>
    <n v="14.022"/>
    <n v="14.3581"/>
    <n v="94279"/>
    <n v="2.0270999999999999"/>
    <n v="2.7397"/>
  </r>
  <r>
    <n v="2330"/>
    <x v="1"/>
    <d v="2019-07-11T00:00:00"/>
    <x v="3"/>
    <x v="6"/>
    <n v="243.958"/>
    <n v="243.958"/>
    <n v="241.51840000000001"/>
    <n v="243.958"/>
    <n v="31296"/>
    <n v="1.2073"/>
    <n v="1.0101"/>
  </r>
  <r>
    <n v="2303"/>
    <x v="0"/>
    <d v="2019-07-12T00:00:00"/>
    <x v="4"/>
    <x v="6"/>
    <n v="14.2141"/>
    <n v="14.3101"/>
    <n v="14.022"/>
    <n v="14.022"/>
    <n v="62666"/>
    <n v="-2.3690000000000002"/>
    <n v="2.0548000000000002"/>
  </r>
  <r>
    <n v="2330"/>
    <x v="1"/>
    <d v="2019-07-12T00:00:00"/>
    <x v="4"/>
    <x v="6"/>
    <n v="245.90969999999999"/>
    <n v="245.90969999999999"/>
    <n v="243.4701"/>
    <n v="244.44589999999999"/>
    <n v="23868"/>
    <n v="0.19980000000000001"/>
    <n v="1.002"/>
  </r>
  <r>
    <n v="2303"/>
    <x v="0"/>
    <d v="2019-07-15T00:00:00"/>
    <x v="0"/>
    <x v="6"/>
    <n v="14.07"/>
    <n v="14.3101"/>
    <n v="13.9259"/>
    <n v="14.3101"/>
    <n v="62793"/>
    <n v="2.0339999999999998"/>
    <n v="2.7585999999999999"/>
  </r>
  <r>
    <n v="2330"/>
    <x v="1"/>
    <d v="2019-07-15T00:00:00"/>
    <x v="0"/>
    <x v="6"/>
    <n v="244.93379999999999"/>
    <n v="248.3492"/>
    <n v="243.4701"/>
    <n v="248.3492"/>
    <n v="34264"/>
    <n v="1.5842000000000001"/>
    <n v="2.004"/>
  </r>
  <r>
    <n v="2303"/>
    <x v="0"/>
    <d v="2019-07-16T00:00:00"/>
    <x v="1"/>
    <x v="6"/>
    <n v="14.35"/>
    <n v="14.35"/>
    <n v="13.95"/>
    <n v="14"/>
    <n v="66174"/>
    <n v="-2.1032000000000002"/>
    <n v="2.8673999999999999"/>
  </r>
  <r>
    <n v="2330"/>
    <x v="1"/>
    <d v="2019-07-16T00:00:00"/>
    <x v="1"/>
    <x v="6"/>
    <n v="247.8613"/>
    <n v="250.30090000000001"/>
    <n v="247.3734"/>
    <n v="249.81299999999999"/>
    <n v="26141"/>
    <n v="0.5877"/>
    <n v="1.1834"/>
  </r>
  <r>
    <n v="2303"/>
    <x v="0"/>
    <d v="2019-07-17T00:00:00"/>
    <x v="2"/>
    <x v="6"/>
    <n v="13.9"/>
    <n v="13.95"/>
    <n v="13.75"/>
    <n v="13.75"/>
    <n v="36690"/>
    <n v="-1.8019000000000001"/>
    <n v="1.4544999999999999"/>
  </r>
  <r>
    <n v="2330"/>
    <x v="1"/>
    <d v="2019-07-17T00:00:00"/>
    <x v="2"/>
    <x v="6"/>
    <n v="247.8613"/>
    <n v="247.8613"/>
    <n v="244.93379999999999"/>
    <n v="245.90969999999999"/>
    <n v="34346"/>
    <n v="-1.5748"/>
    <n v="1.1952"/>
  </r>
  <r>
    <n v="2303"/>
    <x v="0"/>
    <d v="2019-07-18T00:00:00"/>
    <x v="3"/>
    <x v="6"/>
    <n v="13.8"/>
    <n v="13.9"/>
    <n v="13.75"/>
    <n v="13.8"/>
    <n v="20428"/>
    <n v="0.36299999999999999"/>
    <n v="0"/>
  </r>
  <r>
    <n v="2330"/>
    <x v="1"/>
    <d v="2019-07-18T00:00:00"/>
    <x v="3"/>
    <x v="6"/>
    <n v="245.90969999999999"/>
    <n v="248.3492"/>
    <n v="245.42169999999999"/>
    <n v="247.8613"/>
    <n v="20908"/>
    <n v="0.79049999999999998"/>
    <n v="0"/>
  </r>
  <r>
    <n v="2303"/>
    <x v="0"/>
    <d v="2019-07-19T00:00:00"/>
    <x v="4"/>
    <x v="6"/>
    <n v="13.9"/>
    <n v="14.05"/>
    <n v="13.8"/>
    <n v="13.8"/>
    <n v="27177"/>
    <n v="0"/>
    <n v="1.8116000000000001"/>
  </r>
  <r>
    <n v="2330"/>
    <x v="1"/>
    <d v="2019-07-19T00:00:00"/>
    <x v="4"/>
    <x v="6"/>
    <n v="253.22839999999999"/>
    <n v="254.69220000000001"/>
    <n v="252.7405"/>
    <n v="252.7405"/>
    <n v="59879"/>
    <n v="1.9494"/>
    <n v="0.7722"/>
  </r>
  <r>
    <n v="2303"/>
    <x v="0"/>
    <d v="2019-07-22T00:00:00"/>
    <x v="0"/>
    <x v="6"/>
    <n v="13.75"/>
    <n v="13.85"/>
    <n v="13.55"/>
    <n v="13.6"/>
    <n v="32142"/>
    <n v="-1.4599"/>
    <n v="2.214"/>
  </r>
  <r>
    <n v="2330"/>
    <x v="1"/>
    <d v="2019-07-22T00:00:00"/>
    <x v="0"/>
    <x v="6"/>
    <n v="256.6438"/>
    <n v="257.61959999999999"/>
    <n v="255.66800000000001"/>
    <n v="257.61959999999999"/>
    <n v="31863"/>
    <n v="1.9120999999999999"/>
    <n v="0.76339999999999997"/>
  </r>
  <r>
    <n v="2303"/>
    <x v="0"/>
    <d v="2019-07-23T00:00:00"/>
    <x v="1"/>
    <x v="6"/>
    <n v="13.6"/>
    <n v="13.75"/>
    <n v="13.55"/>
    <n v="13.6"/>
    <n v="29467"/>
    <n v="0"/>
    <n v="1.476"/>
  </r>
  <r>
    <n v="2330"/>
    <x v="1"/>
    <d v="2019-07-23T00:00:00"/>
    <x v="1"/>
    <x v="6"/>
    <n v="259.08339999999998"/>
    <n v="260.05919999999998"/>
    <n v="256.15589999999997"/>
    <n v="257.61959999999999"/>
    <n v="29273"/>
    <n v="0"/>
    <n v="1.5238"/>
  </r>
  <r>
    <n v="2303"/>
    <x v="0"/>
    <d v="2019-07-24T00:00:00"/>
    <x v="2"/>
    <x v="6"/>
    <n v="13.7"/>
    <n v="13.9"/>
    <n v="13.6"/>
    <n v="13.85"/>
    <n v="36353"/>
    <n v="1.8214999999999999"/>
    <n v="2.2059000000000002"/>
  </r>
  <r>
    <n v="2330"/>
    <x v="1"/>
    <d v="2019-07-24T00:00:00"/>
    <x v="2"/>
    <x v="6"/>
    <n v="260.05919999999998"/>
    <n v="260.05919999999998"/>
    <n v="256.6438"/>
    <n v="258.59550000000002"/>
    <n v="24511"/>
    <n v="0.37809999999999999"/>
    <n v="1.3308"/>
  </r>
  <r>
    <n v="2303"/>
    <x v="0"/>
    <d v="2019-07-25T00:00:00"/>
    <x v="3"/>
    <x v="6"/>
    <n v="13.85"/>
    <n v="13.95"/>
    <n v="13.4"/>
    <n v="13.55"/>
    <n v="91752"/>
    <n v="-2.1899000000000002"/>
    <n v="4.1044999999999998"/>
  </r>
  <r>
    <n v="2330"/>
    <x v="1"/>
    <d v="2019-07-25T00:00:00"/>
    <x v="3"/>
    <x v="6"/>
    <n v="257.61959999999999"/>
    <n v="258.59550000000002"/>
    <n v="255.18010000000001"/>
    <n v="258.59550000000002"/>
    <n v="30698"/>
    <n v="0"/>
    <n v="1.3384"/>
  </r>
  <r>
    <n v="2303"/>
    <x v="0"/>
    <d v="2019-07-26T00:00:00"/>
    <x v="4"/>
    <x v="6"/>
    <n v="13.55"/>
    <n v="13.55"/>
    <n v="13.2"/>
    <n v="13.2"/>
    <n v="68165"/>
    <n v="-2.617"/>
    <n v="2.6515"/>
  </r>
  <r>
    <n v="2330"/>
    <x v="1"/>
    <d v="2019-07-26T00:00:00"/>
    <x v="4"/>
    <x v="6"/>
    <n v="254.69220000000001"/>
    <n v="256.15589999999997"/>
    <n v="254.69220000000001"/>
    <n v="254.69220000000001"/>
    <n v="20768"/>
    <n v="-1.5208999999999999"/>
    <n v="0.57469999999999999"/>
  </r>
  <r>
    <n v="2303"/>
    <x v="0"/>
    <d v="2019-07-29T00:00:00"/>
    <x v="0"/>
    <x v="6"/>
    <n v="13.3"/>
    <n v="13.45"/>
    <n v="13.3"/>
    <n v="13.4"/>
    <n v="23290"/>
    <n v="1.5038"/>
    <n v="1.1277999999999999"/>
  </r>
  <r>
    <n v="2330"/>
    <x v="1"/>
    <d v="2019-07-29T00:00:00"/>
    <x v="0"/>
    <x v="6"/>
    <n v="253.71629999999999"/>
    <n v="255.66800000000001"/>
    <n v="253.22839999999999"/>
    <n v="254.69220000000001"/>
    <n v="18473"/>
    <n v="0"/>
    <n v="0.96340000000000003"/>
  </r>
  <r>
    <n v="2303"/>
    <x v="0"/>
    <d v="2019-07-30T00:00:00"/>
    <x v="1"/>
    <x v="6"/>
    <n v="13.5"/>
    <n v="13.75"/>
    <n v="13.45"/>
    <n v="13.6"/>
    <n v="40638"/>
    <n v="1.4815"/>
    <n v="2.2305000000000001"/>
  </r>
  <r>
    <n v="2330"/>
    <x v="1"/>
    <d v="2019-07-30T00:00:00"/>
    <x v="1"/>
    <x v="6"/>
    <n v="256.15589999999997"/>
    <n v="256.6438"/>
    <n v="253.71629999999999"/>
    <n v="253.71629999999999"/>
    <n v="22895"/>
    <n v="-0.38390000000000002"/>
    <n v="1.1537999999999999"/>
  </r>
  <r>
    <n v="2303"/>
    <x v="0"/>
    <d v="2019-07-31T00:00:00"/>
    <x v="2"/>
    <x v="6"/>
    <n v="13.7"/>
    <n v="13.9"/>
    <n v="13.65"/>
    <n v="13.8"/>
    <n v="56482"/>
    <n v="1.4599"/>
    <n v="1.8314999999999999"/>
  </r>
  <r>
    <n v="2330"/>
    <x v="1"/>
    <d v="2019-07-31T00:00:00"/>
    <x v="2"/>
    <x v="6"/>
    <n v="253.71629999999999"/>
    <n v="253.71629999999999"/>
    <n v="250.78880000000001"/>
    <n v="253.22839999999999"/>
    <n v="36365"/>
    <n v="-0.1925"/>
    <n v="1.1673"/>
  </r>
  <r>
    <n v="2303"/>
    <x v="0"/>
    <d v="2019-08-01T00:00:00"/>
    <x v="3"/>
    <x v="7"/>
    <n v="13.65"/>
    <n v="13.65"/>
    <n v="13.3"/>
    <n v="13.4"/>
    <n v="38617"/>
    <n v="-2.9413999999999998"/>
    <n v="2.6316000000000002"/>
  </r>
  <r>
    <n v="2330"/>
    <x v="1"/>
    <d v="2019-08-01T00:00:00"/>
    <x v="3"/>
    <x v="7"/>
    <n v="251.27670000000001"/>
    <n v="251.27670000000001"/>
    <n v="249.32509999999999"/>
    <n v="250.30090000000001"/>
    <n v="30107"/>
    <n v="-1.1628000000000001"/>
    <n v="0.78280000000000005"/>
  </r>
  <r>
    <n v="2303"/>
    <x v="0"/>
    <d v="2019-08-02T00:00:00"/>
    <x v="4"/>
    <x v="7"/>
    <n v="13.15"/>
    <n v="13.35"/>
    <n v="13.05"/>
    <n v="13.35"/>
    <n v="45049"/>
    <n v="-0.37380000000000002"/>
    <n v="2.2989000000000002"/>
  </r>
  <r>
    <n v="2330"/>
    <x v="1"/>
    <d v="2019-08-02T00:00:00"/>
    <x v="4"/>
    <x v="7"/>
    <n v="245.90969999999999"/>
    <n v="247.3734"/>
    <n v="244.44589999999999"/>
    <n v="245.42169999999999"/>
    <n v="54165"/>
    <n v="-1.9685999999999999"/>
    <n v="1.1976"/>
  </r>
  <r>
    <n v="2303"/>
    <x v="0"/>
    <d v="2019-08-05T00:00:00"/>
    <x v="0"/>
    <x v="7"/>
    <n v="13.1"/>
    <n v="13.2"/>
    <n v="13"/>
    <n v="13.1"/>
    <n v="40930"/>
    <n v="-1.8904000000000001"/>
    <n v="1.5385"/>
  </r>
  <r>
    <n v="2330"/>
    <x v="1"/>
    <d v="2019-08-05T00:00:00"/>
    <x v="0"/>
    <x v="7"/>
    <n v="244.93379999999999"/>
    <n v="245.90969999999999"/>
    <n v="239.5668"/>
    <n v="240.54259999999999"/>
    <n v="52835"/>
    <n v="-2.0081000000000002"/>
    <n v="2.6476999999999999"/>
  </r>
  <r>
    <n v="2303"/>
    <x v="0"/>
    <d v="2019-08-06T00:00:00"/>
    <x v="1"/>
    <x v="7"/>
    <n v="12.8"/>
    <n v="13.1"/>
    <n v="12.7"/>
    <n v="13"/>
    <n v="39315"/>
    <n v="-0.76629999999999998"/>
    <n v="3.1496"/>
  </r>
  <r>
    <n v="2330"/>
    <x v="1"/>
    <d v="2019-08-06T00:00:00"/>
    <x v="1"/>
    <x v="7"/>
    <n v="234.19970000000001"/>
    <n v="243.958"/>
    <n v="234.19970000000001"/>
    <n v="242.49430000000001"/>
    <n v="58916"/>
    <n v="0.80810000000000004"/>
    <n v="4.1666999999999996"/>
  </r>
  <r>
    <n v="2303"/>
    <x v="0"/>
    <d v="2019-08-07T00:00:00"/>
    <x v="2"/>
    <x v="7"/>
    <n v="13.05"/>
    <n v="13.2"/>
    <n v="13"/>
    <n v="13.1"/>
    <n v="32109"/>
    <n v="0.76629999999999998"/>
    <n v="1.5385"/>
  </r>
  <r>
    <n v="2330"/>
    <x v="1"/>
    <d v="2019-08-07T00:00:00"/>
    <x v="2"/>
    <x v="7"/>
    <n v="243.958"/>
    <n v="244.44589999999999"/>
    <n v="240.54259999999999"/>
    <n v="242.00630000000001"/>
    <n v="29435"/>
    <n v="-0.2014"/>
    <n v="1.6227"/>
  </r>
  <r>
    <n v="2303"/>
    <x v="0"/>
    <d v="2019-08-08T00:00:00"/>
    <x v="3"/>
    <x v="7"/>
    <n v="13.1"/>
    <n v="13.35"/>
    <n v="13.05"/>
    <n v="13.3"/>
    <n v="27796"/>
    <n v="1.5152000000000001"/>
    <n v="2.2989000000000002"/>
  </r>
  <r>
    <n v="2330"/>
    <x v="1"/>
    <d v="2019-08-08T00:00:00"/>
    <x v="3"/>
    <x v="7"/>
    <n v="242.00630000000001"/>
    <n v="247.8613"/>
    <n v="242.00630000000001"/>
    <n v="247.3734"/>
    <n v="30140"/>
    <n v="2.1934999999999998"/>
    <n v="2.4194"/>
  </r>
  <r>
    <n v="2303"/>
    <x v="0"/>
    <d v="2019-08-12T00:00:00"/>
    <x v="0"/>
    <x v="7"/>
    <n v="13.25"/>
    <n v="13.3"/>
    <n v="13"/>
    <n v="13"/>
    <n v="22603"/>
    <n v="-2.2814999999999999"/>
    <n v="2.3077000000000001"/>
  </r>
  <r>
    <n v="2330"/>
    <x v="1"/>
    <d v="2019-08-12T00:00:00"/>
    <x v="0"/>
    <x v="7"/>
    <n v="248.3492"/>
    <n v="248.3492"/>
    <n v="244.93379999999999"/>
    <n v="244.93379999999999"/>
    <n v="24732"/>
    <n v="-0.99109999999999998"/>
    <n v="1.3944000000000001"/>
  </r>
  <r>
    <n v="2303"/>
    <x v="0"/>
    <d v="2019-08-13T00:00:00"/>
    <x v="1"/>
    <x v="7"/>
    <n v="13.05"/>
    <n v="13.15"/>
    <n v="12.9"/>
    <n v="12.95"/>
    <n v="17761"/>
    <n v="-0.38540000000000002"/>
    <n v="1.9379999999999999"/>
  </r>
  <r>
    <n v="2330"/>
    <x v="1"/>
    <d v="2019-08-13T00:00:00"/>
    <x v="1"/>
    <x v="7"/>
    <n v="242.98220000000001"/>
    <n v="243.4701"/>
    <n v="240.54259999999999"/>
    <n v="240.54259999999999"/>
    <n v="25045"/>
    <n v="-1.8090999999999999"/>
    <n v="1.2170000000000001"/>
  </r>
  <r>
    <n v="2303"/>
    <x v="0"/>
    <d v="2019-08-14T00:00:00"/>
    <x v="2"/>
    <x v="7"/>
    <n v="13.05"/>
    <n v="13.25"/>
    <n v="13.05"/>
    <n v="13.1"/>
    <n v="15792"/>
    <n v="1.1516"/>
    <n v="1.5326"/>
  </r>
  <r>
    <n v="2330"/>
    <x v="1"/>
    <d v="2019-08-14T00:00:00"/>
    <x v="2"/>
    <x v="7"/>
    <n v="246.39760000000001"/>
    <n v="247.8613"/>
    <n v="243.4701"/>
    <n v="243.4701"/>
    <n v="36336"/>
    <n v="1.2097"/>
    <n v="1.8036000000000001"/>
  </r>
  <r>
    <n v="2303"/>
    <x v="0"/>
    <d v="2019-08-15T00:00:00"/>
    <x v="3"/>
    <x v="7"/>
    <n v="12.9"/>
    <n v="13.05"/>
    <n v="12.85"/>
    <n v="12.9"/>
    <n v="16288"/>
    <n v="-1.5385"/>
    <n v="1.5564"/>
  </r>
  <r>
    <n v="2330"/>
    <x v="1"/>
    <d v="2019-08-15T00:00:00"/>
    <x v="3"/>
    <x v="7"/>
    <n v="241.03049999999999"/>
    <n v="242.49430000000001"/>
    <n v="240.0547"/>
    <n v="242.00630000000001"/>
    <n v="28277"/>
    <n v="-0.60299999999999998"/>
    <n v="1.0163"/>
  </r>
  <r>
    <n v="2303"/>
    <x v="0"/>
    <d v="2019-08-16T00:00:00"/>
    <x v="4"/>
    <x v="7"/>
    <n v="13"/>
    <n v="13.45"/>
    <n v="12.95"/>
    <n v="13.35"/>
    <n v="39828"/>
    <n v="3.4289000000000001"/>
    <n v="3.8610000000000002"/>
  </r>
  <r>
    <n v="2330"/>
    <x v="1"/>
    <d v="2019-08-16T00:00:00"/>
    <x v="4"/>
    <x v="7"/>
    <n v="243.4701"/>
    <n v="245.90969999999999"/>
    <n v="242.00630000000001"/>
    <n v="243.958"/>
    <n v="25696"/>
    <n v="0.80320000000000003"/>
    <n v="1.6129"/>
  </r>
  <r>
    <n v="2303"/>
    <x v="0"/>
    <d v="2019-08-19T00:00:00"/>
    <x v="0"/>
    <x v="7"/>
    <n v="13.35"/>
    <n v="13.5"/>
    <n v="13.2"/>
    <n v="13.45"/>
    <n v="23032"/>
    <n v="0.74629999999999996"/>
    <n v="2.2726999999999999"/>
  </r>
  <r>
    <n v="2330"/>
    <x v="1"/>
    <d v="2019-08-19T00:00:00"/>
    <x v="0"/>
    <x v="7"/>
    <n v="245.42169999999999"/>
    <n v="246.88550000000001"/>
    <n v="244.44589999999999"/>
    <n v="245.90969999999999"/>
    <n v="25098"/>
    <n v="0.79679999999999995"/>
    <n v="0.998"/>
  </r>
  <r>
    <n v="2303"/>
    <x v="0"/>
    <d v="2019-08-20T00:00:00"/>
    <x v="1"/>
    <x v="7"/>
    <n v="13.4"/>
    <n v="13.5"/>
    <n v="13.35"/>
    <n v="13.5"/>
    <n v="23079"/>
    <n v="0.37109999999999999"/>
    <n v="1.1235999999999999"/>
  </r>
  <r>
    <n v="2330"/>
    <x v="1"/>
    <d v="2019-08-20T00:00:00"/>
    <x v="1"/>
    <x v="7"/>
    <n v="247.8613"/>
    <n v="248.3492"/>
    <n v="246.39760000000001"/>
    <n v="248.3492"/>
    <n v="20620"/>
    <n v="0.98719999999999997"/>
    <n v="0.79210000000000003"/>
  </r>
  <r>
    <n v="2303"/>
    <x v="0"/>
    <d v="2019-08-21T00:00:00"/>
    <x v="2"/>
    <x v="7"/>
    <n v="13.5"/>
    <n v="13.55"/>
    <n v="13.4"/>
    <n v="13.5"/>
    <n v="17886"/>
    <n v="0"/>
    <n v="1.1194"/>
  </r>
  <r>
    <n v="2330"/>
    <x v="1"/>
    <d v="2019-08-21T00:00:00"/>
    <x v="2"/>
    <x v="7"/>
    <n v="248.3492"/>
    <n v="248.8372"/>
    <n v="246.88550000000001"/>
    <n v="248.3492"/>
    <n v="20269"/>
    <n v="0"/>
    <n v="0.79049999999999998"/>
  </r>
  <r>
    <n v="2303"/>
    <x v="0"/>
    <d v="2019-08-22T00:00:00"/>
    <x v="3"/>
    <x v="7"/>
    <n v="13.55"/>
    <n v="13.55"/>
    <n v="13.2"/>
    <n v="13.25"/>
    <n v="26634"/>
    <n v="-1.8692"/>
    <n v="2.6515"/>
  </r>
  <r>
    <n v="2330"/>
    <x v="1"/>
    <d v="2019-08-22T00:00:00"/>
    <x v="3"/>
    <x v="7"/>
    <n v="250.78880000000001"/>
    <n v="251.27670000000001"/>
    <n v="247.8613"/>
    <n v="247.8613"/>
    <n v="22136"/>
    <n v="-0.19670000000000001"/>
    <n v="1.3779999999999999"/>
  </r>
  <r>
    <n v="2303"/>
    <x v="0"/>
    <d v="2019-08-23T00:00:00"/>
    <x v="4"/>
    <x v="7"/>
    <n v="13.3"/>
    <n v="13.45"/>
    <n v="13.25"/>
    <n v="13.35"/>
    <n v="17781"/>
    <n v="0.75190000000000001"/>
    <n v="1.5094000000000001"/>
  </r>
  <r>
    <n v="2330"/>
    <x v="1"/>
    <d v="2019-08-23T00:00:00"/>
    <x v="4"/>
    <x v="7"/>
    <n v="247.3734"/>
    <n v="248.3492"/>
    <n v="246.88550000000001"/>
    <n v="247.8613"/>
    <n v="14772"/>
    <n v="0"/>
    <n v="0.59289999999999998"/>
  </r>
  <r>
    <n v="2303"/>
    <x v="0"/>
    <d v="2019-08-26T00:00:00"/>
    <x v="0"/>
    <x v="7"/>
    <n v="13.1"/>
    <n v="13.15"/>
    <n v="13"/>
    <n v="13"/>
    <n v="26263"/>
    <n v="-2.6566999999999998"/>
    <n v="1.1537999999999999"/>
  </r>
  <r>
    <n v="2330"/>
    <x v="1"/>
    <d v="2019-08-26T00:00:00"/>
    <x v="0"/>
    <x v="7"/>
    <n v="242.98220000000001"/>
    <n v="244.44589999999999"/>
    <n v="242.49430000000001"/>
    <n v="242.49430000000001"/>
    <n v="31740"/>
    <n v="-2.1890999999999998"/>
    <n v="0.80479999999999996"/>
  </r>
  <r>
    <n v="2303"/>
    <x v="0"/>
    <d v="2019-08-27T00:00:00"/>
    <x v="1"/>
    <x v="7"/>
    <n v="13.15"/>
    <n v="13.25"/>
    <n v="13.05"/>
    <n v="13.05"/>
    <n v="62631"/>
    <n v="0.38390000000000002"/>
    <n v="1.5326"/>
  </r>
  <r>
    <n v="2330"/>
    <x v="1"/>
    <d v="2019-08-27T00:00:00"/>
    <x v="1"/>
    <x v="7"/>
    <n v="244.44589999999999"/>
    <n v="244.93379999999999"/>
    <n v="242.49430000000001"/>
    <n v="243.958"/>
    <n v="53664"/>
    <n v="0.6018"/>
    <n v="1.006"/>
  </r>
  <r>
    <n v="2303"/>
    <x v="0"/>
    <d v="2019-08-28T00:00:00"/>
    <x v="2"/>
    <x v="7"/>
    <n v="13.1"/>
    <n v="13.2"/>
    <n v="13.05"/>
    <n v="13.15"/>
    <n v="18889"/>
    <n v="0.76339999999999997"/>
    <n v="1.1494"/>
  </r>
  <r>
    <n v="2330"/>
    <x v="1"/>
    <d v="2019-08-28T00:00:00"/>
    <x v="2"/>
    <x v="7"/>
    <n v="244.44589999999999"/>
    <n v="246.88550000000001"/>
    <n v="244.44589999999999"/>
    <n v="245.90969999999999"/>
    <n v="15280"/>
    <n v="0.79679999999999995"/>
    <n v="0.998"/>
  </r>
  <r>
    <n v="2303"/>
    <x v="0"/>
    <d v="2019-08-29T00:00:00"/>
    <x v="3"/>
    <x v="7"/>
    <n v="13.15"/>
    <n v="13.2"/>
    <n v="13.1"/>
    <n v="13.2"/>
    <n v="10676"/>
    <n v="0.3795"/>
    <n v="0.76339999999999997"/>
  </r>
  <r>
    <n v="2330"/>
    <x v="1"/>
    <d v="2019-08-29T00:00:00"/>
    <x v="3"/>
    <x v="7"/>
    <n v="246.88550000000001"/>
    <n v="247.8613"/>
    <n v="244.93379999999999"/>
    <n v="247.8613"/>
    <n v="20085"/>
    <n v="0.79049999999999998"/>
    <n v="1.1952"/>
  </r>
  <r>
    <n v="2303"/>
    <x v="0"/>
    <d v="2019-08-30T00:00:00"/>
    <x v="4"/>
    <x v="7"/>
    <n v="13.3"/>
    <n v="13.45"/>
    <n v="13.2"/>
    <n v="13.45"/>
    <n v="32774"/>
    <n v="1.8762000000000001"/>
    <n v="1.8938999999999999"/>
  </r>
  <r>
    <n v="2330"/>
    <x v="1"/>
    <d v="2019-08-30T00:00:00"/>
    <x v="4"/>
    <x v="7"/>
    <n v="250.30090000000001"/>
    <n v="252.7405"/>
    <n v="249.81299999999999"/>
    <n v="252.7405"/>
    <n v="35299"/>
    <n v="1.9494"/>
    <n v="1.1718999999999999"/>
  </r>
  <r>
    <n v="2303"/>
    <x v="0"/>
    <d v="2019-09-02T00:00:00"/>
    <x v="0"/>
    <x v="8"/>
    <n v="13.35"/>
    <n v="13.45"/>
    <n v="13.3"/>
    <n v="13.35"/>
    <n v="8528"/>
    <n v="-0.74629999999999996"/>
    <n v="1.1277999999999999"/>
  </r>
  <r>
    <n v="2330"/>
    <x v="1"/>
    <d v="2019-09-02T00:00:00"/>
    <x v="0"/>
    <x v="8"/>
    <n v="251.7647"/>
    <n v="251.7647"/>
    <n v="249.81299999999999"/>
    <n v="251.27670000000001"/>
    <n v="14776"/>
    <n v="-0.58079999999999998"/>
    <n v="0.78129999999999999"/>
  </r>
  <r>
    <n v="2303"/>
    <x v="0"/>
    <d v="2019-09-03T00:00:00"/>
    <x v="1"/>
    <x v="8"/>
    <n v="13.45"/>
    <n v="13.45"/>
    <n v="13.2"/>
    <n v="13.2"/>
    <n v="13374"/>
    <n v="-1.1299999999999999"/>
    <n v="0"/>
  </r>
  <r>
    <n v="2330"/>
    <x v="1"/>
    <d v="2019-09-03T00:00:00"/>
    <x v="1"/>
    <x v="8"/>
    <n v="250.30090000000001"/>
    <n v="251.7647"/>
    <n v="246.88550000000001"/>
    <n v="247.8613"/>
    <n v="26086"/>
    <n v="-1.3685"/>
    <n v="0"/>
  </r>
  <r>
    <n v="2303"/>
    <x v="0"/>
    <d v="2019-09-04T00:00:00"/>
    <x v="2"/>
    <x v="8"/>
    <n v="13.2"/>
    <n v="13.6"/>
    <n v="13.2"/>
    <n v="13.6"/>
    <n v="40434"/>
    <n v="2.9853000000000001"/>
    <n v="3.0303"/>
  </r>
  <r>
    <n v="2330"/>
    <x v="1"/>
    <d v="2019-09-04T00:00:00"/>
    <x v="2"/>
    <x v="8"/>
    <n v="247.8613"/>
    <n v="251.7647"/>
    <n v="247.8613"/>
    <n v="251.27670000000001"/>
    <n v="23697"/>
    <n v="1.3685"/>
    <n v="1.5748"/>
  </r>
  <r>
    <n v="2303"/>
    <x v="0"/>
    <d v="2019-09-05T00:00:00"/>
    <x v="3"/>
    <x v="8"/>
    <n v="13.65"/>
    <n v="13.7"/>
    <n v="13.5"/>
    <n v="13.6"/>
    <n v="27277"/>
    <n v="0"/>
    <n v="1.4815"/>
  </r>
  <r>
    <n v="2330"/>
    <x v="1"/>
    <d v="2019-09-05T00:00:00"/>
    <x v="3"/>
    <x v="8"/>
    <n v="256.6438"/>
    <n v="256.6438"/>
    <n v="254.20419999999999"/>
    <n v="256.6438"/>
    <n v="49041"/>
    <n v="2.1133999999999999"/>
    <n v="0.9597"/>
  </r>
  <r>
    <n v="2303"/>
    <x v="0"/>
    <d v="2019-09-06T00:00:00"/>
    <x v="4"/>
    <x v="8"/>
    <n v="13.65"/>
    <n v="13.65"/>
    <n v="13.55"/>
    <n v="13.55"/>
    <n v="16088"/>
    <n v="-0.36830000000000002"/>
    <n v="0.73799999999999999"/>
  </r>
  <r>
    <n v="2330"/>
    <x v="1"/>
    <d v="2019-09-06T00:00:00"/>
    <x v="4"/>
    <x v="8"/>
    <n v="258.59550000000002"/>
    <n v="258.59550000000002"/>
    <n v="256.6438"/>
    <n v="257.13170000000002"/>
    <n v="26609"/>
    <n v="0.18990000000000001"/>
    <n v="0.76049999999999995"/>
  </r>
  <r>
    <n v="2303"/>
    <x v="0"/>
    <d v="2019-09-09T00:00:00"/>
    <x v="0"/>
    <x v="8"/>
    <n v="13.6"/>
    <n v="13.65"/>
    <n v="13.55"/>
    <n v="13.6"/>
    <n v="13483"/>
    <n v="0.36830000000000002"/>
    <n v="0.73799999999999999"/>
  </r>
  <r>
    <n v="2330"/>
    <x v="1"/>
    <d v="2019-09-09T00:00:00"/>
    <x v="0"/>
    <x v="8"/>
    <n v="259.08339999999998"/>
    <n v="259.57130000000001"/>
    <n v="257.13170000000002"/>
    <n v="258.59550000000002"/>
    <n v="17317"/>
    <n v="0.56759999999999999"/>
    <n v="0.94879999999999998"/>
  </r>
  <r>
    <n v="2303"/>
    <x v="0"/>
    <d v="2019-09-10T00:00:00"/>
    <x v="1"/>
    <x v="8"/>
    <n v="13.6"/>
    <n v="13.65"/>
    <n v="13.55"/>
    <n v="13.6"/>
    <n v="21363"/>
    <n v="0"/>
    <n v="0.73799999999999999"/>
  </r>
  <r>
    <n v="2330"/>
    <x v="1"/>
    <d v="2019-09-10T00:00:00"/>
    <x v="1"/>
    <x v="8"/>
    <n v="257.13170000000002"/>
    <n v="257.61959999999999"/>
    <n v="254.20419999999999"/>
    <n v="255.18010000000001"/>
    <n v="30019"/>
    <n v="-1.3295999999999999"/>
    <n v="1.3435999999999999"/>
  </r>
  <r>
    <n v="2303"/>
    <x v="0"/>
    <d v="2019-09-11T00:00:00"/>
    <x v="2"/>
    <x v="8"/>
    <n v="13.6"/>
    <n v="13.7"/>
    <n v="13.55"/>
    <n v="13.7"/>
    <n v="20063"/>
    <n v="0.73260000000000003"/>
    <n v="1.107"/>
  </r>
  <r>
    <n v="2330"/>
    <x v="1"/>
    <d v="2019-09-11T00:00:00"/>
    <x v="2"/>
    <x v="8"/>
    <n v="257.61959999999999"/>
    <n v="258.10759999999999"/>
    <n v="254.20419999999999"/>
    <n v="256.6438"/>
    <n v="36266"/>
    <n v="0.57199999999999995"/>
    <n v="1.5355000000000001"/>
  </r>
  <r>
    <n v="2303"/>
    <x v="0"/>
    <d v="2019-09-12T00:00:00"/>
    <x v="3"/>
    <x v="8"/>
    <n v="13.8"/>
    <n v="13.85"/>
    <n v="13.65"/>
    <n v="13.7"/>
    <n v="25967"/>
    <n v="0"/>
    <n v="1.4652000000000001"/>
  </r>
  <r>
    <n v="2330"/>
    <x v="1"/>
    <d v="2019-09-12T00:00:00"/>
    <x v="3"/>
    <x v="8"/>
    <n v="258.59550000000002"/>
    <n v="258.59550000000002"/>
    <n v="255.18010000000001"/>
    <n v="256.15589999999997"/>
    <n v="38792"/>
    <n v="-0.1903"/>
    <n v="1.3384"/>
  </r>
  <r>
    <n v="2303"/>
    <x v="0"/>
    <d v="2019-09-16T00:00:00"/>
    <x v="0"/>
    <x v="8"/>
    <n v="13.8"/>
    <n v="13.85"/>
    <n v="13.55"/>
    <n v="13.6"/>
    <n v="23641"/>
    <n v="-0.73260000000000003"/>
    <n v="2.214"/>
  </r>
  <r>
    <n v="2330"/>
    <x v="1"/>
    <d v="2019-09-16T00:00:00"/>
    <x v="0"/>
    <x v="8"/>
    <n v="255.66800000000001"/>
    <n v="259.08339999999998"/>
    <n v="255.18010000000001"/>
    <n v="259.08339999999998"/>
    <n v="38913"/>
    <n v="1.1364000000000001"/>
    <n v="1.5296000000000001"/>
  </r>
  <r>
    <n v="2303"/>
    <x v="0"/>
    <d v="2019-09-17T00:00:00"/>
    <x v="1"/>
    <x v="8"/>
    <n v="13.55"/>
    <n v="13.6"/>
    <n v="13.35"/>
    <n v="13.55"/>
    <n v="22155"/>
    <n v="-0.36830000000000002"/>
    <n v="1.8727"/>
  </r>
  <r>
    <n v="2330"/>
    <x v="1"/>
    <d v="2019-09-17T00:00:00"/>
    <x v="1"/>
    <x v="8"/>
    <n v="260.05919999999998"/>
    <n v="260.05919999999998"/>
    <n v="258.10759999999999"/>
    <n v="258.59550000000002"/>
    <n v="30069"/>
    <n v="-0.1885"/>
    <n v="0.75609999999999999"/>
  </r>
  <r>
    <n v="2303"/>
    <x v="0"/>
    <d v="2019-09-18T00:00:00"/>
    <x v="2"/>
    <x v="8"/>
    <n v="13.6"/>
    <n v="13.65"/>
    <n v="13.5"/>
    <n v="13.55"/>
    <n v="18441"/>
    <n v="0"/>
    <n v="1.1111"/>
  </r>
  <r>
    <n v="2330"/>
    <x v="1"/>
    <d v="2019-09-18T00:00:00"/>
    <x v="2"/>
    <x v="8"/>
    <n v="260.5471"/>
    <n v="262.98669999999998"/>
    <n v="260.05919999999998"/>
    <n v="260.5471"/>
    <n v="51360"/>
    <n v="0.75190000000000001"/>
    <n v="1.1256999999999999"/>
  </r>
  <r>
    <n v="2303"/>
    <x v="0"/>
    <d v="2019-09-19T00:00:00"/>
    <x v="3"/>
    <x v="8"/>
    <n v="13.6"/>
    <n v="13.7"/>
    <n v="13.6"/>
    <n v="13.6"/>
    <n v="23352"/>
    <n v="0.36830000000000002"/>
    <n v="0.73529999999999995"/>
  </r>
  <r>
    <n v="2330"/>
    <x v="1"/>
    <d v="2019-09-19T00:00:00"/>
    <x v="3"/>
    <x v="8"/>
    <n v="263.49709999999999"/>
    <n v="263.49709999999999"/>
    <n v="259.5643"/>
    <n v="260.54750000000001"/>
    <n v="27165"/>
    <n v="0"/>
    <n v="1.5152000000000001"/>
  </r>
  <r>
    <n v="2303"/>
    <x v="0"/>
    <d v="2019-09-20T00:00:00"/>
    <x v="4"/>
    <x v="8"/>
    <n v="13.6"/>
    <n v="13.8"/>
    <n v="13.55"/>
    <n v="13.8"/>
    <n v="43362"/>
    <n v="1.4599"/>
    <n v="1.845"/>
  </r>
  <r>
    <n v="2330"/>
    <x v="1"/>
    <d v="2019-09-20T00:00:00"/>
    <x v="4"/>
    <x v="8"/>
    <n v="261.53070000000002"/>
    <n v="262.02229999999997"/>
    <n v="259.5643"/>
    <n v="259.5643"/>
    <n v="44555"/>
    <n v="-0.37809999999999999"/>
    <n v="0.94699999999999995"/>
  </r>
  <r>
    <n v="2303"/>
    <x v="0"/>
    <d v="2019-09-23T00:00:00"/>
    <x v="0"/>
    <x v="8"/>
    <n v="13.7"/>
    <n v="13.8"/>
    <n v="13.65"/>
    <n v="13.7"/>
    <n v="26236"/>
    <n v="-0.72729999999999995"/>
    <n v="0"/>
  </r>
  <r>
    <n v="2330"/>
    <x v="1"/>
    <d v="2019-09-23T00:00:00"/>
    <x v="0"/>
    <x v="8"/>
    <n v="259.5643"/>
    <n v="259.5643"/>
    <n v="258.58109999999999"/>
    <n v="259.5643"/>
    <n v="14220"/>
    <n v="0"/>
    <n v="0"/>
  </r>
  <r>
    <n v="2303"/>
    <x v="0"/>
    <d v="2019-09-24T00:00:00"/>
    <x v="1"/>
    <x v="8"/>
    <n v="13.7"/>
    <n v="13.8"/>
    <n v="13.65"/>
    <n v="13.65"/>
    <n v="33743"/>
    <n v="-0.36559999999999998"/>
    <n v="1.0989"/>
  </r>
  <r>
    <n v="2330"/>
    <x v="1"/>
    <d v="2019-09-24T00:00:00"/>
    <x v="1"/>
    <x v="8"/>
    <n v="259.0727"/>
    <n v="261.03910000000002"/>
    <n v="257.59789999999998"/>
    <n v="260.54750000000001"/>
    <n v="24304"/>
    <n v="0.37809999999999999"/>
    <n v="1.3359000000000001"/>
  </r>
  <r>
    <n v="2303"/>
    <x v="0"/>
    <d v="2019-09-25T00:00:00"/>
    <x v="2"/>
    <x v="8"/>
    <n v="13.65"/>
    <n v="13.7"/>
    <n v="13.5"/>
    <n v="13.6"/>
    <n v="28777"/>
    <n v="-0.36699999999999999"/>
    <n v="1.4815"/>
  </r>
  <r>
    <n v="2330"/>
    <x v="1"/>
    <d v="2019-09-25T00:00:00"/>
    <x v="2"/>
    <x v="8"/>
    <n v="258.08949999999999"/>
    <n v="261.53070000000002"/>
    <n v="257.59789999999998"/>
    <n v="261.53070000000002"/>
    <n v="23244"/>
    <n v="0.37659999999999999"/>
    <n v="1.5266999999999999"/>
  </r>
  <r>
    <n v="2303"/>
    <x v="0"/>
    <d v="2019-09-26T00:00:00"/>
    <x v="3"/>
    <x v="8"/>
    <n v="13.8"/>
    <n v="14"/>
    <n v="13.6"/>
    <n v="13.6"/>
    <n v="50905"/>
    <n v="0"/>
    <n v="2.9411999999999998"/>
  </r>
  <r>
    <n v="2330"/>
    <x v="1"/>
    <d v="2019-09-26T00:00:00"/>
    <x v="3"/>
    <x v="8"/>
    <n v="264.4803"/>
    <n v="264.97190000000001"/>
    <n v="262.02229999999997"/>
    <n v="263.49709999999999"/>
    <n v="34128"/>
    <n v="0.74909999999999999"/>
    <n v="1.1256999999999999"/>
  </r>
  <r>
    <n v="2303"/>
    <x v="0"/>
    <d v="2019-09-27T00:00:00"/>
    <x v="4"/>
    <x v="8"/>
    <n v="13.6"/>
    <n v="13.65"/>
    <n v="13.4"/>
    <n v="13.4"/>
    <n v="21617"/>
    <n v="-1.4815"/>
    <n v="1.8656999999999999"/>
  </r>
  <r>
    <n v="2330"/>
    <x v="1"/>
    <d v="2019-09-27T00:00:00"/>
    <x v="4"/>
    <x v="8"/>
    <n v="266.93830000000003"/>
    <n v="267.92149999999998"/>
    <n v="266.44670000000002"/>
    <n v="267.42989999999998"/>
    <n v="44242"/>
    <n v="1.4815"/>
    <n v="0.55349999999999999"/>
  </r>
  <r>
    <n v="2303"/>
    <x v="0"/>
    <d v="2019-10-01T00:00:00"/>
    <x v="1"/>
    <x v="9"/>
    <n v="13.4"/>
    <n v="13.65"/>
    <n v="13.4"/>
    <n v="13.65"/>
    <n v="26138"/>
    <n v="1.8485"/>
    <n v="1.8656999999999999"/>
  </r>
  <r>
    <n v="2330"/>
    <x v="1"/>
    <d v="2019-10-01T00:00:00"/>
    <x v="1"/>
    <x v="9"/>
    <n v="268.41309999999999"/>
    <n v="275.78699999999998"/>
    <n v="268.41309999999999"/>
    <n v="275.29539999999997"/>
    <n v="75248"/>
    <n v="2.8988"/>
    <n v="2.7473000000000001"/>
  </r>
  <r>
    <n v="2303"/>
    <x v="0"/>
    <d v="2019-10-02T00:00:00"/>
    <x v="2"/>
    <x v="9"/>
    <n v="13.5"/>
    <n v="13.6"/>
    <n v="13.45"/>
    <n v="13.5"/>
    <n v="8772"/>
    <n v="-1.105"/>
    <n v="1.1152"/>
  </r>
  <r>
    <n v="2330"/>
    <x v="1"/>
    <d v="2019-10-02T00:00:00"/>
    <x v="2"/>
    <x v="9"/>
    <n v="275.29539999999997"/>
    <n v="276.27859999999998"/>
    <n v="274.31220000000002"/>
    <n v="274.80380000000002"/>
    <n v="30572"/>
    <n v="-0.1787"/>
    <n v="0.71679999999999999"/>
  </r>
  <r>
    <n v="2303"/>
    <x v="0"/>
    <d v="2019-10-03T00:00:00"/>
    <x v="3"/>
    <x v="9"/>
    <n v="13.3"/>
    <n v="13.45"/>
    <n v="13.2"/>
    <n v="13.4"/>
    <n v="20721"/>
    <n v="-0.74350000000000005"/>
    <n v="1.8938999999999999"/>
  </r>
  <r>
    <n v="2330"/>
    <x v="1"/>
    <d v="2019-10-03T00:00:00"/>
    <x v="3"/>
    <x v="9"/>
    <n v="269.3963"/>
    <n v="272.8374"/>
    <n v="269.3963"/>
    <n v="271.85419999999999"/>
    <n v="35874"/>
    <n v="-1.0790999999999999"/>
    <n v="1.2774000000000001"/>
  </r>
  <r>
    <n v="2303"/>
    <x v="0"/>
    <d v="2019-10-04T00:00:00"/>
    <x v="4"/>
    <x v="9"/>
    <n v="13.35"/>
    <n v="13.55"/>
    <n v="13.35"/>
    <n v="13.45"/>
    <n v="11753"/>
    <n v="0.37240000000000001"/>
    <n v="1.4981"/>
  </r>
  <r>
    <n v="2330"/>
    <x v="1"/>
    <d v="2019-10-04T00:00:00"/>
    <x v="4"/>
    <x v="9"/>
    <n v="274.80380000000002"/>
    <n v="275.29539999999997"/>
    <n v="270.37950000000001"/>
    <n v="271.85419999999999"/>
    <n v="35814"/>
    <n v="0"/>
    <n v="1.8182"/>
  </r>
  <r>
    <n v="2303"/>
    <x v="0"/>
    <d v="2019-10-07T00:00:00"/>
    <x v="0"/>
    <x v="9"/>
    <n v="13.45"/>
    <n v="13.45"/>
    <n v="13.3"/>
    <n v="13.35"/>
    <n v="15828"/>
    <n v="-0.74629999999999996"/>
    <n v="1.1277999999999999"/>
  </r>
  <r>
    <n v="2330"/>
    <x v="1"/>
    <d v="2019-10-07T00:00:00"/>
    <x v="0"/>
    <x v="9"/>
    <n v="274.31220000000002"/>
    <n v="274.80380000000002"/>
    <n v="272.8374"/>
    <n v="273.32900000000001"/>
    <n v="17750"/>
    <n v="0.54100000000000004"/>
    <n v="0.72070000000000001"/>
  </r>
  <r>
    <n v="2303"/>
    <x v="0"/>
    <d v="2019-10-08T00:00:00"/>
    <x v="1"/>
    <x v="9"/>
    <n v="13.35"/>
    <n v="13.5"/>
    <n v="13.3"/>
    <n v="13.35"/>
    <n v="23503"/>
    <n v="0"/>
    <n v="1.5038"/>
  </r>
  <r>
    <n v="2330"/>
    <x v="1"/>
    <d v="2019-10-08T00:00:00"/>
    <x v="1"/>
    <x v="9"/>
    <n v="278.73660000000001"/>
    <n v="281.68619999999999"/>
    <n v="277.7534"/>
    <n v="281.68619999999999"/>
    <n v="39868"/>
    <n v="3.0116999999999998"/>
    <n v="1.4158999999999999"/>
  </r>
  <r>
    <n v="2303"/>
    <x v="0"/>
    <d v="2019-10-09T00:00:00"/>
    <x v="2"/>
    <x v="9"/>
    <n v="13.35"/>
    <n v="13.35"/>
    <n v="13.15"/>
    <n v="13.15"/>
    <n v="38292"/>
    <n v="-1.5095000000000001"/>
    <n v="1.5208999999999999"/>
  </r>
  <r>
    <n v="2330"/>
    <x v="1"/>
    <d v="2019-10-09T00:00:00"/>
    <x v="2"/>
    <x v="9"/>
    <n v="278.73660000000001"/>
    <n v="281.19459999999998"/>
    <n v="277.26179999999999"/>
    <n v="277.26179999999999"/>
    <n v="34895"/>
    <n v="-1.5831"/>
    <n v="1.4184000000000001"/>
  </r>
  <r>
    <n v="2303"/>
    <x v="0"/>
    <d v="2019-10-14T00:00:00"/>
    <x v="0"/>
    <x v="9"/>
    <n v="13.45"/>
    <n v="13.65"/>
    <n v="13.35"/>
    <n v="13.5"/>
    <n v="45103"/>
    <n v="2.6267999999999998"/>
    <n v="2.2471999999999999"/>
  </r>
  <r>
    <n v="2330"/>
    <x v="1"/>
    <d v="2019-10-14T00:00:00"/>
    <x v="0"/>
    <x v="9"/>
    <n v="286.60219999999998"/>
    <n v="286.60219999999998"/>
    <n v="283.65260000000001"/>
    <n v="285.12740000000002"/>
    <n v="53403"/>
    <n v="2.7974000000000001"/>
    <n v="1.0399"/>
  </r>
  <r>
    <n v="2303"/>
    <x v="0"/>
    <d v="2019-10-15T00:00:00"/>
    <x v="1"/>
    <x v="9"/>
    <n v="13.5"/>
    <n v="13.8"/>
    <n v="13.5"/>
    <n v="13.7"/>
    <n v="48290"/>
    <n v="1.4705999999999999"/>
    <n v="2.2222"/>
  </r>
  <r>
    <n v="2330"/>
    <x v="1"/>
    <d v="2019-10-15T00:00:00"/>
    <x v="1"/>
    <x v="9"/>
    <n v="288.5686"/>
    <n v="291.02659999999997"/>
    <n v="287.09379999999999"/>
    <n v="288.5686"/>
    <n v="54754"/>
    <n v="1.1997"/>
    <n v="1.3698999999999999"/>
  </r>
  <r>
    <n v="2303"/>
    <x v="0"/>
    <d v="2019-10-16T00:00:00"/>
    <x v="2"/>
    <x v="9"/>
    <n v="13.8"/>
    <n v="13.8"/>
    <n v="13.6"/>
    <n v="13.75"/>
    <n v="31033"/>
    <n v="0.36430000000000001"/>
    <n v="1.4705999999999999"/>
  </r>
  <r>
    <n v="2330"/>
    <x v="1"/>
    <d v="2019-10-16T00:00:00"/>
    <x v="2"/>
    <x v="9"/>
    <n v="292.99299999999999"/>
    <n v="292.99299999999999"/>
    <n v="288.5686"/>
    <n v="291.51819999999998"/>
    <n v="42917"/>
    <n v="1.0169999999999999"/>
    <n v="1.5331999999999999"/>
  </r>
  <r>
    <n v="2303"/>
    <x v="0"/>
    <d v="2019-10-17T00:00:00"/>
    <x v="3"/>
    <x v="9"/>
    <n v="13.75"/>
    <n v="13.8"/>
    <n v="13.65"/>
    <n v="13.8"/>
    <n v="17379"/>
    <n v="0.36299999999999999"/>
    <n v="1.0989"/>
  </r>
  <r>
    <n v="2330"/>
    <x v="1"/>
    <d v="2019-10-17T00:00:00"/>
    <x v="3"/>
    <x v="9"/>
    <n v="290.04340000000002"/>
    <n v="290.53500000000003"/>
    <n v="287.09379999999999"/>
    <n v="288.5686"/>
    <n v="41920"/>
    <n v="-1.0169999999999999"/>
    <n v="1.1986000000000001"/>
  </r>
  <r>
    <n v="2303"/>
    <x v="0"/>
    <d v="2019-10-18T00:00:00"/>
    <x v="4"/>
    <x v="9"/>
    <n v="13.7"/>
    <n v="14"/>
    <n v="13.7"/>
    <n v="13.95"/>
    <n v="46084"/>
    <n v="1.0810999999999999"/>
    <n v="2.1898"/>
  </r>
  <r>
    <n v="2330"/>
    <x v="1"/>
    <d v="2019-10-18T00:00:00"/>
    <x v="4"/>
    <x v="9"/>
    <n v="288.077"/>
    <n v="290.53500000000003"/>
    <n v="286.11059999999998"/>
    <n v="288.077"/>
    <n v="45460"/>
    <n v="-0.17050000000000001"/>
    <n v="1.5464"/>
  </r>
  <r>
    <n v="2303"/>
    <x v="0"/>
    <d v="2019-10-21T00:00:00"/>
    <x v="0"/>
    <x v="9"/>
    <n v="13.95"/>
    <n v="14"/>
    <n v="13.9"/>
    <n v="13.9"/>
    <n v="12903"/>
    <n v="-0.35909999999999997"/>
    <n v="0.71940000000000004"/>
  </r>
  <r>
    <n v="2330"/>
    <x v="1"/>
    <d v="2019-10-21T00:00:00"/>
    <x v="0"/>
    <x v="9"/>
    <n v="286.11059999999998"/>
    <n v="286.11059999999998"/>
    <n v="283.65260000000001"/>
    <n v="285.12740000000002"/>
    <n v="35860"/>
    <n v="-1.0291999999999999"/>
    <n v="0.86660000000000004"/>
  </r>
  <r>
    <n v="2303"/>
    <x v="0"/>
    <d v="2019-10-22T00:00:00"/>
    <x v="1"/>
    <x v="9"/>
    <n v="14.1"/>
    <n v="14.15"/>
    <n v="13.9"/>
    <n v="14"/>
    <n v="23631"/>
    <n v="0.71679999999999999"/>
    <n v="1.7986"/>
  </r>
  <r>
    <n v="2330"/>
    <x v="1"/>
    <d v="2019-10-22T00:00:00"/>
    <x v="1"/>
    <x v="9"/>
    <n v="287.58539999999999"/>
    <n v="289.06020000000001"/>
    <n v="286.60219999999998"/>
    <n v="289.06020000000001"/>
    <n v="26525"/>
    <n v="1.3698999999999999"/>
    <n v="0.85760000000000003"/>
  </r>
  <r>
    <n v="2303"/>
    <x v="0"/>
    <d v="2019-10-23T00:00:00"/>
    <x v="2"/>
    <x v="9"/>
    <n v="14.05"/>
    <n v="14.05"/>
    <n v="13.95"/>
    <n v="14.05"/>
    <n v="26012"/>
    <n v="0.35649999999999998"/>
    <n v="0.71679999999999999"/>
  </r>
  <r>
    <n v="2330"/>
    <x v="1"/>
    <d v="2019-10-23T00:00:00"/>
    <x v="2"/>
    <x v="9"/>
    <n v="288.5686"/>
    <n v="288.5686"/>
    <n v="285.61900000000003"/>
    <n v="288.077"/>
    <n v="30382"/>
    <n v="-0.3407"/>
    <n v="1.0327"/>
  </r>
  <r>
    <n v="2303"/>
    <x v="0"/>
    <d v="2019-10-24T00:00:00"/>
    <x v="3"/>
    <x v="9"/>
    <n v="14.1"/>
    <n v="14.8"/>
    <n v="14.05"/>
    <n v="14.55"/>
    <n v="119513"/>
    <n v="3.4969000000000001"/>
    <n v="5.3380999999999998"/>
  </r>
  <r>
    <n v="2330"/>
    <x v="1"/>
    <d v="2019-10-24T00:00:00"/>
    <x v="3"/>
    <x v="9"/>
    <n v="289.55180000000001"/>
    <n v="289.55180000000001"/>
    <n v="286.11059999999998"/>
    <n v="288.077"/>
    <n v="29040"/>
    <n v="0"/>
    <n v="1.2027000000000001"/>
  </r>
  <r>
    <n v="2303"/>
    <x v="0"/>
    <d v="2019-10-25T00:00:00"/>
    <x v="4"/>
    <x v="9"/>
    <n v="14.4"/>
    <n v="14.55"/>
    <n v="14.3"/>
    <n v="14.4"/>
    <n v="43635"/>
    <n v="-1.0363"/>
    <n v="1.7483"/>
  </r>
  <r>
    <n v="2330"/>
    <x v="1"/>
    <d v="2019-10-25T00:00:00"/>
    <x v="4"/>
    <x v="9"/>
    <n v="289.55180000000001"/>
    <n v="289.55180000000001"/>
    <n v="287.58539999999999"/>
    <n v="288.5686"/>
    <n v="25082"/>
    <n v="0.17050000000000001"/>
    <n v="0.68379999999999996"/>
  </r>
  <r>
    <n v="2303"/>
    <x v="0"/>
    <d v="2019-10-28T00:00:00"/>
    <x v="0"/>
    <x v="9"/>
    <n v="14.45"/>
    <n v="14.5"/>
    <n v="14.15"/>
    <n v="14.25"/>
    <n v="23325"/>
    <n v="-1.0470999999999999"/>
    <n v="2.4735"/>
  </r>
  <r>
    <n v="2330"/>
    <x v="1"/>
    <d v="2019-10-28T00:00:00"/>
    <x v="0"/>
    <x v="9"/>
    <n v="290.04340000000002"/>
    <n v="290.53500000000003"/>
    <n v="289.06020000000001"/>
    <n v="289.55180000000001"/>
    <n v="20216"/>
    <n v="0.34010000000000001"/>
    <n v="0.51019999999999999"/>
  </r>
  <r>
    <n v="2303"/>
    <x v="0"/>
    <d v="2019-10-29T00:00:00"/>
    <x v="1"/>
    <x v="9"/>
    <n v="14.3"/>
    <n v="14.65"/>
    <n v="14.3"/>
    <n v="14.5"/>
    <n v="63793"/>
    <n v="1.7392000000000001"/>
    <n v="2.4476"/>
  </r>
  <r>
    <n v="2330"/>
    <x v="1"/>
    <d v="2019-10-29T00:00:00"/>
    <x v="1"/>
    <x v="9"/>
    <n v="292.00979999999998"/>
    <n v="293.4846"/>
    <n v="291.51819999999998"/>
    <n v="293.4846"/>
    <n v="37130"/>
    <n v="1.3491"/>
    <n v="0.67449999999999999"/>
  </r>
  <r>
    <n v="2303"/>
    <x v="0"/>
    <d v="2019-10-30T00:00:00"/>
    <x v="2"/>
    <x v="9"/>
    <n v="14.7"/>
    <n v="14.7"/>
    <n v="14.35"/>
    <n v="14.4"/>
    <n v="61233"/>
    <n v="-0.69199999999999995"/>
    <n v="2.4390000000000001"/>
  </r>
  <r>
    <n v="2330"/>
    <x v="1"/>
    <d v="2019-10-30T00:00:00"/>
    <x v="2"/>
    <x v="9"/>
    <n v="293.4846"/>
    <n v="294.46780000000001"/>
    <n v="291.51819999999998"/>
    <n v="294.46780000000001"/>
    <n v="32370"/>
    <n v="0.33439999999999998"/>
    <n v="1.0118"/>
  </r>
  <r>
    <n v="2303"/>
    <x v="0"/>
    <d v="2019-10-31T00:00:00"/>
    <x v="3"/>
    <x v="9"/>
    <n v="14.35"/>
    <n v="14.35"/>
    <n v="13.9"/>
    <n v="14"/>
    <n v="97117"/>
    <n v="-2.8170999999999999"/>
    <n v="3.2374000000000001"/>
  </r>
  <r>
    <n v="2330"/>
    <x v="1"/>
    <d v="2019-10-31T00:00:00"/>
    <x v="3"/>
    <x v="9"/>
    <n v="294.95940000000002"/>
    <n v="296.43419999999998"/>
    <n v="293.4846"/>
    <n v="293.4846"/>
    <n v="43123"/>
    <n v="-0.33439999999999998"/>
    <n v="1.0049999999999999"/>
  </r>
  <r>
    <n v="2303"/>
    <x v="0"/>
    <d v="2019-11-01T00:00:00"/>
    <x v="4"/>
    <x v="10"/>
    <n v="14.15"/>
    <n v="14.55"/>
    <n v="14.1"/>
    <n v="14.5"/>
    <n v="93849"/>
    <n v="3.5091000000000001"/>
    <n v="3.1915"/>
  </r>
  <r>
    <n v="2330"/>
    <x v="1"/>
    <d v="2019-11-01T00:00:00"/>
    <x v="4"/>
    <x v="10"/>
    <n v="294.46780000000001"/>
    <n v="294.46780000000001"/>
    <n v="291.51819999999998"/>
    <n v="293.97620000000001"/>
    <n v="30216"/>
    <n v="0.16739999999999999"/>
    <n v="1.0118"/>
  </r>
  <r>
    <n v="2303"/>
    <x v="0"/>
    <d v="2019-11-04T00:00:00"/>
    <x v="0"/>
    <x v="10"/>
    <n v="14.5"/>
    <n v="14.8"/>
    <n v="14.5"/>
    <n v="14.65"/>
    <n v="94378"/>
    <n v="1.0291999999999999"/>
    <n v="2.069"/>
  </r>
  <r>
    <n v="2330"/>
    <x v="1"/>
    <d v="2019-11-04T00:00:00"/>
    <x v="0"/>
    <x v="10"/>
    <n v="297.41739999999999"/>
    <n v="302.82499999999999"/>
    <n v="295.94260000000003"/>
    <n v="301.84179999999998"/>
    <n v="45155"/>
    <n v="2.6404000000000001"/>
    <n v="2.3256000000000001"/>
  </r>
  <r>
    <n v="2303"/>
    <x v="0"/>
    <d v="2019-11-05T00:00:00"/>
    <x v="1"/>
    <x v="10"/>
    <n v="14.65"/>
    <n v="14.7"/>
    <n v="14.4"/>
    <n v="14.5"/>
    <n v="53488"/>
    <n v="-1.0291999999999999"/>
    <n v="2.0832999999999999"/>
  </r>
  <r>
    <n v="2330"/>
    <x v="1"/>
    <d v="2019-11-05T00:00:00"/>
    <x v="1"/>
    <x v="10"/>
    <n v="302.33339999999998"/>
    <n v="305.28300000000002"/>
    <n v="301.84179999999998"/>
    <n v="305.28300000000002"/>
    <n v="32253"/>
    <n v="1.1335999999999999"/>
    <n v="1.1400999999999999"/>
  </r>
  <r>
    <n v="2303"/>
    <x v="0"/>
    <d v="2019-11-06T00:00:00"/>
    <x v="2"/>
    <x v="10"/>
    <n v="14.55"/>
    <n v="14.55"/>
    <n v="14.3"/>
    <n v="14.5"/>
    <n v="52059"/>
    <n v="0"/>
    <n v="1.7483"/>
  </r>
  <r>
    <n v="2330"/>
    <x v="1"/>
    <d v="2019-11-06T00:00:00"/>
    <x v="2"/>
    <x v="10"/>
    <n v="303.8082"/>
    <n v="306.26620000000003"/>
    <n v="302.82499999999999"/>
    <n v="305.77460000000002"/>
    <n v="22149"/>
    <n v="0.16089999999999999"/>
    <n v="1.1364000000000001"/>
  </r>
  <r>
    <n v="2303"/>
    <x v="0"/>
    <d v="2019-11-07T00:00:00"/>
    <x v="3"/>
    <x v="10"/>
    <n v="14.5"/>
    <n v="14.55"/>
    <n v="14.2"/>
    <n v="14.25"/>
    <n v="44219"/>
    <n v="-1.7392000000000001"/>
    <n v="2.4647999999999999"/>
  </r>
  <r>
    <n v="2330"/>
    <x v="1"/>
    <d v="2019-11-07T00:00:00"/>
    <x v="3"/>
    <x v="10"/>
    <n v="304.79140000000001"/>
    <n v="304.79140000000001"/>
    <n v="301.35019999999997"/>
    <n v="303.8082"/>
    <n v="28453"/>
    <n v="-0.6452"/>
    <n v="1.1418999999999999"/>
  </r>
  <r>
    <n v="2303"/>
    <x v="0"/>
    <d v="2019-11-08T00:00:00"/>
    <x v="4"/>
    <x v="10"/>
    <n v="14.35"/>
    <n v="14.4"/>
    <n v="14.2"/>
    <n v="14.25"/>
    <n v="24415"/>
    <n v="0"/>
    <n v="1.4085000000000001"/>
  </r>
  <r>
    <n v="2330"/>
    <x v="1"/>
    <d v="2019-11-08T00:00:00"/>
    <x v="4"/>
    <x v="10"/>
    <n v="303.31659999999999"/>
    <n v="303.8082"/>
    <n v="300.36700000000002"/>
    <n v="300.36700000000002"/>
    <n v="26230"/>
    <n v="-1.1391"/>
    <n v="1.1456999999999999"/>
  </r>
  <r>
    <n v="2303"/>
    <x v="0"/>
    <d v="2019-11-11T00:00:00"/>
    <x v="0"/>
    <x v="10"/>
    <n v="14.3"/>
    <n v="14.35"/>
    <n v="14.15"/>
    <n v="14.25"/>
    <n v="31160"/>
    <n v="0"/>
    <n v="1.4134"/>
  </r>
  <r>
    <n v="2330"/>
    <x v="1"/>
    <d v="2019-11-11T00:00:00"/>
    <x v="0"/>
    <x v="10"/>
    <n v="299.87540000000001"/>
    <n v="299.87540000000001"/>
    <n v="294.95940000000002"/>
    <n v="295.94260000000003"/>
    <n v="35285"/>
    <n v="-1.484"/>
    <n v="1.6667000000000001"/>
  </r>
  <r>
    <n v="2303"/>
    <x v="0"/>
    <d v="2019-11-12T00:00:00"/>
    <x v="1"/>
    <x v="10"/>
    <n v="14.3"/>
    <n v="14.35"/>
    <n v="14.2"/>
    <n v="14.3"/>
    <n v="35026"/>
    <n v="0.3503"/>
    <n v="1.0563"/>
  </r>
  <r>
    <n v="2330"/>
    <x v="1"/>
    <d v="2019-11-12T00:00:00"/>
    <x v="1"/>
    <x v="10"/>
    <n v="297.41739999999999"/>
    <n v="299.87540000000001"/>
    <n v="296.92579999999998"/>
    <n v="299.87540000000001"/>
    <n v="19016"/>
    <n v="1.3202"/>
    <n v="0.99339999999999995"/>
  </r>
  <r>
    <n v="2303"/>
    <x v="0"/>
    <d v="2019-11-13T00:00:00"/>
    <x v="2"/>
    <x v="10"/>
    <n v="14.3"/>
    <n v="14.4"/>
    <n v="14.2"/>
    <n v="14.2"/>
    <n v="32373"/>
    <n v="-0.70179999999999998"/>
    <n v="1.4085000000000001"/>
  </r>
  <r>
    <n v="2330"/>
    <x v="1"/>
    <d v="2019-11-13T00:00:00"/>
    <x v="2"/>
    <x v="10"/>
    <n v="297.90899999999999"/>
    <n v="298.8922"/>
    <n v="296.43419999999998"/>
    <n v="298.8922"/>
    <n v="18422"/>
    <n v="-0.32840000000000003"/>
    <n v="0.82920000000000005"/>
  </r>
  <r>
    <n v="2303"/>
    <x v="0"/>
    <d v="2019-11-14T00:00:00"/>
    <x v="3"/>
    <x v="10"/>
    <n v="14.2"/>
    <n v="14.6"/>
    <n v="14.2"/>
    <n v="14.5"/>
    <n v="57937"/>
    <n v="2.0907"/>
    <n v="2.8169"/>
  </r>
  <r>
    <n v="2330"/>
    <x v="1"/>
    <d v="2019-11-14T00:00:00"/>
    <x v="3"/>
    <x v="10"/>
    <n v="299.38380000000001"/>
    <n v="299.87540000000001"/>
    <n v="296.92579999999998"/>
    <n v="298.4006"/>
    <n v="15734"/>
    <n v="-0.1646"/>
    <n v="0.99339999999999995"/>
  </r>
  <r>
    <n v="2303"/>
    <x v="0"/>
    <d v="2019-11-15T00:00:00"/>
    <x v="4"/>
    <x v="10"/>
    <n v="14.6"/>
    <n v="14.6"/>
    <n v="14.25"/>
    <n v="14.3"/>
    <n v="39855"/>
    <n v="-1.3889"/>
    <n v="2.4561000000000002"/>
  </r>
  <r>
    <n v="2330"/>
    <x v="1"/>
    <d v="2019-11-15T00:00:00"/>
    <x v="4"/>
    <x v="10"/>
    <n v="300.36700000000002"/>
    <n v="302.33339999999998"/>
    <n v="299.38380000000001"/>
    <n v="301.84179999999998"/>
    <n v="29038"/>
    <n v="1.1466000000000001"/>
    <n v="0.98519999999999996"/>
  </r>
  <r>
    <n v="2303"/>
    <x v="0"/>
    <d v="2019-11-18T00:00:00"/>
    <x v="0"/>
    <x v="10"/>
    <n v="14.6"/>
    <n v="14.75"/>
    <n v="14.45"/>
    <n v="14.5"/>
    <n v="58847"/>
    <n v="1.3889"/>
    <n v="2.0760999999999998"/>
  </r>
  <r>
    <n v="2330"/>
    <x v="1"/>
    <d v="2019-11-18T00:00:00"/>
    <x v="0"/>
    <x v="10"/>
    <n v="303.31659999999999"/>
    <n v="305.77460000000002"/>
    <n v="301.84179999999998"/>
    <n v="305.77460000000002"/>
    <n v="18741"/>
    <n v="1.2945"/>
    <n v="1.3028999999999999"/>
  </r>
  <r>
    <n v="2303"/>
    <x v="0"/>
    <d v="2019-11-19T00:00:00"/>
    <x v="1"/>
    <x v="10"/>
    <n v="14.45"/>
    <n v="14.6"/>
    <n v="14.35"/>
    <n v="14.55"/>
    <n v="37821"/>
    <n v="0.34420000000000001"/>
    <n v="1.7422"/>
  </r>
  <r>
    <n v="2330"/>
    <x v="1"/>
    <d v="2019-11-19T00:00:00"/>
    <x v="1"/>
    <x v="10"/>
    <n v="307.24939999999998"/>
    <n v="309.70740000000001"/>
    <n v="305.77460000000002"/>
    <n v="309.70740000000001"/>
    <n v="33096"/>
    <n v="1.278"/>
    <n v="1.2862"/>
  </r>
  <r>
    <n v="2303"/>
    <x v="0"/>
    <d v="2019-11-20T00:00:00"/>
    <x v="2"/>
    <x v="10"/>
    <n v="14.55"/>
    <n v="14.8"/>
    <n v="14.45"/>
    <n v="14.75"/>
    <n v="55131"/>
    <n v="1.3652"/>
    <n v="2.4220999999999999"/>
  </r>
  <r>
    <n v="2330"/>
    <x v="1"/>
    <d v="2019-11-20T00:00:00"/>
    <x v="2"/>
    <x v="10"/>
    <n v="308.7242"/>
    <n v="308.7242"/>
    <n v="306.75779999999997"/>
    <n v="308.23259999999999"/>
    <n v="24538"/>
    <n v="-0.4773"/>
    <n v="0.64100000000000001"/>
  </r>
  <r>
    <n v="2303"/>
    <x v="0"/>
    <d v="2019-11-21T00:00:00"/>
    <x v="3"/>
    <x v="10"/>
    <n v="14.6"/>
    <n v="14.65"/>
    <n v="14.45"/>
    <n v="14.65"/>
    <n v="42654"/>
    <n v="-0.68030000000000002"/>
    <n v="1.3841000000000001"/>
  </r>
  <r>
    <n v="2330"/>
    <x v="1"/>
    <d v="2019-11-21T00:00:00"/>
    <x v="3"/>
    <x v="10"/>
    <n v="304.2998"/>
    <n v="305.77460000000002"/>
    <n v="301.84179999999998"/>
    <n v="305.77460000000002"/>
    <n v="30163"/>
    <n v="-0.80059999999999998"/>
    <n v="1.3028999999999999"/>
  </r>
  <r>
    <n v="2303"/>
    <x v="0"/>
    <d v="2019-11-22T00:00:00"/>
    <x v="4"/>
    <x v="10"/>
    <n v="14.65"/>
    <n v="14.7"/>
    <n v="14.5"/>
    <n v="14.6"/>
    <n v="30220"/>
    <n v="-0.34189999999999998"/>
    <n v="1.3793"/>
  </r>
  <r>
    <n v="2330"/>
    <x v="1"/>
    <d v="2019-11-22T00:00:00"/>
    <x v="4"/>
    <x v="10"/>
    <n v="304.79140000000001"/>
    <n v="305.28300000000002"/>
    <n v="302.82499999999999"/>
    <n v="303.8082"/>
    <n v="26492"/>
    <n v="-0.6452"/>
    <n v="0.81169999999999998"/>
  </r>
  <r>
    <n v="2303"/>
    <x v="0"/>
    <d v="2019-11-25T00:00:00"/>
    <x v="0"/>
    <x v="10"/>
    <n v="14.65"/>
    <n v="15.5"/>
    <n v="14.65"/>
    <n v="15"/>
    <n v="166478"/>
    <n v="2.7029000000000001"/>
    <n v="5.8019999999999996"/>
  </r>
  <r>
    <n v="2330"/>
    <x v="1"/>
    <d v="2019-11-25T00:00:00"/>
    <x v="0"/>
    <x v="10"/>
    <n v="305.28300000000002"/>
    <n v="305.28300000000002"/>
    <n v="301.84179999999998"/>
    <n v="301.84179999999998"/>
    <n v="19855"/>
    <n v="-0.64939999999999998"/>
    <n v="1.1400999999999999"/>
  </r>
  <r>
    <n v="2303"/>
    <x v="0"/>
    <d v="2019-11-26T00:00:00"/>
    <x v="1"/>
    <x v="10"/>
    <n v="15.25"/>
    <n v="15.4"/>
    <n v="15.1"/>
    <n v="15.2"/>
    <n v="165216"/>
    <n v="1.3245"/>
    <n v="1.9867999999999999"/>
  </r>
  <r>
    <n v="2330"/>
    <x v="1"/>
    <d v="2019-11-26T00:00:00"/>
    <x v="1"/>
    <x v="10"/>
    <n v="304.79140000000001"/>
    <n v="305.28300000000002"/>
    <n v="301.84179999999998"/>
    <n v="301.84179999999998"/>
    <n v="101916"/>
    <n v="0"/>
    <n v="1.1400999999999999"/>
  </r>
  <r>
    <n v="2303"/>
    <x v="0"/>
    <d v="2019-11-27T00:00:00"/>
    <x v="2"/>
    <x v="10"/>
    <n v="15.35"/>
    <n v="15.4"/>
    <n v="15.1"/>
    <n v="15.2"/>
    <n v="41376"/>
    <n v="0"/>
    <n v="1.9867999999999999"/>
  </r>
  <r>
    <n v="2330"/>
    <x v="1"/>
    <d v="2019-11-27T00:00:00"/>
    <x v="2"/>
    <x v="10"/>
    <n v="302.33339999999998"/>
    <n v="306.26620000000003"/>
    <n v="302.33339999999998"/>
    <n v="305.77460000000002"/>
    <n v="18527"/>
    <n v="1.2945"/>
    <n v="1.3008"/>
  </r>
  <r>
    <n v="2303"/>
    <x v="0"/>
    <d v="2019-11-28T00:00:00"/>
    <x v="3"/>
    <x v="10"/>
    <n v="15.25"/>
    <n v="15.3"/>
    <n v="15.05"/>
    <n v="15.1"/>
    <n v="34136"/>
    <n v="-0.66010000000000002"/>
    <n v="1.6611"/>
  </r>
  <r>
    <n v="2330"/>
    <x v="1"/>
    <d v="2019-11-28T00:00:00"/>
    <x v="3"/>
    <x v="10"/>
    <n v="304.79140000000001"/>
    <n v="306.75779999999997"/>
    <n v="303.31659999999999"/>
    <n v="304.2998"/>
    <n v="19718"/>
    <n v="-0.48349999999999999"/>
    <n v="1.1345000000000001"/>
  </r>
  <r>
    <n v="2303"/>
    <x v="0"/>
    <d v="2019-11-29T00:00:00"/>
    <x v="4"/>
    <x v="10"/>
    <n v="15.1"/>
    <n v="15.15"/>
    <n v="14.85"/>
    <n v="14.95"/>
    <n v="45681"/>
    <n v="-0.99829999999999997"/>
    <n v="2.0202"/>
  </r>
  <r>
    <n v="2330"/>
    <x v="1"/>
    <d v="2019-11-29T00:00:00"/>
    <x v="4"/>
    <x v="10"/>
    <n v="303.8082"/>
    <n v="304.2998"/>
    <n v="299.87540000000001"/>
    <n v="299.87540000000001"/>
    <n v="32423"/>
    <n v="-1.4645999999999999"/>
    <n v="1.4754"/>
  </r>
  <r>
    <n v="2303"/>
    <x v="0"/>
    <d v="2019-12-02T00:00:00"/>
    <x v="0"/>
    <x v="11"/>
    <n v="15"/>
    <n v="15.3"/>
    <n v="15"/>
    <n v="15.1"/>
    <n v="63994"/>
    <n v="0.99829999999999997"/>
    <n v="0"/>
  </r>
  <r>
    <n v="2330"/>
    <x v="1"/>
    <d v="2019-12-02T00:00:00"/>
    <x v="0"/>
    <x v="11"/>
    <n v="301.84179999999998"/>
    <n v="302.82499999999999"/>
    <n v="301.35019999999997"/>
    <n v="302.33339999999998"/>
    <n v="25516"/>
    <n v="0.81630000000000003"/>
    <n v="0"/>
  </r>
  <r>
    <n v="2303"/>
    <x v="0"/>
    <d v="2019-12-03T00:00:00"/>
    <x v="1"/>
    <x v="11"/>
    <n v="15.05"/>
    <n v="15.35"/>
    <n v="15.05"/>
    <n v="15.35"/>
    <n v="51943"/>
    <n v="1.6420999999999999"/>
    <n v="1.9934000000000001"/>
  </r>
  <r>
    <n v="2330"/>
    <x v="1"/>
    <d v="2019-12-03T00:00:00"/>
    <x v="1"/>
    <x v="11"/>
    <n v="299.87540000000001"/>
    <n v="301.84179999999998"/>
    <n v="299.87540000000001"/>
    <n v="301.84179999999998"/>
    <n v="27686"/>
    <n v="-0.16270000000000001"/>
    <n v="0.65569999999999995"/>
  </r>
  <r>
    <n v="2303"/>
    <x v="0"/>
    <d v="2019-12-04T00:00:00"/>
    <x v="2"/>
    <x v="11"/>
    <n v="15.4"/>
    <n v="15.95"/>
    <n v="15.4"/>
    <n v="15.85"/>
    <n v="190321"/>
    <n v="3.2054"/>
    <n v="0"/>
  </r>
  <r>
    <n v="2330"/>
    <x v="1"/>
    <d v="2019-12-04T00:00:00"/>
    <x v="2"/>
    <x v="11"/>
    <n v="299.87540000000001"/>
    <n v="300.85860000000002"/>
    <n v="298.8922"/>
    <n v="300.85860000000002"/>
    <n v="34911"/>
    <n v="-0.32629999999999998"/>
    <n v="0"/>
  </r>
  <r>
    <n v="2303"/>
    <x v="0"/>
    <d v="2019-12-05T00:00:00"/>
    <x v="3"/>
    <x v="11"/>
    <n v="16.05"/>
    <n v="16.7"/>
    <n v="16.05"/>
    <n v="16.55"/>
    <n v="228294"/>
    <n v="4.3216999999999999"/>
    <n v="4.0498000000000003"/>
  </r>
  <r>
    <n v="2330"/>
    <x v="1"/>
    <d v="2019-12-05T00:00:00"/>
    <x v="3"/>
    <x v="11"/>
    <n v="303.8082"/>
    <n v="306.75779999999997"/>
    <n v="303.8082"/>
    <n v="306.75779999999997"/>
    <n v="39349"/>
    <n v="1.9418"/>
    <n v="0.97089999999999999"/>
  </r>
  <r>
    <n v="2303"/>
    <x v="0"/>
    <d v="2019-12-06T00:00:00"/>
    <x v="4"/>
    <x v="11"/>
    <n v="16.5"/>
    <n v="16.5"/>
    <n v="16.100000000000001"/>
    <n v="16.2"/>
    <n v="109731"/>
    <n v="-2.1375000000000002"/>
    <n v="2.4845000000000002"/>
  </r>
  <r>
    <n v="2330"/>
    <x v="1"/>
    <d v="2019-12-06T00:00:00"/>
    <x v="4"/>
    <x v="11"/>
    <n v="309.70740000000001"/>
    <n v="310.69060000000002"/>
    <n v="305.77460000000002"/>
    <n v="307.74099999999999"/>
    <n v="18402"/>
    <n v="0.32"/>
    <n v="1.6076999999999999"/>
  </r>
  <r>
    <n v="2303"/>
    <x v="0"/>
    <d v="2019-12-09T00:00:00"/>
    <x v="0"/>
    <x v="11"/>
    <n v="16.399999999999999"/>
    <n v="16.55"/>
    <n v="16.25"/>
    <n v="16.25"/>
    <n v="68335"/>
    <n v="0.30819999999999997"/>
    <n v="1.8462000000000001"/>
  </r>
  <r>
    <n v="2330"/>
    <x v="1"/>
    <d v="2019-12-09T00:00:00"/>
    <x v="0"/>
    <x v="11"/>
    <n v="308.7242"/>
    <n v="311.18220000000002"/>
    <n v="308.7242"/>
    <n v="310.69060000000002"/>
    <n v="23556"/>
    <n v="0.95389999999999997"/>
    <n v="0.79620000000000002"/>
  </r>
  <r>
    <n v="2303"/>
    <x v="0"/>
    <d v="2019-12-10T00:00:00"/>
    <x v="1"/>
    <x v="11"/>
    <n v="16.350000000000001"/>
    <n v="16.5"/>
    <n v="16.25"/>
    <n v="16.45"/>
    <n v="58803"/>
    <n v="1.2233000000000001"/>
    <n v="1.5385"/>
  </r>
  <r>
    <n v="2330"/>
    <x v="1"/>
    <d v="2019-12-10T00:00:00"/>
    <x v="1"/>
    <x v="11"/>
    <n v="309.70740000000001"/>
    <n v="310.19900000000001"/>
    <n v="307.24939999999998"/>
    <n v="308.23259999999999"/>
    <n v="20847"/>
    <n v="-0.79430000000000001"/>
    <n v="0.96"/>
  </r>
  <r>
    <n v="2303"/>
    <x v="0"/>
    <d v="2019-12-11T00:00:00"/>
    <x v="2"/>
    <x v="11"/>
    <n v="16.399999999999999"/>
    <n v="16.5"/>
    <n v="16.149999999999999"/>
    <n v="16.25"/>
    <n v="60175"/>
    <n v="-1.2233000000000001"/>
    <n v="2.1671999999999998"/>
  </r>
  <r>
    <n v="2330"/>
    <x v="1"/>
    <d v="2019-12-11T00:00:00"/>
    <x v="2"/>
    <x v="11"/>
    <n v="308.7242"/>
    <n v="313.64019999999999"/>
    <n v="307.74099999999999"/>
    <n v="313.64019999999999"/>
    <n v="34329"/>
    <n v="1.7392000000000001"/>
    <n v="1.9169"/>
  </r>
  <r>
    <n v="2303"/>
    <x v="0"/>
    <d v="2019-12-12T00:00:00"/>
    <x v="3"/>
    <x v="11"/>
    <n v="16.3"/>
    <n v="16.75"/>
    <n v="16.3"/>
    <n v="16.600000000000001"/>
    <n v="155933"/>
    <n v="2.1309999999999998"/>
    <n v="2.7606999999999999"/>
  </r>
  <r>
    <n v="2330"/>
    <x v="1"/>
    <d v="2019-12-12T00:00:00"/>
    <x v="3"/>
    <x v="11"/>
    <n v="319.5394"/>
    <n v="328.87970000000001"/>
    <n v="318.55619999999999"/>
    <n v="325.93009999999998"/>
    <n v="52801"/>
    <n v="3.8437000000000001"/>
    <n v="3.2406999999999999"/>
  </r>
  <r>
    <n v="2303"/>
    <x v="0"/>
    <d v="2019-12-13T00:00:00"/>
    <x v="4"/>
    <x v="11"/>
    <n v="16.649999999999999"/>
    <n v="16.8"/>
    <n v="16.399999999999999"/>
    <n v="16.600000000000001"/>
    <n v="81741"/>
    <n v="0"/>
    <n v="2.4390000000000001"/>
  </r>
  <r>
    <n v="2330"/>
    <x v="1"/>
    <d v="2019-12-13T00:00:00"/>
    <x v="4"/>
    <x v="11"/>
    <n v="334.28730000000002"/>
    <n v="337.23689999999999"/>
    <n v="332.32089999999999"/>
    <n v="333.30410000000001"/>
    <n v="60843"/>
    <n v="2.2372000000000001"/>
    <n v="1.4793000000000001"/>
  </r>
  <r>
    <n v="2303"/>
    <x v="0"/>
    <d v="2019-12-16T00:00:00"/>
    <x v="0"/>
    <x v="11"/>
    <n v="16.55"/>
    <n v="16.850000000000001"/>
    <n v="16.399999999999999"/>
    <n v="16.649999999999999"/>
    <n v="72127"/>
    <n v="0.30080000000000001"/>
    <n v="2.7439"/>
  </r>
  <r>
    <n v="2330"/>
    <x v="1"/>
    <d v="2019-12-16T00:00:00"/>
    <x v="0"/>
    <x v="11"/>
    <n v="330.84609999999998"/>
    <n v="332.8125"/>
    <n v="330.35449999999997"/>
    <n v="330.35449999999997"/>
    <n v="48340"/>
    <n v="-0.88890000000000002"/>
    <n v="0.74399999999999999"/>
  </r>
  <r>
    <n v="2303"/>
    <x v="0"/>
    <d v="2019-12-17T00:00:00"/>
    <x v="1"/>
    <x v="11"/>
    <n v="16.850000000000001"/>
    <n v="17.05"/>
    <n v="16.7"/>
    <n v="17"/>
    <n v="96263"/>
    <n v="2.0802999999999998"/>
    <n v="2.0958000000000001"/>
  </r>
  <r>
    <n v="2330"/>
    <x v="1"/>
    <d v="2019-12-17T00:00:00"/>
    <x v="1"/>
    <x v="11"/>
    <n v="329.37130000000002"/>
    <n v="339.20330000000001"/>
    <n v="329.37130000000002"/>
    <n v="339.20330000000001"/>
    <n v="41428"/>
    <n v="2.6433"/>
    <n v="2.9851000000000001"/>
  </r>
  <r>
    <n v="2303"/>
    <x v="0"/>
    <d v="2019-12-18T00:00:00"/>
    <x v="2"/>
    <x v="11"/>
    <n v="16.899999999999999"/>
    <n v="16.95"/>
    <n v="16.7"/>
    <n v="16.8"/>
    <n v="73543"/>
    <n v="-1.1834"/>
    <n v="1.4970000000000001"/>
  </r>
  <r>
    <n v="2330"/>
    <x v="1"/>
    <d v="2019-12-18T00:00:00"/>
    <x v="2"/>
    <x v="11"/>
    <n v="335.76209999999998"/>
    <n v="339.20330000000001"/>
    <n v="335.76209999999998"/>
    <n v="338.71170000000001"/>
    <n v="42486"/>
    <n v="-0.14499999999999999"/>
    <n v="1.0248999999999999"/>
  </r>
  <r>
    <n v="2303"/>
    <x v="0"/>
    <d v="2019-12-19T00:00:00"/>
    <x v="3"/>
    <x v="11"/>
    <n v="16.8"/>
    <n v="16.8"/>
    <n v="16.45"/>
    <n v="16.7"/>
    <n v="57550"/>
    <n v="-0.59699999999999998"/>
    <n v="2.1276999999999999"/>
  </r>
  <r>
    <n v="2330"/>
    <x v="1"/>
    <d v="2019-12-19T00:00:00"/>
    <x v="3"/>
    <x v="11"/>
    <n v="336.73090000000002"/>
    <n v="338.71170000000001"/>
    <n v="331.779"/>
    <n v="331.779"/>
    <n v="55667"/>
    <n v="-2.0529000000000002"/>
    <n v="2.0895999999999999"/>
  </r>
  <r>
    <n v="2303"/>
    <x v="0"/>
    <d v="2019-12-20T00:00:00"/>
    <x v="4"/>
    <x v="11"/>
    <n v="16.75"/>
    <n v="16.8"/>
    <n v="16.55"/>
    <n v="16.7"/>
    <n v="47379"/>
    <n v="0"/>
    <n v="1.5105999999999999"/>
  </r>
  <r>
    <n v="2330"/>
    <x v="1"/>
    <d v="2019-12-20T00:00:00"/>
    <x v="4"/>
    <x v="11"/>
    <n v="328.80779999999999"/>
    <n v="329.79820000000001"/>
    <n v="325.3415"/>
    <n v="325.83670000000001"/>
    <n v="86280"/>
    <n v="-1.8072999999999999"/>
    <n v="1.3698999999999999"/>
  </r>
  <r>
    <n v="2303"/>
    <x v="0"/>
    <d v="2019-12-23T00:00:00"/>
    <x v="0"/>
    <x v="11"/>
    <n v="16.7"/>
    <n v="16.7"/>
    <n v="16.5"/>
    <n v="16.55"/>
    <n v="30998"/>
    <n v="-0.90229999999999999"/>
    <n v="1.2121"/>
  </r>
  <r>
    <n v="2330"/>
    <x v="1"/>
    <d v="2019-12-23T00:00:00"/>
    <x v="0"/>
    <x v="11"/>
    <n v="326.33190000000002"/>
    <n v="330.78859999999997"/>
    <n v="326.33190000000002"/>
    <n v="330.78859999999997"/>
    <n v="26911"/>
    <n v="1.5083"/>
    <n v="1.3656999999999999"/>
  </r>
  <r>
    <n v="2303"/>
    <x v="0"/>
    <d v="2019-12-24T00:00:00"/>
    <x v="1"/>
    <x v="11"/>
    <n v="16.600000000000001"/>
    <n v="16.7"/>
    <n v="16.5"/>
    <n v="16.55"/>
    <n v="25642"/>
    <n v="0"/>
    <n v="1.2121"/>
  </r>
  <r>
    <n v="2330"/>
    <x v="1"/>
    <d v="2019-12-24T00:00:00"/>
    <x v="1"/>
    <x v="11"/>
    <n v="330.78859999999997"/>
    <n v="331.28379999999999"/>
    <n v="328.80779999999999"/>
    <n v="328.80779999999999"/>
    <n v="13783"/>
    <n v="-0.60060000000000002"/>
    <n v="0.753"/>
  </r>
  <r>
    <n v="2303"/>
    <x v="0"/>
    <d v="2019-12-25T00:00:00"/>
    <x v="2"/>
    <x v="11"/>
    <n v="16.600000000000001"/>
    <n v="16.75"/>
    <n v="16.55"/>
    <n v="16.649999999999999"/>
    <n v="19272"/>
    <n v="0.60240000000000005"/>
    <n v="1.2084999999999999"/>
  </r>
  <r>
    <n v="2330"/>
    <x v="1"/>
    <d v="2019-12-25T00:00:00"/>
    <x v="2"/>
    <x v="11"/>
    <n v="328.80779999999999"/>
    <n v="331.28379999999999"/>
    <n v="327.81740000000002"/>
    <n v="329.79820000000001"/>
    <n v="12262"/>
    <n v="0.30080000000000001"/>
    <n v="1.0573999999999999"/>
  </r>
  <r>
    <n v="2303"/>
    <x v="0"/>
    <d v="2019-12-26T00:00:00"/>
    <x v="3"/>
    <x v="11"/>
    <n v="16.649999999999999"/>
    <n v="16.649999999999999"/>
    <n v="16.399999999999999"/>
    <n v="16.55"/>
    <n v="26143"/>
    <n v="-0.60240000000000005"/>
    <n v="1.5244"/>
  </r>
  <r>
    <n v="2330"/>
    <x v="1"/>
    <d v="2019-12-26T00:00:00"/>
    <x v="3"/>
    <x v="11"/>
    <n v="329.79820000000001"/>
    <n v="330.78859999999997"/>
    <n v="328.31259999999997"/>
    <n v="329.79820000000001"/>
    <n v="11427"/>
    <n v="0"/>
    <n v="0.75409999999999999"/>
  </r>
  <r>
    <n v="2303"/>
    <x v="0"/>
    <d v="2019-12-27T00:00:00"/>
    <x v="4"/>
    <x v="11"/>
    <n v="16.600000000000001"/>
    <n v="16.75"/>
    <n v="16.55"/>
    <n v="16.7"/>
    <n v="31725"/>
    <n v="0.90229999999999999"/>
    <n v="1.2084999999999999"/>
  </r>
  <r>
    <n v="2330"/>
    <x v="1"/>
    <d v="2019-12-27T00:00:00"/>
    <x v="4"/>
    <x v="11"/>
    <n v="331.779"/>
    <n v="334.75009999999997"/>
    <n v="331.779"/>
    <n v="334.75009999999997"/>
    <n v="16677"/>
    <n v="1.4903"/>
    <n v="0.89549999999999996"/>
  </r>
  <r>
    <n v="2303"/>
    <x v="0"/>
    <d v="2019-12-30T00:00:00"/>
    <x v="0"/>
    <x v="11"/>
    <n v="16.649999999999999"/>
    <n v="16.7"/>
    <n v="16.45"/>
    <n v="16.55"/>
    <n v="46454"/>
    <n v="-0.90229999999999999"/>
    <n v="1.5198"/>
  </r>
  <r>
    <n v="2330"/>
    <x v="1"/>
    <d v="2019-12-30T00:00:00"/>
    <x v="0"/>
    <x v="11"/>
    <n v="334.75009999999997"/>
    <n v="335.7405"/>
    <n v="330.78859999999997"/>
    <n v="331.28379999999999"/>
    <n v="21591"/>
    <n v="-1.0408999999999999"/>
    <n v="1.4970000000000001"/>
  </r>
  <r>
    <n v="2303"/>
    <x v="0"/>
    <d v="2019-12-31T00:00:00"/>
    <x v="1"/>
    <x v="11"/>
    <n v="16.5"/>
    <n v="16.600000000000001"/>
    <n v="16.399999999999999"/>
    <n v="16.45"/>
    <n v="30478"/>
    <n v="-0.60609999999999997"/>
    <n v="1.2195"/>
  </r>
  <r>
    <n v="2330"/>
    <x v="1"/>
    <d v="2019-12-31T00:00:00"/>
    <x v="1"/>
    <x v="11"/>
    <n v="327.81740000000002"/>
    <n v="330.29340000000002"/>
    <n v="327.81740000000002"/>
    <n v="327.81740000000002"/>
    <n v="22950"/>
    <n v="-1.0519000000000001"/>
    <n v="0.755299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D11" firstHeaderRow="1" firstDataRow="2" firstDataCol="1"/>
  <pivotFields count="12">
    <pivotField showAll="0"/>
    <pivotField axis="axisCol" showAll="0">
      <items count="3">
        <item x="1"/>
        <item x="0"/>
        <item t="default"/>
      </items>
    </pivotField>
    <pivotField numFmtId="14" showAll="0"/>
    <pivotField axis="axisRow" numFmtId="176" showAll="0">
      <items count="7">
        <item x="0"/>
        <item x="1"/>
        <item x="2"/>
        <item x="3"/>
        <item x="4"/>
        <item x="5"/>
        <item t="default"/>
      </items>
    </pivotField>
    <pivotField numFmtId="176" showAll="0" defaultSubtota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平均值 - 報酬率-Ln" fld="10" subtotal="average" baseField="3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3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D17" firstHeaderRow="1" firstDataRow="2" firstDataCol="1"/>
  <pivotFields count="12">
    <pivotField showAll="0"/>
    <pivotField axis="axisCol" showAll="0">
      <items count="3">
        <item x="1"/>
        <item x="0"/>
        <item t="default"/>
      </items>
    </pivotField>
    <pivotField numFmtId="14" showAll="0"/>
    <pivotField numFmtId="176" showAll="0"/>
    <pivotField axis="axisRow" numFmtId="176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平均值 - 報酬率-Ln" fld="10" subtotal="average" baseField="4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樞紐分析表4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D17" firstHeaderRow="1" firstDataRow="2" firstDataCol="1"/>
  <pivotFields count="12">
    <pivotField showAll="0"/>
    <pivotField axis="axisCol" showAll="0">
      <items count="3">
        <item x="1"/>
        <item x="0"/>
        <item t="default"/>
      </items>
    </pivotField>
    <pivotField numFmtId="14" showAll="0"/>
    <pivotField numFmtId="176" showAll="0"/>
    <pivotField axis="axisRow" numFmtId="176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平均值 - 高低價差%" fld="11" subtotal="average" baseField="4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表格1" displayName="表格1" ref="A1:L4931" totalsRowShown="0">
  <autoFilter ref="A1:L4931">
    <filterColumn colId="1">
      <filters>
        <filter val="聯電"/>
      </filters>
    </filterColumn>
  </autoFilter>
  <tableColumns count="12">
    <tableColumn id="1" name="證券代碼"/>
    <tableColumn id="2" name="簡稱"/>
    <tableColumn id="3" name="年月日" dataDxfId="2"/>
    <tableColumn id="4" name="WeekDay" dataDxfId="1">
      <calculatedColumnFormula>WEEKDAY(C2,2)</calculatedColumnFormula>
    </tableColumn>
    <tableColumn id="5" name="month" dataDxfId="0">
      <calculatedColumnFormula>MONTH(C2)</calculatedColumnFormula>
    </tableColumn>
    <tableColumn id="6" name="開盤價(元)"/>
    <tableColumn id="7" name="最高價(元)"/>
    <tableColumn id="8" name="最低價(元)"/>
    <tableColumn id="9" name="收盤價(元)"/>
    <tableColumn id="10" name="成交量(千股)"/>
    <tableColumn id="11" name="報酬率-Ln"/>
    <tableColumn id="12" name="高低價差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11"/>
  <sheetViews>
    <sheetView workbookViewId="0">
      <selection activeCell="C8" sqref="C8"/>
    </sheetView>
  </sheetViews>
  <sheetFormatPr defaultRowHeight="16.5" x14ac:dyDescent="0.25"/>
  <cols>
    <col min="1" max="1" width="20.625" customWidth="1"/>
    <col min="2" max="2" width="14.5" bestFit="1" customWidth="1"/>
    <col min="3" max="4" width="14.5" customWidth="1"/>
  </cols>
  <sheetData>
    <row r="3" spans="1:4" x14ac:dyDescent="0.25">
      <c r="A3" s="3" t="s">
        <v>16</v>
      </c>
      <c r="B3" s="3" t="s">
        <v>13</v>
      </c>
    </row>
    <row r="4" spans="1:4" x14ac:dyDescent="0.25">
      <c r="A4" s="3" t="s">
        <v>15</v>
      </c>
      <c r="B4" t="s">
        <v>11</v>
      </c>
      <c r="C4" t="s">
        <v>10</v>
      </c>
      <c r="D4" t="s">
        <v>14</v>
      </c>
    </row>
    <row r="5" spans="1:4" x14ac:dyDescent="0.25">
      <c r="A5" s="4">
        <v>1</v>
      </c>
      <c r="B5" s="5">
        <v>7.5499377593360992E-2</v>
      </c>
      <c r="C5" s="5">
        <v>-3.1513692946058089E-2</v>
      </c>
      <c r="D5" s="5">
        <v>2.1992842323651455E-2</v>
      </c>
    </row>
    <row r="6" spans="1:4" x14ac:dyDescent="0.25">
      <c r="A6" s="4">
        <v>2</v>
      </c>
      <c r="B6" s="5">
        <v>9.3126156941649885E-2</v>
      </c>
      <c r="C6" s="5">
        <v>9.1068611670020061E-2</v>
      </c>
      <c r="D6" s="5">
        <v>9.2097384305835112E-2</v>
      </c>
    </row>
    <row r="7" spans="1:4" x14ac:dyDescent="0.25">
      <c r="A7" s="4">
        <v>3</v>
      </c>
      <c r="B7" s="5">
        <v>0.15930565656565648</v>
      </c>
      <c r="C7" s="5">
        <v>-4.783636363636338E-3</v>
      </c>
      <c r="D7" s="5">
        <v>7.726101010101008E-2</v>
      </c>
    </row>
    <row r="8" spans="1:4" x14ac:dyDescent="0.25">
      <c r="A8" s="4">
        <v>4</v>
      </c>
      <c r="B8" s="5">
        <v>9.6178498985801143E-3</v>
      </c>
      <c r="C8" s="5">
        <v>0.10797647058823535</v>
      </c>
      <c r="D8" s="5">
        <v>5.8797160243407753E-2</v>
      </c>
    </row>
    <row r="9" spans="1:4" x14ac:dyDescent="0.25">
      <c r="A9" s="4">
        <v>5</v>
      </c>
      <c r="B9" s="5">
        <v>6.7701449275362369E-2</v>
      </c>
      <c r="C9" s="5">
        <v>-8.1482194616977144E-2</v>
      </c>
      <c r="D9" s="5">
        <v>-6.8903726708074292E-3</v>
      </c>
    </row>
    <row r="10" spans="1:4" x14ac:dyDescent="0.25">
      <c r="A10" s="4">
        <v>6</v>
      </c>
      <c r="B10" s="5">
        <v>5.0346666666666672E-2</v>
      </c>
      <c r="C10" s="5">
        <v>-0.27464666666666665</v>
      </c>
      <c r="D10" s="5">
        <v>-0.11215</v>
      </c>
    </row>
    <row r="11" spans="1:4" x14ac:dyDescent="0.25">
      <c r="A11" s="4" t="s">
        <v>14</v>
      </c>
      <c r="B11" s="5">
        <v>8.1025273833671502E-2</v>
      </c>
      <c r="C11" s="5">
        <v>1.5196916835699783E-2</v>
      </c>
      <c r="D11" s="5">
        <v>4.8111095334685626E-2</v>
      </c>
    </row>
  </sheetData>
  <phoneticPr fontId="18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17"/>
  <sheetViews>
    <sheetView workbookViewId="0">
      <selection activeCell="H17" sqref="H17"/>
    </sheetView>
  </sheetViews>
  <sheetFormatPr defaultRowHeight="16.5" x14ac:dyDescent="0.25"/>
  <cols>
    <col min="1" max="1" width="20.625" bestFit="1" customWidth="1"/>
    <col min="2" max="3" width="14.5" bestFit="1" customWidth="1"/>
    <col min="4" max="4" width="14.5" customWidth="1"/>
  </cols>
  <sheetData>
    <row r="3" spans="1:4" x14ac:dyDescent="0.25">
      <c r="A3" s="3" t="s">
        <v>16</v>
      </c>
      <c r="B3" s="3" t="s">
        <v>13</v>
      </c>
    </row>
    <row r="4" spans="1:4" x14ac:dyDescent="0.25">
      <c r="A4" s="3" t="s">
        <v>15</v>
      </c>
      <c r="B4" t="s">
        <v>11</v>
      </c>
      <c r="C4" t="s">
        <v>10</v>
      </c>
      <c r="D4" t="s">
        <v>14</v>
      </c>
    </row>
    <row r="5" spans="1:4" x14ac:dyDescent="0.25">
      <c r="A5" s="4">
        <v>1</v>
      </c>
      <c r="B5" s="5">
        <v>0.10253692307692305</v>
      </c>
      <c r="C5" s="5">
        <v>0.16459589743589739</v>
      </c>
      <c r="D5" s="5">
        <v>0.13356641025641022</v>
      </c>
    </row>
    <row r="6" spans="1:4" x14ac:dyDescent="0.25">
      <c r="A6" s="4">
        <v>2</v>
      </c>
      <c r="B6" s="5">
        <v>9.4804054054054038E-2</v>
      </c>
      <c r="C6" s="5">
        <v>-2.4902702702702697E-2</v>
      </c>
      <c r="D6" s="5">
        <v>3.4950675675675655E-2</v>
      </c>
    </row>
    <row r="7" spans="1:4" x14ac:dyDescent="0.25">
      <c r="A7" s="4">
        <v>3</v>
      </c>
      <c r="B7" s="5">
        <v>0.10298558558558557</v>
      </c>
      <c r="C7" s="5">
        <v>4.1280180180180183E-2</v>
      </c>
      <c r="D7" s="5">
        <v>7.2132882882882887E-2</v>
      </c>
    </row>
    <row r="8" spans="1:4" x14ac:dyDescent="0.25">
      <c r="A8" s="4">
        <v>4</v>
      </c>
      <c r="B8" s="5">
        <v>3.9782653061224485E-2</v>
      </c>
      <c r="C8" s="5">
        <v>-2.1290816326530724E-3</v>
      </c>
      <c r="D8" s="5">
        <v>1.8826785714285702E-2</v>
      </c>
    </row>
    <row r="9" spans="1:4" x14ac:dyDescent="0.25">
      <c r="A9" s="4">
        <v>5</v>
      </c>
      <c r="B9" s="5">
        <v>-9.8858490566037741E-3</v>
      </c>
      <c r="C9" s="5">
        <v>7.2165094339622987E-3</v>
      </c>
      <c r="D9" s="5">
        <v>-1.3346698113207303E-3</v>
      </c>
    </row>
    <row r="10" spans="1:4" x14ac:dyDescent="0.25">
      <c r="A10" s="4">
        <v>6</v>
      </c>
      <c r="B10" s="5">
        <v>9.1930582524271859E-2</v>
      </c>
      <c r="C10" s="5">
        <v>0.13913300970873782</v>
      </c>
      <c r="D10" s="5">
        <v>0.11553179611650478</v>
      </c>
    </row>
    <row r="11" spans="1:4" x14ac:dyDescent="0.25">
      <c r="A11" s="4">
        <v>7</v>
      </c>
      <c r="B11" s="5">
        <v>0.14900688073394502</v>
      </c>
      <c r="C11" s="5">
        <v>-4.413302752293579E-2</v>
      </c>
      <c r="D11" s="5">
        <v>5.2436926605504627E-2</v>
      </c>
    </row>
    <row r="12" spans="1:4" x14ac:dyDescent="0.25">
      <c r="A12" s="4">
        <v>8</v>
      </c>
      <c r="B12" s="5">
        <v>-3.3038636363636346E-2</v>
      </c>
      <c r="C12" s="5">
        <v>-0.19158454545454556</v>
      </c>
      <c r="D12" s="5">
        <v>-0.11231159090909097</v>
      </c>
    </row>
    <row r="13" spans="1:4" x14ac:dyDescent="0.25">
      <c r="A13" s="4">
        <v>9</v>
      </c>
      <c r="B13" s="5">
        <v>0.112769801980198</v>
      </c>
      <c r="C13" s="5">
        <v>-1.6363366336633663E-2</v>
      </c>
      <c r="D13" s="5">
        <v>4.8203217821782204E-2</v>
      </c>
    </row>
    <row r="14" spans="1:4" x14ac:dyDescent="0.25">
      <c r="A14" s="4">
        <v>10</v>
      </c>
      <c r="B14" s="5">
        <v>0.1880671428571429</v>
      </c>
      <c r="C14" s="5">
        <v>5.9504761904761649E-3</v>
      </c>
      <c r="D14" s="5">
        <v>9.7008809523809636E-2</v>
      </c>
    </row>
    <row r="15" spans="1:4" x14ac:dyDescent="0.25">
      <c r="A15" s="4">
        <v>11</v>
      </c>
      <c r="B15" s="5">
        <v>3.2253488372093027E-2</v>
      </c>
      <c r="C15" s="5">
        <v>2.0445581395348869E-2</v>
      </c>
      <c r="D15" s="5">
        <v>2.6349534883720934E-2</v>
      </c>
    </row>
    <row r="16" spans="1:4" x14ac:dyDescent="0.25">
      <c r="A16" s="4">
        <v>12</v>
      </c>
      <c r="B16" s="5">
        <v>0.10758552036199093</v>
      </c>
      <c r="C16" s="5">
        <v>8.8421719457013576E-2</v>
      </c>
      <c r="D16" s="5">
        <v>9.8003619909502307E-2</v>
      </c>
    </row>
    <row r="17" spans="1:4" x14ac:dyDescent="0.25">
      <c r="A17" s="4" t="s">
        <v>14</v>
      </c>
      <c r="B17" s="5">
        <v>8.1025273833671363E-2</v>
      </c>
      <c r="C17" s="5">
        <v>1.5196916835699811E-2</v>
      </c>
      <c r="D17" s="5">
        <v>4.8111095334685605E-2</v>
      </c>
    </row>
  </sheetData>
  <phoneticPr fontId="18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17"/>
  <sheetViews>
    <sheetView topLeftCell="A4" workbookViewId="0">
      <selection activeCell="C10" sqref="C10"/>
    </sheetView>
  </sheetViews>
  <sheetFormatPr defaultRowHeight="16.5" x14ac:dyDescent="0.25"/>
  <cols>
    <col min="1" max="1" width="21.5" customWidth="1"/>
    <col min="2" max="2" width="14.5" bestFit="1" customWidth="1"/>
    <col min="3" max="4" width="14.5" customWidth="1"/>
  </cols>
  <sheetData>
    <row r="3" spans="1:4" x14ac:dyDescent="0.25">
      <c r="A3" s="3" t="s">
        <v>18</v>
      </c>
      <c r="B3" s="3" t="s">
        <v>13</v>
      </c>
    </row>
    <row r="4" spans="1:4" x14ac:dyDescent="0.25">
      <c r="A4" s="3" t="s">
        <v>15</v>
      </c>
      <c r="B4" t="s">
        <v>11</v>
      </c>
      <c r="C4" t="s">
        <v>10</v>
      </c>
      <c r="D4" t="s">
        <v>14</v>
      </c>
    </row>
    <row r="5" spans="1:4" x14ac:dyDescent="0.25">
      <c r="A5" s="4">
        <v>1</v>
      </c>
      <c r="B5" s="5">
        <v>1.5947210256410258</v>
      </c>
      <c r="C5" s="5">
        <v>2.1523615384615371</v>
      </c>
      <c r="D5" s="5">
        <v>1.8735412820512809</v>
      </c>
    </row>
    <row r="6" spans="1:4" x14ac:dyDescent="0.25">
      <c r="A6" s="4">
        <v>2</v>
      </c>
      <c r="B6" s="5">
        <v>1.5393189189189189</v>
      </c>
      <c r="C6" s="5">
        <v>1.898312837837838</v>
      </c>
      <c r="D6" s="5">
        <v>1.7188158783783778</v>
      </c>
    </row>
    <row r="7" spans="1:4" x14ac:dyDescent="0.25">
      <c r="A7" s="4">
        <v>3</v>
      </c>
      <c r="B7" s="5">
        <v>1.5108324324324327</v>
      </c>
      <c r="C7" s="5">
        <v>1.7508472972972975</v>
      </c>
      <c r="D7" s="5">
        <v>1.630839864864867</v>
      </c>
    </row>
    <row r="8" spans="1:4" x14ac:dyDescent="0.25">
      <c r="A8" s="4">
        <v>4</v>
      </c>
      <c r="B8" s="5">
        <v>1.4898219387755101</v>
      </c>
      <c r="C8" s="5">
        <v>1.7994168367346948</v>
      </c>
      <c r="D8" s="5">
        <v>1.6446193877551034</v>
      </c>
    </row>
    <row r="9" spans="1:4" x14ac:dyDescent="0.25">
      <c r="A9" s="4">
        <v>5</v>
      </c>
      <c r="B9" s="5">
        <v>1.5971146226415098</v>
      </c>
      <c r="C9" s="5">
        <v>2.1202594339622642</v>
      </c>
      <c r="D9" s="5">
        <v>1.8586870283018868</v>
      </c>
    </row>
    <row r="10" spans="1:4" x14ac:dyDescent="0.25">
      <c r="A10" s="4">
        <v>6</v>
      </c>
      <c r="B10" s="5">
        <v>1.5270558252427178</v>
      </c>
      <c r="C10" s="5">
        <v>2.0857917475728147</v>
      </c>
      <c r="D10" s="5">
        <v>1.8064237864077668</v>
      </c>
    </row>
    <row r="11" spans="1:4" x14ac:dyDescent="0.25">
      <c r="A11" s="4">
        <v>7</v>
      </c>
      <c r="B11" s="5">
        <v>1.5236458715596328</v>
      </c>
      <c r="C11" s="5">
        <v>2.1866614678899081</v>
      </c>
      <c r="D11" s="5">
        <v>1.8551536697247724</v>
      </c>
    </row>
    <row r="12" spans="1:4" x14ac:dyDescent="0.25">
      <c r="A12" s="4">
        <v>8</v>
      </c>
      <c r="B12" s="5">
        <v>1.608733636363636</v>
      </c>
      <c r="C12" s="5">
        <v>1.8961072727272741</v>
      </c>
      <c r="D12" s="5">
        <v>1.7524204545454554</v>
      </c>
    </row>
    <row r="13" spans="1:4" x14ac:dyDescent="0.25">
      <c r="A13" s="4">
        <v>9</v>
      </c>
      <c r="B13" s="5">
        <v>1.5296410891089109</v>
      </c>
      <c r="C13" s="5">
        <v>1.9345391089108921</v>
      </c>
      <c r="D13" s="5">
        <v>1.7320900990098993</v>
      </c>
    </row>
    <row r="14" spans="1:4" x14ac:dyDescent="0.25">
      <c r="A14" s="4">
        <v>10</v>
      </c>
      <c r="B14" s="5">
        <v>1.4836652380952384</v>
      </c>
      <c r="C14" s="5">
        <v>2.0155419047619052</v>
      </c>
      <c r="D14" s="5">
        <v>1.749603571428572</v>
      </c>
    </row>
    <row r="15" spans="1:4" x14ac:dyDescent="0.25">
      <c r="A15" s="4">
        <v>11</v>
      </c>
      <c r="B15" s="5">
        <v>1.4849190697674426</v>
      </c>
      <c r="C15" s="5">
        <v>2.011901860465116</v>
      </c>
      <c r="D15" s="5">
        <v>1.74841046511628</v>
      </c>
    </row>
    <row r="16" spans="1:4" x14ac:dyDescent="0.25">
      <c r="A16" s="4">
        <v>12</v>
      </c>
      <c r="B16" s="5">
        <v>1.4863171945701361</v>
      </c>
      <c r="C16" s="5">
        <v>1.8825746606334834</v>
      </c>
      <c r="D16" s="5">
        <v>1.6844459276018098</v>
      </c>
    </row>
    <row r="17" spans="1:4" x14ac:dyDescent="0.25">
      <c r="A17" s="4" t="s">
        <v>14</v>
      </c>
      <c r="B17" s="5">
        <v>1.5309243813387434</v>
      </c>
      <c r="C17" s="5">
        <v>1.9787777281947263</v>
      </c>
      <c r="D17" s="5">
        <v>1.7548510547667349</v>
      </c>
    </row>
  </sheetData>
  <phoneticPr fontId="18" type="noConversion"/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931"/>
  <sheetViews>
    <sheetView workbookViewId="0">
      <selection activeCell="I1" sqref="I1:I1048576"/>
    </sheetView>
  </sheetViews>
  <sheetFormatPr defaultRowHeight="16.5" x14ac:dyDescent="0.25"/>
  <cols>
    <col min="1" max="1" width="11.25" customWidth="1"/>
    <col min="3" max="3" width="9.125" customWidth="1"/>
    <col min="4" max="4" width="11.375" customWidth="1"/>
    <col min="6" max="9" width="12.75" customWidth="1"/>
    <col min="10" max="10" width="14.875" customWidth="1"/>
    <col min="11" max="11" width="12.25" customWidth="1"/>
    <col min="12" max="12" width="13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12</v>
      </c>
      <c r="E1" t="s">
        <v>17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2" x14ac:dyDescent="0.25">
      <c r="A2">
        <v>2303</v>
      </c>
      <c r="B2" t="s">
        <v>10</v>
      </c>
      <c r="C2" s="1">
        <v>40182</v>
      </c>
      <c r="D2" s="2">
        <f>WEEKDAY(C2,2)</f>
        <v>1</v>
      </c>
      <c r="E2" s="2">
        <f>MONTH(C2)</f>
        <v>1</v>
      </c>
      <c r="F2">
        <v>11.3123</v>
      </c>
      <c r="G2">
        <v>11.3123</v>
      </c>
      <c r="H2">
        <v>11.049200000000001</v>
      </c>
      <c r="I2">
        <v>11.1808</v>
      </c>
      <c r="J2">
        <v>30268</v>
      </c>
      <c r="K2">
        <v>-1.1696</v>
      </c>
      <c r="L2">
        <v>2.3809999999999998</v>
      </c>
    </row>
    <row r="3" spans="1:12" hidden="1" x14ac:dyDescent="0.25">
      <c r="A3">
        <v>2330</v>
      </c>
      <c r="B3" t="s">
        <v>11</v>
      </c>
      <c r="C3" s="1">
        <v>40182</v>
      </c>
      <c r="D3" s="2">
        <f t="shared" ref="D3:D66" si="0">WEEKDAY(C3,2)</f>
        <v>1</v>
      </c>
      <c r="E3" s="2">
        <f t="shared" ref="E3:E66" si="1">MONTH(C3)</f>
        <v>1</v>
      </c>
      <c r="F3">
        <v>44.717100000000002</v>
      </c>
      <c r="G3">
        <v>44.717100000000002</v>
      </c>
      <c r="H3">
        <v>44.0291</v>
      </c>
      <c r="I3">
        <v>44.648299999999999</v>
      </c>
      <c r="J3">
        <v>39511</v>
      </c>
      <c r="K3">
        <v>0.61819999999999997</v>
      </c>
      <c r="L3">
        <v>1.5625</v>
      </c>
    </row>
    <row r="4" spans="1:12" x14ac:dyDescent="0.25">
      <c r="A4">
        <v>2303</v>
      </c>
      <c r="B4" t="s">
        <v>10</v>
      </c>
      <c r="C4" s="1">
        <v>40183</v>
      </c>
      <c r="D4" s="2">
        <f t="shared" si="0"/>
        <v>2</v>
      </c>
      <c r="E4" s="2">
        <f t="shared" si="1"/>
        <v>1</v>
      </c>
      <c r="F4">
        <v>11.3123</v>
      </c>
      <c r="G4">
        <v>11.411</v>
      </c>
      <c r="H4">
        <v>11.213699999999999</v>
      </c>
      <c r="I4">
        <v>11.3123</v>
      </c>
      <c r="J4">
        <v>65133</v>
      </c>
      <c r="K4">
        <v>1.1696</v>
      </c>
      <c r="L4">
        <v>1.7595000000000001</v>
      </c>
    </row>
    <row r="5" spans="1:12" hidden="1" x14ac:dyDescent="0.25">
      <c r="A5">
        <v>2330</v>
      </c>
      <c r="B5" t="s">
        <v>11</v>
      </c>
      <c r="C5" s="1">
        <v>40183</v>
      </c>
      <c r="D5" s="2">
        <f t="shared" si="0"/>
        <v>2</v>
      </c>
      <c r="E5" s="2">
        <f t="shared" si="1"/>
        <v>1</v>
      </c>
      <c r="F5">
        <v>44.717100000000002</v>
      </c>
      <c r="G5">
        <v>44.785899999999998</v>
      </c>
      <c r="H5">
        <v>43.960299999999997</v>
      </c>
      <c r="I5">
        <v>44.373100000000001</v>
      </c>
      <c r="J5">
        <v>38394</v>
      </c>
      <c r="K5">
        <v>-0.61819999999999997</v>
      </c>
      <c r="L5">
        <v>1.8778999999999999</v>
      </c>
    </row>
    <row r="6" spans="1:12" x14ac:dyDescent="0.25">
      <c r="A6">
        <v>2303</v>
      </c>
      <c r="B6" t="s">
        <v>10</v>
      </c>
      <c r="C6" s="1">
        <v>40184</v>
      </c>
      <c r="D6" s="2">
        <f t="shared" si="0"/>
        <v>3</v>
      </c>
      <c r="E6" s="2">
        <f t="shared" si="1"/>
        <v>1</v>
      </c>
      <c r="F6">
        <v>11.3123</v>
      </c>
      <c r="G6">
        <v>12.101599999999999</v>
      </c>
      <c r="H6">
        <v>11.279400000000001</v>
      </c>
      <c r="I6">
        <v>12.101599999999999</v>
      </c>
      <c r="J6">
        <v>145046</v>
      </c>
      <c r="K6">
        <v>6.7441000000000004</v>
      </c>
      <c r="L6">
        <v>7.2885999999999997</v>
      </c>
    </row>
    <row r="7" spans="1:12" hidden="1" x14ac:dyDescent="0.25">
      <c r="A7">
        <v>2330</v>
      </c>
      <c r="B7" t="s">
        <v>11</v>
      </c>
      <c r="C7" s="1">
        <v>40184</v>
      </c>
      <c r="D7" s="2">
        <f t="shared" si="0"/>
        <v>3</v>
      </c>
      <c r="E7" s="2">
        <f t="shared" si="1"/>
        <v>1</v>
      </c>
      <c r="F7">
        <v>44.373100000000001</v>
      </c>
      <c r="G7">
        <v>44.648299999999999</v>
      </c>
      <c r="H7">
        <v>43.822699999999998</v>
      </c>
      <c r="I7">
        <v>44.648299999999999</v>
      </c>
      <c r="J7">
        <v>52734</v>
      </c>
      <c r="K7">
        <v>0.61819999999999997</v>
      </c>
      <c r="L7">
        <v>1.8837999999999999</v>
      </c>
    </row>
    <row r="8" spans="1:12" x14ac:dyDescent="0.25">
      <c r="A8">
        <v>2303</v>
      </c>
      <c r="B8" t="s">
        <v>10</v>
      </c>
      <c r="C8" s="1">
        <v>40185</v>
      </c>
      <c r="D8" s="2">
        <f t="shared" si="0"/>
        <v>4</v>
      </c>
      <c r="E8" s="2">
        <f t="shared" si="1"/>
        <v>1</v>
      </c>
      <c r="F8">
        <v>12.2331</v>
      </c>
      <c r="G8">
        <v>12.5619</v>
      </c>
      <c r="H8">
        <v>12.101599999999999</v>
      </c>
      <c r="I8">
        <v>12.101599999999999</v>
      </c>
      <c r="J8">
        <v>137964</v>
      </c>
      <c r="K8">
        <v>0</v>
      </c>
      <c r="L8">
        <v>3.8043</v>
      </c>
    </row>
    <row r="9" spans="1:12" hidden="1" x14ac:dyDescent="0.25">
      <c r="A9">
        <v>2330</v>
      </c>
      <c r="B9" t="s">
        <v>11</v>
      </c>
      <c r="C9" s="1">
        <v>40185</v>
      </c>
      <c r="D9" s="2">
        <f t="shared" si="0"/>
        <v>4</v>
      </c>
      <c r="E9" s="2">
        <f t="shared" si="1"/>
        <v>1</v>
      </c>
      <c r="F9">
        <v>44.648299999999999</v>
      </c>
      <c r="G9">
        <v>44.717100000000002</v>
      </c>
      <c r="H9">
        <v>44.166699999999999</v>
      </c>
      <c r="I9">
        <v>44.166699999999999</v>
      </c>
      <c r="J9">
        <v>53294</v>
      </c>
      <c r="K9">
        <v>-1.0844</v>
      </c>
      <c r="L9">
        <v>1.2461</v>
      </c>
    </row>
    <row r="10" spans="1:12" x14ac:dyDescent="0.25">
      <c r="A10">
        <v>2303</v>
      </c>
      <c r="B10" t="s">
        <v>10</v>
      </c>
      <c r="C10" s="1">
        <v>40186</v>
      </c>
      <c r="D10" s="2">
        <f t="shared" si="0"/>
        <v>5</v>
      </c>
      <c r="E10" s="2">
        <f t="shared" si="1"/>
        <v>1</v>
      </c>
      <c r="F10">
        <v>12.101599999999999</v>
      </c>
      <c r="G10">
        <v>12.134399999999999</v>
      </c>
      <c r="H10">
        <v>11.739800000000001</v>
      </c>
      <c r="I10">
        <v>11.97</v>
      </c>
      <c r="J10">
        <v>58947</v>
      </c>
      <c r="K10">
        <v>-1.0929</v>
      </c>
      <c r="L10">
        <v>3.3613</v>
      </c>
    </row>
    <row r="11" spans="1:12" hidden="1" x14ac:dyDescent="0.25">
      <c r="A11">
        <v>2330</v>
      </c>
      <c r="B11" t="s">
        <v>11</v>
      </c>
      <c r="C11" s="1">
        <v>40186</v>
      </c>
      <c r="D11" s="2">
        <f t="shared" si="0"/>
        <v>5</v>
      </c>
      <c r="E11" s="2">
        <f t="shared" si="1"/>
        <v>1</v>
      </c>
      <c r="F11">
        <v>43.685099999999998</v>
      </c>
      <c r="G11">
        <v>44.235500000000002</v>
      </c>
      <c r="H11">
        <v>43.685099999999998</v>
      </c>
      <c r="I11">
        <v>44.0291</v>
      </c>
      <c r="J11">
        <v>48047</v>
      </c>
      <c r="K11">
        <v>-0.312</v>
      </c>
      <c r="L11">
        <v>1.2598</v>
      </c>
    </row>
    <row r="12" spans="1:12" x14ac:dyDescent="0.25">
      <c r="A12">
        <v>2303</v>
      </c>
      <c r="B12" t="s">
        <v>10</v>
      </c>
      <c r="C12" s="1">
        <v>40189</v>
      </c>
      <c r="D12" s="2">
        <f t="shared" si="0"/>
        <v>1</v>
      </c>
      <c r="E12" s="2">
        <f t="shared" si="1"/>
        <v>1</v>
      </c>
      <c r="F12">
        <v>12.0358</v>
      </c>
      <c r="G12">
        <v>12.4962</v>
      </c>
      <c r="H12">
        <v>11.904199999999999</v>
      </c>
      <c r="I12">
        <v>12.2331</v>
      </c>
      <c r="J12">
        <v>108271</v>
      </c>
      <c r="K12">
        <v>2.1739999999999999</v>
      </c>
      <c r="L12">
        <v>4.9724000000000004</v>
      </c>
    </row>
    <row r="13" spans="1:12" hidden="1" x14ac:dyDescent="0.25">
      <c r="A13">
        <v>2330</v>
      </c>
      <c r="B13" t="s">
        <v>11</v>
      </c>
      <c r="C13" s="1">
        <v>40189</v>
      </c>
      <c r="D13" s="2">
        <f t="shared" si="0"/>
        <v>1</v>
      </c>
      <c r="E13" s="2">
        <f t="shared" si="1"/>
        <v>1</v>
      </c>
      <c r="F13">
        <v>44.0291</v>
      </c>
      <c r="G13">
        <v>44.648299999999999</v>
      </c>
      <c r="H13">
        <v>43.685099999999998</v>
      </c>
      <c r="I13">
        <v>44.373100000000001</v>
      </c>
      <c r="J13">
        <v>37446</v>
      </c>
      <c r="K13">
        <v>0.7782</v>
      </c>
      <c r="L13">
        <v>2.2046999999999999</v>
      </c>
    </row>
    <row r="14" spans="1:12" x14ac:dyDescent="0.25">
      <c r="A14">
        <v>2303</v>
      </c>
      <c r="B14" t="s">
        <v>10</v>
      </c>
      <c r="C14" s="1">
        <v>40190</v>
      </c>
      <c r="D14" s="2">
        <f t="shared" si="0"/>
        <v>2</v>
      </c>
      <c r="E14" s="2">
        <f t="shared" si="1"/>
        <v>1</v>
      </c>
      <c r="F14">
        <v>12.2331</v>
      </c>
      <c r="G14">
        <v>12.397500000000001</v>
      </c>
      <c r="H14">
        <v>11.937099999999999</v>
      </c>
      <c r="I14">
        <v>12.0687</v>
      </c>
      <c r="J14">
        <v>54024</v>
      </c>
      <c r="K14">
        <v>-1.3532</v>
      </c>
      <c r="L14">
        <v>3.8567</v>
      </c>
    </row>
    <row r="15" spans="1:12" hidden="1" x14ac:dyDescent="0.25">
      <c r="A15">
        <v>2330</v>
      </c>
      <c r="B15" t="s">
        <v>11</v>
      </c>
      <c r="C15" s="1">
        <v>40190</v>
      </c>
      <c r="D15" s="2">
        <f t="shared" si="0"/>
        <v>2</v>
      </c>
      <c r="E15" s="2">
        <f t="shared" si="1"/>
        <v>1</v>
      </c>
      <c r="F15">
        <v>44.304299999999998</v>
      </c>
      <c r="G15">
        <v>44.304299999999998</v>
      </c>
      <c r="H15">
        <v>43.547600000000003</v>
      </c>
      <c r="I15">
        <v>43.753900000000002</v>
      </c>
      <c r="J15">
        <v>52444</v>
      </c>
      <c r="K15">
        <v>-1.4052</v>
      </c>
      <c r="L15">
        <v>1.7378</v>
      </c>
    </row>
    <row r="16" spans="1:12" x14ac:dyDescent="0.25">
      <c r="A16">
        <v>2303</v>
      </c>
      <c r="B16" t="s">
        <v>10</v>
      </c>
      <c r="C16" s="1">
        <v>40191</v>
      </c>
      <c r="D16" s="2">
        <f t="shared" si="0"/>
        <v>3</v>
      </c>
      <c r="E16" s="2">
        <f t="shared" si="1"/>
        <v>1</v>
      </c>
      <c r="F16">
        <v>11.8385</v>
      </c>
      <c r="G16">
        <v>11.8385</v>
      </c>
      <c r="H16">
        <v>11.706899999999999</v>
      </c>
      <c r="I16">
        <v>11.739800000000001</v>
      </c>
      <c r="J16">
        <v>56187</v>
      </c>
      <c r="K16">
        <v>-2.7625999999999999</v>
      </c>
      <c r="L16">
        <v>1.1235999999999999</v>
      </c>
    </row>
    <row r="17" spans="1:12" hidden="1" x14ac:dyDescent="0.25">
      <c r="A17">
        <v>2330</v>
      </c>
      <c r="B17" t="s">
        <v>11</v>
      </c>
      <c r="C17" s="1">
        <v>40191</v>
      </c>
      <c r="D17" s="2">
        <f t="shared" si="0"/>
        <v>3</v>
      </c>
      <c r="E17" s="2">
        <f t="shared" si="1"/>
        <v>1</v>
      </c>
      <c r="F17">
        <v>43.341200000000001</v>
      </c>
      <c r="G17">
        <v>43.41</v>
      </c>
      <c r="H17">
        <v>43.066000000000003</v>
      </c>
      <c r="I17">
        <v>43.203600000000002</v>
      </c>
      <c r="J17">
        <v>49806</v>
      </c>
      <c r="K17">
        <v>-1.2658</v>
      </c>
      <c r="L17">
        <v>0.79869999999999997</v>
      </c>
    </row>
    <row r="18" spans="1:12" x14ac:dyDescent="0.25">
      <c r="A18">
        <v>2303</v>
      </c>
      <c r="B18" t="s">
        <v>10</v>
      </c>
      <c r="C18" s="1">
        <v>40192</v>
      </c>
      <c r="D18" s="2">
        <f t="shared" si="0"/>
        <v>4</v>
      </c>
      <c r="E18" s="2">
        <f t="shared" si="1"/>
        <v>1</v>
      </c>
      <c r="F18">
        <v>11.739800000000001</v>
      </c>
      <c r="G18">
        <v>11.8714</v>
      </c>
      <c r="H18">
        <v>11.739800000000001</v>
      </c>
      <c r="I18">
        <v>11.8056</v>
      </c>
      <c r="J18">
        <v>35850</v>
      </c>
      <c r="K18">
        <v>0.55869999999999997</v>
      </c>
      <c r="L18">
        <v>1.1204000000000001</v>
      </c>
    </row>
    <row r="19" spans="1:12" hidden="1" x14ac:dyDescent="0.25">
      <c r="A19">
        <v>2330</v>
      </c>
      <c r="B19" t="s">
        <v>11</v>
      </c>
      <c r="C19" s="1">
        <v>40192</v>
      </c>
      <c r="D19" s="2">
        <f t="shared" si="0"/>
        <v>4</v>
      </c>
      <c r="E19" s="2">
        <f t="shared" si="1"/>
        <v>1</v>
      </c>
      <c r="F19">
        <v>43.753900000000002</v>
      </c>
      <c r="G19">
        <v>43.753900000000002</v>
      </c>
      <c r="H19">
        <v>43.341200000000001</v>
      </c>
      <c r="I19">
        <v>43.4788</v>
      </c>
      <c r="J19">
        <v>39254</v>
      </c>
      <c r="K19">
        <v>0.63490000000000002</v>
      </c>
      <c r="L19">
        <v>0.95240000000000002</v>
      </c>
    </row>
    <row r="20" spans="1:12" x14ac:dyDescent="0.25">
      <c r="A20">
        <v>2303</v>
      </c>
      <c r="B20" t="s">
        <v>10</v>
      </c>
      <c r="C20" s="1">
        <v>40193</v>
      </c>
      <c r="D20" s="2">
        <f t="shared" si="0"/>
        <v>5</v>
      </c>
      <c r="E20" s="2">
        <f t="shared" si="1"/>
        <v>1</v>
      </c>
      <c r="F20">
        <v>11.8385</v>
      </c>
      <c r="G20">
        <v>11.937099999999999</v>
      </c>
      <c r="H20">
        <v>11.739800000000001</v>
      </c>
      <c r="I20">
        <v>11.8385</v>
      </c>
      <c r="J20">
        <v>35281</v>
      </c>
      <c r="K20">
        <v>0.2782</v>
      </c>
      <c r="L20">
        <v>1.6807000000000001</v>
      </c>
    </row>
    <row r="21" spans="1:12" hidden="1" x14ac:dyDescent="0.25">
      <c r="A21">
        <v>2330</v>
      </c>
      <c r="B21" t="s">
        <v>11</v>
      </c>
      <c r="C21" s="1">
        <v>40193</v>
      </c>
      <c r="D21" s="2">
        <f t="shared" si="0"/>
        <v>5</v>
      </c>
      <c r="E21" s="2">
        <f t="shared" si="1"/>
        <v>1</v>
      </c>
      <c r="F21">
        <v>43.272399999999998</v>
      </c>
      <c r="G21">
        <v>43.685099999999998</v>
      </c>
      <c r="H21">
        <v>43.203600000000002</v>
      </c>
      <c r="I21">
        <v>43.685099999999998</v>
      </c>
      <c r="J21">
        <v>50011</v>
      </c>
      <c r="K21">
        <v>0.47360000000000002</v>
      </c>
      <c r="L21">
        <v>1.1146</v>
      </c>
    </row>
    <row r="22" spans="1:12" x14ac:dyDescent="0.25">
      <c r="A22">
        <v>2303</v>
      </c>
      <c r="B22" t="s">
        <v>10</v>
      </c>
      <c r="C22" s="1">
        <v>40196</v>
      </c>
      <c r="D22" s="2">
        <f t="shared" si="0"/>
        <v>1</v>
      </c>
      <c r="E22" s="2">
        <f t="shared" si="1"/>
        <v>1</v>
      </c>
      <c r="F22">
        <v>11.706899999999999</v>
      </c>
      <c r="G22">
        <v>11.904199999999999</v>
      </c>
      <c r="H22">
        <v>11.5425</v>
      </c>
      <c r="I22">
        <v>11.739800000000001</v>
      </c>
      <c r="J22">
        <v>47704</v>
      </c>
      <c r="K22">
        <v>-0.83679999999999999</v>
      </c>
      <c r="L22">
        <v>3.1339000000000001</v>
      </c>
    </row>
    <row r="23" spans="1:12" hidden="1" x14ac:dyDescent="0.25">
      <c r="A23">
        <v>2330</v>
      </c>
      <c r="B23" t="s">
        <v>11</v>
      </c>
      <c r="C23" s="1">
        <v>40196</v>
      </c>
      <c r="D23" s="2">
        <f t="shared" si="0"/>
        <v>1</v>
      </c>
      <c r="E23" s="2">
        <f t="shared" si="1"/>
        <v>1</v>
      </c>
      <c r="F23">
        <v>43.203600000000002</v>
      </c>
      <c r="G23">
        <v>43.41</v>
      </c>
      <c r="H23">
        <v>43.203600000000002</v>
      </c>
      <c r="I23">
        <v>43.272399999999998</v>
      </c>
      <c r="J23">
        <v>30586</v>
      </c>
      <c r="K23">
        <v>-0.94940000000000002</v>
      </c>
      <c r="L23">
        <v>0.47770000000000001</v>
      </c>
    </row>
    <row r="24" spans="1:12" x14ac:dyDescent="0.25">
      <c r="A24">
        <v>2303</v>
      </c>
      <c r="B24" t="s">
        <v>10</v>
      </c>
      <c r="C24" s="1">
        <v>40197</v>
      </c>
      <c r="D24" s="2">
        <f t="shared" si="0"/>
        <v>2</v>
      </c>
      <c r="E24" s="2">
        <f t="shared" si="1"/>
        <v>1</v>
      </c>
      <c r="F24">
        <v>11.7727</v>
      </c>
      <c r="G24">
        <v>11.904199999999999</v>
      </c>
      <c r="H24">
        <v>11.5425</v>
      </c>
      <c r="I24">
        <v>11.5425</v>
      </c>
      <c r="J24">
        <v>45751</v>
      </c>
      <c r="K24">
        <v>-1.6950000000000001</v>
      </c>
      <c r="L24">
        <v>3.1339000000000001</v>
      </c>
    </row>
    <row r="25" spans="1:12" hidden="1" x14ac:dyDescent="0.25">
      <c r="A25">
        <v>2330</v>
      </c>
      <c r="B25" t="s">
        <v>11</v>
      </c>
      <c r="C25" s="1">
        <v>40197</v>
      </c>
      <c r="D25" s="2">
        <f t="shared" si="0"/>
        <v>2</v>
      </c>
      <c r="E25" s="2">
        <f t="shared" si="1"/>
        <v>1</v>
      </c>
      <c r="F25">
        <v>43.341200000000001</v>
      </c>
      <c r="G25">
        <v>43.4788</v>
      </c>
      <c r="H25">
        <v>42.653199999999998</v>
      </c>
      <c r="I25">
        <v>42.997199999999999</v>
      </c>
      <c r="J25">
        <v>47541</v>
      </c>
      <c r="K25">
        <v>-0.63800000000000001</v>
      </c>
      <c r="L25">
        <v>1.9355</v>
      </c>
    </row>
    <row r="26" spans="1:12" x14ac:dyDescent="0.25">
      <c r="A26">
        <v>2303</v>
      </c>
      <c r="B26" t="s">
        <v>10</v>
      </c>
      <c r="C26" s="1">
        <v>40198</v>
      </c>
      <c r="D26" s="2">
        <f t="shared" si="0"/>
        <v>3</v>
      </c>
      <c r="E26" s="2">
        <f t="shared" si="1"/>
        <v>1</v>
      </c>
      <c r="F26">
        <v>11.706899999999999</v>
      </c>
      <c r="G26">
        <v>11.904199999999999</v>
      </c>
      <c r="H26">
        <v>11.6083</v>
      </c>
      <c r="I26">
        <v>11.904199999999999</v>
      </c>
      <c r="J26">
        <v>65549</v>
      </c>
      <c r="K26">
        <v>3.0857999999999999</v>
      </c>
      <c r="L26">
        <v>2.5495999999999999</v>
      </c>
    </row>
    <row r="27" spans="1:12" hidden="1" x14ac:dyDescent="0.25">
      <c r="A27">
        <v>2330</v>
      </c>
      <c r="B27" t="s">
        <v>11</v>
      </c>
      <c r="C27" s="1">
        <v>40198</v>
      </c>
      <c r="D27" s="2">
        <f t="shared" si="0"/>
        <v>3</v>
      </c>
      <c r="E27" s="2">
        <f t="shared" si="1"/>
        <v>1</v>
      </c>
      <c r="F27">
        <v>43.272399999999998</v>
      </c>
      <c r="G27">
        <v>43.4788</v>
      </c>
      <c r="H27">
        <v>42.790799999999997</v>
      </c>
      <c r="I27">
        <v>43.341200000000001</v>
      </c>
      <c r="J27">
        <v>52519</v>
      </c>
      <c r="K27">
        <v>0.79679999999999995</v>
      </c>
      <c r="L27">
        <v>1.6076999999999999</v>
      </c>
    </row>
    <row r="28" spans="1:12" x14ac:dyDescent="0.25">
      <c r="A28">
        <v>2303</v>
      </c>
      <c r="B28" t="s">
        <v>10</v>
      </c>
      <c r="C28" s="1">
        <v>40199</v>
      </c>
      <c r="D28" s="2">
        <f t="shared" si="0"/>
        <v>4</v>
      </c>
      <c r="E28" s="2">
        <f t="shared" si="1"/>
        <v>1</v>
      </c>
      <c r="F28">
        <v>11.904199999999999</v>
      </c>
      <c r="G28">
        <v>11.97</v>
      </c>
      <c r="H28">
        <v>11.8056</v>
      </c>
      <c r="I28">
        <v>11.8385</v>
      </c>
      <c r="J28">
        <v>54920</v>
      </c>
      <c r="K28">
        <v>-0.55400000000000005</v>
      </c>
      <c r="L28">
        <v>1.3928</v>
      </c>
    </row>
    <row r="29" spans="1:12" hidden="1" x14ac:dyDescent="0.25">
      <c r="A29">
        <v>2330</v>
      </c>
      <c r="B29" t="s">
        <v>11</v>
      </c>
      <c r="C29" s="1">
        <v>40199</v>
      </c>
      <c r="D29" s="2">
        <f t="shared" si="0"/>
        <v>4</v>
      </c>
      <c r="E29" s="2">
        <f t="shared" si="1"/>
        <v>1</v>
      </c>
      <c r="F29">
        <v>43.341200000000001</v>
      </c>
      <c r="G29">
        <v>43.341200000000001</v>
      </c>
      <c r="H29">
        <v>42.722000000000001</v>
      </c>
      <c r="I29">
        <v>43.066000000000003</v>
      </c>
      <c r="J29">
        <v>24842</v>
      </c>
      <c r="K29">
        <v>-0.63690000000000002</v>
      </c>
      <c r="L29">
        <v>1.4493</v>
      </c>
    </row>
    <row r="30" spans="1:12" x14ac:dyDescent="0.25">
      <c r="A30">
        <v>2303</v>
      </c>
      <c r="B30" t="s">
        <v>10</v>
      </c>
      <c r="C30" s="1">
        <v>40200</v>
      </c>
      <c r="D30" s="2">
        <f t="shared" si="0"/>
        <v>5</v>
      </c>
      <c r="E30" s="2">
        <f t="shared" si="1"/>
        <v>1</v>
      </c>
      <c r="F30">
        <v>11.706899999999999</v>
      </c>
      <c r="G30">
        <v>11.7727</v>
      </c>
      <c r="H30">
        <v>11.509600000000001</v>
      </c>
      <c r="I30">
        <v>11.6412</v>
      </c>
      <c r="J30">
        <v>51483</v>
      </c>
      <c r="K30">
        <v>-1.6807000000000001</v>
      </c>
      <c r="L30">
        <v>2.2856999999999998</v>
      </c>
    </row>
    <row r="31" spans="1:12" hidden="1" x14ac:dyDescent="0.25">
      <c r="A31">
        <v>2330</v>
      </c>
      <c r="B31" t="s">
        <v>11</v>
      </c>
      <c r="C31" s="1">
        <v>40200</v>
      </c>
      <c r="D31" s="2">
        <f t="shared" si="0"/>
        <v>5</v>
      </c>
      <c r="E31" s="2">
        <f t="shared" si="1"/>
        <v>1</v>
      </c>
      <c r="F31">
        <v>42.309199999999997</v>
      </c>
      <c r="G31">
        <v>42.446800000000003</v>
      </c>
      <c r="H31">
        <v>41.965299999999999</v>
      </c>
      <c r="I31">
        <v>42.034100000000002</v>
      </c>
      <c r="J31">
        <v>64001</v>
      </c>
      <c r="K31">
        <v>-2.4253</v>
      </c>
      <c r="L31">
        <v>1.1475</v>
      </c>
    </row>
    <row r="32" spans="1:12" x14ac:dyDescent="0.25">
      <c r="A32">
        <v>2303</v>
      </c>
      <c r="B32" t="s">
        <v>10</v>
      </c>
      <c r="C32" s="1">
        <v>40203</v>
      </c>
      <c r="D32" s="2">
        <f t="shared" si="0"/>
        <v>1</v>
      </c>
      <c r="E32" s="2">
        <f t="shared" si="1"/>
        <v>1</v>
      </c>
      <c r="F32">
        <v>11.3781</v>
      </c>
      <c r="G32">
        <v>11.5754</v>
      </c>
      <c r="H32">
        <v>11.3452</v>
      </c>
      <c r="I32">
        <v>11.443899999999999</v>
      </c>
      <c r="J32">
        <v>50492</v>
      </c>
      <c r="K32">
        <v>-1.7094</v>
      </c>
      <c r="L32">
        <v>2.0289999999999999</v>
      </c>
    </row>
    <row r="33" spans="1:12" hidden="1" x14ac:dyDescent="0.25">
      <c r="A33">
        <v>2330</v>
      </c>
      <c r="B33" t="s">
        <v>11</v>
      </c>
      <c r="C33" s="1">
        <v>40203</v>
      </c>
      <c r="D33" s="2">
        <f t="shared" si="0"/>
        <v>1</v>
      </c>
      <c r="E33" s="2">
        <f t="shared" si="1"/>
        <v>1</v>
      </c>
      <c r="F33">
        <v>41.3461</v>
      </c>
      <c r="G33">
        <v>41.8277</v>
      </c>
      <c r="H33">
        <v>41.3461</v>
      </c>
      <c r="I33">
        <v>41.552500000000002</v>
      </c>
      <c r="J33">
        <v>62230</v>
      </c>
      <c r="K33">
        <v>-1.1523000000000001</v>
      </c>
      <c r="L33">
        <v>1.1647000000000001</v>
      </c>
    </row>
    <row r="34" spans="1:12" x14ac:dyDescent="0.25">
      <c r="A34">
        <v>2303</v>
      </c>
      <c r="B34" t="s">
        <v>10</v>
      </c>
      <c r="C34" s="1">
        <v>40204</v>
      </c>
      <c r="D34" s="2">
        <f t="shared" si="0"/>
        <v>2</v>
      </c>
      <c r="E34" s="2">
        <f t="shared" si="1"/>
        <v>1</v>
      </c>
      <c r="F34">
        <v>11.509600000000001</v>
      </c>
      <c r="G34">
        <v>11.5425</v>
      </c>
      <c r="H34">
        <v>10.786199999999999</v>
      </c>
      <c r="I34">
        <v>10.851900000000001</v>
      </c>
      <c r="J34">
        <v>78575</v>
      </c>
      <c r="K34">
        <v>-5.3109999999999999</v>
      </c>
      <c r="L34">
        <v>7.0122</v>
      </c>
    </row>
    <row r="35" spans="1:12" hidden="1" x14ac:dyDescent="0.25">
      <c r="A35">
        <v>2330</v>
      </c>
      <c r="B35" t="s">
        <v>11</v>
      </c>
      <c r="C35" s="1">
        <v>40204</v>
      </c>
      <c r="D35" s="2">
        <f t="shared" si="0"/>
        <v>2</v>
      </c>
      <c r="E35" s="2">
        <f t="shared" si="1"/>
        <v>1</v>
      </c>
      <c r="F35">
        <v>41.690100000000001</v>
      </c>
      <c r="G35">
        <v>42.102800000000002</v>
      </c>
      <c r="H35">
        <v>41.277299999999997</v>
      </c>
      <c r="I35">
        <v>41.3461</v>
      </c>
      <c r="J35">
        <v>80078</v>
      </c>
      <c r="K35">
        <v>-0.49790000000000001</v>
      </c>
      <c r="L35">
        <v>2</v>
      </c>
    </row>
    <row r="36" spans="1:12" x14ac:dyDescent="0.25">
      <c r="A36">
        <v>2303</v>
      </c>
      <c r="B36" t="s">
        <v>10</v>
      </c>
      <c r="C36" s="1">
        <v>40205</v>
      </c>
      <c r="D36" s="2">
        <f t="shared" si="0"/>
        <v>3</v>
      </c>
      <c r="E36" s="2">
        <f t="shared" si="1"/>
        <v>1</v>
      </c>
      <c r="F36">
        <v>10.9177</v>
      </c>
      <c r="G36">
        <v>10.9177</v>
      </c>
      <c r="H36">
        <v>10.753299999999999</v>
      </c>
      <c r="I36">
        <v>10.786199999999999</v>
      </c>
      <c r="J36">
        <v>48380</v>
      </c>
      <c r="K36">
        <v>-0.6079</v>
      </c>
      <c r="L36">
        <v>1.5290999999999999</v>
      </c>
    </row>
    <row r="37" spans="1:12" hidden="1" x14ac:dyDescent="0.25">
      <c r="A37">
        <v>2330</v>
      </c>
      <c r="B37" t="s">
        <v>11</v>
      </c>
      <c r="C37" s="1">
        <v>40205</v>
      </c>
      <c r="D37" s="2">
        <f t="shared" si="0"/>
        <v>3</v>
      </c>
      <c r="E37" s="2">
        <f t="shared" si="1"/>
        <v>1</v>
      </c>
      <c r="F37">
        <v>41.3461</v>
      </c>
      <c r="G37">
        <v>41.552500000000002</v>
      </c>
      <c r="H37">
        <v>40.933300000000003</v>
      </c>
      <c r="I37">
        <v>41.002099999999999</v>
      </c>
      <c r="J37">
        <v>53876</v>
      </c>
      <c r="K37">
        <v>-0.83540000000000003</v>
      </c>
      <c r="L37">
        <v>1.5125999999999999</v>
      </c>
    </row>
    <row r="38" spans="1:12" x14ac:dyDescent="0.25">
      <c r="A38">
        <v>2303</v>
      </c>
      <c r="B38" t="s">
        <v>10</v>
      </c>
      <c r="C38" s="1">
        <v>40206</v>
      </c>
      <c r="D38" s="2">
        <f t="shared" si="0"/>
        <v>4</v>
      </c>
      <c r="E38" s="2">
        <f t="shared" si="1"/>
        <v>1</v>
      </c>
      <c r="F38">
        <v>10.786199999999999</v>
      </c>
      <c r="G38">
        <v>11.082100000000001</v>
      </c>
      <c r="H38">
        <v>10.786199999999999</v>
      </c>
      <c r="I38">
        <v>10.851900000000001</v>
      </c>
      <c r="J38">
        <v>72488</v>
      </c>
      <c r="K38">
        <v>0.6079</v>
      </c>
      <c r="L38">
        <v>2.7439</v>
      </c>
    </row>
    <row r="39" spans="1:12" hidden="1" x14ac:dyDescent="0.25">
      <c r="A39">
        <v>2330</v>
      </c>
      <c r="B39" t="s">
        <v>11</v>
      </c>
      <c r="C39" s="1">
        <v>40206</v>
      </c>
      <c r="D39" s="2">
        <f t="shared" si="0"/>
        <v>4</v>
      </c>
      <c r="E39" s="2">
        <f t="shared" si="1"/>
        <v>1</v>
      </c>
      <c r="F39">
        <v>41.621299999999998</v>
      </c>
      <c r="G39">
        <v>42.309199999999997</v>
      </c>
      <c r="H39">
        <v>41.139699999999998</v>
      </c>
      <c r="I39">
        <v>41.277299999999997</v>
      </c>
      <c r="J39">
        <v>44033</v>
      </c>
      <c r="K39">
        <v>0.66890000000000005</v>
      </c>
      <c r="L39">
        <v>2.8428</v>
      </c>
    </row>
    <row r="40" spans="1:12" x14ac:dyDescent="0.25">
      <c r="A40">
        <v>2303</v>
      </c>
      <c r="B40" t="s">
        <v>10</v>
      </c>
      <c r="C40" s="1">
        <v>40207</v>
      </c>
      <c r="D40" s="2">
        <f t="shared" si="0"/>
        <v>5</v>
      </c>
      <c r="E40" s="2">
        <f t="shared" si="1"/>
        <v>1</v>
      </c>
      <c r="F40">
        <v>10.6546</v>
      </c>
      <c r="G40">
        <v>10.6546</v>
      </c>
      <c r="H40">
        <v>10.1942</v>
      </c>
      <c r="I40">
        <v>10.555999999999999</v>
      </c>
      <c r="J40">
        <v>107483</v>
      </c>
      <c r="K40">
        <v>-2.7652000000000001</v>
      </c>
      <c r="L40">
        <v>4.5160999999999998</v>
      </c>
    </row>
    <row r="41" spans="1:12" hidden="1" x14ac:dyDescent="0.25">
      <c r="A41">
        <v>2330</v>
      </c>
      <c r="B41" t="s">
        <v>11</v>
      </c>
      <c r="C41" s="1">
        <v>40207</v>
      </c>
      <c r="D41" s="2">
        <f t="shared" si="0"/>
        <v>5</v>
      </c>
      <c r="E41" s="2">
        <f t="shared" si="1"/>
        <v>1</v>
      </c>
      <c r="F41">
        <v>41.3461</v>
      </c>
      <c r="G41">
        <v>42.309199999999997</v>
      </c>
      <c r="H41">
        <v>40.8645</v>
      </c>
      <c r="I41">
        <v>42.309199999999997</v>
      </c>
      <c r="J41">
        <v>98124</v>
      </c>
      <c r="K41">
        <v>2.4693000000000001</v>
      </c>
      <c r="L41">
        <v>3.5354000000000001</v>
      </c>
    </row>
    <row r="42" spans="1:12" x14ac:dyDescent="0.25">
      <c r="A42">
        <v>2303</v>
      </c>
      <c r="B42" t="s">
        <v>10</v>
      </c>
      <c r="C42" s="1">
        <v>40210</v>
      </c>
      <c r="D42" s="2">
        <f t="shared" si="0"/>
        <v>1</v>
      </c>
      <c r="E42" s="2">
        <f t="shared" si="1"/>
        <v>2</v>
      </c>
      <c r="F42">
        <v>10.4573</v>
      </c>
      <c r="G42">
        <v>10.4902</v>
      </c>
      <c r="H42">
        <v>10.1942</v>
      </c>
      <c r="I42">
        <v>10.1942</v>
      </c>
      <c r="J42">
        <v>57786</v>
      </c>
      <c r="K42">
        <v>-3.4868999999999999</v>
      </c>
      <c r="L42">
        <v>2.9032</v>
      </c>
    </row>
    <row r="43" spans="1:12" hidden="1" x14ac:dyDescent="0.25">
      <c r="A43">
        <v>2330</v>
      </c>
      <c r="B43" t="s">
        <v>11</v>
      </c>
      <c r="C43" s="1">
        <v>40210</v>
      </c>
      <c r="D43" s="2">
        <f t="shared" si="0"/>
        <v>1</v>
      </c>
      <c r="E43" s="2">
        <f t="shared" si="1"/>
        <v>2</v>
      </c>
      <c r="F43">
        <v>41.758899999999997</v>
      </c>
      <c r="G43">
        <v>41.758899999999997</v>
      </c>
      <c r="H43">
        <v>40.933300000000003</v>
      </c>
      <c r="I43">
        <v>41.139699999999998</v>
      </c>
      <c r="J43">
        <v>82234</v>
      </c>
      <c r="K43">
        <v>-2.8031999999999999</v>
      </c>
      <c r="L43">
        <v>2.0167999999999999</v>
      </c>
    </row>
    <row r="44" spans="1:12" x14ac:dyDescent="0.25">
      <c r="A44">
        <v>2303</v>
      </c>
      <c r="B44" t="s">
        <v>10</v>
      </c>
      <c r="C44" s="1">
        <v>40211</v>
      </c>
      <c r="D44" s="2">
        <f t="shared" si="0"/>
        <v>2</v>
      </c>
      <c r="E44" s="2">
        <f t="shared" si="1"/>
        <v>2</v>
      </c>
      <c r="F44">
        <v>10.4573</v>
      </c>
      <c r="G44">
        <v>10.4573</v>
      </c>
      <c r="H44">
        <v>10.1614</v>
      </c>
      <c r="I44">
        <v>10.26</v>
      </c>
      <c r="J44">
        <v>49001</v>
      </c>
      <c r="K44">
        <v>0.6431</v>
      </c>
      <c r="L44">
        <v>2.9125999999999999</v>
      </c>
    </row>
    <row r="45" spans="1:12" hidden="1" x14ac:dyDescent="0.25">
      <c r="A45">
        <v>2330</v>
      </c>
      <c r="B45" t="s">
        <v>11</v>
      </c>
      <c r="C45" s="1">
        <v>40211</v>
      </c>
      <c r="D45" s="2">
        <f t="shared" si="0"/>
        <v>2</v>
      </c>
      <c r="E45" s="2">
        <f t="shared" si="1"/>
        <v>2</v>
      </c>
      <c r="F45">
        <v>41.414900000000003</v>
      </c>
      <c r="G45">
        <v>41.552500000000002</v>
      </c>
      <c r="H45">
        <v>40.589300000000001</v>
      </c>
      <c r="I45">
        <v>40.589300000000001</v>
      </c>
      <c r="J45">
        <v>72141</v>
      </c>
      <c r="K45">
        <v>-1.3468</v>
      </c>
      <c r="L45">
        <v>2.3729</v>
      </c>
    </row>
    <row r="46" spans="1:12" x14ac:dyDescent="0.25">
      <c r="A46">
        <v>2303</v>
      </c>
      <c r="B46" t="s">
        <v>10</v>
      </c>
      <c r="C46" s="1">
        <v>40212</v>
      </c>
      <c r="D46" s="2">
        <f t="shared" si="0"/>
        <v>3</v>
      </c>
      <c r="E46" s="2">
        <f t="shared" si="1"/>
        <v>2</v>
      </c>
      <c r="F46">
        <v>10.7204</v>
      </c>
      <c r="G46">
        <v>10.9506</v>
      </c>
      <c r="H46">
        <v>10.588900000000001</v>
      </c>
      <c r="I46">
        <v>10.9506</v>
      </c>
      <c r="J46">
        <v>93516</v>
      </c>
      <c r="K46">
        <v>6.5138999999999996</v>
      </c>
      <c r="L46">
        <v>3.4161000000000001</v>
      </c>
    </row>
    <row r="47" spans="1:12" hidden="1" x14ac:dyDescent="0.25">
      <c r="A47">
        <v>2330</v>
      </c>
      <c r="B47" t="s">
        <v>11</v>
      </c>
      <c r="C47" s="1">
        <v>40212</v>
      </c>
      <c r="D47" s="2">
        <f t="shared" si="0"/>
        <v>3</v>
      </c>
      <c r="E47" s="2">
        <f t="shared" si="1"/>
        <v>2</v>
      </c>
      <c r="F47">
        <v>41.414900000000003</v>
      </c>
      <c r="G47">
        <v>41.483699999999999</v>
      </c>
      <c r="H47">
        <v>40.451799999999999</v>
      </c>
      <c r="I47">
        <v>41.139699999999998</v>
      </c>
      <c r="J47">
        <v>42627</v>
      </c>
      <c r="K47">
        <v>1.3468</v>
      </c>
      <c r="L47">
        <v>2.5510000000000002</v>
      </c>
    </row>
    <row r="48" spans="1:12" x14ac:dyDescent="0.25">
      <c r="A48">
        <v>2303</v>
      </c>
      <c r="B48" t="s">
        <v>10</v>
      </c>
      <c r="C48" s="1">
        <v>40213</v>
      </c>
      <c r="D48" s="2">
        <f t="shared" si="0"/>
        <v>4</v>
      </c>
      <c r="E48" s="2">
        <f t="shared" si="1"/>
        <v>2</v>
      </c>
      <c r="F48">
        <v>11.049200000000001</v>
      </c>
      <c r="G48">
        <v>11.279400000000001</v>
      </c>
      <c r="H48">
        <v>10.851900000000001</v>
      </c>
      <c r="I48">
        <v>10.851900000000001</v>
      </c>
      <c r="J48">
        <v>129928</v>
      </c>
      <c r="K48">
        <v>-0.90500000000000003</v>
      </c>
      <c r="L48">
        <v>3.9394</v>
      </c>
    </row>
    <row r="49" spans="1:12" hidden="1" x14ac:dyDescent="0.25">
      <c r="A49">
        <v>2330</v>
      </c>
      <c r="B49" t="s">
        <v>11</v>
      </c>
      <c r="C49" s="1">
        <v>40213</v>
      </c>
      <c r="D49" s="2">
        <f t="shared" si="0"/>
        <v>4</v>
      </c>
      <c r="E49" s="2">
        <f t="shared" si="1"/>
        <v>2</v>
      </c>
      <c r="F49">
        <v>41.277299999999997</v>
      </c>
      <c r="G49">
        <v>41.277299999999997</v>
      </c>
      <c r="H49">
        <v>40.589300000000001</v>
      </c>
      <c r="I49">
        <v>40.658099999999997</v>
      </c>
      <c r="J49">
        <v>46032</v>
      </c>
      <c r="K49">
        <v>-1.1775</v>
      </c>
      <c r="L49">
        <v>1.6949000000000001</v>
      </c>
    </row>
    <row r="50" spans="1:12" x14ac:dyDescent="0.25">
      <c r="A50">
        <v>2303</v>
      </c>
      <c r="B50" t="s">
        <v>10</v>
      </c>
      <c r="C50" s="1">
        <v>40214</v>
      </c>
      <c r="D50" s="2">
        <f t="shared" si="0"/>
        <v>5</v>
      </c>
      <c r="E50" s="2">
        <f t="shared" si="1"/>
        <v>2</v>
      </c>
      <c r="F50">
        <v>10.325799999999999</v>
      </c>
      <c r="G50">
        <v>10.4573</v>
      </c>
      <c r="H50">
        <v>10.1942</v>
      </c>
      <c r="I50">
        <v>10.325799999999999</v>
      </c>
      <c r="J50">
        <v>158650</v>
      </c>
      <c r="K50">
        <v>-4.97</v>
      </c>
      <c r="L50">
        <v>2.5806</v>
      </c>
    </row>
    <row r="51" spans="1:12" hidden="1" x14ac:dyDescent="0.25">
      <c r="A51">
        <v>2330</v>
      </c>
      <c r="B51" t="s">
        <v>11</v>
      </c>
      <c r="C51" s="1">
        <v>40214</v>
      </c>
      <c r="D51" s="2">
        <f t="shared" si="0"/>
        <v>5</v>
      </c>
      <c r="E51" s="2">
        <f t="shared" si="1"/>
        <v>2</v>
      </c>
      <c r="F51">
        <v>39.626199999999997</v>
      </c>
      <c r="G51">
        <v>39.832599999999999</v>
      </c>
      <c r="H51">
        <v>39.350999999999999</v>
      </c>
      <c r="I51">
        <v>39.350999999999999</v>
      </c>
      <c r="J51">
        <v>66295</v>
      </c>
      <c r="K51">
        <v>-3.2677</v>
      </c>
      <c r="L51">
        <v>1.2238</v>
      </c>
    </row>
    <row r="52" spans="1:12" x14ac:dyDescent="0.25">
      <c r="A52">
        <v>2303</v>
      </c>
      <c r="B52" t="s">
        <v>10</v>
      </c>
      <c r="C52" s="1">
        <v>40215</v>
      </c>
      <c r="D52" s="2">
        <f t="shared" si="0"/>
        <v>6</v>
      </c>
      <c r="E52" s="2">
        <f t="shared" si="1"/>
        <v>2</v>
      </c>
      <c r="F52">
        <v>10.325799999999999</v>
      </c>
      <c r="G52">
        <v>10.523099999999999</v>
      </c>
      <c r="H52">
        <v>10.2271</v>
      </c>
      <c r="I52">
        <v>10.523099999999999</v>
      </c>
      <c r="J52">
        <v>53872</v>
      </c>
      <c r="K52">
        <v>1.8928</v>
      </c>
      <c r="L52">
        <v>2.8938999999999999</v>
      </c>
    </row>
    <row r="53" spans="1:12" hidden="1" x14ac:dyDescent="0.25">
      <c r="A53">
        <v>2330</v>
      </c>
      <c r="B53" t="s">
        <v>11</v>
      </c>
      <c r="C53" s="1">
        <v>40215</v>
      </c>
      <c r="D53" s="2">
        <f t="shared" si="0"/>
        <v>6</v>
      </c>
      <c r="E53" s="2">
        <f t="shared" si="1"/>
        <v>2</v>
      </c>
      <c r="F53">
        <v>39.626199999999997</v>
      </c>
      <c r="G53">
        <v>39.970199999999998</v>
      </c>
      <c r="H53">
        <v>39.419800000000002</v>
      </c>
      <c r="I53">
        <v>39.901400000000002</v>
      </c>
      <c r="J53">
        <v>16391</v>
      </c>
      <c r="K53">
        <v>1.3889</v>
      </c>
      <c r="L53">
        <v>1.3962000000000001</v>
      </c>
    </row>
    <row r="54" spans="1:12" x14ac:dyDescent="0.25">
      <c r="A54">
        <v>2303</v>
      </c>
      <c r="B54" t="s">
        <v>10</v>
      </c>
      <c r="C54" s="1">
        <v>40217</v>
      </c>
      <c r="D54" s="2">
        <f t="shared" si="0"/>
        <v>1</v>
      </c>
      <c r="E54" s="2">
        <f t="shared" si="1"/>
        <v>2</v>
      </c>
      <c r="F54">
        <v>10.588900000000001</v>
      </c>
      <c r="G54">
        <v>10.621700000000001</v>
      </c>
      <c r="H54">
        <v>10.4573</v>
      </c>
      <c r="I54">
        <v>10.523099999999999</v>
      </c>
      <c r="J54">
        <v>45149</v>
      </c>
      <c r="K54">
        <v>0</v>
      </c>
      <c r="L54">
        <v>1.5723</v>
      </c>
    </row>
    <row r="55" spans="1:12" hidden="1" x14ac:dyDescent="0.25">
      <c r="A55">
        <v>2330</v>
      </c>
      <c r="B55" t="s">
        <v>11</v>
      </c>
      <c r="C55" s="1">
        <v>40217</v>
      </c>
      <c r="D55" s="2">
        <f t="shared" si="0"/>
        <v>1</v>
      </c>
      <c r="E55" s="2">
        <f t="shared" si="1"/>
        <v>2</v>
      </c>
      <c r="F55">
        <v>39.901400000000002</v>
      </c>
      <c r="G55">
        <v>40.039000000000001</v>
      </c>
      <c r="H55">
        <v>39.2134</v>
      </c>
      <c r="I55">
        <v>39.488599999999998</v>
      </c>
      <c r="J55">
        <v>45835</v>
      </c>
      <c r="K55">
        <v>-1.0399</v>
      </c>
      <c r="L55">
        <v>2.1053000000000002</v>
      </c>
    </row>
    <row r="56" spans="1:12" x14ac:dyDescent="0.25">
      <c r="A56">
        <v>2303</v>
      </c>
      <c r="B56" t="s">
        <v>10</v>
      </c>
      <c r="C56" s="1">
        <v>40218</v>
      </c>
      <c r="D56" s="2">
        <f t="shared" si="0"/>
        <v>2</v>
      </c>
      <c r="E56" s="2">
        <f t="shared" si="1"/>
        <v>2</v>
      </c>
      <c r="F56">
        <v>10.523099999999999</v>
      </c>
      <c r="G56">
        <v>10.753299999999999</v>
      </c>
      <c r="H56">
        <v>10.523099999999999</v>
      </c>
      <c r="I56">
        <v>10.6875</v>
      </c>
      <c r="J56">
        <v>58121</v>
      </c>
      <c r="K56">
        <v>1.5504</v>
      </c>
      <c r="L56">
        <v>2.1875</v>
      </c>
    </row>
    <row r="57" spans="1:12" hidden="1" x14ac:dyDescent="0.25">
      <c r="A57">
        <v>2330</v>
      </c>
      <c r="B57" t="s">
        <v>11</v>
      </c>
      <c r="C57" s="1">
        <v>40218</v>
      </c>
      <c r="D57" s="2">
        <f t="shared" si="0"/>
        <v>2</v>
      </c>
      <c r="E57" s="2">
        <f t="shared" si="1"/>
        <v>2</v>
      </c>
      <c r="F57">
        <v>40.176600000000001</v>
      </c>
      <c r="G57">
        <v>40.726900000000001</v>
      </c>
      <c r="H57">
        <v>39.695</v>
      </c>
      <c r="I57">
        <v>40.3142</v>
      </c>
      <c r="J57">
        <v>49551</v>
      </c>
      <c r="K57">
        <v>2.069</v>
      </c>
      <c r="L57">
        <v>2.5996999999999999</v>
      </c>
    </row>
    <row r="58" spans="1:12" x14ac:dyDescent="0.25">
      <c r="A58">
        <v>2303</v>
      </c>
      <c r="B58" t="s">
        <v>10</v>
      </c>
      <c r="C58" s="1">
        <v>40219</v>
      </c>
      <c r="D58" s="2">
        <f t="shared" si="0"/>
        <v>3</v>
      </c>
      <c r="E58" s="2">
        <f t="shared" si="1"/>
        <v>2</v>
      </c>
      <c r="F58">
        <v>10.753299999999999</v>
      </c>
      <c r="G58">
        <v>10.851900000000001</v>
      </c>
      <c r="H58">
        <v>10.6546</v>
      </c>
      <c r="I58">
        <v>10.6875</v>
      </c>
      <c r="J58">
        <v>81428</v>
      </c>
      <c r="K58">
        <v>0</v>
      </c>
      <c r="L58">
        <v>1.8519000000000001</v>
      </c>
    </row>
    <row r="59" spans="1:12" hidden="1" x14ac:dyDescent="0.25">
      <c r="A59">
        <v>2330</v>
      </c>
      <c r="B59" t="s">
        <v>11</v>
      </c>
      <c r="C59" s="1">
        <v>40219</v>
      </c>
      <c r="D59" s="2">
        <f t="shared" si="0"/>
        <v>3</v>
      </c>
      <c r="E59" s="2">
        <f t="shared" si="1"/>
        <v>2</v>
      </c>
      <c r="F59">
        <v>40.589300000000001</v>
      </c>
      <c r="G59">
        <v>40.726900000000001</v>
      </c>
      <c r="H59">
        <v>40.039000000000001</v>
      </c>
      <c r="I59">
        <v>40.176600000000001</v>
      </c>
      <c r="J59">
        <v>53809</v>
      </c>
      <c r="K59">
        <v>-0.34189999999999998</v>
      </c>
      <c r="L59">
        <v>1.7181999999999999</v>
      </c>
    </row>
    <row r="60" spans="1:12" x14ac:dyDescent="0.25">
      <c r="A60">
        <v>2303</v>
      </c>
      <c r="B60" t="s">
        <v>10</v>
      </c>
      <c r="C60" s="1">
        <v>40231</v>
      </c>
      <c r="D60" s="2">
        <f t="shared" si="0"/>
        <v>1</v>
      </c>
      <c r="E60" s="2">
        <f t="shared" si="1"/>
        <v>2</v>
      </c>
      <c r="F60">
        <v>10.9177</v>
      </c>
      <c r="G60">
        <v>10.983499999999999</v>
      </c>
      <c r="H60">
        <v>10.6875</v>
      </c>
      <c r="I60">
        <v>10.9177</v>
      </c>
      <c r="J60">
        <v>61394</v>
      </c>
      <c r="K60">
        <v>2.1309999999999998</v>
      </c>
      <c r="L60">
        <v>2.7692000000000001</v>
      </c>
    </row>
    <row r="61" spans="1:12" hidden="1" x14ac:dyDescent="0.25">
      <c r="A61">
        <v>2330</v>
      </c>
      <c r="B61" t="s">
        <v>11</v>
      </c>
      <c r="C61" s="1">
        <v>40231</v>
      </c>
      <c r="D61" s="2">
        <f t="shared" si="0"/>
        <v>1</v>
      </c>
      <c r="E61" s="2">
        <f t="shared" si="1"/>
        <v>2</v>
      </c>
      <c r="F61">
        <v>41.621299999999998</v>
      </c>
      <c r="G61">
        <v>41.621299999999998</v>
      </c>
      <c r="H61">
        <v>40.589300000000001</v>
      </c>
      <c r="I61">
        <v>40.589300000000001</v>
      </c>
      <c r="J61">
        <v>49684</v>
      </c>
      <c r="K61">
        <v>1.0222</v>
      </c>
      <c r="L61">
        <v>2.5424000000000002</v>
      </c>
    </row>
    <row r="62" spans="1:12" x14ac:dyDescent="0.25">
      <c r="A62">
        <v>2303</v>
      </c>
      <c r="B62" t="s">
        <v>10</v>
      </c>
      <c r="C62" s="1">
        <v>40232</v>
      </c>
      <c r="D62" s="2">
        <f t="shared" si="0"/>
        <v>2</v>
      </c>
      <c r="E62" s="2">
        <f t="shared" si="1"/>
        <v>2</v>
      </c>
      <c r="F62">
        <v>10.523099999999999</v>
      </c>
      <c r="G62">
        <v>10.7204</v>
      </c>
      <c r="H62">
        <v>10.523099999999999</v>
      </c>
      <c r="I62">
        <v>10.7204</v>
      </c>
      <c r="J62">
        <v>69451</v>
      </c>
      <c r="K62">
        <v>-1.8238000000000001</v>
      </c>
      <c r="L62">
        <v>1.875</v>
      </c>
    </row>
    <row r="63" spans="1:12" hidden="1" x14ac:dyDescent="0.25">
      <c r="A63">
        <v>2330</v>
      </c>
      <c r="B63" t="s">
        <v>11</v>
      </c>
      <c r="C63" s="1">
        <v>40232</v>
      </c>
      <c r="D63" s="2">
        <f t="shared" si="0"/>
        <v>2</v>
      </c>
      <c r="E63" s="2">
        <f t="shared" si="1"/>
        <v>2</v>
      </c>
      <c r="F63">
        <v>41.002099999999999</v>
      </c>
      <c r="G63">
        <v>41.208500000000001</v>
      </c>
      <c r="H63">
        <v>40.658099999999997</v>
      </c>
      <c r="I63">
        <v>41.139699999999998</v>
      </c>
      <c r="J63">
        <v>52030</v>
      </c>
      <c r="K63">
        <v>1.3468</v>
      </c>
      <c r="L63">
        <v>1.3535999999999999</v>
      </c>
    </row>
    <row r="64" spans="1:12" x14ac:dyDescent="0.25">
      <c r="A64">
        <v>2303</v>
      </c>
      <c r="B64" t="s">
        <v>10</v>
      </c>
      <c r="C64" s="1">
        <v>40233</v>
      </c>
      <c r="D64" s="2">
        <f t="shared" si="0"/>
        <v>3</v>
      </c>
      <c r="E64" s="2">
        <f t="shared" si="1"/>
        <v>2</v>
      </c>
      <c r="F64">
        <v>10.621700000000001</v>
      </c>
      <c r="G64">
        <v>10.621700000000001</v>
      </c>
      <c r="H64">
        <v>10.391500000000001</v>
      </c>
      <c r="I64">
        <v>10.4902</v>
      </c>
      <c r="J64">
        <v>80917</v>
      </c>
      <c r="K64">
        <v>-2.1705999999999999</v>
      </c>
      <c r="L64">
        <v>2.2151999999999998</v>
      </c>
    </row>
    <row r="65" spans="1:12" hidden="1" x14ac:dyDescent="0.25">
      <c r="A65">
        <v>2330</v>
      </c>
      <c r="B65" t="s">
        <v>11</v>
      </c>
      <c r="C65" s="1">
        <v>40233</v>
      </c>
      <c r="D65" s="2">
        <f t="shared" si="0"/>
        <v>3</v>
      </c>
      <c r="E65" s="2">
        <f t="shared" si="1"/>
        <v>2</v>
      </c>
      <c r="F65">
        <v>40.726900000000001</v>
      </c>
      <c r="G65">
        <v>40.726900000000001</v>
      </c>
      <c r="H65">
        <v>40.176600000000001</v>
      </c>
      <c r="I65">
        <v>40.245399999999997</v>
      </c>
      <c r="J65">
        <v>60489</v>
      </c>
      <c r="K65">
        <v>-2.1979000000000002</v>
      </c>
      <c r="L65">
        <v>1.3698999999999999</v>
      </c>
    </row>
    <row r="66" spans="1:12" x14ac:dyDescent="0.25">
      <c r="A66">
        <v>2303</v>
      </c>
      <c r="B66" t="s">
        <v>10</v>
      </c>
      <c r="C66" s="1">
        <v>40234</v>
      </c>
      <c r="D66" s="2">
        <f t="shared" si="0"/>
        <v>4</v>
      </c>
      <c r="E66" s="2">
        <f t="shared" si="1"/>
        <v>2</v>
      </c>
      <c r="F66">
        <v>10.4902</v>
      </c>
      <c r="G66">
        <v>10.4902</v>
      </c>
      <c r="H66">
        <v>10.095599999999999</v>
      </c>
      <c r="I66">
        <v>10.1942</v>
      </c>
      <c r="J66">
        <v>122272</v>
      </c>
      <c r="K66">
        <v>-2.8618999999999999</v>
      </c>
      <c r="L66">
        <v>3.9087999999999998</v>
      </c>
    </row>
    <row r="67" spans="1:12" hidden="1" x14ac:dyDescent="0.25">
      <c r="A67">
        <v>2330</v>
      </c>
      <c r="B67" t="s">
        <v>11</v>
      </c>
      <c r="C67" s="1">
        <v>40234</v>
      </c>
      <c r="D67" s="2">
        <f t="shared" ref="D67:D130" si="2">WEEKDAY(C67,2)</f>
        <v>4</v>
      </c>
      <c r="E67" s="2">
        <f t="shared" ref="E67:E130" si="3">MONTH(C67)</f>
        <v>2</v>
      </c>
      <c r="F67">
        <v>40.245399999999997</v>
      </c>
      <c r="G67">
        <v>40.520499999999998</v>
      </c>
      <c r="H67">
        <v>39.832599999999999</v>
      </c>
      <c r="I67">
        <v>40.039000000000001</v>
      </c>
      <c r="J67">
        <v>57502</v>
      </c>
      <c r="K67">
        <v>-0.5141</v>
      </c>
      <c r="L67">
        <v>1.7271000000000001</v>
      </c>
    </row>
    <row r="68" spans="1:12" x14ac:dyDescent="0.25">
      <c r="A68">
        <v>2303</v>
      </c>
      <c r="B68" t="s">
        <v>10</v>
      </c>
      <c r="C68" s="1">
        <v>40235</v>
      </c>
      <c r="D68" s="2">
        <f t="shared" si="2"/>
        <v>5</v>
      </c>
      <c r="E68" s="2">
        <f t="shared" si="3"/>
        <v>2</v>
      </c>
      <c r="F68">
        <v>10.128500000000001</v>
      </c>
      <c r="G68">
        <v>10.1942</v>
      </c>
      <c r="H68">
        <v>9.9969000000000001</v>
      </c>
      <c r="I68">
        <v>10.1614</v>
      </c>
      <c r="J68">
        <v>73356</v>
      </c>
      <c r="K68">
        <v>-0.3231</v>
      </c>
      <c r="L68">
        <v>1.9737</v>
      </c>
    </row>
    <row r="69" spans="1:12" hidden="1" x14ac:dyDescent="0.25">
      <c r="A69">
        <v>2330</v>
      </c>
      <c r="B69" t="s">
        <v>11</v>
      </c>
      <c r="C69" s="1">
        <v>40235</v>
      </c>
      <c r="D69" s="2">
        <f t="shared" si="2"/>
        <v>5</v>
      </c>
      <c r="E69" s="2">
        <f t="shared" si="3"/>
        <v>2</v>
      </c>
      <c r="F69">
        <v>40.039000000000001</v>
      </c>
      <c r="G69">
        <v>40.520499999999998</v>
      </c>
      <c r="H69">
        <v>39.901400000000002</v>
      </c>
      <c r="I69">
        <v>40.451799999999999</v>
      </c>
      <c r="J69">
        <v>31376</v>
      </c>
      <c r="K69">
        <v>1.0257000000000001</v>
      </c>
      <c r="L69">
        <v>1.5517000000000001</v>
      </c>
    </row>
    <row r="70" spans="1:12" x14ac:dyDescent="0.25">
      <c r="A70">
        <v>2303</v>
      </c>
      <c r="B70" t="s">
        <v>10</v>
      </c>
      <c r="C70" s="1">
        <v>40238</v>
      </c>
      <c r="D70" s="2">
        <f t="shared" si="2"/>
        <v>1</v>
      </c>
      <c r="E70" s="2">
        <f t="shared" si="3"/>
        <v>3</v>
      </c>
      <c r="F70">
        <v>10.2271</v>
      </c>
      <c r="G70">
        <v>10.555999999999999</v>
      </c>
      <c r="H70">
        <v>10.1614</v>
      </c>
      <c r="I70">
        <v>10.523099999999999</v>
      </c>
      <c r="J70">
        <v>66465</v>
      </c>
      <c r="K70">
        <v>3.4980000000000002</v>
      </c>
      <c r="L70">
        <v>3.8835000000000002</v>
      </c>
    </row>
    <row r="71" spans="1:12" hidden="1" x14ac:dyDescent="0.25">
      <c r="A71">
        <v>2330</v>
      </c>
      <c r="B71" t="s">
        <v>11</v>
      </c>
      <c r="C71" s="1">
        <v>40238</v>
      </c>
      <c r="D71" s="2">
        <f t="shared" si="2"/>
        <v>1</v>
      </c>
      <c r="E71" s="2">
        <f t="shared" si="3"/>
        <v>3</v>
      </c>
      <c r="F71">
        <v>40.933300000000003</v>
      </c>
      <c r="G71">
        <v>41.208500000000001</v>
      </c>
      <c r="H71">
        <v>40.039000000000001</v>
      </c>
      <c r="I71">
        <v>41.002099999999999</v>
      </c>
      <c r="J71">
        <v>65860</v>
      </c>
      <c r="K71">
        <v>1.3513999999999999</v>
      </c>
      <c r="L71">
        <v>2.9209999999999998</v>
      </c>
    </row>
    <row r="72" spans="1:12" x14ac:dyDescent="0.25">
      <c r="A72">
        <v>2303</v>
      </c>
      <c r="B72" t="s">
        <v>10</v>
      </c>
      <c r="C72" s="1">
        <v>40239</v>
      </c>
      <c r="D72" s="2">
        <f t="shared" si="2"/>
        <v>2</v>
      </c>
      <c r="E72" s="2">
        <f t="shared" si="3"/>
        <v>3</v>
      </c>
      <c r="F72">
        <v>10.555999999999999</v>
      </c>
      <c r="G72">
        <v>10.588900000000001</v>
      </c>
      <c r="H72">
        <v>10.325799999999999</v>
      </c>
      <c r="I72">
        <v>10.358700000000001</v>
      </c>
      <c r="J72">
        <v>55218</v>
      </c>
      <c r="K72">
        <v>-1.5748</v>
      </c>
      <c r="L72">
        <v>2.5478000000000001</v>
      </c>
    </row>
    <row r="73" spans="1:12" hidden="1" x14ac:dyDescent="0.25">
      <c r="A73">
        <v>2330</v>
      </c>
      <c r="B73" t="s">
        <v>11</v>
      </c>
      <c r="C73" s="1">
        <v>40239</v>
      </c>
      <c r="D73" s="2">
        <f t="shared" si="2"/>
        <v>2</v>
      </c>
      <c r="E73" s="2">
        <f t="shared" si="3"/>
        <v>3</v>
      </c>
      <c r="F73">
        <v>41.621299999999998</v>
      </c>
      <c r="G73">
        <v>41.621299999999998</v>
      </c>
      <c r="H73">
        <v>40.933300000000003</v>
      </c>
      <c r="I73">
        <v>41.208500000000001</v>
      </c>
      <c r="J73">
        <v>54451</v>
      </c>
      <c r="K73">
        <v>0.50209999999999999</v>
      </c>
      <c r="L73">
        <v>1.6807000000000001</v>
      </c>
    </row>
    <row r="74" spans="1:12" x14ac:dyDescent="0.25">
      <c r="A74">
        <v>2303</v>
      </c>
      <c r="B74" t="s">
        <v>10</v>
      </c>
      <c r="C74" s="1">
        <v>40240</v>
      </c>
      <c r="D74" s="2">
        <f t="shared" si="2"/>
        <v>3</v>
      </c>
      <c r="E74" s="2">
        <f t="shared" si="3"/>
        <v>3</v>
      </c>
      <c r="F74">
        <v>10.4244</v>
      </c>
      <c r="G74">
        <v>10.4573</v>
      </c>
      <c r="H74">
        <v>10.325799999999999</v>
      </c>
      <c r="I74">
        <v>10.4573</v>
      </c>
      <c r="J74">
        <v>40349</v>
      </c>
      <c r="K74">
        <v>0.94789999999999996</v>
      </c>
      <c r="L74">
        <v>1.2739</v>
      </c>
    </row>
    <row r="75" spans="1:12" hidden="1" x14ac:dyDescent="0.25">
      <c r="A75">
        <v>2330</v>
      </c>
      <c r="B75" t="s">
        <v>11</v>
      </c>
      <c r="C75" s="1">
        <v>40240</v>
      </c>
      <c r="D75" s="2">
        <f t="shared" si="2"/>
        <v>3</v>
      </c>
      <c r="E75" s="2">
        <f t="shared" si="3"/>
        <v>3</v>
      </c>
      <c r="F75">
        <v>41.002099999999999</v>
      </c>
      <c r="G75">
        <v>41.3461</v>
      </c>
      <c r="H75">
        <v>41.002099999999999</v>
      </c>
      <c r="I75">
        <v>41.277299999999997</v>
      </c>
      <c r="J75">
        <v>34984</v>
      </c>
      <c r="K75">
        <v>0.1668</v>
      </c>
      <c r="L75">
        <v>0.83889999999999998</v>
      </c>
    </row>
    <row r="76" spans="1:12" x14ac:dyDescent="0.25">
      <c r="A76">
        <v>2303</v>
      </c>
      <c r="B76" t="s">
        <v>10</v>
      </c>
      <c r="C76" s="1">
        <v>40241</v>
      </c>
      <c r="D76" s="2">
        <f t="shared" si="2"/>
        <v>4</v>
      </c>
      <c r="E76" s="2">
        <f t="shared" si="3"/>
        <v>3</v>
      </c>
      <c r="F76">
        <v>10.523099999999999</v>
      </c>
      <c r="G76">
        <v>10.523099999999999</v>
      </c>
      <c r="H76">
        <v>10.292899999999999</v>
      </c>
      <c r="I76">
        <v>10.391500000000001</v>
      </c>
      <c r="J76">
        <v>39247</v>
      </c>
      <c r="K76">
        <v>-0.63090000000000002</v>
      </c>
      <c r="L76">
        <v>2.2364000000000002</v>
      </c>
    </row>
    <row r="77" spans="1:12" hidden="1" x14ac:dyDescent="0.25">
      <c r="A77">
        <v>2330</v>
      </c>
      <c r="B77" t="s">
        <v>11</v>
      </c>
      <c r="C77" s="1">
        <v>40241</v>
      </c>
      <c r="D77" s="2">
        <f t="shared" si="2"/>
        <v>4</v>
      </c>
      <c r="E77" s="2">
        <f t="shared" si="3"/>
        <v>3</v>
      </c>
      <c r="F77">
        <v>41.139699999999998</v>
      </c>
      <c r="G77">
        <v>41.139699999999998</v>
      </c>
      <c r="H77">
        <v>40.176600000000001</v>
      </c>
      <c r="I77">
        <v>40.726900000000001</v>
      </c>
      <c r="J77">
        <v>54471</v>
      </c>
      <c r="K77">
        <v>-1.3423</v>
      </c>
      <c r="L77">
        <v>2.3973</v>
      </c>
    </row>
    <row r="78" spans="1:12" x14ac:dyDescent="0.25">
      <c r="A78">
        <v>2303</v>
      </c>
      <c r="B78" t="s">
        <v>10</v>
      </c>
      <c r="C78" s="1">
        <v>40242</v>
      </c>
      <c r="D78" s="2">
        <f t="shared" si="2"/>
        <v>5</v>
      </c>
      <c r="E78" s="2">
        <f t="shared" si="3"/>
        <v>3</v>
      </c>
      <c r="F78">
        <v>10.523099999999999</v>
      </c>
      <c r="G78">
        <v>10.621700000000001</v>
      </c>
      <c r="H78">
        <v>10.4573</v>
      </c>
      <c r="I78">
        <v>10.588900000000001</v>
      </c>
      <c r="J78">
        <v>61081</v>
      </c>
      <c r="K78">
        <v>1.8809</v>
      </c>
      <c r="L78">
        <v>1.5723</v>
      </c>
    </row>
    <row r="79" spans="1:12" hidden="1" x14ac:dyDescent="0.25">
      <c r="A79">
        <v>2330</v>
      </c>
      <c r="B79" t="s">
        <v>11</v>
      </c>
      <c r="C79" s="1">
        <v>40242</v>
      </c>
      <c r="D79" s="2">
        <f t="shared" si="2"/>
        <v>5</v>
      </c>
      <c r="E79" s="2">
        <f t="shared" si="3"/>
        <v>3</v>
      </c>
      <c r="F79">
        <v>41.139699999999998</v>
      </c>
      <c r="G79">
        <v>41.552500000000002</v>
      </c>
      <c r="H79">
        <v>41.002099999999999</v>
      </c>
      <c r="I79">
        <v>41.552500000000002</v>
      </c>
      <c r="J79">
        <v>60054</v>
      </c>
      <c r="K79">
        <v>2.0068000000000001</v>
      </c>
      <c r="L79">
        <v>1.3423</v>
      </c>
    </row>
    <row r="80" spans="1:12" x14ac:dyDescent="0.25">
      <c r="A80">
        <v>2303</v>
      </c>
      <c r="B80" t="s">
        <v>10</v>
      </c>
      <c r="C80" s="1">
        <v>40245</v>
      </c>
      <c r="D80" s="2">
        <f t="shared" si="2"/>
        <v>1</v>
      </c>
      <c r="E80" s="2">
        <f t="shared" si="3"/>
        <v>3</v>
      </c>
      <c r="F80">
        <v>10.6875</v>
      </c>
      <c r="G80">
        <v>10.7204</v>
      </c>
      <c r="H80">
        <v>10.555999999999999</v>
      </c>
      <c r="I80">
        <v>10.6546</v>
      </c>
      <c r="J80">
        <v>49332</v>
      </c>
      <c r="K80">
        <v>0.61919999999999997</v>
      </c>
      <c r="L80">
        <v>1.5576000000000001</v>
      </c>
    </row>
    <row r="81" spans="1:12" hidden="1" x14ac:dyDescent="0.25">
      <c r="A81">
        <v>2330</v>
      </c>
      <c r="B81" t="s">
        <v>11</v>
      </c>
      <c r="C81" s="1">
        <v>40245</v>
      </c>
      <c r="D81" s="2">
        <f t="shared" si="2"/>
        <v>1</v>
      </c>
      <c r="E81" s="2">
        <f t="shared" si="3"/>
        <v>3</v>
      </c>
      <c r="F81">
        <v>41.896500000000003</v>
      </c>
      <c r="G81">
        <v>42.102800000000002</v>
      </c>
      <c r="H81">
        <v>41.690100000000001</v>
      </c>
      <c r="I81">
        <v>42.102800000000002</v>
      </c>
      <c r="J81">
        <v>44396</v>
      </c>
      <c r="K81">
        <v>1.3158000000000001</v>
      </c>
      <c r="L81">
        <v>0.99009999999999998</v>
      </c>
    </row>
    <row r="82" spans="1:12" x14ac:dyDescent="0.25">
      <c r="A82">
        <v>2303</v>
      </c>
      <c r="B82" t="s">
        <v>10</v>
      </c>
      <c r="C82" s="1">
        <v>40246</v>
      </c>
      <c r="D82" s="2">
        <f t="shared" si="2"/>
        <v>2</v>
      </c>
      <c r="E82" s="2">
        <f t="shared" si="3"/>
        <v>3</v>
      </c>
      <c r="F82">
        <v>10.6875</v>
      </c>
      <c r="G82">
        <v>10.753299999999999</v>
      </c>
      <c r="H82">
        <v>10.523099999999999</v>
      </c>
      <c r="I82">
        <v>10.753299999999999</v>
      </c>
      <c r="J82">
        <v>54434</v>
      </c>
      <c r="K82">
        <v>0.92169999999999996</v>
      </c>
      <c r="L82">
        <v>2.1875</v>
      </c>
    </row>
    <row r="83" spans="1:12" hidden="1" x14ac:dyDescent="0.25">
      <c r="A83">
        <v>2330</v>
      </c>
      <c r="B83" t="s">
        <v>11</v>
      </c>
      <c r="C83" s="1">
        <v>40246</v>
      </c>
      <c r="D83" s="2">
        <f t="shared" si="2"/>
        <v>2</v>
      </c>
      <c r="E83" s="2">
        <f t="shared" si="3"/>
        <v>3</v>
      </c>
      <c r="F83">
        <v>42.102800000000002</v>
      </c>
      <c r="G83">
        <v>42.240400000000001</v>
      </c>
      <c r="H83">
        <v>41.8277</v>
      </c>
      <c r="I83">
        <v>42.171599999999998</v>
      </c>
      <c r="J83">
        <v>31475</v>
      </c>
      <c r="K83">
        <v>0.1633</v>
      </c>
      <c r="L83">
        <v>0.98680000000000001</v>
      </c>
    </row>
    <row r="84" spans="1:12" x14ac:dyDescent="0.25">
      <c r="A84">
        <v>2303</v>
      </c>
      <c r="B84" t="s">
        <v>10</v>
      </c>
      <c r="C84" s="1">
        <v>40247</v>
      </c>
      <c r="D84" s="2">
        <f t="shared" si="2"/>
        <v>3</v>
      </c>
      <c r="E84" s="2">
        <f t="shared" si="3"/>
        <v>3</v>
      </c>
      <c r="F84">
        <v>10.851900000000001</v>
      </c>
      <c r="G84">
        <v>10.9177</v>
      </c>
      <c r="H84">
        <v>10.786199999999999</v>
      </c>
      <c r="I84">
        <v>10.9177</v>
      </c>
      <c r="J84">
        <v>60376</v>
      </c>
      <c r="K84">
        <v>1.5175000000000001</v>
      </c>
      <c r="L84">
        <v>1.2195</v>
      </c>
    </row>
    <row r="85" spans="1:12" hidden="1" x14ac:dyDescent="0.25">
      <c r="A85">
        <v>2330</v>
      </c>
      <c r="B85" t="s">
        <v>11</v>
      </c>
      <c r="C85" s="1">
        <v>40247</v>
      </c>
      <c r="D85" s="2">
        <f t="shared" si="2"/>
        <v>3</v>
      </c>
      <c r="E85" s="2">
        <f t="shared" si="3"/>
        <v>3</v>
      </c>
      <c r="F85">
        <v>42.171599999999998</v>
      </c>
      <c r="G85">
        <v>42.240400000000001</v>
      </c>
      <c r="H85">
        <v>41.8277</v>
      </c>
      <c r="I85">
        <v>42.240400000000001</v>
      </c>
      <c r="J85">
        <v>30588</v>
      </c>
      <c r="K85">
        <v>0.16300000000000001</v>
      </c>
      <c r="L85">
        <v>0.98680000000000001</v>
      </c>
    </row>
    <row r="86" spans="1:12" x14ac:dyDescent="0.25">
      <c r="A86">
        <v>2303</v>
      </c>
      <c r="B86" t="s">
        <v>10</v>
      </c>
      <c r="C86" s="1">
        <v>40248</v>
      </c>
      <c r="D86" s="2">
        <f t="shared" si="2"/>
        <v>4</v>
      </c>
      <c r="E86" s="2">
        <f t="shared" si="3"/>
        <v>3</v>
      </c>
      <c r="F86">
        <v>10.983499999999999</v>
      </c>
      <c r="G86">
        <v>11.082100000000001</v>
      </c>
      <c r="H86">
        <v>10.8848</v>
      </c>
      <c r="I86">
        <v>10.983499999999999</v>
      </c>
      <c r="J86">
        <v>46081</v>
      </c>
      <c r="K86">
        <v>0.60060000000000002</v>
      </c>
      <c r="L86">
        <v>1.8127</v>
      </c>
    </row>
    <row r="87" spans="1:12" hidden="1" x14ac:dyDescent="0.25">
      <c r="A87">
        <v>2330</v>
      </c>
      <c r="B87" t="s">
        <v>11</v>
      </c>
      <c r="C87" s="1">
        <v>40248</v>
      </c>
      <c r="D87" s="2">
        <f t="shared" si="2"/>
        <v>4</v>
      </c>
      <c r="E87" s="2">
        <f t="shared" si="3"/>
        <v>3</v>
      </c>
      <c r="F87">
        <v>42.378</v>
      </c>
      <c r="G87">
        <v>42.515599999999999</v>
      </c>
      <c r="H87">
        <v>42.102800000000002</v>
      </c>
      <c r="I87">
        <v>42.240400000000001</v>
      </c>
      <c r="J87">
        <v>30381</v>
      </c>
      <c r="K87">
        <v>0</v>
      </c>
      <c r="L87">
        <v>0.98040000000000005</v>
      </c>
    </row>
    <row r="88" spans="1:12" x14ac:dyDescent="0.25">
      <c r="A88">
        <v>2303</v>
      </c>
      <c r="B88" t="s">
        <v>10</v>
      </c>
      <c r="C88" s="1">
        <v>40249</v>
      </c>
      <c r="D88" s="2">
        <f t="shared" si="2"/>
        <v>5</v>
      </c>
      <c r="E88" s="2">
        <f t="shared" si="3"/>
        <v>3</v>
      </c>
      <c r="F88">
        <v>10.983499999999999</v>
      </c>
      <c r="G88">
        <v>11.016400000000001</v>
      </c>
      <c r="H88">
        <v>10.851900000000001</v>
      </c>
      <c r="I88">
        <v>11.016400000000001</v>
      </c>
      <c r="J88">
        <v>28040</v>
      </c>
      <c r="K88">
        <v>0.29899999999999999</v>
      </c>
      <c r="L88">
        <v>1.5152000000000001</v>
      </c>
    </row>
    <row r="89" spans="1:12" hidden="1" x14ac:dyDescent="0.25">
      <c r="A89">
        <v>2330</v>
      </c>
      <c r="B89" t="s">
        <v>11</v>
      </c>
      <c r="C89" s="1">
        <v>40249</v>
      </c>
      <c r="D89" s="2">
        <f t="shared" si="2"/>
        <v>5</v>
      </c>
      <c r="E89" s="2">
        <f t="shared" si="3"/>
        <v>3</v>
      </c>
      <c r="F89">
        <v>42.240400000000001</v>
      </c>
      <c r="G89">
        <v>42.309199999999997</v>
      </c>
      <c r="H89">
        <v>41.690100000000001</v>
      </c>
      <c r="I89">
        <v>41.8277</v>
      </c>
      <c r="J89">
        <v>69392</v>
      </c>
      <c r="K89">
        <v>-0.98199999999999998</v>
      </c>
      <c r="L89">
        <v>1.4851000000000001</v>
      </c>
    </row>
    <row r="90" spans="1:12" x14ac:dyDescent="0.25">
      <c r="A90">
        <v>2303</v>
      </c>
      <c r="B90" t="s">
        <v>10</v>
      </c>
      <c r="C90" s="1">
        <v>40252</v>
      </c>
      <c r="D90" s="2">
        <f t="shared" si="2"/>
        <v>1</v>
      </c>
      <c r="E90" s="2">
        <f t="shared" si="3"/>
        <v>3</v>
      </c>
      <c r="F90">
        <v>10.9177</v>
      </c>
      <c r="G90">
        <v>10.983499999999999</v>
      </c>
      <c r="H90">
        <v>10.6875</v>
      </c>
      <c r="I90">
        <v>10.7204</v>
      </c>
      <c r="J90">
        <v>40635</v>
      </c>
      <c r="K90">
        <v>-2.7233000000000001</v>
      </c>
      <c r="L90">
        <v>2.7692000000000001</v>
      </c>
    </row>
    <row r="91" spans="1:12" hidden="1" x14ac:dyDescent="0.25">
      <c r="A91">
        <v>2330</v>
      </c>
      <c r="B91" t="s">
        <v>11</v>
      </c>
      <c r="C91" s="1">
        <v>40252</v>
      </c>
      <c r="D91" s="2">
        <f t="shared" si="2"/>
        <v>1</v>
      </c>
      <c r="E91" s="2">
        <f t="shared" si="3"/>
        <v>3</v>
      </c>
      <c r="F91">
        <v>42.171599999999998</v>
      </c>
      <c r="G91">
        <v>42.171599999999998</v>
      </c>
      <c r="H91">
        <v>41.139699999999998</v>
      </c>
      <c r="I91">
        <v>41.139699999999998</v>
      </c>
      <c r="J91">
        <v>41567</v>
      </c>
      <c r="K91">
        <v>-1.6584000000000001</v>
      </c>
      <c r="L91">
        <v>2.5084</v>
      </c>
    </row>
    <row r="92" spans="1:12" x14ac:dyDescent="0.25">
      <c r="A92">
        <v>2303</v>
      </c>
      <c r="B92" t="s">
        <v>10</v>
      </c>
      <c r="C92" s="1">
        <v>40253</v>
      </c>
      <c r="D92" s="2">
        <f t="shared" si="2"/>
        <v>2</v>
      </c>
      <c r="E92" s="2">
        <f t="shared" si="3"/>
        <v>3</v>
      </c>
      <c r="F92">
        <v>10.6546</v>
      </c>
      <c r="G92">
        <v>10.851900000000001</v>
      </c>
      <c r="H92">
        <v>10.621700000000001</v>
      </c>
      <c r="I92">
        <v>10.851900000000001</v>
      </c>
      <c r="J92">
        <v>33128</v>
      </c>
      <c r="K92">
        <v>1.2195</v>
      </c>
      <c r="L92">
        <v>2.1671999999999998</v>
      </c>
    </row>
    <row r="93" spans="1:12" hidden="1" x14ac:dyDescent="0.25">
      <c r="A93">
        <v>2330</v>
      </c>
      <c r="B93" t="s">
        <v>11</v>
      </c>
      <c r="C93" s="1">
        <v>40253</v>
      </c>
      <c r="D93" s="2">
        <f t="shared" si="2"/>
        <v>2</v>
      </c>
      <c r="E93" s="2">
        <f t="shared" si="3"/>
        <v>3</v>
      </c>
      <c r="F93">
        <v>41.3461</v>
      </c>
      <c r="G93">
        <v>41.414900000000003</v>
      </c>
      <c r="H93">
        <v>41.070900000000002</v>
      </c>
      <c r="I93">
        <v>41.070900000000002</v>
      </c>
      <c r="J93">
        <v>29927</v>
      </c>
      <c r="K93">
        <v>-0.16739999999999999</v>
      </c>
      <c r="L93">
        <v>0.83750000000000002</v>
      </c>
    </row>
    <row r="94" spans="1:12" x14ac:dyDescent="0.25">
      <c r="A94">
        <v>2303</v>
      </c>
      <c r="B94" t="s">
        <v>10</v>
      </c>
      <c r="C94" s="1">
        <v>40254</v>
      </c>
      <c r="D94" s="2">
        <f t="shared" si="2"/>
        <v>3</v>
      </c>
      <c r="E94" s="2">
        <f t="shared" si="3"/>
        <v>3</v>
      </c>
      <c r="F94">
        <v>10.983499999999999</v>
      </c>
      <c r="G94">
        <v>11.049200000000001</v>
      </c>
      <c r="H94">
        <v>10.851900000000001</v>
      </c>
      <c r="I94">
        <v>11.049200000000001</v>
      </c>
      <c r="J94">
        <v>57430</v>
      </c>
      <c r="K94">
        <v>1.8019000000000001</v>
      </c>
      <c r="L94">
        <v>1.8182</v>
      </c>
    </row>
    <row r="95" spans="1:12" hidden="1" x14ac:dyDescent="0.25">
      <c r="A95">
        <v>2330</v>
      </c>
      <c r="B95" t="s">
        <v>11</v>
      </c>
      <c r="C95" s="1">
        <v>40254</v>
      </c>
      <c r="D95" s="2">
        <f t="shared" si="2"/>
        <v>3</v>
      </c>
      <c r="E95" s="2">
        <f t="shared" si="3"/>
        <v>3</v>
      </c>
      <c r="F95">
        <v>41.621299999999998</v>
      </c>
      <c r="G95">
        <v>41.896500000000003</v>
      </c>
      <c r="H95">
        <v>41.208500000000001</v>
      </c>
      <c r="I95">
        <v>41.621299999999998</v>
      </c>
      <c r="J95">
        <v>69118</v>
      </c>
      <c r="K95">
        <v>1.3310999999999999</v>
      </c>
      <c r="L95">
        <v>1.6694</v>
      </c>
    </row>
    <row r="96" spans="1:12" x14ac:dyDescent="0.25">
      <c r="A96">
        <v>2303</v>
      </c>
      <c r="B96" t="s">
        <v>10</v>
      </c>
      <c r="C96" s="1">
        <v>40255</v>
      </c>
      <c r="D96" s="2">
        <f t="shared" si="2"/>
        <v>4</v>
      </c>
      <c r="E96" s="2">
        <f t="shared" si="3"/>
        <v>3</v>
      </c>
      <c r="F96">
        <v>11.049200000000001</v>
      </c>
      <c r="G96">
        <v>11.115</v>
      </c>
      <c r="H96">
        <v>10.9177</v>
      </c>
      <c r="I96">
        <v>11.016400000000001</v>
      </c>
      <c r="J96">
        <v>46556</v>
      </c>
      <c r="K96">
        <v>-0.29809999999999998</v>
      </c>
      <c r="L96">
        <v>1.8071999999999999</v>
      </c>
    </row>
    <row r="97" spans="1:12" hidden="1" x14ac:dyDescent="0.25">
      <c r="A97">
        <v>2330</v>
      </c>
      <c r="B97" t="s">
        <v>11</v>
      </c>
      <c r="C97" s="1">
        <v>40255</v>
      </c>
      <c r="D97" s="2">
        <f t="shared" si="2"/>
        <v>4</v>
      </c>
      <c r="E97" s="2">
        <f t="shared" si="3"/>
        <v>3</v>
      </c>
      <c r="F97">
        <v>41.3461</v>
      </c>
      <c r="G97">
        <v>41.690100000000001</v>
      </c>
      <c r="H97">
        <v>41.277299999999997</v>
      </c>
      <c r="I97">
        <v>41.552500000000002</v>
      </c>
      <c r="J97">
        <v>70256</v>
      </c>
      <c r="K97">
        <v>-0.16539999999999999</v>
      </c>
      <c r="L97">
        <v>1</v>
      </c>
    </row>
    <row r="98" spans="1:12" x14ac:dyDescent="0.25">
      <c r="A98">
        <v>2303</v>
      </c>
      <c r="B98" t="s">
        <v>10</v>
      </c>
      <c r="C98" s="1">
        <v>40256</v>
      </c>
      <c r="D98" s="2">
        <f t="shared" si="2"/>
        <v>5</v>
      </c>
      <c r="E98" s="2">
        <f t="shared" si="3"/>
        <v>3</v>
      </c>
      <c r="F98">
        <v>11.049200000000001</v>
      </c>
      <c r="G98">
        <v>11.246600000000001</v>
      </c>
      <c r="H98">
        <v>11.049200000000001</v>
      </c>
      <c r="I98">
        <v>11.1479</v>
      </c>
      <c r="J98">
        <v>47042</v>
      </c>
      <c r="K98">
        <v>1.1870000000000001</v>
      </c>
      <c r="L98">
        <v>1.7857000000000001</v>
      </c>
    </row>
    <row r="99" spans="1:12" hidden="1" x14ac:dyDescent="0.25">
      <c r="A99">
        <v>2330</v>
      </c>
      <c r="B99" t="s">
        <v>11</v>
      </c>
      <c r="C99" s="1">
        <v>40256</v>
      </c>
      <c r="D99" s="2">
        <f t="shared" si="2"/>
        <v>5</v>
      </c>
      <c r="E99" s="2">
        <f t="shared" si="3"/>
        <v>3</v>
      </c>
      <c r="F99">
        <v>41.277299999999997</v>
      </c>
      <c r="G99">
        <v>41.483699999999999</v>
      </c>
      <c r="H99">
        <v>41.070900000000002</v>
      </c>
      <c r="I99">
        <v>41.277299999999997</v>
      </c>
      <c r="J99">
        <v>46018</v>
      </c>
      <c r="K99">
        <v>-0.66449999999999998</v>
      </c>
      <c r="L99">
        <v>1.0049999999999999</v>
      </c>
    </row>
    <row r="100" spans="1:12" x14ac:dyDescent="0.25">
      <c r="A100">
        <v>2303</v>
      </c>
      <c r="B100" t="s">
        <v>10</v>
      </c>
      <c r="C100" s="1">
        <v>40259</v>
      </c>
      <c r="D100" s="2">
        <f t="shared" si="2"/>
        <v>1</v>
      </c>
      <c r="E100" s="2">
        <f t="shared" si="3"/>
        <v>3</v>
      </c>
      <c r="F100">
        <v>11.016400000000001</v>
      </c>
      <c r="G100">
        <v>11.016400000000001</v>
      </c>
      <c r="H100">
        <v>10.8848</v>
      </c>
      <c r="I100">
        <v>11.016400000000001</v>
      </c>
      <c r="J100">
        <v>38779</v>
      </c>
      <c r="K100">
        <v>-1.1870000000000001</v>
      </c>
      <c r="L100">
        <v>1.2084999999999999</v>
      </c>
    </row>
    <row r="101" spans="1:12" hidden="1" x14ac:dyDescent="0.25">
      <c r="A101">
        <v>2330</v>
      </c>
      <c r="B101" t="s">
        <v>11</v>
      </c>
      <c r="C101" s="1">
        <v>40259</v>
      </c>
      <c r="D101" s="2">
        <f t="shared" si="2"/>
        <v>1</v>
      </c>
      <c r="E101" s="2">
        <f t="shared" si="3"/>
        <v>3</v>
      </c>
      <c r="F101">
        <v>41.002099999999999</v>
      </c>
      <c r="G101">
        <v>41.002099999999999</v>
      </c>
      <c r="H101">
        <v>40.451799999999999</v>
      </c>
      <c r="I101">
        <v>40.589300000000001</v>
      </c>
      <c r="J101">
        <v>47084</v>
      </c>
      <c r="K101">
        <v>-1.6807000000000001</v>
      </c>
      <c r="L101">
        <v>1.3605</v>
      </c>
    </row>
    <row r="102" spans="1:12" x14ac:dyDescent="0.25">
      <c r="A102">
        <v>2303</v>
      </c>
      <c r="B102" t="s">
        <v>10</v>
      </c>
      <c r="C102" s="1">
        <v>40260</v>
      </c>
      <c r="D102" s="2">
        <f t="shared" si="2"/>
        <v>2</v>
      </c>
      <c r="E102" s="2">
        <f t="shared" si="3"/>
        <v>3</v>
      </c>
      <c r="F102">
        <v>11.115</v>
      </c>
      <c r="G102">
        <v>11.115</v>
      </c>
      <c r="H102">
        <v>10.8848</v>
      </c>
      <c r="I102">
        <v>10.8848</v>
      </c>
      <c r="J102">
        <v>30176</v>
      </c>
      <c r="K102">
        <v>-1.2012</v>
      </c>
      <c r="L102">
        <v>2.1147999999999998</v>
      </c>
    </row>
    <row r="103" spans="1:12" hidden="1" x14ac:dyDescent="0.25">
      <c r="A103">
        <v>2330</v>
      </c>
      <c r="B103" t="s">
        <v>11</v>
      </c>
      <c r="C103" s="1">
        <v>40260</v>
      </c>
      <c r="D103" s="2">
        <f t="shared" si="2"/>
        <v>2</v>
      </c>
      <c r="E103" s="2">
        <f t="shared" si="3"/>
        <v>3</v>
      </c>
      <c r="F103">
        <v>40.933300000000003</v>
      </c>
      <c r="G103">
        <v>41.3461</v>
      </c>
      <c r="H103">
        <v>40.933300000000003</v>
      </c>
      <c r="I103">
        <v>41.002099999999999</v>
      </c>
      <c r="J103">
        <v>51751</v>
      </c>
      <c r="K103">
        <v>1.0118</v>
      </c>
      <c r="L103">
        <v>1.0084</v>
      </c>
    </row>
    <row r="104" spans="1:12" x14ac:dyDescent="0.25">
      <c r="A104">
        <v>2303</v>
      </c>
      <c r="B104" t="s">
        <v>10</v>
      </c>
      <c r="C104" s="1">
        <v>40261</v>
      </c>
      <c r="D104" s="2">
        <f t="shared" si="2"/>
        <v>3</v>
      </c>
      <c r="E104" s="2">
        <f t="shared" si="3"/>
        <v>3</v>
      </c>
      <c r="F104">
        <v>11.082100000000001</v>
      </c>
      <c r="G104">
        <v>11.115</v>
      </c>
      <c r="H104">
        <v>11.016400000000001</v>
      </c>
      <c r="I104">
        <v>11.016400000000001</v>
      </c>
      <c r="J104">
        <v>31630</v>
      </c>
      <c r="K104">
        <v>1.2012</v>
      </c>
      <c r="L104">
        <v>0.89549999999999996</v>
      </c>
    </row>
    <row r="105" spans="1:12" hidden="1" x14ac:dyDescent="0.25">
      <c r="A105">
        <v>2330</v>
      </c>
      <c r="B105" t="s">
        <v>11</v>
      </c>
      <c r="C105" s="1">
        <v>40261</v>
      </c>
      <c r="D105" s="2">
        <f t="shared" si="2"/>
        <v>3</v>
      </c>
      <c r="E105" s="2">
        <f t="shared" si="3"/>
        <v>3</v>
      </c>
      <c r="F105">
        <v>41.3461</v>
      </c>
      <c r="G105">
        <v>41.8277</v>
      </c>
      <c r="H105">
        <v>41.3461</v>
      </c>
      <c r="I105">
        <v>41.690100000000001</v>
      </c>
      <c r="J105">
        <v>48661</v>
      </c>
      <c r="K105">
        <v>1.6638999999999999</v>
      </c>
      <c r="L105">
        <v>1.1647000000000001</v>
      </c>
    </row>
    <row r="106" spans="1:12" x14ac:dyDescent="0.25">
      <c r="A106">
        <v>2303</v>
      </c>
      <c r="B106" t="s">
        <v>10</v>
      </c>
      <c r="C106" s="1">
        <v>40262</v>
      </c>
      <c r="D106" s="2">
        <f t="shared" si="2"/>
        <v>4</v>
      </c>
      <c r="E106" s="2">
        <f t="shared" si="3"/>
        <v>3</v>
      </c>
      <c r="F106">
        <v>11.016400000000001</v>
      </c>
      <c r="G106">
        <v>11.082100000000001</v>
      </c>
      <c r="H106">
        <v>10.851900000000001</v>
      </c>
      <c r="I106">
        <v>10.983499999999999</v>
      </c>
      <c r="J106">
        <v>24779</v>
      </c>
      <c r="K106">
        <v>-0.29899999999999999</v>
      </c>
      <c r="L106">
        <v>2.1212</v>
      </c>
    </row>
    <row r="107" spans="1:12" hidden="1" x14ac:dyDescent="0.25">
      <c r="A107">
        <v>2330</v>
      </c>
      <c r="B107" t="s">
        <v>11</v>
      </c>
      <c r="C107" s="1">
        <v>40262</v>
      </c>
      <c r="D107" s="2">
        <f t="shared" si="2"/>
        <v>4</v>
      </c>
      <c r="E107" s="2">
        <f t="shared" si="3"/>
        <v>3</v>
      </c>
      <c r="F107">
        <v>41.896500000000003</v>
      </c>
      <c r="G107">
        <v>42.309199999999997</v>
      </c>
      <c r="H107">
        <v>41.414900000000003</v>
      </c>
      <c r="I107">
        <v>42.309199999999997</v>
      </c>
      <c r="J107">
        <v>64155</v>
      </c>
      <c r="K107">
        <v>1.4742</v>
      </c>
      <c r="L107">
        <v>2.1595</v>
      </c>
    </row>
    <row r="108" spans="1:12" x14ac:dyDescent="0.25">
      <c r="A108">
        <v>2303</v>
      </c>
      <c r="B108" t="s">
        <v>10</v>
      </c>
      <c r="C108" s="1">
        <v>40263</v>
      </c>
      <c r="D108" s="2">
        <f t="shared" si="2"/>
        <v>5</v>
      </c>
      <c r="E108" s="2">
        <f t="shared" si="3"/>
        <v>3</v>
      </c>
      <c r="F108">
        <v>10.9177</v>
      </c>
      <c r="G108">
        <v>11.1808</v>
      </c>
      <c r="H108">
        <v>10.851900000000001</v>
      </c>
      <c r="I108">
        <v>11.1808</v>
      </c>
      <c r="J108">
        <v>35100</v>
      </c>
      <c r="K108">
        <v>1.7805</v>
      </c>
      <c r="L108">
        <v>3.0303</v>
      </c>
    </row>
    <row r="109" spans="1:12" hidden="1" x14ac:dyDescent="0.25">
      <c r="A109">
        <v>2330</v>
      </c>
      <c r="B109" t="s">
        <v>11</v>
      </c>
      <c r="C109" s="1">
        <v>40263</v>
      </c>
      <c r="D109" s="2">
        <f t="shared" si="2"/>
        <v>5</v>
      </c>
      <c r="E109" s="2">
        <f t="shared" si="3"/>
        <v>3</v>
      </c>
      <c r="F109">
        <v>42.171599999999998</v>
      </c>
      <c r="G109">
        <v>42.653199999999998</v>
      </c>
      <c r="H109">
        <v>41.483699999999999</v>
      </c>
      <c r="I109">
        <v>42.653199999999998</v>
      </c>
      <c r="J109">
        <v>81172</v>
      </c>
      <c r="K109">
        <v>0.80969999999999998</v>
      </c>
      <c r="L109">
        <v>2.8191999999999999</v>
      </c>
    </row>
    <row r="110" spans="1:12" x14ac:dyDescent="0.25">
      <c r="A110">
        <v>2303</v>
      </c>
      <c r="B110" t="s">
        <v>10</v>
      </c>
      <c r="C110" s="1">
        <v>40266</v>
      </c>
      <c r="D110" s="2">
        <f t="shared" si="2"/>
        <v>1</v>
      </c>
      <c r="E110" s="2">
        <f t="shared" si="3"/>
        <v>3</v>
      </c>
      <c r="F110">
        <v>11.1808</v>
      </c>
      <c r="G110">
        <v>11.213699999999999</v>
      </c>
      <c r="H110">
        <v>11.016400000000001</v>
      </c>
      <c r="I110">
        <v>11.016400000000001</v>
      </c>
      <c r="J110">
        <v>45614</v>
      </c>
      <c r="K110">
        <v>-1.4815</v>
      </c>
      <c r="L110">
        <v>1.7909999999999999</v>
      </c>
    </row>
    <row r="111" spans="1:12" hidden="1" x14ac:dyDescent="0.25">
      <c r="A111">
        <v>2330</v>
      </c>
      <c r="B111" t="s">
        <v>11</v>
      </c>
      <c r="C111" s="1">
        <v>40266</v>
      </c>
      <c r="D111" s="2">
        <f t="shared" si="2"/>
        <v>1</v>
      </c>
      <c r="E111" s="2">
        <f t="shared" si="3"/>
        <v>3</v>
      </c>
      <c r="F111">
        <v>42.653199999999998</v>
      </c>
      <c r="G111">
        <v>42.8596</v>
      </c>
      <c r="H111">
        <v>42.446800000000003</v>
      </c>
      <c r="I111">
        <v>42.790799999999997</v>
      </c>
      <c r="J111">
        <v>37559</v>
      </c>
      <c r="K111">
        <v>0.3221</v>
      </c>
      <c r="L111">
        <v>0.97240000000000004</v>
      </c>
    </row>
    <row r="112" spans="1:12" x14ac:dyDescent="0.25">
      <c r="A112">
        <v>2303</v>
      </c>
      <c r="B112" t="s">
        <v>10</v>
      </c>
      <c r="C112" s="1">
        <v>40267</v>
      </c>
      <c r="D112" s="2">
        <f t="shared" si="2"/>
        <v>2</v>
      </c>
      <c r="E112" s="2">
        <f t="shared" si="3"/>
        <v>3</v>
      </c>
      <c r="F112">
        <v>11.082100000000001</v>
      </c>
      <c r="G112">
        <v>11.082100000000001</v>
      </c>
      <c r="H112">
        <v>11.016400000000001</v>
      </c>
      <c r="I112">
        <v>11.049200000000001</v>
      </c>
      <c r="J112">
        <v>23275</v>
      </c>
      <c r="K112">
        <v>0.29809999999999998</v>
      </c>
      <c r="L112">
        <v>0.59699999999999998</v>
      </c>
    </row>
    <row r="113" spans="1:12" hidden="1" x14ac:dyDescent="0.25">
      <c r="A113">
        <v>2330</v>
      </c>
      <c r="B113" t="s">
        <v>11</v>
      </c>
      <c r="C113" s="1">
        <v>40267</v>
      </c>
      <c r="D113" s="2">
        <f t="shared" si="2"/>
        <v>2</v>
      </c>
      <c r="E113" s="2">
        <f t="shared" si="3"/>
        <v>3</v>
      </c>
      <c r="F113">
        <v>42.928400000000003</v>
      </c>
      <c r="G113">
        <v>42.928400000000003</v>
      </c>
      <c r="H113">
        <v>42.446800000000003</v>
      </c>
      <c r="I113">
        <v>42.790799999999997</v>
      </c>
      <c r="J113">
        <v>30055</v>
      </c>
      <c r="K113">
        <v>0</v>
      </c>
      <c r="L113">
        <v>1.1345000000000001</v>
      </c>
    </row>
    <row r="114" spans="1:12" x14ac:dyDescent="0.25">
      <c r="A114">
        <v>2303</v>
      </c>
      <c r="B114" t="s">
        <v>10</v>
      </c>
      <c r="C114" s="1">
        <v>40268</v>
      </c>
      <c r="D114" s="2">
        <f t="shared" si="2"/>
        <v>3</v>
      </c>
      <c r="E114" s="2">
        <f t="shared" si="3"/>
        <v>3</v>
      </c>
      <c r="F114">
        <v>11.115</v>
      </c>
      <c r="G114">
        <v>11.279400000000001</v>
      </c>
      <c r="H114">
        <v>11.049200000000001</v>
      </c>
      <c r="I114">
        <v>11.082100000000001</v>
      </c>
      <c r="J114">
        <v>48935</v>
      </c>
      <c r="K114">
        <v>0.29720000000000002</v>
      </c>
      <c r="L114">
        <v>2.0832999999999999</v>
      </c>
    </row>
    <row r="115" spans="1:12" hidden="1" x14ac:dyDescent="0.25">
      <c r="A115">
        <v>2330</v>
      </c>
      <c r="B115" t="s">
        <v>11</v>
      </c>
      <c r="C115" s="1">
        <v>40268</v>
      </c>
      <c r="D115" s="2">
        <f t="shared" si="2"/>
        <v>3</v>
      </c>
      <c r="E115" s="2">
        <f t="shared" si="3"/>
        <v>3</v>
      </c>
      <c r="F115">
        <v>42.790799999999997</v>
      </c>
      <c r="G115">
        <v>42.790799999999997</v>
      </c>
      <c r="H115">
        <v>42.309199999999997</v>
      </c>
      <c r="I115">
        <v>42.309199999999997</v>
      </c>
      <c r="J115">
        <v>39288</v>
      </c>
      <c r="K115">
        <v>-1.1317999999999999</v>
      </c>
      <c r="L115">
        <v>1.1382000000000001</v>
      </c>
    </row>
    <row r="116" spans="1:12" x14ac:dyDescent="0.25">
      <c r="A116">
        <v>2303</v>
      </c>
      <c r="B116" t="s">
        <v>10</v>
      </c>
      <c r="C116" s="1">
        <v>40269</v>
      </c>
      <c r="D116" s="2">
        <f t="shared" si="2"/>
        <v>4</v>
      </c>
      <c r="E116" s="2">
        <f t="shared" si="3"/>
        <v>4</v>
      </c>
      <c r="F116">
        <v>11.082100000000001</v>
      </c>
      <c r="G116">
        <v>11.246600000000001</v>
      </c>
      <c r="H116">
        <v>11.049200000000001</v>
      </c>
      <c r="I116">
        <v>11.115</v>
      </c>
      <c r="J116">
        <v>53801</v>
      </c>
      <c r="K116">
        <v>0.29630000000000001</v>
      </c>
      <c r="L116">
        <v>1.7857000000000001</v>
      </c>
    </row>
    <row r="117" spans="1:12" hidden="1" x14ac:dyDescent="0.25">
      <c r="A117">
        <v>2330</v>
      </c>
      <c r="B117" t="s">
        <v>11</v>
      </c>
      <c r="C117" s="1">
        <v>40269</v>
      </c>
      <c r="D117" s="2">
        <f t="shared" si="2"/>
        <v>4</v>
      </c>
      <c r="E117" s="2">
        <f t="shared" si="3"/>
        <v>4</v>
      </c>
      <c r="F117">
        <v>42.309199999999997</v>
      </c>
      <c r="G117">
        <v>42.997199999999999</v>
      </c>
      <c r="H117">
        <v>42.309199999999997</v>
      </c>
      <c r="I117">
        <v>42.722000000000001</v>
      </c>
      <c r="J117">
        <v>54739</v>
      </c>
      <c r="K117">
        <v>0.97089999999999999</v>
      </c>
      <c r="L117">
        <v>1.6259999999999999</v>
      </c>
    </row>
    <row r="118" spans="1:12" x14ac:dyDescent="0.25">
      <c r="A118">
        <v>2303</v>
      </c>
      <c r="B118" t="s">
        <v>10</v>
      </c>
      <c r="C118" s="1">
        <v>40270</v>
      </c>
      <c r="D118" s="2">
        <f t="shared" si="2"/>
        <v>5</v>
      </c>
      <c r="E118" s="2">
        <f t="shared" si="3"/>
        <v>4</v>
      </c>
      <c r="F118">
        <v>11.115</v>
      </c>
      <c r="G118">
        <v>11.1808</v>
      </c>
      <c r="H118">
        <v>10.983499999999999</v>
      </c>
      <c r="I118">
        <v>11.016400000000001</v>
      </c>
      <c r="J118">
        <v>23279</v>
      </c>
      <c r="K118">
        <v>-0.89149999999999996</v>
      </c>
      <c r="L118">
        <v>1.7964</v>
      </c>
    </row>
    <row r="119" spans="1:12" hidden="1" x14ac:dyDescent="0.25">
      <c r="A119">
        <v>2330</v>
      </c>
      <c r="B119" t="s">
        <v>11</v>
      </c>
      <c r="C119" s="1">
        <v>40270</v>
      </c>
      <c r="D119" s="2">
        <f t="shared" si="2"/>
        <v>5</v>
      </c>
      <c r="E119" s="2">
        <f t="shared" si="3"/>
        <v>4</v>
      </c>
      <c r="F119">
        <v>42.997199999999999</v>
      </c>
      <c r="G119">
        <v>42.997199999999999</v>
      </c>
      <c r="H119">
        <v>42.722000000000001</v>
      </c>
      <c r="I119">
        <v>42.928400000000003</v>
      </c>
      <c r="J119">
        <v>17373</v>
      </c>
      <c r="K119">
        <v>0.4819</v>
      </c>
      <c r="L119">
        <v>0.64410000000000001</v>
      </c>
    </row>
    <row r="120" spans="1:12" x14ac:dyDescent="0.25">
      <c r="A120">
        <v>2303</v>
      </c>
      <c r="B120" t="s">
        <v>10</v>
      </c>
      <c r="C120" s="1">
        <v>40274</v>
      </c>
      <c r="D120" s="2">
        <f t="shared" si="2"/>
        <v>2</v>
      </c>
      <c r="E120" s="2">
        <f t="shared" si="3"/>
        <v>4</v>
      </c>
      <c r="F120">
        <v>11.082100000000001</v>
      </c>
      <c r="G120">
        <v>11.279400000000001</v>
      </c>
      <c r="H120">
        <v>11.082100000000001</v>
      </c>
      <c r="I120">
        <v>11.213699999999999</v>
      </c>
      <c r="J120">
        <v>44524</v>
      </c>
      <c r="K120">
        <v>1.7751999999999999</v>
      </c>
      <c r="L120">
        <v>1.7804</v>
      </c>
    </row>
    <row r="121" spans="1:12" hidden="1" x14ac:dyDescent="0.25">
      <c r="A121">
        <v>2330</v>
      </c>
      <c r="B121" t="s">
        <v>11</v>
      </c>
      <c r="C121" s="1">
        <v>40274</v>
      </c>
      <c r="D121" s="2">
        <f t="shared" si="2"/>
        <v>2</v>
      </c>
      <c r="E121" s="2">
        <f t="shared" si="3"/>
        <v>4</v>
      </c>
      <c r="F121">
        <v>43.203600000000002</v>
      </c>
      <c r="G121">
        <v>43.685099999999998</v>
      </c>
      <c r="H121">
        <v>43.203600000000002</v>
      </c>
      <c r="I121">
        <v>43.616300000000003</v>
      </c>
      <c r="J121">
        <v>53216</v>
      </c>
      <c r="K121">
        <v>1.5899000000000001</v>
      </c>
      <c r="L121">
        <v>1.1146</v>
      </c>
    </row>
    <row r="122" spans="1:12" x14ac:dyDescent="0.25">
      <c r="A122">
        <v>2303</v>
      </c>
      <c r="B122" t="s">
        <v>10</v>
      </c>
      <c r="C122" s="1">
        <v>40275</v>
      </c>
      <c r="D122" s="2">
        <f t="shared" si="2"/>
        <v>3</v>
      </c>
      <c r="E122" s="2">
        <f t="shared" si="3"/>
        <v>4</v>
      </c>
      <c r="F122">
        <v>11.246600000000001</v>
      </c>
      <c r="G122">
        <v>11.3123</v>
      </c>
      <c r="H122">
        <v>11.213699999999999</v>
      </c>
      <c r="I122">
        <v>11.3123</v>
      </c>
      <c r="J122">
        <v>29155</v>
      </c>
      <c r="K122">
        <v>0.87590000000000001</v>
      </c>
      <c r="L122">
        <v>0.87980000000000003</v>
      </c>
    </row>
    <row r="123" spans="1:12" hidden="1" x14ac:dyDescent="0.25">
      <c r="A123">
        <v>2330</v>
      </c>
      <c r="B123" t="s">
        <v>11</v>
      </c>
      <c r="C123" s="1">
        <v>40275</v>
      </c>
      <c r="D123" s="2">
        <f t="shared" si="2"/>
        <v>3</v>
      </c>
      <c r="E123" s="2">
        <f t="shared" si="3"/>
        <v>4</v>
      </c>
      <c r="F123">
        <v>43.685099999999998</v>
      </c>
      <c r="G123">
        <v>43.685099999999998</v>
      </c>
      <c r="H123">
        <v>43.41</v>
      </c>
      <c r="I123">
        <v>43.685099999999998</v>
      </c>
      <c r="J123">
        <v>49685</v>
      </c>
      <c r="K123">
        <v>0.15759999999999999</v>
      </c>
      <c r="L123">
        <v>0.63390000000000002</v>
      </c>
    </row>
    <row r="124" spans="1:12" x14ac:dyDescent="0.25">
      <c r="A124">
        <v>2303</v>
      </c>
      <c r="B124" t="s">
        <v>10</v>
      </c>
      <c r="C124" s="1">
        <v>40276</v>
      </c>
      <c r="D124" s="2">
        <f t="shared" si="2"/>
        <v>4</v>
      </c>
      <c r="E124" s="2">
        <f t="shared" si="3"/>
        <v>4</v>
      </c>
      <c r="F124">
        <v>11.3123</v>
      </c>
      <c r="G124">
        <v>11.3452</v>
      </c>
      <c r="H124">
        <v>11.213699999999999</v>
      </c>
      <c r="I124">
        <v>11.213699999999999</v>
      </c>
      <c r="J124">
        <v>34201</v>
      </c>
      <c r="K124">
        <v>-0.87590000000000001</v>
      </c>
      <c r="L124">
        <v>1.173</v>
      </c>
    </row>
    <row r="125" spans="1:12" hidden="1" x14ac:dyDescent="0.25">
      <c r="A125">
        <v>2330</v>
      </c>
      <c r="B125" t="s">
        <v>11</v>
      </c>
      <c r="C125" s="1">
        <v>40276</v>
      </c>
      <c r="D125" s="2">
        <f t="shared" si="2"/>
        <v>4</v>
      </c>
      <c r="E125" s="2">
        <f t="shared" si="3"/>
        <v>4</v>
      </c>
      <c r="F125">
        <v>43.203600000000002</v>
      </c>
      <c r="G125">
        <v>43.341200000000001</v>
      </c>
      <c r="H125">
        <v>42.722000000000001</v>
      </c>
      <c r="I125">
        <v>42.8596</v>
      </c>
      <c r="J125">
        <v>48608</v>
      </c>
      <c r="K125">
        <v>-1.9077999999999999</v>
      </c>
      <c r="L125">
        <v>1.4493</v>
      </c>
    </row>
    <row r="126" spans="1:12" x14ac:dyDescent="0.25">
      <c r="A126">
        <v>2303</v>
      </c>
      <c r="B126" t="s">
        <v>10</v>
      </c>
      <c r="C126" s="1">
        <v>40277</v>
      </c>
      <c r="D126" s="2">
        <f t="shared" si="2"/>
        <v>5</v>
      </c>
      <c r="E126" s="2">
        <f t="shared" si="3"/>
        <v>4</v>
      </c>
      <c r="F126">
        <v>11.3123</v>
      </c>
      <c r="G126">
        <v>11.3123</v>
      </c>
      <c r="H126">
        <v>11.115</v>
      </c>
      <c r="I126">
        <v>11.1479</v>
      </c>
      <c r="J126">
        <v>23996</v>
      </c>
      <c r="K126">
        <v>-0.58819999999999995</v>
      </c>
      <c r="L126">
        <v>1.7750999999999999</v>
      </c>
    </row>
    <row r="127" spans="1:12" hidden="1" x14ac:dyDescent="0.25">
      <c r="A127">
        <v>2330</v>
      </c>
      <c r="B127" t="s">
        <v>11</v>
      </c>
      <c r="C127" s="1">
        <v>40277</v>
      </c>
      <c r="D127" s="2">
        <f t="shared" si="2"/>
        <v>5</v>
      </c>
      <c r="E127" s="2">
        <f t="shared" si="3"/>
        <v>4</v>
      </c>
      <c r="F127">
        <v>42.584400000000002</v>
      </c>
      <c r="G127">
        <v>43.341200000000001</v>
      </c>
      <c r="H127">
        <v>42.584400000000002</v>
      </c>
      <c r="I127">
        <v>43.134799999999998</v>
      </c>
      <c r="J127">
        <v>31648</v>
      </c>
      <c r="K127">
        <v>0.64</v>
      </c>
      <c r="L127">
        <v>1.7770999999999999</v>
      </c>
    </row>
    <row r="128" spans="1:12" x14ac:dyDescent="0.25">
      <c r="A128">
        <v>2303</v>
      </c>
      <c r="B128" t="s">
        <v>10</v>
      </c>
      <c r="C128" s="1">
        <v>40280</v>
      </c>
      <c r="D128" s="2">
        <f t="shared" si="2"/>
        <v>1</v>
      </c>
      <c r="E128" s="2">
        <f t="shared" si="3"/>
        <v>4</v>
      </c>
      <c r="F128">
        <v>11.1808</v>
      </c>
      <c r="G128">
        <v>11.1808</v>
      </c>
      <c r="H128">
        <v>11.049200000000001</v>
      </c>
      <c r="I128">
        <v>11.1479</v>
      </c>
      <c r="J128">
        <v>16992</v>
      </c>
      <c r="K128">
        <v>0</v>
      </c>
      <c r="L128">
        <v>1.1904999999999999</v>
      </c>
    </row>
    <row r="129" spans="1:12" hidden="1" x14ac:dyDescent="0.25">
      <c r="A129">
        <v>2330</v>
      </c>
      <c r="B129" t="s">
        <v>11</v>
      </c>
      <c r="C129" s="1">
        <v>40280</v>
      </c>
      <c r="D129" s="2">
        <f t="shared" si="2"/>
        <v>1</v>
      </c>
      <c r="E129" s="2">
        <f t="shared" si="3"/>
        <v>4</v>
      </c>
      <c r="F129">
        <v>43.547600000000003</v>
      </c>
      <c r="G129">
        <v>43.616300000000003</v>
      </c>
      <c r="H129">
        <v>43.203600000000002</v>
      </c>
      <c r="I129">
        <v>43.41</v>
      </c>
      <c r="J129">
        <v>36942</v>
      </c>
      <c r="K129">
        <v>0.63590000000000002</v>
      </c>
      <c r="L129">
        <v>0.95540000000000003</v>
      </c>
    </row>
    <row r="130" spans="1:12" x14ac:dyDescent="0.25">
      <c r="A130">
        <v>2303</v>
      </c>
      <c r="B130" t="s">
        <v>10</v>
      </c>
      <c r="C130" s="1">
        <v>40281</v>
      </c>
      <c r="D130" s="2">
        <f t="shared" si="2"/>
        <v>2</v>
      </c>
      <c r="E130" s="2">
        <f t="shared" si="3"/>
        <v>4</v>
      </c>
      <c r="F130">
        <v>11.115</v>
      </c>
      <c r="G130">
        <v>11.115</v>
      </c>
      <c r="H130">
        <v>10.851900000000001</v>
      </c>
      <c r="I130">
        <v>10.9177</v>
      </c>
      <c r="J130">
        <v>38342</v>
      </c>
      <c r="K130">
        <v>-2.0865</v>
      </c>
      <c r="L130">
        <v>2.4241999999999999</v>
      </c>
    </row>
    <row r="131" spans="1:12" hidden="1" x14ac:dyDescent="0.25">
      <c r="A131">
        <v>2330</v>
      </c>
      <c r="B131" t="s">
        <v>11</v>
      </c>
      <c r="C131" s="1">
        <v>40281</v>
      </c>
      <c r="D131" s="2">
        <f t="shared" ref="D131:D194" si="4">WEEKDAY(C131,2)</f>
        <v>2</v>
      </c>
      <c r="E131" s="2">
        <f t="shared" ref="E131:E194" si="5">MONTH(C131)</f>
        <v>4</v>
      </c>
      <c r="F131">
        <v>43.341200000000001</v>
      </c>
      <c r="G131">
        <v>43.41</v>
      </c>
      <c r="H131">
        <v>42.722000000000001</v>
      </c>
      <c r="I131">
        <v>43.272399999999998</v>
      </c>
      <c r="J131">
        <v>42767</v>
      </c>
      <c r="K131">
        <v>-0.3175</v>
      </c>
      <c r="L131">
        <v>1.6103000000000001</v>
      </c>
    </row>
    <row r="132" spans="1:12" x14ac:dyDescent="0.25">
      <c r="A132">
        <v>2303</v>
      </c>
      <c r="B132" t="s">
        <v>10</v>
      </c>
      <c r="C132" s="1">
        <v>40282</v>
      </c>
      <c r="D132" s="2">
        <f t="shared" si="4"/>
        <v>3</v>
      </c>
      <c r="E132" s="2">
        <f t="shared" si="5"/>
        <v>4</v>
      </c>
      <c r="F132">
        <v>10.983499999999999</v>
      </c>
      <c r="G132">
        <v>11.016400000000001</v>
      </c>
      <c r="H132">
        <v>10.753299999999999</v>
      </c>
      <c r="I132">
        <v>10.9506</v>
      </c>
      <c r="J132">
        <v>29363</v>
      </c>
      <c r="K132">
        <v>0.30080000000000001</v>
      </c>
      <c r="L132">
        <v>2.4464999999999999</v>
      </c>
    </row>
    <row r="133" spans="1:12" hidden="1" x14ac:dyDescent="0.25">
      <c r="A133">
        <v>2330</v>
      </c>
      <c r="B133" t="s">
        <v>11</v>
      </c>
      <c r="C133" s="1">
        <v>40282</v>
      </c>
      <c r="D133" s="2">
        <f t="shared" si="4"/>
        <v>3</v>
      </c>
      <c r="E133" s="2">
        <f t="shared" si="5"/>
        <v>4</v>
      </c>
      <c r="F133">
        <v>43.41</v>
      </c>
      <c r="G133">
        <v>43.891500000000001</v>
      </c>
      <c r="H133">
        <v>43.272399999999998</v>
      </c>
      <c r="I133">
        <v>43.891500000000001</v>
      </c>
      <c r="J133">
        <v>55676</v>
      </c>
      <c r="K133">
        <v>1.4207000000000001</v>
      </c>
      <c r="L133">
        <v>1.4308000000000001</v>
      </c>
    </row>
    <row r="134" spans="1:12" x14ac:dyDescent="0.25">
      <c r="A134">
        <v>2303</v>
      </c>
      <c r="B134" t="s">
        <v>10</v>
      </c>
      <c r="C134" s="1">
        <v>40283</v>
      </c>
      <c r="D134" s="2">
        <f t="shared" si="4"/>
        <v>4</v>
      </c>
      <c r="E134" s="2">
        <f t="shared" si="5"/>
        <v>4</v>
      </c>
      <c r="F134">
        <v>11.115</v>
      </c>
      <c r="G134">
        <v>11.1479</v>
      </c>
      <c r="H134">
        <v>10.851900000000001</v>
      </c>
      <c r="I134">
        <v>10.9177</v>
      </c>
      <c r="J134">
        <v>57329</v>
      </c>
      <c r="K134">
        <v>-0.30080000000000001</v>
      </c>
      <c r="L134">
        <v>2.7273000000000001</v>
      </c>
    </row>
    <row r="135" spans="1:12" hidden="1" x14ac:dyDescent="0.25">
      <c r="A135">
        <v>2330</v>
      </c>
      <c r="B135" t="s">
        <v>11</v>
      </c>
      <c r="C135" s="1">
        <v>40283</v>
      </c>
      <c r="D135" s="2">
        <f t="shared" si="4"/>
        <v>4</v>
      </c>
      <c r="E135" s="2">
        <f t="shared" si="5"/>
        <v>4</v>
      </c>
      <c r="F135">
        <v>44.373100000000001</v>
      </c>
      <c r="G135">
        <v>44.648299999999999</v>
      </c>
      <c r="H135">
        <v>44.0291</v>
      </c>
      <c r="I135">
        <v>44.304299999999998</v>
      </c>
      <c r="J135">
        <v>72063</v>
      </c>
      <c r="K135">
        <v>0.93600000000000005</v>
      </c>
      <c r="L135">
        <v>1.4063000000000001</v>
      </c>
    </row>
    <row r="136" spans="1:12" x14ac:dyDescent="0.25">
      <c r="A136">
        <v>2303</v>
      </c>
      <c r="B136" t="s">
        <v>10</v>
      </c>
      <c r="C136" s="1">
        <v>40284</v>
      </c>
      <c r="D136" s="2">
        <f t="shared" si="4"/>
        <v>5</v>
      </c>
      <c r="E136" s="2">
        <f t="shared" si="5"/>
        <v>4</v>
      </c>
      <c r="F136">
        <v>10.9177</v>
      </c>
      <c r="G136">
        <v>10.983499999999999</v>
      </c>
      <c r="H136">
        <v>10.851900000000001</v>
      </c>
      <c r="I136">
        <v>10.983499999999999</v>
      </c>
      <c r="J136">
        <v>27518</v>
      </c>
      <c r="K136">
        <v>0.60060000000000002</v>
      </c>
      <c r="L136">
        <v>1.2121</v>
      </c>
    </row>
    <row r="137" spans="1:12" hidden="1" x14ac:dyDescent="0.25">
      <c r="A137">
        <v>2330</v>
      </c>
      <c r="B137" t="s">
        <v>11</v>
      </c>
      <c r="C137" s="1">
        <v>40284</v>
      </c>
      <c r="D137" s="2">
        <f t="shared" si="4"/>
        <v>5</v>
      </c>
      <c r="E137" s="2">
        <f t="shared" si="5"/>
        <v>4</v>
      </c>
      <c r="F137">
        <v>43.753900000000002</v>
      </c>
      <c r="G137">
        <v>43.822699999999998</v>
      </c>
      <c r="H137">
        <v>43.272399999999998</v>
      </c>
      <c r="I137">
        <v>43.341200000000001</v>
      </c>
      <c r="J137">
        <v>49739</v>
      </c>
      <c r="K137">
        <v>-2.1979000000000002</v>
      </c>
      <c r="L137">
        <v>1.2719</v>
      </c>
    </row>
    <row r="138" spans="1:12" x14ac:dyDescent="0.25">
      <c r="A138">
        <v>2303</v>
      </c>
      <c r="B138" t="s">
        <v>10</v>
      </c>
      <c r="C138" s="1">
        <v>40287</v>
      </c>
      <c r="D138" s="2">
        <f t="shared" si="4"/>
        <v>1</v>
      </c>
      <c r="E138" s="2">
        <f t="shared" si="5"/>
        <v>4</v>
      </c>
      <c r="F138">
        <v>10.786199999999999</v>
      </c>
      <c r="G138">
        <v>10.819000000000001</v>
      </c>
      <c r="H138">
        <v>10.621700000000001</v>
      </c>
      <c r="I138">
        <v>10.6546</v>
      </c>
      <c r="J138">
        <v>45741</v>
      </c>
      <c r="K138">
        <v>-3.0396999999999998</v>
      </c>
      <c r="L138">
        <v>1.8575999999999999</v>
      </c>
    </row>
    <row r="139" spans="1:12" hidden="1" x14ac:dyDescent="0.25">
      <c r="A139">
        <v>2330</v>
      </c>
      <c r="B139" t="s">
        <v>11</v>
      </c>
      <c r="C139" s="1">
        <v>40287</v>
      </c>
      <c r="D139" s="2">
        <f t="shared" si="4"/>
        <v>1</v>
      </c>
      <c r="E139" s="2">
        <f t="shared" si="5"/>
        <v>4</v>
      </c>
      <c r="F139">
        <v>42.997199999999999</v>
      </c>
      <c r="G139">
        <v>43.4788</v>
      </c>
      <c r="H139">
        <v>42.928400000000003</v>
      </c>
      <c r="I139">
        <v>43.066000000000003</v>
      </c>
      <c r="J139">
        <v>71160</v>
      </c>
      <c r="K139">
        <v>-0.63690000000000002</v>
      </c>
      <c r="L139">
        <v>1.2821</v>
      </c>
    </row>
    <row r="140" spans="1:12" x14ac:dyDescent="0.25">
      <c r="A140">
        <v>2303</v>
      </c>
      <c r="B140" t="s">
        <v>10</v>
      </c>
      <c r="C140" s="1">
        <v>40288</v>
      </c>
      <c r="D140" s="2">
        <f t="shared" si="4"/>
        <v>2</v>
      </c>
      <c r="E140" s="2">
        <f t="shared" si="5"/>
        <v>4</v>
      </c>
      <c r="F140">
        <v>10.786199999999999</v>
      </c>
      <c r="G140">
        <v>10.819000000000001</v>
      </c>
      <c r="H140">
        <v>10.6546</v>
      </c>
      <c r="I140">
        <v>10.753299999999999</v>
      </c>
      <c r="J140">
        <v>21969</v>
      </c>
      <c r="K140">
        <v>0.92169999999999996</v>
      </c>
      <c r="L140">
        <v>1.5431999999999999</v>
      </c>
    </row>
    <row r="141" spans="1:12" hidden="1" x14ac:dyDescent="0.25">
      <c r="A141">
        <v>2330</v>
      </c>
      <c r="B141" t="s">
        <v>11</v>
      </c>
      <c r="C141" s="1">
        <v>40288</v>
      </c>
      <c r="D141" s="2">
        <f t="shared" si="4"/>
        <v>2</v>
      </c>
      <c r="E141" s="2">
        <f t="shared" si="5"/>
        <v>4</v>
      </c>
      <c r="F141">
        <v>43.272399999999998</v>
      </c>
      <c r="G141">
        <v>43.341200000000001</v>
      </c>
      <c r="H141">
        <v>42.928400000000003</v>
      </c>
      <c r="I141">
        <v>43.203600000000002</v>
      </c>
      <c r="J141">
        <v>37544</v>
      </c>
      <c r="K141">
        <v>0.31900000000000001</v>
      </c>
      <c r="L141">
        <v>0.96150000000000002</v>
      </c>
    </row>
    <row r="142" spans="1:12" x14ac:dyDescent="0.25">
      <c r="A142">
        <v>2303</v>
      </c>
      <c r="B142" t="s">
        <v>10</v>
      </c>
      <c r="C142" s="1">
        <v>40289</v>
      </c>
      <c r="D142" s="2">
        <f t="shared" si="4"/>
        <v>3</v>
      </c>
      <c r="E142" s="2">
        <f t="shared" si="5"/>
        <v>4</v>
      </c>
      <c r="F142">
        <v>10.753299999999999</v>
      </c>
      <c r="G142">
        <v>10.851900000000001</v>
      </c>
      <c r="H142">
        <v>10.7204</v>
      </c>
      <c r="I142">
        <v>10.753299999999999</v>
      </c>
      <c r="J142">
        <v>36412</v>
      </c>
      <c r="K142">
        <v>0</v>
      </c>
      <c r="L142">
        <v>1.2270000000000001</v>
      </c>
    </row>
    <row r="143" spans="1:12" hidden="1" x14ac:dyDescent="0.25">
      <c r="A143">
        <v>2330</v>
      </c>
      <c r="B143" t="s">
        <v>11</v>
      </c>
      <c r="C143" s="1">
        <v>40289</v>
      </c>
      <c r="D143" s="2">
        <f t="shared" si="4"/>
        <v>3</v>
      </c>
      <c r="E143" s="2">
        <f t="shared" si="5"/>
        <v>4</v>
      </c>
      <c r="F143">
        <v>43.272399999999998</v>
      </c>
      <c r="G143">
        <v>43.41</v>
      </c>
      <c r="H143">
        <v>42.8596</v>
      </c>
      <c r="I143">
        <v>42.928400000000003</v>
      </c>
      <c r="J143">
        <v>46602</v>
      </c>
      <c r="K143">
        <v>-0.63900000000000001</v>
      </c>
      <c r="L143">
        <v>1.2841</v>
      </c>
    </row>
    <row r="144" spans="1:12" x14ac:dyDescent="0.25">
      <c r="A144">
        <v>2303</v>
      </c>
      <c r="B144" t="s">
        <v>10</v>
      </c>
      <c r="C144" s="1">
        <v>40290</v>
      </c>
      <c r="D144" s="2">
        <f t="shared" si="4"/>
        <v>4</v>
      </c>
      <c r="E144" s="2">
        <f t="shared" si="5"/>
        <v>4</v>
      </c>
      <c r="F144">
        <v>10.6546</v>
      </c>
      <c r="G144">
        <v>10.753299999999999</v>
      </c>
      <c r="H144">
        <v>10.621700000000001</v>
      </c>
      <c r="I144">
        <v>10.6875</v>
      </c>
      <c r="J144">
        <v>26673</v>
      </c>
      <c r="K144">
        <v>-0.61350000000000005</v>
      </c>
      <c r="L144">
        <v>1.2383999999999999</v>
      </c>
    </row>
    <row r="145" spans="1:12" hidden="1" x14ac:dyDescent="0.25">
      <c r="A145">
        <v>2330</v>
      </c>
      <c r="B145" t="s">
        <v>11</v>
      </c>
      <c r="C145" s="1">
        <v>40290</v>
      </c>
      <c r="D145" s="2">
        <f t="shared" si="4"/>
        <v>4</v>
      </c>
      <c r="E145" s="2">
        <f t="shared" si="5"/>
        <v>4</v>
      </c>
      <c r="F145">
        <v>42.515599999999999</v>
      </c>
      <c r="G145">
        <v>42.515599999999999</v>
      </c>
      <c r="H145">
        <v>41.8277</v>
      </c>
      <c r="I145">
        <v>42.378</v>
      </c>
      <c r="J145">
        <v>92244</v>
      </c>
      <c r="K145">
        <v>-1.2903</v>
      </c>
      <c r="L145">
        <v>1.6447000000000001</v>
      </c>
    </row>
    <row r="146" spans="1:12" x14ac:dyDescent="0.25">
      <c r="A146">
        <v>2303</v>
      </c>
      <c r="B146" t="s">
        <v>10</v>
      </c>
      <c r="C146" s="1">
        <v>40291</v>
      </c>
      <c r="D146" s="2">
        <f t="shared" si="4"/>
        <v>5</v>
      </c>
      <c r="E146" s="2">
        <f t="shared" si="5"/>
        <v>4</v>
      </c>
      <c r="F146">
        <v>10.819000000000001</v>
      </c>
      <c r="G146">
        <v>10.819000000000001</v>
      </c>
      <c r="H146">
        <v>10.6546</v>
      </c>
      <c r="I146">
        <v>10.6546</v>
      </c>
      <c r="J146">
        <v>24184</v>
      </c>
      <c r="K146">
        <v>-0.30819999999999997</v>
      </c>
      <c r="L146">
        <v>1.5431999999999999</v>
      </c>
    </row>
    <row r="147" spans="1:12" hidden="1" x14ac:dyDescent="0.25">
      <c r="A147">
        <v>2330</v>
      </c>
      <c r="B147" t="s">
        <v>11</v>
      </c>
      <c r="C147" s="1">
        <v>40291</v>
      </c>
      <c r="D147" s="2">
        <f t="shared" si="4"/>
        <v>5</v>
      </c>
      <c r="E147" s="2">
        <f t="shared" si="5"/>
        <v>4</v>
      </c>
      <c r="F147">
        <v>42.584400000000002</v>
      </c>
      <c r="G147">
        <v>42.928400000000003</v>
      </c>
      <c r="H147">
        <v>42.378</v>
      </c>
      <c r="I147">
        <v>42.446800000000003</v>
      </c>
      <c r="J147">
        <v>48952</v>
      </c>
      <c r="K147">
        <v>0.16220000000000001</v>
      </c>
      <c r="L147">
        <v>1.2987</v>
      </c>
    </row>
    <row r="148" spans="1:12" x14ac:dyDescent="0.25">
      <c r="A148">
        <v>2303</v>
      </c>
      <c r="B148" t="s">
        <v>10</v>
      </c>
      <c r="C148" s="1">
        <v>40294</v>
      </c>
      <c r="D148" s="2">
        <f t="shared" si="4"/>
        <v>1</v>
      </c>
      <c r="E148" s="2">
        <f t="shared" si="5"/>
        <v>4</v>
      </c>
      <c r="F148">
        <v>10.786199999999999</v>
      </c>
      <c r="G148">
        <v>11.1808</v>
      </c>
      <c r="H148">
        <v>10.786199999999999</v>
      </c>
      <c r="I148">
        <v>11.049200000000001</v>
      </c>
      <c r="J148">
        <v>73063</v>
      </c>
      <c r="K148">
        <v>3.6368</v>
      </c>
      <c r="L148">
        <v>3.6585000000000001</v>
      </c>
    </row>
    <row r="149" spans="1:12" hidden="1" x14ac:dyDescent="0.25">
      <c r="A149">
        <v>2330</v>
      </c>
      <c r="B149" t="s">
        <v>11</v>
      </c>
      <c r="C149" s="1">
        <v>40294</v>
      </c>
      <c r="D149" s="2">
        <f t="shared" si="4"/>
        <v>1</v>
      </c>
      <c r="E149" s="2">
        <f t="shared" si="5"/>
        <v>4</v>
      </c>
      <c r="F149">
        <v>42.928400000000003</v>
      </c>
      <c r="G149">
        <v>43.753900000000002</v>
      </c>
      <c r="H149">
        <v>42.928400000000003</v>
      </c>
      <c r="I149">
        <v>43.685099999999998</v>
      </c>
      <c r="J149">
        <v>67547</v>
      </c>
      <c r="K149">
        <v>2.8755999999999999</v>
      </c>
      <c r="L149">
        <v>1.9231</v>
      </c>
    </row>
    <row r="150" spans="1:12" x14ac:dyDescent="0.25">
      <c r="A150">
        <v>2303</v>
      </c>
      <c r="B150" t="s">
        <v>10</v>
      </c>
      <c r="C150" s="1">
        <v>40295</v>
      </c>
      <c r="D150" s="2">
        <f t="shared" si="4"/>
        <v>2</v>
      </c>
      <c r="E150" s="2">
        <f t="shared" si="5"/>
        <v>4</v>
      </c>
      <c r="F150">
        <v>11.049200000000001</v>
      </c>
      <c r="G150">
        <v>11.082100000000001</v>
      </c>
      <c r="H150">
        <v>10.9177</v>
      </c>
      <c r="I150">
        <v>10.9506</v>
      </c>
      <c r="J150">
        <v>44909</v>
      </c>
      <c r="K150">
        <v>-0.89690000000000003</v>
      </c>
      <c r="L150">
        <v>1.506</v>
      </c>
    </row>
    <row r="151" spans="1:12" hidden="1" x14ac:dyDescent="0.25">
      <c r="A151">
        <v>2330</v>
      </c>
      <c r="B151" t="s">
        <v>11</v>
      </c>
      <c r="C151" s="1">
        <v>40295</v>
      </c>
      <c r="D151" s="2">
        <f t="shared" si="4"/>
        <v>2</v>
      </c>
      <c r="E151" s="2">
        <f t="shared" si="5"/>
        <v>4</v>
      </c>
      <c r="F151">
        <v>43.685099999999998</v>
      </c>
      <c r="G151">
        <v>43.822699999999998</v>
      </c>
      <c r="H151">
        <v>43.41</v>
      </c>
      <c r="I151">
        <v>43.822699999999998</v>
      </c>
      <c r="J151">
        <v>25421</v>
      </c>
      <c r="K151">
        <v>0.3145</v>
      </c>
      <c r="L151">
        <v>0.95089999999999997</v>
      </c>
    </row>
    <row r="152" spans="1:12" x14ac:dyDescent="0.25">
      <c r="A152">
        <v>2303</v>
      </c>
      <c r="B152" t="s">
        <v>10</v>
      </c>
      <c r="C152" s="1">
        <v>40296</v>
      </c>
      <c r="D152" s="2">
        <f t="shared" si="4"/>
        <v>3</v>
      </c>
      <c r="E152" s="2">
        <f t="shared" si="5"/>
        <v>4</v>
      </c>
      <c r="F152">
        <v>10.6546</v>
      </c>
      <c r="G152">
        <v>10.819000000000001</v>
      </c>
      <c r="H152">
        <v>10.6546</v>
      </c>
      <c r="I152">
        <v>10.786199999999999</v>
      </c>
      <c r="J152">
        <v>51366</v>
      </c>
      <c r="K152">
        <v>-1.5128999999999999</v>
      </c>
      <c r="L152">
        <v>1.5431999999999999</v>
      </c>
    </row>
    <row r="153" spans="1:12" hidden="1" x14ac:dyDescent="0.25">
      <c r="A153">
        <v>2330</v>
      </c>
      <c r="B153" t="s">
        <v>11</v>
      </c>
      <c r="C153" s="1">
        <v>40296</v>
      </c>
      <c r="D153" s="2">
        <f t="shared" si="4"/>
        <v>3</v>
      </c>
      <c r="E153" s="2">
        <f t="shared" si="5"/>
        <v>4</v>
      </c>
      <c r="F153">
        <v>42.722000000000001</v>
      </c>
      <c r="G153">
        <v>43.066000000000003</v>
      </c>
      <c r="H153">
        <v>42.653199999999998</v>
      </c>
      <c r="I153">
        <v>42.722000000000001</v>
      </c>
      <c r="J153">
        <v>73211</v>
      </c>
      <c r="K153">
        <v>-2.5438999999999998</v>
      </c>
      <c r="L153">
        <v>0.9677</v>
      </c>
    </row>
    <row r="154" spans="1:12" x14ac:dyDescent="0.25">
      <c r="A154">
        <v>2303</v>
      </c>
      <c r="B154" t="s">
        <v>10</v>
      </c>
      <c r="C154" s="1">
        <v>40297</v>
      </c>
      <c r="D154" s="2">
        <f t="shared" si="4"/>
        <v>4</v>
      </c>
      <c r="E154" s="2">
        <f t="shared" si="5"/>
        <v>4</v>
      </c>
      <c r="F154">
        <v>10.753299999999999</v>
      </c>
      <c r="G154">
        <v>10.753299999999999</v>
      </c>
      <c r="H154">
        <v>10.555999999999999</v>
      </c>
      <c r="I154">
        <v>10.588900000000001</v>
      </c>
      <c r="J154">
        <v>53507</v>
      </c>
      <c r="K154">
        <v>-1.8462000000000001</v>
      </c>
      <c r="L154">
        <v>1.8692</v>
      </c>
    </row>
    <row r="155" spans="1:12" hidden="1" x14ac:dyDescent="0.25">
      <c r="A155">
        <v>2330</v>
      </c>
      <c r="B155" t="s">
        <v>11</v>
      </c>
      <c r="C155" s="1">
        <v>40297</v>
      </c>
      <c r="D155" s="2">
        <f t="shared" si="4"/>
        <v>4</v>
      </c>
      <c r="E155" s="2">
        <f t="shared" si="5"/>
        <v>4</v>
      </c>
      <c r="F155">
        <v>42.790799999999997</v>
      </c>
      <c r="G155">
        <v>42.790799999999997</v>
      </c>
      <c r="H155">
        <v>42.378</v>
      </c>
      <c r="I155">
        <v>42.378</v>
      </c>
      <c r="J155">
        <v>41236</v>
      </c>
      <c r="K155">
        <v>-0.80840000000000001</v>
      </c>
      <c r="L155">
        <v>0.97399999999999998</v>
      </c>
    </row>
    <row r="156" spans="1:12" x14ac:dyDescent="0.25">
      <c r="A156">
        <v>2303</v>
      </c>
      <c r="B156" t="s">
        <v>10</v>
      </c>
      <c r="C156" s="1">
        <v>40298</v>
      </c>
      <c r="D156" s="2">
        <f t="shared" si="4"/>
        <v>5</v>
      </c>
      <c r="E156" s="2">
        <f t="shared" si="5"/>
        <v>4</v>
      </c>
      <c r="F156">
        <v>10.6546</v>
      </c>
      <c r="G156">
        <v>10.786199999999999</v>
      </c>
      <c r="H156">
        <v>10.4902</v>
      </c>
      <c r="I156">
        <v>10.523099999999999</v>
      </c>
      <c r="J156">
        <v>55997</v>
      </c>
      <c r="K156">
        <v>-0.62309999999999999</v>
      </c>
      <c r="L156">
        <v>2.8212999999999999</v>
      </c>
    </row>
    <row r="157" spans="1:12" hidden="1" x14ac:dyDescent="0.25">
      <c r="A157">
        <v>2330</v>
      </c>
      <c r="B157" t="s">
        <v>11</v>
      </c>
      <c r="C157" s="1">
        <v>40298</v>
      </c>
      <c r="D157" s="2">
        <f t="shared" si="4"/>
        <v>5</v>
      </c>
      <c r="E157" s="2">
        <f t="shared" si="5"/>
        <v>4</v>
      </c>
      <c r="F157">
        <v>42.515599999999999</v>
      </c>
      <c r="G157">
        <v>43.134799999999998</v>
      </c>
      <c r="H157">
        <v>42.515599999999999</v>
      </c>
      <c r="I157">
        <v>42.515599999999999</v>
      </c>
      <c r="J157">
        <v>43450</v>
      </c>
      <c r="K157">
        <v>0.3241</v>
      </c>
      <c r="L157">
        <v>1.4562999999999999</v>
      </c>
    </row>
    <row r="158" spans="1:12" x14ac:dyDescent="0.25">
      <c r="A158">
        <v>2303</v>
      </c>
      <c r="B158" t="s">
        <v>10</v>
      </c>
      <c r="C158" s="1">
        <v>40301</v>
      </c>
      <c r="D158" s="2">
        <f t="shared" si="4"/>
        <v>1</v>
      </c>
      <c r="E158" s="2">
        <f t="shared" si="5"/>
        <v>5</v>
      </c>
      <c r="F158">
        <v>10.4573</v>
      </c>
      <c r="G158">
        <v>10.523099999999999</v>
      </c>
      <c r="H158">
        <v>10.325799999999999</v>
      </c>
      <c r="I158">
        <v>10.391500000000001</v>
      </c>
      <c r="J158">
        <v>29139</v>
      </c>
      <c r="K158">
        <v>-1.2579</v>
      </c>
      <c r="L158">
        <v>1.9108000000000001</v>
      </c>
    </row>
    <row r="159" spans="1:12" hidden="1" x14ac:dyDescent="0.25">
      <c r="A159">
        <v>2330</v>
      </c>
      <c r="B159" t="s">
        <v>11</v>
      </c>
      <c r="C159" s="1">
        <v>40301</v>
      </c>
      <c r="D159" s="2">
        <f t="shared" si="4"/>
        <v>1</v>
      </c>
      <c r="E159" s="2">
        <f t="shared" si="5"/>
        <v>5</v>
      </c>
      <c r="F159">
        <v>43.066000000000003</v>
      </c>
      <c r="G159">
        <v>43.066000000000003</v>
      </c>
      <c r="H159">
        <v>42.240400000000001</v>
      </c>
      <c r="I159">
        <v>42.378</v>
      </c>
      <c r="J159">
        <v>22439</v>
      </c>
      <c r="K159">
        <v>-0.3241</v>
      </c>
      <c r="L159">
        <v>1.9543999999999999</v>
      </c>
    </row>
    <row r="160" spans="1:12" x14ac:dyDescent="0.25">
      <c r="A160">
        <v>2303</v>
      </c>
      <c r="B160" t="s">
        <v>10</v>
      </c>
      <c r="C160" s="1">
        <v>40302</v>
      </c>
      <c r="D160" s="2">
        <f t="shared" si="4"/>
        <v>2</v>
      </c>
      <c r="E160" s="2">
        <f t="shared" si="5"/>
        <v>5</v>
      </c>
      <c r="F160">
        <v>10.4902</v>
      </c>
      <c r="G160">
        <v>10.4902</v>
      </c>
      <c r="H160">
        <v>10.2271</v>
      </c>
      <c r="I160">
        <v>10.292899999999999</v>
      </c>
      <c r="J160">
        <v>39539</v>
      </c>
      <c r="K160">
        <v>-0.95389999999999997</v>
      </c>
      <c r="L160">
        <v>2.5722999999999998</v>
      </c>
    </row>
    <row r="161" spans="1:12" hidden="1" x14ac:dyDescent="0.25">
      <c r="A161">
        <v>2330</v>
      </c>
      <c r="B161" t="s">
        <v>11</v>
      </c>
      <c r="C161" s="1">
        <v>40302</v>
      </c>
      <c r="D161" s="2">
        <f t="shared" si="4"/>
        <v>2</v>
      </c>
      <c r="E161" s="2">
        <f t="shared" si="5"/>
        <v>5</v>
      </c>
      <c r="F161">
        <v>42.584400000000002</v>
      </c>
      <c r="G161">
        <v>42.653199999999998</v>
      </c>
      <c r="H161">
        <v>41.8277</v>
      </c>
      <c r="I161">
        <v>41.965299999999999</v>
      </c>
      <c r="J161">
        <v>38777</v>
      </c>
      <c r="K161">
        <v>-0.9788</v>
      </c>
      <c r="L161">
        <v>1.9737</v>
      </c>
    </row>
    <row r="162" spans="1:12" x14ac:dyDescent="0.25">
      <c r="A162">
        <v>2303</v>
      </c>
      <c r="B162" t="s">
        <v>10</v>
      </c>
      <c r="C162" s="1">
        <v>40303</v>
      </c>
      <c r="D162" s="2">
        <f t="shared" si="4"/>
        <v>3</v>
      </c>
      <c r="E162" s="2">
        <f t="shared" si="5"/>
        <v>5</v>
      </c>
      <c r="F162">
        <v>10.0627</v>
      </c>
      <c r="G162">
        <v>10.0627</v>
      </c>
      <c r="H162">
        <v>9.6681000000000008</v>
      </c>
      <c r="I162">
        <v>9.6681000000000008</v>
      </c>
      <c r="J162">
        <v>136550</v>
      </c>
      <c r="K162">
        <v>-6.2622999999999998</v>
      </c>
      <c r="L162">
        <v>4.0815999999999999</v>
      </c>
    </row>
    <row r="163" spans="1:12" hidden="1" x14ac:dyDescent="0.25">
      <c r="A163">
        <v>2330</v>
      </c>
      <c r="B163" t="s">
        <v>11</v>
      </c>
      <c r="C163" s="1">
        <v>40303</v>
      </c>
      <c r="D163" s="2">
        <f t="shared" si="4"/>
        <v>3</v>
      </c>
      <c r="E163" s="2">
        <f t="shared" si="5"/>
        <v>5</v>
      </c>
      <c r="F163">
        <v>41.208500000000001</v>
      </c>
      <c r="G163">
        <v>41.414900000000003</v>
      </c>
      <c r="H163">
        <v>41.139699999999998</v>
      </c>
      <c r="I163">
        <v>41.139699999999998</v>
      </c>
      <c r="J163">
        <v>94194</v>
      </c>
      <c r="K163">
        <v>-1.9867999999999999</v>
      </c>
      <c r="L163">
        <v>0.66890000000000005</v>
      </c>
    </row>
    <row r="164" spans="1:12" x14ac:dyDescent="0.25">
      <c r="A164">
        <v>2303</v>
      </c>
      <c r="B164" t="s">
        <v>10</v>
      </c>
      <c r="C164" s="1">
        <v>40304</v>
      </c>
      <c r="D164" s="2">
        <f t="shared" si="4"/>
        <v>4</v>
      </c>
      <c r="E164" s="2">
        <f t="shared" si="5"/>
        <v>5</v>
      </c>
      <c r="F164">
        <v>9.6681000000000008</v>
      </c>
      <c r="G164">
        <v>9.9312000000000005</v>
      </c>
      <c r="H164">
        <v>9.6681000000000008</v>
      </c>
      <c r="I164">
        <v>9.7010000000000005</v>
      </c>
      <c r="J164">
        <v>76812</v>
      </c>
      <c r="K164">
        <v>0.33960000000000001</v>
      </c>
      <c r="L164">
        <v>2.7210999999999999</v>
      </c>
    </row>
    <row r="165" spans="1:12" hidden="1" x14ac:dyDescent="0.25">
      <c r="A165">
        <v>2330</v>
      </c>
      <c r="B165" t="s">
        <v>11</v>
      </c>
      <c r="C165" s="1">
        <v>40304</v>
      </c>
      <c r="D165" s="2">
        <f t="shared" si="4"/>
        <v>4</v>
      </c>
      <c r="E165" s="2">
        <f t="shared" si="5"/>
        <v>5</v>
      </c>
      <c r="F165">
        <v>41.139699999999998</v>
      </c>
      <c r="G165">
        <v>41.208500000000001</v>
      </c>
      <c r="H165">
        <v>40.726900000000001</v>
      </c>
      <c r="I165">
        <v>40.933300000000003</v>
      </c>
      <c r="J165">
        <v>52111</v>
      </c>
      <c r="K165">
        <v>-0.50290000000000001</v>
      </c>
      <c r="L165">
        <v>1.1823999999999999</v>
      </c>
    </row>
    <row r="166" spans="1:12" x14ac:dyDescent="0.25">
      <c r="A166">
        <v>2303</v>
      </c>
      <c r="B166" t="s">
        <v>10</v>
      </c>
      <c r="C166" s="1">
        <v>40305</v>
      </c>
      <c r="D166" s="2">
        <f t="shared" si="4"/>
        <v>5</v>
      </c>
      <c r="E166" s="2">
        <f t="shared" si="5"/>
        <v>5</v>
      </c>
      <c r="F166">
        <v>9.6022999999999996</v>
      </c>
      <c r="G166">
        <v>9.7995999999999999</v>
      </c>
      <c r="H166">
        <v>9.5037000000000003</v>
      </c>
      <c r="I166">
        <v>9.7339000000000002</v>
      </c>
      <c r="J166">
        <v>58276</v>
      </c>
      <c r="K166">
        <v>0.33839999999999998</v>
      </c>
      <c r="L166">
        <v>3.1141999999999999</v>
      </c>
    </row>
    <row r="167" spans="1:12" hidden="1" x14ac:dyDescent="0.25">
      <c r="A167">
        <v>2330</v>
      </c>
      <c r="B167" t="s">
        <v>11</v>
      </c>
      <c r="C167" s="1">
        <v>40305</v>
      </c>
      <c r="D167" s="2">
        <f t="shared" si="4"/>
        <v>5</v>
      </c>
      <c r="E167" s="2">
        <f t="shared" si="5"/>
        <v>5</v>
      </c>
      <c r="F167">
        <v>40.3142</v>
      </c>
      <c r="G167">
        <v>41.3461</v>
      </c>
      <c r="H167">
        <v>40.245399999999997</v>
      </c>
      <c r="I167">
        <v>40.8645</v>
      </c>
      <c r="J167">
        <v>61576</v>
      </c>
      <c r="K167">
        <v>-0.16819999999999999</v>
      </c>
      <c r="L167">
        <v>2.7349999999999999</v>
      </c>
    </row>
    <row r="168" spans="1:12" x14ac:dyDescent="0.25">
      <c r="A168">
        <v>2303</v>
      </c>
      <c r="B168" t="s">
        <v>10</v>
      </c>
      <c r="C168" s="1">
        <v>40308</v>
      </c>
      <c r="D168" s="2">
        <f t="shared" si="4"/>
        <v>1</v>
      </c>
      <c r="E168" s="2">
        <f t="shared" si="5"/>
        <v>5</v>
      </c>
      <c r="F168">
        <v>9.8653999999999993</v>
      </c>
      <c r="G168">
        <v>9.9312000000000005</v>
      </c>
      <c r="H168">
        <v>9.7995999999999999</v>
      </c>
      <c r="I168">
        <v>9.8653999999999993</v>
      </c>
      <c r="J168">
        <v>43910</v>
      </c>
      <c r="K168">
        <v>1.3423</v>
      </c>
      <c r="L168">
        <v>1.3423</v>
      </c>
    </row>
    <row r="169" spans="1:12" hidden="1" x14ac:dyDescent="0.25">
      <c r="A169">
        <v>2330</v>
      </c>
      <c r="B169" t="s">
        <v>11</v>
      </c>
      <c r="C169" s="1">
        <v>40308</v>
      </c>
      <c r="D169" s="2">
        <f t="shared" si="4"/>
        <v>1</v>
      </c>
      <c r="E169" s="2">
        <f t="shared" si="5"/>
        <v>5</v>
      </c>
      <c r="F169">
        <v>40.8645</v>
      </c>
      <c r="G169">
        <v>41.277299999999997</v>
      </c>
      <c r="H169">
        <v>40.589300000000001</v>
      </c>
      <c r="I169">
        <v>41.139699999999998</v>
      </c>
      <c r="J169">
        <v>56310</v>
      </c>
      <c r="K169">
        <v>0.67110000000000003</v>
      </c>
      <c r="L169">
        <v>1.6949000000000001</v>
      </c>
    </row>
    <row r="170" spans="1:12" x14ac:dyDescent="0.25">
      <c r="A170">
        <v>2303</v>
      </c>
      <c r="B170" t="s">
        <v>10</v>
      </c>
      <c r="C170" s="1">
        <v>40309</v>
      </c>
      <c r="D170" s="2">
        <f t="shared" si="4"/>
        <v>2</v>
      </c>
      <c r="E170" s="2">
        <f t="shared" si="5"/>
        <v>5</v>
      </c>
      <c r="F170">
        <v>10.128500000000001</v>
      </c>
      <c r="G170">
        <v>10.128500000000001</v>
      </c>
      <c r="H170">
        <v>9.8653999999999993</v>
      </c>
      <c r="I170">
        <v>9.9312000000000005</v>
      </c>
      <c r="J170">
        <v>87477</v>
      </c>
      <c r="K170">
        <v>0.66449999999999998</v>
      </c>
      <c r="L170">
        <v>2.6667000000000001</v>
      </c>
    </row>
    <row r="171" spans="1:12" hidden="1" x14ac:dyDescent="0.25">
      <c r="A171">
        <v>2330</v>
      </c>
      <c r="B171" t="s">
        <v>11</v>
      </c>
      <c r="C171" s="1">
        <v>40309</v>
      </c>
      <c r="D171" s="2">
        <f t="shared" si="4"/>
        <v>2</v>
      </c>
      <c r="E171" s="2">
        <f t="shared" si="5"/>
        <v>5</v>
      </c>
      <c r="F171">
        <v>41.552500000000002</v>
      </c>
      <c r="G171">
        <v>41.690100000000001</v>
      </c>
      <c r="H171">
        <v>41.208500000000001</v>
      </c>
      <c r="I171">
        <v>41.3461</v>
      </c>
      <c r="J171">
        <v>69348</v>
      </c>
      <c r="K171">
        <v>0.50039999999999996</v>
      </c>
      <c r="L171">
        <v>1.1686000000000001</v>
      </c>
    </row>
    <row r="172" spans="1:12" x14ac:dyDescent="0.25">
      <c r="A172">
        <v>2303</v>
      </c>
      <c r="B172" t="s">
        <v>10</v>
      </c>
      <c r="C172" s="1">
        <v>40310</v>
      </c>
      <c r="D172" s="2">
        <f t="shared" si="4"/>
        <v>3</v>
      </c>
      <c r="E172" s="2">
        <f t="shared" si="5"/>
        <v>5</v>
      </c>
      <c r="F172">
        <v>10.0627</v>
      </c>
      <c r="G172">
        <v>10.0627</v>
      </c>
      <c r="H172">
        <v>9.7667000000000002</v>
      </c>
      <c r="I172">
        <v>9.7995999999999999</v>
      </c>
      <c r="J172">
        <v>39779</v>
      </c>
      <c r="K172">
        <v>-1.3333999999999999</v>
      </c>
      <c r="L172">
        <v>3.0303</v>
      </c>
    </row>
    <row r="173" spans="1:12" hidden="1" x14ac:dyDescent="0.25">
      <c r="A173">
        <v>2330</v>
      </c>
      <c r="B173" t="s">
        <v>11</v>
      </c>
      <c r="C173" s="1">
        <v>40310</v>
      </c>
      <c r="D173" s="2">
        <f t="shared" si="4"/>
        <v>3</v>
      </c>
      <c r="E173" s="2">
        <f t="shared" si="5"/>
        <v>5</v>
      </c>
      <c r="F173">
        <v>41.965299999999999</v>
      </c>
      <c r="G173">
        <v>41.965299999999999</v>
      </c>
      <c r="H173">
        <v>41.277299999999997</v>
      </c>
      <c r="I173">
        <v>41.3461</v>
      </c>
      <c r="J173">
        <v>27731</v>
      </c>
      <c r="K173">
        <v>0</v>
      </c>
      <c r="L173">
        <v>1.6667000000000001</v>
      </c>
    </row>
    <row r="174" spans="1:12" x14ac:dyDescent="0.25">
      <c r="A174">
        <v>2303</v>
      </c>
      <c r="B174" t="s">
        <v>10</v>
      </c>
      <c r="C174" s="1">
        <v>40311</v>
      </c>
      <c r="D174" s="2">
        <f t="shared" si="4"/>
        <v>4</v>
      </c>
      <c r="E174" s="2">
        <f t="shared" si="5"/>
        <v>5</v>
      </c>
      <c r="F174">
        <v>9.9969000000000001</v>
      </c>
      <c r="G174">
        <v>10.095599999999999</v>
      </c>
      <c r="H174">
        <v>9.9312000000000005</v>
      </c>
      <c r="I174">
        <v>10.0627</v>
      </c>
      <c r="J174">
        <v>40206</v>
      </c>
      <c r="K174">
        <v>2.6492</v>
      </c>
      <c r="L174">
        <v>1.6556</v>
      </c>
    </row>
    <row r="175" spans="1:12" hidden="1" x14ac:dyDescent="0.25">
      <c r="A175">
        <v>2330</v>
      </c>
      <c r="B175" t="s">
        <v>11</v>
      </c>
      <c r="C175" s="1">
        <v>40311</v>
      </c>
      <c r="D175" s="2">
        <f t="shared" si="4"/>
        <v>4</v>
      </c>
      <c r="E175" s="2">
        <f t="shared" si="5"/>
        <v>5</v>
      </c>
      <c r="F175">
        <v>41.690100000000001</v>
      </c>
      <c r="G175">
        <v>42.309199999999997</v>
      </c>
      <c r="H175">
        <v>41.621299999999998</v>
      </c>
      <c r="I175">
        <v>42.102800000000002</v>
      </c>
      <c r="J175">
        <v>39908</v>
      </c>
      <c r="K175">
        <v>1.8137000000000001</v>
      </c>
      <c r="L175">
        <v>1.6529</v>
      </c>
    </row>
    <row r="176" spans="1:12" x14ac:dyDescent="0.25">
      <c r="A176">
        <v>2303</v>
      </c>
      <c r="B176" t="s">
        <v>10</v>
      </c>
      <c r="C176" s="1">
        <v>40312</v>
      </c>
      <c r="D176" s="2">
        <f t="shared" si="4"/>
        <v>5</v>
      </c>
      <c r="E176" s="2">
        <f t="shared" si="5"/>
        <v>5</v>
      </c>
      <c r="F176">
        <v>9.9969000000000001</v>
      </c>
      <c r="G176">
        <v>10.0627</v>
      </c>
      <c r="H176">
        <v>9.9969000000000001</v>
      </c>
      <c r="I176">
        <v>9.9969000000000001</v>
      </c>
      <c r="J176">
        <v>23771</v>
      </c>
      <c r="K176">
        <v>-0.65569999999999995</v>
      </c>
      <c r="L176">
        <v>0.65790000000000004</v>
      </c>
    </row>
    <row r="177" spans="1:12" hidden="1" x14ac:dyDescent="0.25">
      <c r="A177">
        <v>2330</v>
      </c>
      <c r="B177" t="s">
        <v>11</v>
      </c>
      <c r="C177" s="1">
        <v>40312</v>
      </c>
      <c r="D177" s="2">
        <f t="shared" si="4"/>
        <v>5</v>
      </c>
      <c r="E177" s="2">
        <f t="shared" si="5"/>
        <v>5</v>
      </c>
      <c r="F177">
        <v>41.758899999999997</v>
      </c>
      <c r="G177">
        <v>42.309199999999997</v>
      </c>
      <c r="H177">
        <v>41.621299999999998</v>
      </c>
      <c r="I177">
        <v>42.102800000000002</v>
      </c>
      <c r="J177">
        <v>35601</v>
      </c>
      <c r="K177">
        <v>0</v>
      </c>
      <c r="L177">
        <v>1.6529</v>
      </c>
    </row>
    <row r="178" spans="1:12" x14ac:dyDescent="0.25">
      <c r="A178">
        <v>2303</v>
      </c>
      <c r="B178" t="s">
        <v>10</v>
      </c>
      <c r="C178" s="1">
        <v>40315</v>
      </c>
      <c r="D178" s="2">
        <f t="shared" si="4"/>
        <v>1</v>
      </c>
      <c r="E178" s="2">
        <f t="shared" si="5"/>
        <v>5</v>
      </c>
      <c r="F178">
        <v>9.8653999999999993</v>
      </c>
      <c r="G178">
        <v>9.8983000000000008</v>
      </c>
      <c r="H178">
        <v>9.6681000000000008</v>
      </c>
      <c r="I178">
        <v>9.7995999999999999</v>
      </c>
      <c r="J178">
        <v>41930</v>
      </c>
      <c r="K178">
        <v>-1.9934000000000001</v>
      </c>
      <c r="L178">
        <v>2.3809999999999998</v>
      </c>
    </row>
    <row r="179" spans="1:12" hidden="1" x14ac:dyDescent="0.25">
      <c r="A179">
        <v>2330</v>
      </c>
      <c r="B179" t="s">
        <v>11</v>
      </c>
      <c r="C179" s="1">
        <v>40315</v>
      </c>
      <c r="D179" s="2">
        <f t="shared" si="4"/>
        <v>1</v>
      </c>
      <c r="E179" s="2">
        <f t="shared" si="5"/>
        <v>5</v>
      </c>
      <c r="F179">
        <v>41.621299999999998</v>
      </c>
      <c r="G179">
        <v>41.621299999999998</v>
      </c>
      <c r="H179">
        <v>40.658099999999997</v>
      </c>
      <c r="I179">
        <v>40.726900000000001</v>
      </c>
      <c r="J179">
        <v>73215</v>
      </c>
      <c r="K179">
        <v>-3.3226</v>
      </c>
      <c r="L179">
        <v>2.3689</v>
      </c>
    </row>
    <row r="180" spans="1:12" x14ac:dyDescent="0.25">
      <c r="A180">
        <v>2303</v>
      </c>
      <c r="B180" t="s">
        <v>10</v>
      </c>
      <c r="C180" s="1">
        <v>40316</v>
      </c>
      <c r="D180" s="2">
        <f t="shared" si="4"/>
        <v>2</v>
      </c>
      <c r="E180" s="2">
        <f t="shared" si="5"/>
        <v>5</v>
      </c>
      <c r="F180">
        <v>9.7995999999999999</v>
      </c>
      <c r="G180">
        <v>9.8653999999999993</v>
      </c>
      <c r="H180">
        <v>9.6681000000000008</v>
      </c>
      <c r="I180">
        <v>9.6681000000000008</v>
      </c>
      <c r="J180">
        <v>34086</v>
      </c>
      <c r="K180">
        <v>-1.3513999999999999</v>
      </c>
      <c r="L180">
        <v>2.0407999999999999</v>
      </c>
    </row>
    <row r="181" spans="1:12" hidden="1" x14ac:dyDescent="0.25">
      <c r="A181">
        <v>2330</v>
      </c>
      <c r="B181" t="s">
        <v>11</v>
      </c>
      <c r="C181" s="1">
        <v>40316</v>
      </c>
      <c r="D181" s="2">
        <f t="shared" si="4"/>
        <v>2</v>
      </c>
      <c r="E181" s="2">
        <f t="shared" si="5"/>
        <v>5</v>
      </c>
      <c r="F181">
        <v>41.002099999999999</v>
      </c>
      <c r="G181">
        <v>41.277299999999997</v>
      </c>
      <c r="H181">
        <v>40.8645</v>
      </c>
      <c r="I181">
        <v>40.933300000000003</v>
      </c>
      <c r="J181">
        <v>30477</v>
      </c>
      <c r="K181">
        <v>0.50549999999999995</v>
      </c>
      <c r="L181">
        <v>1.0101</v>
      </c>
    </row>
    <row r="182" spans="1:12" x14ac:dyDescent="0.25">
      <c r="A182">
        <v>2303</v>
      </c>
      <c r="B182" t="s">
        <v>10</v>
      </c>
      <c r="C182" s="1">
        <v>40317</v>
      </c>
      <c r="D182" s="2">
        <f t="shared" si="4"/>
        <v>3</v>
      </c>
      <c r="E182" s="2">
        <f t="shared" si="5"/>
        <v>5</v>
      </c>
      <c r="F182">
        <v>9.5365000000000002</v>
      </c>
      <c r="G182">
        <v>9.6022999999999996</v>
      </c>
      <c r="H182">
        <v>9.4049999999999994</v>
      </c>
      <c r="I182">
        <v>9.5037000000000003</v>
      </c>
      <c r="J182">
        <v>50219</v>
      </c>
      <c r="K182">
        <v>-1.7153</v>
      </c>
      <c r="L182">
        <v>2.0979000000000001</v>
      </c>
    </row>
    <row r="183" spans="1:12" hidden="1" x14ac:dyDescent="0.25">
      <c r="A183">
        <v>2330</v>
      </c>
      <c r="B183" t="s">
        <v>11</v>
      </c>
      <c r="C183" s="1">
        <v>40317</v>
      </c>
      <c r="D183" s="2">
        <f t="shared" si="4"/>
        <v>3</v>
      </c>
      <c r="E183" s="2">
        <f t="shared" si="5"/>
        <v>5</v>
      </c>
      <c r="F183">
        <v>40.589300000000001</v>
      </c>
      <c r="G183">
        <v>41.002099999999999</v>
      </c>
      <c r="H183">
        <v>40.3142</v>
      </c>
      <c r="I183">
        <v>40.795699999999997</v>
      </c>
      <c r="J183">
        <v>51605</v>
      </c>
      <c r="K183">
        <v>-0.3367</v>
      </c>
      <c r="L183">
        <v>1.7064999999999999</v>
      </c>
    </row>
    <row r="184" spans="1:12" x14ac:dyDescent="0.25">
      <c r="A184">
        <v>2303</v>
      </c>
      <c r="B184" t="s">
        <v>10</v>
      </c>
      <c r="C184" s="1">
        <v>40318</v>
      </c>
      <c r="D184" s="2">
        <f t="shared" si="4"/>
        <v>4</v>
      </c>
      <c r="E184" s="2">
        <f t="shared" si="5"/>
        <v>5</v>
      </c>
      <c r="F184">
        <v>9.5365000000000002</v>
      </c>
      <c r="G184">
        <v>9.5693999999999999</v>
      </c>
      <c r="H184">
        <v>9.2077000000000009</v>
      </c>
      <c r="I184">
        <v>9.2077000000000009</v>
      </c>
      <c r="J184">
        <v>80716</v>
      </c>
      <c r="K184">
        <v>-3.1637</v>
      </c>
      <c r="L184">
        <v>3.9285999999999999</v>
      </c>
    </row>
    <row r="185" spans="1:12" hidden="1" x14ac:dyDescent="0.25">
      <c r="A185">
        <v>2330</v>
      </c>
      <c r="B185" t="s">
        <v>11</v>
      </c>
      <c r="C185" s="1">
        <v>40318</v>
      </c>
      <c r="D185" s="2">
        <f t="shared" si="4"/>
        <v>4</v>
      </c>
      <c r="E185" s="2">
        <f t="shared" si="5"/>
        <v>5</v>
      </c>
      <c r="F185">
        <v>40.933300000000003</v>
      </c>
      <c r="G185">
        <v>41.070900000000002</v>
      </c>
      <c r="H185">
        <v>40.520499999999998</v>
      </c>
      <c r="I185">
        <v>40.520499999999998</v>
      </c>
      <c r="J185">
        <v>31740</v>
      </c>
      <c r="K185">
        <v>-0.67679999999999996</v>
      </c>
      <c r="L185">
        <v>1.3582000000000001</v>
      </c>
    </row>
    <row r="186" spans="1:12" x14ac:dyDescent="0.25">
      <c r="A186">
        <v>2303</v>
      </c>
      <c r="B186" t="s">
        <v>10</v>
      </c>
      <c r="C186" s="1">
        <v>40319</v>
      </c>
      <c r="D186" s="2">
        <f t="shared" si="4"/>
        <v>5</v>
      </c>
      <c r="E186" s="2">
        <f t="shared" si="5"/>
        <v>5</v>
      </c>
      <c r="F186">
        <v>8.9445999999999994</v>
      </c>
      <c r="G186">
        <v>9.3391999999999999</v>
      </c>
      <c r="H186">
        <v>8.8788999999999998</v>
      </c>
      <c r="I186">
        <v>9.2077000000000009</v>
      </c>
      <c r="J186">
        <v>46456</v>
      </c>
      <c r="K186">
        <v>0</v>
      </c>
      <c r="L186">
        <v>5.1852</v>
      </c>
    </row>
    <row r="187" spans="1:12" hidden="1" x14ac:dyDescent="0.25">
      <c r="A187">
        <v>2330</v>
      </c>
      <c r="B187" t="s">
        <v>11</v>
      </c>
      <c r="C187" s="1">
        <v>40319</v>
      </c>
      <c r="D187" s="2">
        <f t="shared" si="4"/>
        <v>5</v>
      </c>
      <c r="E187" s="2">
        <f t="shared" si="5"/>
        <v>5</v>
      </c>
      <c r="F187">
        <v>40.107799999999997</v>
      </c>
      <c r="G187">
        <v>40.658099999999997</v>
      </c>
      <c r="H187">
        <v>39.832599999999999</v>
      </c>
      <c r="I187">
        <v>40.451799999999999</v>
      </c>
      <c r="J187">
        <v>46257</v>
      </c>
      <c r="K187">
        <v>-0.1699</v>
      </c>
      <c r="L187">
        <v>2.0724999999999998</v>
      </c>
    </row>
    <row r="188" spans="1:12" x14ac:dyDescent="0.25">
      <c r="A188">
        <v>2303</v>
      </c>
      <c r="B188" t="s">
        <v>10</v>
      </c>
      <c r="C188" s="1">
        <v>40322</v>
      </c>
      <c r="D188" s="2">
        <f t="shared" si="4"/>
        <v>1</v>
      </c>
      <c r="E188" s="2">
        <f t="shared" si="5"/>
        <v>5</v>
      </c>
      <c r="F188">
        <v>9.4379000000000008</v>
      </c>
      <c r="G188">
        <v>9.4708000000000006</v>
      </c>
      <c r="H188">
        <v>9.3391999999999999</v>
      </c>
      <c r="I188">
        <v>9.4049999999999994</v>
      </c>
      <c r="J188">
        <v>47786</v>
      </c>
      <c r="K188">
        <v>2.1202000000000001</v>
      </c>
      <c r="L188">
        <v>1.4085000000000001</v>
      </c>
    </row>
    <row r="189" spans="1:12" hidden="1" x14ac:dyDescent="0.25">
      <c r="A189">
        <v>2330</v>
      </c>
      <c r="B189" t="s">
        <v>11</v>
      </c>
      <c r="C189" s="1">
        <v>40322</v>
      </c>
      <c r="D189" s="2">
        <f t="shared" si="4"/>
        <v>1</v>
      </c>
      <c r="E189" s="2">
        <f t="shared" si="5"/>
        <v>5</v>
      </c>
      <c r="F189">
        <v>41.002099999999999</v>
      </c>
      <c r="G189">
        <v>41.002099999999999</v>
      </c>
      <c r="H189">
        <v>40.383000000000003</v>
      </c>
      <c r="I189">
        <v>40.589300000000001</v>
      </c>
      <c r="J189">
        <v>19317</v>
      </c>
      <c r="K189">
        <v>0.33960000000000001</v>
      </c>
      <c r="L189">
        <v>1.5331999999999999</v>
      </c>
    </row>
    <row r="190" spans="1:12" x14ac:dyDescent="0.25">
      <c r="A190">
        <v>2303</v>
      </c>
      <c r="B190" t="s">
        <v>10</v>
      </c>
      <c r="C190" s="1">
        <v>40323</v>
      </c>
      <c r="D190" s="2">
        <f t="shared" si="4"/>
        <v>2</v>
      </c>
      <c r="E190" s="2">
        <f t="shared" si="5"/>
        <v>5</v>
      </c>
      <c r="F190">
        <v>9.2077000000000009</v>
      </c>
      <c r="G190">
        <v>9.2406000000000006</v>
      </c>
      <c r="H190">
        <v>9.0762</v>
      </c>
      <c r="I190">
        <v>9.0762</v>
      </c>
      <c r="J190">
        <v>39108</v>
      </c>
      <c r="K190">
        <v>-3.5590999999999999</v>
      </c>
      <c r="L190">
        <v>1.8116000000000001</v>
      </c>
    </row>
    <row r="191" spans="1:12" hidden="1" x14ac:dyDescent="0.25">
      <c r="A191">
        <v>2330</v>
      </c>
      <c r="B191" t="s">
        <v>11</v>
      </c>
      <c r="C191" s="1">
        <v>40323</v>
      </c>
      <c r="D191" s="2">
        <f t="shared" si="4"/>
        <v>2</v>
      </c>
      <c r="E191" s="2">
        <f t="shared" si="5"/>
        <v>5</v>
      </c>
      <c r="F191">
        <v>40.451799999999999</v>
      </c>
      <c r="G191">
        <v>40.520499999999998</v>
      </c>
      <c r="H191">
        <v>39.970199999999998</v>
      </c>
      <c r="I191">
        <v>40.176600000000001</v>
      </c>
      <c r="J191">
        <v>51282</v>
      </c>
      <c r="K191">
        <v>-1.0222</v>
      </c>
      <c r="L191">
        <v>1.3769</v>
      </c>
    </row>
    <row r="192" spans="1:12" x14ac:dyDescent="0.25">
      <c r="A192">
        <v>2303</v>
      </c>
      <c r="B192" t="s">
        <v>10</v>
      </c>
      <c r="C192" s="1">
        <v>40324</v>
      </c>
      <c r="D192" s="2">
        <f t="shared" si="4"/>
        <v>3</v>
      </c>
      <c r="E192" s="2">
        <f t="shared" si="5"/>
        <v>5</v>
      </c>
      <c r="F192">
        <v>9.2406000000000006</v>
      </c>
      <c r="G192">
        <v>9.3064</v>
      </c>
      <c r="H192">
        <v>9.1747999999999994</v>
      </c>
      <c r="I192">
        <v>9.2077000000000009</v>
      </c>
      <c r="J192">
        <v>33503</v>
      </c>
      <c r="K192">
        <v>1.4389000000000001</v>
      </c>
      <c r="L192">
        <v>1.4337</v>
      </c>
    </row>
    <row r="193" spans="1:12" hidden="1" x14ac:dyDescent="0.25">
      <c r="A193">
        <v>2330</v>
      </c>
      <c r="B193" t="s">
        <v>11</v>
      </c>
      <c r="C193" s="1">
        <v>40324</v>
      </c>
      <c r="D193" s="2">
        <f t="shared" si="4"/>
        <v>3</v>
      </c>
      <c r="E193" s="2">
        <f t="shared" si="5"/>
        <v>5</v>
      </c>
      <c r="F193">
        <v>40.520499999999998</v>
      </c>
      <c r="G193">
        <v>40.589300000000001</v>
      </c>
      <c r="H193">
        <v>40.245399999999997</v>
      </c>
      <c r="I193">
        <v>40.520499999999998</v>
      </c>
      <c r="J193">
        <v>42971</v>
      </c>
      <c r="K193">
        <v>0.85250000000000004</v>
      </c>
      <c r="L193">
        <v>0.85470000000000002</v>
      </c>
    </row>
    <row r="194" spans="1:12" x14ac:dyDescent="0.25">
      <c r="A194">
        <v>2303</v>
      </c>
      <c r="B194" t="s">
        <v>10</v>
      </c>
      <c r="C194" s="1">
        <v>40325</v>
      </c>
      <c r="D194" s="2">
        <f t="shared" si="4"/>
        <v>4</v>
      </c>
      <c r="E194" s="2">
        <f t="shared" si="5"/>
        <v>5</v>
      </c>
      <c r="F194">
        <v>9.2077000000000009</v>
      </c>
      <c r="G194">
        <v>9.3391999999999999</v>
      </c>
      <c r="H194">
        <v>9.0762</v>
      </c>
      <c r="I194">
        <v>9.2735000000000003</v>
      </c>
      <c r="J194">
        <v>28136</v>
      </c>
      <c r="K194">
        <v>0.7117</v>
      </c>
      <c r="L194">
        <v>2.8986000000000001</v>
      </c>
    </row>
    <row r="195" spans="1:12" hidden="1" x14ac:dyDescent="0.25">
      <c r="A195">
        <v>2330</v>
      </c>
      <c r="B195" t="s">
        <v>11</v>
      </c>
      <c r="C195" s="1">
        <v>40325</v>
      </c>
      <c r="D195" s="2">
        <f t="shared" ref="D195:D258" si="6">WEEKDAY(C195,2)</f>
        <v>4</v>
      </c>
      <c r="E195" s="2">
        <f t="shared" ref="E195:E258" si="7">MONTH(C195)</f>
        <v>5</v>
      </c>
      <c r="F195">
        <v>40.245399999999997</v>
      </c>
      <c r="G195">
        <v>40.795699999999997</v>
      </c>
      <c r="H195">
        <v>39.695</v>
      </c>
      <c r="I195">
        <v>40.383000000000003</v>
      </c>
      <c r="J195">
        <v>55503</v>
      </c>
      <c r="K195">
        <v>-0.34010000000000001</v>
      </c>
      <c r="L195">
        <v>2.7730000000000001</v>
      </c>
    </row>
    <row r="196" spans="1:12" x14ac:dyDescent="0.25">
      <c r="A196">
        <v>2303</v>
      </c>
      <c r="B196" t="s">
        <v>10</v>
      </c>
      <c r="C196" s="1">
        <v>40326</v>
      </c>
      <c r="D196" s="2">
        <f t="shared" si="6"/>
        <v>5</v>
      </c>
      <c r="E196" s="2">
        <f t="shared" si="7"/>
        <v>5</v>
      </c>
      <c r="F196">
        <v>9.4708000000000006</v>
      </c>
      <c r="G196">
        <v>9.6022999999999996</v>
      </c>
      <c r="H196">
        <v>9.3720999999999997</v>
      </c>
      <c r="I196">
        <v>9.4379000000000008</v>
      </c>
      <c r="J196">
        <v>45369</v>
      </c>
      <c r="K196">
        <v>1.7575000000000001</v>
      </c>
      <c r="L196">
        <v>2.4561000000000002</v>
      </c>
    </row>
    <row r="197" spans="1:12" hidden="1" x14ac:dyDescent="0.25">
      <c r="A197">
        <v>2330</v>
      </c>
      <c r="B197" t="s">
        <v>11</v>
      </c>
      <c r="C197" s="1">
        <v>40326</v>
      </c>
      <c r="D197" s="2">
        <f t="shared" si="6"/>
        <v>5</v>
      </c>
      <c r="E197" s="2">
        <f t="shared" si="7"/>
        <v>5</v>
      </c>
      <c r="F197">
        <v>40.520499999999998</v>
      </c>
      <c r="G197">
        <v>40.8645</v>
      </c>
      <c r="H197">
        <v>40.107799999999997</v>
      </c>
      <c r="I197">
        <v>40.383000000000003</v>
      </c>
      <c r="J197">
        <v>61148</v>
      </c>
      <c r="K197">
        <v>0</v>
      </c>
      <c r="L197">
        <v>1.8868</v>
      </c>
    </row>
    <row r="198" spans="1:12" x14ac:dyDescent="0.25">
      <c r="A198">
        <v>2303</v>
      </c>
      <c r="B198" t="s">
        <v>10</v>
      </c>
      <c r="C198" s="1">
        <v>40329</v>
      </c>
      <c r="D198" s="2">
        <f t="shared" si="6"/>
        <v>1</v>
      </c>
      <c r="E198" s="2">
        <f t="shared" si="7"/>
        <v>5</v>
      </c>
      <c r="F198">
        <v>9.6022999999999996</v>
      </c>
      <c r="G198">
        <v>9.9312000000000005</v>
      </c>
      <c r="H198">
        <v>9.4708000000000006</v>
      </c>
      <c r="I198">
        <v>9.9312000000000005</v>
      </c>
      <c r="J198">
        <v>49003</v>
      </c>
      <c r="K198">
        <v>5.0945</v>
      </c>
      <c r="L198">
        <v>4.8611000000000004</v>
      </c>
    </row>
    <row r="199" spans="1:12" hidden="1" x14ac:dyDescent="0.25">
      <c r="A199">
        <v>2330</v>
      </c>
      <c r="B199" t="s">
        <v>11</v>
      </c>
      <c r="C199" s="1">
        <v>40329</v>
      </c>
      <c r="D199" s="2">
        <f t="shared" si="6"/>
        <v>1</v>
      </c>
      <c r="E199" s="2">
        <f t="shared" si="7"/>
        <v>5</v>
      </c>
      <c r="F199">
        <v>40.658099999999997</v>
      </c>
      <c r="G199">
        <v>41.414900000000003</v>
      </c>
      <c r="H199">
        <v>40.451799999999999</v>
      </c>
      <c r="I199">
        <v>41.414900000000003</v>
      </c>
      <c r="J199">
        <v>25401</v>
      </c>
      <c r="K199">
        <v>2.5232999999999999</v>
      </c>
      <c r="L199">
        <v>2.3809999999999998</v>
      </c>
    </row>
    <row r="200" spans="1:12" x14ac:dyDescent="0.25">
      <c r="A200">
        <v>2303</v>
      </c>
      <c r="B200" t="s">
        <v>10</v>
      </c>
      <c r="C200" s="1">
        <v>40330</v>
      </c>
      <c r="D200" s="2">
        <f t="shared" si="6"/>
        <v>2</v>
      </c>
      <c r="E200" s="2">
        <f t="shared" si="7"/>
        <v>6</v>
      </c>
      <c r="F200">
        <v>9.8653999999999993</v>
      </c>
      <c r="G200">
        <v>9.8653999999999993</v>
      </c>
      <c r="H200">
        <v>9.6681000000000008</v>
      </c>
      <c r="I200">
        <v>9.7339000000000002</v>
      </c>
      <c r="J200">
        <v>32260</v>
      </c>
      <c r="K200">
        <v>-2.0068000000000001</v>
      </c>
      <c r="L200">
        <v>2.0407999999999999</v>
      </c>
    </row>
    <row r="201" spans="1:12" hidden="1" x14ac:dyDescent="0.25">
      <c r="A201">
        <v>2330</v>
      </c>
      <c r="B201" t="s">
        <v>11</v>
      </c>
      <c r="C201" s="1">
        <v>40330</v>
      </c>
      <c r="D201" s="2">
        <f t="shared" si="6"/>
        <v>2</v>
      </c>
      <c r="E201" s="2">
        <f t="shared" si="7"/>
        <v>6</v>
      </c>
      <c r="F201">
        <v>41.208500000000001</v>
      </c>
      <c r="G201">
        <v>41.277299999999997</v>
      </c>
      <c r="H201">
        <v>40.726900000000001</v>
      </c>
      <c r="I201">
        <v>41.139699999999998</v>
      </c>
      <c r="J201">
        <v>28375</v>
      </c>
      <c r="K201">
        <v>-0.66669999999999996</v>
      </c>
      <c r="L201">
        <v>1.3513999999999999</v>
      </c>
    </row>
    <row r="202" spans="1:12" x14ac:dyDescent="0.25">
      <c r="A202">
        <v>2303</v>
      </c>
      <c r="B202" t="s">
        <v>10</v>
      </c>
      <c r="C202" s="1">
        <v>40331</v>
      </c>
      <c r="D202" s="2">
        <f t="shared" si="6"/>
        <v>3</v>
      </c>
      <c r="E202" s="2">
        <f t="shared" si="7"/>
        <v>6</v>
      </c>
      <c r="F202">
        <v>9.4379000000000008</v>
      </c>
      <c r="G202">
        <v>9.7010000000000005</v>
      </c>
      <c r="H202">
        <v>9.4379000000000008</v>
      </c>
      <c r="I202">
        <v>9.4708000000000006</v>
      </c>
      <c r="J202">
        <v>52311</v>
      </c>
      <c r="K202">
        <v>-2.7399</v>
      </c>
      <c r="L202">
        <v>2.7875000000000001</v>
      </c>
    </row>
    <row r="203" spans="1:12" hidden="1" x14ac:dyDescent="0.25">
      <c r="A203">
        <v>2330</v>
      </c>
      <c r="B203" t="s">
        <v>11</v>
      </c>
      <c r="C203" s="1">
        <v>40331</v>
      </c>
      <c r="D203" s="2">
        <f t="shared" si="6"/>
        <v>3</v>
      </c>
      <c r="E203" s="2">
        <f t="shared" si="7"/>
        <v>6</v>
      </c>
      <c r="F203">
        <v>41.139699999999998</v>
      </c>
      <c r="G203">
        <v>41.552500000000002</v>
      </c>
      <c r="H203">
        <v>40.795699999999997</v>
      </c>
      <c r="I203">
        <v>41.139699999999998</v>
      </c>
      <c r="J203">
        <v>35323</v>
      </c>
      <c r="K203">
        <v>0</v>
      </c>
      <c r="L203">
        <v>1.855</v>
      </c>
    </row>
    <row r="204" spans="1:12" x14ac:dyDescent="0.25">
      <c r="A204">
        <v>2303</v>
      </c>
      <c r="B204" t="s">
        <v>10</v>
      </c>
      <c r="C204" s="1">
        <v>40332</v>
      </c>
      <c r="D204" s="2">
        <f t="shared" si="6"/>
        <v>4</v>
      </c>
      <c r="E204" s="2">
        <f t="shared" si="7"/>
        <v>6</v>
      </c>
      <c r="F204">
        <v>9.7339000000000002</v>
      </c>
      <c r="G204">
        <v>9.8324999999999996</v>
      </c>
      <c r="H204">
        <v>9.6351999999999993</v>
      </c>
      <c r="I204">
        <v>9.7995999999999999</v>
      </c>
      <c r="J204">
        <v>40879</v>
      </c>
      <c r="K204">
        <v>3.4133</v>
      </c>
      <c r="L204">
        <v>2.0478000000000001</v>
      </c>
    </row>
    <row r="205" spans="1:12" hidden="1" x14ac:dyDescent="0.25">
      <c r="A205">
        <v>2330</v>
      </c>
      <c r="B205" t="s">
        <v>11</v>
      </c>
      <c r="C205" s="1">
        <v>40332</v>
      </c>
      <c r="D205" s="2">
        <f t="shared" si="6"/>
        <v>4</v>
      </c>
      <c r="E205" s="2">
        <f t="shared" si="7"/>
        <v>6</v>
      </c>
      <c r="F205">
        <v>41.8277</v>
      </c>
      <c r="G205">
        <v>41.965299999999999</v>
      </c>
      <c r="H205">
        <v>41.621299999999998</v>
      </c>
      <c r="I205">
        <v>41.8277</v>
      </c>
      <c r="J205">
        <v>49528</v>
      </c>
      <c r="K205">
        <v>1.6584000000000001</v>
      </c>
      <c r="L205">
        <v>0.82640000000000002</v>
      </c>
    </row>
    <row r="206" spans="1:12" x14ac:dyDescent="0.25">
      <c r="A206">
        <v>2303</v>
      </c>
      <c r="B206" t="s">
        <v>10</v>
      </c>
      <c r="C206" s="1">
        <v>40333</v>
      </c>
      <c r="D206" s="2">
        <f t="shared" si="6"/>
        <v>5</v>
      </c>
      <c r="E206" s="2">
        <f t="shared" si="7"/>
        <v>6</v>
      </c>
      <c r="F206">
        <v>9.8653999999999993</v>
      </c>
      <c r="G206">
        <v>9.8653999999999993</v>
      </c>
      <c r="H206">
        <v>9.6351999999999993</v>
      </c>
      <c r="I206">
        <v>9.6351999999999993</v>
      </c>
      <c r="J206">
        <v>36327</v>
      </c>
      <c r="K206">
        <v>-1.6920999999999999</v>
      </c>
      <c r="L206">
        <v>2.3891</v>
      </c>
    </row>
    <row r="207" spans="1:12" hidden="1" x14ac:dyDescent="0.25">
      <c r="A207">
        <v>2330</v>
      </c>
      <c r="B207" t="s">
        <v>11</v>
      </c>
      <c r="C207" s="1">
        <v>40333</v>
      </c>
      <c r="D207" s="2">
        <f t="shared" si="6"/>
        <v>5</v>
      </c>
      <c r="E207" s="2">
        <f t="shared" si="7"/>
        <v>6</v>
      </c>
      <c r="F207">
        <v>41.621299999999998</v>
      </c>
      <c r="G207">
        <v>41.965299999999999</v>
      </c>
      <c r="H207">
        <v>41.414900000000003</v>
      </c>
      <c r="I207">
        <v>41.965299999999999</v>
      </c>
      <c r="J207">
        <v>42722</v>
      </c>
      <c r="K207">
        <v>0.32840000000000003</v>
      </c>
      <c r="L207">
        <v>1.3289</v>
      </c>
    </row>
    <row r="208" spans="1:12" x14ac:dyDescent="0.25">
      <c r="A208">
        <v>2303</v>
      </c>
      <c r="B208" t="s">
        <v>10</v>
      </c>
      <c r="C208" s="1">
        <v>40336</v>
      </c>
      <c r="D208" s="2">
        <f t="shared" si="6"/>
        <v>1</v>
      </c>
      <c r="E208" s="2">
        <f t="shared" si="7"/>
        <v>6</v>
      </c>
      <c r="F208">
        <v>9.2735000000000003</v>
      </c>
      <c r="G208">
        <v>9.3720999999999997</v>
      </c>
      <c r="H208">
        <v>9.2077000000000009</v>
      </c>
      <c r="I208">
        <v>9.3391999999999999</v>
      </c>
      <c r="J208">
        <v>46941</v>
      </c>
      <c r="K208">
        <v>-3.1198000000000001</v>
      </c>
      <c r="L208">
        <v>1.7857000000000001</v>
      </c>
    </row>
    <row r="209" spans="1:12" hidden="1" x14ac:dyDescent="0.25">
      <c r="A209">
        <v>2330</v>
      </c>
      <c r="B209" t="s">
        <v>11</v>
      </c>
      <c r="C209" s="1">
        <v>40336</v>
      </c>
      <c r="D209" s="2">
        <f t="shared" si="6"/>
        <v>1</v>
      </c>
      <c r="E209" s="2">
        <f t="shared" si="7"/>
        <v>6</v>
      </c>
      <c r="F209">
        <v>41.070900000000002</v>
      </c>
      <c r="G209">
        <v>41.070900000000002</v>
      </c>
      <c r="H209">
        <v>40.383000000000003</v>
      </c>
      <c r="I209">
        <v>40.726900000000001</v>
      </c>
      <c r="J209">
        <v>70649</v>
      </c>
      <c r="K209">
        <v>-2.9952000000000001</v>
      </c>
      <c r="L209">
        <v>1.7036</v>
      </c>
    </row>
    <row r="210" spans="1:12" x14ac:dyDescent="0.25">
      <c r="A210">
        <v>2303</v>
      </c>
      <c r="B210" t="s">
        <v>10</v>
      </c>
      <c r="C210" s="1">
        <v>40337</v>
      </c>
      <c r="D210" s="2">
        <f t="shared" si="6"/>
        <v>2</v>
      </c>
      <c r="E210" s="2">
        <f t="shared" si="7"/>
        <v>6</v>
      </c>
      <c r="F210">
        <v>9.2406000000000006</v>
      </c>
      <c r="G210">
        <v>9.3064</v>
      </c>
      <c r="H210">
        <v>9.1747999999999994</v>
      </c>
      <c r="I210">
        <v>9.2077000000000009</v>
      </c>
      <c r="J210">
        <v>66298</v>
      </c>
      <c r="K210">
        <v>-1.4185000000000001</v>
      </c>
      <c r="L210">
        <v>1.4337</v>
      </c>
    </row>
    <row r="211" spans="1:12" hidden="1" x14ac:dyDescent="0.25">
      <c r="A211">
        <v>2330</v>
      </c>
      <c r="B211" t="s">
        <v>11</v>
      </c>
      <c r="C211" s="1">
        <v>40337</v>
      </c>
      <c r="D211" s="2">
        <f t="shared" si="6"/>
        <v>2</v>
      </c>
      <c r="E211" s="2">
        <f t="shared" si="7"/>
        <v>6</v>
      </c>
      <c r="F211">
        <v>40.520499999999998</v>
      </c>
      <c r="G211">
        <v>40.726900000000001</v>
      </c>
      <c r="H211">
        <v>40.176600000000001</v>
      </c>
      <c r="I211">
        <v>40.245399999999997</v>
      </c>
      <c r="J211">
        <v>40431</v>
      </c>
      <c r="K211">
        <v>-1.1895</v>
      </c>
      <c r="L211">
        <v>1.3698999999999999</v>
      </c>
    </row>
    <row r="212" spans="1:12" x14ac:dyDescent="0.25">
      <c r="A212">
        <v>2303</v>
      </c>
      <c r="B212" t="s">
        <v>10</v>
      </c>
      <c r="C212" s="1">
        <v>40338</v>
      </c>
      <c r="D212" s="2">
        <f t="shared" si="6"/>
        <v>3</v>
      </c>
      <c r="E212" s="2">
        <f t="shared" si="7"/>
        <v>6</v>
      </c>
      <c r="F212">
        <v>9.1418999999999997</v>
      </c>
      <c r="G212">
        <v>9.2406000000000006</v>
      </c>
      <c r="H212">
        <v>9.0433000000000003</v>
      </c>
      <c r="I212">
        <v>9.0762</v>
      </c>
      <c r="J212">
        <v>83426</v>
      </c>
      <c r="K212">
        <v>-1.4389000000000001</v>
      </c>
      <c r="L212">
        <v>2.1818</v>
      </c>
    </row>
    <row r="213" spans="1:12" hidden="1" x14ac:dyDescent="0.25">
      <c r="A213">
        <v>2330</v>
      </c>
      <c r="B213" t="s">
        <v>11</v>
      </c>
      <c r="C213" s="1">
        <v>40338</v>
      </c>
      <c r="D213" s="2">
        <f t="shared" si="6"/>
        <v>3</v>
      </c>
      <c r="E213" s="2">
        <f t="shared" si="7"/>
        <v>6</v>
      </c>
      <c r="F213">
        <v>40.176600000000001</v>
      </c>
      <c r="G213">
        <v>40.589300000000001</v>
      </c>
      <c r="H213">
        <v>40.107799999999997</v>
      </c>
      <c r="I213">
        <v>40.3142</v>
      </c>
      <c r="J213">
        <v>46104</v>
      </c>
      <c r="K213">
        <v>0.17080000000000001</v>
      </c>
      <c r="L213">
        <v>1.2007000000000001</v>
      </c>
    </row>
    <row r="214" spans="1:12" x14ac:dyDescent="0.25">
      <c r="A214">
        <v>2303</v>
      </c>
      <c r="B214" t="s">
        <v>10</v>
      </c>
      <c r="C214" s="1">
        <v>40339</v>
      </c>
      <c r="D214" s="2">
        <f t="shared" si="6"/>
        <v>4</v>
      </c>
      <c r="E214" s="2">
        <f t="shared" si="7"/>
        <v>6</v>
      </c>
      <c r="F214">
        <v>9.2077000000000009</v>
      </c>
      <c r="G214">
        <v>9.2406000000000006</v>
      </c>
      <c r="H214">
        <v>9.109</v>
      </c>
      <c r="I214">
        <v>9.1747999999999994</v>
      </c>
      <c r="J214">
        <v>26406</v>
      </c>
      <c r="K214">
        <v>1.0810999999999999</v>
      </c>
      <c r="L214">
        <v>1.444</v>
      </c>
    </row>
    <row r="215" spans="1:12" hidden="1" x14ac:dyDescent="0.25">
      <c r="A215">
        <v>2330</v>
      </c>
      <c r="B215" t="s">
        <v>11</v>
      </c>
      <c r="C215" s="1">
        <v>40339</v>
      </c>
      <c r="D215" s="2">
        <f t="shared" si="6"/>
        <v>4</v>
      </c>
      <c r="E215" s="2">
        <f t="shared" si="7"/>
        <v>6</v>
      </c>
      <c r="F215">
        <v>41.139699999999998</v>
      </c>
      <c r="G215">
        <v>41.139699999999998</v>
      </c>
      <c r="H215">
        <v>40.451799999999999</v>
      </c>
      <c r="I215">
        <v>40.8645</v>
      </c>
      <c r="J215">
        <v>28817</v>
      </c>
      <c r="K215">
        <v>1.3560000000000001</v>
      </c>
      <c r="L215">
        <v>1.7007000000000001</v>
      </c>
    </row>
    <row r="216" spans="1:12" x14ac:dyDescent="0.25">
      <c r="A216">
        <v>2303</v>
      </c>
      <c r="B216" t="s">
        <v>10</v>
      </c>
      <c r="C216" s="1">
        <v>40340</v>
      </c>
      <c r="D216" s="2">
        <f t="shared" si="6"/>
        <v>5</v>
      </c>
      <c r="E216" s="2">
        <f t="shared" si="7"/>
        <v>6</v>
      </c>
      <c r="F216">
        <v>9.5365000000000002</v>
      </c>
      <c r="G216">
        <v>9.5365000000000002</v>
      </c>
      <c r="H216">
        <v>9.3391999999999999</v>
      </c>
      <c r="I216">
        <v>9.4049999999999994</v>
      </c>
      <c r="J216">
        <v>27573</v>
      </c>
      <c r="K216">
        <v>2.4780000000000002</v>
      </c>
      <c r="L216">
        <v>2.1126999999999998</v>
      </c>
    </row>
    <row r="217" spans="1:12" hidden="1" x14ac:dyDescent="0.25">
      <c r="A217">
        <v>2330</v>
      </c>
      <c r="B217" t="s">
        <v>11</v>
      </c>
      <c r="C217" s="1">
        <v>40340</v>
      </c>
      <c r="D217" s="2">
        <f t="shared" si="6"/>
        <v>5</v>
      </c>
      <c r="E217" s="2">
        <f t="shared" si="7"/>
        <v>6</v>
      </c>
      <c r="F217">
        <v>41.414900000000003</v>
      </c>
      <c r="G217">
        <v>41.621299999999998</v>
      </c>
      <c r="H217">
        <v>41.277299999999997</v>
      </c>
      <c r="I217">
        <v>41.621299999999998</v>
      </c>
      <c r="J217">
        <v>42325</v>
      </c>
      <c r="K217">
        <v>1.8349</v>
      </c>
      <c r="L217">
        <v>0.83330000000000004</v>
      </c>
    </row>
    <row r="218" spans="1:12" x14ac:dyDescent="0.25">
      <c r="A218">
        <v>2303</v>
      </c>
      <c r="B218" t="s">
        <v>10</v>
      </c>
      <c r="C218" s="1">
        <v>40343</v>
      </c>
      <c r="D218" s="2">
        <f t="shared" si="6"/>
        <v>1</v>
      </c>
      <c r="E218" s="2">
        <f t="shared" si="7"/>
        <v>6</v>
      </c>
      <c r="F218">
        <v>9.4708000000000006</v>
      </c>
      <c r="G218">
        <v>9.5693999999999999</v>
      </c>
      <c r="H218">
        <v>9.4379000000000008</v>
      </c>
      <c r="I218">
        <v>9.5693999999999999</v>
      </c>
      <c r="J218">
        <v>25756</v>
      </c>
      <c r="K218">
        <v>1.7331000000000001</v>
      </c>
      <c r="L218">
        <v>1.3936999999999999</v>
      </c>
    </row>
    <row r="219" spans="1:12" hidden="1" x14ac:dyDescent="0.25">
      <c r="A219">
        <v>2330</v>
      </c>
      <c r="B219" t="s">
        <v>11</v>
      </c>
      <c r="C219" s="1">
        <v>40343</v>
      </c>
      <c r="D219" s="2">
        <f t="shared" si="6"/>
        <v>1</v>
      </c>
      <c r="E219" s="2">
        <f t="shared" si="7"/>
        <v>6</v>
      </c>
      <c r="F219">
        <v>41.896500000000003</v>
      </c>
      <c r="G219">
        <v>42.240400000000001</v>
      </c>
      <c r="H219">
        <v>41.896500000000003</v>
      </c>
      <c r="I219">
        <v>42.034100000000002</v>
      </c>
      <c r="J219">
        <v>44942</v>
      </c>
      <c r="K219">
        <v>0.9869</v>
      </c>
      <c r="L219">
        <v>0.82099999999999995</v>
      </c>
    </row>
    <row r="220" spans="1:12" x14ac:dyDescent="0.25">
      <c r="A220">
        <v>2303</v>
      </c>
      <c r="B220" t="s">
        <v>10</v>
      </c>
      <c r="C220" s="1">
        <v>40344</v>
      </c>
      <c r="D220" s="2">
        <f t="shared" si="6"/>
        <v>2</v>
      </c>
      <c r="E220" s="2">
        <f t="shared" si="7"/>
        <v>6</v>
      </c>
      <c r="F220">
        <v>9.5693999999999999</v>
      </c>
      <c r="G220">
        <v>9.7339000000000002</v>
      </c>
      <c r="H220">
        <v>9.5037000000000003</v>
      </c>
      <c r="I220">
        <v>9.6681000000000008</v>
      </c>
      <c r="J220">
        <v>32458</v>
      </c>
      <c r="K220">
        <v>1.0257000000000001</v>
      </c>
      <c r="L220">
        <v>2.4220999999999999</v>
      </c>
    </row>
    <row r="221" spans="1:12" hidden="1" x14ac:dyDescent="0.25">
      <c r="A221">
        <v>2330</v>
      </c>
      <c r="B221" t="s">
        <v>11</v>
      </c>
      <c r="C221" s="1">
        <v>40344</v>
      </c>
      <c r="D221" s="2">
        <f t="shared" si="6"/>
        <v>2</v>
      </c>
      <c r="E221" s="2">
        <f t="shared" si="7"/>
        <v>6</v>
      </c>
      <c r="F221">
        <v>42.171599999999998</v>
      </c>
      <c r="G221">
        <v>42.584400000000002</v>
      </c>
      <c r="H221">
        <v>41.758899999999997</v>
      </c>
      <c r="I221">
        <v>42.240400000000001</v>
      </c>
      <c r="J221">
        <v>37547</v>
      </c>
      <c r="K221">
        <v>0.48980000000000001</v>
      </c>
      <c r="L221">
        <v>1.9769000000000001</v>
      </c>
    </row>
    <row r="222" spans="1:12" x14ac:dyDescent="0.25">
      <c r="A222">
        <v>2303</v>
      </c>
      <c r="B222" t="s">
        <v>10</v>
      </c>
      <c r="C222" s="1">
        <v>40346</v>
      </c>
      <c r="D222" s="2">
        <f t="shared" si="6"/>
        <v>4</v>
      </c>
      <c r="E222" s="2">
        <f t="shared" si="7"/>
        <v>6</v>
      </c>
      <c r="F222">
        <v>9.8983000000000008</v>
      </c>
      <c r="G222">
        <v>10.0627</v>
      </c>
      <c r="H222">
        <v>9.8324999999999996</v>
      </c>
      <c r="I222">
        <v>9.8653999999999993</v>
      </c>
      <c r="J222">
        <v>107752</v>
      </c>
      <c r="K222">
        <v>2.0203000000000002</v>
      </c>
      <c r="L222">
        <v>2.3411</v>
      </c>
    </row>
    <row r="223" spans="1:12" hidden="1" x14ac:dyDescent="0.25">
      <c r="A223">
        <v>2330</v>
      </c>
      <c r="B223" t="s">
        <v>11</v>
      </c>
      <c r="C223" s="1">
        <v>40346</v>
      </c>
      <c r="D223" s="2">
        <f t="shared" si="6"/>
        <v>4</v>
      </c>
      <c r="E223" s="2">
        <f t="shared" si="7"/>
        <v>6</v>
      </c>
      <c r="F223">
        <v>42.653199999999998</v>
      </c>
      <c r="G223">
        <v>42.8596</v>
      </c>
      <c r="H223">
        <v>42.446800000000003</v>
      </c>
      <c r="I223">
        <v>42.722000000000001</v>
      </c>
      <c r="J223">
        <v>62015</v>
      </c>
      <c r="K223">
        <v>1.1335999999999999</v>
      </c>
      <c r="L223">
        <v>0.97240000000000004</v>
      </c>
    </row>
    <row r="224" spans="1:12" x14ac:dyDescent="0.25">
      <c r="A224">
        <v>2303</v>
      </c>
      <c r="B224" t="s">
        <v>10</v>
      </c>
      <c r="C224" s="1">
        <v>40347</v>
      </c>
      <c r="D224" s="2">
        <f t="shared" si="6"/>
        <v>5</v>
      </c>
      <c r="E224" s="2">
        <f t="shared" si="7"/>
        <v>6</v>
      </c>
      <c r="F224">
        <v>9.8983000000000008</v>
      </c>
      <c r="G224">
        <v>9.8983000000000008</v>
      </c>
      <c r="H224">
        <v>9.7010000000000005</v>
      </c>
      <c r="I224">
        <v>9.8324999999999996</v>
      </c>
      <c r="J224">
        <v>41579</v>
      </c>
      <c r="K224">
        <v>-0.33389999999999997</v>
      </c>
      <c r="L224">
        <v>2.0339</v>
      </c>
    </row>
    <row r="225" spans="1:12" hidden="1" x14ac:dyDescent="0.25">
      <c r="A225">
        <v>2330</v>
      </c>
      <c r="B225" t="s">
        <v>11</v>
      </c>
      <c r="C225" s="1">
        <v>40347</v>
      </c>
      <c r="D225" s="2">
        <f t="shared" si="6"/>
        <v>5</v>
      </c>
      <c r="E225" s="2">
        <f t="shared" si="7"/>
        <v>6</v>
      </c>
      <c r="F225">
        <v>42.928400000000003</v>
      </c>
      <c r="G225">
        <v>43.134799999999998</v>
      </c>
      <c r="H225">
        <v>42.515599999999999</v>
      </c>
      <c r="I225">
        <v>43.134799999999998</v>
      </c>
      <c r="J225">
        <v>46332</v>
      </c>
      <c r="K225">
        <v>0.96150000000000002</v>
      </c>
      <c r="L225">
        <v>1.4562999999999999</v>
      </c>
    </row>
    <row r="226" spans="1:12" x14ac:dyDescent="0.25">
      <c r="A226">
        <v>2303</v>
      </c>
      <c r="B226" t="s">
        <v>10</v>
      </c>
      <c r="C226" s="1">
        <v>40350</v>
      </c>
      <c r="D226" s="2">
        <f t="shared" si="6"/>
        <v>1</v>
      </c>
      <c r="E226" s="2">
        <f t="shared" si="7"/>
        <v>6</v>
      </c>
      <c r="F226">
        <v>9.9312000000000005</v>
      </c>
      <c r="G226">
        <v>9.9969000000000001</v>
      </c>
      <c r="H226">
        <v>9.8324999999999996</v>
      </c>
      <c r="I226">
        <v>9.8983000000000008</v>
      </c>
      <c r="J226">
        <v>67706</v>
      </c>
      <c r="K226">
        <v>0.66669999999999996</v>
      </c>
      <c r="L226">
        <v>1.6721999999999999</v>
      </c>
    </row>
    <row r="227" spans="1:12" hidden="1" x14ac:dyDescent="0.25">
      <c r="A227">
        <v>2330</v>
      </c>
      <c r="B227" t="s">
        <v>11</v>
      </c>
      <c r="C227" s="1">
        <v>40350</v>
      </c>
      <c r="D227" s="2">
        <f t="shared" si="6"/>
        <v>1</v>
      </c>
      <c r="E227" s="2">
        <f t="shared" si="7"/>
        <v>6</v>
      </c>
      <c r="F227">
        <v>43.41</v>
      </c>
      <c r="G227">
        <v>43.822699999999998</v>
      </c>
      <c r="H227">
        <v>43.41</v>
      </c>
      <c r="I227">
        <v>43.547600000000003</v>
      </c>
      <c r="J227">
        <v>68409</v>
      </c>
      <c r="K227">
        <v>0.95240000000000002</v>
      </c>
      <c r="L227">
        <v>0.95089999999999997</v>
      </c>
    </row>
    <row r="228" spans="1:12" x14ac:dyDescent="0.25">
      <c r="A228">
        <v>2303</v>
      </c>
      <c r="B228" t="s">
        <v>10</v>
      </c>
      <c r="C228" s="1">
        <v>40351</v>
      </c>
      <c r="D228" s="2">
        <f t="shared" si="6"/>
        <v>2</v>
      </c>
      <c r="E228" s="2">
        <f t="shared" si="7"/>
        <v>6</v>
      </c>
      <c r="F228">
        <v>9.9312000000000005</v>
      </c>
      <c r="G228">
        <v>9.9640000000000004</v>
      </c>
      <c r="H228">
        <v>9.8324999999999996</v>
      </c>
      <c r="I228">
        <v>9.8324999999999996</v>
      </c>
      <c r="J228">
        <v>29516</v>
      </c>
      <c r="K228">
        <v>-0.66669999999999996</v>
      </c>
      <c r="L228">
        <v>1.3378000000000001</v>
      </c>
    </row>
    <row r="229" spans="1:12" hidden="1" x14ac:dyDescent="0.25">
      <c r="A229">
        <v>2330</v>
      </c>
      <c r="B229" t="s">
        <v>11</v>
      </c>
      <c r="C229" s="1">
        <v>40351</v>
      </c>
      <c r="D229" s="2">
        <f t="shared" si="6"/>
        <v>2</v>
      </c>
      <c r="E229" s="2">
        <f t="shared" si="7"/>
        <v>6</v>
      </c>
      <c r="F229">
        <v>43.547600000000003</v>
      </c>
      <c r="G229">
        <v>43.547600000000003</v>
      </c>
      <c r="H229">
        <v>43.066000000000003</v>
      </c>
      <c r="I229">
        <v>43.066000000000003</v>
      </c>
      <c r="J229">
        <v>33389</v>
      </c>
      <c r="K229">
        <v>-1.1120000000000001</v>
      </c>
      <c r="L229">
        <v>1.1182000000000001</v>
      </c>
    </row>
    <row r="230" spans="1:12" x14ac:dyDescent="0.25">
      <c r="A230">
        <v>2303</v>
      </c>
      <c r="B230" t="s">
        <v>10</v>
      </c>
      <c r="C230" s="1">
        <v>40352</v>
      </c>
      <c r="D230" s="2">
        <f t="shared" si="6"/>
        <v>3</v>
      </c>
      <c r="E230" s="2">
        <f t="shared" si="7"/>
        <v>6</v>
      </c>
      <c r="F230">
        <v>9.8324999999999996</v>
      </c>
      <c r="G230">
        <v>9.8324999999999996</v>
      </c>
      <c r="H230">
        <v>9.7339000000000002</v>
      </c>
      <c r="I230">
        <v>9.7339000000000002</v>
      </c>
      <c r="J230">
        <v>15397</v>
      </c>
      <c r="K230">
        <v>-1.0084</v>
      </c>
      <c r="L230">
        <v>1.0135000000000001</v>
      </c>
    </row>
    <row r="231" spans="1:12" hidden="1" x14ac:dyDescent="0.25">
      <c r="A231">
        <v>2330</v>
      </c>
      <c r="B231" t="s">
        <v>11</v>
      </c>
      <c r="C231" s="1">
        <v>40352</v>
      </c>
      <c r="D231" s="2">
        <f t="shared" si="6"/>
        <v>3</v>
      </c>
      <c r="E231" s="2">
        <f t="shared" si="7"/>
        <v>6</v>
      </c>
      <c r="F231">
        <v>42.653199999999998</v>
      </c>
      <c r="G231">
        <v>42.997199999999999</v>
      </c>
      <c r="H231">
        <v>42.653199999999998</v>
      </c>
      <c r="I231">
        <v>42.722000000000001</v>
      </c>
      <c r="J231">
        <v>37195</v>
      </c>
      <c r="K231">
        <v>-0.80189999999999995</v>
      </c>
      <c r="L231">
        <v>0.80649999999999999</v>
      </c>
    </row>
    <row r="232" spans="1:12" x14ac:dyDescent="0.25">
      <c r="A232">
        <v>2303</v>
      </c>
      <c r="B232" t="s">
        <v>10</v>
      </c>
      <c r="C232" s="1">
        <v>40353</v>
      </c>
      <c r="D232" s="2">
        <f t="shared" si="6"/>
        <v>4</v>
      </c>
      <c r="E232" s="2">
        <f t="shared" si="7"/>
        <v>6</v>
      </c>
      <c r="F232">
        <v>9.7667000000000002</v>
      </c>
      <c r="G232">
        <v>9.7995999999999999</v>
      </c>
      <c r="H232">
        <v>9.5693999999999999</v>
      </c>
      <c r="I232">
        <v>9.6022999999999996</v>
      </c>
      <c r="J232">
        <v>34260</v>
      </c>
      <c r="K232">
        <v>-1.3606</v>
      </c>
      <c r="L232">
        <v>2.4055</v>
      </c>
    </row>
    <row r="233" spans="1:12" hidden="1" x14ac:dyDescent="0.25">
      <c r="A233">
        <v>2330</v>
      </c>
      <c r="B233" t="s">
        <v>11</v>
      </c>
      <c r="C233" s="1">
        <v>40353</v>
      </c>
      <c r="D233" s="2">
        <f t="shared" si="6"/>
        <v>4</v>
      </c>
      <c r="E233" s="2">
        <f t="shared" si="7"/>
        <v>6</v>
      </c>
      <c r="F233">
        <v>42.722000000000001</v>
      </c>
      <c r="G233">
        <v>42.790799999999997</v>
      </c>
      <c r="H233">
        <v>42.446800000000003</v>
      </c>
      <c r="I233">
        <v>42.653199999999998</v>
      </c>
      <c r="J233">
        <v>35361</v>
      </c>
      <c r="K233">
        <v>-0.16120000000000001</v>
      </c>
      <c r="L233">
        <v>0.81040000000000001</v>
      </c>
    </row>
    <row r="234" spans="1:12" x14ac:dyDescent="0.25">
      <c r="A234">
        <v>2303</v>
      </c>
      <c r="B234" t="s">
        <v>10</v>
      </c>
      <c r="C234" s="1">
        <v>40354</v>
      </c>
      <c r="D234" s="2">
        <f t="shared" si="6"/>
        <v>5</v>
      </c>
      <c r="E234" s="2">
        <f t="shared" si="7"/>
        <v>6</v>
      </c>
      <c r="F234">
        <v>9.4708000000000006</v>
      </c>
      <c r="G234">
        <v>9.5037000000000003</v>
      </c>
      <c r="H234">
        <v>9.4049999999999994</v>
      </c>
      <c r="I234">
        <v>9.4379000000000008</v>
      </c>
      <c r="J234">
        <v>31658</v>
      </c>
      <c r="K234">
        <v>-1.7272000000000001</v>
      </c>
      <c r="L234">
        <v>1.0489999999999999</v>
      </c>
    </row>
    <row r="235" spans="1:12" hidden="1" x14ac:dyDescent="0.25">
      <c r="A235">
        <v>2330</v>
      </c>
      <c r="B235" t="s">
        <v>11</v>
      </c>
      <c r="C235" s="1">
        <v>40354</v>
      </c>
      <c r="D235" s="2">
        <f t="shared" si="6"/>
        <v>5</v>
      </c>
      <c r="E235" s="2">
        <f t="shared" si="7"/>
        <v>6</v>
      </c>
      <c r="F235">
        <v>42.309199999999997</v>
      </c>
      <c r="G235">
        <v>42.584400000000002</v>
      </c>
      <c r="H235">
        <v>42.171599999999998</v>
      </c>
      <c r="I235">
        <v>42.240400000000001</v>
      </c>
      <c r="J235">
        <v>30579</v>
      </c>
      <c r="K235">
        <v>-0.97250000000000003</v>
      </c>
      <c r="L235">
        <v>0.9788</v>
      </c>
    </row>
    <row r="236" spans="1:12" x14ac:dyDescent="0.25">
      <c r="A236">
        <v>2303</v>
      </c>
      <c r="B236" t="s">
        <v>10</v>
      </c>
      <c r="C236" s="1">
        <v>40357</v>
      </c>
      <c r="D236" s="2">
        <f t="shared" si="6"/>
        <v>1</v>
      </c>
      <c r="E236" s="2">
        <f t="shared" si="7"/>
        <v>6</v>
      </c>
      <c r="F236">
        <v>9.5365000000000002</v>
      </c>
      <c r="G236">
        <v>9.5693999999999999</v>
      </c>
      <c r="H236">
        <v>9.4379000000000008</v>
      </c>
      <c r="I236">
        <v>9.4708000000000006</v>
      </c>
      <c r="J236">
        <v>21229</v>
      </c>
      <c r="K236">
        <v>0.3478</v>
      </c>
      <c r="L236">
        <v>1.3936999999999999</v>
      </c>
    </row>
    <row r="237" spans="1:12" hidden="1" x14ac:dyDescent="0.25">
      <c r="A237">
        <v>2330</v>
      </c>
      <c r="B237" t="s">
        <v>11</v>
      </c>
      <c r="C237" s="1">
        <v>40357</v>
      </c>
      <c r="D237" s="2">
        <f t="shared" si="6"/>
        <v>1</v>
      </c>
      <c r="E237" s="2">
        <f t="shared" si="7"/>
        <v>6</v>
      </c>
      <c r="F237">
        <v>42.102800000000002</v>
      </c>
      <c r="G237">
        <v>42.446800000000003</v>
      </c>
      <c r="H237">
        <v>42.034100000000002</v>
      </c>
      <c r="I237">
        <v>42.446800000000003</v>
      </c>
      <c r="J237">
        <v>20546</v>
      </c>
      <c r="K237">
        <v>0.4874</v>
      </c>
      <c r="L237">
        <v>0.98199999999999998</v>
      </c>
    </row>
    <row r="238" spans="1:12" x14ac:dyDescent="0.25">
      <c r="A238">
        <v>2303</v>
      </c>
      <c r="B238" t="s">
        <v>10</v>
      </c>
      <c r="C238" s="1">
        <v>40358</v>
      </c>
      <c r="D238" s="2">
        <f t="shared" si="6"/>
        <v>2</v>
      </c>
      <c r="E238" s="2">
        <f t="shared" si="7"/>
        <v>6</v>
      </c>
      <c r="F238">
        <v>9.5365000000000002</v>
      </c>
      <c r="G238">
        <v>9.6022999999999996</v>
      </c>
      <c r="H238">
        <v>9.3720999999999997</v>
      </c>
      <c r="I238">
        <v>9.3720999999999997</v>
      </c>
      <c r="J238">
        <v>25428</v>
      </c>
      <c r="K238">
        <v>-1.0470999999999999</v>
      </c>
      <c r="L238">
        <v>2.4561000000000002</v>
      </c>
    </row>
    <row r="239" spans="1:12" hidden="1" x14ac:dyDescent="0.25">
      <c r="A239">
        <v>2330</v>
      </c>
      <c r="B239" t="s">
        <v>11</v>
      </c>
      <c r="C239" s="1">
        <v>40358</v>
      </c>
      <c r="D239" s="2">
        <f t="shared" si="6"/>
        <v>2</v>
      </c>
      <c r="E239" s="2">
        <f t="shared" si="7"/>
        <v>6</v>
      </c>
      <c r="F239">
        <v>42.653199999999998</v>
      </c>
      <c r="G239">
        <v>43.066000000000003</v>
      </c>
      <c r="H239">
        <v>41.965299999999999</v>
      </c>
      <c r="I239">
        <v>41.965299999999999</v>
      </c>
      <c r="J239">
        <v>47953</v>
      </c>
      <c r="K239">
        <v>-1.141</v>
      </c>
      <c r="L239">
        <v>2.6230000000000002</v>
      </c>
    </row>
    <row r="240" spans="1:12" x14ac:dyDescent="0.25">
      <c r="A240">
        <v>2303</v>
      </c>
      <c r="B240" t="s">
        <v>10</v>
      </c>
      <c r="C240" s="1">
        <v>40359</v>
      </c>
      <c r="D240" s="2">
        <f t="shared" si="6"/>
        <v>3</v>
      </c>
      <c r="E240" s="2">
        <f t="shared" si="7"/>
        <v>6</v>
      </c>
      <c r="F240">
        <v>9.2077000000000009</v>
      </c>
      <c r="G240">
        <v>9.5037000000000003</v>
      </c>
      <c r="H240">
        <v>9.1747999999999994</v>
      </c>
      <c r="I240">
        <v>9.4379000000000008</v>
      </c>
      <c r="J240">
        <v>49595</v>
      </c>
      <c r="K240">
        <v>0.69930000000000003</v>
      </c>
      <c r="L240">
        <v>3.5842000000000001</v>
      </c>
    </row>
    <row r="241" spans="1:12" hidden="1" x14ac:dyDescent="0.25">
      <c r="A241">
        <v>2330</v>
      </c>
      <c r="B241" t="s">
        <v>11</v>
      </c>
      <c r="C241" s="1">
        <v>40359</v>
      </c>
      <c r="D241" s="2">
        <f t="shared" si="6"/>
        <v>3</v>
      </c>
      <c r="E241" s="2">
        <f t="shared" si="7"/>
        <v>6</v>
      </c>
      <c r="F241">
        <v>41.483699999999999</v>
      </c>
      <c r="G241">
        <v>41.965299999999999</v>
      </c>
      <c r="H241">
        <v>41.483699999999999</v>
      </c>
      <c r="I241">
        <v>41.690100000000001</v>
      </c>
      <c r="J241">
        <v>58319</v>
      </c>
      <c r="K241">
        <v>-0.65790000000000004</v>
      </c>
      <c r="L241">
        <v>1.1609</v>
      </c>
    </row>
    <row r="242" spans="1:12" x14ac:dyDescent="0.25">
      <c r="A242">
        <v>2303</v>
      </c>
      <c r="B242" t="s">
        <v>10</v>
      </c>
      <c r="C242" s="1">
        <v>40360</v>
      </c>
      <c r="D242" s="2">
        <f t="shared" si="6"/>
        <v>4</v>
      </c>
      <c r="E242" s="2">
        <f t="shared" si="7"/>
        <v>7</v>
      </c>
      <c r="F242">
        <v>9.3720999999999997</v>
      </c>
      <c r="G242">
        <v>9.3720999999999997</v>
      </c>
      <c r="H242">
        <v>9.2077000000000009</v>
      </c>
      <c r="I242">
        <v>9.2406000000000006</v>
      </c>
      <c r="J242">
        <v>52069</v>
      </c>
      <c r="K242">
        <v>-2.1128</v>
      </c>
      <c r="L242">
        <v>1.7857000000000001</v>
      </c>
    </row>
    <row r="243" spans="1:12" hidden="1" x14ac:dyDescent="0.25">
      <c r="A243">
        <v>2330</v>
      </c>
      <c r="B243" t="s">
        <v>11</v>
      </c>
      <c r="C243" s="1">
        <v>40360</v>
      </c>
      <c r="D243" s="2">
        <f t="shared" si="6"/>
        <v>4</v>
      </c>
      <c r="E243" s="2">
        <f t="shared" si="7"/>
        <v>7</v>
      </c>
      <c r="F243">
        <v>41.690100000000001</v>
      </c>
      <c r="G243">
        <v>41.690100000000001</v>
      </c>
      <c r="H243">
        <v>41.208500000000001</v>
      </c>
      <c r="I243">
        <v>41.277299999999997</v>
      </c>
      <c r="J243">
        <v>65215</v>
      </c>
      <c r="K243">
        <v>-0.995</v>
      </c>
      <c r="L243">
        <v>1.1686000000000001</v>
      </c>
    </row>
    <row r="244" spans="1:12" x14ac:dyDescent="0.25">
      <c r="A244">
        <v>2303</v>
      </c>
      <c r="B244" t="s">
        <v>10</v>
      </c>
      <c r="C244" s="1">
        <v>40361</v>
      </c>
      <c r="D244" s="2">
        <f t="shared" si="6"/>
        <v>5</v>
      </c>
      <c r="E244" s="2">
        <f t="shared" si="7"/>
        <v>7</v>
      </c>
      <c r="F244">
        <v>9.1747999999999994</v>
      </c>
      <c r="G244">
        <v>9.3391999999999999</v>
      </c>
      <c r="H244">
        <v>9.1747999999999994</v>
      </c>
      <c r="I244">
        <v>9.2735000000000003</v>
      </c>
      <c r="J244">
        <v>39223</v>
      </c>
      <c r="K244">
        <v>0.35520000000000002</v>
      </c>
      <c r="L244">
        <v>1.7921</v>
      </c>
    </row>
    <row r="245" spans="1:12" hidden="1" x14ac:dyDescent="0.25">
      <c r="A245">
        <v>2330</v>
      </c>
      <c r="B245" t="s">
        <v>11</v>
      </c>
      <c r="C245" s="1">
        <v>40361</v>
      </c>
      <c r="D245" s="2">
        <f t="shared" si="6"/>
        <v>5</v>
      </c>
      <c r="E245" s="2">
        <f t="shared" si="7"/>
        <v>7</v>
      </c>
      <c r="F245">
        <v>41.277299999999997</v>
      </c>
      <c r="G245">
        <v>41.758899999999997</v>
      </c>
      <c r="H245">
        <v>41.277299999999997</v>
      </c>
      <c r="I245">
        <v>41.483699999999999</v>
      </c>
      <c r="J245">
        <v>67300</v>
      </c>
      <c r="K245">
        <v>0.49880000000000002</v>
      </c>
      <c r="L245">
        <v>1.1667000000000001</v>
      </c>
    </row>
    <row r="246" spans="1:12" x14ac:dyDescent="0.25">
      <c r="A246">
        <v>2303</v>
      </c>
      <c r="B246" t="s">
        <v>10</v>
      </c>
      <c r="C246" s="1">
        <v>40364</v>
      </c>
      <c r="D246" s="2">
        <f t="shared" si="6"/>
        <v>1</v>
      </c>
      <c r="E246" s="2">
        <f t="shared" si="7"/>
        <v>7</v>
      </c>
      <c r="F246">
        <v>9.3064</v>
      </c>
      <c r="G246">
        <v>9.4708000000000006</v>
      </c>
      <c r="H246">
        <v>9.2406000000000006</v>
      </c>
      <c r="I246">
        <v>9.4049999999999994</v>
      </c>
      <c r="J246">
        <v>26898</v>
      </c>
      <c r="K246">
        <v>1.4085000000000001</v>
      </c>
      <c r="L246">
        <v>2.4910999999999999</v>
      </c>
    </row>
    <row r="247" spans="1:12" hidden="1" x14ac:dyDescent="0.25">
      <c r="A247">
        <v>2330</v>
      </c>
      <c r="B247" t="s">
        <v>11</v>
      </c>
      <c r="C247" s="1">
        <v>40364</v>
      </c>
      <c r="D247" s="2">
        <f t="shared" si="6"/>
        <v>1</v>
      </c>
      <c r="E247" s="2">
        <f t="shared" si="7"/>
        <v>7</v>
      </c>
      <c r="F247">
        <v>41.483699999999999</v>
      </c>
      <c r="G247">
        <v>42.515599999999999</v>
      </c>
      <c r="H247">
        <v>41.483699999999999</v>
      </c>
      <c r="I247">
        <v>42.240400000000001</v>
      </c>
      <c r="J247">
        <v>88484</v>
      </c>
      <c r="K247">
        <v>1.8078000000000001</v>
      </c>
      <c r="L247">
        <v>2.4876</v>
      </c>
    </row>
    <row r="248" spans="1:12" x14ac:dyDescent="0.25">
      <c r="A248">
        <v>2303</v>
      </c>
      <c r="B248" t="s">
        <v>10</v>
      </c>
      <c r="C248" s="1">
        <v>40365</v>
      </c>
      <c r="D248" s="2">
        <f t="shared" si="6"/>
        <v>2</v>
      </c>
      <c r="E248" s="2">
        <f t="shared" si="7"/>
        <v>7</v>
      </c>
      <c r="F248">
        <v>9.3064</v>
      </c>
      <c r="G248">
        <v>9.5693999999999999</v>
      </c>
      <c r="H248">
        <v>9.2735000000000003</v>
      </c>
      <c r="I248">
        <v>9.5693999999999999</v>
      </c>
      <c r="J248">
        <v>43976</v>
      </c>
      <c r="K248">
        <v>1.7331000000000001</v>
      </c>
      <c r="L248">
        <v>3.1915</v>
      </c>
    </row>
    <row r="249" spans="1:12" hidden="1" x14ac:dyDescent="0.25">
      <c r="A249">
        <v>2330</v>
      </c>
      <c r="B249" t="s">
        <v>11</v>
      </c>
      <c r="C249" s="1">
        <v>40365</v>
      </c>
      <c r="D249" s="2">
        <f t="shared" si="6"/>
        <v>2</v>
      </c>
      <c r="E249" s="2">
        <f t="shared" si="7"/>
        <v>7</v>
      </c>
      <c r="F249">
        <v>42.601900000000001</v>
      </c>
      <c r="G249">
        <v>43.325200000000002</v>
      </c>
      <c r="H249">
        <v>42.529600000000002</v>
      </c>
      <c r="I249">
        <v>43.325200000000002</v>
      </c>
      <c r="J249">
        <v>69857</v>
      </c>
      <c r="K249">
        <v>2.4131999999999998</v>
      </c>
      <c r="L249">
        <v>1.8707</v>
      </c>
    </row>
    <row r="250" spans="1:12" x14ac:dyDescent="0.25">
      <c r="A250">
        <v>2303</v>
      </c>
      <c r="B250" t="s">
        <v>10</v>
      </c>
      <c r="C250" s="1">
        <v>40366</v>
      </c>
      <c r="D250" s="2">
        <f t="shared" si="6"/>
        <v>3</v>
      </c>
      <c r="E250" s="2">
        <f t="shared" si="7"/>
        <v>7</v>
      </c>
      <c r="F250">
        <v>9.6351999999999993</v>
      </c>
      <c r="G250">
        <v>9.6681000000000008</v>
      </c>
      <c r="H250">
        <v>9.6022999999999996</v>
      </c>
      <c r="I250">
        <v>9.6681000000000008</v>
      </c>
      <c r="J250">
        <v>70751</v>
      </c>
      <c r="K250">
        <v>1.0257000000000001</v>
      </c>
      <c r="L250">
        <v>0.68489999999999995</v>
      </c>
    </row>
    <row r="251" spans="1:12" hidden="1" x14ac:dyDescent="0.25">
      <c r="A251">
        <v>2330</v>
      </c>
      <c r="B251" t="s">
        <v>11</v>
      </c>
      <c r="C251" s="1">
        <v>40366</v>
      </c>
      <c r="D251" s="2">
        <f t="shared" si="6"/>
        <v>3</v>
      </c>
      <c r="E251" s="2">
        <f t="shared" si="7"/>
        <v>7</v>
      </c>
      <c r="F251">
        <v>43.252899999999997</v>
      </c>
      <c r="G251">
        <v>43.325200000000002</v>
      </c>
      <c r="H251">
        <v>42.818899999999999</v>
      </c>
      <c r="I251">
        <v>43.035899999999998</v>
      </c>
      <c r="J251">
        <v>59168</v>
      </c>
      <c r="K251">
        <v>-0.67</v>
      </c>
      <c r="L251">
        <v>1.1823999999999999</v>
      </c>
    </row>
    <row r="252" spans="1:12" x14ac:dyDescent="0.25">
      <c r="A252">
        <v>2303</v>
      </c>
      <c r="B252" t="s">
        <v>10</v>
      </c>
      <c r="C252" s="1">
        <v>40367</v>
      </c>
      <c r="D252" s="2">
        <f t="shared" si="6"/>
        <v>4</v>
      </c>
      <c r="E252" s="2">
        <f t="shared" si="7"/>
        <v>7</v>
      </c>
      <c r="F252">
        <v>9.8042999999999996</v>
      </c>
      <c r="G252">
        <v>9.8042999999999996</v>
      </c>
      <c r="H252">
        <v>9.6681000000000008</v>
      </c>
      <c r="I252">
        <v>9.6681000000000008</v>
      </c>
      <c r="J252">
        <v>55402</v>
      </c>
      <c r="K252">
        <v>0</v>
      </c>
      <c r="L252">
        <v>1.4085000000000001</v>
      </c>
    </row>
    <row r="253" spans="1:12" hidden="1" x14ac:dyDescent="0.25">
      <c r="A253">
        <v>2330</v>
      </c>
      <c r="B253" t="s">
        <v>11</v>
      </c>
      <c r="C253" s="1">
        <v>40367</v>
      </c>
      <c r="D253" s="2">
        <f t="shared" si="6"/>
        <v>4</v>
      </c>
      <c r="E253" s="2">
        <f t="shared" si="7"/>
        <v>7</v>
      </c>
      <c r="F253">
        <v>43.469799999999999</v>
      </c>
      <c r="G253">
        <v>43.686799999999998</v>
      </c>
      <c r="H253">
        <v>43.180500000000002</v>
      </c>
      <c r="I253">
        <v>43.686799999999998</v>
      </c>
      <c r="J253">
        <v>50379</v>
      </c>
      <c r="K253">
        <v>1.5013000000000001</v>
      </c>
      <c r="L253">
        <v>1.1725000000000001</v>
      </c>
    </row>
    <row r="254" spans="1:12" x14ac:dyDescent="0.25">
      <c r="A254">
        <v>2303</v>
      </c>
      <c r="B254" t="s">
        <v>10</v>
      </c>
      <c r="C254" s="1">
        <v>40368</v>
      </c>
      <c r="D254" s="2">
        <f t="shared" si="6"/>
        <v>5</v>
      </c>
      <c r="E254" s="2">
        <f t="shared" si="7"/>
        <v>7</v>
      </c>
      <c r="F254">
        <v>9.7702000000000009</v>
      </c>
      <c r="G254">
        <v>9.8042999999999996</v>
      </c>
      <c r="H254">
        <v>9.6681000000000008</v>
      </c>
      <c r="I254">
        <v>9.7702000000000009</v>
      </c>
      <c r="J254">
        <v>33557</v>
      </c>
      <c r="K254">
        <v>1.0508</v>
      </c>
      <c r="L254">
        <v>1.4085000000000001</v>
      </c>
    </row>
    <row r="255" spans="1:12" hidden="1" x14ac:dyDescent="0.25">
      <c r="A255">
        <v>2330</v>
      </c>
      <c r="B255" t="s">
        <v>11</v>
      </c>
      <c r="C255" s="1">
        <v>40368</v>
      </c>
      <c r="D255" s="2">
        <f t="shared" si="6"/>
        <v>5</v>
      </c>
      <c r="E255" s="2">
        <f t="shared" si="7"/>
        <v>7</v>
      </c>
      <c r="F255">
        <v>43.686799999999998</v>
      </c>
      <c r="G255">
        <v>43.7592</v>
      </c>
      <c r="H255">
        <v>43.325200000000002</v>
      </c>
      <c r="I255">
        <v>43.686799999999998</v>
      </c>
      <c r="J255">
        <v>38073</v>
      </c>
      <c r="K255">
        <v>0</v>
      </c>
      <c r="L255">
        <v>1.0017</v>
      </c>
    </row>
    <row r="256" spans="1:12" x14ac:dyDescent="0.25">
      <c r="A256">
        <v>2303</v>
      </c>
      <c r="B256" t="s">
        <v>10</v>
      </c>
      <c r="C256" s="1">
        <v>40371</v>
      </c>
      <c r="D256" s="2">
        <f t="shared" si="6"/>
        <v>1</v>
      </c>
      <c r="E256" s="2">
        <f t="shared" si="7"/>
        <v>7</v>
      </c>
      <c r="F256">
        <v>9.8042999999999996</v>
      </c>
      <c r="G256">
        <v>9.8722999999999992</v>
      </c>
      <c r="H256">
        <v>9.7362000000000002</v>
      </c>
      <c r="I256">
        <v>9.7702000000000009</v>
      </c>
      <c r="J256">
        <v>33967</v>
      </c>
      <c r="K256">
        <v>0</v>
      </c>
      <c r="L256">
        <v>1.3986000000000001</v>
      </c>
    </row>
    <row r="257" spans="1:12" hidden="1" x14ac:dyDescent="0.25">
      <c r="A257">
        <v>2330</v>
      </c>
      <c r="B257" t="s">
        <v>11</v>
      </c>
      <c r="C257" s="1">
        <v>40371</v>
      </c>
      <c r="D257" s="2">
        <f t="shared" si="6"/>
        <v>1</v>
      </c>
      <c r="E257" s="2">
        <f t="shared" si="7"/>
        <v>7</v>
      </c>
      <c r="F257">
        <v>43.831499999999998</v>
      </c>
      <c r="G257">
        <v>43.831499999999998</v>
      </c>
      <c r="H257">
        <v>43.252899999999997</v>
      </c>
      <c r="I257">
        <v>43.252899999999997</v>
      </c>
      <c r="J257">
        <v>44197</v>
      </c>
      <c r="K257">
        <v>-0.99829999999999997</v>
      </c>
      <c r="L257">
        <v>1.3378000000000001</v>
      </c>
    </row>
    <row r="258" spans="1:12" x14ac:dyDescent="0.25">
      <c r="A258">
        <v>2303</v>
      </c>
      <c r="B258" t="s">
        <v>10</v>
      </c>
      <c r="C258" s="1">
        <v>40372</v>
      </c>
      <c r="D258" s="2">
        <f t="shared" si="6"/>
        <v>2</v>
      </c>
      <c r="E258" s="2">
        <f t="shared" si="7"/>
        <v>7</v>
      </c>
      <c r="F258">
        <v>9.8383000000000003</v>
      </c>
      <c r="G258">
        <v>9.8383000000000003</v>
      </c>
      <c r="H258">
        <v>9.7020999999999997</v>
      </c>
      <c r="I258">
        <v>9.8042999999999996</v>
      </c>
      <c r="J258">
        <v>22801</v>
      </c>
      <c r="K258">
        <v>0.3478</v>
      </c>
      <c r="L258">
        <v>1.4035</v>
      </c>
    </row>
    <row r="259" spans="1:12" hidden="1" x14ac:dyDescent="0.25">
      <c r="A259">
        <v>2330</v>
      </c>
      <c r="B259" t="s">
        <v>11</v>
      </c>
      <c r="C259" s="1">
        <v>40372</v>
      </c>
      <c r="D259" s="2">
        <f t="shared" ref="D259:D322" si="8">WEEKDAY(C259,2)</f>
        <v>2</v>
      </c>
      <c r="E259" s="2">
        <f t="shared" ref="E259:E322" si="9">MONTH(C259)</f>
        <v>7</v>
      </c>
      <c r="F259">
        <v>43.325200000000002</v>
      </c>
      <c r="G259">
        <v>43.542200000000001</v>
      </c>
      <c r="H259">
        <v>43.035899999999998</v>
      </c>
      <c r="I259">
        <v>43.108199999999997</v>
      </c>
      <c r="J259">
        <v>37486</v>
      </c>
      <c r="K259">
        <v>-0.33500000000000002</v>
      </c>
      <c r="L259">
        <v>1.1765000000000001</v>
      </c>
    </row>
    <row r="260" spans="1:12" x14ac:dyDescent="0.25">
      <c r="A260">
        <v>2303</v>
      </c>
      <c r="B260" t="s">
        <v>10</v>
      </c>
      <c r="C260" s="1">
        <v>40373</v>
      </c>
      <c r="D260" s="2">
        <f t="shared" si="8"/>
        <v>3</v>
      </c>
      <c r="E260" s="2">
        <f t="shared" si="9"/>
        <v>7</v>
      </c>
      <c r="F260">
        <v>9.8722999999999992</v>
      </c>
      <c r="G260">
        <v>10.1447</v>
      </c>
      <c r="H260">
        <v>9.8722999999999992</v>
      </c>
      <c r="I260">
        <v>10.1106</v>
      </c>
      <c r="J260">
        <v>73790</v>
      </c>
      <c r="K260">
        <v>3.0771999999999999</v>
      </c>
      <c r="L260">
        <v>2.7585999999999999</v>
      </c>
    </row>
    <row r="261" spans="1:12" hidden="1" x14ac:dyDescent="0.25">
      <c r="A261">
        <v>2330</v>
      </c>
      <c r="B261" t="s">
        <v>11</v>
      </c>
      <c r="C261" s="1">
        <v>40373</v>
      </c>
      <c r="D261" s="2">
        <f t="shared" si="8"/>
        <v>3</v>
      </c>
      <c r="E261" s="2">
        <f t="shared" si="9"/>
        <v>7</v>
      </c>
      <c r="F261">
        <v>43.686799999999998</v>
      </c>
      <c r="G261">
        <v>43.903799999999997</v>
      </c>
      <c r="H261">
        <v>43.542200000000001</v>
      </c>
      <c r="I261">
        <v>43.686799999999998</v>
      </c>
      <c r="J261">
        <v>59847</v>
      </c>
      <c r="K261">
        <v>1.3333999999999999</v>
      </c>
      <c r="L261">
        <v>0.8306</v>
      </c>
    </row>
    <row r="262" spans="1:12" x14ac:dyDescent="0.25">
      <c r="A262">
        <v>2303</v>
      </c>
      <c r="B262" t="s">
        <v>10</v>
      </c>
      <c r="C262" s="1">
        <v>40374</v>
      </c>
      <c r="D262" s="2">
        <f t="shared" si="8"/>
        <v>4</v>
      </c>
      <c r="E262" s="2">
        <f t="shared" si="9"/>
        <v>7</v>
      </c>
      <c r="F262">
        <v>10.1106</v>
      </c>
      <c r="G262">
        <v>10.1106</v>
      </c>
      <c r="H262">
        <v>9.9745000000000008</v>
      </c>
      <c r="I262">
        <v>10.0426</v>
      </c>
      <c r="J262">
        <v>27852</v>
      </c>
      <c r="K262">
        <v>-0.67569999999999997</v>
      </c>
      <c r="L262">
        <v>1.3652</v>
      </c>
    </row>
    <row r="263" spans="1:12" hidden="1" x14ac:dyDescent="0.25">
      <c r="A263">
        <v>2330</v>
      </c>
      <c r="B263" t="s">
        <v>11</v>
      </c>
      <c r="C263" s="1">
        <v>40374</v>
      </c>
      <c r="D263" s="2">
        <f t="shared" si="8"/>
        <v>4</v>
      </c>
      <c r="E263" s="2">
        <f t="shared" si="9"/>
        <v>7</v>
      </c>
      <c r="F263">
        <v>43.686799999999998</v>
      </c>
      <c r="G263">
        <v>43.7592</v>
      </c>
      <c r="H263">
        <v>43.469799999999999</v>
      </c>
      <c r="I263">
        <v>43.6145</v>
      </c>
      <c r="J263">
        <v>36838</v>
      </c>
      <c r="K263">
        <v>-0.16569999999999999</v>
      </c>
      <c r="L263">
        <v>0.66559999999999997</v>
      </c>
    </row>
    <row r="264" spans="1:12" x14ac:dyDescent="0.25">
      <c r="A264">
        <v>2303</v>
      </c>
      <c r="B264" t="s">
        <v>10</v>
      </c>
      <c r="C264" s="1">
        <v>40375</v>
      </c>
      <c r="D264" s="2">
        <f t="shared" si="8"/>
        <v>5</v>
      </c>
      <c r="E264" s="2">
        <f t="shared" si="9"/>
        <v>7</v>
      </c>
      <c r="F264">
        <v>10.0426</v>
      </c>
      <c r="G264">
        <v>10.076599999999999</v>
      </c>
      <c r="H264">
        <v>9.9063999999999997</v>
      </c>
      <c r="I264">
        <v>10.076599999999999</v>
      </c>
      <c r="J264">
        <v>40555</v>
      </c>
      <c r="K264">
        <v>0.33839999999999998</v>
      </c>
      <c r="L264">
        <v>1.7181999999999999</v>
      </c>
    </row>
    <row r="265" spans="1:12" hidden="1" x14ac:dyDescent="0.25">
      <c r="A265">
        <v>2330</v>
      </c>
      <c r="B265" t="s">
        <v>11</v>
      </c>
      <c r="C265" s="1">
        <v>40375</v>
      </c>
      <c r="D265" s="2">
        <f t="shared" si="8"/>
        <v>5</v>
      </c>
      <c r="E265" s="2">
        <f t="shared" si="9"/>
        <v>7</v>
      </c>
      <c r="F265">
        <v>43.7592</v>
      </c>
      <c r="G265">
        <v>43.7592</v>
      </c>
      <c r="H265">
        <v>43.252899999999997</v>
      </c>
      <c r="I265">
        <v>43.325200000000002</v>
      </c>
      <c r="J265">
        <v>29941</v>
      </c>
      <c r="K265">
        <v>-0.66559999999999997</v>
      </c>
      <c r="L265">
        <v>1.1706000000000001</v>
      </c>
    </row>
    <row r="266" spans="1:12" x14ac:dyDescent="0.25">
      <c r="A266">
        <v>2303</v>
      </c>
      <c r="B266" t="s">
        <v>10</v>
      </c>
      <c r="C266" s="1">
        <v>40378</v>
      </c>
      <c r="D266" s="2">
        <f t="shared" si="8"/>
        <v>1</v>
      </c>
      <c r="E266" s="2">
        <f t="shared" si="9"/>
        <v>7</v>
      </c>
      <c r="F266">
        <v>9.8722999999999992</v>
      </c>
      <c r="G266">
        <v>10.076599999999999</v>
      </c>
      <c r="H266">
        <v>9.8722999999999992</v>
      </c>
      <c r="I266">
        <v>10.0085</v>
      </c>
      <c r="J266">
        <v>20868</v>
      </c>
      <c r="K266">
        <v>-0.67800000000000005</v>
      </c>
      <c r="L266">
        <v>2.069</v>
      </c>
    </row>
    <row r="267" spans="1:12" hidden="1" x14ac:dyDescent="0.25">
      <c r="A267">
        <v>2330</v>
      </c>
      <c r="B267" t="s">
        <v>11</v>
      </c>
      <c r="C267" s="1">
        <v>40378</v>
      </c>
      <c r="D267" s="2">
        <f t="shared" si="8"/>
        <v>1</v>
      </c>
      <c r="E267" s="2">
        <f t="shared" si="9"/>
        <v>7</v>
      </c>
      <c r="F267">
        <v>43.035899999999998</v>
      </c>
      <c r="G267">
        <v>44.337800000000001</v>
      </c>
      <c r="H267">
        <v>42.963500000000003</v>
      </c>
      <c r="I267">
        <v>44.193100000000001</v>
      </c>
      <c r="J267">
        <v>63786</v>
      </c>
      <c r="K267">
        <v>1.9835</v>
      </c>
      <c r="L267">
        <v>3.1987000000000001</v>
      </c>
    </row>
    <row r="268" spans="1:12" x14ac:dyDescent="0.25">
      <c r="A268">
        <v>2303</v>
      </c>
      <c r="B268" t="s">
        <v>10</v>
      </c>
      <c r="C268" s="1">
        <v>40379</v>
      </c>
      <c r="D268" s="2">
        <f t="shared" si="8"/>
        <v>2</v>
      </c>
      <c r="E268" s="2">
        <f t="shared" si="9"/>
        <v>7</v>
      </c>
      <c r="F268">
        <v>10.076599999999999</v>
      </c>
      <c r="G268">
        <v>10.1106</v>
      </c>
      <c r="H268">
        <v>9.9745000000000008</v>
      </c>
      <c r="I268">
        <v>10.0426</v>
      </c>
      <c r="J268">
        <v>17622</v>
      </c>
      <c r="K268">
        <v>0.33960000000000001</v>
      </c>
      <c r="L268">
        <v>1.3652</v>
      </c>
    </row>
    <row r="269" spans="1:12" hidden="1" x14ac:dyDescent="0.25">
      <c r="A269">
        <v>2330</v>
      </c>
      <c r="B269" t="s">
        <v>11</v>
      </c>
      <c r="C269" s="1">
        <v>40379</v>
      </c>
      <c r="D269" s="2">
        <f t="shared" si="8"/>
        <v>2</v>
      </c>
      <c r="E269" s="2">
        <f t="shared" si="9"/>
        <v>7</v>
      </c>
      <c r="F269">
        <v>44.337800000000001</v>
      </c>
      <c r="G269">
        <v>44.699399999999997</v>
      </c>
      <c r="H269">
        <v>44.120800000000003</v>
      </c>
      <c r="I269">
        <v>44.482500000000002</v>
      </c>
      <c r="J269">
        <v>53963</v>
      </c>
      <c r="K269">
        <v>0.65249999999999997</v>
      </c>
      <c r="L269">
        <v>1.3115000000000001</v>
      </c>
    </row>
    <row r="270" spans="1:12" x14ac:dyDescent="0.25">
      <c r="A270">
        <v>2303</v>
      </c>
      <c r="B270" t="s">
        <v>10</v>
      </c>
      <c r="C270" s="1">
        <v>40380</v>
      </c>
      <c r="D270" s="2">
        <f t="shared" si="8"/>
        <v>3</v>
      </c>
      <c r="E270" s="2">
        <f t="shared" si="9"/>
        <v>7</v>
      </c>
      <c r="F270">
        <v>10.0426</v>
      </c>
      <c r="G270">
        <v>10.1106</v>
      </c>
      <c r="H270">
        <v>10.0085</v>
      </c>
      <c r="I270">
        <v>10.076599999999999</v>
      </c>
      <c r="J270">
        <v>22006</v>
      </c>
      <c r="K270">
        <v>0.33839999999999998</v>
      </c>
      <c r="L270">
        <v>1.0204</v>
      </c>
    </row>
    <row r="271" spans="1:12" hidden="1" x14ac:dyDescent="0.25">
      <c r="A271">
        <v>2330</v>
      </c>
      <c r="B271" t="s">
        <v>11</v>
      </c>
      <c r="C271" s="1">
        <v>40380</v>
      </c>
      <c r="D271" s="2">
        <f t="shared" si="8"/>
        <v>3</v>
      </c>
      <c r="E271" s="2">
        <f t="shared" si="9"/>
        <v>7</v>
      </c>
      <c r="F271">
        <v>44.771799999999999</v>
      </c>
      <c r="G271">
        <v>44.771799999999999</v>
      </c>
      <c r="H271">
        <v>44.482500000000002</v>
      </c>
      <c r="I271">
        <v>44.699399999999997</v>
      </c>
      <c r="J271">
        <v>41276</v>
      </c>
      <c r="K271">
        <v>0.48659999999999998</v>
      </c>
      <c r="L271">
        <v>0.65039999999999998</v>
      </c>
    </row>
    <row r="272" spans="1:12" x14ac:dyDescent="0.25">
      <c r="A272">
        <v>2303</v>
      </c>
      <c r="B272" t="s">
        <v>10</v>
      </c>
      <c r="C272" s="1">
        <v>40381</v>
      </c>
      <c r="D272" s="2">
        <f t="shared" si="8"/>
        <v>4</v>
      </c>
      <c r="E272" s="2">
        <f t="shared" si="9"/>
        <v>7</v>
      </c>
      <c r="F272">
        <v>10.076599999999999</v>
      </c>
      <c r="G272">
        <v>10.076599999999999</v>
      </c>
      <c r="H272">
        <v>9.9745000000000008</v>
      </c>
      <c r="I272">
        <v>9.9745000000000008</v>
      </c>
      <c r="J272">
        <v>20637</v>
      </c>
      <c r="K272">
        <v>-1.0186999999999999</v>
      </c>
      <c r="L272">
        <v>1.0239</v>
      </c>
    </row>
    <row r="273" spans="1:12" hidden="1" x14ac:dyDescent="0.25">
      <c r="A273">
        <v>2330</v>
      </c>
      <c r="B273" t="s">
        <v>11</v>
      </c>
      <c r="C273" s="1">
        <v>40381</v>
      </c>
      <c r="D273" s="2">
        <f t="shared" si="8"/>
        <v>4</v>
      </c>
      <c r="E273" s="2">
        <f t="shared" si="9"/>
        <v>7</v>
      </c>
      <c r="F273">
        <v>44.771799999999999</v>
      </c>
      <c r="G273">
        <v>45.061100000000003</v>
      </c>
      <c r="H273">
        <v>44.337800000000001</v>
      </c>
      <c r="I273">
        <v>44.844099999999997</v>
      </c>
      <c r="J273">
        <v>45329</v>
      </c>
      <c r="K273">
        <v>0.3231</v>
      </c>
      <c r="L273">
        <v>1.6313</v>
      </c>
    </row>
    <row r="274" spans="1:12" x14ac:dyDescent="0.25">
      <c r="A274">
        <v>2303</v>
      </c>
      <c r="B274" t="s">
        <v>10</v>
      </c>
      <c r="C274" s="1">
        <v>40382</v>
      </c>
      <c r="D274" s="2">
        <f t="shared" si="8"/>
        <v>5</v>
      </c>
      <c r="E274" s="2">
        <f t="shared" si="9"/>
        <v>7</v>
      </c>
      <c r="F274">
        <v>10.1106</v>
      </c>
      <c r="G274">
        <v>10.1447</v>
      </c>
      <c r="H274">
        <v>9.9404000000000003</v>
      </c>
      <c r="I274">
        <v>9.9745000000000008</v>
      </c>
      <c r="J274">
        <v>42708</v>
      </c>
      <c r="K274">
        <v>0</v>
      </c>
      <c r="L274">
        <v>2.0548000000000002</v>
      </c>
    </row>
    <row r="275" spans="1:12" hidden="1" x14ac:dyDescent="0.25">
      <c r="A275">
        <v>2330</v>
      </c>
      <c r="B275" t="s">
        <v>11</v>
      </c>
      <c r="C275" s="1">
        <v>40382</v>
      </c>
      <c r="D275" s="2">
        <f t="shared" si="8"/>
        <v>5</v>
      </c>
      <c r="E275" s="2">
        <f t="shared" si="9"/>
        <v>7</v>
      </c>
      <c r="F275">
        <v>45.278100000000002</v>
      </c>
      <c r="G275">
        <v>45.567399999999999</v>
      </c>
      <c r="H275">
        <v>45.133400000000002</v>
      </c>
      <c r="I275">
        <v>45.422699999999999</v>
      </c>
      <c r="J275">
        <v>66046</v>
      </c>
      <c r="K275">
        <v>1.2821</v>
      </c>
      <c r="L275">
        <v>0.96150000000000002</v>
      </c>
    </row>
    <row r="276" spans="1:12" x14ac:dyDescent="0.25">
      <c r="A276">
        <v>2303</v>
      </c>
      <c r="B276" t="s">
        <v>10</v>
      </c>
      <c r="C276" s="1">
        <v>40385</v>
      </c>
      <c r="D276" s="2">
        <f t="shared" si="8"/>
        <v>1</v>
      </c>
      <c r="E276" s="2">
        <f t="shared" si="9"/>
        <v>7</v>
      </c>
      <c r="F276">
        <v>10.076599999999999</v>
      </c>
      <c r="G276">
        <v>10.1106</v>
      </c>
      <c r="H276">
        <v>10.0085</v>
      </c>
      <c r="I276">
        <v>10.076599999999999</v>
      </c>
      <c r="J276">
        <v>30043</v>
      </c>
      <c r="K276">
        <v>1.0186999999999999</v>
      </c>
      <c r="L276">
        <v>1.0204</v>
      </c>
    </row>
    <row r="277" spans="1:12" hidden="1" x14ac:dyDescent="0.25">
      <c r="A277">
        <v>2330</v>
      </c>
      <c r="B277" t="s">
        <v>11</v>
      </c>
      <c r="C277" s="1">
        <v>40385</v>
      </c>
      <c r="D277" s="2">
        <f t="shared" si="8"/>
        <v>1</v>
      </c>
      <c r="E277" s="2">
        <f t="shared" si="9"/>
        <v>7</v>
      </c>
      <c r="F277">
        <v>45.567399999999999</v>
      </c>
      <c r="G277">
        <v>45.639699999999998</v>
      </c>
      <c r="H277">
        <v>45.061100000000003</v>
      </c>
      <c r="I277">
        <v>45.278100000000002</v>
      </c>
      <c r="J277">
        <v>27031</v>
      </c>
      <c r="K277">
        <v>-0.31900000000000001</v>
      </c>
      <c r="L277">
        <v>1.2841</v>
      </c>
    </row>
    <row r="278" spans="1:12" x14ac:dyDescent="0.25">
      <c r="A278">
        <v>2303</v>
      </c>
      <c r="B278" t="s">
        <v>10</v>
      </c>
      <c r="C278" s="1">
        <v>40386</v>
      </c>
      <c r="D278" s="2">
        <f t="shared" si="8"/>
        <v>2</v>
      </c>
      <c r="E278" s="2">
        <f t="shared" si="9"/>
        <v>7</v>
      </c>
      <c r="F278">
        <v>10.1447</v>
      </c>
      <c r="G278">
        <v>10.178699999999999</v>
      </c>
      <c r="H278">
        <v>10.0426</v>
      </c>
      <c r="I278">
        <v>10.0426</v>
      </c>
      <c r="J278">
        <v>38136</v>
      </c>
      <c r="K278">
        <v>-0.33839999999999998</v>
      </c>
      <c r="L278">
        <v>1.3559000000000001</v>
      </c>
    </row>
    <row r="279" spans="1:12" hidden="1" x14ac:dyDescent="0.25">
      <c r="A279">
        <v>2330</v>
      </c>
      <c r="B279" t="s">
        <v>11</v>
      </c>
      <c r="C279" s="1">
        <v>40386</v>
      </c>
      <c r="D279" s="2">
        <f t="shared" si="8"/>
        <v>2</v>
      </c>
      <c r="E279" s="2">
        <f t="shared" si="9"/>
        <v>7</v>
      </c>
      <c r="F279">
        <v>45.567399999999999</v>
      </c>
      <c r="G279">
        <v>45.567399999999999</v>
      </c>
      <c r="H279">
        <v>45.061100000000003</v>
      </c>
      <c r="I279">
        <v>45.205800000000004</v>
      </c>
      <c r="J279">
        <v>21055</v>
      </c>
      <c r="K279">
        <v>-0.15989999999999999</v>
      </c>
      <c r="L279">
        <v>1.1235999999999999</v>
      </c>
    </row>
    <row r="280" spans="1:12" x14ac:dyDescent="0.25">
      <c r="A280">
        <v>2303</v>
      </c>
      <c r="B280" t="s">
        <v>10</v>
      </c>
      <c r="C280" s="1">
        <v>40387</v>
      </c>
      <c r="D280" s="2">
        <f t="shared" si="8"/>
        <v>3</v>
      </c>
      <c r="E280" s="2">
        <f t="shared" si="9"/>
        <v>7</v>
      </c>
      <c r="F280">
        <v>10.0085</v>
      </c>
      <c r="G280">
        <v>10.0426</v>
      </c>
      <c r="H280">
        <v>9.9063999999999997</v>
      </c>
      <c r="I280">
        <v>9.9404000000000003</v>
      </c>
      <c r="J280">
        <v>40241</v>
      </c>
      <c r="K280">
        <v>-1.0222</v>
      </c>
      <c r="L280">
        <v>1.3746</v>
      </c>
    </row>
    <row r="281" spans="1:12" hidden="1" x14ac:dyDescent="0.25">
      <c r="A281">
        <v>2330</v>
      </c>
      <c r="B281" t="s">
        <v>11</v>
      </c>
      <c r="C281" s="1">
        <v>40387</v>
      </c>
      <c r="D281" s="2">
        <f t="shared" si="8"/>
        <v>3</v>
      </c>
      <c r="E281" s="2">
        <f t="shared" si="9"/>
        <v>7</v>
      </c>
      <c r="F281">
        <v>45.061100000000003</v>
      </c>
      <c r="G281">
        <v>45.567399999999999</v>
      </c>
      <c r="H281">
        <v>44.988799999999998</v>
      </c>
      <c r="I281">
        <v>45.567399999999999</v>
      </c>
      <c r="J281">
        <v>27030</v>
      </c>
      <c r="K281">
        <v>0.79679999999999995</v>
      </c>
      <c r="L281">
        <v>1.2862</v>
      </c>
    </row>
    <row r="282" spans="1:12" x14ac:dyDescent="0.25">
      <c r="A282">
        <v>2303</v>
      </c>
      <c r="B282" t="s">
        <v>10</v>
      </c>
      <c r="C282" s="1">
        <v>40388</v>
      </c>
      <c r="D282" s="2">
        <f t="shared" si="8"/>
        <v>4</v>
      </c>
      <c r="E282" s="2">
        <f t="shared" si="9"/>
        <v>7</v>
      </c>
      <c r="F282">
        <v>9.9404000000000003</v>
      </c>
      <c r="G282">
        <v>9.9404000000000003</v>
      </c>
      <c r="H282">
        <v>9.7702000000000009</v>
      </c>
      <c r="I282">
        <v>9.8383000000000003</v>
      </c>
      <c r="J282">
        <v>31310</v>
      </c>
      <c r="K282">
        <v>-1.0327</v>
      </c>
      <c r="L282">
        <v>1.7422</v>
      </c>
    </row>
    <row r="283" spans="1:12" hidden="1" x14ac:dyDescent="0.25">
      <c r="A283">
        <v>2330</v>
      </c>
      <c r="B283" t="s">
        <v>11</v>
      </c>
      <c r="C283" s="1">
        <v>40388</v>
      </c>
      <c r="D283" s="2">
        <f t="shared" si="8"/>
        <v>4</v>
      </c>
      <c r="E283" s="2">
        <f t="shared" si="9"/>
        <v>7</v>
      </c>
      <c r="F283">
        <v>45.567399999999999</v>
      </c>
      <c r="G283">
        <v>45.567399999999999</v>
      </c>
      <c r="H283">
        <v>45.278100000000002</v>
      </c>
      <c r="I283">
        <v>45.567399999999999</v>
      </c>
      <c r="J283">
        <v>38609</v>
      </c>
      <c r="K283">
        <v>0</v>
      </c>
      <c r="L283">
        <v>0.63900000000000001</v>
      </c>
    </row>
    <row r="284" spans="1:12" x14ac:dyDescent="0.25">
      <c r="A284">
        <v>2303</v>
      </c>
      <c r="B284" t="s">
        <v>10</v>
      </c>
      <c r="C284" s="1">
        <v>40389</v>
      </c>
      <c r="D284" s="2">
        <f t="shared" si="8"/>
        <v>5</v>
      </c>
      <c r="E284" s="2">
        <f t="shared" si="9"/>
        <v>7</v>
      </c>
      <c r="F284">
        <v>9.7362000000000002</v>
      </c>
      <c r="G284">
        <v>9.7362000000000002</v>
      </c>
      <c r="H284">
        <v>9.6340000000000003</v>
      </c>
      <c r="I284">
        <v>9.6681000000000008</v>
      </c>
      <c r="J284">
        <v>42399</v>
      </c>
      <c r="K284">
        <v>-1.7452000000000001</v>
      </c>
      <c r="L284">
        <v>1.0601</v>
      </c>
    </row>
    <row r="285" spans="1:12" hidden="1" x14ac:dyDescent="0.25">
      <c r="A285">
        <v>2330</v>
      </c>
      <c r="B285" t="s">
        <v>11</v>
      </c>
      <c r="C285" s="1">
        <v>40389</v>
      </c>
      <c r="D285" s="2">
        <f t="shared" si="8"/>
        <v>5</v>
      </c>
      <c r="E285" s="2">
        <f t="shared" si="9"/>
        <v>7</v>
      </c>
      <c r="F285">
        <v>45.133400000000002</v>
      </c>
      <c r="G285">
        <v>45.133400000000002</v>
      </c>
      <c r="H285">
        <v>44.4101</v>
      </c>
      <c r="I285">
        <v>45.133400000000002</v>
      </c>
      <c r="J285">
        <v>43621</v>
      </c>
      <c r="K285">
        <v>-0.95689999999999997</v>
      </c>
      <c r="L285">
        <v>1.6287</v>
      </c>
    </row>
    <row r="286" spans="1:12" x14ac:dyDescent="0.25">
      <c r="A286">
        <v>2303</v>
      </c>
      <c r="B286" t="s">
        <v>10</v>
      </c>
      <c r="C286" s="1">
        <v>40392</v>
      </c>
      <c r="D286" s="2">
        <f t="shared" si="8"/>
        <v>1</v>
      </c>
      <c r="E286" s="2">
        <f t="shared" si="9"/>
        <v>8</v>
      </c>
      <c r="F286">
        <v>9.8042999999999996</v>
      </c>
      <c r="G286">
        <v>9.9404000000000003</v>
      </c>
      <c r="H286">
        <v>9.8042999999999996</v>
      </c>
      <c r="I286">
        <v>9.8722999999999992</v>
      </c>
      <c r="J286">
        <v>41973</v>
      </c>
      <c r="K286">
        <v>2.0907</v>
      </c>
      <c r="L286">
        <v>1.3889</v>
      </c>
    </row>
    <row r="287" spans="1:12" hidden="1" x14ac:dyDescent="0.25">
      <c r="A287">
        <v>2330</v>
      </c>
      <c r="B287" t="s">
        <v>11</v>
      </c>
      <c r="C287" s="1">
        <v>40392</v>
      </c>
      <c r="D287" s="2">
        <f t="shared" si="8"/>
        <v>1</v>
      </c>
      <c r="E287" s="2">
        <f t="shared" si="9"/>
        <v>8</v>
      </c>
      <c r="F287">
        <v>45.278100000000002</v>
      </c>
      <c r="G287">
        <v>45.422699999999999</v>
      </c>
      <c r="H287">
        <v>44.916400000000003</v>
      </c>
      <c r="I287">
        <v>45.061100000000003</v>
      </c>
      <c r="J287">
        <v>48140</v>
      </c>
      <c r="K287">
        <v>-0.16039999999999999</v>
      </c>
      <c r="L287">
        <v>1.1272</v>
      </c>
    </row>
    <row r="288" spans="1:12" x14ac:dyDescent="0.25">
      <c r="A288">
        <v>2303</v>
      </c>
      <c r="B288" t="s">
        <v>10</v>
      </c>
      <c r="C288" s="1">
        <v>40393</v>
      </c>
      <c r="D288" s="2">
        <f t="shared" si="8"/>
        <v>2</v>
      </c>
      <c r="E288" s="2">
        <f t="shared" si="9"/>
        <v>8</v>
      </c>
      <c r="F288">
        <v>9.8722999999999992</v>
      </c>
      <c r="G288">
        <v>9.9063999999999997</v>
      </c>
      <c r="H288">
        <v>9.8042999999999996</v>
      </c>
      <c r="I288">
        <v>9.8042999999999996</v>
      </c>
      <c r="J288">
        <v>27021</v>
      </c>
      <c r="K288">
        <v>-0.69199999999999995</v>
      </c>
      <c r="L288">
        <v>1.0417000000000001</v>
      </c>
    </row>
    <row r="289" spans="1:12" hidden="1" x14ac:dyDescent="0.25">
      <c r="A289">
        <v>2330</v>
      </c>
      <c r="B289" t="s">
        <v>11</v>
      </c>
      <c r="C289" s="1">
        <v>40393</v>
      </c>
      <c r="D289" s="2">
        <f t="shared" si="8"/>
        <v>2</v>
      </c>
      <c r="E289" s="2">
        <f t="shared" si="9"/>
        <v>8</v>
      </c>
      <c r="F289">
        <v>45.278100000000002</v>
      </c>
      <c r="G289">
        <v>45.278100000000002</v>
      </c>
      <c r="H289">
        <v>44.627099999999999</v>
      </c>
      <c r="I289">
        <v>44.844099999999997</v>
      </c>
      <c r="J289">
        <v>32996</v>
      </c>
      <c r="K289">
        <v>-0.48270000000000002</v>
      </c>
      <c r="L289">
        <v>1.4587000000000001</v>
      </c>
    </row>
    <row r="290" spans="1:12" x14ac:dyDescent="0.25">
      <c r="A290">
        <v>2303</v>
      </c>
      <c r="B290" t="s">
        <v>10</v>
      </c>
      <c r="C290" s="1">
        <v>40394</v>
      </c>
      <c r="D290" s="2">
        <f t="shared" si="8"/>
        <v>3</v>
      </c>
      <c r="E290" s="2">
        <f t="shared" si="9"/>
        <v>8</v>
      </c>
      <c r="F290">
        <v>9.7702000000000009</v>
      </c>
      <c r="G290">
        <v>9.8042999999999996</v>
      </c>
      <c r="H290">
        <v>9.6340000000000003</v>
      </c>
      <c r="I290">
        <v>9.7362000000000002</v>
      </c>
      <c r="J290">
        <v>52106</v>
      </c>
      <c r="K290">
        <v>-0.69689999999999996</v>
      </c>
      <c r="L290">
        <v>1.7667999999999999</v>
      </c>
    </row>
    <row r="291" spans="1:12" hidden="1" x14ac:dyDescent="0.25">
      <c r="A291">
        <v>2330</v>
      </c>
      <c r="B291" t="s">
        <v>11</v>
      </c>
      <c r="C291" s="1">
        <v>40394</v>
      </c>
      <c r="D291" s="2">
        <f t="shared" si="8"/>
        <v>3</v>
      </c>
      <c r="E291" s="2">
        <f t="shared" si="9"/>
        <v>8</v>
      </c>
      <c r="F291">
        <v>44.844099999999997</v>
      </c>
      <c r="G291">
        <v>44.988799999999998</v>
      </c>
      <c r="H291">
        <v>44.5548</v>
      </c>
      <c r="I291">
        <v>44.844099999999997</v>
      </c>
      <c r="J291">
        <v>28406</v>
      </c>
      <c r="K291">
        <v>0</v>
      </c>
      <c r="L291">
        <v>0.97399999999999998</v>
      </c>
    </row>
    <row r="292" spans="1:12" x14ac:dyDescent="0.25">
      <c r="A292">
        <v>2303</v>
      </c>
      <c r="B292" t="s">
        <v>10</v>
      </c>
      <c r="C292" s="1">
        <v>40395</v>
      </c>
      <c r="D292" s="2">
        <f t="shared" si="8"/>
        <v>4</v>
      </c>
      <c r="E292" s="2">
        <f t="shared" si="9"/>
        <v>8</v>
      </c>
      <c r="F292">
        <v>9.8722999999999992</v>
      </c>
      <c r="G292">
        <v>9.9745000000000008</v>
      </c>
      <c r="H292">
        <v>9.7362000000000002</v>
      </c>
      <c r="I292">
        <v>9.8042999999999996</v>
      </c>
      <c r="J292">
        <v>90316</v>
      </c>
      <c r="K292">
        <v>0.69689999999999996</v>
      </c>
      <c r="L292">
        <v>2.4476</v>
      </c>
    </row>
    <row r="293" spans="1:12" hidden="1" x14ac:dyDescent="0.25">
      <c r="A293">
        <v>2330</v>
      </c>
      <c r="B293" t="s">
        <v>11</v>
      </c>
      <c r="C293" s="1">
        <v>40395</v>
      </c>
      <c r="D293" s="2">
        <f t="shared" si="8"/>
        <v>4</v>
      </c>
      <c r="E293" s="2">
        <f t="shared" si="9"/>
        <v>8</v>
      </c>
      <c r="F293">
        <v>44.844099999999997</v>
      </c>
      <c r="G293">
        <v>44.844099999999997</v>
      </c>
      <c r="H293">
        <v>44.699399999999997</v>
      </c>
      <c r="I293">
        <v>44.771799999999999</v>
      </c>
      <c r="J293">
        <v>22212</v>
      </c>
      <c r="K293">
        <v>-0.16139999999999999</v>
      </c>
      <c r="L293">
        <v>0.3236</v>
      </c>
    </row>
    <row r="294" spans="1:12" x14ac:dyDescent="0.25">
      <c r="A294">
        <v>2303</v>
      </c>
      <c r="B294" t="s">
        <v>10</v>
      </c>
      <c r="C294" s="1">
        <v>40396</v>
      </c>
      <c r="D294" s="2">
        <f t="shared" si="8"/>
        <v>5</v>
      </c>
      <c r="E294" s="2">
        <f t="shared" si="9"/>
        <v>8</v>
      </c>
      <c r="F294">
        <v>9.8383000000000003</v>
      </c>
      <c r="G294">
        <v>9.8722999999999992</v>
      </c>
      <c r="H294">
        <v>9.7702000000000009</v>
      </c>
      <c r="I294">
        <v>9.7702000000000009</v>
      </c>
      <c r="J294">
        <v>30662</v>
      </c>
      <c r="K294">
        <v>-0.3478</v>
      </c>
      <c r="L294">
        <v>1.0452999999999999</v>
      </c>
    </row>
    <row r="295" spans="1:12" hidden="1" x14ac:dyDescent="0.25">
      <c r="A295">
        <v>2330</v>
      </c>
      <c r="B295" t="s">
        <v>11</v>
      </c>
      <c r="C295" s="1">
        <v>40396</v>
      </c>
      <c r="D295" s="2">
        <f t="shared" si="8"/>
        <v>5</v>
      </c>
      <c r="E295" s="2">
        <f t="shared" si="9"/>
        <v>8</v>
      </c>
      <c r="F295">
        <v>44.5548</v>
      </c>
      <c r="G295">
        <v>44.627099999999999</v>
      </c>
      <c r="H295">
        <v>43.831499999999998</v>
      </c>
      <c r="I295">
        <v>44.048499999999997</v>
      </c>
      <c r="J295">
        <v>62494</v>
      </c>
      <c r="K295">
        <v>-1.6287</v>
      </c>
      <c r="L295">
        <v>1.8151999999999999</v>
      </c>
    </row>
    <row r="296" spans="1:12" x14ac:dyDescent="0.25">
      <c r="A296">
        <v>2303</v>
      </c>
      <c r="B296" t="s">
        <v>10</v>
      </c>
      <c r="C296" s="1">
        <v>40399</v>
      </c>
      <c r="D296" s="2">
        <f t="shared" si="8"/>
        <v>1</v>
      </c>
      <c r="E296" s="2">
        <f t="shared" si="9"/>
        <v>8</v>
      </c>
      <c r="F296">
        <v>9.7362000000000002</v>
      </c>
      <c r="G296">
        <v>9.9063999999999997</v>
      </c>
      <c r="H296">
        <v>9.7362000000000002</v>
      </c>
      <c r="I296">
        <v>9.8383000000000003</v>
      </c>
      <c r="J296">
        <v>31843</v>
      </c>
      <c r="K296">
        <v>0.69440000000000002</v>
      </c>
      <c r="L296">
        <v>1.7483</v>
      </c>
    </row>
    <row r="297" spans="1:12" hidden="1" x14ac:dyDescent="0.25">
      <c r="A297">
        <v>2330</v>
      </c>
      <c r="B297" t="s">
        <v>11</v>
      </c>
      <c r="C297" s="1">
        <v>40399</v>
      </c>
      <c r="D297" s="2">
        <f t="shared" si="8"/>
        <v>1</v>
      </c>
      <c r="E297" s="2">
        <f t="shared" si="9"/>
        <v>8</v>
      </c>
      <c r="F297">
        <v>43.7592</v>
      </c>
      <c r="G297">
        <v>44.048499999999997</v>
      </c>
      <c r="H297">
        <v>43.686799999999998</v>
      </c>
      <c r="I297">
        <v>43.903799999999997</v>
      </c>
      <c r="J297">
        <v>57034</v>
      </c>
      <c r="K297">
        <v>-0.32890000000000003</v>
      </c>
      <c r="L297">
        <v>0.82779999999999998</v>
      </c>
    </row>
    <row r="298" spans="1:12" x14ac:dyDescent="0.25">
      <c r="A298">
        <v>2303</v>
      </c>
      <c r="B298" t="s">
        <v>10</v>
      </c>
      <c r="C298" s="1">
        <v>40400</v>
      </c>
      <c r="D298" s="2">
        <f t="shared" si="8"/>
        <v>2</v>
      </c>
      <c r="E298" s="2">
        <f t="shared" si="9"/>
        <v>8</v>
      </c>
      <c r="F298">
        <v>9.9063999999999997</v>
      </c>
      <c r="G298">
        <v>9.9404000000000003</v>
      </c>
      <c r="H298">
        <v>9.7702000000000009</v>
      </c>
      <c r="I298">
        <v>9.7702000000000009</v>
      </c>
      <c r="J298">
        <v>33856</v>
      </c>
      <c r="K298">
        <v>-0.69440000000000002</v>
      </c>
      <c r="L298">
        <v>1.7422</v>
      </c>
    </row>
    <row r="299" spans="1:12" hidden="1" x14ac:dyDescent="0.25">
      <c r="A299">
        <v>2330</v>
      </c>
      <c r="B299" t="s">
        <v>11</v>
      </c>
      <c r="C299" s="1">
        <v>40400</v>
      </c>
      <c r="D299" s="2">
        <f t="shared" si="8"/>
        <v>2</v>
      </c>
      <c r="E299" s="2">
        <f t="shared" si="9"/>
        <v>8</v>
      </c>
      <c r="F299">
        <v>44.048499999999997</v>
      </c>
      <c r="G299">
        <v>44.4101</v>
      </c>
      <c r="H299">
        <v>43.976199999999999</v>
      </c>
      <c r="I299">
        <v>44.120800000000003</v>
      </c>
      <c r="J299">
        <v>63934</v>
      </c>
      <c r="K299">
        <v>0.49299999999999999</v>
      </c>
      <c r="L299">
        <v>0.98680000000000001</v>
      </c>
    </row>
    <row r="300" spans="1:12" x14ac:dyDescent="0.25">
      <c r="A300">
        <v>2303</v>
      </c>
      <c r="B300" t="s">
        <v>10</v>
      </c>
      <c r="C300" s="1">
        <v>40401</v>
      </c>
      <c r="D300" s="2">
        <f t="shared" si="8"/>
        <v>3</v>
      </c>
      <c r="E300" s="2">
        <f t="shared" si="9"/>
        <v>8</v>
      </c>
      <c r="F300">
        <v>9.7362000000000002</v>
      </c>
      <c r="G300">
        <v>9.7702000000000009</v>
      </c>
      <c r="H300">
        <v>9.6681000000000008</v>
      </c>
      <c r="I300">
        <v>9.7020999999999997</v>
      </c>
      <c r="J300">
        <v>26764</v>
      </c>
      <c r="K300">
        <v>-0.69930000000000003</v>
      </c>
      <c r="L300">
        <v>1.0563</v>
      </c>
    </row>
    <row r="301" spans="1:12" hidden="1" x14ac:dyDescent="0.25">
      <c r="A301">
        <v>2330</v>
      </c>
      <c r="B301" t="s">
        <v>11</v>
      </c>
      <c r="C301" s="1">
        <v>40401</v>
      </c>
      <c r="D301" s="2">
        <f t="shared" si="8"/>
        <v>3</v>
      </c>
      <c r="E301" s="2">
        <f t="shared" si="9"/>
        <v>8</v>
      </c>
      <c r="F301">
        <v>43.976199999999999</v>
      </c>
      <c r="G301">
        <v>44.265500000000003</v>
      </c>
      <c r="H301">
        <v>43.903799999999997</v>
      </c>
      <c r="I301">
        <v>44.120800000000003</v>
      </c>
      <c r="J301">
        <v>28646</v>
      </c>
      <c r="K301">
        <v>0</v>
      </c>
      <c r="L301">
        <v>0.82369999999999999</v>
      </c>
    </row>
    <row r="302" spans="1:12" x14ac:dyDescent="0.25">
      <c r="A302">
        <v>2303</v>
      </c>
      <c r="B302" t="s">
        <v>10</v>
      </c>
      <c r="C302" s="1">
        <v>40402</v>
      </c>
      <c r="D302" s="2">
        <f t="shared" si="8"/>
        <v>4</v>
      </c>
      <c r="E302" s="2">
        <f t="shared" si="9"/>
        <v>8</v>
      </c>
      <c r="F302">
        <v>9.6</v>
      </c>
      <c r="G302">
        <v>9.6681000000000008</v>
      </c>
      <c r="H302">
        <v>9.5660000000000007</v>
      </c>
      <c r="I302">
        <v>9.6</v>
      </c>
      <c r="J302">
        <v>46248</v>
      </c>
      <c r="K302">
        <v>-1.0582</v>
      </c>
      <c r="L302">
        <v>1.0676000000000001</v>
      </c>
    </row>
    <row r="303" spans="1:12" hidden="1" x14ac:dyDescent="0.25">
      <c r="A303">
        <v>2330</v>
      </c>
      <c r="B303" t="s">
        <v>11</v>
      </c>
      <c r="C303" s="1">
        <v>40402</v>
      </c>
      <c r="D303" s="2">
        <f t="shared" si="8"/>
        <v>4</v>
      </c>
      <c r="E303" s="2">
        <f t="shared" si="9"/>
        <v>8</v>
      </c>
      <c r="F303">
        <v>43.542200000000001</v>
      </c>
      <c r="G303">
        <v>43.831499999999998</v>
      </c>
      <c r="H303">
        <v>43.469799999999999</v>
      </c>
      <c r="I303">
        <v>43.542200000000001</v>
      </c>
      <c r="J303">
        <v>66230</v>
      </c>
      <c r="K303">
        <v>-1.3202</v>
      </c>
      <c r="L303">
        <v>0.83189999999999997</v>
      </c>
    </row>
    <row r="304" spans="1:12" x14ac:dyDescent="0.25">
      <c r="A304">
        <v>2303</v>
      </c>
      <c r="B304" t="s">
        <v>10</v>
      </c>
      <c r="C304" s="1">
        <v>40403</v>
      </c>
      <c r="D304" s="2">
        <f t="shared" si="8"/>
        <v>5</v>
      </c>
      <c r="E304" s="2">
        <f t="shared" si="9"/>
        <v>8</v>
      </c>
      <c r="F304">
        <v>9.6340000000000003</v>
      </c>
      <c r="G304">
        <v>9.6681000000000008</v>
      </c>
      <c r="H304">
        <v>9.5319000000000003</v>
      </c>
      <c r="I304">
        <v>9.6</v>
      </c>
      <c r="J304">
        <v>51073</v>
      </c>
      <c r="K304">
        <v>0</v>
      </c>
      <c r="L304">
        <v>1.4286000000000001</v>
      </c>
    </row>
    <row r="305" spans="1:12" hidden="1" x14ac:dyDescent="0.25">
      <c r="A305">
        <v>2330</v>
      </c>
      <c r="B305" t="s">
        <v>11</v>
      </c>
      <c r="C305" s="1">
        <v>40403</v>
      </c>
      <c r="D305" s="2">
        <f t="shared" si="8"/>
        <v>5</v>
      </c>
      <c r="E305" s="2">
        <f t="shared" si="9"/>
        <v>8</v>
      </c>
      <c r="F305">
        <v>43.542200000000001</v>
      </c>
      <c r="G305">
        <v>43.831499999999998</v>
      </c>
      <c r="H305">
        <v>43.325200000000002</v>
      </c>
      <c r="I305">
        <v>43.469799999999999</v>
      </c>
      <c r="J305">
        <v>65690</v>
      </c>
      <c r="K305">
        <v>-0.1663</v>
      </c>
      <c r="L305">
        <v>1.1686000000000001</v>
      </c>
    </row>
    <row r="306" spans="1:12" x14ac:dyDescent="0.25">
      <c r="A306">
        <v>2303</v>
      </c>
      <c r="B306" t="s">
        <v>10</v>
      </c>
      <c r="C306" s="1">
        <v>40406</v>
      </c>
      <c r="D306" s="2">
        <f t="shared" si="8"/>
        <v>1</v>
      </c>
      <c r="E306" s="2">
        <f t="shared" si="9"/>
        <v>8</v>
      </c>
      <c r="F306">
        <v>9.6340000000000003</v>
      </c>
      <c r="G306">
        <v>9.6340000000000003</v>
      </c>
      <c r="H306">
        <v>9.5319000000000003</v>
      </c>
      <c r="I306">
        <v>9.5319000000000003</v>
      </c>
      <c r="J306">
        <v>39745</v>
      </c>
      <c r="K306">
        <v>-0.7117</v>
      </c>
      <c r="L306">
        <v>1.0713999999999999</v>
      </c>
    </row>
    <row r="307" spans="1:12" hidden="1" x14ac:dyDescent="0.25">
      <c r="A307">
        <v>2330</v>
      </c>
      <c r="B307" t="s">
        <v>11</v>
      </c>
      <c r="C307" s="1">
        <v>40406</v>
      </c>
      <c r="D307" s="2">
        <f t="shared" si="8"/>
        <v>1</v>
      </c>
      <c r="E307" s="2">
        <f t="shared" si="9"/>
        <v>8</v>
      </c>
      <c r="F307">
        <v>43.397500000000001</v>
      </c>
      <c r="G307">
        <v>43.6145</v>
      </c>
      <c r="H307">
        <v>43.108199999999997</v>
      </c>
      <c r="I307">
        <v>43.6145</v>
      </c>
      <c r="J307">
        <v>39763</v>
      </c>
      <c r="K307">
        <v>0.3322</v>
      </c>
      <c r="L307">
        <v>1.1745000000000001</v>
      </c>
    </row>
    <row r="308" spans="1:12" x14ac:dyDescent="0.25">
      <c r="A308">
        <v>2303</v>
      </c>
      <c r="B308" t="s">
        <v>10</v>
      </c>
      <c r="C308" s="1">
        <v>40407</v>
      </c>
      <c r="D308" s="2">
        <f t="shared" si="8"/>
        <v>2</v>
      </c>
      <c r="E308" s="2">
        <f t="shared" si="9"/>
        <v>8</v>
      </c>
      <c r="F308">
        <v>9.5319000000000003</v>
      </c>
      <c r="G308">
        <v>9.6</v>
      </c>
      <c r="H308">
        <v>9.4638000000000009</v>
      </c>
      <c r="I308">
        <v>9.4638000000000009</v>
      </c>
      <c r="J308">
        <v>41223</v>
      </c>
      <c r="K308">
        <v>-0.71679999999999999</v>
      </c>
      <c r="L308">
        <v>1.4388000000000001</v>
      </c>
    </row>
    <row r="309" spans="1:12" hidden="1" x14ac:dyDescent="0.25">
      <c r="A309">
        <v>2330</v>
      </c>
      <c r="B309" t="s">
        <v>11</v>
      </c>
      <c r="C309" s="1">
        <v>40407</v>
      </c>
      <c r="D309" s="2">
        <f t="shared" si="8"/>
        <v>2</v>
      </c>
      <c r="E309" s="2">
        <f t="shared" si="9"/>
        <v>8</v>
      </c>
      <c r="F309">
        <v>43.7592</v>
      </c>
      <c r="G309">
        <v>43.7592</v>
      </c>
      <c r="H309">
        <v>43.252899999999997</v>
      </c>
      <c r="I309">
        <v>43.252899999999997</v>
      </c>
      <c r="J309">
        <v>37585</v>
      </c>
      <c r="K309">
        <v>-0.83260000000000001</v>
      </c>
      <c r="L309">
        <v>1.1706000000000001</v>
      </c>
    </row>
    <row r="310" spans="1:12" x14ac:dyDescent="0.25">
      <c r="A310">
        <v>2303</v>
      </c>
      <c r="B310" t="s">
        <v>10</v>
      </c>
      <c r="C310" s="1">
        <v>40408</v>
      </c>
      <c r="D310" s="2">
        <f t="shared" si="8"/>
        <v>3</v>
      </c>
      <c r="E310" s="2">
        <f t="shared" si="9"/>
        <v>8</v>
      </c>
      <c r="F310">
        <v>9.4978999999999996</v>
      </c>
      <c r="G310">
        <v>9.6</v>
      </c>
      <c r="H310">
        <v>9.4298000000000002</v>
      </c>
      <c r="I310">
        <v>9.4298000000000002</v>
      </c>
      <c r="J310">
        <v>40067</v>
      </c>
      <c r="K310">
        <v>-0.3604</v>
      </c>
      <c r="L310">
        <v>1.8050999999999999</v>
      </c>
    </row>
    <row r="311" spans="1:12" hidden="1" x14ac:dyDescent="0.25">
      <c r="A311">
        <v>2330</v>
      </c>
      <c r="B311" t="s">
        <v>11</v>
      </c>
      <c r="C311" s="1">
        <v>40408</v>
      </c>
      <c r="D311" s="2">
        <f t="shared" si="8"/>
        <v>3</v>
      </c>
      <c r="E311" s="2">
        <f t="shared" si="9"/>
        <v>8</v>
      </c>
      <c r="F311">
        <v>43.397500000000001</v>
      </c>
      <c r="G311">
        <v>43.6145</v>
      </c>
      <c r="H311">
        <v>43.035899999999998</v>
      </c>
      <c r="I311">
        <v>43.108199999999997</v>
      </c>
      <c r="J311">
        <v>42902</v>
      </c>
      <c r="K311">
        <v>-0.33500000000000002</v>
      </c>
      <c r="L311">
        <v>1.3445</v>
      </c>
    </row>
    <row r="312" spans="1:12" x14ac:dyDescent="0.25">
      <c r="A312">
        <v>2303</v>
      </c>
      <c r="B312" t="s">
        <v>10</v>
      </c>
      <c r="C312" s="1">
        <v>40409</v>
      </c>
      <c r="D312" s="2">
        <f t="shared" si="8"/>
        <v>4</v>
      </c>
      <c r="E312" s="2">
        <f t="shared" si="9"/>
        <v>8</v>
      </c>
      <c r="F312">
        <v>9.4298000000000002</v>
      </c>
      <c r="G312">
        <v>9.5319000000000003</v>
      </c>
      <c r="H312">
        <v>9.3956999999999997</v>
      </c>
      <c r="I312">
        <v>9.4978999999999996</v>
      </c>
      <c r="J312">
        <v>39278</v>
      </c>
      <c r="K312">
        <v>0.71940000000000004</v>
      </c>
      <c r="L312">
        <v>1.4493</v>
      </c>
    </row>
    <row r="313" spans="1:12" hidden="1" x14ac:dyDescent="0.25">
      <c r="A313">
        <v>2330</v>
      </c>
      <c r="B313" t="s">
        <v>11</v>
      </c>
      <c r="C313" s="1">
        <v>40409</v>
      </c>
      <c r="D313" s="2">
        <f t="shared" si="8"/>
        <v>4</v>
      </c>
      <c r="E313" s="2">
        <f t="shared" si="9"/>
        <v>8</v>
      </c>
      <c r="F313">
        <v>43.035899999999998</v>
      </c>
      <c r="G313">
        <v>43.686799999999998</v>
      </c>
      <c r="H313">
        <v>43.035899999999998</v>
      </c>
      <c r="I313">
        <v>43.469799999999999</v>
      </c>
      <c r="J313">
        <v>45817</v>
      </c>
      <c r="K313">
        <v>0.83540000000000003</v>
      </c>
      <c r="L313">
        <v>1.5125999999999999</v>
      </c>
    </row>
    <row r="314" spans="1:12" x14ac:dyDescent="0.25">
      <c r="A314">
        <v>2303</v>
      </c>
      <c r="B314" t="s">
        <v>10</v>
      </c>
      <c r="C314" s="1">
        <v>40410</v>
      </c>
      <c r="D314" s="2">
        <f t="shared" si="8"/>
        <v>5</v>
      </c>
      <c r="E314" s="2">
        <f t="shared" si="9"/>
        <v>8</v>
      </c>
      <c r="F314">
        <v>9.4638000000000009</v>
      </c>
      <c r="G314">
        <v>9.5319000000000003</v>
      </c>
      <c r="H314">
        <v>9.4298000000000002</v>
      </c>
      <c r="I314">
        <v>9.4298000000000002</v>
      </c>
      <c r="J314">
        <v>20931</v>
      </c>
      <c r="K314">
        <v>-0.71940000000000004</v>
      </c>
      <c r="L314">
        <v>1.083</v>
      </c>
    </row>
    <row r="315" spans="1:12" hidden="1" x14ac:dyDescent="0.25">
      <c r="A315">
        <v>2330</v>
      </c>
      <c r="B315" t="s">
        <v>11</v>
      </c>
      <c r="C315" s="1">
        <v>40410</v>
      </c>
      <c r="D315" s="2">
        <f t="shared" si="8"/>
        <v>5</v>
      </c>
      <c r="E315" s="2">
        <f t="shared" si="9"/>
        <v>8</v>
      </c>
      <c r="F315">
        <v>43.252899999999997</v>
      </c>
      <c r="G315">
        <v>43.542200000000001</v>
      </c>
      <c r="H315">
        <v>43.180500000000002</v>
      </c>
      <c r="I315">
        <v>43.325200000000002</v>
      </c>
      <c r="J315">
        <v>30113</v>
      </c>
      <c r="K315">
        <v>-0.33329999999999999</v>
      </c>
      <c r="L315">
        <v>0.83750000000000002</v>
      </c>
    </row>
    <row r="316" spans="1:12" x14ac:dyDescent="0.25">
      <c r="A316">
        <v>2303</v>
      </c>
      <c r="B316" t="s">
        <v>10</v>
      </c>
      <c r="C316" s="1">
        <v>40413</v>
      </c>
      <c r="D316" s="2">
        <f t="shared" si="8"/>
        <v>1</v>
      </c>
      <c r="E316" s="2">
        <f t="shared" si="9"/>
        <v>8</v>
      </c>
      <c r="F316">
        <v>9.3956999999999997</v>
      </c>
      <c r="G316">
        <v>9.4638000000000009</v>
      </c>
      <c r="H316">
        <v>9.3277000000000001</v>
      </c>
      <c r="I316">
        <v>9.3617000000000008</v>
      </c>
      <c r="J316">
        <v>37239</v>
      </c>
      <c r="K316">
        <v>-0.72460000000000002</v>
      </c>
      <c r="L316">
        <v>1.4599</v>
      </c>
    </row>
    <row r="317" spans="1:12" hidden="1" x14ac:dyDescent="0.25">
      <c r="A317">
        <v>2330</v>
      </c>
      <c r="B317" t="s">
        <v>11</v>
      </c>
      <c r="C317" s="1">
        <v>40413</v>
      </c>
      <c r="D317" s="2">
        <f t="shared" si="8"/>
        <v>1</v>
      </c>
      <c r="E317" s="2">
        <f t="shared" si="9"/>
        <v>8</v>
      </c>
      <c r="F317">
        <v>43.325200000000002</v>
      </c>
      <c r="G317">
        <v>44.048499999999997</v>
      </c>
      <c r="H317">
        <v>43.108199999999997</v>
      </c>
      <c r="I317">
        <v>43.469799999999999</v>
      </c>
      <c r="J317">
        <v>27931</v>
      </c>
      <c r="K317">
        <v>0.33329999999999999</v>
      </c>
      <c r="L317">
        <v>2.1812</v>
      </c>
    </row>
    <row r="318" spans="1:12" x14ac:dyDescent="0.25">
      <c r="A318">
        <v>2303</v>
      </c>
      <c r="B318" t="s">
        <v>10</v>
      </c>
      <c r="C318" s="1">
        <v>40414</v>
      </c>
      <c r="D318" s="2">
        <f t="shared" si="8"/>
        <v>2</v>
      </c>
      <c r="E318" s="2">
        <f t="shared" si="9"/>
        <v>8</v>
      </c>
      <c r="F318">
        <v>9.3617000000000008</v>
      </c>
      <c r="G318">
        <v>9.3617000000000008</v>
      </c>
      <c r="H318">
        <v>9.1914999999999996</v>
      </c>
      <c r="I318">
        <v>9.1914999999999996</v>
      </c>
      <c r="J318">
        <v>44815</v>
      </c>
      <c r="K318">
        <v>-1.8349</v>
      </c>
      <c r="L318">
        <v>1.8519000000000001</v>
      </c>
    </row>
    <row r="319" spans="1:12" hidden="1" x14ac:dyDescent="0.25">
      <c r="A319">
        <v>2330</v>
      </c>
      <c r="B319" t="s">
        <v>11</v>
      </c>
      <c r="C319" s="1">
        <v>40414</v>
      </c>
      <c r="D319" s="2">
        <f t="shared" si="8"/>
        <v>2</v>
      </c>
      <c r="E319" s="2">
        <f t="shared" si="9"/>
        <v>8</v>
      </c>
      <c r="F319">
        <v>43.397500000000001</v>
      </c>
      <c r="G319">
        <v>43.469799999999999</v>
      </c>
      <c r="H319">
        <v>43.108199999999997</v>
      </c>
      <c r="I319">
        <v>43.108199999999997</v>
      </c>
      <c r="J319">
        <v>31275</v>
      </c>
      <c r="K319">
        <v>-0.83540000000000003</v>
      </c>
      <c r="L319">
        <v>0.83889999999999998</v>
      </c>
    </row>
    <row r="320" spans="1:12" x14ac:dyDescent="0.25">
      <c r="A320">
        <v>2303</v>
      </c>
      <c r="B320" t="s">
        <v>10</v>
      </c>
      <c r="C320" s="1">
        <v>40415</v>
      </c>
      <c r="D320" s="2">
        <f t="shared" si="8"/>
        <v>3</v>
      </c>
      <c r="E320" s="2">
        <f t="shared" si="9"/>
        <v>8</v>
      </c>
      <c r="F320">
        <v>9.1234000000000002</v>
      </c>
      <c r="G320">
        <v>9.1234000000000002</v>
      </c>
      <c r="H320">
        <v>8.8850999999999996</v>
      </c>
      <c r="I320">
        <v>8.9191000000000003</v>
      </c>
      <c r="J320">
        <v>89113</v>
      </c>
      <c r="K320">
        <v>-3.0076999999999998</v>
      </c>
      <c r="L320">
        <v>2.6819999999999999</v>
      </c>
    </row>
    <row r="321" spans="1:12" hidden="1" x14ac:dyDescent="0.25">
      <c r="A321">
        <v>2330</v>
      </c>
      <c r="B321" t="s">
        <v>11</v>
      </c>
      <c r="C321" s="1">
        <v>40415</v>
      </c>
      <c r="D321" s="2">
        <f t="shared" si="8"/>
        <v>3</v>
      </c>
      <c r="E321" s="2">
        <f t="shared" si="9"/>
        <v>8</v>
      </c>
      <c r="F321">
        <v>42.963500000000003</v>
      </c>
      <c r="G321">
        <v>42.963500000000003</v>
      </c>
      <c r="H321">
        <v>42.384900000000002</v>
      </c>
      <c r="I321">
        <v>42.4572</v>
      </c>
      <c r="J321">
        <v>70618</v>
      </c>
      <c r="K321">
        <v>-1.5216000000000001</v>
      </c>
      <c r="L321">
        <v>1.3652</v>
      </c>
    </row>
    <row r="322" spans="1:12" x14ac:dyDescent="0.25">
      <c r="A322">
        <v>2303</v>
      </c>
      <c r="B322" t="s">
        <v>10</v>
      </c>
      <c r="C322" s="1">
        <v>40416</v>
      </c>
      <c r="D322" s="2">
        <f t="shared" si="8"/>
        <v>4</v>
      </c>
      <c r="E322" s="2">
        <f t="shared" si="9"/>
        <v>8</v>
      </c>
      <c r="F322">
        <v>8.9191000000000003</v>
      </c>
      <c r="G322">
        <v>9.1574000000000009</v>
      </c>
      <c r="H322">
        <v>8.8511000000000006</v>
      </c>
      <c r="I322">
        <v>9.0213000000000001</v>
      </c>
      <c r="J322">
        <v>89680</v>
      </c>
      <c r="K322">
        <v>1.1385000000000001</v>
      </c>
      <c r="L322">
        <v>3.4615</v>
      </c>
    </row>
    <row r="323" spans="1:12" hidden="1" x14ac:dyDescent="0.25">
      <c r="A323">
        <v>2330</v>
      </c>
      <c r="B323" t="s">
        <v>11</v>
      </c>
      <c r="C323" s="1">
        <v>40416</v>
      </c>
      <c r="D323" s="2">
        <f t="shared" ref="D323:D386" si="10">WEEKDAY(C323,2)</f>
        <v>4</v>
      </c>
      <c r="E323" s="2">
        <f t="shared" ref="E323:E386" si="11">MONTH(C323)</f>
        <v>8</v>
      </c>
      <c r="F323">
        <v>42.384900000000002</v>
      </c>
      <c r="G323">
        <v>42.746600000000001</v>
      </c>
      <c r="H323">
        <v>42.312600000000003</v>
      </c>
      <c r="I323">
        <v>42.529600000000002</v>
      </c>
      <c r="J323">
        <v>35255</v>
      </c>
      <c r="K323">
        <v>0.17019999999999999</v>
      </c>
      <c r="L323">
        <v>1.0256000000000001</v>
      </c>
    </row>
    <row r="324" spans="1:12" x14ac:dyDescent="0.25">
      <c r="A324">
        <v>2303</v>
      </c>
      <c r="B324" t="s">
        <v>10</v>
      </c>
      <c r="C324" s="1">
        <v>40417</v>
      </c>
      <c r="D324" s="2">
        <f t="shared" si="10"/>
        <v>5</v>
      </c>
      <c r="E324" s="2">
        <f t="shared" si="11"/>
        <v>8</v>
      </c>
      <c r="F324">
        <v>8.9871999999999996</v>
      </c>
      <c r="G324">
        <v>8.9871999999999996</v>
      </c>
      <c r="H324">
        <v>8.8511000000000006</v>
      </c>
      <c r="I324">
        <v>8.8850999999999996</v>
      </c>
      <c r="J324">
        <v>53825</v>
      </c>
      <c r="K324">
        <v>-1.5208999999999999</v>
      </c>
      <c r="L324">
        <v>1.5385</v>
      </c>
    </row>
    <row r="325" spans="1:12" hidden="1" x14ac:dyDescent="0.25">
      <c r="A325">
        <v>2330</v>
      </c>
      <c r="B325" t="s">
        <v>11</v>
      </c>
      <c r="C325" s="1">
        <v>40417</v>
      </c>
      <c r="D325" s="2">
        <f t="shared" si="10"/>
        <v>5</v>
      </c>
      <c r="E325" s="2">
        <f t="shared" si="11"/>
        <v>8</v>
      </c>
      <c r="F325">
        <v>42.4572</v>
      </c>
      <c r="G325">
        <v>42.601900000000001</v>
      </c>
      <c r="H325">
        <v>42.312600000000003</v>
      </c>
      <c r="I325">
        <v>42.529600000000002</v>
      </c>
      <c r="J325">
        <v>46789</v>
      </c>
      <c r="K325">
        <v>0</v>
      </c>
      <c r="L325">
        <v>0.68379999999999996</v>
      </c>
    </row>
    <row r="326" spans="1:12" x14ac:dyDescent="0.25">
      <c r="A326">
        <v>2303</v>
      </c>
      <c r="B326" t="s">
        <v>10</v>
      </c>
      <c r="C326" s="1">
        <v>40420</v>
      </c>
      <c r="D326" s="2">
        <f t="shared" si="10"/>
        <v>1</v>
      </c>
      <c r="E326" s="2">
        <f t="shared" si="11"/>
        <v>8</v>
      </c>
      <c r="F326">
        <v>8.9871999999999996</v>
      </c>
      <c r="G326">
        <v>9.0553000000000008</v>
      </c>
      <c r="H326">
        <v>8.8850999999999996</v>
      </c>
      <c r="I326">
        <v>8.8850999999999996</v>
      </c>
      <c r="J326">
        <v>26609</v>
      </c>
      <c r="K326">
        <v>0</v>
      </c>
      <c r="L326">
        <v>1.9157</v>
      </c>
    </row>
    <row r="327" spans="1:12" hidden="1" x14ac:dyDescent="0.25">
      <c r="A327">
        <v>2330</v>
      </c>
      <c r="B327" t="s">
        <v>11</v>
      </c>
      <c r="C327" s="1">
        <v>40420</v>
      </c>
      <c r="D327" s="2">
        <f t="shared" si="10"/>
        <v>1</v>
      </c>
      <c r="E327" s="2">
        <f t="shared" si="11"/>
        <v>8</v>
      </c>
      <c r="F327">
        <v>42.818899999999999</v>
      </c>
      <c r="G327">
        <v>43.108199999999997</v>
      </c>
      <c r="H327">
        <v>42.601900000000001</v>
      </c>
      <c r="I327">
        <v>42.963500000000003</v>
      </c>
      <c r="J327">
        <v>27638</v>
      </c>
      <c r="K327">
        <v>1.0152000000000001</v>
      </c>
      <c r="L327">
        <v>1.1884999999999999</v>
      </c>
    </row>
    <row r="328" spans="1:12" x14ac:dyDescent="0.25">
      <c r="A328">
        <v>2303</v>
      </c>
      <c r="B328" t="s">
        <v>10</v>
      </c>
      <c r="C328" s="1">
        <v>40421</v>
      </c>
      <c r="D328" s="2">
        <f t="shared" si="10"/>
        <v>2</v>
      </c>
      <c r="E328" s="2">
        <f t="shared" si="11"/>
        <v>8</v>
      </c>
      <c r="F328">
        <v>8.8511000000000006</v>
      </c>
      <c r="G328">
        <v>8.8511000000000006</v>
      </c>
      <c r="H328">
        <v>8.6808999999999994</v>
      </c>
      <c r="I328">
        <v>8.8511000000000006</v>
      </c>
      <c r="J328">
        <v>46569</v>
      </c>
      <c r="K328">
        <v>-0.38390000000000002</v>
      </c>
      <c r="L328">
        <v>1.9608000000000001</v>
      </c>
    </row>
    <row r="329" spans="1:12" hidden="1" x14ac:dyDescent="0.25">
      <c r="A329">
        <v>2330</v>
      </c>
      <c r="B329" t="s">
        <v>11</v>
      </c>
      <c r="C329" s="1">
        <v>40421</v>
      </c>
      <c r="D329" s="2">
        <f t="shared" si="10"/>
        <v>2</v>
      </c>
      <c r="E329" s="2">
        <f t="shared" si="11"/>
        <v>8</v>
      </c>
      <c r="F329">
        <v>42.674199999999999</v>
      </c>
      <c r="G329">
        <v>42.674199999999999</v>
      </c>
      <c r="H329">
        <v>42.240299999999998</v>
      </c>
      <c r="I329">
        <v>42.601900000000001</v>
      </c>
      <c r="J329">
        <v>78362</v>
      </c>
      <c r="K329">
        <v>-0.84530000000000005</v>
      </c>
      <c r="L329">
        <v>1.0274000000000001</v>
      </c>
    </row>
    <row r="330" spans="1:12" x14ac:dyDescent="0.25">
      <c r="A330">
        <v>2303</v>
      </c>
      <c r="B330" t="s">
        <v>10</v>
      </c>
      <c r="C330" s="1">
        <v>40422</v>
      </c>
      <c r="D330" s="2">
        <f t="shared" si="10"/>
        <v>3</v>
      </c>
      <c r="E330" s="2">
        <f t="shared" si="11"/>
        <v>9</v>
      </c>
      <c r="F330">
        <v>8.8850999999999996</v>
      </c>
      <c r="G330">
        <v>8.8850999999999996</v>
      </c>
      <c r="H330">
        <v>8.8170000000000002</v>
      </c>
      <c r="I330">
        <v>8.8170000000000002</v>
      </c>
      <c r="J330">
        <v>29639</v>
      </c>
      <c r="K330">
        <v>-0.38540000000000002</v>
      </c>
      <c r="L330">
        <v>0.7722</v>
      </c>
    </row>
    <row r="331" spans="1:12" hidden="1" x14ac:dyDescent="0.25">
      <c r="A331">
        <v>2330</v>
      </c>
      <c r="B331" t="s">
        <v>11</v>
      </c>
      <c r="C331" s="1">
        <v>40422</v>
      </c>
      <c r="D331" s="2">
        <f t="shared" si="10"/>
        <v>3</v>
      </c>
      <c r="E331" s="2">
        <f t="shared" si="11"/>
        <v>9</v>
      </c>
      <c r="F331">
        <v>42.891199999999998</v>
      </c>
      <c r="G331">
        <v>42.891199999999998</v>
      </c>
      <c r="H331">
        <v>42.4572</v>
      </c>
      <c r="I331">
        <v>42.746600000000001</v>
      </c>
      <c r="J331">
        <v>38480</v>
      </c>
      <c r="K331">
        <v>0.33900000000000002</v>
      </c>
      <c r="L331">
        <v>1.0221</v>
      </c>
    </row>
    <row r="332" spans="1:12" x14ac:dyDescent="0.25">
      <c r="A332">
        <v>2303</v>
      </c>
      <c r="B332" t="s">
        <v>10</v>
      </c>
      <c r="C332" s="1">
        <v>40423</v>
      </c>
      <c r="D332" s="2">
        <f t="shared" si="10"/>
        <v>4</v>
      </c>
      <c r="E332" s="2">
        <f t="shared" si="11"/>
        <v>9</v>
      </c>
      <c r="F332">
        <v>9.0213000000000001</v>
      </c>
      <c r="G332">
        <v>9.0553000000000008</v>
      </c>
      <c r="H332">
        <v>8.9191000000000003</v>
      </c>
      <c r="I332">
        <v>8.9871999999999996</v>
      </c>
      <c r="J332">
        <v>43603</v>
      </c>
      <c r="K332">
        <v>1.9120999999999999</v>
      </c>
      <c r="L332">
        <v>1.5266999999999999</v>
      </c>
    </row>
    <row r="333" spans="1:12" hidden="1" x14ac:dyDescent="0.25">
      <c r="A333">
        <v>2330</v>
      </c>
      <c r="B333" t="s">
        <v>11</v>
      </c>
      <c r="C333" s="1">
        <v>40423</v>
      </c>
      <c r="D333" s="2">
        <f t="shared" si="10"/>
        <v>4</v>
      </c>
      <c r="E333" s="2">
        <f t="shared" si="11"/>
        <v>9</v>
      </c>
      <c r="F333">
        <v>43.397500000000001</v>
      </c>
      <c r="G333">
        <v>43.469799999999999</v>
      </c>
      <c r="H333">
        <v>42.963500000000003</v>
      </c>
      <c r="I333">
        <v>43.035899999999998</v>
      </c>
      <c r="J333">
        <v>27402</v>
      </c>
      <c r="K333">
        <v>0.67449999999999999</v>
      </c>
      <c r="L333">
        <v>1.1785000000000001</v>
      </c>
    </row>
    <row r="334" spans="1:12" x14ac:dyDescent="0.25">
      <c r="A334">
        <v>2303</v>
      </c>
      <c r="B334" t="s">
        <v>10</v>
      </c>
      <c r="C334" s="1">
        <v>40424</v>
      </c>
      <c r="D334" s="2">
        <f t="shared" si="10"/>
        <v>5</v>
      </c>
      <c r="E334" s="2">
        <f t="shared" si="11"/>
        <v>9</v>
      </c>
      <c r="F334">
        <v>8.9871999999999996</v>
      </c>
      <c r="G334">
        <v>9.0893999999999995</v>
      </c>
      <c r="H334">
        <v>8.9871999999999996</v>
      </c>
      <c r="I334">
        <v>9.0893999999999995</v>
      </c>
      <c r="J334">
        <v>35005</v>
      </c>
      <c r="K334">
        <v>1.1299999999999999</v>
      </c>
      <c r="L334">
        <v>1.1364000000000001</v>
      </c>
    </row>
    <row r="335" spans="1:12" hidden="1" x14ac:dyDescent="0.25">
      <c r="A335">
        <v>2330</v>
      </c>
      <c r="B335" t="s">
        <v>11</v>
      </c>
      <c r="C335" s="1">
        <v>40424</v>
      </c>
      <c r="D335" s="2">
        <f t="shared" si="10"/>
        <v>5</v>
      </c>
      <c r="E335" s="2">
        <f t="shared" si="11"/>
        <v>9</v>
      </c>
      <c r="F335">
        <v>42.891199999999998</v>
      </c>
      <c r="G335">
        <v>43.325200000000002</v>
      </c>
      <c r="H335">
        <v>42.891199999999998</v>
      </c>
      <c r="I335">
        <v>43.252899999999997</v>
      </c>
      <c r="J335">
        <v>38339</v>
      </c>
      <c r="K335">
        <v>0.50290000000000001</v>
      </c>
      <c r="L335">
        <v>1.0118</v>
      </c>
    </row>
    <row r="336" spans="1:12" x14ac:dyDescent="0.25">
      <c r="A336">
        <v>2303</v>
      </c>
      <c r="B336" t="s">
        <v>10</v>
      </c>
      <c r="C336" s="1">
        <v>40427</v>
      </c>
      <c r="D336" s="2">
        <f t="shared" si="10"/>
        <v>1</v>
      </c>
      <c r="E336" s="2">
        <f t="shared" si="11"/>
        <v>9</v>
      </c>
      <c r="F336">
        <v>9.1234000000000002</v>
      </c>
      <c r="G336">
        <v>9.1574000000000009</v>
      </c>
      <c r="H336">
        <v>9.0213000000000001</v>
      </c>
      <c r="I336">
        <v>9.0553000000000008</v>
      </c>
      <c r="J336">
        <v>31672</v>
      </c>
      <c r="K336">
        <v>-0.37519999999999998</v>
      </c>
      <c r="L336">
        <v>1.5094000000000001</v>
      </c>
    </row>
    <row r="337" spans="1:12" hidden="1" x14ac:dyDescent="0.25">
      <c r="A337">
        <v>2330</v>
      </c>
      <c r="B337" t="s">
        <v>11</v>
      </c>
      <c r="C337" s="1">
        <v>40427</v>
      </c>
      <c r="D337" s="2">
        <f t="shared" si="10"/>
        <v>1</v>
      </c>
      <c r="E337" s="2">
        <f t="shared" si="11"/>
        <v>9</v>
      </c>
      <c r="F337">
        <v>43.686799999999998</v>
      </c>
      <c r="G337">
        <v>43.7592</v>
      </c>
      <c r="H337">
        <v>43.469799999999999</v>
      </c>
      <c r="I337">
        <v>43.7592</v>
      </c>
      <c r="J337">
        <v>28120</v>
      </c>
      <c r="K337">
        <v>1.1637999999999999</v>
      </c>
      <c r="L337">
        <v>0.66559999999999997</v>
      </c>
    </row>
    <row r="338" spans="1:12" x14ac:dyDescent="0.25">
      <c r="A338">
        <v>2303</v>
      </c>
      <c r="B338" t="s">
        <v>10</v>
      </c>
      <c r="C338" s="1">
        <v>40428</v>
      </c>
      <c r="D338" s="2">
        <f t="shared" si="10"/>
        <v>2</v>
      </c>
      <c r="E338" s="2">
        <f t="shared" si="11"/>
        <v>9</v>
      </c>
      <c r="F338">
        <v>9.0553000000000008</v>
      </c>
      <c r="G338">
        <v>9.0893999999999995</v>
      </c>
      <c r="H338">
        <v>8.9532000000000007</v>
      </c>
      <c r="I338">
        <v>8.9532000000000007</v>
      </c>
      <c r="J338">
        <v>33611</v>
      </c>
      <c r="K338">
        <v>-1.1342000000000001</v>
      </c>
      <c r="L338">
        <v>1.5208999999999999</v>
      </c>
    </row>
    <row r="339" spans="1:12" hidden="1" x14ac:dyDescent="0.25">
      <c r="A339">
        <v>2330</v>
      </c>
      <c r="B339" t="s">
        <v>11</v>
      </c>
      <c r="C339" s="1">
        <v>40428</v>
      </c>
      <c r="D339" s="2">
        <f t="shared" si="10"/>
        <v>2</v>
      </c>
      <c r="E339" s="2">
        <f t="shared" si="11"/>
        <v>9</v>
      </c>
      <c r="F339">
        <v>43.7592</v>
      </c>
      <c r="G339">
        <v>43.831499999999998</v>
      </c>
      <c r="H339">
        <v>43.469799999999999</v>
      </c>
      <c r="I339">
        <v>43.542200000000001</v>
      </c>
      <c r="J339">
        <v>20268</v>
      </c>
      <c r="K339">
        <v>-0.49709999999999999</v>
      </c>
      <c r="L339">
        <v>0.83189999999999997</v>
      </c>
    </row>
    <row r="340" spans="1:12" x14ac:dyDescent="0.25">
      <c r="A340">
        <v>2303</v>
      </c>
      <c r="B340" t="s">
        <v>10</v>
      </c>
      <c r="C340" s="1">
        <v>40429</v>
      </c>
      <c r="D340" s="2">
        <f t="shared" si="10"/>
        <v>3</v>
      </c>
      <c r="E340" s="2">
        <f t="shared" si="11"/>
        <v>9</v>
      </c>
      <c r="F340">
        <v>8.9191000000000003</v>
      </c>
      <c r="G340">
        <v>9.0213000000000001</v>
      </c>
      <c r="H340">
        <v>8.9191000000000003</v>
      </c>
      <c r="I340">
        <v>9.0213000000000001</v>
      </c>
      <c r="J340">
        <v>29979</v>
      </c>
      <c r="K340">
        <v>0.75760000000000005</v>
      </c>
      <c r="L340">
        <v>1.145</v>
      </c>
    </row>
    <row r="341" spans="1:12" hidden="1" x14ac:dyDescent="0.25">
      <c r="A341">
        <v>2330</v>
      </c>
      <c r="B341" t="s">
        <v>11</v>
      </c>
      <c r="C341" s="1">
        <v>40429</v>
      </c>
      <c r="D341" s="2">
        <f t="shared" si="10"/>
        <v>3</v>
      </c>
      <c r="E341" s="2">
        <f t="shared" si="11"/>
        <v>9</v>
      </c>
      <c r="F341">
        <v>43.108199999999997</v>
      </c>
      <c r="G341">
        <v>43.325200000000002</v>
      </c>
      <c r="H341">
        <v>42.601900000000001</v>
      </c>
      <c r="I341">
        <v>42.891199999999998</v>
      </c>
      <c r="J341">
        <v>67149</v>
      </c>
      <c r="K341">
        <v>-1.5063</v>
      </c>
      <c r="L341">
        <v>1.6978</v>
      </c>
    </row>
    <row r="342" spans="1:12" x14ac:dyDescent="0.25">
      <c r="A342">
        <v>2303</v>
      </c>
      <c r="B342" t="s">
        <v>10</v>
      </c>
      <c r="C342" s="1">
        <v>40430</v>
      </c>
      <c r="D342" s="2">
        <f t="shared" si="10"/>
        <v>4</v>
      </c>
      <c r="E342" s="2">
        <f t="shared" si="11"/>
        <v>9</v>
      </c>
      <c r="F342">
        <v>9.0553000000000008</v>
      </c>
      <c r="G342">
        <v>9.0893999999999995</v>
      </c>
      <c r="H342">
        <v>8.9871999999999996</v>
      </c>
      <c r="I342">
        <v>9.0213000000000001</v>
      </c>
      <c r="J342">
        <v>35200</v>
      </c>
      <c r="K342">
        <v>0</v>
      </c>
      <c r="L342">
        <v>1.1364000000000001</v>
      </c>
    </row>
    <row r="343" spans="1:12" hidden="1" x14ac:dyDescent="0.25">
      <c r="A343">
        <v>2330</v>
      </c>
      <c r="B343" t="s">
        <v>11</v>
      </c>
      <c r="C343" s="1">
        <v>40430</v>
      </c>
      <c r="D343" s="2">
        <f t="shared" si="10"/>
        <v>4</v>
      </c>
      <c r="E343" s="2">
        <f t="shared" si="11"/>
        <v>9</v>
      </c>
      <c r="F343">
        <v>43.180500000000002</v>
      </c>
      <c r="G343">
        <v>43.180500000000002</v>
      </c>
      <c r="H343">
        <v>42.818899999999999</v>
      </c>
      <c r="I343">
        <v>43.035899999999998</v>
      </c>
      <c r="J343">
        <v>21237</v>
      </c>
      <c r="K343">
        <v>0.3367</v>
      </c>
      <c r="L343">
        <v>0.84460000000000002</v>
      </c>
    </row>
    <row r="344" spans="1:12" x14ac:dyDescent="0.25">
      <c r="A344">
        <v>2303</v>
      </c>
      <c r="B344" t="s">
        <v>10</v>
      </c>
      <c r="C344" s="1">
        <v>40431</v>
      </c>
      <c r="D344" s="2">
        <f t="shared" si="10"/>
        <v>5</v>
      </c>
      <c r="E344" s="2">
        <f t="shared" si="11"/>
        <v>9</v>
      </c>
      <c r="F344">
        <v>9.0893999999999995</v>
      </c>
      <c r="G344">
        <v>9.1574000000000009</v>
      </c>
      <c r="H344">
        <v>9.0553000000000008</v>
      </c>
      <c r="I344">
        <v>9.1234000000000002</v>
      </c>
      <c r="J344">
        <v>45422</v>
      </c>
      <c r="K344">
        <v>1.1256999999999999</v>
      </c>
      <c r="L344">
        <v>1.1277999999999999</v>
      </c>
    </row>
    <row r="345" spans="1:12" hidden="1" x14ac:dyDescent="0.25">
      <c r="A345">
        <v>2330</v>
      </c>
      <c r="B345" t="s">
        <v>11</v>
      </c>
      <c r="C345" s="1">
        <v>40431</v>
      </c>
      <c r="D345" s="2">
        <f t="shared" si="10"/>
        <v>5</v>
      </c>
      <c r="E345" s="2">
        <f t="shared" si="11"/>
        <v>9</v>
      </c>
      <c r="F345">
        <v>43.035899999999998</v>
      </c>
      <c r="G345">
        <v>43.180500000000002</v>
      </c>
      <c r="H345">
        <v>42.746600000000001</v>
      </c>
      <c r="I345">
        <v>42.891199999999998</v>
      </c>
      <c r="J345">
        <v>32650</v>
      </c>
      <c r="K345">
        <v>-0.3367</v>
      </c>
      <c r="L345">
        <v>1.0152000000000001</v>
      </c>
    </row>
    <row r="346" spans="1:12" x14ac:dyDescent="0.25">
      <c r="A346">
        <v>2303</v>
      </c>
      <c r="B346" t="s">
        <v>10</v>
      </c>
      <c r="C346" s="1">
        <v>40434</v>
      </c>
      <c r="D346" s="2">
        <f t="shared" si="10"/>
        <v>1</v>
      </c>
      <c r="E346" s="2">
        <f t="shared" si="11"/>
        <v>9</v>
      </c>
      <c r="F346">
        <v>9.1574000000000009</v>
      </c>
      <c r="G346">
        <v>9.3277000000000001</v>
      </c>
      <c r="H346">
        <v>9.1574000000000009</v>
      </c>
      <c r="I346">
        <v>9.3277000000000001</v>
      </c>
      <c r="J346">
        <v>59445</v>
      </c>
      <c r="K346">
        <v>2.2141000000000002</v>
      </c>
      <c r="L346">
        <v>1.8587</v>
      </c>
    </row>
    <row r="347" spans="1:12" hidden="1" x14ac:dyDescent="0.25">
      <c r="A347">
        <v>2330</v>
      </c>
      <c r="B347" t="s">
        <v>11</v>
      </c>
      <c r="C347" s="1">
        <v>40434</v>
      </c>
      <c r="D347" s="2">
        <f t="shared" si="10"/>
        <v>1</v>
      </c>
      <c r="E347" s="2">
        <f t="shared" si="11"/>
        <v>9</v>
      </c>
      <c r="F347">
        <v>43.108199999999997</v>
      </c>
      <c r="G347">
        <v>44.048499999999997</v>
      </c>
      <c r="H347">
        <v>42.963500000000003</v>
      </c>
      <c r="I347">
        <v>44.048499999999997</v>
      </c>
      <c r="J347">
        <v>86955</v>
      </c>
      <c r="K347">
        <v>2.6623999999999999</v>
      </c>
      <c r="L347">
        <v>2.5253000000000001</v>
      </c>
    </row>
    <row r="348" spans="1:12" x14ac:dyDescent="0.25">
      <c r="A348">
        <v>2303</v>
      </c>
      <c r="B348" t="s">
        <v>10</v>
      </c>
      <c r="C348" s="1">
        <v>40435</v>
      </c>
      <c r="D348" s="2">
        <f t="shared" si="10"/>
        <v>2</v>
      </c>
      <c r="E348" s="2">
        <f t="shared" si="11"/>
        <v>9</v>
      </c>
      <c r="F348">
        <v>9.3617000000000008</v>
      </c>
      <c r="G348">
        <v>9.7702000000000009</v>
      </c>
      <c r="H348">
        <v>9.2935999999999996</v>
      </c>
      <c r="I348">
        <v>9.4978999999999996</v>
      </c>
      <c r="J348">
        <v>107191</v>
      </c>
      <c r="K348">
        <v>1.8084</v>
      </c>
      <c r="L348">
        <v>5.1281999999999996</v>
      </c>
    </row>
    <row r="349" spans="1:12" hidden="1" x14ac:dyDescent="0.25">
      <c r="A349">
        <v>2330</v>
      </c>
      <c r="B349" t="s">
        <v>11</v>
      </c>
      <c r="C349" s="1">
        <v>40435</v>
      </c>
      <c r="D349" s="2">
        <f t="shared" si="10"/>
        <v>2</v>
      </c>
      <c r="E349" s="2">
        <f t="shared" si="11"/>
        <v>9</v>
      </c>
      <c r="F349">
        <v>44.265500000000003</v>
      </c>
      <c r="G349">
        <v>44.265500000000003</v>
      </c>
      <c r="H349">
        <v>43.903799999999997</v>
      </c>
      <c r="I349">
        <v>44.120800000000003</v>
      </c>
      <c r="J349">
        <v>33545</v>
      </c>
      <c r="K349">
        <v>0.1641</v>
      </c>
      <c r="L349">
        <v>0.82369999999999999</v>
      </c>
    </row>
    <row r="350" spans="1:12" x14ac:dyDescent="0.25">
      <c r="A350">
        <v>2303</v>
      </c>
      <c r="B350" t="s">
        <v>10</v>
      </c>
      <c r="C350" s="1">
        <v>40436</v>
      </c>
      <c r="D350" s="2">
        <f t="shared" si="10"/>
        <v>3</v>
      </c>
      <c r="E350" s="2">
        <f t="shared" si="11"/>
        <v>9</v>
      </c>
      <c r="F350">
        <v>9.5319000000000003</v>
      </c>
      <c r="G350">
        <v>9.5319000000000003</v>
      </c>
      <c r="H350">
        <v>9.3277000000000001</v>
      </c>
      <c r="I350">
        <v>9.4298000000000002</v>
      </c>
      <c r="J350">
        <v>64199</v>
      </c>
      <c r="K350">
        <v>-0.71940000000000004</v>
      </c>
      <c r="L350">
        <v>2.1898</v>
      </c>
    </row>
    <row r="351" spans="1:12" hidden="1" x14ac:dyDescent="0.25">
      <c r="A351">
        <v>2330</v>
      </c>
      <c r="B351" t="s">
        <v>11</v>
      </c>
      <c r="C351" s="1">
        <v>40436</v>
      </c>
      <c r="D351" s="2">
        <f t="shared" si="10"/>
        <v>3</v>
      </c>
      <c r="E351" s="2">
        <f t="shared" si="11"/>
        <v>9</v>
      </c>
      <c r="F351">
        <v>44.265500000000003</v>
      </c>
      <c r="G351">
        <v>44.265500000000003</v>
      </c>
      <c r="H351">
        <v>43.7592</v>
      </c>
      <c r="I351">
        <v>44.265500000000003</v>
      </c>
      <c r="J351">
        <v>42375</v>
      </c>
      <c r="K351">
        <v>0.32729999999999998</v>
      </c>
      <c r="L351">
        <v>1.157</v>
      </c>
    </row>
    <row r="352" spans="1:12" x14ac:dyDescent="0.25">
      <c r="A352">
        <v>2303</v>
      </c>
      <c r="B352" t="s">
        <v>10</v>
      </c>
      <c r="C352" s="1">
        <v>40437</v>
      </c>
      <c r="D352" s="2">
        <f t="shared" si="10"/>
        <v>4</v>
      </c>
      <c r="E352" s="2">
        <f t="shared" si="11"/>
        <v>9</v>
      </c>
      <c r="F352">
        <v>9.4298000000000002</v>
      </c>
      <c r="G352">
        <v>9.4298000000000002</v>
      </c>
      <c r="H352">
        <v>9.3277000000000001</v>
      </c>
      <c r="I352">
        <v>9.3277000000000001</v>
      </c>
      <c r="J352">
        <v>27542</v>
      </c>
      <c r="K352">
        <v>-1.0889</v>
      </c>
      <c r="L352">
        <v>1.0949</v>
      </c>
    </row>
    <row r="353" spans="1:12" hidden="1" x14ac:dyDescent="0.25">
      <c r="A353">
        <v>2330</v>
      </c>
      <c r="B353" t="s">
        <v>11</v>
      </c>
      <c r="C353" s="1">
        <v>40437</v>
      </c>
      <c r="D353" s="2">
        <f t="shared" si="10"/>
        <v>4</v>
      </c>
      <c r="E353" s="2">
        <f t="shared" si="11"/>
        <v>9</v>
      </c>
      <c r="F353">
        <v>43.976199999999999</v>
      </c>
      <c r="G353">
        <v>44.120800000000003</v>
      </c>
      <c r="H353">
        <v>43.7592</v>
      </c>
      <c r="I353">
        <v>43.7592</v>
      </c>
      <c r="J353">
        <v>27918</v>
      </c>
      <c r="K353">
        <v>-1.1504000000000001</v>
      </c>
      <c r="L353">
        <v>0.82640000000000002</v>
      </c>
    </row>
    <row r="354" spans="1:12" x14ac:dyDescent="0.25">
      <c r="A354">
        <v>2303</v>
      </c>
      <c r="B354" t="s">
        <v>10</v>
      </c>
      <c r="C354" s="1">
        <v>40438</v>
      </c>
      <c r="D354" s="2">
        <f t="shared" si="10"/>
        <v>5</v>
      </c>
      <c r="E354" s="2">
        <f t="shared" si="11"/>
        <v>9</v>
      </c>
      <c r="F354">
        <v>9.3277000000000001</v>
      </c>
      <c r="G354">
        <v>9.4298000000000002</v>
      </c>
      <c r="H354">
        <v>9.3277000000000001</v>
      </c>
      <c r="I354">
        <v>9.3956999999999997</v>
      </c>
      <c r="J354">
        <v>47724</v>
      </c>
      <c r="K354">
        <v>0.72729999999999995</v>
      </c>
      <c r="L354">
        <v>1.0949</v>
      </c>
    </row>
    <row r="355" spans="1:12" hidden="1" x14ac:dyDescent="0.25">
      <c r="A355">
        <v>2330</v>
      </c>
      <c r="B355" t="s">
        <v>11</v>
      </c>
      <c r="C355" s="1">
        <v>40438</v>
      </c>
      <c r="D355" s="2">
        <f t="shared" si="10"/>
        <v>5</v>
      </c>
      <c r="E355" s="2">
        <f t="shared" si="11"/>
        <v>9</v>
      </c>
      <c r="F355">
        <v>44.120800000000003</v>
      </c>
      <c r="G355">
        <v>44.4101</v>
      </c>
      <c r="H355">
        <v>43.831499999999998</v>
      </c>
      <c r="I355">
        <v>44.265500000000003</v>
      </c>
      <c r="J355">
        <v>49430</v>
      </c>
      <c r="K355">
        <v>1.1504000000000001</v>
      </c>
      <c r="L355">
        <v>1.3201000000000001</v>
      </c>
    </row>
    <row r="356" spans="1:12" x14ac:dyDescent="0.25">
      <c r="A356">
        <v>2303</v>
      </c>
      <c r="B356" t="s">
        <v>10</v>
      </c>
      <c r="C356" s="1">
        <v>40441</v>
      </c>
      <c r="D356" s="2">
        <f t="shared" si="10"/>
        <v>1</v>
      </c>
      <c r="E356" s="2">
        <f t="shared" si="11"/>
        <v>9</v>
      </c>
      <c r="F356">
        <v>9.3617000000000008</v>
      </c>
      <c r="G356">
        <v>9.3956999999999997</v>
      </c>
      <c r="H356">
        <v>9.2935999999999996</v>
      </c>
      <c r="I356">
        <v>9.3617000000000008</v>
      </c>
      <c r="J356">
        <v>28362</v>
      </c>
      <c r="K356">
        <v>-0.36299999999999999</v>
      </c>
      <c r="L356">
        <v>1.0989</v>
      </c>
    </row>
    <row r="357" spans="1:12" hidden="1" x14ac:dyDescent="0.25">
      <c r="A357">
        <v>2330</v>
      </c>
      <c r="B357" t="s">
        <v>11</v>
      </c>
      <c r="C357" s="1">
        <v>40441</v>
      </c>
      <c r="D357" s="2">
        <f t="shared" si="10"/>
        <v>1</v>
      </c>
      <c r="E357" s="2">
        <f t="shared" si="11"/>
        <v>9</v>
      </c>
      <c r="F357">
        <v>44.482500000000002</v>
      </c>
      <c r="G357">
        <v>44.844099999999997</v>
      </c>
      <c r="H357">
        <v>44.337800000000001</v>
      </c>
      <c r="I357">
        <v>44.844099999999997</v>
      </c>
      <c r="J357">
        <v>66009</v>
      </c>
      <c r="K357">
        <v>1.2987</v>
      </c>
      <c r="L357">
        <v>1.1418999999999999</v>
      </c>
    </row>
    <row r="358" spans="1:12" x14ac:dyDescent="0.25">
      <c r="A358">
        <v>2303</v>
      </c>
      <c r="B358" t="s">
        <v>10</v>
      </c>
      <c r="C358" s="1">
        <v>40442</v>
      </c>
      <c r="D358" s="2">
        <f t="shared" si="10"/>
        <v>2</v>
      </c>
      <c r="E358" s="2">
        <f t="shared" si="11"/>
        <v>9</v>
      </c>
      <c r="F358">
        <v>9.4298000000000002</v>
      </c>
      <c r="G358">
        <v>9.5319000000000003</v>
      </c>
      <c r="H358">
        <v>9.3956999999999997</v>
      </c>
      <c r="I358">
        <v>9.4298000000000002</v>
      </c>
      <c r="J358">
        <v>24948</v>
      </c>
      <c r="K358">
        <v>0.72460000000000002</v>
      </c>
      <c r="L358">
        <v>1.4493</v>
      </c>
    </row>
    <row r="359" spans="1:12" hidden="1" x14ac:dyDescent="0.25">
      <c r="A359">
        <v>2330</v>
      </c>
      <c r="B359" t="s">
        <v>11</v>
      </c>
      <c r="C359" s="1">
        <v>40442</v>
      </c>
      <c r="D359" s="2">
        <f t="shared" si="10"/>
        <v>2</v>
      </c>
      <c r="E359" s="2">
        <f t="shared" si="11"/>
        <v>9</v>
      </c>
      <c r="F359">
        <v>45.061100000000003</v>
      </c>
      <c r="G359">
        <v>45.061100000000003</v>
      </c>
      <c r="H359">
        <v>44.5548</v>
      </c>
      <c r="I359">
        <v>44.699399999999997</v>
      </c>
      <c r="J359">
        <v>32745</v>
      </c>
      <c r="K359">
        <v>-0.3231</v>
      </c>
      <c r="L359">
        <v>1.1364000000000001</v>
      </c>
    </row>
    <row r="360" spans="1:12" x14ac:dyDescent="0.25">
      <c r="A360">
        <v>2303</v>
      </c>
      <c r="B360" t="s">
        <v>10</v>
      </c>
      <c r="C360" s="1">
        <v>40444</v>
      </c>
      <c r="D360" s="2">
        <f t="shared" si="10"/>
        <v>4</v>
      </c>
      <c r="E360" s="2">
        <f t="shared" si="11"/>
        <v>9</v>
      </c>
      <c r="F360">
        <v>9.4298000000000002</v>
      </c>
      <c r="G360">
        <v>9.4638000000000009</v>
      </c>
      <c r="H360">
        <v>9.3277000000000001</v>
      </c>
      <c r="I360">
        <v>9.4298000000000002</v>
      </c>
      <c r="J360">
        <v>27504</v>
      </c>
      <c r="K360">
        <v>0</v>
      </c>
      <c r="L360">
        <v>1.4599</v>
      </c>
    </row>
    <row r="361" spans="1:12" hidden="1" x14ac:dyDescent="0.25">
      <c r="A361">
        <v>2330</v>
      </c>
      <c r="B361" t="s">
        <v>11</v>
      </c>
      <c r="C361" s="1">
        <v>40444</v>
      </c>
      <c r="D361" s="2">
        <f t="shared" si="10"/>
        <v>4</v>
      </c>
      <c r="E361" s="2">
        <f t="shared" si="11"/>
        <v>9</v>
      </c>
      <c r="F361">
        <v>44.048499999999997</v>
      </c>
      <c r="G361">
        <v>44.048499999999997</v>
      </c>
      <c r="H361">
        <v>43.325200000000002</v>
      </c>
      <c r="I361">
        <v>43.397500000000001</v>
      </c>
      <c r="J361">
        <v>106308</v>
      </c>
      <c r="K361">
        <v>-2.9559000000000002</v>
      </c>
      <c r="L361">
        <v>1.6694</v>
      </c>
    </row>
    <row r="362" spans="1:12" x14ac:dyDescent="0.25">
      <c r="A362">
        <v>2303</v>
      </c>
      <c r="B362" t="s">
        <v>10</v>
      </c>
      <c r="C362" s="1">
        <v>40445</v>
      </c>
      <c r="D362" s="2">
        <f t="shared" si="10"/>
        <v>5</v>
      </c>
      <c r="E362" s="2">
        <f t="shared" si="11"/>
        <v>9</v>
      </c>
      <c r="F362">
        <v>9.3617000000000008</v>
      </c>
      <c r="G362">
        <v>9.3956999999999997</v>
      </c>
      <c r="H362">
        <v>9.2596000000000007</v>
      </c>
      <c r="I362">
        <v>9.3277000000000001</v>
      </c>
      <c r="J362">
        <v>50056</v>
      </c>
      <c r="K362">
        <v>-1.0889</v>
      </c>
      <c r="L362">
        <v>1.4705999999999999</v>
      </c>
    </row>
    <row r="363" spans="1:12" hidden="1" x14ac:dyDescent="0.25">
      <c r="A363">
        <v>2330</v>
      </c>
      <c r="B363" t="s">
        <v>11</v>
      </c>
      <c r="C363" s="1">
        <v>40445</v>
      </c>
      <c r="D363" s="2">
        <f t="shared" si="10"/>
        <v>5</v>
      </c>
      <c r="E363" s="2">
        <f t="shared" si="11"/>
        <v>9</v>
      </c>
      <c r="F363">
        <v>43.180500000000002</v>
      </c>
      <c r="G363">
        <v>43.542200000000001</v>
      </c>
      <c r="H363">
        <v>43.108199999999997</v>
      </c>
      <c r="I363">
        <v>43.469799999999999</v>
      </c>
      <c r="J363">
        <v>60417</v>
      </c>
      <c r="K363">
        <v>0.16650000000000001</v>
      </c>
      <c r="L363">
        <v>1.0066999999999999</v>
      </c>
    </row>
    <row r="364" spans="1:12" x14ac:dyDescent="0.25">
      <c r="A364">
        <v>2303</v>
      </c>
      <c r="B364" t="s">
        <v>10</v>
      </c>
      <c r="C364" s="1">
        <v>40448</v>
      </c>
      <c r="D364" s="2">
        <f t="shared" si="10"/>
        <v>1</v>
      </c>
      <c r="E364" s="2">
        <f t="shared" si="11"/>
        <v>9</v>
      </c>
      <c r="F364">
        <v>9.3956999999999997</v>
      </c>
      <c r="G364">
        <v>9.4298000000000002</v>
      </c>
      <c r="H364">
        <v>9.3277000000000001</v>
      </c>
      <c r="I364">
        <v>9.3617000000000008</v>
      </c>
      <c r="J364">
        <v>20780</v>
      </c>
      <c r="K364">
        <v>0.36430000000000001</v>
      </c>
      <c r="L364">
        <v>1.0949</v>
      </c>
    </row>
    <row r="365" spans="1:12" hidden="1" x14ac:dyDescent="0.25">
      <c r="A365">
        <v>2330</v>
      </c>
      <c r="B365" t="s">
        <v>11</v>
      </c>
      <c r="C365" s="1">
        <v>40448</v>
      </c>
      <c r="D365" s="2">
        <f t="shared" si="10"/>
        <v>1</v>
      </c>
      <c r="E365" s="2">
        <f t="shared" si="11"/>
        <v>9</v>
      </c>
      <c r="F365">
        <v>43.976199999999999</v>
      </c>
      <c r="G365">
        <v>43.976199999999999</v>
      </c>
      <c r="H365">
        <v>43.686799999999998</v>
      </c>
      <c r="I365">
        <v>43.903799999999997</v>
      </c>
      <c r="J365">
        <v>60795</v>
      </c>
      <c r="K365">
        <v>0.99339999999999995</v>
      </c>
      <c r="L365">
        <v>0.6623</v>
      </c>
    </row>
    <row r="366" spans="1:12" x14ac:dyDescent="0.25">
      <c r="A366">
        <v>2303</v>
      </c>
      <c r="B366" t="s">
        <v>10</v>
      </c>
      <c r="C366" s="1">
        <v>40449</v>
      </c>
      <c r="D366" s="2">
        <f t="shared" si="10"/>
        <v>2</v>
      </c>
      <c r="E366" s="2">
        <f t="shared" si="11"/>
        <v>9</v>
      </c>
      <c r="F366">
        <v>9.2596000000000007</v>
      </c>
      <c r="G366">
        <v>9.3617000000000008</v>
      </c>
      <c r="H366">
        <v>9.2596000000000007</v>
      </c>
      <c r="I366">
        <v>9.3617000000000008</v>
      </c>
      <c r="J366">
        <v>30846</v>
      </c>
      <c r="K366">
        <v>0</v>
      </c>
      <c r="L366">
        <v>1.1029</v>
      </c>
    </row>
    <row r="367" spans="1:12" hidden="1" x14ac:dyDescent="0.25">
      <c r="A367">
        <v>2330</v>
      </c>
      <c r="B367" t="s">
        <v>11</v>
      </c>
      <c r="C367" s="1">
        <v>40449</v>
      </c>
      <c r="D367" s="2">
        <f t="shared" si="10"/>
        <v>2</v>
      </c>
      <c r="E367" s="2">
        <f t="shared" si="11"/>
        <v>9</v>
      </c>
      <c r="F367">
        <v>43.903799999999997</v>
      </c>
      <c r="G367">
        <v>44.265500000000003</v>
      </c>
      <c r="H367">
        <v>43.831499999999998</v>
      </c>
      <c r="I367">
        <v>44.120800000000003</v>
      </c>
      <c r="J367">
        <v>48385</v>
      </c>
      <c r="K367">
        <v>0.49299999999999999</v>
      </c>
      <c r="L367">
        <v>0.99009999999999998</v>
      </c>
    </row>
    <row r="368" spans="1:12" x14ac:dyDescent="0.25">
      <c r="A368">
        <v>2303</v>
      </c>
      <c r="B368" t="s">
        <v>10</v>
      </c>
      <c r="C368" s="1">
        <v>40450</v>
      </c>
      <c r="D368" s="2">
        <f t="shared" si="10"/>
        <v>3</v>
      </c>
      <c r="E368" s="2">
        <f t="shared" si="11"/>
        <v>9</v>
      </c>
      <c r="F368">
        <v>9.3617000000000008</v>
      </c>
      <c r="G368">
        <v>9.4298000000000002</v>
      </c>
      <c r="H368">
        <v>9.3277000000000001</v>
      </c>
      <c r="I368">
        <v>9.3617000000000008</v>
      </c>
      <c r="J368">
        <v>40403</v>
      </c>
      <c r="K368">
        <v>0</v>
      </c>
      <c r="L368">
        <v>1.0949</v>
      </c>
    </row>
    <row r="369" spans="1:12" hidden="1" x14ac:dyDescent="0.25">
      <c r="A369">
        <v>2330</v>
      </c>
      <c r="B369" t="s">
        <v>11</v>
      </c>
      <c r="C369" s="1">
        <v>40450</v>
      </c>
      <c r="D369" s="2">
        <f t="shared" si="10"/>
        <v>3</v>
      </c>
      <c r="E369" s="2">
        <f t="shared" si="11"/>
        <v>9</v>
      </c>
      <c r="F369">
        <v>44.482500000000002</v>
      </c>
      <c r="G369">
        <v>44.771799999999999</v>
      </c>
      <c r="H369">
        <v>44.120800000000003</v>
      </c>
      <c r="I369">
        <v>44.482500000000002</v>
      </c>
      <c r="J369">
        <v>79797</v>
      </c>
      <c r="K369">
        <v>0.81630000000000003</v>
      </c>
      <c r="L369">
        <v>1.4754</v>
      </c>
    </row>
    <row r="370" spans="1:12" x14ac:dyDescent="0.25">
      <c r="A370">
        <v>2303</v>
      </c>
      <c r="B370" t="s">
        <v>10</v>
      </c>
      <c r="C370" s="1">
        <v>40451</v>
      </c>
      <c r="D370" s="2">
        <f t="shared" si="10"/>
        <v>4</v>
      </c>
      <c r="E370" s="2">
        <f t="shared" si="11"/>
        <v>9</v>
      </c>
      <c r="F370">
        <v>9.3956999999999997</v>
      </c>
      <c r="G370">
        <v>9.4638000000000009</v>
      </c>
      <c r="H370">
        <v>9.3617000000000008</v>
      </c>
      <c r="I370">
        <v>9.4298000000000002</v>
      </c>
      <c r="J370">
        <v>31348</v>
      </c>
      <c r="K370">
        <v>0.72460000000000002</v>
      </c>
      <c r="L370">
        <v>1.0909</v>
      </c>
    </row>
    <row r="371" spans="1:12" hidden="1" x14ac:dyDescent="0.25">
      <c r="A371">
        <v>2330</v>
      </c>
      <c r="B371" t="s">
        <v>11</v>
      </c>
      <c r="C371" s="1">
        <v>40451</v>
      </c>
      <c r="D371" s="2">
        <f t="shared" si="10"/>
        <v>4</v>
      </c>
      <c r="E371" s="2">
        <f t="shared" si="11"/>
        <v>9</v>
      </c>
      <c r="F371">
        <v>44.627099999999999</v>
      </c>
      <c r="G371">
        <v>44.844099999999997</v>
      </c>
      <c r="H371">
        <v>44.5548</v>
      </c>
      <c r="I371">
        <v>44.844099999999997</v>
      </c>
      <c r="J371">
        <v>59691</v>
      </c>
      <c r="K371">
        <v>0.80969999999999998</v>
      </c>
      <c r="L371">
        <v>0.64939999999999998</v>
      </c>
    </row>
    <row r="372" spans="1:12" x14ac:dyDescent="0.25">
      <c r="A372">
        <v>2303</v>
      </c>
      <c r="B372" t="s">
        <v>10</v>
      </c>
      <c r="C372" s="1">
        <v>40452</v>
      </c>
      <c r="D372" s="2">
        <f t="shared" si="10"/>
        <v>5</v>
      </c>
      <c r="E372" s="2">
        <f t="shared" si="11"/>
        <v>10</v>
      </c>
      <c r="F372">
        <v>9.4298000000000002</v>
      </c>
      <c r="G372">
        <v>9.4638000000000009</v>
      </c>
      <c r="H372">
        <v>9.3617000000000008</v>
      </c>
      <c r="I372">
        <v>9.4298000000000002</v>
      </c>
      <c r="J372">
        <v>19078</v>
      </c>
      <c r="K372">
        <v>0</v>
      </c>
      <c r="L372">
        <v>1.0909</v>
      </c>
    </row>
    <row r="373" spans="1:12" hidden="1" x14ac:dyDescent="0.25">
      <c r="A373">
        <v>2330</v>
      </c>
      <c r="B373" t="s">
        <v>11</v>
      </c>
      <c r="C373" s="1">
        <v>40452</v>
      </c>
      <c r="D373" s="2">
        <f t="shared" si="10"/>
        <v>5</v>
      </c>
      <c r="E373" s="2">
        <f t="shared" si="11"/>
        <v>10</v>
      </c>
      <c r="F373">
        <v>44.988799999999998</v>
      </c>
      <c r="G373">
        <v>45.061100000000003</v>
      </c>
      <c r="H373">
        <v>44.627099999999999</v>
      </c>
      <c r="I373">
        <v>44.844099999999997</v>
      </c>
      <c r="J373">
        <v>39000</v>
      </c>
      <c r="K373">
        <v>0</v>
      </c>
      <c r="L373">
        <v>0.97240000000000004</v>
      </c>
    </row>
    <row r="374" spans="1:12" x14ac:dyDescent="0.25">
      <c r="A374">
        <v>2303</v>
      </c>
      <c r="B374" t="s">
        <v>10</v>
      </c>
      <c r="C374" s="1">
        <v>40455</v>
      </c>
      <c r="D374" s="2">
        <f t="shared" si="10"/>
        <v>1</v>
      </c>
      <c r="E374" s="2">
        <f t="shared" si="11"/>
        <v>10</v>
      </c>
      <c r="F374">
        <v>9.4298000000000002</v>
      </c>
      <c r="G374">
        <v>9.4978999999999996</v>
      </c>
      <c r="H374">
        <v>9.3617000000000008</v>
      </c>
      <c r="I374">
        <v>9.3956999999999997</v>
      </c>
      <c r="J374">
        <v>32424</v>
      </c>
      <c r="K374">
        <v>-0.36170000000000002</v>
      </c>
      <c r="L374">
        <v>1.4544999999999999</v>
      </c>
    </row>
    <row r="375" spans="1:12" hidden="1" x14ac:dyDescent="0.25">
      <c r="A375">
        <v>2330</v>
      </c>
      <c r="B375" t="s">
        <v>11</v>
      </c>
      <c r="C375" s="1">
        <v>40455</v>
      </c>
      <c r="D375" s="2">
        <f t="shared" si="10"/>
        <v>1</v>
      </c>
      <c r="E375" s="2">
        <f t="shared" si="11"/>
        <v>10</v>
      </c>
      <c r="F375">
        <v>44.844099999999997</v>
      </c>
      <c r="G375">
        <v>44.916400000000003</v>
      </c>
      <c r="H375">
        <v>44.5548</v>
      </c>
      <c r="I375">
        <v>44.771799999999999</v>
      </c>
      <c r="J375">
        <v>25797</v>
      </c>
      <c r="K375">
        <v>-0.16139999999999999</v>
      </c>
      <c r="L375">
        <v>0.81169999999999998</v>
      </c>
    </row>
    <row r="376" spans="1:12" x14ac:dyDescent="0.25">
      <c r="A376">
        <v>2303</v>
      </c>
      <c r="B376" t="s">
        <v>10</v>
      </c>
      <c r="C376" s="1">
        <v>40456</v>
      </c>
      <c r="D376" s="2">
        <f t="shared" si="10"/>
        <v>2</v>
      </c>
      <c r="E376" s="2">
        <f t="shared" si="11"/>
        <v>10</v>
      </c>
      <c r="F376">
        <v>9.3617000000000008</v>
      </c>
      <c r="G376">
        <v>9.3956999999999997</v>
      </c>
      <c r="H376">
        <v>9.2935999999999996</v>
      </c>
      <c r="I376">
        <v>9.3277000000000001</v>
      </c>
      <c r="J376">
        <v>27064</v>
      </c>
      <c r="K376">
        <v>-0.72729999999999995</v>
      </c>
      <c r="L376">
        <v>1.0989</v>
      </c>
    </row>
    <row r="377" spans="1:12" hidden="1" x14ac:dyDescent="0.25">
      <c r="A377">
        <v>2330</v>
      </c>
      <c r="B377" t="s">
        <v>11</v>
      </c>
      <c r="C377" s="1">
        <v>40456</v>
      </c>
      <c r="D377" s="2">
        <f t="shared" si="10"/>
        <v>2</v>
      </c>
      <c r="E377" s="2">
        <f t="shared" si="11"/>
        <v>10</v>
      </c>
      <c r="F377">
        <v>44.627099999999999</v>
      </c>
      <c r="G377">
        <v>44.627099999999999</v>
      </c>
      <c r="H377">
        <v>44.048499999999997</v>
      </c>
      <c r="I377">
        <v>44.193100000000001</v>
      </c>
      <c r="J377">
        <v>30388</v>
      </c>
      <c r="K377">
        <v>-1.3008</v>
      </c>
      <c r="L377">
        <v>1.3136000000000001</v>
      </c>
    </row>
    <row r="378" spans="1:12" x14ac:dyDescent="0.25">
      <c r="A378">
        <v>2303</v>
      </c>
      <c r="B378" t="s">
        <v>10</v>
      </c>
      <c r="C378" s="1">
        <v>40457</v>
      </c>
      <c r="D378" s="2">
        <f t="shared" si="10"/>
        <v>3</v>
      </c>
      <c r="E378" s="2">
        <f t="shared" si="11"/>
        <v>10</v>
      </c>
      <c r="F378">
        <v>9.3956999999999997</v>
      </c>
      <c r="G378">
        <v>9.4978999999999996</v>
      </c>
      <c r="H378">
        <v>9.3617000000000008</v>
      </c>
      <c r="I378">
        <v>9.4638000000000009</v>
      </c>
      <c r="J378">
        <v>46540</v>
      </c>
      <c r="K378">
        <v>1.4493</v>
      </c>
      <c r="L378">
        <v>1.4544999999999999</v>
      </c>
    </row>
    <row r="379" spans="1:12" hidden="1" x14ac:dyDescent="0.25">
      <c r="A379">
        <v>2330</v>
      </c>
      <c r="B379" t="s">
        <v>11</v>
      </c>
      <c r="C379" s="1">
        <v>40457</v>
      </c>
      <c r="D379" s="2">
        <f t="shared" si="10"/>
        <v>3</v>
      </c>
      <c r="E379" s="2">
        <f t="shared" si="11"/>
        <v>10</v>
      </c>
      <c r="F379">
        <v>44.771799999999999</v>
      </c>
      <c r="G379">
        <v>44.844099999999997</v>
      </c>
      <c r="H379">
        <v>44.482500000000002</v>
      </c>
      <c r="I379">
        <v>44.699399999999997</v>
      </c>
      <c r="J379">
        <v>34183</v>
      </c>
      <c r="K379">
        <v>1.1391</v>
      </c>
      <c r="L379">
        <v>0.81299999999999994</v>
      </c>
    </row>
    <row r="380" spans="1:12" x14ac:dyDescent="0.25">
      <c r="A380">
        <v>2303</v>
      </c>
      <c r="B380" t="s">
        <v>10</v>
      </c>
      <c r="C380" s="1">
        <v>40458</v>
      </c>
      <c r="D380" s="2">
        <f t="shared" si="10"/>
        <v>4</v>
      </c>
      <c r="E380" s="2">
        <f t="shared" si="11"/>
        <v>10</v>
      </c>
      <c r="F380">
        <v>9.4638000000000009</v>
      </c>
      <c r="G380">
        <v>9.4978999999999996</v>
      </c>
      <c r="H380">
        <v>9.4298000000000002</v>
      </c>
      <c r="I380">
        <v>9.4638000000000009</v>
      </c>
      <c r="J380">
        <v>39067</v>
      </c>
      <c r="K380">
        <v>0</v>
      </c>
      <c r="L380">
        <v>0.72199999999999998</v>
      </c>
    </row>
    <row r="381" spans="1:12" hidden="1" x14ac:dyDescent="0.25">
      <c r="A381">
        <v>2330</v>
      </c>
      <c r="B381" t="s">
        <v>11</v>
      </c>
      <c r="C381" s="1">
        <v>40458</v>
      </c>
      <c r="D381" s="2">
        <f t="shared" si="10"/>
        <v>4</v>
      </c>
      <c r="E381" s="2">
        <f t="shared" si="11"/>
        <v>10</v>
      </c>
      <c r="F381">
        <v>44.4101</v>
      </c>
      <c r="G381">
        <v>44.627099999999999</v>
      </c>
      <c r="H381">
        <v>44.120800000000003</v>
      </c>
      <c r="I381">
        <v>44.337800000000001</v>
      </c>
      <c r="J381">
        <v>39333</v>
      </c>
      <c r="K381">
        <v>-0.81240000000000001</v>
      </c>
      <c r="L381">
        <v>1.1475</v>
      </c>
    </row>
    <row r="382" spans="1:12" x14ac:dyDescent="0.25">
      <c r="A382">
        <v>2303</v>
      </c>
      <c r="B382" t="s">
        <v>10</v>
      </c>
      <c r="C382" s="1">
        <v>40459</v>
      </c>
      <c r="D382" s="2">
        <f t="shared" si="10"/>
        <v>5</v>
      </c>
      <c r="E382" s="2">
        <f t="shared" si="11"/>
        <v>10</v>
      </c>
      <c r="F382">
        <v>9.5319000000000003</v>
      </c>
      <c r="G382">
        <v>9.5660000000000007</v>
      </c>
      <c r="H382">
        <v>9.4638000000000009</v>
      </c>
      <c r="I382">
        <v>9.4978999999999996</v>
      </c>
      <c r="J382">
        <v>34456</v>
      </c>
      <c r="K382">
        <v>0.35909999999999997</v>
      </c>
      <c r="L382">
        <v>1.0790999999999999</v>
      </c>
    </row>
    <row r="383" spans="1:12" hidden="1" x14ac:dyDescent="0.25">
      <c r="A383">
        <v>2330</v>
      </c>
      <c r="B383" t="s">
        <v>11</v>
      </c>
      <c r="C383" s="1">
        <v>40459</v>
      </c>
      <c r="D383" s="2">
        <f t="shared" si="10"/>
        <v>5</v>
      </c>
      <c r="E383" s="2">
        <f t="shared" si="11"/>
        <v>10</v>
      </c>
      <c r="F383">
        <v>44.120800000000003</v>
      </c>
      <c r="G383">
        <v>44.699399999999997</v>
      </c>
      <c r="H383">
        <v>44.120800000000003</v>
      </c>
      <c r="I383">
        <v>44.699399999999997</v>
      </c>
      <c r="J383">
        <v>58237</v>
      </c>
      <c r="K383">
        <v>0.81240000000000001</v>
      </c>
      <c r="L383">
        <v>1.3115000000000001</v>
      </c>
    </row>
    <row r="384" spans="1:12" x14ac:dyDescent="0.25">
      <c r="A384">
        <v>2303</v>
      </c>
      <c r="B384" t="s">
        <v>10</v>
      </c>
      <c r="C384" s="1">
        <v>40462</v>
      </c>
      <c r="D384" s="2">
        <f t="shared" si="10"/>
        <v>1</v>
      </c>
      <c r="E384" s="2">
        <f t="shared" si="11"/>
        <v>10</v>
      </c>
      <c r="F384">
        <v>9.5319000000000003</v>
      </c>
      <c r="G384">
        <v>9.5660000000000007</v>
      </c>
      <c r="H384">
        <v>9.4298000000000002</v>
      </c>
      <c r="I384">
        <v>9.4638000000000009</v>
      </c>
      <c r="J384">
        <v>24506</v>
      </c>
      <c r="K384">
        <v>-0.35909999999999997</v>
      </c>
      <c r="L384">
        <v>1.444</v>
      </c>
    </row>
    <row r="385" spans="1:12" hidden="1" x14ac:dyDescent="0.25">
      <c r="A385">
        <v>2330</v>
      </c>
      <c r="B385" t="s">
        <v>11</v>
      </c>
      <c r="C385" s="1">
        <v>40462</v>
      </c>
      <c r="D385" s="2">
        <f t="shared" si="10"/>
        <v>1</v>
      </c>
      <c r="E385" s="2">
        <f t="shared" si="11"/>
        <v>10</v>
      </c>
      <c r="F385">
        <v>44.844099999999997</v>
      </c>
      <c r="G385">
        <v>44.844099999999997</v>
      </c>
      <c r="H385">
        <v>44.193100000000001</v>
      </c>
      <c r="I385">
        <v>44.482500000000002</v>
      </c>
      <c r="J385">
        <v>24646</v>
      </c>
      <c r="K385">
        <v>-0.48659999999999998</v>
      </c>
      <c r="L385">
        <v>1.4730000000000001</v>
      </c>
    </row>
    <row r="386" spans="1:12" x14ac:dyDescent="0.25">
      <c r="A386">
        <v>2303</v>
      </c>
      <c r="B386" t="s">
        <v>10</v>
      </c>
      <c r="C386" s="1">
        <v>40463</v>
      </c>
      <c r="D386" s="2">
        <f t="shared" si="10"/>
        <v>2</v>
      </c>
      <c r="E386" s="2">
        <f t="shared" si="11"/>
        <v>10</v>
      </c>
      <c r="F386">
        <v>9.3956999999999997</v>
      </c>
      <c r="G386">
        <v>9.3956999999999997</v>
      </c>
      <c r="H386">
        <v>9.1914999999999996</v>
      </c>
      <c r="I386">
        <v>9.2596000000000007</v>
      </c>
      <c r="J386">
        <v>52090</v>
      </c>
      <c r="K386">
        <v>-2.1819000000000002</v>
      </c>
      <c r="L386">
        <v>2.2222</v>
      </c>
    </row>
    <row r="387" spans="1:12" hidden="1" x14ac:dyDescent="0.25">
      <c r="A387">
        <v>2330</v>
      </c>
      <c r="B387" t="s">
        <v>11</v>
      </c>
      <c r="C387" s="1">
        <v>40463</v>
      </c>
      <c r="D387" s="2">
        <f t="shared" ref="D387:D450" si="12">WEEKDAY(C387,2)</f>
        <v>2</v>
      </c>
      <c r="E387" s="2">
        <f t="shared" ref="E387:E450" si="13">MONTH(C387)</f>
        <v>10</v>
      </c>
      <c r="F387">
        <v>44.482500000000002</v>
      </c>
      <c r="G387">
        <v>44.482500000000002</v>
      </c>
      <c r="H387">
        <v>43.686799999999998</v>
      </c>
      <c r="I387">
        <v>44.120800000000003</v>
      </c>
      <c r="J387">
        <v>28094</v>
      </c>
      <c r="K387">
        <v>-0.81630000000000003</v>
      </c>
      <c r="L387">
        <v>1.8211999999999999</v>
      </c>
    </row>
    <row r="388" spans="1:12" x14ac:dyDescent="0.25">
      <c r="A388">
        <v>2303</v>
      </c>
      <c r="B388" t="s">
        <v>10</v>
      </c>
      <c r="C388" s="1">
        <v>40464</v>
      </c>
      <c r="D388" s="2">
        <f t="shared" si="12"/>
        <v>3</v>
      </c>
      <c r="E388" s="2">
        <f t="shared" si="13"/>
        <v>10</v>
      </c>
      <c r="F388">
        <v>9.3277000000000001</v>
      </c>
      <c r="G388">
        <v>9.3277000000000001</v>
      </c>
      <c r="H388">
        <v>9.1574000000000009</v>
      </c>
      <c r="I388">
        <v>9.1914999999999996</v>
      </c>
      <c r="J388">
        <v>45627</v>
      </c>
      <c r="K388">
        <v>-0.73799999999999999</v>
      </c>
      <c r="L388">
        <v>1.8587</v>
      </c>
    </row>
    <row r="389" spans="1:12" hidden="1" x14ac:dyDescent="0.25">
      <c r="A389">
        <v>2330</v>
      </c>
      <c r="B389" t="s">
        <v>11</v>
      </c>
      <c r="C389" s="1">
        <v>40464</v>
      </c>
      <c r="D389" s="2">
        <f t="shared" si="12"/>
        <v>3</v>
      </c>
      <c r="E389" s="2">
        <f t="shared" si="13"/>
        <v>10</v>
      </c>
      <c r="F389">
        <v>44.337800000000001</v>
      </c>
      <c r="G389">
        <v>44.337800000000001</v>
      </c>
      <c r="H389">
        <v>43.686799999999998</v>
      </c>
      <c r="I389">
        <v>44.120800000000003</v>
      </c>
      <c r="J389">
        <v>31040</v>
      </c>
      <c r="K389">
        <v>0</v>
      </c>
      <c r="L389">
        <v>1.4901</v>
      </c>
    </row>
    <row r="390" spans="1:12" x14ac:dyDescent="0.25">
      <c r="A390">
        <v>2303</v>
      </c>
      <c r="B390" t="s">
        <v>10</v>
      </c>
      <c r="C390" s="1">
        <v>40465</v>
      </c>
      <c r="D390" s="2">
        <f t="shared" si="12"/>
        <v>4</v>
      </c>
      <c r="E390" s="2">
        <f t="shared" si="13"/>
        <v>10</v>
      </c>
      <c r="F390">
        <v>9.2935999999999996</v>
      </c>
      <c r="G390">
        <v>9.3617000000000008</v>
      </c>
      <c r="H390">
        <v>9.2596000000000007</v>
      </c>
      <c r="I390">
        <v>9.3277000000000001</v>
      </c>
      <c r="J390">
        <v>32663</v>
      </c>
      <c r="K390">
        <v>1.4705999999999999</v>
      </c>
      <c r="L390">
        <v>1.1029</v>
      </c>
    </row>
    <row r="391" spans="1:12" hidden="1" x14ac:dyDescent="0.25">
      <c r="A391">
        <v>2330</v>
      </c>
      <c r="B391" t="s">
        <v>11</v>
      </c>
      <c r="C391" s="1">
        <v>40465</v>
      </c>
      <c r="D391" s="2">
        <f t="shared" si="12"/>
        <v>4</v>
      </c>
      <c r="E391" s="2">
        <f t="shared" si="13"/>
        <v>10</v>
      </c>
      <c r="F391">
        <v>44.4101</v>
      </c>
      <c r="G391">
        <v>44.844099999999997</v>
      </c>
      <c r="H391">
        <v>44.337800000000001</v>
      </c>
      <c r="I391">
        <v>44.699399999999997</v>
      </c>
      <c r="J391">
        <v>48827</v>
      </c>
      <c r="K391">
        <v>1.3029999999999999</v>
      </c>
      <c r="L391">
        <v>1.1418999999999999</v>
      </c>
    </row>
    <row r="392" spans="1:12" x14ac:dyDescent="0.25">
      <c r="A392">
        <v>2303</v>
      </c>
      <c r="B392" t="s">
        <v>10</v>
      </c>
      <c r="C392" s="1">
        <v>40466</v>
      </c>
      <c r="D392" s="2">
        <f t="shared" si="12"/>
        <v>5</v>
      </c>
      <c r="E392" s="2">
        <f t="shared" si="13"/>
        <v>10</v>
      </c>
      <c r="F392">
        <v>9.3617000000000008</v>
      </c>
      <c r="G392">
        <v>9.3617000000000008</v>
      </c>
      <c r="H392">
        <v>9.2255000000000003</v>
      </c>
      <c r="I392">
        <v>9.2935999999999996</v>
      </c>
      <c r="J392">
        <v>20074</v>
      </c>
      <c r="K392">
        <v>-0.36559999999999998</v>
      </c>
      <c r="L392">
        <v>1.476</v>
      </c>
    </row>
    <row r="393" spans="1:12" hidden="1" x14ac:dyDescent="0.25">
      <c r="A393">
        <v>2330</v>
      </c>
      <c r="B393" t="s">
        <v>11</v>
      </c>
      <c r="C393" s="1">
        <v>40466</v>
      </c>
      <c r="D393" s="2">
        <f t="shared" si="12"/>
        <v>5</v>
      </c>
      <c r="E393" s="2">
        <f t="shared" si="13"/>
        <v>10</v>
      </c>
      <c r="F393">
        <v>44.337800000000001</v>
      </c>
      <c r="G393">
        <v>44.771799999999999</v>
      </c>
      <c r="H393">
        <v>44.265500000000003</v>
      </c>
      <c r="I393">
        <v>44.771799999999999</v>
      </c>
      <c r="J393">
        <v>30492</v>
      </c>
      <c r="K393">
        <v>0.16170000000000001</v>
      </c>
      <c r="L393">
        <v>1.1437999999999999</v>
      </c>
    </row>
    <row r="394" spans="1:12" x14ac:dyDescent="0.25">
      <c r="A394">
        <v>2303</v>
      </c>
      <c r="B394" t="s">
        <v>10</v>
      </c>
      <c r="C394" s="1">
        <v>40469</v>
      </c>
      <c r="D394" s="2">
        <f t="shared" si="12"/>
        <v>1</v>
      </c>
      <c r="E394" s="2">
        <f t="shared" si="13"/>
        <v>10</v>
      </c>
      <c r="F394">
        <v>9.2935999999999996</v>
      </c>
      <c r="G394">
        <v>9.3277000000000001</v>
      </c>
      <c r="H394">
        <v>9.0893999999999995</v>
      </c>
      <c r="I394">
        <v>9.0893999999999995</v>
      </c>
      <c r="J394">
        <v>30407</v>
      </c>
      <c r="K394">
        <v>-2.2223000000000002</v>
      </c>
      <c r="L394">
        <v>2.6217000000000001</v>
      </c>
    </row>
    <row r="395" spans="1:12" hidden="1" x14ac:dyDescent="0.25">
      <c r="A395">
        <v>2330</v>
      </c>
      <c r="B395" t="s">
        <v>11</v>
      </c>
      <c r="C395" s="1">
        <v>40469</v>
      </c>
      <c r="D395" s="2">
        <f t="shared" si="12"/>
        <v>1</v>
      </c>
      <c r="E395" s="2">
        <f t="shared" si="13"/>
        <v>10</v>
      </c>
      <c r="F395">
        <v>44.4101</v>
      </c>
      <c r="G395">
        <v>44.699399999999997</v>
      </c>
      <c r="H395">
        <v>43.686799999999998</v>
      </c>
      <c r="I395">
        <v>43.7592</v>
      </c>
      <c r="J395">
        <v>32530</v>
      </c>
      <c r="K395">
        <v>-2.2877000000000001</v>
      </c>
      <c r="L395">
        <v>2.3178999999999998</v>
      </c>
    </row>
    <row r="396" spans="1:12" x14ac:dyDescent="0.25">
      <c r="A396">
        <v>2303</v>
      </c>
      <c r="B396" t="s">
        <v>10</v>
      </c>
      <c r="C396" s="1">
        <v>40470</v>
      </c>
      <c r="D396" s="2">
        <f t="shared" si="12"/>
        <v>2</v>
      </c>
      <c r="E396" s="2">
        <f t="shared" si="13"/>
        <v>10</v>
      </c>
      <c r="F396">
        <v>9.0893999999999995</v>
      </c>
      <c r="G396">
        <v>9.1234000000000002</v>
      </c>
      <c r="H396">
        <v>9.0553000000000008</v>
      </c>
      <c r="I396">
        <v>9.0893999999999995</v>
      </c>
      <c r="J396">
        <v>32551</v>
      </c>
      <c r="K396">
        <v>0</v>
      </c>
      <c r="L396">
        <v>0.75190000000000001</v>
      </c>
    </row>
    <row r="397" spans="1:12" hidden="1" x14ac:dyDescent="0.25">
      <c r="A397">
        <v>2330</v>
      </c>
      <c r="B397" t="s">
        <v>11</v>
      </c>
      <c r="C397" s="1">
        <v>40470</v>
      </c>
      <c r="D397" s="2">
        <f t="shared" si="12"/>
        <v>2</v>
      </c>
      <c r="E397" s="2">
        <f t="shared" si="13"/>
        <v>10</v>
      </c>
      <c r="F397">
        <v>43.831499999999998</v>
      </c>
      <c r="G397">
        <v>43.903799999999997</v>
      </c>
      <c r="H397">
        <v>43.469799999999999</v>
      </c>
      <c r="I397">
        <v>43.903799999999997</v>
      </c>
      <c r="J397">
        <v>36089</v>
      </c>
      <c r="K397">
        <v>0.33</v>
      </c>
      <c r="L397">
        <v>0.99829999999999997</v>
      </c>
    </row>
    <row r="398" spans="1:12" x14ac:dyDescent="0.25">
      <c r="A398">
        <v>2303</v>
      </c>
      <c r="B398" t="s">
        <v>10</v>
      </c>
      <c r="C398" s="1">
        <v>40471</v>
      </c>
      <c r="D398" s="2">
        <f t="shared" si="12"/>
        <v>3</v>
      </c>
      <c r="E398" s="2">
        <f t="shared" si="13"/>
        <v>10</v>
      </c>
      <c r="F398">
        <v>9.0553000000000008</v>
      </c>
      <c r="G398">
        <v>9.2596000000000007</v>
      </c>
      <c r="H398">
        <v>9.0213000000000001</v>
      </c>
      <c r="I398">
        <v>9.2255000000000003</v>
      </c>
      <c r="J398">
        <v>32001</v>
      </c>
      <c r="K398">
        <v>1.4870000000000001</v>
      </c>
      <c r="L398">
        <v>2.6415000000000002</v>
      </c>
    </row>
    <row r="399" spans="1:12" hidden="1" x14ac:dyDescent="0.25">
      <c r="A399">
        <v>2330</v>
      </c>
      <c r="B399" t="s">
        <v>11</v>
      </c>
      <c r="C399" s="1">
        <v>40471</v>
      </c>
      <c r="D399" s="2">
        <f t="shared" si="12"/>
        <v>3</v>
      </c>
      <c r="E399" s="2">
        <f t="shared" si="13"/>
        <v>10</v>
      </c>
      <c r="F399">
        <v>43.7592</v>
      </c>
      <c r="G399">
        <v>44.193100000000001</v>
      </c>
      <c r="H399">
        <v>43.686799999999998</v>
      </c>
      <c r="I399">
        <v>44.120800000000003</v>
      </c>
      <c r="J399">
        <v>34490</v>
      </c>
      <c r="K399">
        <v>0.49299999999999999</v>
      </c>
      <c r="L399">
        <v>1.1589</v>
      </c>
    </row>
    <row r="400" spans="1:12" x14ac:dyDescent="0.25">
      <c r="A400">
        <v>2303</v>
      </c>
      <c r="B400" t="s">
        <v>10</v>
      </c>
      <c r="C400" s="1">
        <v>40472</v>
      </c>
      <c r="D400" s="2">
        <f t="shared" si="12"/>
        <v>4</v>
      </c>
      <c r="E400" s="2">
        <f t="shared" si="13"/>
        <v>10</v>
      </c>
      <c r="F400">
        <v>9.2255000000000003</v>
      </c>
      <c r="G400">
        <v>9.2596000000000007</v>
      </c>
      <c r="H400">
        <v>9.0553000000000008</v>
      </c>
      <c r="I400">
        <v>9.0553000000000008</v>
      </c>
      <c r="J400">
        <v>26019</v>
      </c>
      <c r="K400">
        <v>-1.8623000000000001</v>
      </c>
      <c r="L400">
        <v>2.2555999999999998</v>
      </c>
    </row>
    <row r="401" spans="1:12" hidden="1" x14ac:dyDescent="0.25">
      <c r="A401">
        <v>2330</v>
      </c>
      <c r="B401" t="s">
        <v>11</v>
      </c>
      <c r="C401" s="1">
        <v>40472</v>
      </c>
      <c r="D401" s="2">
        <f t="shared" si="12"/>
        <v>4</v>
      </c>
      <c r="E401" s="2">
        <f t="shared" si="13"/>
        <v>10</v>
      </c>
      <c r="F401">
        <v>44.337800000000001</v>
      </c>
      <c r="G401">
        <v>44.4101</v>
      </c>
      <c r="H401">
        <v>43.976199999999999</v>
      </c>
      <c r="I401">
        <v>44.120800000000003</v>
      </c>
      <c r="J401">
        <v>40237</v>
      </c>
      <c r="K401">
        <v>0</v>
      </c>
      <c r="L401">
        <v>0.98680000000000001</v>
      </c>
    </row>
    <row r="402" spans="1:12" x14ac:dyDescent="0.25">
      <c r="A402">
        <v>2303</v>
      </c>
      <c r="B402" t="s">
        <v>10</v>
      </c>
      <c r="C402" s="1">
        <v>40473</v>
      </c>
      <c r="D402" s="2">
        <f t="shared" si="12"/>
        <v>5</v>
      </c>
      <c r="E402" s="2">
        <f t="shared" si="13"/>
        <v>10</v>
      </c>
      <c r="F402">
        <v>9.0893999999999995</v>
      </c>
      <c r="G402">
        <v>9.2255000000000003</v>
      </c>
      <c r="H402">
        <v>9.0893999999999995</v>
      </c>
      <c r="I402">
        <v>9.1234000000000002</v>
      </c>
      <c r="J402">
        <v>25606</v>
      </c>
      <c r="K402">
        <v>0.74909999999999999</v>
      </c>
      <c r="L402">
        <v>1.4981</v>
      </c>
    </row>
    <row r="403" spans="1:12" hidden="1" x14ac:dyDescent="0.25">
      <c r="A403">
        <v>2330</v>
      </c>
      <c r="B403" t="s">
        <v>11</v>
      </c>
      <c r="C403" s="1">
        <v>40473</v>
      </c>
      <c r="D403" s="2">
        <f t="shared" si="12"/>
        <v>5</v>
      </c>
      <c r="E403" s="2">
        <f t="shared" si="13"/>
        <v>10</v>
      </c>
      <c r="F403">
        <v>44.627099999999999</v>
      </c>
      <c r="G403">
        <v>44.699399999999997</v>
      </c>
      <c r="H403">
        <v>44.4101</v>
      </c>
      <c r="I403">
        <v>44.699399999999997</v>
      </c>
      <c r="J403">
        <v>42971</v>
      </c>
      <c r="K403">
        <v>1.3029999999999999</v>
      </c>
      <c r="L403">
        <v>0.65149999999999997</v>
      </c>
    </row>
    <row r="404" spans="1:12" x14ac:dyDescent="0.25">
      <c r="A404">
        <v>2303</v>
      </c>
      <c r="B404" t="s">
        <v>10</v>
      </c>
      <c r="C404" s="1">
        <v>40476</v>
      </c>
      <c r="D404" s="2">
        <f t="shared" si="12"/>
        <v>1</v>
      </c>
      <c r="E404" s="2">
        <f t="shared" si="13"/>
        <v>10</v>
      </c>
      <c r="F404">
        <v>9.1914999999999996</v>
      </c>
      <c r="G404">
        <v>9.4298000000000002</v>
      </c>
      <c r="H404">
        <v>9.1574000000000009</v>
      </c>
      <c r="I404">
        <v>9.4298000000000002</v>
      </c>
      <c r="J404">
        <v>68028</v>
      </c>
      <c r="K404">
        <v>3.3031000000000001</v>
      </c>
      <c r="L404">
        <v>2.9740000000000002</v>
      </c>
    </row>
    <row r="405" spans="1:12" hidden="1" x14ac:dyDescent="0.25">
      <c r="A405">
        <v>2330</v>
      </c>
      <c r="B405" t="s">
        <v>11</v>
      </c>
      <c r="C405" s="1">
        <v>40476</v>
      </c>
      <c r="D405" s="2">
        <f t="shared" si="12"/>
        <v>1</v>
      </c>
      <c r="E405" s="2">
        <f t="shared" si="13"/>
        <v>10</v>
      </c>
      <c r="F405">
        <v>44.844099999999997</v>
      </c>
      <c r="G405">
        <v>44.988799999999998</v>
      </c>
      <c r="H405">
        <v>44.699399999999997</v>
      </c>
      <c r="I405">
        <v>44.844099999999997</v>
      </c>
      <c r="J405">
        <v>38700</v>
      </c>
      <c r="K405">
        <v>0.3231</v>
      </c>
      <c r="L405">
        <v>0.6472</v>
      </c>
    </row>
    <row r="406" spans="1:12" x14ac:dyDescent="0.25">
      <c r="A406">
        <v>2303</v>
      </c>
      <c r="B406" t="s">
        <v>10</v>
      </c>
      <c r="C406" s="1">
        <v>40477</v>
      </c>
      <c r="D406" s="2">
        <f t="shared" si="12"/>
        <v>2</v>
      </c>
      <c r="E406" s="2">
        <f t="shared" si="13"/>
        <v>10</v>
      </c>
      <c r="F406">
        <v>9.4978999999999996</v>
      </c>
      <c r="G406">
        <v>9.5319000000000003</v>
      </c>
      <c r="H406">
        <v>9.3617000000000008</v>
      </c>
      <c r="I406">
        <v>9.4298000000000002</v>
      </c>
      <c r="J406">
        <v>45666</v>
      </c>
      <c r="K406">
        <v>0</v>
      </c>
      <c r="L406">
        <v>1.8182</v>
      </c>
    </row>
    <row r="407" spans="1:12" hidden="1" x14ac:dyDescent="0.25">
      <c r="A407">
        <v>2330</v>
      </c>
      <c r="B407" t="s">
        <v>11</v>
      </c>
      <c r="C407" s="1">
        <v>40477</v>
      </c>
      <c r="D407" s="2">
        <f t="shared" si="12"/>
        <v>2</v>
      </c>
      <c r="E407" s="2">
        <f t="shared" si="13"/>
        <v>10</v>
      </c>
      <c r="F407">
        <v>44.988799999999998</v>
      </c>
      <c r="G407">
        <v>45.061100000000003</v>
      </c>
      <c r="H407">
        <v>44.844099999999997</v>
      </c>
      <c r="I407">
        <v>45.061100000000003</v>
      </c>
      <c r="J407">
        <v>37964</v>
      </c>
      <c r="K407">
        <v>0.48270000000000002</v>
      </c>
      <c r="L407">
        <v>0.4839</v>
      </c>
    </row>
    <row r="408" spans="1:12" x14ac:dyDescent="0.25">
      <c r="A408">
        <v>2303</v>
      </c>
      <c r="B408" t="s">
        <v>10</v>
      </c>
      <c r="C408" s="1">
        <v>40478</v>
      </c>
      <c r="D408" s="2">
        <f t="shared" si="12"/>
        <v>3</v>
      </c>
      <c r="E408" s="2">
        <f t="shared" si="13"/>
        <v>10</v>
      </c>
      <c r="F408">
        <v>9.3956999999999997</v>
      </c>
      <c r="G408">
        <v>9.4298000000000002</v>
      </c>
      <c r="H408">
        <v>9.2935999999999996</v>
      </c>
      <c r="I408">
        <v>9.3956999999999997</v>
      </c>
      <c r="J408">
        <v>29918</v>
      </c>
      <c r="K408">
        <v>-0.36170000000000002</v>
      </c>
      <c r="L408">
        <v>1.4652000000000001</v>
      </c>
    </row>
    <row r="409" spans="1:12" hidden="1" x14ac:dyDescent="0.25">
      <c r="A409">
        <v>2330</v>
      </c>
      <c r="B409" t="s">
        <v>11</v>
      </c>
      <c r="C409" s="1">
        <v>40478</v>
      </c>
      <c r="D409" s="2">
        <f t="shared" si="12"/>
        <v>3</v>
      </c>
      <c r="E409" s="2">
        <f t="shared" si="13"/>
        <v>10</v>
      </c>
      <c r="F409">
        <v>45.061100000000003</v>
      </c>
      <c r="G409">
        <v>45.133400000000002</v>
      </c>
      <c r="H409">
        <v>44.771799999999999</v>
      </c>
      <c r="I409">
        <v>44.844099999999997</v>
      </c>
      <c r="J409">
        <v>28106</v>
      </c>
      <c r="K409">
        <v>-0.48270000000000002</v>
      </c>
      <c r="L409">
        <v>0.80779999999999996</v>
      </c>
    </row>
    <row r="410" spans="1:12" x14ac:dyDescent="0.25">
      <c r="A410">
        <v>2303</v>
      </c>
      <c r="B410" t="s">
        <v>10</v>
      </c>
      <c r="C410" s="1">
        <v>40479</v>
      </c>
      <c r="D410" s="2">
        <f t="shared" si="12"/>
        <v>4</v>
      </c>
      <c r="E410" s="2">
        <f t="shared" si="13"/>
        <v>10</v>
      </c>
      <c r="F410">
        <v>9.7702000000000009</v>
      </c>
      <c r="G410">
        <v>10.0426</v>
      </c>
      <c r="H410">
        <v>9.7020999999999997</v>
      </c>
      <c r="I410">
        <v>9.8383000000000003</v>
      </c>
      <c r="J410">
        <v>454580</v>
      </c>
      <c r="K410">
        <v>4.6025999999999998</v>
      </c>
      <c r="L410">
        <v>3.5087999999999999</v>
      </c>
    </row>
    <row r="411" spans="1:12" hidden="1" x14ac:dyDescent="0.25">
      <c r="A411">
        <v>2330</v>
      </c>
      <c r="B411" t="s">
        <v>11</v>
      </c>
      <c r="C411" s="1">
        <v>40479</v>
      </c>
      <c r="D411" s="2">
        <f t="shared" si="12"/>
        <v>4</v>
      </c>
      <c r="E411" s="2">
        <f t="shared" si="13"/>
        <v>10</v>
      </c>
      <c r="F411">
        <v>45.133400000000002</v>
      </c>
      <c r="G411">
        <v>45.567399999999999</v>
      </c>
      <c r="H411">
        <v>44.916400000000003</v>
      </c>
      <c r="I411">
        <v>45.3504</v>
      </c>
      <c r="J411">
        <v>62152</v>
      </c>
      <c r="K411">
        <v>1.1227</v>
      </c>
      <c r="L411">
        <v>1.4493</v>
      </c>
    </row>
    <row r="412" spans="1:12" x14ac:dyDescent="0.25">
      <c r="A412">
        <v>2303</v>
      </c>
      <c r="B412" t="s">
        <v>10</v>
      </c>
      <c r="C412" s="1">
        <v>40480</v>
      </c>
      <c r="D412" s="2">
        <f t="shared" si="12"/>
        <v>5</v>
      </c>
      <c r="E412" s="2">
        <f t="shared" si="13"/>
        <v>10</v>
      </c>
      <c r="F412">
        <v>9.8722999999999992</v>
      </c>
      <c r="G412">
        <v>9.9745000000000008</v>
      </c>
      <c r="H412">
        <v>9.7702000000000009</v>
      </c>
      <c r="I412">
        <v>9.9063999999999997</v>
      </c>
      <c r="J412">
        <v>232098</v>
      </c>
      <c r="K412">
        <v>0.68969999999999998</v>
      </c>
      <c r="L412">
        <v>2.0905999999999998</v>
      </c>
    </row>
    <row r="413" spans="1:12" hidden="1" x14ac:dyDescent="0.25">
      <c r="A413">
        <v>2330</v>
      </c>
      <c r="B413" t="s">
        <v>11</v>
      </c>
      <c r="C413" s="1">
        <v>40480</v>
      </c>
      <c r="D413" s="2">
        <f t="shared" si="12"/>
        <v>5</v>
      </c>
      <c r="E413" s="2">
        <f t="shared" si="13"/>
        <v>10</v>
      </c>
      <c r="F413">
        <v>45.567399999999999</v>
      </c>
      <c r="G413">
        <v>45.639699999999998</v>
      </c>
      <c r="H413">
        <v>45.205800000000004</v>
      </c>
      <c r="I413">
        <v>45.422699999999999</v>
      </c>
      <c r="J413">
        <v>67950</v>
      </c>
      <c r="K413">
        <v>0.15939999999999999</v>
      </c>
      <c r="L413">
        <v>0.96</v>
      </c>
    </row>
    <row r="414" spans="1:12" x14ac:dyDescent="0.25">
      <c r="A414">
        <v>2303</v>
      </c>
      <c r="B414" t="s">
        <v>10</v>
      </c>
      <c r="C414" s="1">
        <v>40483</v>
      </c>
      <c r="D414" s="2">
        <f t="shared" si="12"/>
        <v>1</v>
      </c>
      <c r="E414" s="2">
        <f t="shared" si="13"/>
        <v>11</v>
      </c>
      <c r="F414">
        <v>9.9404000000000003</v>
      </c>
      <c r="G414">
        <v>9.9745000000000008</v>
      </c>
      <c r="H414">
        <v>9.8042999999999996</v>
      </c>
      <c r="I414">
        <v>9.8042999999999996</v>
      </c>
      <c r="J414">
        <v>113523</v>
      </c>
      <c r="K414">
        <v>-1.0363</v>
      </c>
      <c r="L414">
        <v>1.7361</v>
      </c>
    </row>
    <row r="415" spans="1:12" hidden="1" x14ac:dyDescent="0.25">
      <c r="A415">
        <v>2330</v>
      </c>
      <c r="B415" t="s">
        <v>11</v>
      </c>
      <c r="C415" s="1">
        <v>40483</v>
      </c>
      <c r="D415" s="2">
        <f t="shared" si="12"/>
        <v>1</v>
      </c>
      <c r="E415" s="2">
        <f t="shared" si="13"/>
        <v>11</v>
      </c>
      <c r="F415">
        <v>45.856699999999996</v>
      </c>
      <c r="G415">
        <v>45.929000000000002</v>
      </c>
      <c r="H415">
        <v>45.567399999999999</v>
      </c>
      <c r="I415">
        <v>45.929000000000002</v>
      </c>
      <c r="J415">
        <v>76412</v>
      </c>
      <c r="K415">
        <v>1.1085</v>
      </c>
      <c r="L415">
        <v>0.79369999999999996</v>
      </c>
    </row>
    <row r="416" spans="1:12" x14ac:dyDescent="0.25">
      <c r="A416">
        <v>2303</v>
      </c>
      <c r="B416" t="s">
        <v>10</v>
      </c>
      <c r="C416" s="1">
        <v>40484</v>
      </c>
      <c r="D416" s="2">
        <f t="shared" si="12"/>
        <v>2</v>
      </c>
      <c r="E416" s="2">
        <f t="shared" si="13"/>
        <v>11</v>
      </c>
      <c r="F416">
        <v>9.7702000000000009</v>
      </c>
      <c r="G416">
        <v>9.9404000000000003</v>
      </c>
      <c r="H416">
        <v>9.7702000000000009</v>
      </c>
      <c r="I416">
        <v>9.8383000000000003</v>
      </c>
      <c r="J416">
        <v>74217</v>
      </c>
      <c r="K416">
        <v>0.34660000000000002</v>
      </c>
      <c r="L416">
        <v>1.7422</v>
      </c>
    </row>
    <row r="417" spans="1:12" hidden="1" x14ac:dyDescent="0.25">
      <c r="A417">
        <v>2330</v>
      </c>
      <c r="B417" t="s">
        <v>11</v>
      </c>
      <c r="C417" s="1">
        <v>40484</v>
      </c>
      <c r="D417" s="2">
        <f t="shared" si="12"/>
        <v>2</v>
      </c>
      <c r="E417" s="2">
        <f t="shared" si="13"/>
        <v>11</v>
      </c>
      <c r="F417">
        <v>45.567399999999999</v>
      </c>
      <c r="G417">
        <v>45.856699999999996</v>
      </c>
      <c r="H417">
        <v>45.567399999999999</v>
      </c>
      <c r="I417">
        <v>45.784399999999998</v>
      </c>
      <c r="J417">
        <v>24422</v>
      </c>
      <c r="K417">
        <v>-0.3155</v>
      </c>
      <c r="L417">
        <v>0.63490000000000002</v>
      </c>
    </row>
    <row r="418" spans="1:12" x14ac:dyDescent="0.25">
      <c r="A418">
        <v>2303</v>
      </c>
      <c r="B418" t="s">
        <v>10</v>
      </c>
      <c r="C418" s="1">
        <v>40485</v>
      </c>
      <c r="D418" s="2">
        <f t="shared" si="12"/>
        <v>3</v>
      </c>
      <c r="E418" s="2">
        <f t="shared" si="13"/>
        <v>11</v>
      </c>
      <c r="F418">
        <v>9.9063999999999997</v>
      </c>
      <c r="G418">
        <v>9.9404000000000003</v>
      </c>
      <c r="H418">
        <v>9.7362000000000002</v>
      </c>
      <c r="I418">
        <v>9.8042999999999996</v>
      </c>
      <c r="J418">
        <v>86425</v>
      </c>
      <c r="K418">
        <v>-0.34660000000000002</v>
      </c>
      <c r="L418">
        <v>2.0979000000000001</v>
      </c>
    </row>
    <row r="419" spans="1:12" hidden="1" x14ac:dyDescent="0.25">
      <c r="A419">
        <v>2330</v>
      </c>
      <c r="B419" t="s">
        <v>11</v>
      </c>
      <c r="C419" s="1">
        <v>40485</v>
      </c>
      <c r="D419" s="2">
        <f t="shared" si="12"/>
        <v>3</v>
      </c>
      <c r="E419" s="2">
        <f t="shared" si="13"/>
        <v>11</v>
      </c>
      <c r="F419">
        <v>45.929000000000002</v>
      </c>
      <c r="G419">
        <v>46.290700000000001</v>
      </c>
      <c r="H419">
        <v>45.784399999999998</v>
      </c>
      <c r="I419">
        <v>46.218400000000003</v>
      </c>
      <c r="J419">
        <v>45944</v>
      </c>
      <c r="K419">
        <v>0.94340000000000002</v>
      </c>
      <c r="L419">
        <v>1.1057999999999999</v>
      </c>
    </row>
    <row r="420" spans="1:12" x14ac:dyDescent="0.25">
      <c r="A420">
        <v>2303</v>
      </c>
      <c r="B420" t="s">
        <v>10</v>
      </c>
      <c r="C420" s="1">
        <v>40486</v>
      </c>
      <c r="D420" s="2">
        <f t="shared" si="12"/>
        <v>4</v>
      </c>
      <c r="E420" s="2">
        <f t="shared" si="13"/>
        <v>11</v>
      </c>
      <c r="F420">
        <v>9.8383000000000003</v>
      </c>
      <c r="G420">
        <v>10.1106</v>
      </c>
      <c r="H420">
        <v>9.8383000000000003</v>
      </c>
      <c r="I420">
        <v>10.1106</v>
      </c>
      <c r="J420">
        <v>162524</v>
      </c>
      <c r="K420">
        <v>3.0771999999999999</v>
      </c>
      <c r="L420">
        <v>2.7682000000000002</v>
      </c>
    </row>
    <row r="421" spans="1:12" hidden="1" x14ac:dyDescent="0.25">
      <c r="A421">
        <v>2330</v>
      </c>
      <c r="B421" t="s">
        <v>11</v>
      </c>
      <c r="C421" s="1">
        <v>40486</v>
      </c>
      <c r="D421" s="2">
        <f t="shared" si="12"/>
        <v>4</v>
      </c>
      <c r="E421" s="2">
        <f t="shared" si="13"/>
        <v>11</v>
      </c>
      <c r="F421">
        <v>46.218400000000003</v>
      </c>
      <c r="G421">
        <v>46.363</v>
      </c>
      <c r="H421">
        <v>46.001399999999997</v>
      </c>
      <c r="I421">
        <v>46.218400000000003</v>
      </c>
      <c r="J421">
        <v>32789</v>
      </c>
      <c r="K421">
        <v>0</v>
      </c>
      <c r="L421">
        <v>0.78620000000000001</v>
      </c>
    </row>
    <row r="422" spans="1:12" x14ac:dyDescent="0.25">
      <c r="A422">
        <v>2303</v>
      </c>
      <c r="B422" t="s">
        <v>10</v>
      </c>
      <c r="C422" s="1">
        <v>40487</v>
      </c>
      <c r="D422" s="2">
        <f t="shared" si="12"/>
        <v>5</v>
      </c>
      <c r="E422" s="2">
        <f t="shared" si="13"/>
        <v>11</v>
      </c>
      <c r="F422">
        <v>10.2128</v>
      </c>
      <c r="G422">
        <v>10.485099999999999</v>
      </c>
      <c r="H422">
        <v>10.1447</v>
      </c>
      <c r="I422">
        <v>10.485099999999999</v>
      </c>
      <c r="J422">
        <v>231845</v>
      </c>
      <c r="K422">
        <v>3.6368</v>
      </c>
      <c r="L422">
        <v>3.3557000000000001</v>
      </c>
    </row>
    <row r="423" spans="1:12" hidden="1" x14ac:dyDescent="0.25">
      <c r="A423">
        <v>2330</v>
      </c>
      <c r="B423" t="s">
        <v>11</v>
      </c>
      <c r="C423" s="1">
        <v>40487</v>
      </c>
      <c r="D423" s="2">
        <f t="shared" si="12"/>
        <v>5</v>
      </c>
      <c r="E423" s="2">
        <f t="shared" si="13"/>
        <v>11</v>
      </c>
      <c r="F423">
        <v>46.652299999999997</v>
      </c>
      <c r="G423">
        <v>46.724699999999999</v>
      </c>
      <c r="H423">
        <v>46.146000000000001</v>
      </c>
      <c r="I423">
        <v>46.435299999999998</v>
      </c>
      <c r="J423">
        <v>44439</v>
      </c>
      <c r="K423">
        <v>0.46839999999999998</v>
      </c>
      <c r="L423">
        <v>1.2539</v>
      </c>
    </row>
    <row r="424" spans="1:12" x14ac:dyDescent="0.25">
      <c r="A424">
        <v>2303</v>
      </c>
      <c r="B424" t="s">
        <v>10</v>
      </c>
      <c r="C424" s="1">
        <v>40490</v>
      </c>
      <c r="D424" s="2">
        <f t="shared" si="12"/>
        <v>1</v>
      </c>
      <c r="E424" s="2">
        <f t="shared" si="13"/>
        <v>11</v>
      </c>
      <c r="F424">
        <v>10.5532</v>
      </c>
      <c r="G424">
        <v>10.5532</v>
      </c>
      <c r="H424">
        <v>10.280900000000001</v>
      </c>
      <c r="I424">
        <v>10.3149</v>
      </c>
      <c r="J424">
        <v>76340</v>
      </c>
      <c r="K424">
        <v>-1.6367</v>
      </c>
      <c r="L424">
        <v>2.649</v>
      </c>
    </row>
    <row r="425" spans="1:12" hidden="1" x14ac:dyDescent="0.25">
      <c r="A425">
        <v>2330</v>
      </c>
      <c r="B425" t="s">
        <v>11</v>
      </c>
      <c r="C425" s="1">
        <v>40490</v>
      </c>
      <c r="D425" s="2">
        <f t="shared" si="12"/>
        <v>1</v>
      </c>
      <c r="E425" s="2">
        <f t="shared" si="13"/>
        <v>11</v>
      </c>
      <c r="F425">
        <v>46.435299999999998</v>
      </c>
      <c r="G425">
        <v>46.435299999999998</v>
      </c>
      <c r="H425">
        <v>45.639699999999998</v>
      </c>
      <c r="I425">
        <v>45.784399999999998</v>
      </c>
      <c r="J425">
        <v>25993</v>
      </c>
      <c r="K425">
        <v>-1.4117999999999999</v>
      </c>
      <c r="L425">
        <v>1.7433000000000001</v>
      </c>
    </row>
    <row r="426" spans="1:12" x14ac:dyDescent="0.25">
      <c r="A426">
        <v>2303</v>
      </c>
      <c r="B426" t="s">
        <v>10</v>
      </c>
      <c r="C426" s="1">
        <v>40491</v>
      </c>
      <c r="D426" s="2">
        <f t="shared" si="12"/>
        <v>2</v>
      </c>
      <c r="E426" s="2">
        <f t="shared" si="13"/>
        <v>11</v>
      </c>
      <c r="F426">
        <v>10.417</v>
      </c>
      <c r="G426">
        <v>10.485099999999999</v>
      </c>
      <c r="H426">
        <v>10.3149</v>
      </c>
      <c r="I426">
        <v>10.3489</v>
      </c>
      <c r="J426">
        <v>47305</v>
      </c>
      <c r="K426">
        <v>0.32950000000000002</v>
      </c>
      <c r="L426">
        <v>1.6501999999999999</v>
      </c>
    </row>
    <row r="427" spans="1:12" hidden="1" x14ac:dyDescent="0.25">
      <c r="A427">
        <v>2330</v>
      </c>
      <c r="B427" t="s">
        <v>11</v>
      </c>
      <c r="C427" s="1">
        <v>40491</v>
      </c>
      <c r="D427" s="2">
        <f t="shared" si="12"/>
        <v>2</v>
      </c>
      <c r="E427" s="2">
        <f t="shared" si="13"/>
        <v>11</v>
      </c>
      <c r="F427">
        <v>45.784399999999998</v>
      </c>
      <c r="G427">
        <v>46.290700000000001</v>
      </c>
      <c r="H427">
        <v>45.639699999999998</v>
      </c>
      <c r="I427">
        <v>46.290700000000001</v>
      </c>
      <c r="J427">
        <v>25859</v>
      </c>
      <c r="K427">
        <v>1.0998000000000001</v>
      </c>
      <c r="L427">
        <v>1.4262999999999999</v>
      </c>
    </row>
    <row r="428" spans="1:12" x14ac:dyDescent="0.25">
      <c r="A428">
        <v>2303</v>
      </c>
      <c r="B428" t="s">
        <v>10</v>
      </c>
      <c r="C428" s="1">
        <v>40492</v>
      </c>
      <c r="D428" s="2">
        <f t="shared" si="12"/>
        <v>3</v>
      </c>
      <c r="E428" s="2">
        <f t="shared" si="13"/>
        <v>11</v>
      </c>
      <c r="F428">
        <v>10.382999999999999</v>
      </c>
      <c r="G428">
        <v>10.417</v>
      </c>
      <c r="H428">
        <v>10.2468</v>
      </c>
      <c r="I428">
        <v>10.3489</v>
      </c>
      <c r="J428">
        <v>53151</v>
      </c>
      <c r="K428">
        <v>0</v>
      </c>
      <c r="L428">
        <v>1.6611</v>
      </c>
    </row>
    <row r="429" spans="1:12" hidden="1" x14ac:dyDescent="0.25">
      <c r="A429">
        <v>2330</v>
      </c>
      <c r="B429" t="s">
        <v>11</v>
      </c>
      <c r="C429" s="1">
        <v>40492</v>
      </c>
      <c r="D429" s="2">
        <f t="shared" si="12"/>
        <v>3</v>
      </c>
      <c r="E429" s="2">
        <f t="shared" si="13"/>
        <v>11</v>
      </c>
      <c r="F429">
        <v>46.290700000000001</v>
      </c>
      <c r="G429">
        <v>46.5077</v>
      </c>
      <c r="H429">
        <v>46.073700000000002</v>
      </c>
      <c r="I429">
        <v>46.435299999999998</v>
      </c>
      <c r="J429">
        <v>40350</v>
      </c>
      <c r="K429">
        <v>0.312</v>
      </c>
      <c r="L429">
        <v>0.94189999999999996</v>
      </c>
    </row>
    <row r="430" spans="1:12" x14ac:dyDescent="0.25">
      <c r="A430">
        <v>2303</v>
      </c>
      <c r="B430" t="s">
        <v>10</v>
      </c>
      <c r="C430" s="1">
        <v>40493</v>
      </c>
      <c r="D430" s="2">
        <f t="shared" si="12"/>
        <v>4</v>
      </c>
      <c r="E430" s="2">
        <f t="shared" si="13"/>
        <v>11</v>
      </c>
      <c r="F430">
        <v>10.382999999999999</v>
      </c>
      <c r="G430">
        <v>10.417</v>
      </c>
      <c r="H430">
        <v>10.2468</v>
      </c>
      <c r="I430">
        <v>10.2468</v>
      </c>
      <c r="J430">
        <v>46337</v>
      </c>
      <c r="K430">
        <v>-0.99170000000000003</v>
      </c>
      <c r="L430">
        <v>1.6611</v>
      </c>
    </row>
    <row r="431" spans="1:12" hidden="1" x14ac:dyDescent="0.25">
      <c r="A431">
        <v>2330</v>
      </c>
      <c r="B431" t="s">
        <v>11</v>
      </c>
      <c r="C431" s="1">
        <v>40493</v>
      </c>
      <c r="D431" s="2">
        <f t="shared" si="12"/>
        <v>4</v>
      </c>
      <c r="E431" s="2">
        <f t="shared" si="13"/>
        <v>11</v>
      </c>
      <c r="F431">
        <v>46.218400000000003</v>
      </c>
      <c r="G431">
        <v>46.435299999999998</v>
      </c>
      <c r="H431">
        <v>46.073700000000002</v>
      </c>
      <c r="I431">
        <v>46.073700000000002</v>
      </c>
      <c r="J431">
        <v>31729</v>
      </c>
      <c r="K431">
        <v>-0.78190000000000004</v>
      </c>
      <c r="L431">
        <v>0.78490000000000004</v>
      </c>
    </row>
    <row r="432" spans="1:12" x14ac:dyDescent="0.25">
      <c r="A432">
        <v>2303</v>
      </c>
      <c r="B432" t="s">
        <v>10</v>
      </c>
      <c r="C432" s="1">
        <v>40494</v>
      </c>
      <c r="D432" s="2">
        <f t="shared" si="12"/>
        <v>5</v>
      </c>
      <c r="E432" s="2">
        <f t="shared" si="13"/>
        <v>11</v>
      </c>
      <c r="F432">
        <v>10.2128</v>
      </c>
      <c r="G432">
        <v>10.2128</v>
      </c>
      <c r="H432">
        <v>9.9404000000000003</v>
      </c>
      <c r="I432">
        <v>9.9404000000000003</v>
      </c>
      <c r="J432">
        <v>75394</v>
      </c>
      <c r="K432">
        <v>-3.0356000000000001</v>
      </c>
      <c r="L432">
        <v>2.7397</v>
      </c>
    </row>
    <row r="433" spans="1:12" hidden="1" x14ac:dyDescent="0.25">
      <c r="A433">
        <v>2330</v>
      </c>
      <c r="B433" t="s">
        <v>11</v>
      </c>
      <c r="C433" s="1">
        <v>40494</v>
      </c>
      <c r="D433" s="2">
        <f t="shared" si="12"/>
        <v>5</v>
      </c>
      <c r="E433" s="2">
        <f t="shared" si="13"/>
        <v>11</v>
      </c>
      <c r="F433">
        <v>46.001399999999997</v>
      </c>
      <c r="G433">
        <v>46.290700000000001</v>
      </c>
      <c r="H433">
        <v>45.567399999999999</v>
      </c>
      <c r="I433">
        <v>45.567399999999999</v>
      </c>
      <c r="J433">
        <v>29717</v>
      </c>
      <c r="K433">
        <v>-1.105</v>
      </c>
      <c r="L433">
        <v>1.5872999999999999</v>
      </c>
    </row>
    <row r="434" spans="1:12" x14ac:dyDescent="0.25">
      <c r="A434">
        <v>2303</v>
      </c>
      <c r="B434" t="s">
        <v>10</v>
      </c>
      <c r="C434" s="1">
        <v>40497</v>
      </c>
      <c r="D434" s="2">
        <f t="shared" si="12"/>
        <v>1</v>
      </c>
      <c r="E434" s="2">
        <f t="shared" si="13"/>
        <v>11</v>
      </c>
      <c r="F434">
        <v>9.9404000000000003</v>
      </c>
      <c r="G434">
        <v>10.1106</v>
      </c>
      <c r="H434">
        <v>9.9404000000000003</v>
      </c>
      <c r="I434">
        <v>10.1106</v>
      </c>
      <c r="J434">
        <v>50422</v>
      </c>
      <c r="K434">
        <v>1.6978</v>
      </c>
      <c r="L434">
        <v>1.7122999999999999</v>
      </c>
    </row>
    <row r="435" spans="1:12" hidden="1" x14ac:dyDescent="0.25">
      <c r="A435">
        <v>2330</v>
      </c>
      <c r="B435" t="s">
        <v>11</v>
      </c>
      <c r="C435" s="1">
        <v>40497</v>
      </c>
      <c r="D435" s="2">
        <f t="shared" si="12"/>
        <v>1</v>
      </c>
      <c r="E435" s="2">
        <f t="shared" si="13"/>
        <v>11</v>
      </c>
      <c r="F435">
        <v>46.146000000000001</v>
      </c>
      <c r="G435">
        <v>46.290700000000001</v>
      </c>
      <c r="H435">
        <v>45.7121</v>
      </c>
      <c r="I435">
        <v>46.218400000000003</v>
      </c>
      <c r="J435">
        <v>27654</v>
      </c>
      <c r="K435">
        <v>1.4185000000000001</v>
      </c>
      <c r="L435">
        <v>1.2658</v>
      </c>
    </row>
    <row r="436" spans="1:12" x14ac:dyDescent="0.25">
      <c r="A436">
        <v>2303</v>
      </c>
      <c r="B436" t="s">
        <v>10</v>
      </c>
      <c r="C436" s="1">
        <v>40498</v>
      </c>
      <c r="D436" s="2">
        <f t="shared" si="12"/>
        <v>2</v>
      </c>
      <c r="E436" s="2">
        <f t="shared" si="13"/>
        <v>11</v>
      </c>
      <c r="F436">
        <v>10.178699999999999</v>
      </c>
      <c r="G436">
        <v>10.178699999999999</v>
      </c>
      <c r="H436">
        <v>10.0426</v>
      </c>
      <c r="I436">
        <v>10.178699999999999</v>
      </c>
      <c r="J436">
        <v>43916</v>
      </c>
      <c r="K436">
        <v>0.67110000000000003</v>
      </c>
      <c r="L436">
        <v>1.3559000000000001</v>
      </c>
    </row>
    <row r="437" spans="1:12" hidden="1" x14ac:dyDescent="0.25">
      <c r="A437">
        <v>2330</v>
      </c>
      <c r="B437" t="s">
        <v>11</v>
      </c>
      <c r="C437" s="1">
        <v>40498</v>
      </c>
      <c r="D437" s="2">
        <f t="shared" si="12"/>
        <v>2</v>
      </c>
      <c r="E437" s="2">
        <f t="shared" si="13"/>
        <v>11</v>
      </c>
      <c r="F437">
        <v>46.5077</v>
      </c>
      <c r="G437">
        <v>46.796999999999997</v>
      </c>
      <c r="H437">
        <v>46.363</v>
      </c>
      <c r="I437">
        <v>46.652299999999997</v>
      </c>
      <c r="J437">
        <v>57574</v>
      </c>
      <c r="K437">
        <v>0.93459999999999999</v>
      </c>
      <c r="L437">
        <v>0.93600000000000005</v>
      </c>
    </row>
    <row r="438" spans="1:12" x14ac:dyDescent="0.25">
      <c r="A438">
        <v>2303</v>
      </c>
      <c r="B438" t="s">
        <v>10</v>
      </c>
      <c r="C438" s="1">
        <v>40499</v>
      </c>
      <c r="D438" s="2">
        <f t="shared" si="12"/>
        <v>3</v>
      </c>
      <c r="E438" s="2">
        <f t="shared" si="13"/>
        <v>11</v>
      </c>
      <c r="F438">
        <v>10.1106</v>
      </c>
      <c r="G438">
        <v>10.178699999999999</v>
      </c>
      <c r="H438">
        <v>10.0085</v>
      </c>
      <c r="I438">
        <v>10.1447</v>
      </c>
      <c r="J438">
        <v>36654</v>
      </c>
      <c r="K438">
        <v>-0.33500000000000002</v>
      </c>
      <c r="L438">
        <v>1.7007000000000001</v>
      </c>
    </row>
    <row r="439" spans="1:12" hidden="1" x14ac:dyDescent="0.25">
      <c r="A439">
        <v>2330</v>
      </c>
      <c r="B439" t="s">
        <v>11</v>
      </c>
      <c r="C439" s="1">
        <v>40499</v>
      </c>
      <c r="D439" s="2">
        <f t="shared" si="12"/>
        <v>3</v>
      </c>
      <c r="E439" s="2">
        <f t="shared" si="13"/>
        <v>11</v>
      </c>
      <c r="F439">
        <v>46.435299999999998</v>
      </c>
      <c r="G439">
        <v>46.652299999999997</v>
      </c>
      <c r="H439">
        <v>46.001399999999997</v>
      </c>
      <c r="I439">
        <v>46.146000000000001</v>
      </c>
      <c r="J439">
        <v>51389</v>
      </c>
      <c r="K439">
        <v>-1.0911999999999999</v>
      </c>
      <c r="L439">
        <v>1.4151</v>
      </c>
    </row>
    <row r="440" spans="1:12" x14ac:dyDescent="0.25">
      <c r="A440">
        <v>2303</v>
      </c>
      <c r="B440" t="s">
        <v>10</v>
      </c>
      <c r="C440" s="1">
        <v>40500</v>
      </c>
      <c r="D440" s="2">
        <f t="shared" si="12"/>
        <v>4</v>
      </c>
      <c r="E440" s="2">
        <f t="shared" si="13"/>
        <v>11</v>
      </c>
      <c r="F440">
        <v>10.076599999999999</v>
      </c>
      <c r="G440">
        <v>10.076599999999999</v>
      </c>
      <c r="H440">
        <v>9.9063999999999997</v>
      </c>
      <c r="I440">
        <v>10.0085</v>
      </c>
      <c r="J440">
        <v>51395</v>
      </c>
      <c r="K440">
        <v>-1.3513999999999999</v>
      </c>
      <c r="L440">
        <v>1.7181999999999999</v>
      </c>
    </row>
    <row r="441" spans="1:12" hidden="1" x14ac:dyDescent="0.25">
      <c r="A441">
        <v>2330</v>
      </c>
      <c r="B441" t="s">
        <v>11</v>
      </c>
      <c r="C441" s="1">
        <v>40500</v>
      </c>
      <c r="D441" s="2">
        <f t="shared" si="12"/>
        <v>4</v>
      </c>
      <c r="E441" s="2">
        <f t="shared" si="13"/>
        <v>11</v>
      </c>
      <c r="F441">
        <v>46.073700000000002</v>
      </c>
      <c r="G441">
        <v>46.218400000000003</v>
      </c>
      <c r="H441">
        <v>45.567399999999999</v>
      </c>
      <c r="I441">
        <v>45.784399999999998</v>
      </c>
      <c r="J441">
        <v>39098</v>
      </c>
      <c r="K441">
        <v>-0.78680000000000005</v>
      </c>
      <c r="L441">
        <v>1.4286000000000001</v>
      </c>
    </row>
    <row r="442" spans="1:12" x14ac:dyDescent="0.25">
      <c r="A442">
        <v>2303</v>
      </c>
      <c r="B442" t="s">
        <v>10</v>
      </c>
      <c r="C442" s="1">
        <v>40501</v>
      </c>
      <c r="D442" s="2">
        <f t="shared" si="12"/>
        <v>5</v>
      </c>
      <c r="E442" s="2">
        <f t="shared" si="13"/>
        <v>11</v>
      </c>
      <c r="F442">
        <v>10.1447</v>
      </c>
      <c r="G442">
        <v>10.1447</v>
      </c>
      <c r="H442">
        <v>10.0085</v>
      </c>
      <c r="I442">
        <v>10.0085</v>
      </c>
      <c r="J442">
        <v>37459</v>
      </c>
      <c r="K442">
        <v>0</v>
      </c>
      <c r="L442">
        <v>1.3605</v>
      </c>
    </row>
    <row r="443" spans="1:12" hidden="1" x14ac:dyDescent="0.25">
      <c r="A443">
        <v>2330</v>
      </c>
      <c r="B443" t="s">
        <v>11</v>
      </c>
      <c r="C443" s="1">
        <v>40501</v>
      </c>
      <c r="D443" s="2">
        <f t="shared" si="12"/>
        <v>5</v>
      </c>
      <c r="E443" s="2">
        <f t="shared" si="13"/>
        <v>11</v>
      </c>
      <c r="F443">
        <v>46.001399999999997</v>
      </c>
      <c r="G443">
        <v>46.290700000000001</v>
      </c>
      <c r="H443">
        <v>45.567399999999999</v>
      </c>
      <c r="I443">
        <v>46.073700000000002</v>
      </c>
      <c r="J443">
        <v>23828</v>
      </c>
      <c r="K443">
        <v>0.62990000000000002</v>
      </c>
      <c r="L443">
        <v>1.5872999999999999</v>
      </c>
    </row>
    <row r="444" spans="1:12" x14ac:dyDescent="0.25">
      <c r="A444">
        <v>2303</v>
      </c>
      <c r="B444" t="s">
        <v>10</v>
      </c>
      <c r="C444" s="1">
        <v>40504</v>
      </c>
      <c r="D444" s="2">
        <f t="shared" si="12"/>
        <v>1</v>
      </c>
      <c r="E444" s="2">
        <f t="shared" si="13"/>
        <v>11</v>
      </c>
      <c r="F444">
        <v>10.1447</v>
      </c>
      <c r="G444">
        <v>10.3149</v>
      </c>
      <c r="H444">
        <v>10.0426</v>
      </c>
      <c r="I444">
        <v>10.2468</v>
      </c>
      <c r="J444">
        <v>56417</v>
      </c>
      <c r="K444">
        <v>2.3530000000000002</v>
      </c>
      <c r="L444">
        <v>2.7119</v>
      </c>
    </row>
    <row r="445" spans="1:12" hidden="1" x14ac:dyDescent="0.25">
      <c r="A445">
        <v>2330</v>
      </c>
      <c r="B445" t="s">
        <v>11</v>
      </c>
      <c r="C445" s="1">
        <v>40504</v>
      </c>
      <c r="D445" s="2">
        <f t="shared" si="12"/>
        <v>1</v>
      </c>
      <c r="E445" s="2">
        <f t="shared" si="13"/>
        <v>11</v>
      </c>
      <c r="F445">
        <v>46.001399999999997</v>
      </c>
      <c r="G445">
        <v>46.5077</v>
      </c>
      <c r="H445">
        <v>45.7121</v>
      </c>
      <c r="I445">
        <v>46.146000000000001</v>
      </c>
      <c r="J445">
        <v>25455</v>
      </c>
      <c r="K445">
        <v>0.15690000000000001</v>
      </c>
      <c r="L445">
        <v>1.7404999999999999</v>
      </c>
    </row>
    <row r="446" spans="1:12" x14ac:dyDescent="0.25">
      <c r="A446">
        <v>2303</v>
      </c>
      <c r="B446" t="s">
        <v>10</v>
      </c>
      <c r="C446" s="1">
        <v>40505</v>
      </c>
      <c r="D446" s="2">
        <f t="shared" si="12"/>
        <v>2</v>
      </c>
      <c r="E446" s="2">
        <f t="shared" si="13"/>
        <v>11</v>
      </c>
      <c r="F446">
        <v>10.2468</v>
      </c>
      <c r="G446">
        <v>10.280900000000001</v>
      </c>
      <c r="H446">
        <v>10.076599999999999</v>
      </c>
      <c r="I446">
        <v>10.076599999999999</v>
      </c>
      <c r="J446">
        <v>49746</v>
      </c>
      <c r="K446">
        <v>-1.6751</v>
      </c>
      <c r="L446">
        <v>2.0270000000000001</v>
      </c>
    </row>
    <row r="447" spans="1:12" hidden="1" x14ac:dyDescent="0.25">
      <c r="A447">
        <v>2330</v>
      </c>
      <c r="B447" t="s">
        <v>11</v>
      </c>
      <c r="C447" s="1">
        <v>40505</v>
      </c>
      <c r="D447" s="2">
        <f t="shared" si="12"/>
        <v>2</v>
      </c>
      <c r="E447" s="2">
        <f t="shared" si="13"/>
        <v>11</v>
      </c>
      <c r="F447">
        <v>46.073700000000002</v>
      </c>
      <c r="G447">
        <v>46.146000000000001</v>
      </c>
      <c r="H447">
        <v>45.784399999999998</v>
      </c>
      <c r="I447">
        <v>45.856699999999996</v>
      </c>
      <c r="J447">
        <v>31197</v>
      </c>
      <c r="K447">
        <v>-0.62890000000000001</v>
      </c>
      <c r="L447">
        <v>0.78990000000000005</v>
      </c>
    </row>
    <row r="448" spans="1:12" x14ac:dyDescent="0.25">
      <c r="A448">
        <v>2303</v>
      </c>
      <c r="B448" t="s">
        <v>10</v>
      </c>
      <c r="C448" s="1">
        <v>40506</v>
      </c>
      <c r="D448" s="2">
        <f t="shared" si="12"/>
        <v>3</v>
      </c>
      <c r="E448" s="2">
        <f t="shared" si="13"/>
        <v>11</v>
      </c>
      <c r="F448">
        <v>9.9404000000000003</v>
      </c>
      <c r="G448">
        <v>10.076599999999999</v>
      </c>
      <c r="H448">
        <v>9.9404000000000003</v>
      </c>
      <c r="I448">
        <v>9.9745000000000008</v>
      </c>
      <c r="J448">
        <v>34956</v>
      </c>
      <c r="K448">
        <v>-1.0186999999999999</v>
      </c>
      <c r="L448">
        <v>1.3698999999999999</v>
      </c>
    </row>
    <row r="449" spans="1:12" hidden="1" x14ac:dyDescent="0.25">
      <c r="A449">
        <v>2330</v>
      </c>
      <c r="B449" t="s">
        <v>11</v>
      </c>
      <c r="C449" s="1">
        <v>40506</v>
      </c>
      <c r="D449" s="2">
        <f t="shared" si="12"/>
        <v>3</v>
      </c>
      <c r="E449" s="2">
        <f t="shared" si="13"/>
        <v>11</v>
      </c>
      <c r="F449">
        <v>45.567399999999999</v>
      </c>
      <c r="G449">
        <v>46.290700000000001</v>
      </c>
      <c r="H449">
        <v>45.567399999999999</v>
      </c>
      <c r="I449">
        <v>45.7121</v>
      </c>
      <c r="J449">
        <v>29838</v>
      </c>
      <c r="K449">
        <v>-0.316</v>
      </c>
      <c r="L449">
        <v>1.5872999999999999</v>
      </c>
    </row>
    <row r="450" spans="1:12" x14ac:dyDescent="0.25">
      <c r="A450">
        <v>2303</v>
      </c>
      <c r="B450" t="s">
        <v>10</v>
      </c>
      <c r="C450" s="1">
        <v>40507</v>
      </c>
      <c r="D450" s="2">
        <f t="shared" si="12"/>
        <v>4</v>
      </c>
      <c r="E450" s="2">
        <f t="shared" si="13"/>
        <v>11</v>
      </c>
      <c r="F450">
        <v>10.076599999999999</v>
      </c>
      <c r="G450">
        <v>10.2128</v>
      </c>
      <c r="H450">
        <v>10.076599999999999</v>
      </c>
      <c r="I450">
        <v>10.2128</v>
      </c>
      <c r="J450">
        <v>55914</v>
      </c>
      <c r="K450">
        <v>2.3610000000000002</v>
      </c>
      <c r="L450">
        <v>1.3513999999999999</v>
      </c>
    </row>
    <row r="451" spans="1:12" hidden="1" x14ac:dyDescent="0.25">
      <c r="A451">
        <v>2330</v>
      </c>
      <c r="B451" t="s">
        <v>11</v>
      </c>
      <c r="C451" s="1">
        <v>40507</v>
      </c>
      <c r="D451" s="2">
        <f t="shared" ref="D451:D514" si="14">WEEKDAY(C451,2)</f>
        <v>4</v>
      </c>
      <c r="E451" s="2">
        <f t="shared" ref="E451:E514" si="15">MONTH(C451)</f>
        <v>11</v>
      </c>
      <c r="F451">
        <v>46.146000000000001</v>
      </c>
      <c r="G451">
        <v>46.652299999999997</v>
      </c>
      <c r="H451">
        <v>45.929000000000002</v>
      </c>
      <c r="I451">
        <v>46.58</v>
      </c>
      <c r="J451">
        <v>35239</v>
      </c>
      <c r="K451">
        <v>1.8809</v>
      </c>
      <c r="L451">
        <v>1.5748</v>
      </c>
    </row>
    <row r="452" spans="1:12" x14ac:dyDescent="0.25">
      <c r="A452">
        <v>2303</v>
      </c>
      <c r="B452" t="s">
        <v>10</v>
      </c>
      <c r="C452" s="1">
        <v>40508</v>
      </c>
      <c r="D452" s="2">
        <f t="shared" si="14"/>
        <v>5</v>
      </c>
      <c r="E452" s="2">
        <f t="shared" si="15"/>
        <v>11</v>
      </c>
      <c r="F452">
        <v>10.280900000000001</v>
      </c>
      <c r="G452">
        <v>10.3149</v>
      </c>
      <c r="H452">
        <v>10.1447</v>
      </c>
      <c r="I452">
        <v>10.1447</v>
      </c>
      <c r="J452">
        <v>57957</v>
      </c>
      <c r="K452">
        <v>-0.66890000000000005</v>
      </c>
      <c r="L452">
        <v>1.6778999999999999</v>
      </c>
    </row>
    <row r="453" spans="1:12" hidden="1" x14ac:dyDescent="0.25">
      <c r="A453">
        <v>2330</v>
      </c>
      <c r="B453" t="s">
        <v>11</v>
      </c>
      <c r="C453" s="1">
        <v>40508</v>
      </c>
      <c r="D453" s="2">
        <f t="shared" si="14"/>
        <v>5</v>
      </c>
      <c r="E453" s="2">
        <f t="shared" si="15"/>
        <v>11</v>
      </c>
      <c r="F453">
        <v>46.218400000000003</v>
      </c>
      <c r="G453">
        <v>46.652299999999997</v>
      </c>
      <c r="H453">
        <v>46.218400000000003</v>
      </c>
      <c r="I453">
        <v>46.58</v>
      </c>
      <c r="J453">
        <v>34464</v>
      </c>
      <c r="K453">
        <v>0</v>
      </c>
      <c r="L453">
        <v>0.93899999999999995</v>
      </c>
    </row>
    <row r="454" spans="1:12" x14ac:dyDescent="0.25">
      <c r="A454">
        <v>2303</v>
      </c>
      <c r="B454" t="s">
        <v>10</v>
      </c>
      <c r="C454" s="1">
        <v>40511</v>
      </c>
      <c r="D454" s="2">
        <f t="shared" si="14"/>
        <v>1</v>
      </c>
      <c r="E454" s="2">
        <f t="shared" si="15"/>
        <v>11</v>
      </c>
      <c r="F454">
        <v>10.280900000000001</v>
      </c>
      <c r="G454">
        <v>10.3149</v>
      </c>
      <c r="H454">
        <v>10.178699999999999</v>
      </c>
      <c r="I454">
        <v>10.280900000000001</v>
      </c>
      <c r="J454">
        <v>61919</v>
      </c>
      <c r="K454">
        <v>1.3333999999999999</v>
      </c>
      <c r="L454">
        <v>1.3378000000000001</v>
      </c>
    </row>
    <row r="455" spans="1:12" hidden="1" x14ac:dyDescent="0.25">
      <c r="A455">
        <v>2330</v>
      </c>
      <c r="B455" t="s">
        <v>11</v>
      </c>
      <c r="C455" s="1">
        <v>40511</v>
      </c>
      <c r="D455" s="2">
        <f t="shared" si="14"/>
        <v>1</v>
      </c>
      <c r="E455" s="2">
        <f t="shared" si="15"/>
        <v>11</v>
      </c>
      <c r="F455">
        <v>46.724699999999999</v>
      </c>
      <c r="G455">
        <v>46.796999999999997</v>
      </c>
      <c r="H455">
        <v>46.146000000000001</v>
      </c>
      <c r="I455">
        <v>46.5077</v>
      </c>
      <c r="J455">
        <v>35816</v>
      </c>
      <c r="K455">
        <v>-0.15540000000000001</v>
      </c>
      <c r="L455">
        <v>1.4107000000000001</v>
      </c>
    </row>
    <row r="456" spans="1:12" x14ac:dyDescent="0.25">
      <c r="A456">
        <v>2303</v>
      </c>
      <c r="B456" t="s">
        <v>10</v>
      </c>
      <c r="C456" s="1">
        <v>40512</v>
      </c>
      <c r="D456" s="2">
        <f t="shared" si="14"/>
        <v>2</v>
      </c>
      <c r="E456" s="2">
        <f t="shared" si="15"/>
        <v>11</v>
      </c>
      <c r="F456">
        <v>10.280900000000001</v>
      </c>
      <c r="G456">
        <v>10.4511</v>
      </c>
      <c r="H456">
        <v>10.2128</v>
      </c>
      <c r="I456">
        <v>10.280900000000001</v>
      </c>
      <c r="J456">
        <v>82690</v>
      </c>
      <c r="K456">
        <v>0</v>
      </c>
      <c r="L456">
        <v>2.3332999999999999</v>
      </c>
    </row>
    <row r="457" spans="1:12" hidden="1" x14ac:dyDescent="0.25">
      <c r="A457">
        <v>2330</v>
      </c>
      <c r="B457" t="s">
        <v>11</v>
      </c>
      <c r="C457" s="1">
        <v>40512</v>
      </c>
      <c r="D457" s="2">
        <f t="shared" si="14"/>
        <v>2</v>
      </c>
      <c r="E457" s="2">
        <f t="shared" si="15"/>
        <v>11</v>
      </c>
      <c r="F457">
        <v>46.146000000000001</v>
      </c>
      <c r="G457">
        <v>46.58</v>
      </c>
      <c r="H457">
        <v>45.856699999999996</v>
      </c>
      <c r="I457">
        <v>45.856699999999996</v>
      </c>
      <c r="J457">
        <v>70250</v>
      </c>
      <c r="K457">
        <v>-1.4096</v>
      </c>
      <c r="L457">
        <v>1.5772999999999999</v>
      </c>
    </row>
    <row r="458" spans="1:12" x14ac:dyDescent="0.25">
      <c r="A458">
        <v>2303</v>
      </c>
      <c r="B458" t="s">
        <v>10</v>
      </c>
      <c r="C458" s="1">
        <v>40513</v>
      </c>
      <c r="D458" s="2">
        <f t="shared" si="14"/>
        <v>3</v>
      </c>
      <c r="E458" s="2">
        <f t="shared" si="15"/>
        <v>12</v>
      </c>
      <c r="F458">
        <v>10.3489</v>
      </c>
      <c r="G458">
        <v>10.4511</v>
      </c>
      <c r="H458">
        <v>10.280900000000001</v>
      </c>
      <c r="I458">
        <v>10.4511</v>
      </c>
      <c r="J458">
        <v>64448</v>
      </c>
      <c r="K458">
        <v>1.6420999999999999</v>
      </c>
      <c r="L458">
        <v>1.6556</v>
      </c>
    </row>
    <row r="459" spans="1:12" hidden="1" x14ac:dyDescent="0.25">
      <c r="A459">
        <v>2330</v>
      </c>
      <c r="B459" t="s">
        <v>11</v>
      </c>
      <c r="C459" s="1">
        <v>40513</v>
      </c>
      <c r="D459" s="2">
        <f t="shared" si="14"/>
        <v>3</v>
      </c>
      <c r="E459" s="2">
        <f t="shared" si="15"/>
        <v>12</v>
      </c>
      <c r="F459">
        <v>46.146000000000001</v>
      </c>
      <c r="G459">
        <v>46.724699999999999</v>
      </c>
      <c r="H459">
        <v>46.146000000000001</v>
      </c>
      <c r="I459">
        <v>46.724699999999999</v>
      </c>
      <c r="J459">
        <v>58436</v>
      </c>
      <c r="K459">
        <v>1.8751</v>
      </c>
      <c r="L459">
        <v>1.2539</v>
      </c>
    </row>
    <row r="460" spans="1:12" x14ac:dyDescent="0.25">
      <c r="A460">
        <v>2303</v>
      </c>
      <c r="B460" t="s">
        <v>10</v>
      </c>
      <c r="C460" s="1">
        <v>40514</v>
      </c>
      <c r="D460" s="2">
        <f t="shared" si="14"/>
        <v>4</v>
      </c>
      <c r="E460" s="2">
        <f t="shared" si="15"/>
        <v>12</v>
      </c>
      <c r="F460">
        <v>10.6213</v>
      </c>
      <c r="G460">
        <v>10.9617</v>
      </c>
      <c r="H460">
        <v>10.587199999999999</v>
      </c>
      <c r="I460">
        <v>10.9617</v>
      </c>
      <c r="J460">
        <v>195992</v>
      </c>
      <c r="K460">
        <v>4.7704000000000004</v>
      </c>
      <c r="L460">
        <v>3.5369999999999999</v>
      </c>
    </row>
    <row r="461" spans="1:12" hidden="1" x14ac:dyDescent="0.25">
      <c r="A461">
        <v>2330</v>
      </c>
      <c r="B461" t="s">
        <v>11</v>
      </c>
      <c r="C461" s="1">
        <v>40514</v>
      </c>
      <c r="D461" s="2">
        <f t="shared" si="14"/>
        <v>4</v>
      </c>
      <c r="E461" s="2">
        <f t="shared" si="15"/>
        <v>12</v>
      </c>
      <c r="F461">
        <v>47.014000000000003</v>
      </c>
      <c r="G461">
        <v>48.026600000000002</v>
      </c>
      <c r="H461">
        <v>46.941699999999997</v>
      </c>
      <c r="I461">
        <v>47.881900000000002</v>
      </c>
      <c r="J461">
        <v>88027</v>
      </c>
      <c r="K461">
        <v>2.4466000000000001</v>
      </c>
      <c r="L461">
        <v>2.3111999999999999</v>
      </c>
    </row>
    <row r="462" spans="1:12" x14ac:dyDescent="0.25">
      <c r="A462">
        <v>2303</v>
      </c>
      <c r="B462" t="s">
        <v>10</v>
      </c>
      <c r="C462" s="1">
        <v>40515</v>
      </c>
      <c r="D462" s="2">
        <f t="shared" si="14"/>
        <v>5</v>
      </c>
      <c r="E462" s="2">
        <f t="shared" si="15"/>
        <v>12</v>
      </c>
      <c r="F462">
        <v>11.166</v>
      </c>
      <c r="G462">
        <v>11.472300000000001</v>
      </c>
      <c r="H462">
        <v>11.063800000000001</v>
      </c>
      <c r="I462">
        <v>11.166</v>
      </c>
      <c r="J462">
        <v>195816</v>
      </c>
      <c r="K462">
        <v>1.8462000000000001</v>
      </c>
      <c r="L462">
        <v>3.6922999999999999</v>
      </c>
    </row>
    <row r="463" spans="1:12" hidden="1" x14ac:dyDescent="0.25">
      <c r="A463">
        <v>2330</v>
      </c>
      <c r="B463" t="s">
        <v>11</v>
      </c>
      <c r="C463" s="1">
        <v>40515</v>
      </c>
      <c r="D463" s="2">
        <f t="shared" si="14"/>
        <v>5</v>
      </c>
      <c r="E463" s="2">
        <f t="shared" si="15"/>
        <v>12</v>
      </c>
      <c r="F463">
        <v>48.315899999999999</v>
      </c>
      <c r="G463">
        <v>50.630400000000002</v>
      </c>
      <c r="H463">
        <v>48.243600000000001</v>
      </c>
      <c r="I463">
        <v>49.400799999999997</v>
      </c>
      <c r="J463">
        <v>130917</v>
      </c>
      <c r="K463">
        <v>3.1229</v>
      </c>
      <c r="L463">
        <v>4.9474999999999998</v>
      </c>
    </row>
    <row r="464" spans="1:12" x14ac:dyDescent="0.25">
      <c r="A464">
        <v>2303</v>
      </c>
      <c r="B464" t="s">
        <v>10</v>
      </c>
      <c r="C464" s="1">
        <v>40518</v>
      </c>
      <c r="D464" s="2">
        <f t="shared" si="14"/>
        <v>1</v>
      </c>
      <c r="E464" s="2">
        <f t="shared" si="15"/>
        <v>12</v>
      </c>
      <c r="F464">
        <v>11.234</v>
      </c>
      <c r="G464">
        <v>11.302099999999999</v>
      </c>
      <c r="H464">
        <v>11.0298</v>
      </c>
      <c r="I464">
        <v>11.166</v>
      </c>
      <c r="J464">
        <v>77010</v>
      </c>
      <c r="K464">
        <v>0</v>
      </c>
      <c r="L464">
        <v>2.4691000000000001</v>
      </c>
    </row>
    <row r="465" spans="1:12" hidden="1" x14ac:dyDescent="0.25">
      <c r="A465">
        <v>2330</v>
      </c>
      <c r="B465" t="s">
        <v>11</v>
      </c>
      <c r="C465" s="1">
        <v>40518</v>
      </c>
      <c r="D465" s="2">
        <f t="shared" si="14"/>
        <v>1</v>
      </c>
      <c r="E465" s="2">
        <f t="shared" si="15"/>
        <v>12</v>
      </c>
      <c r="F465">
        <v>49.834800000000001</v>
      </c>
      <c r="G465">
        <v>50.268799999999999</v>
      </c>
      <c r="H465">
        <v>49.473199999999999</v>
      </c>
      <c r="I465">
        <v>49.545499999999997</v>
      </c>
      <c r="J465">
        <v>58841</v>
      </c>
      <c r="K465">
        <v>0.29239999999999999</v>
      </c>
      <c r="L465">
        <v>1.6082000000000001</v>
      </c>
    </row>
    <row r="466" spans="1:12" x14ac:dyDescent="0.25">
      <c r="A466">
        <v>2303</v>
      </c>
      <c r="B466" t="s">
        <v>10</v>
      </c>
      <c r="C466" s="1">
        <v>40519</v>
      </c>
      <c r="D466" s="2">
        <f t="shared" si="14"/>
        <v>2</v>
      </c>
      <c r="E466" s="2">
        <f t="shared" si="15"/>
        <v>12</v>
      </c>
      <c r="F466">
        <v>11.166</v>
      </c>
      <c r="G466">
        <v>11.166</v>
      </c>
      <c r="H466">
        <v>10.9277</v>
      </c>
      <c r="I466">
        <v>11.063800000000001</v>
      </c>
      <c r="J466">
        <v>73773</v>
      </c>
      <c r="K466">
        <v>-0.91879999999999995</v>
      </c>
      <c r="L466">
        <v>2.1806999999999999</v>
      </c>
    </row>
    <row r="467" spans="1:12" hidden="1" x14ac:dyDescent="0.25">
      <c r="A467">
        <v>2330</v>
      </c>
      <c r="B467" t="s">
        <v>11</v>
      </c>
      <c r="C467" s="1">
        <v>40519</v>
      </c>
      <c r="D467" s="2">
        <f t="shared" si="14"/>
        <v>2</v>
      </c>
      <c r="E467" s="2">
        <f t="shared" si="15"/>
        <v>12</v>
      </c>
      <c r="F467">
        <v>49.545499999999997</v>
      </c>
      <c r="G467">
        <v>49.617800000000003</v>
      </c>
      <c r="H467">
        <v>48.894500000000001</v>
      </c>
      <c r="I467">
        <v>49.183900000000001</v>
      </c>
      <c r="J467">
        <v>59039</v>
      </c>
      <c r="K467">
        <v>-0.73260000000000003</v>
      </c>
      <c r="L467">
        <v>1.4793000000000001</v>
      </c>
    </row>
    <row r="468" spans="1:12" x14ac:dyDescent="0.25">
      <c r="A468">
        <v>2303</v>
      </c>
      <c r="B468" t="s">
        <v>10</v>
      </c>
      <c r="C468" s="1">
        <v>40520</v>
      </c>
      <c r="D468" s="2">
        <f t="shared" si="14"/>
        <v>3</v>
      </c>
      <c r="E468" s="2">
        <f t="shared" si="15"/>
        <v>12</v>
      </c>
      <c r="F468">
        <v>11.097899999999999</v>
      </c>
      <c r="G468">
        <v>11.1319</v>
      </c>
      <c r="H468">
        <v>10.9617</v>
      </c>
      <c r="I468">
        <v>10.9617</v>
      </c>
      <c r="J468">
        <v>45074</v>
      </c>
      <c r="K468">
        <v>-0.9274</v>
      </c>
      <c r="L468">
        <v>1.5528</v>
      </c>
    </row>
    <row r="469" spans="1:12" hidden="1" x14ac:dyDescent="0.25">
      <c r="A469">
        <v>2330</v>
      </c>
      <c r="B469" t="s">
        <v>11</v>
      </c>
      <c r="C469" s="1">
        <v>40520</v>
      </c>
      <c r="D469" s="2">
        <f t="shared" si="14"/>
        <v>3</v>
      </c>
      <c r="E469" s="2">
        <f t="shared" si="15"/>
        <v>12</v>
      </c>
      <c r="F469">
        <v>49.617800000000003</v>
      </c>
      <c r="G469">
        <v>49.690199999999997</v>
      </c>
      <c r="H469">
        <v>49.039200000000001</v>
      </c>
      <c r="I469">
        <v>49.183900000000001</v>
      </c>
      <c r="J469">
        <v>47351</v>
      </c>
      <c r="K469">
        <v>0</v>
      </c>
      <c r="L469">
        <v>1.3273999999999999</v>
      </c>
    </row>
    <row r="470" spans="1:12" x14ac:dyDescent="0.25">
      <c r="A470">
        <v>2303</v>
      </c>
      <c r="B470" t="s">
        <v>10</v>
      </c>
      <c r="C470" s="1">
        <v>40521</v>
      </c>
      <c r="D470" s="2">
        <f t="shared" si="14"/>
        <v>4</v>
      </c>
      <c r="E470" s="2">
        <f t="shared" si="15"/>
        <v>12</v>
      </c>
      <c r="F470">
        <v>11.063800000000001</v>
      </c>
      <c r="G470">
        <v>11.404299999999999</v>
      </c>
      <c r="H470">
        <v>11.0298</v>
      </c>
      <c r="I470">
        <v>11.370200000000001</v>
      </c>
      <c r="J470">
        <v>115060</v>
      </c>
      <c r="K470">
        <v>3.6589</v>
      </c>
      <c r="L470">
        <v>3.3950999999999998</v>
      </c>
    </row>
    <row r="471" spans="1:12" hidden="1" x14ac:dyDescent="0.25">
      <c r="A471">
        <v>2330</v>
      </c>
      <c r="B471" t="s">
        <v>11</v>
      </c>
      <c r="C471" s="1">
        <v>40521</v>
      </c>
      <c r="D471" s="2">
        <f t="shared" si="14"/>
        <v>4</v>
      </c>
      <c r="E471" s="2">
        <f t="shared" si="15"/>
        <v>12</v>
      </c>
      <c r="F471">
        <v>49.9071</v>
      </c>
      <c r="G471">
        <v>50.702800000000003</v>
      </c>
      <c r="H471">
        <v>49.762500000000003</v>
      </c>
      <c r="I471">
        <v>50.630400000000002</v>
      </c>
      <c r="J471">
        <v>91627</v>
      </c>
      <c r="K471">
        <v>2.8988</v>
      </c>
      <c r="L471">
        <v>1.8895</v>
      </c>
    </row>
    <row r="472" spans="1:12" x14ac:dyDescent="0.25">
      <c r="A472">
        <v>2303</v>
      </c>
      <c r="B472" t="s">
        <v>10</v>
      </c>
      <c r="C472" s="1">
        <v>40522</v>
      </c>
      <c r="D472" s="2">
        <f t="shared" si="14"/>
        <v>5</v>
      </c>
      <c r="E472" s="2">
        <f t="shared" si="15"/>
        <v>12</v>
      </c>
      <c r="F472">
        <v>11.2681</v>
      </c>
      <c r="G472">
        <v>11.2681</v>
      </c>
      <c r="H472">
        <v>11.0298</v>
      </c>
      <c r="I472">
        <v>11.097899999999999</v>
      </c>
      <c r="J472">
        <v>62653</v>
      </c>
      <c r="K472">
        <v>-2.4243999999999999</v>
      </c>
      <c r="L472">
        <v>2.1604999999999999</v>
      </c>
    </row>
    <row r="473" spans="1:12" hidden="1" x14ac:dyDescent="0.25">
      <c r="A473">
        <v>2330</v>
      </c>
      <c r="B473" t="s">
        <v>11</v>
      </c>
      <c r="C473" s="1">
        <v>40522</v>
      </c>
      <c r="D473" s="2">
        <f t="shared" si="14"/>
        <v>5</v>
      </c>
      <c r="E473" s="2">
        <f t="shared" si="15"/>
        <v>12</v>
      </c>
      <c r="F473">
        <v>50.341099999999997</v>
      </c>
      <c r="G473">
        <v>50.558100000000003</v>
      </c>
      <c r="H473">
        <v>50.124099999999999</v>
      </c>
      <c r="I473">
        <v>50.413499999999999</v>
      </c>
      <c r="J473">
        <v>32865</v>
      </c>
      <c r="K473">
        <v>-0.42949999999999999</v>
      </c>
      <c r="L473">
        <v>0.86580000000000001</v>
      </c>
    </row>
    <row r="474" spans="1:12" x14ac:dyDescent="0.25">
      <c r="A474">
        <v>2303</v>
      </c>
      <c r="B474" t="s">
        <v>10</v>
      </c>
      <c r="C474" s="1">
        <v>40525</v>
      </c>
      <c r="D474" s="2">
        <f t="shared" si="14"/>
        <v>1</v>
      </c>
      <c r="E474" s="2">
        <f t="shared" si="15"/>
        <v>12</v>
      </c>
      <c r="F474">
        <v>11.234</v>
      </c>
      <c r="G474">
        <v>11.234</v>
      </c>
      <c r="H474">
        <v>11.0298</v>
      </c>
      <c r="I474">
        <v>11.0298</v>
      </c>
      <c r="J474">
        <v>34157</v>
      </c>
      <c r="K474">
        <v>-0.61539999999999995</v>
      </c>
      <c r="L474">
        <v>1.8519000000000001</v>
      </c>
    </row>
    <row r="475" spans="1:12" hidden="1" x14ac:dyDescent="0.25">
      <c r="A475">
        <v>2330</v>
      </c>
      <c r="B475" t="s">
        <v>11</v>
      </c>
      <c r="C475" s="1">
        <v>40525</v>
      </c>
      <c r="D475" s="2">
        <f t="shared" si="14"/>
        <v>1</v>
      </c>
      <c r="E475" s="2">
        <f t="shared" si="15"/>
        <v>12</v>
      </c>
      <c r="F475">
        <v>50.630400000000002</v>
      </c>
      <c r="G475">
        <v>50.919800000000002</v>
      </c>
      <c r="H475">
        <v>49.9071</v>
      </c>
      <c r="I475">
        <v>50.1965</v>
      </c>
      <c r="J475">
        <v>38255</v>
      </c>
      <c r="K475">
        <v>-0.43130000000000002</v>
      </c>
      <c r="L475">
        <v>2.0289999999999999</v>
      </c>
    </row>
    <row r="476" spans="1:12" x14ac:dyDescent="0.25">
      <c r="A476">
        <v>2303</v>
      </c>
      <c r="B476" t="s">
        <v>10</v>
      </c>
      <c r="C476" s="1">
        <v>40526</v>
      </c>
      <c r="D476" s="2">
        <f t="shared" si="14"/>
        <v>2</v>
      </c>
      <c r="E476" s="2">
        <f t="shared" si="15"/>
        <v>12</v>
      </c>
      <c r="F476">
        <v>11.0298</v>
      </c>
      <c r="G476">
        <v>11.097899999999999</v>
      </c>
      <c r="H476">
        <v>10.893599999999999</v>
      </c>
      <c r="I476">
        <v>10.9277</v>
      </c>
      <c r="J476">
        <v>63379</v>
      </c>
      <c r="K476">
        <v>-0.93020000000000003</v>
      </c>
      <c r="L476">
        <v>1.875</v>
      </c>
    </row>
    <row r="477" spans="1:12" hidden="1" x14ac:dyDescent="0.25">
      <c r="A477">
        <v>2330</v>
      </c>
      <c r="B477" t="s">
        <v>11</v>
      </c>
      <c r="C477" s="1">
        <v>40526</v>
      </c>
      <c r="D477" s="2">
        <f t="shared" si="14"/>
        <v>2</v>
      </c>
      <c r="E477" s="2">
        <f t="shared" si="15"/>
        <v>12</v>
      </c>
      <c r="F477">
        <v>50.558100000000003</v>
      </c>
      <c r="G477">
        <v>50.558100000000003</v>
      </c>
      <c r="H477">
        <v>49.690199999999997</v>
      </c>
      <c r="I477">
        <v>49.9071</v>
      </c>
      <c r="J477">
        <v>58489</v>
      </c>
      <c r="K477">
        <v>-0.57799999999999996</v>
      </c>
      <c r="L477">
        <v>1.7466999999999999</v>
      </c>
    </row>
    <row r="478" spans="1:12" x14ac:dyDescent="0.25">
      <c r="A478">
        <v>2303</v>
      </c>
      <c r="B478" t="s">
        <v>10</v>
      </c>
      <c r="C478" s="1">
        <v>40527</v>
      </c>
      <c r="D478" s="2">
        <f t="shared" si="14"/>
        <v>3</v>
      </c>
      <c r="E478" s="2">
        <f t="shared" si="15"/>
        <v>12</v>
      </c>
      <c r="F478">
        <v>10.9277</v>
      </c>
      <c r="G478">
        <v>11.063800000000001</v>
      </c>
      <c r="H478">
        <v>10.893599999999999</v>
      </c>
      <c r="I478">
        <v>11.063800000000001</v>
      </c>
      <c r="J478">
        <v>47166</v>
      </c>
      <c r="K478">
        <v>1.2383999999999999</v>
      </c>
      <c r="L478">
        <v>1.5625</v>
      </c>
    </row>
    <row r="479" spans="1:12" hidden="1" x14ac:dyDescent="0.25">
      <c r="A479">
        <v>2330</v>
      </c>
      <c r="B479" t="s">
        <v>11</v>
      </c>
      <c r="C479" s="1">
        <v>40527</v>
      </c>
      <c r="D479" s="2">
        <f t="shared" si="14"/>
        <v>3</v>
      </c>
      <c r="E479" s="2">
        <f t="shared" si="15"/>
        <v>12</v>
      </c>
      <c r="F479">
        <v>49.617800000000003</v>
      </c>
      <c r="G479">
        <v>50.702800000000003</v>
      </c>
      <c r="H479">
        <v>49.545499999999997</v>
      </c>
      <c r="I479">
        <v>50.630400000000002</v>
      </c>
      <c r="J479">
        <v>57589</v>
      </c>
      <c r="K479">
        <v>1.4389000000000001</v>
      </c>
      <c r="L479">
        <v>2.3357999999999999</v>
      </c>
    </row>
    <row r="480" spans="1:12" x14ac:dyDescent="0.25">
      <c r="A480">
        <v>2303</v>
      </c>
      <c r="B480" t="s">
        <v>10</v>
      </c>
      <c r="C480" s="1">
        <v>40528</v>
      </c>
      <c r="D480" s="2">
        <f t="shared" si="14"/>
        <v>4</v>
      </c>
      <c r="E480" s="2">
        <f t="shared" si="15"/>
        <v>12</v>
      </c>
      <c r="F480">
        <v>11.0298</v>
      </c>
      <c r="G480">
        <v>11.166</v>
      </c>
      <c r="H480">
        <v>10.9617</v>
      </c>
      <c r="I480">
        <v>11.166</v>
      </c>
      <c r="J480">
        <v>69756</v>
      </c>
      <c r="K480">
        <v>0.91879999999999995</v>
      </c>
      <c r="L480">
        <v>1.8633999999999999</v>
      </c>
    </row>
    <row r="481" spans="1:12" hidden="1" x14ac:dyDescent="0.25">
      <c r="A481">
        <v>2330</v>
      </c>
      <c r="B481" t="s">
        <v>11</v>
      </c>
      <c r="C481" s="1">
        <v>40528</v>
      </c>
      <c r="D481" s="2">
        <f t="shared" si="14"/>
        <v>4</v>
      </c>
      <c r="E481" s="2">
        <f t="shared" si="15"/>
        <v>12</v>
      </c>
      <c r="F481">
        <v>50.630400000000002</v>
      </c>
      <c r="G481">
        <v>51.787700000000001</v>
      </c>
      <c r="H481">
        <v>50.485799999999998</v>
      </c>
      <c r="I481">
        <v>51.498399999999997</v>
      </c>
      <c r="J481">
        <v>66209</v>
      </c>
      <c r="K481">
        <v>1.6998</v>
      </c>
      <c r="L481">
        <v>2.5788000000000002</v>
      </c>
    </row>
    <row r="482" spans="1:12" x14ac:dyDescent="0.25">
      <c r="A482">
        <v>2303</v>
      </c>
      <c r="B482" t="s">
        <v>10</v>
      </c>
      <c r="C482" s="1">
        <v>40529</v>
      </c>
      <c r="D482" s="2">
        <f t="shared" si="14"/>
        <v>5</v>
      </c>
      <c r="E482" s="2">
        <f t="shared" si="15"/>
        <v>12</v>
      </c>
      <c r="F482">
        <v>11.302099999999999</v>
      </c>
      <c r="G482">
        <v>11.5404</v>
      </c>
      <c r="H482">
        <v>11.2681</v>
      </c>
      <c r="I482">
        <v>11.370200000000001</v>
      </c>
      <c r="J482">
        <v>145928</v>
      </c>
      <c r="K482">
        <v>1.8127</v>
      </c>
      <c r="L482">
        <v>2.4169</v>
      </c>
    </row>
    <row r="483" spans="1:12" hidden="1" x14ac:dyDescent="0.25">
      <c r="A483">
        <v>2330</v>
      </c>
      <c r="B483" t="s">
        <v>11</v>
      </c>
      <c r="C483" s="1">
        <v>40529</v>
      </c>
      <c r="D483" s="2">
        <f t="shared" si="14"/>
        <v>5</v>
      </c>
      <c r="E483" s="2">
        <f t="shared" si="15"/>
        <v>12</v>
      </c>
      <c r="F483">
        <v>52.076999999999998</v>
      </c>
      <c r="G483">
        <v>54.246899999999997</v>
      </c>
      <c r="H483">
        <v>51.787700000000001</v>
      </c>
      <c r="I483">
        <v>52.728000000000002</v>
      </c>
      <c r="J483">
        <v>111499</v>
      </c>
      <c r="K483">
        <v>2.3595999999999999</v>
      </c>
      <c r="L483">
        <v>4.7485999999999997</v>
      </c>
    </row>
    <row r="484" spans="1:12" x14ac:dyDescent="0.25">
      <c r="A484">
        <v>2303</v>
      </c>
      <c r="B484" t="s">
        <v>10</v>
      </c>
      <c r="C484" s="1">
        <v>40532</v>
      </c>
      <c r="D484" s="2">
        <f t="shared" si="14"/>
        <v>1</v>
      </c>
      <c r="E484" s="2">
        <f t="shared" si="15"/>
        <v>12</v>
      </c>
      <c r="F484">
        <v>11.4383</v>
      </c>
      <c r="G484">
        <v>11.4383</v>
      </c>
      <c r="H484">
        <v>11.2</v>
      </c>
      <c r="I484">
        <v>11.2</v>
      </c>
      <c r="J484">
        <v>63057</v>
      </c>
      <c r="K484">
        <v>-1.5083</v>
      </c>
      <c r="L484">
        <v>2.1276999999999999</v>
      </c>
    </row>
    <row r="485" spans="1:12" hidden="1" x14ac:dyDescent="0.25">
      <c r="A485">
        <v>2330</v>
      </c>
      <c r="B485" t="s">
        <v>11</v>
      </c>
      <c r="C485" s="1">
        <v>40532</v>
      </c>
      <c r="D485" s="2">
        <f t="shared" si="14"/>
        <v>1</v>
      </c>
      <c r="E485" s="2">
        <f t="shared" si="15"/>
        <v>12</v>
      </c>
      <c r="F485">
        <v>52.8003</v>
      </c>
      <c r="G485">
        <v>52.8003</v>
      </c>
      <c r="H485">
        <v>51.281399999999998</v>
      </c>
      <c r="I485">
        <v>51.498399999999997</v>
      </c>
      <c r="J485">
        <v>93319</v>
      </c>
      <c r="K485">
        <v>-2.3595999999999999</v>
      </c>
      <c r="L485">
        <v>2.9619</v>
      </c>
    </row>
    <row r="486" spans="1:12" x14ac:dyDescent="0.25">
      <c r="A486">
        <v>2303</v>
      </c>
      <c r="B486" t="s">
        <v>10</v>
      </c>
      <c r="C486" s="1">
        <v>40533</v>
      </c>
      <c r="D486" s="2">
        <f t="shared" si="14"/>
        <v>2</v>
      </c>
      <c r="E486" s="2">
        <f t="shared" si="15"/>
        <v>12</v>
      </c>
      <c r="F486">
        <v>11.234</v>
      </c>
      <c r="G486">
        <v>11.302099999999999</v>
      </c>
      <c r="H486">
        <v>11.1319</v>
      </c>
      <c r="I486">
        <v>11.2</v>
      </c>
      <c r="J486">
        <v>29225</v>
      </c>
      <c r="K486">
        <v>0</v>
      </c>
      <c r="L486">
        <v>1.5290999999999999</v>
      </c>
    </row>
    <row r="487" spans="1:12" hidden="1" x14ac:dyDescent="0.25">
      <c r="A487">
        <v>2330</v>
      </c>
      <c r="B487" t="s">
        <v>11</v>
      </c>
      <c r="C487" s="1">
        <v>40533</v>
      </c>
      <c r="D487" s="2">
        <f t="shared" si="14"/>
        <v>2</v>
      </c>
      <c r="E487" s="2">
        <f t="shared" si="15"/>
        <v>12</v>
      </c>
      <c r="F487">
        <v>51.715400000000002</v>
      </c>
      <c r="G487">
        <v>51.787700000000001</v>
      </c>
      <c r="H487">
        <v>51.209099999999999</v>
      </c>
      <c r="I487">
        <v>51.570700000000002</v>
      </c>
      <c r="J487">
        <v>63310</v>
      </c>
      <c r="K487">
        <v>0.1404</v>
      </c>
      <c r="L487">
        <v>1.1298999999999999</v>
      </c>
    </row>
    <row r="488" spans="1:12" x14ac:dyDescent="0.25">
      <c r="A488">
        <v>2303</v>
      </c>
      <c r="B488" t="s">
        <v>10</v>
      </c>
      <c r="C488" s="1">
        <v>40534</v>
      </c>
      <c r="D488" s="2">
        <f t="shared" si="14"/>
        <v>3</v>
      </c>
      <c r="E488" s="2">
        <f t="shared" si="15"/>
        <v>12</v>
      </c>
      <c r="F488">
        <v>11.2</v>
      </c>
      <c r="G488">
        <v>11.302099999999999</v>
      </c>
      <c r="H488">
        <v>11.097899999999999</v>
      </c>
      <c r="I488">
        <v>11.1319</v>
      </c>
      <c r="J488">
        <v>39519</v>
      </c>
      <c r="K488">
        <v>-0.60980000000000001</v>
      </c>
      <c r="L488">
        <v>1.8405</v>
      </c>
    </row>
    <row r="489" spans="1:12" hidden="1" x14ac:dyDescent="0.25">
      <c r="A489">
        <v>2330</v>
      </c>
      <c r="B489" t="s">
        <v>11</v>
      </c>
      <c r="C489" s="1">
        <v>40534</v>
      </c>
      <c r="D489" s="2">
        <f t="shared" si="14"/>
        <v>3</v>
      </c>
      <c r="E489" s="2">
        <f t="shared" si="15"/>
        <v>12</v>
      </c>
      <c r="F489">
        <v>51.426099999999998</v>
      </c>
      <c r="G489">
        <v>51.787700000000001</v>
      </c>
      <c r="H489">
        <v>51.136699999999998</v>
      </c>
      <c r="I489">
        <v>51.498399999999997</v>
      </c>
      <c r="J489">
        <v>27073</v>
      </c>
      <c r="K489">
        <v>-0.1404</v>
      </c>
      <c r="L489">
        <v>1.2729999999999999</v>
      </c>
    </row>
    <row r="490" spans="1:12" x14ac:dyDescent="0.25">
      <c r="A490">
        <v>2303</v>
      </c>
      <c r="B490" t="s">
        <v>10</v>
      </c>
      <c r="C490" s="1">
        <v>40535</v>
      </c>
      <c r="D490" s="2">
        <f t="shared" si="14"/>
        <v>4</v>
      </c>
      <c r="E490" s="2">
        <f t="shared" si="15"/>
        <v>12</v>
      </c>
      <c r="F490">
        <v>11.097899999999999</v>
      </c>
      <c r="G490">
        <v>11.166</v>
      </c>
      <c r="H490">
        <v>11.063800000000001</v>
      </c>
      <c r="I490">
        <v>11.097899999999999</v>
      </c>
      <c r="J490">
        <v>34454</v>
      </c>
      <c r="K490">
        <v>-0.30630000000000002</v>
      </c>
      <c r="L490">
        <v>0.92310000000000003</v>
      </c>
    </row>
    <row r="491" spans="1:12" hidden="1" x14ac:dyDescent="0.25">
      <c r="A491">
        <v>2330</v>
      </c>
      <c r="B491" t="s">
        <v>11</v>
      </c>
      <c r="C491" s="1">
        <v>40535</v>
      </c>
      <c r="D491" s="2">
        <f t="shared" si="14"/>
        <v>4</v>
      </c>
      <c r="E491" s="2">
        <f t="shared" si="15"/>
        <v>12</v>
      </c>
      <c r="F491">
        <v>51.932400000000001</v>
      </c>
      <c r="G491">
        <v>51.932400000000001</v>
      </c>
      <c r="H491">
        <v>51.136699999999998</v>
      </c>
      <c r="I491">
        <v>51.353700000000003</v>
      </c>
      <c r="J491">
        <v>35614</v>
      </c>
      <c r="K491">
        <v>-0.28129999999999999</v>
      </c>
      <c r="L491">
        <v>1.5559000000000001</v>
      </c>
    </row>
    <row r="492" spans="1:12" x14ac:dyDescent="0.25">
      <c r="A492">
        <v>2303</v>
      </c>
      <c r="B492" t="s">
        <v>10</v>
      </c>
      <c r="C492" s="1">
        <v>40536</v>
      </c>
      <c r="D492" s="2">
        <f t="shared" si="14"/>
        <v>5</v>
      </c>
      <c r="E492" s="2">
        <f t="shared" si="15"/>
        <v>12</v>
      </c>
      <c r="F492">
        <v>11.0298</v>
      </c>
      <c r="G492">
        <v>11.166</v>
      </c>
      <c r="H492">
        <v>11.0298</v>
      </c>
      <c r="I492">
        <v>11.063800000000001</v>
      </c>
      <c r="J492">
        <v>31442</v>
      </c>
      <c r="K492">
        <v>-0.30719999999999997</v>
      </c>
      <c r="L492">
        <v>1.2345999999999999</v>
      </c>
    </row>
    <row r="493" spans="1:12" hidden="1" x14ac:dyDescent="0.25">
      <c r="A493">
        <v>2330</v>
      </c>
      <c r="B493" t="s">
        <v>11</v>
      </c>
      <c r="C493" s="1">
        <v>40536</v>
      </c>
      <c r="D493" s="2">
        <f t="shared" si="14"/>
        <v>5</v>
      </c>
      <c r="E493" s="2">
        <f t="shared" si="15"/>
        <v>12</v>
      </c>
      <c r="F493">
        <v>51.353700000000003</v>
      </c>
      <c r="G493">
        <v>51.353700000000003</v>
      </c>
      <c r="H493">
        <v>50.992100000000001</v>
      </c>
      <c r="I493">
        <v>51.209099999999999</v>
      </c>
      <c r="J493">
        <v>56586</v>
      </c>
      <c r="K493">
        <v>-0.28210000000000002</v>
      </c>
      <c r="L493">
        <v>0.70920000000000005</v>
      </c>
    </row>
    <row r="494" spans="1:12" x14ac:dyDescent="0.25">
      <c r="A494">
        <v>2303</v>
      </c>
      <c r="B494" t="s">
        <v>10</v>
      </c>
      <c r="C494" s="1">
        <v>40539</v>
      </c>
      <c r="D494" s="2">
        <f t="shared" si="14"/>
        <v>1</v>
      </c>
      <c r="E494" s="2">
        <f t="shared" si="15"/>
        <v>12</v>
      </c>
      <c r="F494">
        <v>11.063800000000001</v>
      </c>
      <c r="G494">
        <v>11.097899999999999</v>
      </c>
      <c r="H494">
        <v>10.9617</v>
      </c>
      <c r="I494">
        <v>11.063800000000001</v>
      </c>
      <c r="J494">
        <v>29981</v>
      </c>
      <c r="K494">
        <v>0</v>
      </c>
      <c r="L494">
        <v>1.2422</v>
      </c>
    </row>
    <row r="495" spans="1:12" hidden="1" x14ac:dyDescent="0.25">
      <c r="A495">
        <v>2330</v>
      </c>
      <c r="B495" t="s">
        <v>11</v>
      </c>
      <c r="C495" s="1">
        <v>40539</v>
      </c>
      <c r="D495" s="2">
        <f t="shared" si="14"/>
        <v>1</v>
      </c>
      <c r="E495" s="2">
        <f t="shared" si="15"/>
        <v>12</v>
      </c>
      <c r="F495">
        <v>51.209099999999999</v>
      </c>
      <c r="G495">
        <v>51.209099999999999</v>
      </c>
      <c r="H495">
        <v>50.630400000000002</v>
      </c>
      <c r="I495">
        <v>51.136699999999998</v>
      </c>
      <c r="J495">
        <v>45211</v>
      </c>
      <c r="K495">
        <v>-0.14130000000000001</v>
      </c>
      <c r="L495">
        <v>1.1429</v>
      </c>
    </row>
    <row r="496" spans="1:12" x14ac:dyDescent="0.25">
      <c r="A496">
        <v>2303</v>
      </c>
      <c r="B496" t="s">
        <v>10</v>
      </c>
      <c r="C496" s="1">
        <v>40540</v>
      </c>
      <c r="D496" s="2">
        <f t="shared" si="14"/>
        <v>2</v>
      </c>
      <c r="E496" s="2">
        <f t="shared" si="15"/>
        <v>12</v>
      </c>
      <c r="F496">
        <v>11.097899999999999</v>
      </c>
      <c r="G496">
        <v>11.166</v>
      </c>
      <c r="H496">
        <v>10.995699999999999</v>
      </c>
      <c r="I496">
        <v>11.0298</v>
      </c>
      <c r="J496">
        <v>30895</v>
      </c>
      <c r="K496">
        <v>-0.30819999999999997</v>
      </c>
      <c r="L496">
        <v>1.548</v>
      </c>
    </row>
    <row r="497" spans="1:12" hidden="1" x14ac:dyDescent="0.25">
      <c r="A497">
        <v>2330</v>
      </c>
      <c r="B497" t="s">
        <v>11</v>
      </c>
      <c r="C497" s="1">
        <v>40540</v>
      </c>
      <c r="D497" s="2">
        <f t="shared" si="14"/>
        <v>2</v>
      </c>
      <c r="E497" s="2">
        <f t="shared" si="15"/>
        <v>12</v>
      </c>
      <c r="F497">
        <v>51.281399999999998</v>
      </c>
      <c r="G497">
        <v>51.353700000000003</v>
      </c>
      <c r="H497">
        <v>51.064399999999999</v>
      </c>
      <c r="I497">
        <v>51.281399999999998</v>
      </c>
      <c r="J497">
        <v>36610</v>
      </c>
      <c r="K497">
        <v>0.28249999999999997</v>
      </c>
      <c r="L497">
        <v>0.56659999999999999</v>
      </c>
    </row>
    <row r="498" spans="1:12" x14ac:dyDescent="0.25">
      <c r="A498">
        <v>2303</v>
      </c>
      <c r="B498" t="s">
        <v>10</v>
      </c>
      <c r="C498" s="1">
        <v>40541</v>
      </c>
      <c r="D498" s="2">
        <f t="shared" si="14"/>
        <v>3</v>
      </c>
      <c r="E498" s="2">
        <f t="shared" si="15"/>
        <v>12</v>
      </c>
      <c r="F498">
        <v>10.9617</v>
      </c>
      <c r="G498">
        <v>11.0298</v>
      </c>
      <c r="H498">
        <v>10.893599999999999</v>
      </c>
      <c r="I498">
        <v>10.9277</v>
      </c>
      <c r="J498">
        <v>45747</v>
      </c>
      <c r="K498">
        <v>-0.93020000000000003</v>
      </c>
      <c r="L498">
        <v>1.25</v>
      </c>
    </row>
    <row r="499" spans="1:12" hidden="1" x14ac:dyDescent="0.25">
      <c r="A499">
        <v>2330</v>
      </c>
      <c r="B499" t="s">
        <v>11</v>
      </c>
      <c r="C499" s="1">
        <v>40541</v>
      </c>
      <c r="D499" s="2">
        <f t="shared" si="14"/>
        <v>3</v>
      </c>
      <c r="E499" s="2">
        <f t="shared" si="15"/>
        <v>12</v>
      </c>
      <c r="F499">
        <v>51.209099999999999</v>
      </c>
      <c r="G499">
        <v>51.209099999999999</v>
      </c>
      <c r="H499">
        <v>50.775100000000002</v>
      </c>
      <c r="I499">
        <v>51.064399999999999</v>
      </c>
      <c r="J499">
        <v>40414</v>
      </c>
      <c r="K499">
        <v>-0.42399999999999999</v>
      </c>
      <c r="L499">
        <v>0.85470000000000002</v>
      </c>
    </row>
    <row r="500" spans="1:12" x14ac:dyDescent="0.25">
      <c r="A500">
        <v>2303</v>
      </c>
      <c r="B500" t="s">
        <v>10</v>
      </c>
      <c r="C500" s="1">
        <v>40542</v>
      </c>
      <c r="D500" s="2">
        <f t="shared" si="14"/>
        <v>4</v>
      </c>
      <c r="E500" s="2">
        <f t="shared" si="15"/>
        <v>12</v>
      </c>
      <c r="F500">
        <v>10.9277</v>
      </c>
      <c r="G500">
        <v>11.0298</v>
      </c>
      <c r="H500">
        <v>10.893599999999999</v>
      </c>
      <c r="I500">
        <v>10.995699999999999</v>
      </c>
      <c r="J500">
        <v>40438</v>
      </c>
      <c r="K500">
        <v>0.62109999999999999</v>
      </c>
      <c r="L500">
        <v>1.25</v>
      </c>
    </row>
    <row r="501" spans="1:12" hidden="1" x14ac:dyDescent="0.25">
      <c r="A501">
        <v>2330</v>
      </c>
      <c r="B501" t="s">
        <v>11</v>
      </c>
      <c r="C501" s="1">
        <v>40542</v>
      </c>
      <c r="D501" s="2">
        <f t="shared" si="14"/>
        <v>4</v>
      </c>
      <c r="E501" s="2">
        <f t="shared" si="15"/>
        <v>12</v>
      </c>
      <c r="F501">
        <v>51.064399999999999</v>
      </c>
      <c r="G501">
        <v>51.209099999999999</v>
      </c>
      <c r="H501">
        <v>50.702800000000003</v>
      </c>
      <c r="I501">
        <v>51.064399999999999</v>
      </c>
      <c r="J501">
        <v>55579</v>
      </c>
      <c r="K501">
        <v>0</v>
      </c>
      <c r="L501">
        <v>0.99860000000000004</v>
      </c>
    </row>
    <row r="502" spans="1:12" x14ac:dyDescent="0.25">
      <c r="A502">
        <v>2303</v>
      </c>
      <c r="B502" t="s">
        <v>10</v>
      </c>
      <c r="C502" s="1">
        <v>40543</v>
      </c>
      <c r="D502" s="2">
        <f t="shared" si="14"/>
        <v>5</v>
      </c>
      <c r="E502" s="2">
        <f t="shared" si="15"/>
        <v>12</v>
      </c>
      <c r="F502">
        <v>10.995699999999999</v>
      </c>
      <c r="G502">
        <v>11.166</v>
      </c>
      <c r="H502">
        <v>10.9277</v>
      </c>
      <c r="I502">
        <v>11.097899999999999</v>
      </c>
      <c r="J502">
        <v>57261</v>
      </c>
      <c r="K502">
        <v>0.92449999999999999</v>
      </c>
      <c r="L502">
        <v>2.1806999999999999</v>
      </c>
    </row>
    <row r="503" spans="1:12" hidden="1" x14ac:dyDescent="0.25">
      <c r="A503">
        <v>2330</v>
      </c>
      <c r="B503" t="s">
        <v>11</v>
      </c>
      <c r="C503" s="1">
        <v>40543</v>
      </c>
      <c r="D503" s="2">
        <f t="shared" si="14"/>
        <v>5</v>
      </c>
      <c r="E503" s="2">
        <f t="shared" si="15"/>
        <v>12</v>
      </c>
      <c r="F503">
        <v>50.992100000000001</v>
      </c>
      <c r="G503">
        <v>52.293999999999997</v>
      </c>
      <c r="H503">
        <v>50.8474</v>
      </c>
      <c r="I503">
        <v>51.353700000000003</v>
      </c>
      <c r="J503">
        <v>143761</v>
      </c>
      <c r="K503">
        <v>0.56499999999999995</v>
      </c>
      <c r="L503">
        <v>2.8450000000000002</v>
      </c>
    </row>
    <row r="504" spans="1:12" x14ac:dyDescent="0.25">
      <c r="A504">
        <v>2303</v>
      </c>
      <c r="B504" t="s">
        <v>10</v>
      </c>
      <c r="C504" s="1">
        <v>40546</v>
      </c>
      <c r="D504" s="2">
        <f t="shared" si="14"/>
        <v>1</v>
      </c>
      <c r="E504" s="2">
        <f t="shared" si="15"/>
        <v>1</v>
      </c>
      <c r="F504">
        <v>11.166</v>
      </c>
      <c r="G504">
        <v>11.166</v>
      </c>
      <c r="H504">
        <v>11.0298</v>
      </c>
      <c r="I504">
        <v>11.0298</v>
      </c>
      <c r="J504">
        <v>32430</v>
      </c>
      <c r="K504">
        <v>-0.61539999999999995</v>
      </c>
      <c r="L504">
        <v>1.2345999999999999</v>
      </c>
    </row>
    <row r="505" spans="1:12" hidden="1" x14ac:dyDescent="0.25">
      <c r="A505">
        <v>2330</v>
      </c>
      <c r="B505" t="s">
        <v>11</v>
      </c>
      <c r="C505" s="1">
        <v>40546</v>
      </c>
      <c r="D505" s="2">
        <f t="shared" si="14"/>
        <v>1</v>
      </c>
      <c r="E505" s="2">
        <f t="shared" si="15"/>
        <v>1</v>
      </c>
      <c r="F505">
        <v>51.715400000000002</v>
      </c>
      <c r="G505">
        <v>51.787700000000001</v>
      </c>
      <c r="H505">
        <v>51.209099999999999</v>
      </c>
      <c r="I505">
        <v>51.426099999999998</v>
      </c>
      <c r="J505">
        <v>35747</v>
      </c>
      <c r="K505">
        <v>0.14069999999999999</v>
      </c>
      <c r="L505">
        <v>1.1298999999999999</v>
      </c>
    </row>
    <row r="506" spans="1:12" x14ac:dyDescent="0.25">
      <c r="A506">
        <v>2303</v>
      </c>
      <c r="B506" t="s">
        <v>10</v>
      </c>
      <c r="C506" s="1">
        <v>40547</v>
      </c>
      <c r="D506" s="2">
        <f t="shared" si="14"/>
        <v>2</v>
      </c>
      <c r="E506" s="2">
        <f t="shared" si="15"/>
        <v>1</v>
      </c>
      <c r="F506">
        <v>11.0298</v>
      </c>
      <c r="G506">
        <v>11.097899999999999</v>
      </c>
      <c r="H506">
        <v>10.995699999999999</v>
      </c>
      <c r="I506">
        <v>11.0298</v>
      </c>
      <c r="J506">
        <v>27876</v>
      </c>
      <c r="K506">
        <v>0</v>
      </c>
      <c r="L506">
        <v>0.92879999999999996</v>
      </c>
    </row>
    <row r="507" spans="1:12" hidden="1" x14ac:dyDescent="0.25">
      <c r="A507">
        <v>2330</v>
      </c>
      <c r="B507" t="s">
        <v>11</v>
      </c>
      <c r="C507" s="1">
        <v>40547</v>
      </c>
      <c r="D507" s="2">
        <f t="shared" si="14"/>
        <v>2</v>
      </c>
      <c r="E507" s="2">
        <f t="shared" si="15"/>
        <v>1</v>
      </c>
      <c r="F507">
        <v>51.353700000000003</v>
      </c>
      <c r="G507">
        <v>51.787700000000001</v>
      </c>
      <c r="H507">
        <v>51.209099999999999</v>
      </c>
      <c r="I507">
        <v>51.498399999999997</v>
      </c>
      <c r="J507">
        <v>36048</v>
      </c>
      <c r="K507">
        <v>0.14050000000000001</v>
      </c>
      <c r="L507">
        <v>1.1298999999999999</v>
      </c>
    </row>
    <row r="508" spans="1:12" x14ac:dyDescent="0.25">
      <c r="A508">
        <v>2303</v>
      </c>
      <c r="B508" t="s">
        <v>10</v>
      </c>
      <c r="C508" s="1">
        <v>40548</v>
      </c>
      <c r="D508" s="2">
        <f t="shared" si="14"/>
        <v>3</v>
      </c>
      <c r="E508" s="2">
        <f t="shared" si="15"/>
        <v>1</v>
      </c>
      <c r="F508">
        <v>10.9617</v>
      </c>
      <c r="G508">
        <v>10.995699999999999</v>
      </c>
      <c r="H508">
        <v>10.587199999999999</v>
      </c>
      <c r="I508">
        <v>10.587199999999999</v>
      </c>
      <c r="J508">
        <v>89979</v>
      </c>
      <c r="K508">
        <v>-4.0951000000000004</v>
      </c>
      <c r="L508">
        <v>3.8584999999999998</v>
      </c>
    </row>
    <row r="509" spans="1:12" hidden="1" x14ac:dyDescent="0.25">
      <c r="A509">
        <v>2330</v>
      </c>
      <c r="B509" t="s">
        <v>11</v>
      </c>
      <c r="C509" s="1">
        <v>40548</v>
      </c>
      <c r="D509" s="2">
        <f t="shared" si="14"/>
        <v>3</v>
      </c>
      <c r="E509" s="2">
        <f t="shared" si="15"/>
        <v>1</v>
      </c>
      <c r="F509">
        <v>51.281399999999998</v>
      </c>
      <c r="G509">
        <v>51.426099999999998</v>
      </c>
      <c r="H509">
        <v>50.341099999999997</v>
      </c>
      <c r="I509">
        <v>50.485799999999998</v>
      </c>
      <c r="J509">
        <v>54327</v>
      </c>
      <c r="K509">
        <v>-1.9859</v>
      </c>
      <c r="L509">
        <v>2.1551999999999998</v>
      </c>
    </row>
    <row r="510" spans="1:12" x14ac:dyDescent="0.25">
      <c r="A510">
        <v>2303</v>
      </c>
      <c r="B510" t="s">
        <v>10</v>
      </c>
      <c r="C510" s="1">
        <v>40549</v>
      </c>
      <c r="D510" s="2">
        <f t="shared" si="14"/>
        <v>4</v>
      </c>
      <c r="E510" s="2">
        <f t="shared" si="15"/>
        <v>1</v>
      </c>
      <c r="F510">
        <v>10.6213</v>
      </c>
      <c r="G510">
        <v>10.8255</v>
      </c>
      <c r="H510">
        <v>10.5532</v>
      </c>
      <c r="I510">
        <v>10.8255</v>
      </c>
      <c r="J510">
        <v>42966</v>
      </c>
      <c r="K510">
        <v>2.2258</v>
      </c>
      <c r="L510">
        <v>2.5806</v>
      </c>
    </row>
    <row r="511" spans="1:12" hidden="1" x14ac:dyDescent="0.25">
      <c r="A511">
        <v>2330</v>
      </c>
      <c r="B511" t="s">
        <v>11</v>
      </c>
      <c r="C511" s="1">
        <v>40549</v>
      </c>
      <c r="D511" s="2">
        <f t="shared" si="14"/>
        <v>4</v>
      </c>
      <c r="E511" s="2">
        <f t="shared" si="15"/>
        <v>1</v>
      </c>
      <c r="F511">
        <v>50.485799999999998</v>
      </c>
      <c r="G511">
        <v>51.353700000000003</v>
      </c>
      <c r="H511">
        <v>50.413499999999999</v>
      </c>
      <c r="I511">
        <v>51.353700000000003</v>
      </c>
      <c r="J511">
        <v>46802</v>
      </c>
      <c r="K511">
        <v>1.7045999999999999</v>
      </c>
      <c r="L511">
        <v>1.8651</v>
      </c>
    </row>
    <row r="512" spans="1:12" x14ac:dyDescent="0.25">
      <c r="A512">
        <v>2303</v>
      </c>
      <c r="B512" t="s">
        <v>10</v>
      </c>
      <c r="C512" s="1">
        <v>40550</v>
      </c>
      <c r="D512" s="2">
        <f t="shared" si="14"/>
        <v>5</v>
      </c>
      <c r="E512" s="2">
        <f t="shared" si="15"/>
        <v>1</v>
      </c>
      <c r="F512">
        <v>10.8255</v>
      </c>
      <c r="G512">
        <v>11.097899999999999</v>
      </c>
      <c r="H512">
        <v>10.791499999999999</v>
      </c>
      <c r="I512">
        <v>10.8255</v>
      </c>
      <c r="J512">
        <v>70613</v>
      </c>
      <c r="K512">
        <v>0</v>
      </c>
      <c r="L512">
        <v>2.8391000000000002</v>
      </c>
    </row>
    <row r="513" spans="1:12" hidden="1" x14ac:dyDescent="0.25">
      <c r="A513">
        <v>2330</v>
      </c>
      <c r="B513" t="s">
        <v>11</v>
      </c>
      <c r="C513" s="1">
        <v>40550</v>
      </c>
      <c r="D513" s="2">
        <f t="shared" si="14"/>
        <v>5</v>
      </c>
      <c r="E513" s="2">
        <f t="shared" si="15"/>
        <v>1</v>
      </c>
      <c r="F513">
        <v>52.0047</v>
      </c>
      <c r="G513">
        <v>52.8003</v>
      </c>
      <c r="H513">
        <v>52.0047</v>
      </c>
      <c r="I513">
        <v>52.438699999999997</v>
      </c>
      <c r="J513">
        <v>170328</v>
      </c>
      <c r="K513">
        <v>2.0907</v>
      </c>
      <c r="L513">
        <v>1.5299</v>
      </c>
    </row>
    <row r="514" spans="1:12" x14ac:dyDescent="0.25">
      <c r="A514">
        <v>2303</v>
      </c>
      <c r="B514" t="s">
        <v>10</v>
      </c>
      <c r="C514" s="1">
        <v>40553</v>
      </c>
      <c r="D514" s="2">
        <f t="shared" si="14"/>
        <v>1</v>
      </c>
      <c r="E514" s="2">
        <f t="shared" si="15"/>
        <v>1</v>
      </c>
      <c r="F514">
        <v>10.893599999999999</v>
      </c>
      <c r="G514">
        <v>11.0298</v>
      </c>
      <c r="H514">
        <v>10.8596</v>
      </c>
      <c r="I514">
        <v>11.0298</v>
      </c>
      <c r="J514">
        <v>43138</v>
      </c>
      <c r="K514">
        <v>1.8692</v>
      </c>
      <c r="L514">
        <v>1.5673999999999999</v>
      </c>
    </row>
    <row r="515" spans="1:12" hidden="1" x14ac:dyDescent="0.25">
      <c r="A515">
        <v>2330</v>
      </c>
      <c r="B515" t="s">
        <v>11</v>
      </c>
      <c r="C515" s="1">
        <v>40553</v>
      </c>
      <c r="D515" s="2">
        <f t="shared" ref="D515:D578" si="16">WEEKDAY(C515,2)</f>
        <v>1</v>
      </c>
      <c r="E515" s="2">
        <f t="shared" ref="E515:E578" si="17">MONTH(C515)</f>
        <v>1</v>
      </c>
      <c r="F515">
        <v>52.8003</v>
      </c>
      <c r="G515">
        <v>53.668300000000002</v>
      </c>
      <c r="H515">
        <v>52.511000000000003</v>
      </c>
      <c r="I515">
        <v>53.668300000000002</v>
      </c>
      <c r="J515">
        <v>69703</v>
      </c>
      <c r="K515">
        <v>2.3178000000000001</v>
      </c>
      <c r="L515">
        <v>2.2039</v>
      </c>
    </row>
    <row r="516" spans="1:12" x14ac:dyDescent="0.25">
      <c r="A516">
        <v>2303</v>
      </c>
      <c r="B516" t="s">
        <v>10</v>
      </c>
      <c r="C516" s="1">
        <v>40554</v>
      </c>
      <c r="D516" s="2">
        <f t="shared" si="16"/>
        <v>2</v>
      </c>
      <c r="E516" s="2">
        <f t="shared" si="17"/>
        <v>1</v>
      </c>
      <c r="F516">
        <v>11.063800000000001</v>
      </c>
      <c r="G516">
        <v>11.370200000000001</v>
      </c>
      <c r="H516">
        <v>10.9617</v>
      </c>
      <c r="I516">
        <v>11.3362</v>
      </c>
      <c r="J516">
        <v>133991</v>
      </c>
      <c r="K516">
        <v>2.7399</v>
      </c>
      <c r="L516">
        <v>3.7267000000000001</v>
      </c>
    </row>
    <row r="517" spans="1:12" hidden="1" x14ac:dyDescent="0.25">
      <c r="A517">
        <v>2330</v>
      </c>
      <c r="B517" t="s">
        <v>11</v>
      </c>
      <c r="C517" s="1">
        <v>40554</v>
      </c>
      <c r="D517" s="2">
        <f t="shared" si="16"/>
        <v>2</v>
      </c>
      <c r="E517" s="2">
        <f t="shared" si="17"/>
        <v>1</v>
      </c>
      <c r="F517">
        <v>53.5959</v>
      </c>
      <c r="G517">
        <v>54.174599999999998</v>
      </c>
      <c r="H517">
        <v>53.378900000000002</v>
      </c>
      <c r="I517">
        <v>53.885300000000001</v>
      </c>
      <c r="J517">
        <v>82758</v>
      </c>
      <c r="K517">
        <v>0.40350000000000003</v>
      </c>
      <c r="L517">
        <v>1.4904999999999999</v>
      </c>
    </row>
    <row r="518" spans="1:12" x14ac:dyDescent="0.25">
      <c r="A518">
        <v>2303</v>
      </c>
      <c r="B518" t="s">
        <v>10</v>
      </c>
      <c r="C518" s="1">
        <v>40555</v>
      </c>
      <c r="D518" s="2">
        <f t="shared" si="16"/>
        <v>3</v>
      </c>
      <c r="E518" s="2">
        <f t="shared" si="17"/>
        <v>1</v>
      </c>
      <c r="F518">
        <v>11.370200000000001</v>
      </c>
      <c r="G518">
        <v>11.506399999999999</v>
      </c>
      <c r="H518">
        <v>11.2681</v>
      </c>
      <c r="I518">
        <v>11.3362</v>
      </c>
      <c r="J518">
        <v>113275</v>
      </c>
      <c r="K518">
        <v>0</v>
      </c>
      <c r="L518">
        <v>2.1147999999999998</v>
      </c>
    </row>
    <row r="519" spans="1:12" hidden="1" x14ac:dyDescent="0.25">
      <c r="A519">
        <v>2330</v>
      </c>
      <c r="B519" t="s">
        <v>11</v>
      </c>
      <c r="C519" s="1">
        <v>40555</v>
      </c>
      <c r="D519" s="2">
        <f t="shared" si="16"/>
        <v>3</v>
      </c>
      <c r="E519" s="2">
        <f t="shared" si="17"/>
        <v>1</v>
      </c>
      <c r="F519">
        <v>54.029899999999998</v>
      </c>
      <c r="G519">
        <v>54.246899999999997</v>
      </c>
      <c r="H519">
        <v>54.029899999999998</v>
      </c>
      <c r="I519">
        <v>54.174599999999998</v>
      </c>
      <c r="J519">
        <v>53637</v>
      </c>
      <c r="K519">
        <v>0.53549999999999998</v>
      </c>
      <c r="L519">
        <v>0.40160000000000001</v>
      </c>
    </row>
    <row r="520" spans="1:12" x14ac:dyDescent="0.25">
      <c r="A520">
        <v>2303</v>
      </c>
      <c r="B520" t="s">
        <v>10</v>
      </c>
      <c r="C520" s="1">
        <v>40556</v>
      </c>
      <c r="D520" s="2">
        <f t="shared" si="16"/>
        <v>4</v>
      </c>
      <c r="E520" s="2">
        <f t="shared" si="17"/>
        <v>1</v>
      </c>
      <c r="F520">
        <v>11.3362</v>
      </c>
      <c r="G520">
        <v>11.4383</v>
      </c>
      <c r="H520">
        <v>11.2681</v>
      </c>
      <c r="I520">
        <v>11.302099999999999</v>
      </c>
      <c r="J520">
        <v>68798</v>
      </c>
      <c r="K520">
        <v>-0.30080000000000001</v>
      </c>
      <c r="L520">
        <v>1.5105999999999999</v>
      </c>
    </row>
    <row r="521" spans="1:12" hidden="1" x14ac:dyDescent="0.25">
      <c r="A521">
        <v>2330</v>
      </c>
      <c r="B521" t="s">
        <v>11</v>
      </c>
      <c r="C521" s="1">
        <v>40556</v>
      </c>
      <c r="D521" s="2">
        <f t="shared" si="16"/>
        <v>4</v>
      </c>
      <c r="E521" s="2">
        <f t="shared" si="17"/>
        <v>1</v>
      </c>
      <c r="F521">
        <v>54.319200000000002</v>
      </c>
      <c r="G521">
        <v>54.463900000000002</v>
      </c>
      <c r="H521">
        <v>53.668300000000002</v>
      </c>
      <c r="I521">
        <v>53.957599999999999</v>
      </c>
      <c r="J521">
        <v>93105</v>
      </c>
      <c r="K521">
        <v>-0.40129999999999999</v>
      </c>
      <c r="L521">
        <v>1.4824999999999999</v>
      </c>
    </row>
    <row r="522" spans="1:12" x14ac:dyDescent="0.25">
      <c r="A522">
        <v>2303</v>
      </c>
      <c r="B522" t="s">
        <v>10</v>
      </c>
      <c r="C522" s="1">
        <v>40557</v>
      </c>
      <c r="D522" s="2">
        <f t="shared" si="16"/>
        <v>5</v>
      </c>
      <c r="E522" s="2">
        <f t="shared" si="17"/>
        <v>1</v>
      </c>
      <c r="F522">
        <v>11.302099999999999</v>
      </c>
      <c r="G522">
        <v>11.370200000000001</v>
      </c>
      <c r="H522">
        <v>11.2681</v>
      </c>
      <c r="I522">
        <v>11.370200000000001</v>
      </c>
      <c r="J522">
        <v>45671</v>
      </c>
      <c r="K522">
        <v>0.60060000000000002</v>
      </c>
      <c r="L522">
        <v>0.90629999999999999</v>
      </c>
    </row>
    <row r="523" spans="1:12" hidden="1" x14ac:dyDescent="0.25">
      <c r="A523">
        <v>2330</v>
      </c>
      <c r="B523" t="s">
        <v>11</v>
      </c>
      <c r="C523" s="1">
        <v>40557</v>
      </c>
      <c r="D523" s="2">
        <f t="shared" si="16"/>
        <v>5</v>
      </c>
      <c r="E523" s="2">
        <f t="shared" si="17"/>
        <v>1</v>
      </c>
      <c r="F523">
        <v>53.812899999999999</v>
      </c>
      <c r="G523">
        <v>54.102200000000003</v>
      </c>
      <c r="H523">
        <v>53.5959</v>
      </c>
      <c r="I523">
        <v>54.102200000000003</v>
      </c>
      <c r="J523">
        <v>29817</v>
      </c>
      <c r="K523">
        <v>0.26769999999999999</v>
      </c>
      <c r="L523">
        <v>0.94469999999999998</v>
      </c>
    </row>
    <row r="524" spans="1:12" x14ac:dyDescent="0.25">
      <c r="A524">
        <v>2303</v>
      </c>
      <c r="B524" t="s">
        <v>10</v>
      </c>
      <c r="C524" s="1">
        <v>40560</v>
      </c>
      <c r="D524" s="2">
        <f t="shared" si="16"/>
        <v>1</v>
      </c>
      <c r="E524" s="2">
        <f t="shared" si="17"/>
        <v>1</v>
      </c>
      <c r="F524">
        <v>11.4383</v>
      </c>
      <c r="G524">
        <v>11.8468</v>
      </c>
      <c r="H524">
        <v>11.4383</v>
      </c>
      <c r="I524">
        <v>11.7447</v>
      </c>
      <c r="J524">
        <v>169483</v>
      </c>
      <c r="K524">
        <v>3.2403</v>
      </c>
      <c r="L524">
        <v>3.5714000000000001</v>
      </c>
    </row>
    <row r="525" spans="1:12" hidden="1" x14ac:dyDescent="0.25">
      <c r="A525">
        <v>2330</v>
      </c>
      <c r="B525" t="s">
        <v>11</v>
      </c>
      <c r="C525" s="1">
        <v>40560</v>
      </c>
      <c r="D525" s="2">
        <f t="shared" si="16"/>
        <v>1</v>
      </c>
      <c r="E525" s="2">
        <f t="shared" si="17"/>
        <v>1</v>
      </c>
      <c r="F525">
        <v>54.536200000000001</v>
      </c>
      <c r="G525">
        <v>54.8979</v>
      </c>
      <c r="H525">
        <v>54.463900000000002</v>
      </c>
      <c r="I525">
        <v>54.825499999999998</v>
      </c>
      <c r="J525">
        <v>67400</v>
      </c>
      <c r="K525">
        <v>1.3280000000000001</v>
      </c>
      <c r="L525">
        <v>0.79679999999999995</v>
      </c>
    </row>
    <row r="526" spans="1:12" x14ac:dyDescent="0.25">
      <c r="A526">
        <v>2303</v>
      </c>
      <c r="B526" t="s">
        <v>10</v>
      </c>
      <c r="C526" s="1">
        <v>40561</v>
      </c>
      <c r="D526" s="2">
        <f t="shared" si="16"/>
        <v>2</v>
      </c>
      <c r="E526" s="2">
        <f t="shared" si="17"/>
        <v>1</v>
      </c>
      <c r="F526">
        <v>11.7447</v>
      </c>
      <c r="G526">
        <v>12.221299999999999</v>
      </c>
      <c r="H526">
        <v>11.6426</v>
      </c>
      <c r="I526">
        <v>12.1191</v>
      </c>
      <c r="J526">
        <v>189962</v>
      </c>
      <c r="K526">
        <v>3.1385999999999998</v>
      </c>
      <c r="L526">
        <v>4.9707999999999997</v>
      </c>
    </row>
    <row r="527" spans="1:12" hidden="1" x14ac:dyDescent="0.25">
      <c r="A527">
        <v>2330</v>
      </c>
      <c r="B527" t="s">
        <v>11</v>
      </c>
      <c r="C527" s="1">
        <v>40561</v>
      </c>
      <c r="D527" s="2">
        <f t="shared" si="16"/>
        <v>2</v>
      </c>
      <c r="E527" s="2">
        <f t="shared" si="17"/>
        <v>1</v>
      </c>
      <c r="F527">
        <v>54.608499999999999</v>
      </c>
      <c r="G527">
        <v>55.982799999999997</v>
      </c>
      <c r="H527">
        <v>54.391599999999997</v>
      </c>
      <c r="I527">
        <v>55.5488</v>
      </c>
      <c r="J527">
        <v>57357</v>
      </c>
      <c r="K527">
        <v>1.3106</v>
      </c>
      <c r="L527">
        <v>2.9255</v>
      </c>
    </row>
    <row r="528" spans="1:12" x14ac:dyDescent="0.25">
      <c r="A528">
        <v>2303</v>
      </c>
      <c r="B528" t="s">
        <v>10</v>
      </c>
      <c r="C528" s="1">
        <v>40562</v>
      </c>
      <c r="D528" s="2">
        <f t="shared" si="16"/>
        <v>3</v>
      </c>
      <c r="E528" s="2">
        <f t="shared" si="17"/>
        <v>1</v>
      </c>
      <c r="F528">
        <v>12.187200000000001</v>
      </c>
      <c r="G528">
        <v>12.391500000000001</v>
      </c>
      <c r="H528">
        <v>12.016999999999999</v>
      </c>
      <c r="I528">
        <v>12.289400000000001</v>
      </c>
      <c r="J528">
        <v>188644</v>
      </c>
      <c r="K528">
        <v>1.3947000000000001</v>
      </c>
      <c r="L528">
        <v>3.1160999999999999</v>
      </c>
    </row>
    <row r="529" spans="1:12" hidden="1" x14ac:dyDescent="0.25">
      <c r="A529">
        <v>2330</v>
      </c>
      <c r="B529" t="s">
        <v>11</v>
      </c>
      <c r="C529" s="1">
        <v>40562</v>
      </c>
      <c r="D529" s="2">
        <f t="shared" si="16"/>
        <v>3</v>
      </c>
      <c r="E529" s="2">
        <f t="shared" si="17"/>
        <v>1</v>
      </c>
      <c r="F529">
        <v>55.621200000000002</v>
      </c>
      <c r="G529">
        <v>56.633800000000001</v>
      </c>
      <c r="H529">
        <v>55.404200000000003</v>
      </c>
      <c r="I529">
        <v>56.416800000000002</v>
      </c>
      <c r="J529">
        <v>87297</v>
      </c>
      <c r="K529">
        <v>1.5504</v>
      </c>
      <c r="L529">
        <v>2.2193000000000001</v>
      </c>
    </row>
    <row r="530" spans="1:12" x14ac:dyDescent="0.25">
      <c r="A530">
        <v>2303</v>
      </c>
      <c r="B530" t="s">
        <v>10</v>
      </c>
      <c r="C530" s="1">
        <v>40563</v>
      </c>
      <c r="D530" s="2">
        <f t="shared" si="16"/>
        <v>4</v>
      </c>
      <c r="E530" s="2">
        <f t="shared" si="17"/>
        <v>1</v>
      </c>
      <c r="F530">
        <v>12.2553</v>
      </c>
      <c r="G530">
        <v>12.2553</v>
      </c>
      <c r="H530">
        <v>12.016999999999999</v>
      </c>
      <c r="I530">
        <v>12.016999999999999</v>
      </c>
      <c r="J530">
        <v>86861</v>
      </c>
      <c r="K530">
        <v>-2.2410000000000001</v>
      </c>
      <c r="L530">
        <v>1.9830000000000001</v>
      </c>
    </row>
    <row r="531" spans="1:12" hidden="1" x14ac:dyDescent="0.25">
      <c r="A531">
        <v>2330</v>
      </c>
      <c r="B531" t="s">
        <v>11</v>
      </c>
      <c r="C531" s="1">
        <v>40563</v>
      </c>
      <c r="D531" s="2">
        <f t="shared" si="16"/>
        <v>4</v>
      </c>
      <c r="E531" s="2">
        <f t="shared" si="17"/>
        <v>1</v>
      </c>
      <c r="F531">
        <v>55.6935</v>
      </c>
      <c r="G531">
        <v>55.6935</v>
      </c>
      <c r="H531">
        <v>55.042499999999997</v>
      </c>
      <c r="I531">
        <v>55.259500000000003</v>
      </c>
      <c r="J531">
        <v>43718</v>
      </c>
      <c r="K531">
        <v>-2.0726</v>
      </c>
      <c r="L531">
        <v>1.1827000000000001</v>
      </c>
    </row>
    <row r="532" spans="1:12" x14ac:dyDescent="0.25">
      <c r="A532">
        <v>2303</v>
      </c>
      <c r="B532" t="s">
        <v>10</v>
      </c>
      <c r="C532" s="1">
        <v>40564</v>
      </c>
      <c r="D532" s="2">
        <f t="shared" si="16"/>
        <v>5</v>
      </c>
      <c r="E532" s="2">
        <f t="shared" si="17"/>
        <v>1</v>
      </c>
      <c r="F532">
        <v>11.8468</v>
      </c>
      <c r="G532">
        <v>11.983000000000001</v>
      </c>
      <c r="H532">
        <v>11.710599999999999</v>
      </c>
      <c r="I532">
        <v>11.914899999999999</v>
      </c>
      <c r="J532">
        <v>69003</v>
      </c>
      <c r="K532">
        <v>-0.85350000000000004</v>
      </c>
      <c r="L532">
        <v>2.3256000000000001</v>
      </c>
    </row>
    <row r="533" spans="1:12" hidden="1" x14ac:dyDescent="0.25">
      <c r="A533">
        <v>2330</v>
      </c>
      <c r="B533" t="s">
        <v>11</v>
      </c>
      <c r="C533" s="1">
        <v>40564</v>
      </c>
      <c r="D533" s="2">
        <f t="shared" si="16"/>
        <v>5</v>
      </c>
      <c r="E533" s="2">
        <f t="shared" si="17"/>
        <v>1</v>
      </c>
      <c r="F533">
        <v>53.523600000000002</v>
      </c>
      <c r="G533">
        <v>54.391599999999997</v>
      </c>
      <c r="H533">
        <v>53.523600000000002</v>
      </c>
      <c r="I533">
        <v>53.957599999999999</v>
      </c>
      <c r="J533">
        <v>81475</v>
      </c>
      <c r="K533">
        <v>-2.3841999999999999</v>
      </c>
      <c r="L533">
        <v>1.6215999999999999</v>
      </c>
    </row>
    <row r="534" spans="1:12" x14ac:dyDescent="0.25">
      <c r="A534">
        <v>2303</v>
      </c>
      <c r="B534" t="s">
        <v>10</v>
      </c>
      <c r="C534" s="1">
        <v>40567</v>
      </c>
      <c r="D534" s="2">
        <f t="shared" si="16"/>
        <v>1</v>
      </c>
      <c r="E534" s="2">
        <f t="shared" si="17"/>
        <v>1</v>
      </c>
      <c r="F534">
        <v>11.914899999999999</v>
      </c>
      <c r="G534">
        <v>11.9489</v>
      </c>
      <c r="H534">
        <v>11.7447</v>
      </c>
      <c r="I534">
        <v>11.8468</v>
      </c>
      <c r="J534">
        <v>34537</v>
      </c>
      <c r="K534">
        <v>-0.57310000000000005</v>
      </c>
      <c r="L534">
        <v>1.7391000000000001</v>
      </c>
    </row>
    <row r="535" spans="1:12" hidden="1" x14ac:dyDescent="0.25">
      <c r="A535">
        <v>2330</v>
      </c>
      <c r="B535" t="s">
        <v>11</v>
      </c>
      <c r="C535" s="1">
        <v>40567</v>
      </c>
      <c r="D535" s="2">
        <f t="shared" si="16"/>
        <v>1</v>
      </c>
      <c r="E535" s="2">
        <f t="shared" si="17"/>
        <v>1</v>
      </c>
      <c r="F535">
        <v>54.391599999999997</v>
      </c>
      <c r="G535">
        <v>54.536200000000001</v>
      </c>
      <c r="H535">
        <v>53.957599999999999</v>
      </c>
      <c r="I535">
        <v>54.463900000000002</v>
      </c>
      <c r="J535">
        <v>46169</v>
      </c>
      <c r="K535">
        <v>0.93400000000000005</v>
      </c>
      <c r="L535">
        <v>1.0724</v>
      </c>
    </row>
    <row r="536" spans="1:12" x14ac:dyDescent="0.25">
      <c r="A536">
        <v>2303</v>
      </c>
      <c r="B536" t="s">
        <v>10</v>
      </c>
      <c r="C536" s="1">
        <v>40568</v>
      </c>
      <c r="D536" s="2">
        <f t="shared" si="16"/>
        <v>2</v>
      </c>
      <c r="E536" s="2">
        <f t="shared" si="17"/>
        <v>1</v>
      </c>
      <c r="F536">
        <v>11.914899999999999</v>
      </c>
      <c r="G536">
        <v>12.0511</v>
      </c>
      <c r="H536">
        <v>11.812799999999999</v>
      </c>
      <c r="I536">
        <v>11.8468</v>
      </c>
      <c r="J536">
        <v>48210</v>
      </c>
      <c r="K536">
        <v>0</v>
      </c>
      <c r="L536">
        <v>2.0173000000000001</v>
      </c>
    </row>
    <row r="537" spans="1:12" hidden="1" x14ac:dyDescent="0.25">
      <c r="A537">
        <v>2330</v>
      </c>
      <c r="B537" t="s">
        <v>11</v>
      </c>
      <c r="C537" s="1">
        <v>40568</v>
      </c>
      <c r="D537" s="2">
        <f t="shared" si="16"/>
        <v>2</v>
      </c>
      <c r="E537" s="2">
        <f t="shared" si="17"/>
        <v>1</v>
      </c>
      <c r="F537">
        <v>54.8979</v>
      </c>
      <c r="G537">
        <v>54.8979</v>
      </c>
      <c r="H537">
        <v>54.174599999999998</v>
      </c>
      <c r="I537">
        <v>54.246899999999997</v>
      </c>
      <c r="J537">
        <v>50794</v>
      </c>
      <c r="K537">
        <v>-0.3992</v>
      </c>
      <c r="L537">
        <v>1.3351</v>
      </c>
    </row>
    <row r="538" spans="1:12" x14ac:dyDescent="0.25">
      <c r="A538">
        <v>2303</v>
      </c>
      <c r="B538" t="s">
        <v>10</v>
      </c>
      <c r="C538" s="1">
        <v>40569</v>
      </c>
      <c r="D538" s="2">
        <f t="shared" si="16"/>
        <v>3</v>
      </c>
      <c r="E538" s="2">
        <f t="shared" si="17"/>
        <v>1</v>
      </c>
      <c r="F538">
        <v>11.8468</v>
      </c>
      <c r="G538">
        <v>12.0511</v>
      </c>
      <c r="H538">
        <v>11.778700000000001</v>
      </c>
      <c r="I538">
        <v>11.8468</v>
      </c>
      <c r="J538">
        <v>61577</v>
      </c>
      <c r="K538">
        <v>0</v>
      </c>
      <c r="L538">
        <v>2.3121</v>
      </c>
    </row>
    <row r="539" spans="1:12" hidden="1" x14ac:dyDescent="0.25">
      <c r="A539">
        <v>2330</v>
      </c>
      <c r="B539" t="s">
        <v>11</v>
      </c>
      <c r="C539" s="1">
        <v>40569</v>
      </c>
      <c r="D539" s="2">
        <f t="shared" si="16"/>
        <v>3</v>
      </c>
      <c r="E539" s="2">
        <f t="shared" si="17"/>
        <v>1</v>
      </c>
      <c r="F539">
        <v>53.957599999999999</v>
      </c>
      <c r="G539">
        <v>54.391599999999997</v>
      </c>
      <c r="H539">
        <v>53.740600000000001</v>
      </c>
      <c r="I539">
        <v>53.957599999999999</v>
      </c>
      <c r="J539">
        <v>66830</v>
      </c>
      <c r="K539">
        <v>-0.53480000000000005</v>
      </c>
      <c r="L539">
        <v>1.2113</v>
      </c>
    </row>
    <row r="540" spans="1:12" x14ac:dyDescent="0.25">
      <c r="A540">
        <v>2303</v>
      </c>
      <c r="B540" t="s">
        <v>10</v>
      </c>
      <c r="C540" s="1">
        <v>40570</v>
      </c>
      <c r="D540" s="2">
        <f t="shared" si="16"/>
        <v>4</v>
      </c>
      <c r="E540" s="2">
        <f t="shared" si="17"/>
        <v>1</v>
      </c>
      <c r="F540">
        <v>11.983000000000001</v>
      </c>
      <c r="G540">
        <v>12.391500000000001</v>
      </c>
      <c r="H540">
        <v>11.983000000000001</v>
      </c>
      <c r="I540">
        <v>12.2553</v>
      </c>
      <c r="J540">
        <v>193592</v>
      </c>
      <c r="K540">
        <v>3.3902000000000001</v>
      </c>
      <c r="L540">
        <v>3.4091</v>
      </c>
    </row>
    <row r="541" spans="1:12" hidden="1" x14ac:dyDescent="0.25">
      <c r="A541">
        <v>2330</v>
      </c>
      <c r="B541" t="s">
        <v>11</v>
      </c>
      <c r="C541" s="1">
        <v>40570</v>
      </c>
      <c r="D541" s="2">
        <f t="shared" si="16"/>
        <v>4</v>
      </c>
      <c r="E541" s="2">
        <f t="shared" si="17"/>
        <v>1</v>
      </c>
      <c r="F541">
        <v>54.174599999999998</v>
      </c>
      <c r="G541">
        <v>54.536200000000001</v>
      </c>
      <c r="H541">
        <v>54.102200000000003</v>
      </c>
      <c r="I541">
        <v>54.391599999999997</v>
      </c>
      <c r="J541">
        <v>69892</v>
      </c>
      <c r="K541">
        <v>0.80110000000000003</v>
      </c>
      <c r="L541">
        <v>0.80210000000000004</v>
      </c>
    </row>
    <row r="542" spans="1:12" x14ac:dyDescent="0.25">
      <c r="A542">
        <v>2303</v>
      </c>
      <c r="B542" t="s">
        <v>10</v>
      </c>
      <c r="C542" s="1">
        <v>40571</v>
      </c>
      <c r="D542" s="2">
        <f t="shared" si="16"/>
        <v>5</v>
      </c>
      <c r="E542" s="2">
        <f t="shared" si="17"/>
        <v>1</v>
      </c>
      <c r="F542">
        <v>12.289400000000001</v>
      </c>
      <c r="G542">
        <v>12.3574</v>
      </c>
      <c r="H542">
        <v>12.1191</v>
      </c>
      <c r="I542">
        <v>12.323399999999999</v>
      </c>
      <c r="J542">
        <v>99034</v>
      </c>
      <c r="K542">
        <v>0.55400000000000005</v>
      </c>
      <c r="L542">
        <v>1.9662999999999999</v>
      </c>
    </row>
    <row r="543" spans="1:12" hidden="1" x14ac:dyDescent="0.25">
      <c r="A543">
        <v>2330</v>
      </c>
      <c r="B543" t="s">
        <v>11</v>
      </c>
      <c r="C543" s="1">
        <v>40571</v>
      </c>
      <c r="D543" s="2">
        <f t="shared" si="16"/>
        <v>5</v>
      </c>
      <c r="E543" s="2">
        <f t="shared" si="17"/>
        <v>1</v>
      </c>
      <c r="F543">
        <v>54.391599999999997</v>
      </c>
      <c r="G543">
        <v>55.621200000000002</v>
      </c>
      <c r="H543">
        <v>54.174599999999998</v>
      </c>
      <c r="I543">
        <v>55.187199999999997</v>
      </c>
      <c r="J543">
        <v>110404</v>
      </c>
      <c r="K543">
        <v>1.4521999999999999</v>
      </c>
      <c r="L543">
        <v>2.6701999999999999</v>
      </c>
    </row>
    <row r="544" spans="1:12" x14ac:dyDescent="0.25">
      <c r="A544">
        <v>2303</v>
      </c>
      <c r="B544" t="s">
        <v>10</v>
      </c>
      <c r="C544" s="1">
        <v>40582</v>
      </c>
      <c r="D544" s="2">
        <f t="shared" si="16"/>
        <v>2</v>
      </c>
      <c r="E544" s="2">
        <f t="shared" si="17"/>
        <v>2</v>
      </c>
      <c r="F544">
        <v>12.391500000000001</v>
      </c>
      <c r="G544">
        <v>12.4596</v>
      </c>
      <c r="H544">
        <v>11.9489</v>
      </c>
      <c r="I544">
        <v>11.983000000000001</v>
      </c>
      <c r="J544">
        <v>102075</v>
      </c>
      <c r="K544">
        <v>-2.8012999999999999</v>
      </c>
      <c r="L544">
        <v>4.2735000000000003</v>
      </c>
    </row>
    <row r="545" spans="1:12" hidden="1" x14ac:dyDescent="0.25">
      <c r="A545">
        <v>2330</v>
      </c>
      <c r="B545" t="s">
        <v>11</v>
      </c>
      <c r="C545" s="1">
        <v>40582</v>
      </c>
      <c r="D545" s="2">
        <f t="shared" si="16"/>
        <v>2</v>
      </c>
      <c r="E545" s="2">
        <f t="shared" si="17"/>
        <v>2</v>
      </c>
      <c r="F545">
        <v>55.6935</v>
      </c>
      <c r="G545">
        <v>55.6935</v>
      </c>
      <c r="H545">
        <v>54.102200000000003</v>
      </c>
      <c r="I545">
        <v>54.608499999999999</v>
      </c>
      <c r="J545">
        <v>110969</v>
      </c>
      <c r="K545">
        <v>-1.054</v>
      </c>
      <c r="L545">
        <v>2.9411999999999998</v>
      </c>
    </row>
    <row r="546" spans="1:12" x14ac:dyDescent="0.25">
      <c r="A546">
        <v>2303</v>
      </c>
      <c r="B546" t="s">
        <v>10</v>
      </c>
      <c r="C546" s="1">
        <v>40583</v>
      </c>
      <c r="D546" s="2">
        <f t="shared" si="16"/>
        <v>3</v>
      </c>
      <c r="E546" s="2">
        <f t="shared" si="17"/>
        <v>2</v>
      </c>
      <c r="F546">
        <v>11.914899999999999</v>
      </c>
      <c r="G546">
        <v>12.0511</v>
      </c>
      <c r="H546">
        <v>11.506399999999999</v>
      </c>
      <c r="I546">
        <v>11.5745</v>
      </c>
      <c r="J546">
        <v>97076</v>
      </c>
      <c r="K546">
        <v>-3.4685999999999999</v>
      </c>
      <c r="L546">
        <v>4.7336999999999998</v>
      </c>
    </row>
    <row r="547" spans="1:12" hidden="1" x14ac:dyDescent="0.25">
      <c r="A547">
        <v>2330</v>
      </c>
      <c r="B547" t="s">
        <v>11</v>
      </c>
      <c r="C547" s="1">
        <v>40583</v>
      </c>
      <c r="D547" s="2">
        <f t="shared" si="16"/>
        <v>3</v>
      </c>
      <c r="E547" s="2">
        <f t="shared" si="17"/>
        <v>2</v>
      </c>
      <c r="F547">
        <v>54.608499999999999</v>
      </c>
      <c r="G547">
        <v>54.680900000000001</v>
      </c>
      <c r="H547">
        <v>53.378900000000002</v>
      </c>
      <c r="I547">
        <v>53.378900000000002</v>
      </c>
      <c r="J547">
        <v>81246</v>
      </c>
      <c r="K547">
        <v>-2.2774000000000001</v>
      </c>
      <c r="L547">
        <v>2.4390000000000001</v>
      </c>
    </row>
    <row r="548" spans="1:12" x14ac:dyDescent="0.25">
      <c r="A548">
        <v>2303</v>
      </c>
      <c r="B548" t="s">
        <v>10</v>
      </c>
      <c r="C548" s="1">
        <v>40584</v>
      </c>
      <c r="D548" s="2">
        <f t="shared" si="16"/>
        <v>4</v>
      </c>
      <c r="E548" s="2">
        <f t="shared" si="17"/>
        <v>2</v>
      </c>
      <c r="F548">
        <v>11.5745</v>
      </c>
      <c r="G548">
        <v>11.5745</v>
      </c>
      <c r="H548">
        <v>11.3362</v>
      </c>
      <c r="I548">
        <v>11.3362</v>
      </c>
      <c r="J548">
        <v>63824</v>
      </c>
      <c r="K548">
        <v>-2.0802999999999998</v>
      </c>
      <c r="L548">
        <v>2.1021000000000001</v>
      </c>
    </row>
    <row r="549" spans="1:12" hidden="1" x14ac:dyDescent="0.25">
      <c r="A549">
        <v>2330</v>
      </c>
      <c r="B549" t="s">
        <v>11</v>
      </c>
      <c r="C549" s="1">
        <v>40584</v>
      </c>
      <c r="D549" s="2">
        <f t="shared" si="16"/>
        <v>4</v>
      </c>
      <c r="E549" s="2">
        <f t="shared" si="17"/>
        <v>2</v>
      </c>
      <c r="F549">
        <v>52.872599999999998</v>
      </c>
      <c r="G549">
        <v>53.089599999999997</v>
      </c>
      <c r="H549">
        <v>52.076999999999998</v>
      </c>
      <c r="I549">
        <v>52.076999999999998</v>
      </c>
      <c r="J549">
        <v>83632</v>
      </c>
      <c r="K549">
        <v>-2.4693000000000001</v>
      </c>
      <c r="L549">
        <v>1.9443999999999999</v>
      </c>
    </row>
    <row r="550" spans="1:12" x14ac:dyDescent="0.25">
      <c r="A550">
        <v>2303</v>
      </c>
      <c r="B550" t="s">
        <v>10</v>
      </c>
      <c r="C550" s="1">
        <v>40585</v>
      </c>
      <c r="D550" s="2">
        <f t="shared" si="16"/>
        <v>5</v>
      </c>
      <c r="E550" s="2">
        <f t="shared" si="17"/>
        <v>2</v>
      </c>
      <c r="F550">
        <v>11.2681</v>
      </c>
      <c r="G550">
        <v>11.302099999999999</v>
      </c>
      <c r="H550">
        <v>10.9617</v>
      </c>
      <c r="I550">
        <v>11.0298</v>
      </c>
      <c r="J550">
        <v>77373</v>
      </c>
      <c r="K550">
        <v>-2.7399</v>
      </c>
      <c r="L550">
        <v>3.1055999999999999</v>
      </c>
    </row>
    <row r="551" spans="1:12" hidden="1" x14ac:dyDescent="0.25">
      <c r="A551">
        <v>2330</v>
      </c>
      <c r="B551" t="s">
        <v>11</v>
      </c>
      <c r="C551" s="1">
        <v>40585</v>
      </c>
      <c r="D551" s="2">
        <f t="shared" si="16"/>
        <v>5</v>
      </c>
      <c r="E551" s="2">
        <f t="shared" si="17"/>
        <v>2</v>
      </c>
      <c r="F551">
        <v>52.221699999999998</v>
      </c>
      <c r="G551">
        <v>52.366300000000003</v>
      </c>
      <c r="H551">
        <v>51.281399999999998</v>
      </c>
      <c r="I551">
        <v>51.643000000000001</v>
      </c>
      <c r="J551">
        <v>112430</v>
      </c>
      <c r="K551">
        <v>-0.83679999999999999</v>
      </c>
      <c r="L551">
        <v>2.1156999999999999</v>
      </c>
    </row>
    <row r="552" spans="1:12" x14ac:dyDescent="0.25">
      <c r="A552">
        <v>2303</v>
      </c>
      <c r="B552" t="s">
        <v>10</v>
      </c>
      <c r="C552" s="1">
        <v>40588</v>
      </c>
      <c r="D552" s="2">
        <f t="shared" si="16"/>
        <v>1</v>
      </c>
      <c r="E552" s="2">
        <f t="shared" si="17"/>
        <v>2</v>
      </c>
      <c r="F552">
        <v>11.234</v>
      </c>
      <c r="G552">
        <v>11.302099999999999</v>
      </c>
      <c r="H552">
        <v>11.097899999999999</v>
      </c>
      <c r="I552">
        <v>11.166</v>
      </c>
      <c r="J552">
        <v>48081</v>
      </c>
      <c r="K552">
        <v>1.2270000000000001</v>
      </c>
      <c r="L552">
        <v>1.8405</v>
      </c>
    </row>
    <row r="553" spans="1:12" hidden="1" x14ac:dyDescent="0.25">
      <c r="A553">
        <v>2330</v>
      </c>
      <c r="B553" t="s">
        <v>11</v>
      </c>
      <c r="C553" s="1">
        <v>40588</v>
      </c>
      <c r="D553" s="2">
        <f t="shared" si="16"/>
        <v>1</v>
      </c>
      <c r="E553" s="2">
        <f t="shared" si="17"/>
        <v>2</v>
      </c>
      <c r="F553">
        <v>52.076999999999998</v>
      </c>
      <c r="G553">
        <v>52.728000000000002</v>
      </c>
      <c r="H553">
        <v>51.715400000000002</v>
      </c>
      <c r="I553">
        <v>52.438699999999997</v>
      </c>
      <c r="J553">
        <v>66889</v>
      </c>
      <c r="K553">
        <v>1.5288999999999999</v>
      </c>
      <c r="L553">
        <v>1.958</v>
      </c>
    </row>
    <row r="554" spans="1:12" x14ac:dyDescent="0.25">
      <c r="A554">
        <v>2303</v>
      </c>
      <c r="B554" t="s">
        <v>10</v>
      </c>
      <c r="C554" s="1">
        <v>40589</v>
      </c>
      <c r="D554" s="2">
        <f t="shared" si="16"/>
        <v>2</v>
      </c>
      <c r="E554" s="2">
        <f t="shared" si="17"/>
        <v>2</v>
      </c>
      <c r="F554">
        <v>11.0298</v>
      </c>
      <c r="G554">
        <v>11.234</v>
      </c>
      <c r="H554">
        <v>10.893599999999999</v>
      </c>
      <c r="I554">
        <v>11.0298</v>
      </c>
      <c r="J554">
        <v>47579</v>
      </c>
      <c r="K554">
        <v>-1.2270000000000001</v>
      </c>
      <c r="L554">
        <v>3.125</v>
      </c>
    </row>
    <row r="555" spans="1:12" hidden="1" x14ac:dyDescent="0.25">
      <c r="A555">
        <v>2330</v>
      </c>
      <c r="B555" t="s">
        <v>11</v>
      </c>
      <c r="C555" s="1">
        <v>40589</v>
      </c>
      <c r="D555" s="2">
        <f t="shared" si="16"/>
        <v>2</v>
      </c>
      <c r="E555" s="2">
        <f t="shared" si="17"/>
        <v>2</v>
      </c>
      <c r="F555">
        <v>52.366300000000003</v>
      </c>
      <c r="G555">
        <v>52.872599999999998</v>
      </c>
      <c r="H555">
        <v>51.643000000000001</v>
      </c>
      <c r="I555">
        <v>52.438699999999997</v>
      </c>
      <c r="J555">
        <v>56495</v>
      </c>
      <c r="K555">
        <v>0</v>
      </c>
      <c r="L555">
        <v>2.3809999999999998</v>
      </c>
    </row>
    <row r="556" spans="1:12" x14ac:dyDescent="0.25">
      <c r="A556">
        <v>2303</v>
      </c>
      <c r="B556" t="s">
        <v>10</v>
      </c>
      <c r="C556" s="1">
        <v>40590</v>
      </c>
      <c r="D556" s="2">
        <f t="shared" si="16"/>
        <v>3</v>
      </c>
      <c r="E556" s="2">
        <f t="shared" si="17"/>
        <v>2</v>
      </c>
      <c r="F556">
        <v>11.0298</v>
      </c>
      <c r="G556">
        <v>11.2</v>
      </c>
      <c r="H556">
        <v>10.9617</v>
      </c>
      <c r="I556">
        <v>11.097899999999999</v>
      </c>
      <c r="J556">
        <v>45947</v>
      </c>
      <c r="K556">
        <v>0.61539999999999995</v>
      </c>
      <c r="L556">
        <v>2.1739000000000002</v>
      </c>
    </row>
    <row r="557" spans="1:12" hidden="1" x14ac:dyDescent="0.25">
      <c r="A557">
        <v>2330</v>
      </c>
      <c r="B557" t="s">
        <v>11</v>
      </c>
      <c r="C557" s="1">
        <v>40590</v>
      </c>
      <c r="D557" s="2">
        <f t="shared" si="16"/>
        <v>3</v>
      </c>
      <c r="E557" s="2">
        <f t="shared" si="17"/>
        <v>2</v>
      </c>
      <c r="F557">
        <v>52.366300000000003</v>
      </c>
      <c r="G557">
        <v>52.583300000000001</v>
      </c>
      <c r="H557">
        <v>52.0047</v>
      </c>
      <c r="I557">
        <v>52.1494</v>
      </c>
      <c r="J557">
        <v>54423</v>
      </c>
      <c r="K557">
        <v>-0.55330000000000001</v>
      </c>
      <c r="L557">
        <v>1.1127</v>
      </c>
    </row>
    <row r="558" spans="1:12" x14ac:dyDescent="0.25">
      <c r="A558">
        <v>2303</v>
      </c>
      <c r="B558" t="s">
        <v>10</v>
      </c>
      <c r="C558" s="1">
        <v>40591</v>
      </c>
      <c r="D558" s="2">
        <f t="shared" si="16"/>
        <v>4</v>
      </c>
      <c r="E558" s="2">
        <f t="shared" si="17"/>
        <v>2</v>
      </c>
      <c r="F558">
        <v>11.166</v>
      </c>
      <c r="G558">
        <v>11.166</v>
      </c>
      <c r="H558">
        <v>10.9617</v>
      </c>
      <c r="I558">
        <v>10.995699999999999</v>
      </c>
      <c r="J558">
        <v>37500</v>
      </c>
      <c r="K558">
        <v>-0.92449999999999999</v>
      </c>
      <c r="L558">
        <v>1.8633999999999999</v>
      </c>
    </row>
    <row r="559" spans="1:12" hidden="1" x14ac:dyDescent="0.25">
      <c r="A559">
        <v>2330</v>
      </c>
      <c r="B559" t="s">
        <v>11</v>
      </c>
      <c r="C559" s="1">
        <v>40591</v>
      </c>
      <c r="D559" s="2">
        <f t="shared" si="16"/>
        <v>4</v>
      </c>
      <c r="E559" s="2">
        <f t="shared" si="17"/>
        <v>2</v>
      </c>
      <c r="F559">
        <v>52.366300000000003</v>
      </c>
      <c r="G559">
        <v>52.728000000000002</v>
      </c>
      <c r="H559">
        <v>51.787700000000001</v>
      </c>
      <c r="I559">
        <v>52.438699999999997</v>
      </c>
      <c r="J559">
        <v>49330</v>
      </c>
      <c r="K559">
        <v>0.55330000000000001</v>
      </c>
      <c r="L559">
        <v>1.8156000000000001</v>
      </c>
    </row>
    <row r="560" spans="1:12" x14ac:dyDescent="0.25">
      <c r="A560">
        <v>2303</v>
      </c>
      <c r="B560" t="s">
        <v>10</v>
      </c>
      <c r="C560" s="1">
        <v>40592</v>
      </c>
      <c r="D560" s="2">
        <f t="shared" si="16"/>
        <v>5</v>
      </c>
      <c r="E560" s="2">
        <f t="shared" si="17"/>
        <v>2</v>
      </c>
      <c r="F560">
        <v>11.166</v>
      </c>
      <c r="G560">
        <v>11.3362</v>
      </c>
      <c r="H560">
        <v>11.1319</v>
      </c>
      <c r="I560">
        <v>11.166</v>
      </c>
      <c r="J560">
        <v>51219</v>
      </c>
      <c r="K560">
        <v>1.5361</v>
      </c>
      <c r="L560">
        <v>1.8349</v>
      </c>
    </row>
    <row r="561" spans="1:12" hidden="1" x14ac:dyDescent="0.25">
      <c r="A561">
        <v>2330</v>
      </c>
      <c r="B561" t="s">
        <v>11</v>
      </c>
      <c r="C561" s="1">
        <v>40592</v>
      </c>
      <c r="D561" s="2">
        <f t="shared" si="16"/>
        <v>5</v>
      </c>
      <c r="E561" s="2">
        <f t="shared" si="17"/>
        <v>2</v>
      </c>
      <c r="F561">
        <v>52.872599999999998</v>
      </c>
      <c r="G561">
        <v>53.451300000000003</v>
      </c>
      <c r="H561">
        <v>52.8003</v>
      </c>
      <c r="I561">
        <v>52.8003</v>
      </c>
      <c r="J561">
        <v>74599</v>
      </c>
      <c r="K561">
        <v>0.68730000000000002</v>
      </c>
      <c r="L561">
        <v>1.2329000000000001</v>
      </c>
    </row>
    <row r="562" spans="1:12" x14ac:dyDescent="0.25">
      <c r="A562">
        <v>2303</v>
      </c>
      <c r="B562" t="s">
        <v>10</v>
      </c>
      <c r="C562" s="1">
        <v>40595</v>
      </c>
      <c r="D562" s="2">
        <f t="shared" si="16"/>
        <v>1</v>
      </c>
      <c r="E562" s="2">
        <f t="shared" si="17"/>
        <v>2</v>
      </c>
      <c r="F562">
        <v>11.2</v>
      </c>
      <c r="G562">
        <v>11.2</v>
      </c>
      <c r="H562">
        <v>11.063800000000001</v>
      </c>
      <c r="I562">
        <v>11.097899999999999</v>
      </c>
      <c r="J562">
        <v>27770</v>
      </c>
      <c r="K562">
        <v>-0.61160000000000003</v>
      </c>
      <c r="L562">
        <v>1.2307999999999999</v>
      </c>
    </row>
    <row r="563" spans="1:12" hidden="1" x14ac:dyDescent="0.25">
      <c r="A563">
        <v>2330</v>
      </c>
      <c r="B563" t="s">
        <v>11</v>
      </c>
      <c r="C563" s="1">
        <v>40595</v>
      </c>
      <c r="D563" s="2">
        <f t="shared" si="16"/>
        <v>1</v>
      </c>
      <c r="E563" s="2">
        <f t="shared" si="17"/>
        <v>2</v>
      </c>
      <c r="F563">
        <v>52.872599999999998</v>
      </c>
      <c r="G563">
        <v>53.089599999999997</v>
      </c>
      <c r="H563">
        <v>52.293999999999997</v>
      </c>
      <c r="I563">
        <v>53.089599999999997</v>
      </c>
      <c r="J563">
        <v>39070</v>
      </c>
      <c r="K563">
        <v>0.5464</v>
      </c>
      <c r="L563">
        <v>1.5214000000000001</v>
      </c>
    </row>
    <row r="564" spans="1:12" x14ac:dyDescent="0.25">
      <c r="A564">
        <v>2303</v>
      </c>
      <c r="B564" t="s">
        <v>10</v>
      </c>
      <c r="C564" s="1">
        <v>40596</v>
      </c>
      <c r="D564" s="2">
        <f t="shared" si="16"/>
        <v>2</v>
      </c>
      <c r="E564" s="2">
        <f t="shared" si="17"/>
        <v>2</v>
      </c>
      <c r="F564">
        <v>10.9617</v>
      </c>
      <c r="G564">
        <v>10.9617</v>
      </c>
      <c r="H564">
        <v>10.7234</v>
      </c>
      <c r="I564">
        <v>10.8255</v>
      </c>
      <c r="J564">
        <v>78793</v>
      </c>
      <c r="K564">
        <v>-2.4845999999999999</v>
      </c>
      <c r="L564">
        <v>2.2222</v>
      </c>
    </row>
    <row r="565" spans="1:12" hidden="1" x14ac:dyDescent="0.25">
      <c r="A565">
        <v>2330</v>
      </c>
      <c r="B565" t="s">
        <v>11</v>
      </c>
      <c r="C565" s="1">
        <v>40596</v>
      </c>
      <c r="D565" s="2">
        <f t="shared" si="16"/>
        <v>2</v>
      </c>
      <c r="E565" s="2">
        <f t="shared" si="17"/>
        <v>2</v>
      </c>
      <c r="F565">
        <v>52.221699999999998</v>
      </c>
      <c r="G565">
        <v>52.438699999999997</v>
      </c>
      <c r="H565">
        <v>51.498399999999997</v>
      </c>
      <c r="I565">
        <v>52.438699999999997</v>
      </c>
      <c r="J565">
        <v>82661</v>
      </c>
      <c r="K565">
        <v>-1.2337</v>
      </c>
      <c r="L565">
        <v>1.8258000000000001</v>
      </c>
    </row>
    <row r="566" spans="1:12" x14ac:dyDescent="0.25">
      <c r="A566">
        <v>2303</v>
      </c>
      <c r="B566" t="s">
        <v>10</v>
      </c>
      <c r="C566" s="1">
        <v>40597</v>
      </c>
      <c r="D566" s="2">
        <f t="shared" si="16"/>
        <v>3</v>
      </c>
      <c r="E566" s="2">
        <f t="shared" si="17"/>
        <v>2</v>
      </c>
      <c r="F566">
        <v>10.7234</v>
      </c>
      <c r="G566">
        <v>10.791499999999999</v>
      </c>
      <c r="H566">
        <v>10.417</v>
      </c>
      <c r="I566">
        <v>10.485099999999999</v>
      </c>
      <c r="J566">
        <v>92483</v>
      </c>
      <c r="K566">
        <v>-3.1951999999999998</v>
      </c>
      <c r="L566">
        <v>3.5948000000000002</v>
      </c>
    </row>
    <row r="567" spans="1:12" hidden="1" x14ac:dyDescent="0.25">
      <c r="A567">
        <v>2330</v>
      </c>
      <c r="B567" t="s">
        <v>11</v>
      </c>
      <c r="C567" s="1">
        <v>40597</v>
      </c>
      <c r="D567" s="2">
        <f t="shared" si="16"/>
        <v>3</v>
      </c>
      <c r="E567" s="2">
        <f t="shared" si="17"/>
        <v>2</v>
      </c>
      <c r="F567">
        <v>51.715400000000002</v>
      </c>
      <c r="G567">
        <v>52.0047</v>
      </c>
      <c r="H567">
        <v>50.992100000000001</v>
      </c>
      <c r="I567">
        <v>51.353700000000003</v>
      </c>
      <c r="J567">
        <v>80262</v>
      </c>
      <c r="K567">
        <v>-2.0907</v>
      </c>
      <c r="L567">
        <v>1.9858</v>
      </c>
    </row>
    <row r="568" spans="1:12" x14ac:dyDescent="0.25">
      <c r="A568">
        <v>2303</v>
      </c>
      <c r="B568" t="s">
        <v>10</v>
      </c>
      <c r="C568" s="1">
        <v>40598</v>
      </c>
      <c r="D568" s="2">
        <f t="shared" si="16"/>
        <v>4</v>
      </c>
      <c r="E568" s="2">
        <f t="shared" si="17"/>
        <v>2</v>
      </c>
      <c r="F568">
        <v>10.6213</v>
      </c>
      <c r="G568">
        <v>10.6553</v>
      </c>
      <c r="H568">
        <v>10.485099999999999</v>
      </c>
      <c r="I568">
        <v>10.5532</v>
      </c>
      <c r="J568">
        <v>53017</v>
      </c>
      <c r="K568">
        <v>0.64729999999999999</v>
      </c>
      <c r="L568">
        <v>1.6234</v>
      </c>
    </row>
    <row r="569" spans="1:12" hidden="1" x14ac:dyDescent="0.25">
      <c r="A569">
        <v>2330</v>
      </c>
      <c r="B569" t="s">
        <v>11</v>
      </c>
      <c r="C569" s="1">
        <v>40598</v>
      </c>
      <c r="D569" s="2">
        <f t="shared" si="16"/>
        <v>4</v>
      </c>
      <c r="E569" s="2">
        <f t="shared" si="17"/>
        <v>2</v>
      </c>
      <c r="F569">
        <v>51.353700000000003</v>
      </c>
      <c r="G569">
        <v>51.643000000000001</v>
      </c>
      <c r="H569">
        <v>50.992100000000001</v>
      </c>
      <c r="I569">
        <v>50.992100000000001</v>
      </c>
      <c r="J569">
        <v>62768</v>
      </c>
      <c r="K569">
        <v>-0.70669999999999999</v>
      </c>
      <c r="L569">
        <v>1.2766</v>
      </c>
    </row>
    <row r="570" spans="1:12" x14ac:dyDescent="0.25">
      <c r="A570">
        <v>2303</v>
      </c>
      <c r="B570" t="s">
        <v>10</v>
      </c>
      <c r="C570" s="1">
        <v>40599</v>
      </c>
      <c r="D570" s="2">
        <f t="shared" si="16"/>
        <v>5</v>
      </c>
      <c r="E570" s="2">
        <f t="shared" si="17"/>
        <v>2</v>
      </c>
      <c r="F570">
        <v>10.587199999999999</v>
      </c>
      <c r="G570">
        <v>10.6553</v>
      </c>
      <c r="H570">
        <v>10.417</v>
      </c>
      <c r="I570">
        <v>10.485099999999999</v>
      </c>
      <c r="J570">
        <v>76779</v>
      </c>
      <c r="K570">
        <v>-0.64729999999999999</v>
      </c>
      <c r="L570">
        <v>2.2875999999999999</v>
      </c>
    </row>
    <row r="571" spans="1:12" hidden="1" x14ac:dyDescent="0.25">
      <c r="A571">
        <v>2330</v>
      </c>
      <c r="B571" t="s">
        <v>11</v>
      </c>
      <c r="C571" s="1">
        <v>40599</v>
      </c>
      <c r="D571" s="2">
        <f t="shared" si="16"/>
        <v>5</v>
      </c>
      <c r="E571" s="2">
        <f t="shared" si="17"/>
        <v>2</v>
      </c>
      <c r="F571">
        <v>51.064399999999999</v>
      </c>
      <c r="G571">
        <v>51.426099999999998</v>
      </c>
      <c r="H571">
        <v>50.558100000000003</v>
      </c>
      <c r="I571">
        <v>50.992100000000001</v>
      </c>
      <c r="J571">
        <v>78873</v>
      </c>
      <c r="K571">
        <v>0</v>
      </c>
      <c r="L571">
        <v>1.7166999999999999</v>
      </c>
    </row>
    <row r="572" spans="1:12" x14ac:dyDescent="0.25">
      <c r="A572">
        <v>2303</v>
      </c>
      <c r="B572" t="s">
        <v>10</v>
      </c>
      <c r="C572" s="1">
        <v>40603</v>
      </c>
      <c r="D572" s="2">
        <f t="shared" si="16"/>
        <v>2</v>
      </c>
      <c r="E572" s="2">
        <f t="shared" si="17"/>
        <v>3</v>
      </c>
      <c r="F572">
        <v>10.485099999999999</v>
      </c>
      <c r="G572">
        <v>10.791499999999999</v>
      </c>
      <c r="H572">
        <v>10.485099999999999</v>
      </c>
      <c r="I572">
        <v>10.757400000000001</v>
      </c>
      <c r="J572">
        <v>67074</v>
      </c>
      <c r="K572">
        <v>2.5642</v>
      </c>
      <c r="L572">
        <v>2.9220999999999999</v>
      </c>
    </row>
    <row r="573" spans="1:12" hidden="1" x14ac:dyDescent="0.25">
      <c r="A573">
        <v>2330</v>
      </c>
      <c r="B573" t="s">
        <v>11</v>
      </c>
      <c r="C573" s="1">
        <v>40603</v>
      </c>
      <c r="D573" s="2">
        <f t="shared" si="16"/>
        <v>2</v>
      </c>
      <c r="E573" s="2">
        <f t="shared" si="17"/>
        <v>3</v>
      </c>
      <c r="F573">
        <v>50.630400000000002</v>
      </c>
      <c r="G573">
        <v>51.932400000000001</v>
      </c>
      <c r="H573">
        <v>50.630400000000002</v>
      </c>
      <c r="I573">
        <v>51.643000000000001</v>
      </c>
      <c r="J573">
        <v>84618</v>
      </c>
      <c r="K573">
        <v>1.2685</v>
      </c>
      <c r="L573">
        <v>2.5714000000000001</v>
      </c>
    </row>
    <row r="574" spans="1:12" x14ac:dyDescent="0.25">
      <c r="A574">
        <v>2303</v>
      </c>
      <c r="B574" t="s">
        <v>10</v>
      </c>
      <c r="C574" s="1">
        <v>40604</v>
      </c>
      <c r="D574" s="2">
        <f t="shared" si="16"/>
        <v>3</v>
      </c>
      <c r="E574" s="2">
        <f t="shared" si="17"/>
        <v>3</v>
      </c>
      <c r="F574">
        <v>10.689399999999999</v>
      </c>
      <c r="G574">
        <v>10.689399999999999</v>
      </c>
      <c r="H574">
        <v>10.5191</v>
      </c>
      <c r="I574">
        <v>10.5191</v>
      </c>
      <c r="J574">
        <v>38173</v>
      </c>
      <c r="K574">
        <v>-2.2401</v>
      </c>
      <c r="L574">
        <v>1.6181000000000001</v>
      </c>
    </row>
    <row r="575" spans="1:12" hidden="1" x14ac:dyDescent="0.25">
      <c r="A575">
        <v>2330</v>
      </c>
      <c r="B575" t="s">
        <v>11</v>
      </c>
      <c r="C575" s="1">
        <v>40604</v>
      </c>
      <c r="D575" s="2">
        <f t="shared" si="16"/>
        <v>3</v>
      </c>
      <c r="E575" s="2">
        <f t="shared" si="17"/>
        <v>3</v>
      </c>
      <c r="F575">
        <v>51.209099999999999</v>
      </c>
      <c r="G575">
        <v>51.353700000000003</v>
      </c>
      <c r="H575">
        <v>50.919800000000002</v>
      </c>
      <c r="I575">
        <v>50.919800000000002</v>
      </c>
      <c r="J575">
        <v>53047</v>
      </c>
      <c r="K575">
        <v>-1.4105000000000001</v>
      </c>
      <c r="L575">
        <v>0.85229999999999995</v>
      </c>
    </row>
    <row r="576" spans="1:12" x14ac:dyDescent="0.25">
      <c r="A576">
        <v>2303</v>
      </c>
      <c r="B576" t="s">
        <v>10</v>
      </c>
      <c r="C576" s="1">
        <v>40605</v>
      </c>
      <c r="D576" s="2">
        <f t="shared" si="16"/>
        <v>4</v>
      </c>
      <c r="E576" s="2">
        <f t="shared" si="17"/>
        <v>3</v>
      </c>
      <c r="F576">
        <v>10.6213</v>
      </c>
      <c r="G576">
        <v>10.7234</v>
      </c>
      <c r="H576">
        <v>10.5191</v>
      </c>
      <c r="I576">
        <v>10.689399999999999</v>
      </c>
      <c r="J576">
        <v>41368</v>
      </c>
      <c r="K576">
        <v>1.6052</v>
      </c>
      <c r="L576">
        <v>1.9417</v>
      </c>
    </row>
    <row r="577" spans="1:12" hidden="1" x14ac:dyDescent="0.25">
      <c r="A577">
        <v>2330</v>
      </c>
      <c r="B577" t="s">
        <v>11</v>
      </c>
      <c r="C577" s="1">
        <v>40605</v>
      </c>
      <c r="D577" s="2">
        <f t="shared" si="16"/>
        <v>4</v>
      </c>
      <c r="E577" s="2">
        <f t="shared" si="17"/>
        <v>3</v>
      </c>
      <c r="F577">
        <v>50.702800000000003</v>
      </c>
      <c r="G577">
        <v>51.787700000000001</v>
      </c>
      <c r="H577">
        <v>50.702800000000003</v>
      </c>
      <c r="I577">
        <v>51.209099999999999</v>
      </c>
      <c r="J577">
        <v>59498</v>
      </c>
      <c r="K577">
        <v>0.56659999999999999</v>
      </c>
      <c r="L577">
        <v>2.1398000000000001</v>
      </c>
    </row>
    <row r="578" spans="1:12" x14ac:dyDescent="0.25">
      <c r="A578">
        <v>2303</v>
      </c>
      <c r="B578" t="s">
        <v>10</v>
      </c>
      <c r="C578" s="1">
        <v>40606</v>
      </c>
      <c r="D578" s="2">
        <f t="shared" si="16"/>
        <v>5</v>
      </c>
      <c r="E578" s="2">
        <f t="shared" si="17"/>
        <v>3</v>
      </c>
      <c r="F578">
        <v>10.8255</v>
      </c>
      <c r="G578">
        <v>10.9617</v>
      </c>
      <c r="H578">
        <v>10.757400000000001</v>
      </c>
      <c r="I578">
        <v>10.8255</v>
      </c>
      <c r="J578">
        <v>72548</v>
      </c>
      <c r="K578">
        <v>1.2658</v>
      </c>
      <c r="L578">
        <v>1.8987000000000001</v>
      </c>
    </row>
    <row r="579" spans="1:12" hidden="1" x14ac:dyDescent="0.25">
      <c r="A579">
        <v>2330</v>
      </c>
      <c r="B579" t="s">
        <v>11</v>
      </c>
      <c r="C579" s="1">
        <v>40606</v>
      </c>
      <c r="D579" s="2">
        <f t="shared" ref="D579:D642" si="18">WEEKDAY(C579,2)</f>
        <v>5</v>
      </c>
      <c r="E579" s="2">
        <f t="shared" ref="E579:E642" si="19">MONTH(C579)</f>
        <v>3</v>
      </c>
      <c r="F579">
        <v>51.715400000000002</v>
      </c>
      <c r="G579">
        <v>52.076999999999998</v>
      </c>
      <c r="H579">
        <v>51.570700000000002</v>
      </c>
      <c r="I579">
        <v>51.932400000000001</v>
      </c>
      <c r="J579">
        <v>60659</v>
      </c>
      <c r="K579">
        <v>1.4025000000000001</v>
      </c>
      <c r="L579">
        <v>0.98180000000000001</v>
      </c>
    </row>
    <row r="580" spans="1:12" x14ac:dyDescent="0.25">
      <c r="A580">
        <v>2303</v>
      </c>
      <c r="B580" t="s">
        <v>10</v>
      </c>
      <c r="C580" s="1">
        <v>40609</v>
      </c>
      <c r="D580" s="2">
        <f t="shared" si="18"/>
        <v>1</v>
      </c>
      <c r="E580" s="2">
        <f t="shared" si="19"/>
        <v>3</v>
      </c>
      <c r="F580">
        <v>10.8255</v>
      </c>
      <c r="G580">
        <v>10.8255</v>
      </c>
      <c r="H580">
        <v>10.6213</v>
      </c>
      <c r="I580">
        <v>10.6213</v>
      </c>
      <c r="J580">
        <v>27317</v>
      </c>
      <c r="K580">
        <v>-1.9048</v>
      </c>
      <c r="L580">
        <v>1.9231</v>
      </c>
    </row>
    <row r="581" spans="1:12" hidden="1" x14ac:dyDescent="0.25">
      <c r="A581">
        <v>2330</v>
      </c>
      <c r="B581" t="s">
        <v>11</v>
      </c>
      <c r="C581" s="1">
        <v>40609</v>
      </c>
      <c r="D581" s="2">
        <f t="shared" si="18"/>
        <v>1</v>
      </c>
      <c r="E581" s="2">
        <f t="shared" si="19"/>
        <v>3</v>
      </c>
      <c r="F581">
        <v>51.787700000000001</v>
      </c>
      <c r="G581">
        <v>51.86</v>
      </c>
      <c r="H581">
        <v>51.281399999999998</v>
      </c>
      <c r="I581">
        <v>51.281399999999998</v>
      </c>
      <c r="J581">
        <v>30172</v>
      </c>
      <c r="K581">
        <v>-1.2614000000000001</v>
      </c>
      <c r="L581">
        <v>1.1283000000000001</v>
      </c>
    </row>
    <row r="582" spans="1:12" x14ac:dyDescent="0.25">
      <c r="A582">
        <v>2303</v>
      </c>
      <c r="B582" t="s">
        <v>10</v>
      </c>
      <c r="C582" s="1">
        <v>40610</v>
      </c>
      <c r="D582" s="2">
        <f t="shared" si="18"/>
        <v>2</v>
      </c>
      <c r="E582" s="2">
        <f t="shared" si="19"/>
        <v>3</v>
      </c>
      <c r="F582">
        <v>10.5532</v>
      </c>
      <c r="G582">
        <v>10.689399999999999</v>
      </c>
      <c r="H582">
        <v>10.5191</v>
      </c>
      <c r="I582">
        <v>10.5532</v>
      </c>
      <c r="J582">
        <v>46162</v>
      </c>
      <c r="K582">
        <v>-0.6431</v>
      </c>
      <c r="L582">
        <v>1.6181000000000001</v>
      </c>
    </row>
    <row r="583" spans="1:12" hidden="1" x14ac:dyDescent="0.25">
      <c r="A583">
        <v>2330</v>
      </c>
      <c r="B583" t="s">
        <v>11</v>
      </c>
      <c r="C583" s="1">
        <v>40610</v>
      </c>
      <c r="D583" s="2">
        <f t="shared" si="18"/>
        <v>2</v>
      </c>
      <c r="E583" s="2">
        <f t="shared" si="19"/>
        <v>3</v>
      </c>
      <c r="F583">
        <v>50.992100000000001</v>
      </c>
      <c r="G583">
        <v>51.932400000000001</v>
      </c>
      <c r="H583">
        <v>50.992100000000001</v>
      </c>
      <c r="I583">
        <v>51.715400000000002</v>
      </c>
      <c r="J583">
        <v>55818</v>
      </c>
      <c r="K583">
        <v>0.8427</v>
      </c>
      <c r="L583">
        <v>1.8440000000000001</v>
      </c>
    </row>
    <row r="584" spans="1:12" x14ac:dyDescent="0.25">
      <c r="A584">
        <v>2303</v>
      </c>
      <c r="B584" t="s">
        <v>10</v>
      </c>
      <c r="C584" s="1">
        <v>40611</v>
      </c>
      <c r="D584" s="2">
        <f t="shared" si="18"/>
        <v>3</v>
      </c>
      <c r="E584" s="2">
        <f t="shared" si="19"/>
        <v>3</v>
      </c>
      <c r="F584">
        <v>10.6213</v>
      </c>
      <c r="G584">
        <v>10.6213</v>
      </c>
      <c r="H584">
        <v>10.2468</v>
      </c>
      <c r="I584">
        <v>10.3149</v>
      </c>
      <c r="J584">
        <v>114368</v>
      </c>
      <c r="K584">
        <v>-2.2839</v>
      </c>
      <c r="L584">
        <v>3.6545000000000001</v>
      </c>
    </row>
    <row r="585" spans="1:12" hidden="1" x14ac:dyDescent="0.25">
      <c r="A585">
        <v>2330</v>
      </c>
      <c r="B585" t="s">
        <v>11</v>
      </c>
      <c r="C585" s="1">
        <v>40611</v>
      </c>
      <c r="D585" s="2">
        <f t="shared" si="18"/>
        <v>3</v>
      </c>
      <c r="E585" s="2">
        <f t="shared" si="19"/>
        <v>3</v>
      </c>
      <c r="F585">
        <v>52.221699999999998</v>
      </c>
      <c r="G585">
        <v>52.221699999999998</v>
      </c>
      <c r="H585">
        <v>51.426099999999998</v>
      </c>
      <c r="I585">
        <v>51.643000000000001</v>
      </c>
      <c r="J585">
        <v>46796</v>
      </c>
      <c r="K585">
        <v>-0.14000000000000001</v>
      </c>
      <c r="L585">
        <v>1.5470999999999999</v>
      </c>
    </row>
    <row r="586" spans="1:12" x14ac:dyDescent="0.25">
      <c r="A586">
        <v>2303</v>
      </c>
      <c r="B586" t="s">
        <v>10</v>
      </c>
      <c r="C586" s="1">
        <v>40612</v>
      </c>
      <c r="D586" s="2">
        <f t="shared" si="18"/>
        <v>4</v>
      </c>
      <c r="E586" s="2">
        <f t="shared" si="19"/>
        <v>3</v>
      </c>
      <c r="F586">
        <v>10.2468</v>
      </c>
      <c r="G586">
        <v>10.280900000000001</v>
      </c>
      <c r="H586">
        <v>9.9745000000000008</v>
      </c>
      <c r="I586">
        <v>10.0085</v>
      </c>
      <c r="J586">
        <v>112005</v>
      </c>
      <c r="K586">
        <v>-3.0152999999999999</v>
      </c>
      <c r="L586">
        <v>3.0716999999999999</v>
      </c>
    </row>
    <row r="587" spans="1:12" hidden="1" x14ac:dyDescent="0.25">
      <c r="A587">
        <v>2330</v>
      </c>
      <c r="B587" t="s">
        <v>11</v>
      </c>
      <c r="C587" s="1">
        <v>40612</v>
      </c>
      <c r="D587" s="2">
        <f t="shared" si="18"/>
        <v>4</v>
      </c>
      <c r="E587" s="2">
        <f t="shared" si="19"/>
        <v>3</v>
      </c>
      <c r="F587">
        <v>52.1494</v>
      </c>
      <c r="G587">
        <v>52.1494</v>
      </c>
      <c r="H587">
        <v>50.702800000000003</v>
      </c>
      <c r="I587">
        <v>50.992100000000001</v>
      </c>
      <c r="J587">
        <v>64180</v>
      </c>
      <c r="K587">
        <v>-1.2685</v>
      </c>
      <c r="L587">
        <v>2.8531</v>
      </c>
    </row>
    <row r="588" spans="1:12" x14ac:dyDescent="0.25">
      <c r="A588">
        <v>2303</v>
      </c>
      <c r="B588" t="s">
        <v>10</v>
      </c>
      <c r="C588" s="1">
        <v>40613</v>
      </c>
      <c r="D588" s="2">
        <f t="shared" si="18"/>
        <v>5</v>
      </c>
      <c r="E588" s="2">
        <f t="shared" si="19"/>
        <v>3</v>
      </c>
      <c r="F588">
        <v>9.8722999999999992</v>
      </c>
      <c r="G588">
        <v>10.1106</v>
      </c>
      <c r="H588">
        <v>9.8722999999999992</v>
      </c>
      <c r="I588">
        <v>10.1106</v>
      </c>
      <c r="J588">
        <v>50726</v>
      </c>
      <c r="K588">
        <v>1.0152000000000001</v>
      </c>
      <c r="L588">
        <v>2.4138000000000002</v>
      </c>
    </row>
    <row r="589" spans="1:12" hidden="1" x14ac:dyDescent="0.25">
      <c r="A589">
        <v>2330</v>
      </c>
      <c r="B589" t="s">
        <v>11</v>
      </c>
      <c r="C589" s="1">
        <v>40613</v>
      </c>
      <c r="D589" s="2">
        <f t="shared" si="18"/>
        <v>5</v>
      </c>
      <c r="E589" s="2">
        <f t="shared" si="19"/>
        <v>3</v>
      </c>
      <c r="F589">
        <v>50.630400000000002</v>
      </c>
      <c r="G589">
        <v>51.064399999999999</v>
      </c>
      <c r="H589">
        <v>50.268799999999999</v>
      </c>
      <c r="I589">
        <v>50.630400000000002</v>
      </c>
      <c r="J589">
        <v>52600</v>
      </c>
      <c r="K589">
        <v>-0.7117</v>
      </c>
      <c r="L589">
        <v>1.5827</v>
      </c>
    </row>
    <row r="590" spans="1:12" x14ac:dyDescent="0.25">
      <c r="A590">
        <v>2303</v>
      </c>
      <c r="B590" t="s">
        <v>10</v>
      </c>
      <c r="C590" s="1">
        <v>40616</v>
      </c>
      <c r="D590" s="2">
        <f t="shared" si="18"/>
        <v>1</v>
      </c>
      <c r="E590" s="2">
        <f t="shared" si="19"/>
        <v>3</v>
      </c>
      <c r="F590">
        <v>10.0085</v>
      </c>
      <c r="G590">
        <v>10.0426</v>
      </c>
      <c r="H590">
        <v>9.8042999999999996</v>
      </c>
      <c r="I590">
        <v>9.9404000000000003</v>
      </c>
      <c r="J590">
        <v>62792</v>
      </c>
      <c r="K590">
        <v>-1.6978</v>
      </c>
      <c r="L590">
        <v>2.4306000000000001</v>
      </c>
    </row>
    <row r="591" spans="1:12" hidden="1" x14ac:dyDescent="0.25">
      <c r="A591">
        <v>2330</v>
      </c>
      <c r="B591" t="s">
        <v>11</v>
      </c>
      <c r="C591" s="1">
        <v>40616</v>
      </c>
      <c r="D591" s="2">
        <f t="shared" si="18"/>
        <v>1</v>
      </c>
      <c r="E591" s="2">
        <f t="shared" si="19"/>
        <v>3</v>
      </c>
      <c r="F591">
        <v>50.8474</v>
      </c>
      <c r="G591">
        <v>50.992100000000001</v>
      </c>
      <c r="H591">
        <v>49.979500000000002</v>
      </c>
      <c r="I591">
        <v>50.8474</v>
      </c>
      <c r="J591">
        <v>48041</v>
      </c>
      <c r="K591">
        <v>0.42770000000000002</v>
      </c>
      <c r="L591">
        <v>2.0259999999999998</v>
      </c>
    </row>
    <row r="592" spans="1:12" x14ac:dyDescent="0.25">
      <c r="A592">
        <v>2303</v>
      </c>
      <c r="B592" t="s">
        <v>10</v>
      </c>
      <c r="C592" s="1">
        <v>40617</v>
      </c>
      <c r="D592" s="2">
        <f t="shared" si="18"/>
        <v>2</v>
      </c>
      <c r="E592" s="2">
        <f t="shared" si="19"/>
        <v>3</v>
      </c>
      <c r="F592">
        <v>9.9063999999999997</v>
      </c>
      <c r="G592">
        <v>9.9404000000000003</v>
      </c>
      <c r="H592">
        <v>9.5319000000000003</v>
      </c>
      <c r="I592">
        <v>9.7362000000000002</v>
      </c>
      <c r="J592">
        <v>119091</v>
      </c>
      <c r="K592">
        <v>-2.0762</v>
      </c>
      <c r="L592">
        <v>4.2857000000000003</v>
      </c>
    </row>
    <row r="593" spans="1:12" hidden="1" x14ac:dyDescent="0.25">
      <c r="A593">
        <v>2330</v>
      </c>
      <c r="B593" t="s">
        <v>11</v>
      </c>
      <c r="C593" s="1">
        <v>40617</v>
      </c>
      <c r="D593" s="2">
        <f t="shared" si="18"/>
        <v>2</v>
      </c>
      <c r="E593" s="2">
        <f t="shared" si="19"/>
        <v>3</v>
      </c>
      <c r="F593">
        <v>50.630400000000002</v>
      </c>
      <c r="G593">
        <v>50.702800000000003</v>
      </c>
      <c r="H593">
        <v>47.881900000000002</v>
      </c>
      <c r="I593">
        <v>49.183900000000001</v>
      </c>
      <c r="J593">
        <v>117025</v>
      </c>
      <c r="K593">
        <v>-3.3264</v>
      </c>
      <c r="L593">
        <v>5.8912000000000004</v>
      </c>
    </row>
    <row r="594" spans="1:12" x14ac:dyDescent="0.25">
      <c r="A594">
        <v>2303</v>
      </c>
      <c r="B594" t="s">
        <v>10</v>
      </c>
      <c r="C594" s="1">
        <v>40618</v>
      </c>
      <c r="D594" s="2">
        <f t="shared" si="18"/>
        <v>3</v>
      </c>
      <c r="E594" s="2">
        <f t="shared" si="19"/>
        <v>3</v>
      </c>
      <c r="F594">
        <v>9.8042999999999996</v>
      </c>
      <c r="G594">
        <v>9.9404000000000003</v>
      </c>
      <c r="H594">
        <v>9.5319000000000003</v>
      </c>
      <c r="I594">
        <v>9.6</v>
      </c>
      <c r="J594">
        <v>91347</v>
      </c>
      <c r="K594">
        <v>-1.4085000000000001</v>
      </c>
      <c r="L594">
        <v>4.2857000000000003</v>
      </c>
    </row>
    <row r="595" spans="1:12" hidden="1" x14ac:dyDescent="0.25">
      <c r="A595">
        <v>2330</v>
      </c>
      <c r="B595" t="s">
        <v>11</v>
      </c>
      <c r="C595" s="1">
        <v>40618</v>
      </c>
      <c r="D595" s="2">
        <f t="shared" si="18"/>
        <v>3</v>
      </c>
      <c r="E595" s="2">
        <f t="shared" si="19"/>
        <v>3</v>
      </c>
      <c r="F595">
        <v>49.762500000000003</v>
      </c>
      <c r="G595">
        <v>49.979500000000002</v>
      </c>
      <c r="H595">
        <v>49.2562</v>
      </c>
      <c r="I595">
        <v>49.545499999999997</v>
      </c>
      <c r="J595">
        <v>62389</v>
      </c>
      <c r="K595">
        <v>0.73260000000000003</v>
      </c>
      <c r="L595">
        <v>1.4683999999999999</v>
      </c>
    </row>
    <row r="596" spans="1:12" x14ac:dyDescent="0.25">
      <c r="A596">
        <v>2303</v>
      </c>
      <c r="B596" t="s">
        <v>10</v>
      </c>
      <c r="C596" s="1">
        <v>40619</v>
      </c>
      <c r="D596" s="2">
        <f t="shared" si="18"/>
        <v>4</v>
      </c>
      <c r="E596" s="2">
        <f t="shared" si="19"/>
        <v>3</v>
      </c>
      <c r="F596">
        <v>9.5319000000000003</v>
      </c>
      <c r="G596">
        <v>9.9404000000000003</v>
      </c>
      <c r="H596">
        <v>9.4638000000000009</v>
      </c>
      <c r="I596">
        <v>9.8383000000000003</v>
      </c>
      <c r="J596">
        <v>92608</v>
      </c>
      <c r="K596">
        <v>2.452</v>
      </c>
      <c r="L596">
        <v>5.0359999999999996</v>
      </c>
    </row>
    <row r="597" spans="1:12" hidden="1" x14ac:dyDescent="0.25">
      <c r="A597">
        <v>2330</v>
      </c>
      <c r="B597" t="s">
        <v>11</v>
      </c>
      <c r="C597" s="1">
        <v>40619</v>
      </c>
      <c r="D597" s="2">
        <f t="shared" si="18"/>
        <v>4</v>
      </c>
      <c r="E597" s="2">
        <f t="shared" si="19"/>
        <v>3</v>
      </c>
      <c r="F597">
        <v>48.315899999999999</v>
      </c>
      <c r="G597">
        <v>48.822200000000002</v>
      </c>
      <c r="H597">
        <v>47.520299999999999</v>
      </c>
      <c r="I597">
        <v>48.749899999999997</v>
      </c>
      <c r="J597">
        <v>105442</v>
      </c>
      <c r="K597">
        <v>-1.6189</v>
      </c>
      <c r="L597">
        <v>2.7397</v>
      </c>
    </row>
    <row r="598" spans="1:12" x14ac:dyDescent="0.25">
      <c r="A598">
        <v>2303</v>
      </c>
      <c r="B598" t="s">
        <v>10</v>
      </c>
      <c r="C598" s="1">
        <v>40620</v>
      </c>
      <c r="D598" s="2">
        <f t="shared" si="18"/>
        <v>5</v>
      </c>
      <c r="E598" s="2">
        <f t="shared" si="19"/>
        <v>3</v>
      </c>
      <c r="F598">
        <v>9.9063999999999997</v>
      </c>
      <c r="G598">
        <v>9.9404000000000003</v>
      </c>
      <c r="H598">
        <v>9.7362000000000002</v>
      </c>
      <c r="I598">
        <v>9.9404000000000003</v>
      </c>
      <c r="J598">
        <v>56158</v>
      </c>
      <c r="K598">
        <v>1.0327</v>
      </c>
      <c r="L598">
        <v>2.0979000000000001</v>
      </c>
    </row>
    <row r="599" spans="1:12" hidden="1" x14ac:dyDescent="0.25">
      <c r="A599">
        <v>2330</v>
      </c>
      <c r="B599" t="s">
        <v>11</v>
      </c>
      <c r="C599" s="1">
        <v>40620</v>
      </c>
      <c r="D599" s="2">
        <f t="shared" si="18"/>
        <v>5</v>
      </c>
      <c r="E599" s="2">
        <f t="shared" si="19"/>
        <v>3</v>
      </c>
      <c r="F599">
        <v>49.039200000000001</v>
      </c>
      <c r="G599">
        <v>49.473199999999999</v>
      </c>
      <c r="H599">
        <v>48.605200000000004</v>
      </c>
      <c r="I599">
        <v>49.400799999999997</v>
      </c>
      <c r="J599">
        <v>55721</v>
      </c>
      <c r="K599">
        <v>1.3265</v>
      </c>
      <c r="L599">
        <v>1.7857000000000001</v>
      </c>
    </row>
    <row r="600" spans="1:12" x14ac:dyDescent="0.25">
      <c r="A600">
        <v>2303</v>
      </c>
      <c r="B600" t="s">
        <v>10</v>
      </c>
      <c r="C600" s="1">
        <v>40623</v>
      </c>
      <c r="D600" s="2">
        <f t="shared" si="18"/>
        <v>1</v>
      </c>
      <c r="E600" s="2">
        <f t="shared" si="19"/>
        <v>3</v>
      </c>
      <c r="F600">
        <v>9.9404000000000003</v>
      </c>
      <c r="G600">
        <v>10.076599999999999</v>
      </c>
      <c r="H600">
        <v>9.9063999999999997</v>
      </c>
      <c r="I600">
        <v>10.076599999999999</v>
      </c>
      <c r="J600">
        <v>34834</v>
      </c>
      <c r="K600">
        <v>1.3606</v>
      </c>
      <c r="L600">
        <v>1.7181999999999999</v>
      </c>
    </row>
    <row r="601" spans="1:12" hidden="1" x14ac:dyDescent="0.25">
      <c r="A601">
        <v>2330</v>
      </c>
      <c r="B601" t="s">
        <v>11</v>
      </c>
      <c r="C601" s="1">
        <v>40623</v>
      </c>
      <c r="D601" s="2">
        <f t="shared" si="18"/>
        <v>1</v>
      </c>
      <c r="E601" s="2">
        <f t="shared" si="19"/>
        <v>3</v>
      </c>
      <c r="F601">
        <v>49.400799999999997</v>
      </c>
      <c r="G601">
        <v>49.979500000000002</v>
      </c>
      <c r="H601">
        <v>49.183900000000001</v>
      </c>
      <c r="I601">
        <v>49.9071</v>
      </c>
      <c r="J601">
        <v>36534</v>
      </c>
      <c r="K601">
        <v>1.0197000000000001</v>
      </c>
      <c r="L601">
        <v>1.6175999999999999</v>
      </c>
    </row>
    <row r="602" spans="1:12" x14ac:dyDescent="0.25">
      <c r="A602">
        <v>2303</v>
      </c>
      <c r="B602" t="s">
        <v>10</v>
      </c>
      <c r="C602" s="1">
        <v>40624</v>
      </c>
      <c r="D602" s="2">
        <f t="shared" si="18"/>
        <v>2</v>
      </c>
      <c r="E602" s="2">
        <f t="shared" si="19"/>
        <v>3</v>
      </c>
      <c r="F602">
        <v>10.1447</v>
      </c>
      <c r="G602">
        <v>10.1447</v>
      </c>
      <c r="H602">
        <v>9.9745000000000008</v>
      </c>
      <c r="I602">
        <v>10.0085</v>
      </c>
      <c r="J602">
        <v>37552</v>
      </c>
      <c r="K602">
        <v>-0.67800000000000005</v>
      </c>
      <c r="L602">
        <v>1.7064999999999999</v>
      </c>
    </row>
    <row r="603" spans="1:12" hidden="1" x14ac:dyDescent="0.25">
      <c r="A603">
        <v>2330</v>
      </c>
      <c r="B603" t="s">
        <v>11</v>
      </c>
      <c r="C603" s="1">
        <v>40624</v>
      </c>
      <c r="D603" s="2">
        <f t="shared" si="18"/>
        <v>2</v>
      </c>
      <c r="E603" s="2">
        <f t="shared" si="19"/>
        <v>3</v>
      </c>
      <c r="F603">
        <v>50.268799999999999</v>
      </c>
      <c r="G603">
        <v>50.268799999999999</v>
      </c>
      <c r="H603">
        <v>49.473199999999999</v>
      </c>
      <c r="I603">
        <v>49.617800000000003</v>
      </c>
      <c r="J603">
        <v>34736</v>
      </c>
      <c r="K603">
        <v>-0.58140000000000003</v>
      </c>
      <c r="L603">
        <v>1.6082000000000001</v>
      </c>
    </row>
    <row r="604" spans="1:12" x14ac:dyDescent="0.25">
      <c r="A604">
        <v>2303</v>
      </c>
      <c r="B604" t="s">
        <v>10</v>
      </c>
      <c r="C604" s="1">
        <v>40625</v>
      </c>
      <c r="D604" s="2">
        <f t="shared" si="18"/>
        <v>3</v>
      </c>
      <c r="E604" s="2">
        <f t="shared" si="19"/>
        <v>3</v>
      </c>
      <c r="F604">
        <v>10.0085</v>
      </c>
      <c r="G604">
        <v>10.1106</v>
      </c>
      <c r="H604">
        <v>9.9404000000000003</v>
      </c>
      <c r="I604">
        <v>10.1106</v>
      </c>
      <c r="J604">
        <v>27537</v>
      </c>
      <c r="K604">
        <v>1.0152000000000001</v>
      </c>
      <c r="L604">
        <v>1.7122999999999999</v>
      </c>
    </row>
    <row r="605" spans="1:12" hidden="1" x14ac:dyDescent="0.25">
      <c r="A605">
        <v>2330</v>
      </c>
      <c r="B605" t="s">
        <v>11</v>
      </c>
      <c r="C605" s="1">
        <v>40625</v>
      </c>
      <c r="D605" s="2">
        <f t="shared" si="18"/>
        <v>3</v>
      </c>
      <c r="E605" s="2">
        <f t="shared" si="19"/>
        <v>3</v>
      </c>
      <c r="F605">
        <v>49.979500000000002</v>
      </c>
      <c r="G605">
        <v>49.979500000000002</v>
      </c>
      <c r="H605">
        <v>49.2562</v>
      </c>
      <c r="I605">
        <v>49.690199999999997</v>
      </c>
      <c r="J605">
        <v>31238</v>
      </c>
      <c r="K605">
        <v>0.1457</v>
      </c>
      <c r="L605">
        <v>1.4683999999999999</v>
      </c>
    </row>
    <row r="606" spans="1:12" x14ac:dyDescent="0.25">
      <c r="A606">
        <v>2303</v>
      </c>
      <c r="B606" t="s">
        <v>10</v>
      </c>
      <c r="C606" s="1">
        <v>40626</v>
      </c>
      <c r="D606" s="2">
        <f t="shared" si="18"/>
        <v>4</v>
      </c>
      <c r="E606" s="2">
        <f t="shared" si="19"/>
        <v>3</v>
      </c>
      <c r="F606">
        <v>10.1447</v>
      </c>
      <c r="G606">
        <v>10.280900000000001</v>
      </c>
      <c r="H606">
        <v>10.076599999999999</v>
      </c>
      <c r="I606">
        <v>10.2128</v>
      </c>
      <c r="J606">
        <v>39440</v>
      </c>
      <c r="K606">
        <v>1.0049999999999999</v>
      </c>
      <c r="L606">
        <v>2.0270000000000001</v>
      </c>
    </row>
    <row r="607" spans="1:12" hidden="1" x14ac:dyDescent="0.25">
      <c r="A607">
        <v>2330</v>
      </c>
      <c r="B607" t="s">
        <v>11</v>
      </c>
      <c r="C607" s="1">
        <v>40626</v>
      </c>
      <c r="D607" s="2">
        <f t="shared" si="18"/>
        <v>4</v>
      </c>
      <c r="E607" s="2">
        <f t="shared" si="19"/>
        <v>3</v>
      </c>
      <c r="F607">
        <v>49.979500000000002</v>
      </c>
      <c r="G607">
        <v>50.702800000000003</v>
      </c>
      <c r="H607">
        <v>49.9071</v>
      </c>
      <c r="I607">
        <v>50.1965</v>
      </c>
      <c r="J607">
        <v>44747</v>
      </c>
      <c r="K607">
        <v>1.0138</v>
      </c>
      <c r="L607">
        <v>1.5942000000000001</v>
      </c>
    </row>
    <row r="608" spans="1:12" x14ac:dyDescent="0.25">
      <c r="A608">
        <v>2303</v>
      </c>
      <c r="B608" t="s">
        <v>10</v>
      </c>
      <c r="C608" s="1">
        <v>40627</v>
      </c>
      <c r="D608" s="2">
        <f t="shared" si="18"/>
        <v>5</v>
      </c>
      <c r="E608" s="2">
        <f t="shared" si="19"/>
        <v>3</v>
      </c>
      <c r="F608">
        <v>10.280900000000001</v>
      </c>
      <c r="G608">
        <v>10.3489</v>
      </c>
      <c r="H608">
        <v>10.1447</v>
      </c>
      <c r="I608">
        <v>10.280900000000001</v>
      </c>
      <c r="J608">
        <v>52619</v>
      </c>
      <c r="K608">
        <v>0.66449999999999998</v>
      </c>
      <c r="L608">
        <v>2.0133999999999999</v>
      </c>
    </row>
    <row r="609" spans="1:12" hidden="1" x14ac:dyDescent="0.25">
      <c r="A609">
        <v>2330</v>
      </c>
      <c r="B609" t="s">
        <v>11</v>
      </c>
      <c r="C609" s="1">
        <v>40627</v>
      </c>
      <c r="D609" s="2">
        <f t="shared" si="18"/>
        <v>5</v>
      </c>
      <c r="E609" s="2">
        <f t="shared" si="19"/>
        <v>3</v>
      </c>
      <c r="F609">
        <v>50.919800000000002</v>
      </c>
      <c r="G609">
        <v>51.498399999999997</v>
      </c>
      <c r="H609">
        <v>50.630400000000002</v>
      </c>
      <c r="I609">
        <v>51.498399999999997</v>
      </c>
      <c r="J609">
        <v>51712</v>
      </c>
      <c r="K609">
        <v>2.5606</v>
      </c>
      <c r="L609">
        <v>1.7142999999999999</v>
      </c>
    </row>
    <row r="610" spans="1:12" x14ac:dyDescent="0.25">
      <c r="A610">
        <v>2303</v>
      </c>
      <c r="B610" t="s">
        <v>10</v>
      </c>
      <c r="C610" s="1">
        <v>40630</v>
      </c>
      <c r="D610" s="2">
        <f t="shared" si="18"/>
        <v>1</v>
      </c>
      <c r="E610" s="2">
        <f t="shared" si="19"/>
        <v>3</v>
      </c>
      <c r="F610">
        <v>10.2128</v>
      </c>
      <c r="G610">
        <v>10.280900000000001</v>
      </c>
      <c r="H610">
        <v>10.1447</v>
      </c>
      <c r="I610">
        <v>10.2468</v>
      </c>
      <c r="J610">
        <v>33744</v>
      </c>
      <c r="K610">
        <v>-0.33169999999999999</v>
      </c>
      <c r="L610">
        <v>1.3423</v>
      </c>
    </row>
    <row r="611" spans="1:12" hidden="1" x14ac:dyDescent="0.25">
      <c r="A611">
        <v>2330</v>
      </c>
      <c r="B611" t="s">
        <v>11</v>
      </c>
      <c r="C611" s="1">
        <v>40630</v>
      </c>
      <c r="D611" s="2">
        <f t="shared" si="18"/>
        <v>1</v>
      </c>
      <c r="E611" s="2">
        <f t="shared" si="19"/>
        <v>3</v>
      </c>
      <c r="F611">
        <v>51.064399999999999</v>
      </c>
      <c r="G611">
        <v>51.353700000000003</v>
      </c>
      <c r="H611">
        <v>50.8474</v>
      </c>
      <c r="I611">
        <v>51.353700000000003</v>
      </c>
      <c r="J611">
        <v>31030</v>
      </c>
      <c r="K611">
        <v>-0.28129999999999999</v>
      </c>
      <c r="L611">
        <v>0.99570000000000003</v>
      </c>
    </row>
    <row r="612" spans="1:12" x14ac:dyDescent="0.25">
      <c r="A612">
        <v>2303</v>
      </c>
      <c r="B612" t="s">
        <v>10</v>
      </c>
      <c r="C612" s="1">
        <v>40631</v>
      </c>
      <c r="D612" s="2">
        <f t="shared" si="18"/>
        <v>2</v>
      </c>
      <c r="E612" s="2">
        <f t="shared" si="19"/>
        <v>3</v>
      </c>
      <c r="F612">
        <v>10.2468</v>
      </c>
      <c r="G612">
        <v>10.382999999999999</v>
      </c>
      <c r="H612">
        <v>10.2468</v>
      </c>
      <c r="I612">
        <v>10.3149</v>
      </c>
      <c r="J612">
        <v>33649</v>
      </c>
      <c r="K612">
        <v>0.6623</v>
      </c>
      <c r="L612">
        <v>1.3289</v>
      </c>
    </row>
    <row r="613" spans="1:12" hidden="1" x14ac:dyDescent="0.25">
      <c r="A613">
        <v>2330</v>
      </c>
      <c r="B613" t="s">
        <v>11</v>
      </c>
      <c r="C613" s="1">
        <v>40631</v>
      </c>
      <c r="D613" s="2">
        <f t="shared" si="18"/>
        <v>2</v>
      </c>
      <c r="E613" s="2">
        <f t="shared" si="19"/>
        <v>3</v>
      </c>
      <c r="F613">
        <v>51.064399999999999</v>
      </c>
      <c r="G613">
        <v>51.498399999999997</v>
      </c>
      <c r="H613">
        <v>50.919800000000002</v>
      </c>
      <c r="I613">
        <v>51.209099999999999</v>
      </c>
      <c r="J613">
        <v>34871</v>
      </c>
      <c r="K613">
        <v>-0.28210000000000002</v>
      </c>
      <c r="L613">
        <v>1.1364000000000001</v>
      </c>
    </row>
    <row r="614" spans="1:12" x14ac:dyDescent="0.25">
      <c r="A614">
        <v>2303</v>
      </c>
      <c r="B614" t="s">
        <v>10</v>
      </c>
      <c r="C614" s="1">
        <v>40632</v>
      </c>
      <c r="D614" s="2">
        <f t="shared" si="18"/>
        <v>3</v>
      </c>
      <c r="E614" s="2">
        <f t="shared" si="19"/>
        <v>3</v>
      </c>
      <c r="F614">
        <v>10.3149</v>
      </c>
      <c r="G614">
        <v>10.382999999999999</v>
      </c>
      <c r="H614">
        <v>10.280900000000001</v>
      </c>
      <c r="I614">
        <v>10.3149</v>
      </c>
      <c r="J614">
        <v>34790</v>
      </c>
      <c r="K614">
        <v>0</v>
      </c>
      <c r="L614">
        <v>0.99339999999999995</v>
      </c>
    </row>
    <row r="615" spans="1:12" hidden="1" x14ac:dyDescent="0.25">
      <c r="A615">
        <v>2330</v>
      </c>
      <c r="B615" t="s">
        <v>11</v>
      </c>
      <c r="C615" s="1">
        <v>40632</v>
      </c>
      <c r="D615" s="2">
        <f t="shared" si="18"/>
        <v>3</v>
      </c>
      <c r="E615" s="2">
        <f t="shared" si="19"/>
        <v>3</v>
      </c>
      <c r="F615">
        <v>50.8474</v>
      </c>
      <c r="G615">
        <v>51.209099999999999</v>
      </c>
      <c r="H615">
        <v>50.630400000000002</v>
      </c>
      <c r="I615">
        <v>50.8474</v>
      </c>
      <c r="J615">
        <v>60975</v>
      </c>
      <c r="K615">
        <v>-0.7087</v>
      </c>
      <c r="L615">
        <v>1.1429</v>
      </c>
    </row>
    <row r="616" spans="1:12" x14ac:dyDescent="0.25">
      <c r="A616">
        <v>2303</v>
      </c>
      <c r="B616" t="s">
        <v>10</v>
      </c>
      <c r="C616" s="1">
        <v>40633</v>
      </c>
      <c r="D616" s="2">
        <f t="shared" si="18"/>
        <v>4</v>
      </c>
      <c r="E616" s="2">
        <f t="shared" si="19"/>
        <v>3</v>
      </c>
      <c r="F616">
        <v>10.382999999999999</v>
      </c>
      <c r="G616">
        <v>10.417</v>
      </c>
      <c r="H616">
        <v>10.2128</v>
      </c>
      <c r="I616">
        <v>10.417</v>
      </c>
      <c r="J616">
        <v>32649</v>
      </c>
      <c r="K616">
        <v>0.98519999999999996</v>
      </c>
      <c r="L616">
        <v>2</v>
      </c>
    </row>
    <row r="617" spans="1:12" hidden="1" x14ac:dyDescent="0.25">
      <c r="A617">
        <v>2330</v>
      </c>
      <c r="B617" t="s">
        <v>11</v>
      </c>
      <c r="C617" s="1">
        <v>40633</v>
      </c>
      <c r="D617" s="2">
        <f t="shared" si="18"/>
        <v>4</v>
      </c>
      <c r="E617" s="2">
        <f t="shared" si="19"/>
        <v>3</v>
      </c>
      <c r="F617">
        <v>51.353700000000003</v>
      </c>
      <c r="G617">
        <v>51.353700000000003</v>
      </c>
      <c r="H617">
        <v>50.630400000000002</v>
      </c>
      <c r="I617">
        <v>51.064399999999999</v>
      </c>
      <c r="J617">
        <v>46429</v>
      </c>
      <c r="K617">
        <v>0.42580000000000001</v>
      </c>
      <c r="L617">
        <v>1.4286000000000001</v>
      </c>
    </row>
    <row r="618" spans="1:12" x14ac:dyDescent="0.25">
      <c r="A618">
        <v>2303</v>
      </c>
      <c r="B618" t="s">
        <v>10</v>
      </c>
      <c r="C618" s="1">
        <v>40634</v>
      </c>
      <c r="D618" s="2">
        <f t="shared" si="18"/>
        <v>5</v>
      </c>
      <c r="E618" s="2">
        <f t="shared" si="19"/>
        <v>4</v>
      </c>
      <c r="F618">
        <v>10.417</v>
      </c>
      <c r="G618">
        <v>10.417</v>
      </c>
      <c r="H618">
        <v>10.280900000000001</v>
      </c>
      <c r="I618">
        <v>10.3149</v>
      </c>
      <c r="J618">
        <v>27301</v>
      </c>
      <c r="K618">
        <v>-0.98519999999999996</v>
      </c>
      <c r="L618">
        <v>1.3245</v>
      </c>
    </row>
    <row r="619" spans="1:12" hidden="1" x14ac:dyDescent="0.25">
      <c r="A619">
        <v>2330</v>
      </c>
      <c r="B619" t="s">
        <v>11</v>
      </c>
      <c r="C619" s="1">
        <v>40634</v>
      </c>
      <c r="D619" s="2">
        <f t="shared" si="18"/>
        <v>5</v>
      </c>
      <c r="E619" s="2">
        <f t="shared" si="19"/>
        <v>4</v>
      </c>
      <c r="F619">
        <v>51.136699999999998</v>
      </c>
      <c r="G619">
        <v>51.209099999999999</v>
      </c>
      <c r="H619">
        <v>50.702800000000003</v>
      </c>
      <c r="I619">
        <v>51.136699999999998</v>
      </c>
      <c r="J619">
        <v>30274</v>
      </c>
      <c r="K619">
        <v>0.14149999999999999</v>
      </c>
      <c r="L619">
        <v>0.99860000000000004</v>
      </c>
    </row>
    <row r="620" spans="1:12" x14ac:dyDescent="0.25">
      <c r="A620">
        <v>2303</v>
      </c>
      <c r="B620" t="s">
        <v>10</v>
      </c>
      <c r="C620" s="1">
        <v>40639</v>
      </c>
      <c r="D620" s="2">
        <f t="shared" si="18"/>
        <v>3</v>
      </c>
      <c r="E620" s="2">
        <f t="shared" si="19"/>
        <v>4</v>
      </c>
      <c r="F620">
        <v>10.5532</v>
      </c>
      <c r="G620">
        <v>10.6213</v>
      </c>
      <c r="H620">
        <v>10.4511</v>
      </c>
      <c r="I620">
        <v>10.4511</v>
      </c>
      <c r="J620">
        <v>87117</v>
      </c>
      <c r="K620">
        <v>1.3115000000000001</v>
      </c>
      <c r="L620">
        <v>1.6287</v>
      </c>
    </row>
    <row r="621" spans="1:12" hidden="1" x14ac:dyDescent="0.25">
      <c r="A621">
        <v>2330</v>
      </c>
      <c r="B621" t="s">
        <v>11</v>
      </c>
      <c r="C621" s="1">
        <v>40639</v>
      </c>
      <c r="D621" s="2">
        <f t="shared" si="18"/>
        <v>3</v>
      </c>
      <c r="E621" s="2">
        <f t="shared" si="19"/>
        <v>4</v>
      </c>
      <c r="F621">
        <v>51.715400000000002</v>
      </c>
      <c r="G621">
        <v>52.728000000000002</v>
      </c>
      <c r="H621">
        <v>51.715400000000002</v>
      </c>
      <c r="I621">
        <v>52.728000000000002</v>
      </c>
      <c r="J621">
        <v>114460</v>
      </c>
      <c r="K621">
        <v>3.0642999999999998</v>
      </c>
      <c r="L621">
        <v>1.958</v>
      </c>
    </row>
    <row r="622" spans="1:12" x14ac:dyDescent="0.25">
      <c r="A622">
        <v>2303</v>
      </c>
      <c r="B622" t="s">
        <v>10</v>
      </c>
      <c r="C622" s="1">
        <v>40640</v>
      </c>
      <c r="D622" s="2">
        <f t="shared" si="18"/>
        <v>4</v>
      </c>
      <c r="E622" s="2">
        <f t="shared" si="19"/>
        <v>4</v>
      </c>
      <c r="F622">
        <v>10.485099999999999</v>
      </c>
      <c r="G622">
        <v>10.5532</v>
      </c>
      <c r="H622">
        <v>10.4511</v>
      </c>
      <c r="I622">
        <v>10.5532</v>
      </c>
      <c r="J622">
        <v>44603</v>
      </c>
      <c r="K622">
        <v>0.97250000000000003</v>
      </c>
      <c r="L622">
        <v>0.97719999999999996</v>
      </c>
    </row>
    <row r="623" spans="1:12" hidden="1" x14ac:dyDescent="0.25">
      <c r="A623">
        <v>2330</v>
      </c>
      <c r="B623" t="s">
        <v>11</v>
      </c>
      <c r="C623" s="1">
        <v>40640</v>
      </c>
      <c r="D623" s="2">
        <f t="shared" si="18"/>
        <v>4</v>
      </c>
      <c r="E623" s="2">
        <f t="shared" si="19"/>
        <v>4</v>
      </c>
      <c r="F623">
        <v>52.8003</v>
      </c>
      <c r="G623">
        <v>52.8003</v>
      </c>
      <c r="H623">
        <v>52.293999999999997</v>
      </c>
      <c r="I623">
        <v>52.655700000000003</v>
      </c>
      <c r="J623">
        <v>45215</v>
      </c>
      <c r="K623">
        <v>-0.13730000000000001</v>
      </c>
      <c r="L623">
        <v>0.96819999999999995</v>
      </c>
    </row>
    <row r="624" spans="1:12" x14ac:dyDescent="0.25">
      <c r="A624">
        <v>2303</v>
      </c>
      <c r="B624" t="s">
        <v>10</v>
      </c>
      <c r="C624" s="1">
        <v>40641</v>
      </c>
      <c r="D624" s="2">
        <f t="shared" si="18"/>
        <v>5</v>
      </c>
      <c r="E624" s="2">
        <f t="shared" si="19"/>
        <v>4</v>
      </c>
      <c r="F624">
        <v>10.5532</v>
      </c>
      <c r="G624">
        <v>10.6213</v>
      </c>
      <c r="H624">
        <v>10.485099999999999</v>
      </c>
      <c r="I624">
        <v>10.6213</v>
      </c>
      <c r="J624">
        <v>51810</v>
      </c>
      <c r="K624">
        <v>0.6431</v>
      </c>
      <c r="L624">
        <v>1.2987</v>
      </c>
    </row>
    <row r="625" spans="1:12" hidden="1" x14ac:dyDescent="0.25">
      <c r="A625">
        <v>2330</v>
      </c>
      <c r="B625" t="s">
        <v>11</v>
      </c>
      <c r="C625" s="1">
        <v>40641</v>
      </c>
      <c r="D625" s="2">
        <f t="shared" si="18"/>
        <v>5</v>
      </c>
      <c r="E625" s="2">
        <f t="shared" si="19"/>
        <v>4</v>
      </c>
      <c r="F625">
        <v>52.728000000000002</v>
      </c>
      <c r="G625">
        <v>52.8003</v>
      </c>
      <c r="H625">
        <v>52.366300000000003</v>
      </c>
      <c r="I625">
        <v>52.728000000000002</v>
      </c>
      <c r="J625">
        <v>65763</v>
      </c>
      <c r="K625">
        <v>0.13730000000000001</v>
      </c>
      <c r="L625">
        <v>0.82869999999999999</v>
      </c>
    </row>
    <row r="626" spans="1:12" x14ac:dyDescent="0.25">
      <c r="A626">
        <v>2303</v>
      </c>
      <c r="B626" t="s">
        <v>10</v>
      </c>
      <c r="C626" s="1">
        <v>40644</v>
      </c>
      <c r="D626" s="2">
        <f t="shared" si="18"/>
        <v>1</v>
      </c>
      <c r="E626" s="2">
        <f t="shared" si="19"/>
        <v>4</v>
      </c>
      <c r="F626">
        <v>10.6213</v>
      </c>
      <c r="G626">
        <v>10.6553</v>
      </c>
      <c r="H626">
        <v>10.382999999999999</v>
      </c>
      <c r="I626">
        <v>10.5191</v>
      </c>
      <c r="J626">
        <v>40105</v>
      </c>
      <c r="K626">
        <v>-0.96619999999999995</v>
      </c>
      <c r="L626">
        <v>2.6230000000000002</v>
      </c>
    </row>
    <row r="627" spans="1:12" hidden="1" x14ac:dyDescent="0.25">
      <c r="A627">
        <v>2330</v>
      </c>
      <c r="B627" t="s">
        <v>11</v>
      </c>
      <c r="C627" s="1">
        <v>40644</v>
      </c>
      <c r="D627" s="2">
        <f t="shared" si="18"/>
        <v>1</v>
      </c>
      <c r="E627" s="2">
        <f t="shared" si="19"/>
        <v>4</v>
      </c>
      <c r="F627">
        <v>52.8003</v>
      </c>
      <c r="G627">
        <v>52.8003</v>
      </c>
      <c r="H627">
        <v>51.281399999999998</v>
      </c>
      <c r="I627">
        <v>51.426099999999998</v>
      </c>
      <c r="J627">
        <v>62602</v>
      </c>
      <c r="K627">
        <v>-2.5001000000000002</v>
      </c>
      <c r="L627">
        <v>2.9619</v>
      </c>
    </row>
    <row r="628" spans="1:12" x14ac:dyDescent="0.25">
      <c r="A628">
        <v>2303</v>
      </c>
      <c r="B628" t="s">
        <v>10</v>
      </c>
      <c r="C628" s="1">
        <v>40645</v>
      </c>
      <c r="D628" s="2">
        <f t="shared" si="18"/>
        <v>2</v>
      </c>
      <c r="E628" s="2">
        <f t="shared" si="19"/>
        <v>4</v>
      </c>
      <c r="F628">
        <v>10.485099999999999</v>
      </c>
      <c r="G628">
        <v>10.485099999999999</v>
      </c>
      <c r="H628">
        <v>10.3149</v>
      </c>
      <c r="I628">
        <v>10.4511</v>
      </c>
      <c r="J628">
        <v>23701</v>
      </c>
      <c r="K628">
        <v>-0.64939999999999998</v>
      </c>
      <c r="L628">
        <v>1.6501999999999999</v>
      </c>
    </row>
    <row r="629" spans="1:12" hidden="1" x14ac:dyDescent="0.25">
      <c r="A629">
        <v>2330</v>
      </c>
      <c r="B629" t="s">
        <v>11</v>
      </c>
      <c r="C629" s="1">
        <v>40645</v>
      </c>
      <c r="D629" s="2">
        <f t="shared" si="18"/>
        <v>2</v>
      </c>
      <c r="E629" s="2">
        <f t="shared" si="19"/>
        <v>4</v>
      </c>
      <c r="F629">
        <v>50.992100000000001</v>
      </c>
      <c r="G629">
        <v>51.136699999999998</v>
      </c>
      <c r="H629">
        <v>50.702800000000003</v>
      </c>
      <c r="I629">
        <v>50.702800000000003</v>
      </c>
      <c r="J629">
        <v>45964</v>
      </c>
      <c r="K629">
        <v>-1.4165000000000001</v>
      </c>
      <c r="L629">
        <v>0.85589999999999999</v>
      </c>
    </row>
    <row r="630" spans="1:12" x14ac:dyDescent="0.25">
      <c r="A630">
        <v>2303</v>
      </c>
      <c r="B630" t="s">
        <v>10</v>
      </c>
      <c r="C630" s="1">
        <v>40646</v>
      </c>
      <c r="D630" s="2">
        <f t="shared" si="18"/>
        <v>3</v>
      </c>
      <c r="E630" s="2">
        <f t="shared" si="19"/>
        <v>4</v>
      </c>
      <c r="F630">
        <v>10.4511</v>
      </c>
      <c r="G630">
        <v>10.4511</v>
      </c>
      <c r="H630">
        <v>10.3149</v>
      </c>
      <c r="I630">
        <v>10.417</v>
      </c>
      <c r="J630">
        <v>35062</v>
      </c>
      <c r="K630">
        <v>-0.32629999999999998</v>
      </c>
      <c r="L630">
        <v>1.3201000000000001</v>
      </c>
    </row>
    <row r="631" spans="1:12" hidden="1" x14ac:dyDescent="0.25">
      <c r="A631">
        <v>2330</v>
      </c>
      <c r="B631" t="s">
        <v>11</v>
      </c>
      <c r="C631" s="1">
        <v>40646</v>
      </c>
      <c r="D631" s="2">
        <f t="shared" si="18"/>
        <v>3</v>
      </c>
      <c r="E631" s="2">
        <f t="shared" si="19"/>
        <v>4</v>
      </c>
      <c r="F631">
        <v>50.702800000000003</v>
      </c>
      <c r="G631">
        <v>51.209099999999999</v>
      </c>
      <c r="H631">
        <v>50.630400000000002</v>
      </c>
      <c r="I631">
        <v>51.136699999999998</v>
      </c>
      <c r="J631">
        <v>27891</v>
      </c>
      <c r="K631">
        <v>0.85229999999999995</v>
      </c>
      <c r="L631">
        <v>1.1429</v>
      </c>
    </row>
    <row r="632" spans="1:12" x14ac:dyDescent="0.25">
      <c r="A632">
        <v>2303</v>
      </c>
      <c r="B632" t="s">
        <v>10</v>
      </c>
      <c r="C632" s="1">
        <v>40647</v>
      </c>
      <c r="D632" s="2">
        <f t="shared" si="18"/>
        <v>4</v>
      </c>
      <c r="E632" s="2">
        <f t="shared" si="19"/>
        <v>4</v>
      </c>
      <c r="F632">
        <v>10.417</v>
      </c>
      <c r="G632">
        <v>10.417</v>
      </c>
      <c r="H632">
        <v>10.3149</v>
      </c>
      <c r="I632">
        <v>10.3149</v>
      </c>
      <c r="J632">
        <v>30375</v>
      </c>
      <c r="K632">
        <v>-0.98519999999999996</v>
      </c>
      <c r="L632">
        <v>0.99009999999999998</v>
      </c>
    </row>
    <row r="633" spans="1:12" hidden="1" x14ac:dyDescent="0.25">
      <c r="A633">
        <v>2330</v>
      </c>
      <c r="B633" t="s">
        <v>11</v>
      </c>
      <c r="C633" s="1">
        <v>40647</v>
      </c>
      <c r="D633" s="2">
        <f t="shared" si="18"/>
        <v>4</v>
      </c>
      <c r="E633" s="2">
        <f t="shared" si="19"/>
        <v>4</v>
      </c>
      <c r="F633">
        <v>50.8474</v>
      </c>
      <c r="G633">
        <v>50.992100000000001</v>
      </c>
      <c r="H633">
        <v>50.341099999999997</v>
      </c>
      <c r="I633">
        <v>50.485799999999998</v>
      </c>
      <c r="J633">
        <v>53756</v>
      </c>
      <c r="K633">
        <v>-1.2811999999999999</v>
      </c>
      <c r="L633">
        <v>1.2930999999999999</v>
      </c>
    </row>
    <row r="634" spans="1:12" x14ac:dyDescent="0.25">
      <c r="A634">
        <v>2303</v>
      </c>
      <c r="B634" t="s">
        <v>10</v>
      </c>
      <c r="C634" s="1">
        <v>40648</v>
      </c>
      <c r="D634" s="2">
        <f t="shared" si="18"/>
        <v>5</v>
      </c>
      <c r="E634" s="2">
        <f t="shared" si="19"/>
        <v>4</v>
      </c>
      <c r="F634">
        <v>10.3489</v>
      </c>
      <c r="G634">
        <v>10.382999999999999</v>
      </c>
      <c r="H634">
        <v>10.1447</v>
      </c>
      <c r="I634">
        <v>10.1447</v>
      </c>
      <c r="J634">
        <v>47395</v>
      </c>
      <c r="K634">
        <v>-1.6638999999999999</v>
      </c>
      <c r="L634">
        <v>2.3490000000000002</v>
      </c>
    </row>
    <row r="635" spans="1:12" hidden="1" x14ac:dyDescent="0.25">
      <c r="A635">
        <v>2330</v>
      </c>
      <c r="B635" t="s">
        <v>11</v>
      </c>
      <c r="C635" s="1">
        <v>40648</v>
      </c>
      <c r="D635" s="2">
        <f t="shared" si="18"/>
        <v>5</v>
      </c>
      <c r="E635" s="2">
        <f t="shared" si="19"/>
        <v>4</v>
      </c>
      <c r="F635">
        <v>50.630400000000002</v>
      </c>
      <c r="G635">
        <v>50.630400000000002</v>
      </c>
      <c r="H635">
        <v>49.979500000000002</v>
      </c>
      <c r="I635">
        <v>50.0518</v>
      </c>
      <c r="J635">
        <v>52231</v>
      </c>
      <c r="K635">
        <v>-0.86329999999999996</v>
      </c>
      <c r="L635">
        <v>1.3025</v>
      </c>
    </row>
    <row r="636" spans="1:12" x14ac:dyDescent="0.25">
      <c r="A636">
        <v>2303</v>
      </c>
      <c r="B636" t="s">
        <v>10</v>
      </c>
      <c r="C636" s="1">
        <v>40651</v>
      </c>
      <c r="D636" s="2">
        <f t="shared" si="18"/>
        <v>1</v>
      </c>
      <c r="E636" s="2">
        <f t="shared" si="19"/>
        <v>4</v>
      </c>
      <c r="F636">
        <v>10.1106</v>
      </c>
      <c r="G636">
        <v>10.1447</v>
      </c>
      <c r="H636">
        <v>10.0085</v>
      </c>
      <c r="I636">
        <v>10.0426</v>
      </c>
      <c r="J636">
        <v>43462</v>
      </c>
      <c r="K636">
        <v>-1.0118</v>
      </c>
      <c r="L636">
        <v>1.3605</v>
      </c>
    </row>
    <row r="637" spans="1:12" hidden="1" x14ac:dyDescent="0.25">
      <c r="A637">
        <v>2330</v>
      </c>
      <c r="B637" t="s">
        <v>11</v>
      </c>
      <c r="C637" s="1">
        <v>40651</v>
      </c>
      <c r="D637" s="2">
        <f t="shared" si="18"/>
        <v>1</v>
      </c>
      <c r="E637" s="2">
        <f t="shared" si="19"/>
        <v>4</v>
      </c>
      <c r="F637">
        <v>50.485799999999998</v>
      </c>
      <c r="G637">
        <v>50.485799999999998</v>
      </c>
      <c r="H637">
        <v>49.762500000000003</v>
      </c>
      <c r="I637">
        <v>49.9071</v>
      </c>
      <c r="J637">
        <v>27185</v>
      </c>
      <c r="K637">
        <v>-0.28939999999999999</v>
      </c>
      <c r="L637">
        <v>1.4535</v>
      </c>
    </row>
    <row r="638" spans="1:12" x14ac:dyDescent="0.25">
      <c r="A638">
        <v>2303</v>
      </c>
      <c r="B638" t="s">
        <v>10</v>
      </c>
      <c r="C638" s="1">
        <v>40652</v>
      </c>
      <c r="D638" s="2">
        <f t="shared" si="18"/>
        <v>2</v>
      </c>
      <c r="E638" s="2">
        <f t="shared" si="19"/>
        <v>4</v>
      </c>
      <c r="F638">
        <v>10.0085</v>
      </c>
      <c r="G638">
        <v>10.1447</v>
      </c>
      <c r="H638">
        <v>9.9063999999999997</v>
      </c>
      <c r="I638">
        <v>10.1447</v>
      </c>
      <c r="J638">
        <v>34982</v>
      </c>
      <c r="K638">
        <v>1.0118</v>
      </c>
      <c r="L638">
        <v>2.4055</v>
      </c>
    </row>
    <row r="639" spans="1:12" hidden="1" x14ac:dyDescent="0.25">
      <c r="A639">
        <v>2330</v>
      </c>
      <c r="B639" t="s">
        <v>11</v>
      </c>
      <c r="C639" s="1">
        <v>40652</v>
      </c>
      <c r="D639" s="2">
        <f t="shared" si="18"/>
        <v>2</v>
      </c>
      <c r="E639" s="2">
        <f t="shared" si="19"/>
        <v>4</v>
      </c>
      <c r="F639">
        <v>49.545499999999997</v>
      </c>
      <c r="G639">
        <v>49.545499999999997</v>
      </c>
      <c r="H639">
        <v>49.183900000000001</v>
      </c>
      <c r="I639">
        <v>49.2562</v>
      </c>
      <c r="J639">
        <v>42733</v>
      </c>
      <c r="K639">
        <v>-1.3129</v>
      </c>
      <c r="L639">
        <v>0.73529999999999995</v>
      </c>
    </row>
    <row r="640" spans="1:12" x14ac:dyDescent="0.25">
      <c r="A640">
        <v>2303</v>
      </c>
      <c r="B640" t="s">
        <v>10</v>
      </c>
      <c r="C640" s="1">
        <v>40653</v>
      </c>
      <c r="D640" s="2">
        <f t="shared" si="18"/>
        <v>3</v>
      </c>
      <c r="E640" s="2">
        <f t="shared" si="19"/>
        <v>4</v>
      </c>
      <c r="F640">
        <v>10.280900000000001</v>
      </c>
      <c r="G640">
        <v>10.3149</v>
      </c>
      <c r="H640">
        <v>10.178699999999999</v>
      </c>
      <c r="I640">
        <v>10.280900000000001</v>
      </c>
      <c r="J640">
        <v>34081</v>
      </c>
      <c r="K640">
        <v>1.3333999999999999</v>
      </c>
      <c r="L640">
        <v>1.3378000000000001</v>
      </c>
    </row>
    <row r="641" spans="1:12" hidden="1" x14ac:dyDescent="0.25">
      <c r="A641">
        <v>2330</v>
      </c>
      <c r="B641" t="s">
        <v>11</v>
      </c>
      <c r="C641" s="1">
        <v>40653</v>
      </c>
      <c r="D641" s="2">
        <f t="shared" si="18"/>
        <v>3</v>
      </c>
      <c r="E641" s="2">
        <f t="shared" si="19"/>
        <v>4</v>
      </c>
      <c r="F641">
        <v>49.9071</v>
      </c>
      <c r="G641">
        <v>50.485799999999998</v>
      </c>
      <c r="H641">
        <v>49.545499999999997</v>
      </c>
      <c r="I641">
        <v>50.485799999999998</v>
      </c>
      <c r="J641">
        <v>48244</v>
      </c>
      <c r="K641">
        <v>2.4657</v>
      </c>
      <c r="L641">
        <v>1.8977999999999999</v>
      </c>
    </row>
    <row r="642" spans="1:12" x14ac:dyDescent="0.25">
      <c r="A642">
        <v>2303</v>
      </c>
      <c r="B642" t="s">
        <v>10</v>
      </c>
      <c r="C642" s="1">
        <v>40654</v>
      </c>
      <c r="D642" s="2">
        <f t="shared" si="18"/>
        <v>4</v>
      </c>
      <c r="E642" s="2">
        <f t="shared" si="19"/>
        <v>4</v>
      </c>
      <c r="F642">
        <v>10.417</v>
      </c>
      <c r="G642">
        <v>10.5191</v>
      </c>
      <c r="H642">
        <v>10.382999999999999</v>
      </c>
      <c r="I642">
        <v>10.417</v>
      </c>
      <c r="J642">
        <v>37156</v>
      </c>
      <c r="K642">
        <v>1.3158000000000001</v>
      </c>
      <c r="L642">
        <v>1.3115000000000001</v>
      </c>
    </row>
    <row r="643" spans="1:12" hidden="1" x14ac:dyDescent="0.25">
      <c r="A643">
        <v>2330</v>
      </c>
      <c r="B643" t="s">
        <v>11</v>
      </c>
      <c r="C643" s="1">
        <v>40654</v>
      </c>
      <c r="D643" s="2">
        <f t="shared" ref="D643:D706" si="20">WEEKDAY(C643,2)</f>
        <v>4</v>
      </c>
      <c r="E643" s="2">
        <f t="shared" ref="E643:E706" si="21">MONTH(C643)</f>
        <v>4</v>
      </c>
      <c r="F643">
        <v>51.136699999999998</v>
      </c>
      <c r="G643">
        <v>51.570700000000002</v>
      </c>
      <c r="H643">
        <v>50.8474</v>
      </c>
      <c r="I643">
        <v>51.136699999999998</v>
      </c>
      <c r="J643">
        <v>50937</v>
      </c>
      <c r="K643">
        <v>1.2811999999999999</v>
      </c>
      <c r="L643">
        <v>1.4225000000000001</v>
      </c>
    </row>
    <row r="644" spans="1:12" x14ac:dyDescent="0.25">
      <c r="A644">
        <v>2303</v>
      </c>
      <c r="B644" t="s">
        <v>10</v>
      </c>
      <c r="C644" s="1">
        <v>40655</v>
      </c>
      <c r="D644" s="2">
        <f t="shared" si="20"/>
        <v>5</v>
      </c>
      <c r="E644" s="2">
        <f t="shared" si="21"/>
        <v>4</v>
      </c>
      <c r="F644">
        <v>10.417</v>
      </c>
      <c r="G644">
        <v>10.4511</v>
      </c>
      <c r="H644">
        <v>10.3489</v>
      </c>
      <c r="I644">
        <v>10.3489</v>
      </c>
      <c r="J644">
        <v>21761</v>
      </c>
      <c r="K644">
        <v>-0.65569999999999995</v>
      </c>
      <c r="L644">
        <v>0.98680000000000001</v>
      </c>
    </row>
    <row r="645" spans="1:12" hidden="1" x14ac:dyDescent="0.25">
      <c r="A645">
        <v>2330</v>
      </c>
      <c r="B645" t="s">
        <v>11</v>
      </c>
      <c r="C645" s="1">
        <v>40655</v>
      </c>
      <c r="D645" s="2">
        <f t="shared" si="20"/>
        <v>5</v>
      </c>
      <c r="E645" s="2">
        <f t="shared" si="21"/>
        <v>4</v>
      </c>
      <c r="F645">
        <v>51.281399999999998</v>
      </c>
      <c r="G645">
        <v>51.353700000000003</v>
      </c>
      <c r="H645">
        <v>50.8474</v>
      </c>
      <c r="I645">
        <v>51.281399999999998</v>
      </c>
      <c r="J645">
        <v>25371</v>
      </c>
      <c r="K645">
        <v>0.28249999999999997</v>
      </c>
      <c r="L645">
        <v>0.99570000000000003</v>
      </c>
    </row>
    <row r="646" spans="1:12" x14ac:dyDescent="0.25">
      <c r="A646">
        <v>2303</v>
      </c>
      <c r="B646" t="s">
        <v>10</v>
      </c>
      <c r="C646" s="1">
        <v>40658</v>
      </c>
      <c r="D646" s="2">
        <f t="shared" si="20"/>
        <v>1</v>
      </c>
      <c r="E646" s="2">
        <f t="shared" si="21"/>
        <v>4</v>
      </c>
      <c r="F646">
        <v>10.3489</v>
      </c>
      <c r="G646">
        <v>10.382999999999999</v>
      </c>
      <c r="H646">
        <v>10.2468</v>
      </c>
      <c r="I646">
        <v>10.2468</v>
      </c>
      <c r="J646">
        <v>17096</v>
      </c>
      <c r="K646">
        <v>-0.99170000000000003</v>
      </c>
      <c r="L646">
        <v>1.3289</v>
      </c>
    </row>
    <row r="647" spans="1:12" hidden="1" x14ac:dyDescent="0.25">
      <c r="A647">
        <v>2330</v>
      </c>
      <c r="B647" t="s">
        <v>11</v>
      </c>
      <c r="C647" s="1">
        <v>40658</v>
      </c>
      <c r="D647" s="2">
        <f t="shared" si="20"/>
        <v>1</v>
      </c>
      <c r="E647" s="2">
        <f t="shared" si="21"/>
        <v>4</v>
      </c>
      <c r="F647">
        <v>51.353700000000003</v>
      </c>
      <c r="G647">
        <v>51.426099999999998</v>
      </c>
      <c r="H647">
        <v>50.702800000000003</v>
      </c>
      <c r="I647">
        <v>50.8474</v>
      </c>
      <c r="J647">
        <v>22103</v>
      </c>
      <c r="K647">
        <v>-0.84989999999999999</v>
      </c>
      <c r="L647">
        <v>1.4265000000000001</v>
      </c>
    </row>
    <row r="648" spans="1:12" x14ac:dyDescent="0.25">
      <c r="A648">
        <v>2303</v>
      </c>
      <c r="B648" t="s">
        <v>10</v>
      </c>
      <c r="C648" s="1">
        <v>40659</v>
      </c>
      <c r="D648" s="2">
        <f t="shared" si="20"/>
        <v>2</v>
      </c>
      <c r="E648" s="2">
        <f t="shared" si="21"/>
        <v>4</v>
      </c>
      <c r="F648">
        <v>10.2128</v>
      </c>
      <c r="G648">
        <v>10.382999999999999</v>
      </c>
      <c r="H648">
        <v>10.178699999999999</v>
      </c>
      <c r="I648">
        <v>10.382999999999999</v>
      </c>
      <c r="J648">
        <v>30876</v>
      </c>
      <c r="K648">
        <v>1.3202</v>
      </c>
      <c r="L648">
        <v>2.0066999999999999</v>
      </c>
    </row>
    <row r="649" spans="1:12" hidden="1" x14ac:dyDescent="0.25">
      <c r="A649">
        <v>2330</v>
      </c>
      <c r="B649" t="s">
        <v>11</v>
      </c>
      <c r="C649" s="1">
        <v>40659</v>
      </c>
      <c r="D649" s="2">
        <f t="shared" si="20"/>
        <v>2</v>
      </c>
      <c r="E649" s="2">
        <f t="shared" si="21"/>
        <v>4</v>
      </c>
      <c r="F649">
        <v>50.413499999999999</v>
      </c>
      <c r="G649">
        <v>50.8474</v>
      </c>
      <c r="H649">
        <v>49.979500000000002</v>
      </c>
      <c r="I649">
        <v>50.8474</v>
      </c>
      <c r="J649">
        <v>31931</v>
      </c>
      <c r="K649">
        <v>0</v>
      </c>
      <c r="L649">
        <v>1.7365999999999999</v>
      </c>
    </row>
    <row r="650" spans="1:12" x14ac:dyDescent="0.25">
      <c r="A650">
        <v>2303</v>
      </c>
      <c r="B650" t="s">
        <v>10</v>
      </c>
      <c r="C650" s="1">
        <v>40660</v>
      </c>
      <c r="D650" s="2">
        <f t="shared" si="20"/>
        <v>3</v>
      </c>
      <c r="E650" s="2">
        <f t="shared" si="21"/>
        <v>4</v>
      </c>
      <c r="F650">
        <v>10.417</v>
      </c>
      <c r="G650">
        <v>10.5191</v>
      </c>
      <c r="H650">
        <v>10.417</v>
      </c>
      <c r="I650">
        <v>10.417</v>
      </c>
      <c r="J650">
        <v>41942</v>
      </c>
      <c r="K650">
        <v>0.32729999999999998</v>
      </c>
      <c r="L650">
        <v>0.98040000000000005</v>
      </c>
    </row>
    <row r="651" spans="1:12" hidden="1" x14ac:dyDescent="0.25">
      <c r="A651">
        <v>2330</v>
      </c>
      <c r="B651" t="s">
        <v>11</v>
      </c>
      <c r="C651" s="1">
        <v>40660</v>
      </c>
      <c r="D651" s="2">
        <f t="shared" si="20"/>
        <v>3</v>
      </c>
      <c r="E651" s="2">
        <f t="shared" si="21"/>
        <v>4</v>
      </c>
      <c r="F651">
        <v>51.715400000000002</v>
      </c>
      <c r="G651">
        <v>52.583300000000001</v>
      </c>
      <c r="H651">
        <v>51.715400000000002</v>
      </c>
      <c r="I651">
        <v>52.293999999999997</v>
      </c>
      <c r="J651">
        <v>59307</v>
      </c>
      <c r="K651">
        <v>2.8052000000000001</v>
      </c>
      <c r="L651">
        <v>1.6782999999999999</v>
      </c>
    </row>
    <row r="652" spans="1:12" x14ac:dyDescent="0.25">
      <c r="A652">
        <v>2303</v>
      </c>
      <c r="B652" t="s">
        <v>10</v>
      </c>
      <c r="C652" s="1">
        <v>40661</v>
      </c>
      <c r="D652" s="2">
        <f t="shared" si="20"/>
        <v>4</v>
      </c>
      <c r="E652" s="2">
        <f t="shared" si="21"/>
        <v>4</v>
      </c>
      <c r="F652">
        <v>10.417</v>
      </c>
      <c r="G652">
        <v>10.4511</v>
      </c>
      <c r="H652">
        <v>10.280900000000001</v>
      </c>
      <c r="I652">
        <v>10.280900000000001</v>
      </c>
      <c r="J652">
        <v>39215</v>
      </c>
      <c r="K652">
        <v>-1.3158000000000001</v>
      </c>
      <c r="L652">
        <v>1.6556</v>
      </c>
    </row>
    <row r="653" spans="1:12" hidden="1" x14ac:dyDescent="0.25">
      <c r="A653">
        <v>2330</v>
      </c>
      <c r="B653" t="s">
        <v>11</v>
      </c>
      <c r="C653" s="1">
        <v>40661</v>
      </c>
      <c r="D653" s="2">
        <f t="shared" si="20"/>
        <v>4</v>
      </c>
      <c r="E653" s="2">
        <f t="shared" si="21"/>
        <v>4</v>
      </c>
      <c r="F653">
        <v>53.089599999999997</v>
      </c>
      <c r="G653">
        <v>53.306600000000003</v>
      </c>
      <c r="H653">
        <v>52.728000000000002</v>
      </c>
      <c r="I653">
        <v>52.8003</v>
      </c>
      <c r="J653">
        <v>83614</v>
      </c>
      <c r="K653">
        <v>0.96350000000000002</v>
      </c>
      <c r="L653">
        <v>1.0973999999999999</v>
      </c>
    </row>
    <row r="654" spans="1:12" x14ac:dyDescent="0.25">
      <c r="A654">
        <v>2303</v>
      </c>
      <c r="B654" t="s">
        <v>10</v>
      </c>
      <c r="C654" s="1">
        <v>40662</v>
      </c>
      <c r="D654" s="2">
        <f t="shared" si="20"/>
        <v>5</v>
      </c>
      <c r="E654" s="2">
        <f t="shared" si="21"/>
        <v>4</v>
      </c>
      <c r="F654">
        <v>10.280900000000001</v>
      </c>
      <c r="G654">
        <v>10.3149</v>
      </c>
      <c r="H654">
        <v>10.0426</v>
      </c>
      <c r="I654">
        <v>10.1106</v>
      </c>
      <c r="J654">
        <v>57337</v>
      </c>
      <c r="K654">
        <v>-1.6695</v>
      </c>
      <c r="L654">
        <v>2.7119</v>
      </c>
    </row>
    <row r="655" spans="1:12" hidden="1" x14ac:dyDescent="0.25">
      <c r="A655">
        <v>2330</v>
      </c>
      <c r="B655" t="s">
        <v>11</v>
      </c>
      <c r="C655" s="1">
        <v>40662</v>
      </c>
      <c r="D655" s="2">
        <f t="shared" si="20"/>
        <v>5</v>
      </c>
      <c r="E655" s="2">
        <f t="shared" si="21"/>
        <v>4</v>
      </c>
      <c r="F655">
        <v>53.3065</v>
      </c>
      <c r="G655">
        <v>53.4512</v>
      </c>
      <c r="H655">
        <v>52.727899999999998</v>
      </c>
      <c r="I655">
        <v>52.944899999999997</v>
      </c>
      <c r="J655">
        <v>93588</v>
      </c>
      <c r="K655">
        <v>0.27360000000000001</v>
      </c>
      <c r="L655">
        <v>1.3716999999999999</v>
      </c>
    </row>
    <row r="656" spans="1:12" x14ac:dyDescent="0.25">
      <c r="A656">
        <v>2303</v>
      </c>
      <c r="B656" t="s">
        <v>10</v>
      </c>
      <c r="C656" s="1">
        <v>40666</v>
      </c>
      <c r="D656" s="2">
        <f t="shared" si="20"/>
        <v>2</v>
      </c>
      <c r="E656" s="2">
        <f t="shared" si="21"/>
        <v>5</v>
      </c>
      <c r="F656">
        <v>10.2128</v>
      </c>
      <c r="G656">
        <v>10.2128</v>
      </c>
      <c r="H656">
        <v>10.1106</v>
      </c>
      <c r="I656">
        <v>10.178699999999999</v>
      </c>
      <c r="J656">
        <v>27394</v>
      </c>
      <c r="K656">
        <v>0.67110000000000003</v>
      </c>
      <c r="L656">
        <v>1.0101</v>
      </c>
    </row>
    <row r="657" spans="1:12" hidden="1" x14ac:dyDescent="0.25">
      <c r="A657">
        <v>2330</v>
      </c>
      <c r="B657" t="s">
        <v>11</v>
      </c>
      <c r="C657" s="1">
        <v>40666</v>
      </c>
      <c r="D657" s="2">
        <f t="shared" si="20"/>
        <v>2</v>
      </c>
      <c r="E657" s="2">
        <f t="shared" si="21"/>
        <v>5</v>
      </c>
      <c r="F657">
        <v>53.4512</v>
      </c>
      <c r="G657">
        <v>54.102200000000003</v>
      </c>
      <c r="H657">
        <v>53.234200000000001</v>
      </c>
      <c r="I657">
        <v>53.957500000000003</v>
      </c>
      <c r="J657">
        <v>81669</v>
      </c>
      <c r="K657">
        <v>1.8945000000000001</v>
      </c>
      <c r="L657">
        <v>1.6304000000000001</v>
      </c>
    </row>
    <row r="658" spans="1:12" x14ac:dyDescent="0.25">
      <c r="A658">
        <v>2303</v>
      </c>
      <c r="B658" t="s">
        <v>10</v>
      </c>
      <c r="C658" s="1">
        <v>40667</v>
      </c>
      <c r="D658" s="2">
        <f t="shared" si="20"/>
        <v>3</v>
      </c>
      <c r="E658" s="2">
        <f t="shared" si="21"/>
        <v>5</v>
      </c>
      <c r="F658">
        <v>10.178699999999999</v>
      </c>
      <c r="G658">
        <v>10.2468</v>
      </c>
      <c r="H658">
        <v>10.076599999999999</v>
      </c>
      <c r="I658">
        <v>10.178699999999999</v>
      </c>
      <c r="J658">
        <v>32573</v>
      </c>
      <c r="K658">
        <v>0</v>
      </c>
      <c r="L658">
        <v>1.6892</v>
      </c>
    </row>
    <row r="659" spans="1:12" hidden="1" x14ac:dyDescent="0.25">
      <c r="A659">
        <v>2330</v>
      </c>
      <c r="B659" t="s">
        <v>11</v>
      </c>
      <c r="C659" s="1">
        <v>40667</v>
      </c>
      <c r="D659" s="2">
        <f t="shared" si="20"/>
        <v>3</v>
      </c>
      <c r="E659" s="2">
        <f t="shared" si="21"/>
        <v>5</v>
      </c>
      <c r="F659">
        <v>53.812899999999999</v>
      </c>
      <c r="G659">
        <v>53.812899999999999</v>
      </c>
      <c r="H659">
        <v>52.800199999999997</v>
      </c>
      <c r="I659">
        <v>53.378900000000002</v>
      </c>
      <c r="J659">
        <v>46678</v>
      </c>
      <c r="K659">
        <v>-1.0782</v>
      </c>
      <c r="L659">
        <v>1.9177999999999999</v>
      </c>
    </row>
    <row r="660" spans="1:12" x14ac:dyDescent="0.25">
      <c r="A660">
        <v>2303</v>
      </c>
      <c r="B660" t="s">
        <v>10</v>
      </c>
      <c r="C660" s="1">
        <v>40668</v>
      </c>
      <c r="D660" s="2">
        <f t="shared" si="20"/>
        <v>4</v>
      </c>
      <c r="E660" s="2">
        <f t="shared" si="21"/>
        <v>5</v>
      </c>
      <c r="F660">
        <v>10.178699999999999</v>
      </c>
      <c r="G660">
        <v>10.280900000000001</v>
      </c>
      <c r="H660">
        <v>10.1106</v>
      </c>
      <c r="I660">
        <v>10.2128</v>
      </c>
      <c r="J660">
        <v>15778</v>
      </c>
      <c r="K660">
        <v>0.33389999999999997</v>
      </c>
      <c r="L660">
        <v>1.6835</v>
      </c>
    </row>
    <row r="661" spans="1:12" hidden="1" x14ac:dyDescent="0.25">
      <c r="A661">
        <v>2330</v>
      </c>
      <c r="B661" t="s">
        <v>11</v>
      </c>
      <c r="C661" s="1">
        <v>40668</v>
      </c>
      <c r="D661" s="2">
        <f t="shared" si="20"/>
        <v>4</v>
      </c>
      <c r="E661" s="2">
        <f t="shared" si="21"/>
        <v>5</v>
      </c>
      <c r="F661">
        <v>53.523499999999999</v>
      </c>
      <c r="G661">
        <v>54.102200000000003</v>
      </c>
      <c r="H661">
        <v>53.234200000000001</v>
      </c>
      <c r="I661">
        <v>54.102200000000003</v>
      </c>
      <c r="J661">
        <v>45484</v>
      </c>
      <c r="K661">
        <v>1.3459000000000001</v>
      </c>
      <c r="L661">
        <v>1.6304000000000001</v>
      </c>
    </row>
    <row r="662" spans="1:12" x14ac:dyDescent="0.25">
      <c r="A662">
        <v>2303</v>
      </c>
      <c r="B662" t="s">
        <v>10</v>
      </c>
      <c r="C662" s="1">
        <v>40669</v>
      </c>
      <c r="D662" s="2">
        <f t="shared" si="20"/>
        <v>5</v>
      </c>
      <c r="E662" s="2">
        <f t="shared" si="21"/>
        <v>5</v>
      </c>
      <c r="F662">
        <v>10.2128</v>
      </c>
      <c r="G662">
        <v>10.3149</v>
      </c>
      <c r="H662">
        <v>10.1447</v>
      </c>
      <c r="I662">
        <v>10.2128</v>
      </c>
      <c r="J662">
        <v>24907</v>
      </c>
      <c r="K662">
        <v>0</v>
      </c>
      <c r="L662">
        <v>1.6778999999999999</v>
      </c>
    </row>
    <row r="663" spans="1:12" hidden="1" x14ac:dyDescent="0.25">
      <c r="A663">
        <v>2330</v>
      </c>
      <c r="B663" t="s">
        <v>11</v>
      </c>
      <c r="C663" s="1">
        <v>40669</v>
      </c>
      <c r="D663" s="2">
        <f t="shared" si="20"/>
        <v>5</v>
      </c>
      <c r="E663" s="2">
        <f t="shared" si="21"/>
        <v>5</v>
      </c>
      <c r="F663">
        <v>54.2468</v>
      </c>
      <c r="G663">
        <v>54.680799999999998</v>
      </c>
      <c r="H663">
        <v>53.812899999999999</v>
      </c>
      <c r="I663">
        <v>54.2468</v>
      </c>
      <c r="J663">
        <v>54111</v>
      </c>
      <c r="K663">
        <v>0.26700000000000002</v>
      </c>
      <c r="L663">
        <v>1.6129</v>
      </c>
    </row>
    <row r="664" spans="1:12" x14ac:dyDescent="0.25">
      <c r="A664">
        <v>2303</v>
      </c>
      <c r="B664" t="s">
        <v>10</v>
      </c>
      <c r="C664" s="1">
        <v>40672</v>
      </c>
      <c r="D664" s="2">
        <f t="shared" si="20"/>
        <v>1</v>
      </c>
      <c r="E664" s="2">
        <f t="shared" si="21"/>
        <v>5</v>
      </c>
      <c r="F664">
        <v>10.3149</v>
      </c>
      <c r="G664">
        <v>10.382999999999999</v>
      </c>
      <c r="H664">
        <v>10.2468</v>
      </c>
      <c r="I664">
        <v>10.3489</v>
      </c>
      <c r="J664">
        <v>28149</v>
      </c>
      <c r="K664">
        <v>1.3245</v>
      </c>
      <c r="L664">
        <v>1.3289</v>
      </c>
    </row>
    <row r="665" spans="1:12" hidden="1" x14ac:dyDescent="0.25">
      <c r="A665">
        <v>2330</v>
      </c>
      <c r="B665" t="s">
        <v>11</v>
      </c>
      <c r="C665" s="1">
        <v>40672</v>
      </c>
      <c r="D665" s="2">
        <f t="shared" si="20"/>
        <v>1</v>
      </c>
      <c r="E665" s="2">
        <f t="shared" si="21"/>
        <v>5</v>
      </c>
      <c r="F665">
        <v>54.680799999999998</v>
      </c>
      <c r="G665">
        <v>55.042400000000001</v>
      </c>
      <c r="H665">
        <v>54.391500000000001</v>
      </c>
      <c r="I665">
        <v>54.608499999999999</v>
      </c>
      <c r="J665">
        <v>64708</v>
      </c>
      <c r="K665">
        <v>0.66449999999999998</v>
      </c>
      <c r="L665">
        <v>1.1968000000000001</v>
      </c>
    </row>
    <row r="666" spans="1:12" x14ac:dyDescent="0.25">
      <c r="A666">
        <v>2303</v>
      </c>
      <c r="B666" t="s">
        <v>10</v>
      </c>
      <c r="C666" s="1">
        <v>40673</v>
      </c>
      <c r="D666" s="2">
        <f t="shared" si="20"/>
        <v>2</v>
      </c>
      <c r="E666" s="2">
        <f t="shared" si="21"/>
        <v>5</v>
      </c>
      <c r="F666">
        <v>10.417</v>
      </c>
      <c r="G666">
        <v>10.417</v>
      </c>
      <c r="H666">
        <v>10.2468</v>
      </c>
      <c r="I666">
        <v>10.280900000000001</v>
      </c>
      <c r="J666">
        <v>19493</v>
      </c>
      <c r="K666">
        <v>-0.66010000000000002</v>
      </c>
      <c r="L666">
        <v>1.6611</v>
      </c>
    </row>
    <row r="667" spans="1:12" hidden="1" x14ac:dyDescent="0.25">
      <c r="A667">
        <v>2330</v>
      </c>
      <c r="B667" t="s">
        <v>11</v>
      </c>
      <c r="C667" s="1">
        <v>40673</v>
      </c>
      <c r="D667" s="2">
        <f t="shared" si="20"/>
        <v>2</v>
      </c>
      <c r="E667" s="2">
        <f t="shared" si="21"/>
        <v>5</v>
      </c>
      <c r="F667">
        <v>54.680799999999998</v>
      </c>
      <c r="G667">
        <v>54.680799999999998</v>
      </c>
      <c r="H667">
        <v>53.812899999999999</v>
      </c>
      <c r="I667">
        <v>53.812899999999999</v>
      </c>
      <c r="J667">
        <v>43355</v>
      </c>
      <c r="K667">
        <v>-1.4677</v>
      </c>
      <c r="L667">
        <v>1.6129</v>
      </c>
    </row>
    <row r="668" spans="1:12" x14ac:dyDescent="0.25">
      <c r="A668">
        <v>2303</v>
      </c>
      <c r="B668" t="s">
        <v>10</v>
      </c>
      <c r="C668" s="1">
        <v>40674</v>
      </c>
      <c r="D668" s="2">
        <f t="shared" si="20"/>
        <v>3</v>
      </c>
      <c r="E668" s="2">
        <f t="shared" si="21"/>
        <v>5</v>
      </c>
      <c r="F668">
        <v>10.3489</v>
      </c>
      <c r="G668">
        <v>10.3489</v>
      </c>
      <c r="H668">
        <v>10.2128</v>
      </c>
      <c r="I668">
        <v>10.2468</v>
      </c>
      <c r="J668">
        <v>17515</v>
      </c>
      <c r="K668">
        <v>-0.33169999999999999</v>
      </c>
      <c r="L668">
        <v>1.3332999999999999</v>
      </c>
    </row>
    <row r="669" spans="1:12" hidden="1" x14ac:dyDescent="0.25">
      <c r="A669">
        <v>2330</v>
      </c>
      <c r="B669" t="s">
        <v>11</v>
      </c>
      <c r="C669" s="1">
        <v>40674</v>
      </c>
      <c r="D669" s="2">
        <f t="shared" si="20"/>
        <v>3</v>
      </c>
      <c r="E669" s="2">
        <f t="shared" si="21"/>
        <v>5</v>
      </c>
      <c r="F669">
        <v>54.463799999999999</v>
      </c>
      <c r="G669">
        <v>54.463799999999999</v>
      </c>
      <c r="H669">
        <v>53.957500000000003</v>
      </c>
      <c r="I669">
        <v>54.2468</v>
      </c>
      <c r="J669">
        <v>43256</v>
      </c>
      <c r="K669">
        <v>0.80320000000000003</v>
      </c>
      <c r="L669">
        <v>0.93830000000000002</v>
      </c>
    </row>
    <row r="670" spans="1:12" x14ac:dyDescent="0.25">
      <c r="A670">
        <v>2303</v>
      </c>
      <c r="B670" t="s">
        <v>10</v>
      </c>
      <c r="C670" s="1">
        <v>40675</v>
      </c>
      <c r="D670" s="2">
        <f t="shared" si="20"/>
        <v>4</v>
      </c>
      <c r="E670" s="2">
        <f t="shared" si="21"/>
        <v>5</v>
      </c>
      <c r="F670">
        <v>10.2128</v>
      </c>
      <c r="G670">
        <v>10.280900000000001</v>
      </c>
      <c r="H670">
        <v>10.1447</v>
      </c>
      <c r="I670">
        <v>10.1447</v>
      </c>
      <c r="J670">
        <v>35392</v>
      </c>
      <c r="K670">
        <v>-1.0017</v>
      </c>
      <c r="L670">
        <v>1.3423</v>
      </c>
    </row>
    <row r="671" spans="1:12" hidden="1" x14ac:dyDescent="0.25">
      <c r="A671">
        <v>2330</v>
      </c>
      <c r="B671" t="s">
        <v>11</v>
      </c>
      <c r="C671" s="1">
        <v>40675</v>
      </c>
      <c r="D671" s="2">
        <f t="shared" si="20"/>
        <v>4</v>
      </c>
      <c r="E671" s="2">
        <f t="shared" si="21"/>
        <v>5</v>
      </c>
      <c r="F671">
        <v>53.668199999999999</v>
      </c>
      <c r="G671">
        <v>54.970100000000002</v>
      </c>
      <c r="H671">
        <v>53.5959</v>
      </c>
      <c r="I671">
        <v>54.753100000000003</v>
      </c>
      <c r="J671">
        <v>59055</v>
      </c>
      <c r="K671">
        <v>0.92900000000000005</v>
      </c>
      <c r="L671">
        <v>2.5640999999999998</v>
      </c>
    </row>
    <row r="672" spans="1:12" x14ac:dyDescent="0.25">
      <c r="A672">
        <v>2303</v>
      </c>
      <c r="B672" t="s">
        <v>10</v>
      </c>
      <c r="C672" s="1">
        <v>40676</v>
      </c>
      <c r="D672" s="2">
        <f t="shared" si="20"/>
        <v>5</v>
      </c>
      <c r="E672" s="2">
        <f t="shared" si="21"/>
        <v>5</v>
      </c>
      <c r="F672">
        <v>10.2128</v>
      </c>
      <c r="G672">
        <v>10.280900000000001</v>
      </c>
      <c r="H672">
        <v>10.178699999999999</v>
      </c>
      <c r="I672">
        <v>10.178699999999999</v>
      </c>
      <c r="J672">
        <v>27241</v>
      </c>
      <c r="K672">
        <v>0.33500000000000002</v>
      </c>
      <c r="L672">
        <v>1.0033000000000001</v>
      </c>
    </row>
    <row r="673" spans="1:12" hidden="1" x14ac:dyDescent="0.25">
      <c r="A673">
        <v>2330</v>
      </c>
      <c r="B673" t="s">
        <v>11</v>
      </c>
      <c r="C673" s="1">
        <v>40676</v>
      </c>
      <c r="D673" s="2">
        <f t="shared" si="20"/>
        <v>5</v>
      </c>
      <c r="E673" s="2">
        <f t="shared" si="21"/>
        <v>5</v>
      </c>
      <c r="F673">
        <v>54.970100000000002</v>
      </c>
      <c r="G673">
        <v>55.042400000000001</v>
      </c>
      <c r="H673">
        <v>54.608499999999999</v>
      </c>
      <c r="I673">
        <v>54.897799999999997</v>
      </c>
      <c r="J673">
        <v>40118</v>
      </c>
      <c r="K673">
        <v>0.26390000000000002</v>
      </c>
      <c r="L673">
        <v>0.79469999999999996</v>
      </c>
    </row>
    <row r="674" spans="1:12" x14ac:dyDescent="0.25">
      <c r="A674">
        <v>2303</v>
      </c>
      <c r="B674" t="s">
        <v>10</v>
      </c>
      <c r="C674" s="1">
        <v>40679</v>
      </c>
      <c r="D674" s="2">
        <f t="shared" si="20"/>
        <v>1</v>
      </c>
      <c r="E674" s="2">
        <f t="shared" si="21"/>
        <v>5</v>
      </c>
      <c r="F674">
        <v>10.2468</v>
      </c>
      <c r="G674">
        <v>10.280900000000001</v>
      </c>
      <c r="H674">
        <v>10.1447</v>
      </c>
      <c r="I674">
        <v>10.178699999999999</v>
      </c>
      <c r="J674">
        <v>30982</v>
      </c>
      <c r="K674">
        <v>0</v>
      </c>
      <c r="L674">
        <v>1.3423</v>
      </c>
    </row>
    <row r="675" spans="1:12" hidden="1" x14ac:dyDescent="0.25">
      <c r="A675">
        <v>2330</v>
      </c>
      <c r="B675" t="s">
        <v>11</v>
      </c>
      <c r="C675" s="1">
        <v>40679</v>
      </c>
      <c r="D675" s="2">
        <f t="shared" si="20"/>
        <v>1</v>
      </c>
      <c r="E675" s="2">
        <f t="shared" si="21"/>
        <v>5</v>
      </c>
      <c r="F675">
        <v>54.897799999999997</v>
      </c>
      <c r="G675">
        <v>54.897799999999997</v>
      </c>
      <c r="H675">
        <v>54.029800000000002</v>
      </c>
      <c r="I675">
        <v>54.174500000000002</v>
      </c>
      <c r="J675">
        <v>34105</v>
      </c>
      <c r="K675">
        <v>-1.3263</v>
      </c>
      <c r="L675">
        <v>1.6064000000000001</v>
      </c>
    </row>
    <row r="676" spans="1:12" x14ac:dyDescent="0.25">
      <c r="A676">
        <v>2303</v>
      </c>
      <c r="B676" t="s">
        <v>10</v>
      </c>
      <c r="C676" s="1">
        <v>40680</v>
      </c>
      <c r="D676" s="2">
        <f t="shared" si="20"/>
        <v>2</v>
      </c>
      <c r="E676" s="2">
        <f t="shared" si="21"/>
        <v>5</v>
      </c>
      <c r="F676">
        <v>10.1447</v>
      </c>
      <c r="G676">
        <v>10.2128</v>
      </c>
      <c r="H676">
        <v>10.076599999999999</v>
      </c>
      <c r="I676">
        <v>10.1106</v>
      </c>
      <c r="J676">
        <v>39877</v>
      </c>
      <c r="K676">
        <v>-0.67110000000000003</v>
      </c>
      <c r="L676">
        <v>1.3513999999999999</v>
      </c>
    </row>
    <row r="677" spans="1:12" hidden="1" x14ac:dyDescent="0.25">
      <c r="A677">
        <v>2330</v>
      </c>
      <c r="B677" t="s">
        <v>11</v>
      </c>
      <c r="C677" s="1">
        <v>40680</v>
      </c>
      <c r="D677" s="2">
        <f t="shared" si="20"/>
        <v>2</v>
      </c>
      <c r="E677" s="2">
        <f t="shared" si="21"/>
        <v>5</v>
      </c>
      <c r="F677">
        <v>53.957500000000003</v>
      </c>
      <c r="G677">
        <v>54.970100000000002</v>
      </c>
      <c r="H677">
        <v>53.957500000000003</v>
      </c>
      <c r="I677">
        <v>54.680799999999998</v>
      </c>
      <c r="J677">
        <v>41402</v>
      </c>
      <c r="K677">
        <v>0.93020000000000003</v>
      </c>
      <c r="L677">
        <v>1.8767</v>
      </c>
    </row>
    <row r="678" spans="1:12" x14ac:dyDescent="0.25">
      <c r="A678">
        <v>2303</v>
      </c>
      <c r="B678" t="s">
        <v>10</v>
      </c>
      <c r="C678" s="1">
        <v>40681</v>
      </c>
      <c r="D678" s="2">
        <f t="shared" si="20"/>
        <v>3</v>
      </c>
      <c r="E678" s="2">
        <f t="shared" si="21"/>
        <v>5</v>
      </c>
      <c r="F678">
        <v>9.9745000000000008</v>
      </c>
      <c r="G678">
        <v>10.0085</v>
      </c>
      <c r="H678">
        <v>9.8722999999999992</v>
      </c>
      <c r="I678">
        <v>9.9404000000000003</v>
      </c>
      <c r="J678">
        <v>78595</v>
      </c>
      <c r="K678">
        <v>-1.6978</v>
      </c>
      <c r="L678">
        <v>1.3793</v>
      </c>
    </row>
    <row r="679" spans="1:12" hidden="1" x14ac:dyDescent="0.25">
      <c r="A679">
        <v>2330</v>
      </c>
      <c r="B679" t="s">
        <v>11</v>
      </c>
      <c r="C679" s="1">
        <v>40681</v>
      </c>
      <c r="D679" s="2">
        <f t="shared" si="20"/>
        <v>3</v>
      </c>
      <c r="E679" s="2">
        <f t="shared" si="21"/>
        <v>5</v>
      </c>
      <c r="F679">
        <v>54.463799999999999</v>
      </c>
      <c r="G679">
        <v>54.825499999999998</v>
      </c>
      <c r="H679">
        <v>54.174500000000002</v>
      </c>
      <c r="I679">
        <v>54.463799999999999</v>
      </c>
      <c r="J679">
        <v>28263</v>
      </c>
      <c r="K679">
        <v>-0.39760000000000001</v>
      </c>
      <c r="L679">
        <v>1.2016</v>
      </c>
    </row>
    <row r="680" spans="1:12" x14ac:dyDescent="0.25">
      <c r="A680">
        <v>2303</v>
      </c>
      <c r="B680" t="s">
        <v>10</v>
      </c>
      <c r="C680" s="1">
        <v>40682</v>
      </c>
      <c r="D680" s="2">
        <f t="shared" si="20"/>
        <v>4</v>
      </c>
      <c r="E680" s="2">
        <f t="shared" si="21"/>
        <v>5</v>
      </c>
      <c r="F680">
        <v>10.0085</v>
      </c>
      <c r="G680">
        <v>10.076599999999999</v>
      </c>
      <c r="H680">
        <v>9.9745000000000008</v>
      </c>
      <c r="I680">
        <v>10.0426</v>
      </c>
      <c r="J680">
        <v>40099</v>
      </c>
      <c r="K680">
        <v>1.0222</v>
      </c>
      <c r="L680">
        <v>1.0239</v>
      </c>
    </row>
    <row r="681" spans="1:12" hidden="1" x14ac:dyDescent="0.25">
      <c r="A681">
        <v>2330</v>
      </c>
      <c r="B681" t="s">
        <v>11</v>
      </c>
      <c r="C681" s="1">
        <v>40682</v>
      </c>
      <c r="D681" s="2">
        <f t="shared" si="20"/>
        <v>4</v>
      </c>
      <c r="E681" s="2">
        <f t="shared" si="21"/>
        <v>5</v>
      </c>
      <c r="F681">
        <v>54.174500000000002</v>
      </c>
      <c r="G681">
        <v>55.187100000000001</v>
      </c>
      <c r="H681">
        <v>54.174500000000002</v>
      </c>
      <c r="I681">
        <v>54.391500000000001</v>
      </c>
      <c r="J681">
        <v>58823</v>
      </c>
      <c r="K681">
        <v>-0.13289999999999999</v>
      </c>
      <c r="L681">
        <v>1.8692</v>
      </c>
    </row>
    <row r="682" spans="1:12" x14ac:dyDescent="0.25">
      <c r="A682">
        <v>2303</v>
      </c>
      <c r="B682" t="s">
        <v>10</v>
      </c>
      <c r="C682" s="1">
        <v>40683</v>
      </c>
      <c r="D682" s="2">
        <f t="shared" si="20"/>
        <v>5</v>
      </c>
      <c r="E682" s="2">
        <f t="shared" si="21"/>
        <v>5</v>
      </c>
      <c r="F682">
        <v>10.0426</v>
      </c>
      <c r="G682">
        <v>10.076599999999999</v>
      </c>
      <c r="H682">
        <v>9.9404000000000003</v>
      </c>
      <c r="I682">
        <v>9.9404000000000003</v>
      </c>
      <c r="J682">
        <v>42632</v>
      </c>
      <c r="K682">
        <v>-1.0222</v>
      </c>
      <c r="L682">
        <v>1.3698999999999999</v>
      </c>
    </row>
    <row r="683" spans="1:12" hidden="1" x14ac:dyDescent="0.25">
      <c r="A683">
        <v>2330</v>
      </c>
      <c r="B683" t="s">
        <v>11</v>
      </c>
      <c r="C683" s="1">
        <v>40683</v>
      </c>
      <c r="D683" s="2">
        <f t="shared" si="20"/>
        <v>5</v>
      </c>
      <c r="E683" s="2">
        <f t="shared" si="21"/>
        <v>5</v>
      </c>
      <c r="F683">
        <v>54.970100000000002</v>
      </c>
      <c r="G683">
        <v>54.970100000000002</v>
      </c>
      <c r="H683">
        <v>54.174500000000002</v>
      </c>
      <c r="I683">
        <v>54.608499999999999</v>
      </c>
      <c r="J683">
        <v>33000</v>
      </c>
      <c r="K683">
        <v>0.39810000000000001</v>
      </c>
      <c r="L683">
        <v>1.4685999999999999</v>
      </c>
    </row>
    <row r="684" spans="1:12" x14ac:dyDescent="0.25">
      <c r="A684">
        <v>2303</v>
      </c>
      <c r="B684" t="s">
        <v>10</v>
      </c>
      <c r="C684" s="1">
        <v>40686</v>
      </c>
      <c r="D684" s="2">
        <f t="shared" si="20"/>
        <v>1</v>
      </c>
      <c r="E684" s="2">
        <f t="shared" si="21"/>
        <v>5</v>
      </c>
      <c r="F684">
        <v>9.8722999999999992</v>
      </c>
      <c r="G684">
        <v>9.9404000000000003</v>
      </c>
      <c r="H684">
        <v>9.8042999999999996</v>
      </c>
      <c r="I684">
        <v>9.8722999999999992</v>
      </c>
      <c r="J684">
        <v>34465</v>
      </c>
      <c r="K684">
        <v>-0.68730000000000002</v>
      </c>
      <c r="L684">
        <v>1.3889</v>
      </c>
    </row>
    <row r="685" spans="1:12" hidden="1" x14ac:dyDescent="0.25">
      <c r="A685">
        <v>2330</v>
      </c>
      <c r="B685" t="s">
        <v>11</v>
      </c>
      <c r="C685" s="1">
        <v>40686</v>
      </c>
      <c r="D685" s="2">
        <f t="shared" si="20"/>
        <v>1</v>
      </c>
      <c r="E685" s="2">
        <f t="shared" si="21"/>
        <v>5</v>
      </c>
      <c r="F685">
        <v>54.029800000000002</v>
      </c>
      <c r="G685">
        <v>54.608499999999999</v>
      </c>
      <c r="H685">
        <v>53.885199999999998</v>
      </c>
      <c r="I685">
        <v>54.319200000000002</v>
      </c>
      <c r="J685">
        <v>39033</v>
      </c>
      <c r="K685">
        <v>-0.53120000000000001</v>
      </c>
      <c r="L685">
        <v>1.3423</v>
      </c>
    </row>
    <row r="686" spans="1:12" x14ac:dyDescent="0.25">
      <c r="A686">
        <v>2303</v>
      </c>
      <c r="B686" t="s">
        <v>10</v>
      </c>
      <c r="C686" s="1">
        <v>40687</v>
      </c>
      <c r="D686" s="2">
        <f t="shared" si="20"/>
        <v>2</v>
      </c>
      <c r="E686" s="2">
        <f t="shared" si="21"/>
        <v>5</v>
      </c>
      <c r="F686">
        <v>9.8383000000000003</v>
      </c>
      <c r="G686">
        <v>9.8383000000000003</v>
      </c>
      <c r="H686">
        <v>9.7020999999999997</v>
      </c>
      <c r="I686">
        <v>9.8383000000000003</v>
      </c>
      <c r="J686">
        <v>45750</v>
      </c>
      <c r="K686">
        <v>-0.34539999999999998</v>
      </c>
      <c r="L686">
        <v>1.4035</v>
      </c>
    </row>
    <row r="687" spans="1:12" hidden="1" x14ac:dyDescent="0.25">
      <c r="A687">
        <v>2330</v>
      </c>
      <c r="B687" t="s">
        <v>11</v>
      </c>
      <c r="C687" s="1">
        <v>40687</v>
      </c>
      <c r="D687" s="2">
        <f t="shared" si="20"/>
        <v>2</v>
      </c>
      <c r="E687" s="2">
        <f t="shared" si="21"/>
        <v>5</v>
      </c>
      <c r="F687">
        <v>54.174500000000002</v>
      </c>
      <c r="G687">
        <v>54.319200000000002</v>
      </c>
      <c r="H687">
        <v>53.668199999999999</v>
      </c>
      <c r="I687">
        <v>54.102200000000003</v>
      </c>
      <c r="J687">
        <v>34788</v>
      </c>
      <c r="K687">
        <v>-0.40029999999999999</v>
      </c>
      <c r="L687">
        <v>1.2129000000000001</v>
      </c>
    </row>
    <row r="688" spans="1:12" x14ac:dyDescent="0.25">
      <c r="A688">
        <v>2303</v>
      </c>
      <c r="B688" t="s">
        <v>10</v>
      </c>
      <c r="C688" s="1">
        <v>40688</v>
      </c>
      <c r="D688" s="2">
        <f t="shared" si="20"/>
        <v>3</v>
      </c>
      <c r="E688" s="2">
        <f t="shared" si="21"/>
        <v>5</v>
      </c>
      <c r="F688">
        <v>9.8383000000000003</v>
      </c>
      <c r="G688">
        <v>9.9404000000000003</v>
      </c>
      <c r="H688">
        <v>9.7702000000000009</v>
      </c>
      <c r="I688">
        <v>9.9063999999999997</v>
      </c>
      <c r="J688">
        <v>29928</v>
      </c>
      <c r="K688">
        <v>0.68969999999999998</v>
      </c>
      <c r="L688">
        <v>1.7422</v>
      </c>
    </row>
    <row r="689" spans="1:12" hidden="1" x14ac:dyDescent="0.25">
      <c r="A689">
        <v>2330</v>
      </c>
      <c r="B689" t="s">
        <v>11</v>
      </c>
      <c r="C689" s="1">
        <v>40688</v>
      </c>
      <c r="D689" s="2">
        <f t="shared" si="20"/>
        <v>3</v>
      </c>
      <c r="E689" s="2">
        <f t="shared" si="21"/>
        <v>5</v>
      </c>
      <c r="F689">
        <v>53.668199999999999</v>
      </c>
      <c r="G689">
        <v>54.174500000000002</v>
      </c>
      <c r="H689">
        <v>53.017200000000003</v>
      </c>
      <c r="I689">
        <v>53.885199999999998</v>
      </c>
      <c r="J689">
        <v>59580</v>
      </c>
      <c r="K689">
        <v>-0.40189999999999998</v>
      </c>
      <c r="L689">
        <v>2.1827999999999999</v>
      </c>
    </row>
    <row r="690" spans="1:12" x14ac:dyDescent="0.25">
      <c r="A690">
        <v>2303</v>
      </c>
      <c r="B690" t="s">
        <v>10</v>
      </c>
      <c r="C690" s="1">
        <v>40689</v>
      </c>
      <c r="D690" s="2">
        <f t="shared" si="20"/>
        <v>4</v>
      </c>
      <c r="E690" s="2">
        <f t="shared" si="21"/>
        <v>5</v>
      </c>
      <c r="F690">
        <v>10.0085</v>
      </c>
      <c r="G690">
        <v>10.0085</v>
      </c>
      <c r="H690">
        <v>9.8383000000000003</v>
      </c>
      <c r="I690">
        <v>9.9063999999999997</v>
      </c>
      <c r="J690">
        <v>26524</v>
      </c>
      <c r="K690">
        <v>0</v>
      </c>
      <c r="L690">
        <v>1.7301</v>
      </c>
    </row>
    <row r="691" spans="1:12" hidden="1" x14ac:dyDescent="0.25">
      <c r="A691">
        <v>2330</v>
      </c>
      <c r="B691" t="s">
        <v>11</v>
      </c>
      <c r="C691" s="1">
        <v>40689</v>
      </c>
      <c r="D691" s="2">
        <f t="shared" si="20"/>
        <v>4</v>
      </c>
      <c r="E691" s="2">
        <f t="shared" si="21"/>
        <v>5</v>
      </c>
      <c r="F691">
        <v>54.2468</v>
      </c>
      <c r="G691">
        <v>54.2468</v>
      </c>
      <c r="H691">
        <v>53.523499999999999</v>
      </c>
      <c r="I691">
        <v>53.668199999999999</v>
      </c>
      <c r="J691">
        <v>33240</v>
      </c>
      <c r="K691">
        <v>-0.40350000000000003</v>
      </c>
      <c r="L691">
        <v>1.3513999999999999</v>
      </c>
    </row>
    <row r="692" spans="1:12" x14ac:dyDescent="0.25">
      <c r="A692">
        <v>2303</v>
      </c>
      <c r="B692" t="s">
        <v>10</v>
      </c>
      <c r="C692" s="1">
        <v>40690</v>
      </c>
      <c r="D692" s="2">
        <f t="shared" si="20"/>
        <v>5</v>
      </c>
      <c r="E692" s="2">
        <f t="shared" si="21"/>
        <v>5</v>
      </c>
      <c r="F692">
        <v>9.8722999999999992</v>
      </c>
      <c r="G692">
        <v>9.9404000000000003</v>
      </c>
      <c r="H692">
        <v>9.7702000000000009</v>
      </c>
      <c r="I692">
        <v>9.7702000000000009</v>
      </c>
      <c r="J692">
        <v>34279</v>
      </c>
      <c r="K692">
        <v>-1.3841000000000001</v>
      </c>
      <c r="L692">
        <v>1.7422</v>
      </c>
    </row>
    <row r="693" spans="1:12" hidden="1" x14ac:dyDescent="0.25">
      <c r="A693">
        <v>2330</v>
      </c>
      <c r="B693" t="s">
        <v>11</v>
      </c>
      <c r="C693" s="1">
        <v>40690</v>
      </c>
      <c r="D693" s="2">
        <f t="shared" si="20"/>
        <v>5</v>
      </c>
      <c r="E693" s="2">
        <f t="shared" si="21"/>
        <v>5</v>
      </c>
      <c r="F693">
        <v>53.378900000000002</v>
      </c>
      <c r="G693">
        <v>53.885199999999998</v>
      </c>
      <c r="H693">
        <v>53.378900000000002</v>
      </c>
      <c r="I693">
        <v>53.523499999999999</v>
      </c>
      <c r="J693">
        <v>49929</v>
      </c>
      <c r="K693">
        <v>-0.26989999999999997</v>
      </c>
      <c r="L693">
        <v>0.94850000000000001</v>
      </c>
    </row>
    <row r="694" spans="1:12" x14ac:dyDescent="0.25">
      <c r="A694">
        <v>2303</v>
      </c>
      <c r="B694" t="s">
        <v>10</v>
      </c>
      <c r="C694" s="1">
        <v>40693</v>
      </c>
      <c r="D694" s="2">
        <f t="shared" si="20"/>
        <v>1</v>
      </c>
      <c r="E694" s="2">
        <f t="shared" si="21"/>
        <v>5</v>
      </c>
      <c r="F694">
        <v>9.8722999999999992</v>
      </c>
      <c r="G694">
        <v>10.0426</v>
      </c>
      <c r="H694">
        <v>9.8383000000000003</v>
      </c>
      <c r="I694">
        <v>10.0085</v>
      </c>
      <c r="J694">
        <v>42150</v>
      </c>
      <c r="K694">
        <v>2.4098000000000002</v>
      </c>
      <c r="L694">
        <v>2.0760999999999998</v>
      </c>
    </row>
    <row r="695" spans="1:12" hidden="1" x14ac:dyDescent="0.25">
      <c r="A695">
        <v>2330</v>
      </c>
      <c r="B695" t="s">
        <v>11</v>
      </c>
      <c r="C695" s="1">
        <v>40693</v>
      </c>
      <c r="D695" s="2">
        <f t="shared" si="20"/>
        <v>1</v>
      </c>
      <c r="E695" s="2">
        <f t="shared" si="21"/>
        <v>5</v>
      </c>
      <c r="F695">
        <v>53.523499999999999</v>
      </c>
      <c r="G695">
        <v>54.463799999999999</v>
      </c>
      <c r="H695">
        <v>53.523499999999999</v>
      </c>
      <c r="I695">
        <v>54.319200000000002</v>
      </c>
      <c r="J695">
        <v>33733</v>
      </c>
      <c r="K695">
        <v>1.4755</v>
      </c>
      <c r="L695">
        <v>1.7567999999999999</v>
      </c>
    </row>
    <row r="696" spans="1:12" x14ac:dyDescent="0.25">
      <c r="A696">
        <v>2303</v>
      </c>
      <c r="B696" t="s">
        <v>10</v>
      </c>
      <c r="C696" s="1">
        <v>40694</v>
      </c>
      <c r="D696" s="2">
        <f t="shared" si="20"/>
        <v>2</v>
      </c>
      <c r="E696" s="2">
        <f t="shared" si="21"/>
        <v>5</v>
      </c>
      <c r="F696">
        <v>10.0426</v>
      </c>
      <c r="G696">
        <v>10.1447</v>
      </c>
      <c r="H696">
        <v>10.0085</v>
      </c>
      <c r="I696">
        <v>10.076599999999999</v>
      </c>
      <c r="J696">
        <v>45122</v>
      </c>
      <c r="K696">
        <v>0.67800000000000005</v>
      </c>
      <c r="L696">
        <v>1.3605</v>
      </c>
    </row>
    <row r="697" spans="1:12" hidden="1" x14ac:dyDescent="0.25">
      <c r="A697">
        <v>2330</v>
      </c>
      <c r="B697" t="s">
        <v>11</v>
      </c>
      <c r="C697" s="1">
        <v>40694</v>
      </c>
      <c r="D697" s="2">
        <f t="shared" si="20"/>
        <v>2</v>
      </c>
      <c r="E697" s="2">
        <f t="shared" si="21"/>
        <v>5</v>
      </c>
      <c r="F697">
        <v>54.608499999999999</v>
      </c>
      <c r="G697">
        <v>55.621099999999998</v>
      </c>
      <c r="H697">
        <v>54.536099999999998</v>
      </c>
      <c r="I697">
        <v>55.476399999999998</v>
      </c>
      <c r="J697">
        <v>62918</v>
      </c>
      <c r="K697">
        <v>2.1080999999999999</v>
      </c>
      <c r="L697">
        <v>1.9894000000000001</v>
      </c>
    </row>
    <row r="698" spans="1:12" x14ac:dyDescent="0.25">
      <c r="A698">
        <v>2303</v>
      </c>
      <c r="B698" t="s">
        <v>10</v>
      </c>
      <c r="C698" s="1">
        <v>40695</v>
      </c>
      <c r="D698" s="2">
        <f t="shared" si="20"/>
        <v>3</v>
      </c>
      <c r="E698" s="2">
        <f t="shared" si="21"/>
        <v>6</v>
      </c>
      <c r="F698">
        <v>10.1106</v>
      </c>
      <c r="G698">
        <v>10.3149</v>
      </c>
      <c r="H698">
        <v>10.1106</v>
      </c>
      <c r="I698">
        <v>10.2468</v>
      </c>
      <c r="J698">
        <v>64511</v>
      </c>
      <c r="K698">
        <v>1.6751</v>
      </c>
      <c r="L698">
        <v>2.0202</v>
      </c>
    </row>
    <row r="699" spans="1:12" hidden="1" x14ac:dyDescent="0.25">
      <c r="A699">
        <v>2330</v>
      </c>
      <c r="B699" t="s">
        <v>11</v>
      </c>
      <c r="C699" s="1">
        <v>40695</v>
      </c>
      <c r="D699" s="2">
        <f t="shared" si="20"/>
        <v>3</v>
      </c>
      <c r="E699" s="2">
        <f t="shared" si="21"/>
        <v>6</v>
      </c>
      <c r="F699">
        <v>55.187100000000001</v>
      </c>
      <c r="G699">
        <v>55.910400000000003</v>
      </c>
      <c r="H699">
        <v>55.187100000000001</v>
      </c>
      <c r="I699">
        <v>55.693399999999997</v>
      </c>
      <c r="J699">
        <v>45321</v>
      </c>
      <c r="K699">
        <v>0.39040000000000002</v>
      </c>
      <c r="L699">
        <v>1.3106</v>
      </c>
    </row>
    <row r="700" spans="1:12" x14ac:dyDescent="0.25">
      <c r="A700">
        <v>2303</v>
      </c>
      <c r="B700" t="s">
        <v>10</v>
      </c>
      <c r="C700" s="1">
        <v>40696</v>
      </c>
      <c r="D700" s="2">
        <f t="shared" si="20"/>
        <v>4</v>
      </c>
      <c r="E700" s="2">
        <f t="shared" si="21"/>
        <v>6</v>
      </c>
      <c r="F700">
        <v>10.1447</v>
      </c>
      <c r="G700">
        <v>10.2468</v>
      </c>
      <c r="H700">
        <v>10.1106</v>
      </c>
      <c r="I700">
        <v>10.2468</v>
      </c>
      <c r="J700">
        <v>43762</v>
      </c>
      <c r="K700">
        <v>0</v>
      </c>
      <c r="L700">
        <v>1.3468</v>
      </c>
    </row>
    <row r="701" spans="1:12" hidden="1" x14ac:dyDescent="0.25">
      <c r="A701">
        <v>2330</v>
      </c>
      <c r="B701" t="s">
        <v>11</v>
      </c>
      <c r="C701" s="1">
        <v>40696</v>
      </c>
      <c r="D701" s="2">
        <f t="shared" si="20"/>
        <v>4</v>
      </c>
      <c r="E701" s="2">
        <f t="shared" si="21"/>
        <v>6</v>
      </c>
      <c r="F701">
        <v>55.187100000000001</v>
      </c>
      <c r="G701">
        <v>55.982700000000001</v>
      </c>
      <c r="H701">
        <v>55.187100000000001</v>
      </c>
      <c r="I701">
        <v>55.259399999999999</v>
      </c>
      <c r="J701">
        <v>61881</v>
      </c>
      <c r="K701">
        <v>-0.7823</v>
      </c>
      <c r="L701">
        <v>1.4417</v>
      </c>
    </row>
    <row r="702" spans="1:12" x14ac:dyDescent="0.25">
      <c r="A702">
        <v>2303</v>
      </c>
      <c r="B702" t="s">
        <v>10</v>
      </c>
      <c r="C702" s="1">
        <v>40697</v>
      </c>
      <c r="D702" s="2">
        <f t="shared" si="20"/>
        <v>5</v>
      </c>
      <c r="E702" s="2">
        <f t="shared" si="21"/>
        <v>6</v>
      </c>
      <c r="F702">
        <v>10.2468</v>
      </c>
      <c r="G702">
        <v>10.2468</v>
      </c>
      <c r="H702">
        <v>10.1106</v>
      </c>
      <c r="I702">
        <v>10.2128</v>
      </c>
      <c r="J702">
        <v>24455</v>
      </c>
      <c r="K702">
        <v>-0.33279999999999998</v>
      </c>
      <c r="L702">
        <v>1.3468</v>
      </c>
    </row>
    <row r="703" spans="1:12" hidden="1" x14ac:dyDescent="0.25">
      <c r="A703">
        <v>2330</v>
      </c>
      <c r="B703" t="s">
        <v>11</v>
      </c>
      <c r="C703" s="1">
        <v>40697</v>
      </c>
      <c r="D703" s="2">
        <f t="shared" si="20"/>
        <v>5</v>
      </c>
      <c r="E703" s="2">
        <f t="shared" si="21"/>
        <v>6</v>
      </c>
      <c r="F703">
        <v>55.693399999999997</v>
      </c>
      <c r="G703">
        <v>55.838099999999997</v>
      </c>
      <c r="H703">
        <v>55.042400000000001</v>
      </c>
      <c r="I703">
        <v>55.838099999999997</v>
      </c>
      <c r="J703">
        <v>36770</v>
      </c>
      <c r="K703">
        <v>1.0417000000000001</v>
      </c>
      <c r="L703">
        <v>1.4455</v>
      </c>
    </row>
    <row r="704" spans="1:12" x14ac:dyDescent="0.25">
      <c r="A704">
        <v>2303</v>
      </c>
      <c r="B704" t="s">
        <v>10</v>
      </c>
      <c r="C704" s="1">
        <v>40701</v>
      </c>
      <c r="D704" s="2">
        <f t="shared" si="20"/>
        <v>2</v>
      </c>
      <c r="E704" s="2">
        <f t="shared" si="21"/>
        <v>6</v>
      </c>
      <c r="F704">
        <v>10.1447</v>
      </c>
      <c r="G704">
        <v>10.2128</v>
      </c>
      <c r="H704">
        <v>10.076599999999999</v>
      </c>
      <c r="I704">
        <v>10.1106</v>
      </c>
      <c r="J704">
        <v>32265</v>
      </c>
      <c r="K704">
        <v>-1.0049999999999999</v>
      </c>
      <c r="L704">
        <v>1.3513999999999999</v>
      </c>
    </row>
    <row r="705" spans="1:12" hidden="1" x14ac:dyDescent="0.25">
      <c r="A705">
        <v>2330</v>
      </c>
      <c r="B705" t="s">
        <v>11</v>
      </c>
      <c r="C705" s="1">
        <v>40701</v>
      </c>
      <c r="D705" s="2">
        <f t="shared" si="20"/>
        <v>2</v>
      </c>
      <c r="E705" s="2">
        <f t="shared" si="21"/>
        <v>6</v>
      </c>
      <c r="F705">
        <v>55.838099999999997</v>
      </c>
      <c r="G705">
        <v>56.561399999999999</v>
      </c>
      <c r="H705">
        <v>55.4041</v>
      </c>
      <c r="I705">
        <v>56.055100000000003</v>
      </c>
      <c r="J705">
        <v>41425</v>
      </c>
      <c r="K705">
        <v>0.38779999999999998</v>
      </c>
      <c r="L705">
        <v>2.0888</v>
      </c>
    </row>
    <row r="706" spans="1:12" x14ac:dyDescent="0.25">
      <c r="A706">
        <v>2303</v>
      </c>
      <c r="B706" t="s">
        <v>10</v>
      </c>
      <c r="C706" s="1">
        <v>40702</v>
      </c>
      <c r="D706" s="2">
        <f t="shared" si="20"/>
        <v>3</v>
      </c>
      <c r="E706" s="2">
        <f t="shared" si="21"/>
        <v>6</v>
      </c>
      <c r="F706">
        <v>10.1106</v>
      </c>
      <c r="G706">
        <v>10.280900000000001</v>
      </c>
      <c r="H706">
        <v>10.1106</v>
      </c>
      <c r="I706">
        <v>10.2128</v>
      </c>
      <c r="J706">
        <v>29057</v>
      </c>
      <c r="K706">
        <v>1.0049999999999999</v>
      </c>
      <c r="L706">
        <v>1.6835</v>
      </c>
    </row>
    <row r="707" spans="1:12" hidden="1" x14ac:dyDescent="0.25">
      <c r="A707">
        <v>2330</v>
      </c>
      <c r="B707" t="s">
        <v>11</v>
      </c>
      <c r="C707" s="1">
        <v>40702</v>
      </c>
      <c r="D707" s="2">
        <f t="shared" ref="D707:D770" si="22">WEEKDAY(C707,2)</f>
        <v>3</v>
      </c>
      <c r="E707" s="2">
        <f t="shared" ref="E707:E770" si="23">MONTH(C707)</f>
        <v>6</v>
      </c>
      <c r="F707">
        <v>55.765700000000002</v>
      </c>
      <c r="G707">
        <v>56.416699999999999</v>
      </c>
      <c r="H707">
        <v>55.765700000000002</v>
      </c>
      <c r="I707">
        <v>56.055100000000003</v>
      </c>
      <c r="J707">
        <v>58253</v>
      </c>
      <c r="K707">
        <v>0</v>
      </c>
      <c r="L707">
        <v>1.1673</v>
      </c>
    </row>
    <row r="708" spans="1:12" x14ac:dyDescent="0.25">
      <c r="A708">
        <v>2303</v>
      </c>
      <c r="B708" t="s">
        <v>10</v>
      </c>
      <c r="C708" s="1">
        <v>40703</v>
      </c>
      <c r="D708" s="2">
        <f t="shared" si="22"/>
        <v>4</v>
      </c>
      <c r="E708" s="2">
        <f t="shared" si="23"/>
        <v>6</v>
      </c>
      <c r="F708">
        <v>10.280900000000001</v>
      </c>
      <c r="G708">
        <v>10.280900000000001</v>
      </c>
      <c r="H708">
        <v>10.178699999999999</v>
      </c>
      <c r="I708">
        <v>10.178699999999999</v>
      </c>
      <c r="J708">
        <v>16829</v>
      </c>
      <c r="K708">
        <v>-0.33389999999999997</v>
      </c>
      <c r="L708">
        <v>1.0033000000000001</v>
      </c>
    </row>
    <row r="709" spans="1:12" hidden="1" x14ac:dyDescent="0.25">
      <c r="A709">
        <v>2330</v>
      </c>
      <c r="B709" t="s">
        <v>11</v>
      </c>
      <c r="C709" s="1">
        <v>40703</v>
      </c>
      <c r="D709" s="2">
        <f t="shared" si="22"/>
        <v>4</v>
      </c>
      <c r="E709" s="2">
        <f t="shared" si="23"/>
        <v>6</v>
      </c>
      <c r="F709">
        <v>56.416699999999999</v>
      </c>
      <c r="G709">
        <v>56.416699999999999</v>
      </c>
      <c r="H709">
        <v>55.548699999999997</v>
      </c>
      <c r="I709">
        <v>55.621099999999998</v>
      </c>
      <c r="J709">
        <v>36964</v>
      </c>
      <c r="K709">
        <v>-0.7772</v>
      </c>
      <c r="L709">
        <v>1.5625</v>
      </c>
    </row>
    <row r="710" spans="1:12" x14ac:dyDescent="0.25">
      <c r="A710">
        <v>2303</v>
      </c>
      <c r="B710" t="s">
        <v>10</v>
      </c>
      <c r="C710" s="1">
        <v>40704</v>
      </c>
      <c r="D710" s="2">
        <f t="shared" si="22"/>
        <v>5</v>
      </c>
      <c r="E710" s="2">
        <f t="shared" si="23"/>
        <v>6</v>
      </c>
      <c r="F710">
        <v>10.280900000000001</v>
      </c>
      <c r="G710">
        <v>10.280900000000001</v>
      </c>
      <c r="H710">
        <v>10.1447</v>
      </c>
      <c r="I710">
        <v>10.1447</v>
      </c>
      <c r="J710">
        <v>18996</v>
      </c>
      <c r="K710">
        <v>-0.33500000000000002</v>
      </c>
      <c r="L710">
        <v>1.3423</v>
      </c>
    </row>
    <row r="711" spans="1:12" hidden="1" x14ac:dyDescent="0.25">
      <c r="A711">
        <v>2330</v>
      </c>
      <c r="B711" t="s">
        <v>11</v>
      </c>
      <c r="C711" s="1">
        <v>40704</v>
      </c>
      <c r="D711" s="2">
        <f t="shared" si="22"/>
        <v>5</v>
      </c>
      <c r="E711" s="2">
        <f t="shared" si="23"/>
        <v>6</v>
      </c>
      <c r="F711">
        <v>55.693399999999997</v>
      </c>
      <c r="G711">
        <v>56.055100000000003</v>
      </c>
      <c r="H711">
        <v>54.319200000000002</v>
      </c>
      <c r="I711">
        <v>54.463799999999999</v>
      </c>
      <c r="J711">
        <v>55348</v>
      </c>
      <c r="K711">
        <v>-2.1025999999999998</v>
      </c>
      <c r="L711">
        <v>3.1957</v>
      </c>
    </row>
    <row r="712" spans="1:12" x14ac:dyDescent="0.25">
      <c r="A712">
        <v>2303</v>
      </c>
      <c r="B712" t="s">
        <v>10</v>
      </c>
      <c r="C712" s="1">
        <v>40707</v>
      </c>
      <c r="D712" s="2">
        <f t="shared" si="22"/>
        <v>1</v>
      </c>
      <c r="E712" s="2">
        <f t="shared" si="23"/>
        <v>6</v>
      </c>
      <c r="F712">
        <v>10.076599999999999</v>
      </c>
      <c r="G712">
        <v>10.1106</v>
      </c>
      <c r="H712">
        <v>9.9063999999999997</v>
      </c>
      <c r="I712">
        <v>9.9745000000000008</v>
      </c>
      <c r="J712">
        <v>34063</v>
      </c>
      <c r="K712">
        <v>-1.6920999999999999</v>
      </c>
      <c r="L712">
        <v>2.0619000000000001</v>
      </c>
    </row>
    <row r="713" spans="1:12" hidden="1" x14ac:dyDescent="0.25">
      <c r="A713">
        <v>2330</v>
      </c>
      <c r="B713" t="s">
        <v>11</v>
      </c>
      <c r="C713" s="1">
        <v>40707</v>
      </c>
      <c r="D713" s="2">
        <f t="shared" si="22"/>
        <v>1</v>
      </c>
      <c r="E713" s="2">
        <f t="shared" si="23"/>
        <v>6</v>
      </c>
      <c r="F713">
        <v>53.885199999999998</v>
      </c>
      <c r="G713">
        <v>54.2468</v>
      </c>
      <c r="H713">
        <v>53.4512</v>
      </c>
      <c r="I713">
        <v>54.029800000000002</v>
      </c>
      <c r="J713">
        <v>72548</v>
      </c>
      <c r="K713">
        <v>-0.8</v>
      </c>
      <c r="L713">
        <v>1.4884999999999999</v>
      </c>
    </row>
    <row r="714" spans="1:12" x14ac:dyDescent="0.25">
      <c r="A714">
        <v>2303</v>
      </c>
      <c r="B714" t="s">
        <v>10</v>
      </c>
      <c r="C714" s="1">
        <v>40708</v>
      </c>
      <c r="D714" s="2">
        <f t="shared" si="22"/>
        <v>2</v>
      </c>
      <c r="E714" s="2">
        <f t="shared" si="23"/>
        <v>6</v>
      </c>
      <c r="F714">
        <v>9.9404000000000003</v>
      </c>
      <c r="G714">
        <v>10.0426</v>
      </c>
      <c r="H714">
        <v>9.9063999999999997</v>
      </c>
      <c r="I714">
        <v>10.0426</v>
      </c>
      <c r="J714">
        <v>65755</v>
      </c>
      <c r="K714">
        <v>0.68030000000000002</v>
      </c>
      <c r="L714">
        <v>1.3746</v>
      </c>
    </row>
    <row r="715" spans="1:12" hidden="1" x14ac:dyDescent="0.25">
      <c r="A715">
        <v>2330</v>
      </c>
      <c r="B715" t="s">
        <v>11</v>
      </c>
      <c r="C715" s="1">
        <v>40708</v>
      </c>
      <c r="D715" s="2">
        <f t="shared" si="22"/>
        <v>2</v>
      </c>
      <c r="E715" s="2">
        <f t="shared" si="23"/>
        <v>6</v>
      </c>
      <c r="F715">
        <v>53.885199999999998</v>
      </c>
      <c r="G715">
        <v>55.259399999999999</v>
      </c>
      <c r="H715">
        <v>53.885199999999998</v>
      </c>
      <c r="I715">
        <v>55.114800000000002</v>
      </c>
      <c r="J715">
        <v>52975</v>
      </c>
      <c r="K715">
        <v>1.9881</v>
      </c>
      <c r="L715">
        <v>2.5503</v>
      </c>
    </row>
    <row r="716" spans="1:12" x14ac:dyDescent="0.25">
      <c r="A716">
        <v>2303</v>
      </c>
      <c r="B716" t="s">
        <v>10</v>
      </c>
      <c r="C716" s="1">
        <v>40709</v>
      </c>
      <c r="D716" s="2">
        <f t="shared" si="22"/>
        <v>3</v>
      </c>
      <c r="E716" s="2">
        <f t="shared" si="23"/>
        <v>6</v>
      </c>
      <c r="F716">
        <v>10.0085</v>
      </c>
      <c r="G716">
        <v>10.1106</v>
      </c>
      <c r="H716">
        <v>9.9063999999999997</v>
      </c>
      <c r="I716">
        <v>10.076599999999999</v>
      </c>
      <c r="J716">
        <v>48014</v>
      </c>
      <c r="K716">
        <v>0.33839999999999998</v>
      </c>
      <c r="L716">
        <v>2.0619000000000001</v>
      </c>
    </row>
    <row r="717" spans="1:12" hidden="1" x14ac:dyDescent="0.25">
      <c r="A717">
        <v>2330</v>
      </c>
      <c r="B717" t="s">
        <v>11</v>
      </c>
      <c r="C717" s="1">
        <v>40709</v>
      </c>
      <c r="D717" s="2">
        <f t="shared" si="22"/>
        <v>3</v>
      </c>
      <c r="E717" s="2">
        <f t="shared" si="23"/>
        <v>6</v>
      </c>
      <c r="F717">
        <v>55.693399999999997</v>
      </c>
      <c r="G717">
        <v>55.982700000000001</v>
      </c>
      <c r="H717">
        <v>55.042400000000001</v>
      </c>
      <c r="I717">
        <v>55.693399999999997</v>
      </c>
      <c r="J717">
        <v>91840</v>
      </c>
      <c r="K717">
        <v>1.0444</v>
      </c>
      <c r="L717">
        <v>1.7082999999999999</v>
      </c>
    </row>
    <row r="718" spans="1:12" x14ac:dyDescent="0.25">
      <c r="A718">
        <v>2303</v>
      </c>
      <c r="B718" t="s">
        <v>10</v>
      </c>
      <c r="C718" s="1">
        <v>40710</v>
      </c>
      <c r="D718" s="2">
        <f t="shared" si="22"/>
        <v>4</v>
      </c>
      <c r="E718" s="2">
        <f t="shared" si="23"/>
        <v>6</v>
      </c>
      <c r="F718">
        <v>9.8722999999999992</v>
      </c>
      <c r="G718">
        <v>9.9404000000000003</v>
      </c>
      <c r="H718">
        <v>9.7362000000000002</v>
      </c>
      <c r="I718">
        <v>9.8042999999999996</v>
      </c>
      <c r="J718">
        <v>54390</v>
      </c>
      <c r="K718">
        <v>-2.7399</v>
      </c>
      <c r="L718">
        <v>2.0979000000000001</v>
      </c>
    </row>
    <row r="719" spans="1:12" hidden="1" x14ac:dyDescent="0.25">
      <c r="A719">
        <v>2330</v>
      </c>
      <c r="B719" t="s">
        <v>11</v>
      </c>
      <c r="C719" s="1">
        <v>40710</v>
      </c>
      <c r="D719" s="2">
        <f t="shared" si="22"/>
        <v>4</v>
      </c>
      <c r="E719" s="2">
        <f t="shared" si="23"/>
        <v>6</v>
      </c>
      <c r="F719">
        <v>54.970100000000002</v>
      </c>
      <c r="G719">
        <v>55.114800000000002</v>
      </c>
      <c r="H719">
        <v>54.536099999999998</v>
      </c>
      <c r="I719">
        <v>54.608499999999999</v>
      </c>
      <c r="J719">
        <v>63134</v>
      </c>
      <c r="K719">
        <v>-1.9673</v>
      </c>
      <c r="L719">
        <v>1.0609999999999999</v>
      </c>
    </row>
    <row r="720" spans="1:12" x14ac:dyDescent="0.25">
      <c r="A720">
        <v>2303</v>
      </c>
      <c r="B720" t="s">
        <v>10</v>
      </c>
      <c r="C720" s="1">
        <v>40711</v>
      </c>
      <c r="D720" s="2">
        <f t="shared" si="22"/>
        <v>5</v>
      </c>
      <c r="E720" s="2">
        <f t="shared" si="23"/>
        <v>6</v>
      </c>
      <c r="F720">
        <v>9.7362000000000002</v>
      </c>
      <c r="G720">
        <v>9.8722999999999992</v>
      </c>
      <c r="H720">
        <v>9.7362000000000002</v>
      </c>
      <c r="I720">
        <v>9.7362000000000002</v>
      </c>
      <c r="J720">
        <v>37083</v>
      </c>
      <c r="K720">
        <v>-0.69689999999999996</v>
      </c>
      <c r="L720">
        <v>1.3986000000000001</v>
      </c>
    </row>
    <row r="721" spans="1:12" hidden="1" x14ac:dyDescent="0.25">
      <c r="A721">
        <v>2330</v>
      </c>
      <c r="B721" t="s">
        <v>11</v>
      </c>
      <c r="C721" s="1">
        <v>40711</v>
      </c>
      <c r="D721" s="2">
        <f t="shared" si="22"/>
        <v>5</v>
      </c>
      <c r="E721" s="2">
        <f t="shared" si="23"/>
        <v>6</v>
      </c>
      <c r="F721">
        <v>54.2468</v>
      </c>
      <c r="G721">
        <v>54.319200000000002</v>
      </c>
      <c r="H721">
        <v>53.5959</v>
      </c>
      <c r="I721">
        <v>53.668199999999999</v>
      </c>
      <c r="J721">
        <v>91732</v>
      </c>
      <c r="K721">
        <v>-1.7369000000000001</v>
      </c>
      <c r="L721">
        <v>1.3494999999999999</v>
      </c>
    </row>
    <row r="722" spans="1:12" x14ac:dyDescent="0.25">
      <c r="A722">
        <v>2303</v>
      </c>
      <c r="B722" t="s">
        <v>10</v>
      </c>
      <c r="C722" s="1">
        <v>40714</v>
      </c>
      <c r="D722" s="2">
        <f t="shared" si="22"/>
        <v>1</v>
      </c>
      <c r="E722" s="2">
        <f t="shared" si="23"/>
        <v>6</v>
      </c>
      <c r="F722">
        <v>9.8383000000000003</v>
      </c>
      <c r="G722">
        <v>9.8383000000000003</v>
      </c>
      <c r="H722">
        <v>9.6340000000000003</v>
      </c>
      <c r="I722">
        <v>9.6681000000000008</v>
      </c>
      <c r="J722">
        <v>29063</v>
      </c>
      <c r="K722">
        <v>-0.70179999999999998</v>
      </c>
      <c r="L722">
        <v>2.1200999999999999</v>
      </c>
    </row>
    <row r="723" spans="1:12" hidden="1" x14ac:dyDescent="0.25">
      <c r="A723">
        <v>2330</v>
      </c>
      <c r="B723" t="s">
        <v>11</v>
      </c>
      <c r="C723" s="1">
        <v>40714</v>
      </c>
      <c r="D723" s="2">
        <f t="shared" si="22"/>
        <v>1</v>
      </c>
      <c r="E723" s="2">
        <f t="shared" si="23"/>
        <v>6</v>
      </c>
      <c r="F723">
        <v>53.957500000000003</v>
      </c>
      <c r="G723">
        <v>54.536099999999998</v>
      </c>
      <c r="H723">
        <v>53.5959</v>
      </c>
      <c r="I723">
        <v>54.174500000000002</v>
      </c>
      <c r="J723">
        <v>31787</v>
      </c>
      <c r="K723">
        <v>0.93899999999999995</v>
      </c>
      <c r="L723">
        <v>1.7544</v>
      </c>
    </row>
    <row r="724" spans="1:12" x14ac:dyDescent="0.25">
      <c r="A724">
        <v>2303</v>
      </c>
      <c r="B724" t="s">
        <v>10</v>
      </c>
      <c r="C724" s="1">
        <v>40715</v>
      </c>
      <c r="D724" s="2">
        <f t="shared" si="22"/>
        <v>2</v>
      </c>
      <c r="E724" s="2">
        <f t="shared" si="23"/>
        <v>6</v>
      </c>
      <c r="F724">
        <v>9.7020999999999997</v>
      </c>
      <c r="G724">
        <v>9.8042999999999996</v>
      </c>
      <c r="H724">
        <v>9.7020999999999997</v>
      </c>
      <c r="I724">
        <v>9.7362000000000002</v>
      </c>
      <c r="J724">
        <v>26414</v>
      </c>
      <c r="K724">
        <v>0.70179999999999998</v>
      </c>
      <c r="L724">
        <v>1.0526</v>
      </c>
    </row>
    <row r="725" spans="1:12" hidden="1" x14ac:dyDescent="0.25">
      <c r="A725">
        <v>2330</v>
      </c>
      <c r="B725" t="s">
        <v>11</v>
      </c>
      <c r="C725" s="1">
        <v>40715</v>
      </c>
      <c r="D725" s="2">
        <f t="shared" si="22"/>
        <v>2</v>
      </c>
      <c r="E725" s="2">
        <f t="shared" si="23"/>
        <v>6</v>
      </c>
      <c r="F725">
        <v>54.536099999999998</v>
      </c>
      <c r="G725">
        <v>55.114800000000002</v>
      </c>
      <c r="H725">
        <v>54.463799999999999</v>
      </c>
      <c r="I725">
        <v>54.897799999999997</v>
      </c>
      <c r="J725">
        <v>42663</v>
      </c>
      <c r="K725">
        <v>1.3263</v>
      </c>
      <c r="L725">
        <v>1.1952</v>
      </c>
    </row>
    <row r="726" spans="1:12" x14ac:dyDescent="0.25">
      <c r="A726">
        <v>2303</v>
      </c>
      <c r="B726" t="s">
        <v>10</v>
      </c>
      <c r="C726" s="1">
        <v>40716</v>
      </c>
      <c r="D726" s="2">
        <f t="shared" si="22"/>
        <v>3</v>
      </c>
      <c r="E726" s="2">
        <f t="shared" si="23"/>
        <v>6</v>
      </c>
      <c r="F726">
        <v>9.8042999999999996</v>
      </c>
      <c r="G726">
        <v>9.8383000000000003</v>
      </c>
      <c r="H726">
        <v>9.7362000000000002</v>
      </c>
      <c r="I726">
        <v>9.7362000000000002</v>
      </c>
      <c r="J726">
        <v>29246</v>
      </c>
      <c r="K726">
        <v>0</v>
      </c>
      <c r="L726">
        <v>1.0489999999999999</v>
      </c>
    </row>
    <row r="727" spans="1:12" hidden="1" x14ac:dyDescent="0.25">
      <c r="A727">
        <v>2330</v>
      </c>
      <c r="B727" t="s">
        <v>11</v>
      </c>
      <c r="C727" s="1">
        <v>40716</v>
      </c>
      <c r="D727" s="2">
        <f t="shared" si="22"/>
        <v>3</v>
      </c>
      <c r="E727" s="2">
        <f t="shared" si="23"/>
        <v>6</v>
      </c>
      <c r="F727">
        <v>55.187100000000001</v>
      </c>
      <c r="G727">
        <v>55.187100000000001</v>
      </c>
      <c r="H727">
        <v>53.957500000000003</v>
      </c>
      <c r="I727">
        <v>54.2468</v>
      </c>
      <c r="J727">
        <v>46702</v>
      </c>
      <c r="K727">
        <v>-1.1929000000000001</v>
      </c>
      <c r="L727">
        <v>2.2787999999999999</v>
      </c>
    </row>
    <row r="728" spans="1:12" x14ac:dyDescent="0.25">
      <c r="A728">
        <v>2303</v>
      </c>
      <c r="B728" t="s">
        <v>10</v>
      </c>
      <c r="C728" s="1">
        <v>40717</v>
      </c>
      <c r="D728" s="2">
        <f t="shared" si="22"/>
        <v>4</v>
      </c>
      <c r="E728" s="2">
        <f t="shared" si="23"/>
        <v>6</v>
      </c>
      <c r="F728">
        <v>9.6681000000000008</v>
      </c>
      <c r="G728">
        <v>9.8042999999999996</v>
      </c>
      <c r="H728">
        <v>9.6340000000000003</v>
      </c>
      <c r="I728">
        <v>9.6681000000000008</v>
      </c>
      <c r="J728">
        <v>26270</v>
      </c>
      <c r="K728">
        <v>-0.70179999999999998</v>
      </c>
      <c r="L728">
        <v>1.7667999999999999</v>
      </c>
    </row>
    <row r="729" spans="1:12" hidden="1" x14ac:dyDescent="0.25">
      <c r="A729">
        <v>2330</v>
      </c>
      <c r="B729" t="s">
        <v>11</v>
      </c>
      <c r="C729" s="1">
        <v>40717</v>
      </c>
      <c r="D729" s="2">
        <f t="shared" si="22"/>
        <v>4</v>
      </c>
      <c r="E729" s="2">
        <f t="shared" si="23"/>
        <v>6</v>
      </c>
      <c r="F729">
        <v>54.029800000000002</v>
      </c>
      <c r="G729">
        <v>54.174500000000002</v>
      </c>
      <c r="H729">
        <v>53.378900000000002</v>
      </c>
      <c r="I729">
        <v>53.668199999999999</v>
      </c>
      <c r="J729">
        <v>70233</v>
      </c>
      <c r="K729">
        <v>-1.0724</v>
      </c>
      <c r="L729">
        <v>1.4904999999999999</v>
      </c>
    </row>
    <row r="730" spans="1:12" x14ac:dyDescent="0.25">
      <c r="A730">
        <v>2303</v>
      </c>
      <c r="B730" t="s">
        <v>10</v>
      </c>
      <c r="C730" s="1">
        <v>40718</v>
      </c>
      <c r="D730" s="2">
        <f t="shared" si="22"/>
        <v>5</v>
      </c>
      <c r="E730" s="2">
        <f t="shared" si="23"/>
        <v>6</v>
      </c>
      <c r="F730">
        <v>9.6340000000000003</v>
      </c>
      <c r="G730">
        <v>9.6681000000000008</v>
      </c>
      <c r="H730">
        <v>9.5319000000000003</v>
      </c>
      <c r="I730">
        <v>9.5660000000000007</v>
      </c>
      <c r="J730">
        <v>42812</v>
      </c>
      <c r="K730">
        <v>-1.0620000000000001</v>
      </c>
      <c r="L730">
        <v>1.4286000000000001</v>
      </c>
    </row>
    <row r="731" spans="1:12" hidden="1" x14ac:dyDescent="0.25">
      <c r="A731">
        <v>2330</v>
      </c>
      <c r="B731" t="s">
        <v>11</v>
      </c>
      <c r="C731" s="1">
        <v>40718</v>
      </c>
      <c r="D731" s="2">
        <f t="shared" si="22"/>
        <v>5</v>
      </c>
      <c r="E731" s="2">
        <f t="shared" si="23"/>
        <v>6</v>
      </c>
      <c r="F731">
        <v>53.234200000000001</v>
      </c>
      <c r="G731">
        <v>53.234200000000001</v>
      </c>
      <c r="H731">
        <v>52.004600000000003</v>
      </c>
      <c r="I731">
        <v>52.727899999999998</v>
      </c>
      <c r="J731">
        <v>86769</v>
      </c>
      <c r="K731">
        <v>-1.7676000000000001</v>
      </c>
      <c r="L731">
        <v>2.3643999999999998</v>
      </c>
    </row>
    <row r="732" spans="1:12" x14ac:dyDescent="0.25">
      <c r="A732">
        <v>2303</v>
      </c>
      <c r="B732" t="s">
        <v>10</v>
      </c>
      <c r="C732" s="1">
        <v>40721</v>
      </c>
      <c r="D732" s="2">
        <f t="shared" si="22"/>
        <v>1</v>
      </c>
      <c r="E732" s="2">
        <f t="shared" si="23"/>
        <v>6</v>
      </c>
      <c r="F732">
        <v>9.5319000000000003</v>
      </c>
      <c r="G732">
        <v>9.5319000000000003</v>
      </c>
      <c r="H732">
        <v>9.4298000000000002</v>
      </c>
      <c r="I732">
        <v>9.4978999999999996</v>
      </c>
      <c r="J732">
        <v>44460</v>
      </c>
      <c r="K732">
        <v>-0.71430000000000005</v>
      </c>
      <c r="L732">
        <v>1.083</v>
      </c>
    </row>
    <row r="733" spans="1:12" hidden="1" x14ac:dyDescent="0.25">
      <c r="A733">
        <v>2330</v>
      </c>
      <c r="B733" t="s">
        <v>11</v>
      </c>
      <c r="C733" s="1">
        <v>40721</v>
      </c>
      <c r="D733" s="2">
        <f t="shared" si="22"/>
        <v>1</v>
      </c>
      <c r="E733" s="2">
        <f t="shared" si="23"/>
        <v>6</v>
      </c>
      <c r="F733">
        <v>52.076999999999998</v>
      </c>
      <c r="G733">
        <v>52.149299999999997</v>
      </c>
      <c r="H733">
        <v>51.787599999999998</v>
      </c>
      <c r="I733">
        <v>52.076999999999998</v>
      </c>
      <c r="J733">
        <v>65176</v>
      </c>
      <c r="K733">
        <v>-1.2423</v>
      </c>
      <c r="L733">
        <v>0.69830000000000003</v>
      </c>
    </row>
    <row r="734" spans="1:12" x14ac:dyDescent="0.25">
      <c r="A734">
        <v>2303</v>
      </c>
      <c r="B734" t="s">
        <v>10</v>
      </c>
      <c r="C734" s="1">
        <v>40722</v>
      </c>
      <c r="D734" s="2">
        <f t="shared" si="22"/>
        <v>2</v>
      </c>
      <c r="E734" s="2">
        <f t="shared" si="23"/>
        <v>6</v>
      </c>
      <c r="F734">
        <v>9.5319000000000003</v>
      </c>
      <c r="G734">
        <v>9.5660000000000007</v>
      </c>
      <c r="H734">
        <v>9.4638000000000009</v>
      </c>
      <c r="I734">
        <v>9.5319000000000003</v>
      </c>
      <c r="J734">
        <v>42807</v>
      </c>
      <c r="K734">
        <v>0.35780000000000001</v>
      </c>
      <c r="L734">
        <v>1.0790999999999999</v>
      </c>
    </row>
    <row r="735" spans="1:12" hidden="1" x14ac:dyDescent="0.25">
      <c r="A735">
        <v>2330</v>
      </c>
      <c r="B735" t="s">
        <v>11</v>
      </c>
      <c r="C735" s="1">
        <v>40722</v>
      </c>
      <c r="D735" s="2">
        <f t="shared" si="22"/>
        <v>2</v>
      </c>
      <c r="E735" s="2">
        <f t="shared" si="23"/>
        <v>6</v>
      </c>
      <c r="F735">
        <v>52.149299999999997</v>
      </c>
      <c r="G735">
        <v>52.510899999999999</v>
      </c>
      <c r="H735">
        <v>51.932299999999998</v>
      </c>
      <c r="I735">
        <v>52.438600000000001</v>
      </c>
      <c r="J735">
        <v>101716</v>
      </c>
      <c r="K735">
        <v>0.69199999999999995</v>
      </c>
      <c r="L735">
        <v>1.1142000000000001</v>
      </c>
    </row>
    <row r="736" spans="1:12" x14ac:dyDescent="0.25">
      <c r="A736">
        <v>2303</v>
      </c>
      <c r="B736" t="s">
        <v>10</v>
      </c>
      <c r="C736" s="1">
        <v>40723</v>
      </c>
      <c r="D736" s="2">
        <f t="shared" si="22"/>
        <v>3</v>
      </c>
      <c r="E736" s="2">
        <f t="shared" si="23"/>
        <v>6</v>
      </c>
      <c r="F736">
        <v>9.6340000000000003</v>
      </c>
      <c r="G736">
        <v>9.7362000000000002</v>
      </c>
      <c r="H736">
        <v>9.6</v>
      </c>
      <c r="I736">
        <v>9.7020999999999997</v>
      </c>
      <c r="J736">
        <v>49504</v>
      </c>
      <c r="K736">
        <v>1.77</v>
      </c>
      <c r="L736">
        <v>1.4184000000000001</v>
      </c>
    </row>
    <row r="737" spans="1:12" hidden="1" x14ac:dyDescent="0.25">
      <c r="A737">
        <v>2330</v>
      </c>
      <c r="B737" t="s">
        <v>11</v>
      </c>
      <c r="C737" s="1">
        <v>40723</v>
      </c>
      <c r="D737" s="2">
        <f t="shared" si="22"/>
        <v>3</v>
      </c>
      <c r="E737" s="2">
        <f t="shared" si="23"/>
        <v>6</v>
      </c>
      <c r="F737">
        <v>53.494500000000002</v>
      </c>
      <c r="G737">
        <v>54.4</v>
      </c>
      <c r="H737">
        <v>53.1173</v>
      </c>
      <c r="I737">
        <v>53.8718</v>
      </c>
      <c r="J737">
        <v>93105</v>
      </c>
      <c r="K737">
        <v>2.5863</v>
      </c>
      <c r="L737">
        <v>2.4148000000000001</v>
      </c>
    </row>
    <row r="738" spans="1:12" x14ac:dyDescent="0.25">
      <c r="A738">
        <v>2303</v>
      </c>
      <c r="B738" t="s">
        <v>10</v>
      </c>
      <c r="C738" s="1">
        <v>40724</v>
      </c>
      <c r="D738" s="2">
        <f t="shared" si="22"/>
        <v>4</v>
      </c>
      <c r="E738" s="2">
        <f t="shared" si="23"/>
        <v>6</v>
      </c>
      <c r="F738">
        <v>9.7020999999999997</v>
      </c>
      <c r="G738">
        <v>9.7362000000000002</v>
      </c>
      <c r="H738">
        <v>9.6681000000000008</v>
      </c>
      <c r="I738">
        <v>9.7020999999999997</v>
      </c>
      <c r="J738">
        <v>42804</v>
      </c>
      <c r="K738">
        <v>0</v>
      </c>
      <c r="L738">
        <v>0.70420000000000005</v>
      </c>
    </row>
    <row r="739" spans="1:12" hidden="1" x14ac:dyDescent="0.25">
      <c r="A739">
        <v>2330</v>
      </c>
      <c r="B739" t="s">
        <v>11</v>
      </c>
      <c r="C739" s="1">
        <v>40724</v>
      </c>
      <c r="D739" s="2">
        <f t="shared" si="22"/>
        <v>4</v>
      </c>
      <c r="E739" s="2">
        <f t="shared" si="23"/>
        <v>6</v>
      </c>
      <c r="F739">
        <v>53.8718</v>
      </c>
      <c r="G739">
        <v>54.4754</v>
      </c>
      <c r="H739">
        <v>53.796300000000002</v>
      </c>
      <c r="I739">
        <v>54.4754</v>
      </c>
      <c r="J739">
        <v>48913</v>
      </c>
      <c r="K739">
        <v>1.1142000000000001</v>
      </c>
      <c r="L739">
        <v>1.2623</v>
      </c>
    </row>
    <row r="740" spans="1:12" x14ac:dyDescent="0.25">
      <c r="A740">
        <v>2303</v>
      </c>
      <c r="B740" t="s">
        <v>10</v>
      </c>
      <c r="C740" s="1">
        <v>40725</v>
      </c>
      <c r="D740" s="2">
        <f t="shared" si="22"/>
        <v>5</v>
      </c>
      <c r="E740" s="2">
        <f t="shared" si="23"/>
        <v>7</v>
      </c>
      <c r="F740">
        <v>9.7362000000000002</v>
      </c>
      <c r="G740">
        <v>9.7702000000000009</v>
      </c>
      <c r="H740">
        <v>9.6681000000000008</v>
      </c>
      <c r="I740">
        <v>9.7020999999999997</v>
      </c>
      <c r="J740">
        <v>40912</v>
      </c>
      <c r="K740">
        <v>0</v>
      </c>
      <c r="L740">
        <v>1.0563</v>
      </c>
    </row>
    <row r="741" spans="1:12" hidden="1" x14ac:dyDescent="0.25">
      <c r="A741">
        <v>2330</v>
      </c>
      <c r="B741" t="s">
        <v>11</v>
      </c>
      <c r="C741" s="1">
        <v>40725</v>
      </c>
      <c r="D741" s="2">
        <f t="shared" si="22"/>
        <v>5</v>
      </c>
      <c r="E741" s="2">
        <f t="shared" si="23"/>
        <v>7</v>
      </c>
      <c r="F741">
        <v>54.4754</v>
      </c>
      <c r="G741">
        <v>55.079000000000001</v>
      </c>
      <c r="H741">
        <v>54.3245</v>
      </c>
      <c r="I741">
        <v>54.928100000000001</v>
      </c>
      <c r="J741">
        <v>41924</v>
      </c>
      <c r="K741">
        <v>0.8276</v>
      </c>
      <c r="L741">
        <v>1.3889</v>
      </c>
    </row>
    <row r="742" spans="1:12" x14ac:dyDescent="0.25">
      <c r="A742">
        <v>2303</v>
      </c>
      <c r="B742" t="s">
        <v>10</v>
      </c>
      <c r="C742" s="1">
        <v>40728</v>
      </c>
      <c r="D742" s="2">
        <f t="shared" si="22"/>
        <v>1</v>
      </c>
      <c r="E742" s="2">
        <f t="shared" si="23"/>
        <v>7</v>
      </c>
      <c r="F742">
        <v>9.7702000000000009</v>
      </c>
      <c r="G742">
        <v>9.8042999999999996</v>
      </c>
      <c r="H742">
        <v>9.7020999999999997</v>
      </c>
      <c r="I742">
        <v>9.7702000000000009</v>
      </c>
      <c r="J742">
        <v>40109</v>
      </c>
      <c r="K742">
        <v>0.69930000000000003</v>
      </c>
      <c r="L742">
        <v>1.0526</v>
      </c>
    </row>
    <row r="743" spans="1:12" hidden="1" x14ac:dyDescent="0.25">
      <c r="A743">
        <v>2330</v>
      </c>
      <c r="B743" t="s">
        <v>11</v>
      </c>
      <c r="C743" s="1">
        <v>40728</v>
      </c>
      <c r="D743" s="2">
        <f t="shared" si="22"/>
        <v>1</v>
      </c>
      <c r="E743" s="2">
        <f t="shared" si="23"/>
        <v>7</v>
      </c>
      <c r="F743">
        <v>55.758099999999999</v>
      </c>
      <c r="G743">
        <v>55.758099999999999</v>
      </c>
      <c r="H743">
        <v>55.154499999999999</v>
      </c>
      <c r="I743">
        <v>55.456299999999999</v>
      </c>
      <c r="J743">
        <v>44330</v>
      </c>
      <c r="K743">
        <v>0.95689999999999997</v>
      </c>
      <c r="L743">
        <v>1.0944</v>
      </c>
    </row>
    <row r="744" spans="1:12" x14ac:dyDescent="0.25">
      <c r="A744">
        <v>2303</v>
      </c>
      <c r="B744" t="s">
        <v>10</v>
      </c>
      <c r="C744" s="1">
        <v>40729</v>
      </c>
      <c r="D744" s="2">
        <f t="shared" si="22"/>
        <v>2</v>
      </c>
      <c r="E744" s="2">
        <f t="shared" si="23"/>
        <v>7</v>
      </c>
      <c r="F744">
        <v>9.8042999999999996</v>
      </c>
      <c r="G744">
        <v>9.8042999999999996</v>
      </c>
      <c r="H744">
        <v>9.6681000000000008</v>
      </c>
      <c r="I744">
        <v>9.7020999999999997</v>
      </c>
      <c r="J744">
        <v>42942</v>
      </c>
      <c r="K744">
        <v>-0.69930000000000003</v>
      </c>
      <c r="L744">
        <v>1.4085000000000001</v>
      </c>
    </row>
    <row r="745" spans="1:12" hidden="1" x14ac:dyDescent="0.25">
      <c r="A745">
        <v>2330</v>
      </c>
      <c r="B745" t="s">
        <v>11</v>
      </c>
      <c r="C745" s="1">
        <v>40729</v>
      </c>
      <c r="D745" s="2">
        <f t="shared" si="22"/>
        <v>2</v>
      </c>
      <c r="E745" s="2">
        <f t="shared" si="23"/>
        <v>7</v>
      </c>
      <c r="F745">
        <v>55.229900000000001</v>
      </c>
      <c r="G745">
        <v>55.305399999999999</v>
      </c>
      <c r="H745">
        <v>54.626300000000001</v>
      </c>
      <c r="I745">
        <v>55.229900000000001</v>
      </c>
      <c r="J745">
        <v>39009</v>
      </c>
      <c r="K745">
        <v>-0.40899999999999997</v>
      </c>
      <c r="L745">
        <v>1.2431000000000001</v>
      </c>
    </row>
    <row r="746" spans="1:12" x14ac:dyDescent="0.25">
      <c r="A746">
        <v>2303</v>
      </c>
      <c r="B746" t="s">
        <v>10</v>
      </c>
      <c r="C746" s="1">
        <v>40730</v>
      </c>
      <c r="D746" s="2">
        <f t="shared" si="22"/>
        <v>3</v>
      </c>
      <c r="E746" s="2">
        <f t="shared" si="23"/>
        <v>7</v>
      </c>
      <c r="F746">
        <v>9.7020999999999997</v>
      </c>
      <c r="G746">
        <v>9.7362000000000002</v>
      </c>
      <c r="H746">
        <v>9.6340000000000003</v>
      </c>
      <c r="I746">
        <v>9.7362000000000002</v>
      </c>
      <c r="J746">
        <v>25161</v>
      </c>
      <c r="K746">
        <v>0.3503</v>
      </c>
      <c r="L746">
        <v>1.0601</v>
      </c>
    </row>
    <row r="747" spans="1:12" hidden="1" x14ac:dyDescent="0.25">
      <c r="A747">
        <v>2330</v>
      </c>
      <c r="B747" t="s">
        <v>11</v>
      </c>
      <c r="C747" s="1">
        <v>40730</v>
      </c>
      <c r="D747" s="2">
        <f t="shared" si="22"/>
        <v>3</v>
      </c>
      <c r="E747" s="2">
        <f t="shared" si="23"/>
        <v>7</v>
      </c>
      <c r="F747">
        <v>55.229900000000001</v>
      </c>
      <c r="G747">
        <v>55.380800000000001</v>
      </c>
      <c r="H747">
        <v>54.701799999999999</v>
      </c>
      <c r="I747">
        <v>54.928100000000001</v>
      </c>
      <c r="J747">
        <v>43443</v>
      </c>
      <c r="K747">
        <v>-0.54790000000000005</v>
      </c>
      <c r="L747">
        <v>1.2414000000000001</v>
      </c>
    </row>
    <row r="748" spans="1:12" x14ac:dyDescent="0.25">
      <c r="A748">
        <v>2303</v>
      </c>
      <c r="B748" t="s">
        <v>10</v>
      </c>
      <c r="C748" s="1">
        <v>40731</v>
      </c>
      <c r="D748" s="2">
        <f t="shared" si="22"/>
        <v>4</v>
      </c>
      <c r="E748" s="2">
        <f t="shared" si="23"/>
        <v>7</v>
      </c>
      <c r="F748">
        <v>9.7362000000000002</v>
      </c>
      <c r="G748">
        <v>9.8722999999999992</v>
      </c>
      <c r="H748">
        <v>9.7020999999999997</v>
      </c>
      <c r="I748">
        <v>9.7702000000000009</v>
      </c>
      <c r="J748">
        <v>46697</v>
      </c>
      <c r="K748">
        <v>0.34899999999999998</v>
      </c>
      <c r="L748">
        <v>1.7544</v>
      </c>
    </row>
    <row r="749" spans="1:12" hidden="1" x14ac:dyDescent="0.25">
      <c r="A749">
        <v>2330</v>
      </c>
      <c r="B749" t="s">
        <v>11</v>
      </c>
      <c r="C749" s="1">
        <v>40731</v>
      </c>
      <c r="D749" s="2">
        <f t="shared" si="22"/>
        <v>4</v>
      </c>
      <c r="E749" s="2">
        <f t="shared" si="23"/>
        <v>7</v>
      </c>
      <c r="F749">
        <v>54.4</v>
      </c>
      <c r="G749">
        <v>54.550899999999999</v>
      </c>
      <c r="H749">
        <v>53.947299999999998</v>
      </c>
      <c r="I749">
        <v>54.0227</v>
      </c>
      <c r="J749">
        <v>47743</v>
      </c>
      <c r="K749">
        <v>-1.6620999999999999</v>
      </c>
      <c r="L749">
        <v>1.1189</v>
      </c>
    </row>
    <row r="750" spans="1:12" x14ac:dyDescent="0.25">
      <c r="A750">
        <v>2303</v>
      </c>
      <c r="B750" t="s">
        <v>10</v>
      </c>
      <c r="C750" s="1">
        <v>40732</v>
      </c>
      <c r="D750" s="2">
        <f t="shared" si="22"/>
        <v>5</v>
      </c>
      <c r="E750" s="2">
        <f t="shared" si="23"/>
        <v>7</v>
      </c>
      <c r="F750">
        <v>9.7702000000000009</v>
      </c>
      <c r="G750">
        <v>9.8383000000000003</v>
      </c>
      <c r="H750">
        <v>9.7020999999999997</v>
      </c>
      <c r="I750">
        <v>9.7020999999999997</v>
      </c>
      <c r="J750">
        <v>29842</v>
      </c>
      <c r="K750">
        <v>-0.69930000000000003</v>
      </c>
      <c r="L750">
        <v>1.4035</v>
      </c>
    </row>
    <row r="751" spans="1:12" hidden="1" x14ac:dyDescent="0.25">
      <c r="A751">
        <v>2330</v>
      </c>
      <c r="B751" t="s">
        <v>11</v>
      </c>
      <c r="C751" s="1">
        <v>40732</v>
      </c>
      <c r="D751" s="2">
        <f t="shared" si="22"/>
        <v>5</v>
      </c>
      <c r="E751" s="2">
        <f t="shared" si="23"/>
        <v>7</v>
      </c>
      <c r="F751">
        <v>54.4</v>
      </c>
      <c r="G751">
        <v>54.928100000000001</v>
      </c>
      <c r="H751">
        <v>54.3245</v>
      </c>
      <c r="I751">
        <v>54.701799999999999</v>
      </c>
      <c r="J751">
        <v>52961</v>
      </c>
      <c r="K751">
        <v>1.2491000000000001</v>
      </c>
      <c r="L751">
        <v>1.1111</v>
      </c>
    </row>
    <row r="752" spans="1:12" x14ac:dyDescent="0.25">
      <c r="A752">
        <v>2303</v>
      </c>
      <c r="B752" t="s">
        <v>10</v>
      </c>
      <c r="C752" s="1">
        <v>40735</v>
      </c>
      <c r="D752" s="2">
        <f t="shared" si="22"/>
        <v>1</v>
      </c>
      <c r="E752" s="2">
        <f t="shared" si="23"/>
        <v>7</v>
      </c>
      <c r="F752">
        <v>9.6681000000000008</v>
      </c>
      <c r="G752">
        <v>9.7362000000000002</v>
      </c>
      <c r="H752">
        <v>9.5658999999999992</v>
      </c>
      <c r="I752">
        <v>9.5658999999999992</v>
      </c>
      <c r="J752">
        <v>27890</v>
      </c>
      <c r="K752">
        <v>-1.4135</v>
      </c>
      <c r="L752">
        <v>1.7794000000000001</v>
      </c>
    </row>
    <row r="753" spans="1:12" hidden="1" x14ac:dyDescent="0.25">
      <c r="A753">
        <v>2330</v>
      </c>
      <c r="B753" t="s">
        <v>11</v>
      </c>
      <c r="C753" s="1">
        <v>40735</v>
      </c>
      <c r="D753" s="2">
        <f t="shared" si="22"/>
        <v>1</v>
      </c>
      <c r="E753" s="2">
        <f t="shared" si="23"/>
        <v>7</v>
      </c>
      <c r="F753">
        <v>54.777200000000001</v>
      </c>
      <c r="G753">
        <v>54.777200000000001</v>
      </c>
      <c r="H753">
        <v>52.9664</v>
      </c>
      <c r="I753">
        <v>53.796300000000002</v>
      </c>
      <c r="J753">
        <v>52112</v>
      </c>
      <c r="K753">
        <v>-1.669</v>
      </c>
      <c r="L753">
        <v>3.4188000000000001</v>
      </c>
    </row>
    <row r="754" spans="1:12" x14ac:dyDescent="0.25">
      <c r="A754">
        <v>2303</v>
      </c>
      <c r="B754" t="s">
        <v>10</v>
      </c>
      <c r="C754" s="1">
        <v>40736</v>
      </c>
      <c r="D754" s="2">
        <f t="shared" si="22"/>
        <v>2</v>
      </c>
      <c r="E754" s="2">
        <f t="shared" si="23"/>
        <v>7</v>
      </c>
      <c r="F754">
        <v>9.4638000000000009</v>
      </c>
      <c r="G754">
        <v>9.5319000000000003</v>
      </c>
      <c r="H754">
        <v>9.4298000000000002</v>
      </c>
      <c r="I754">
        <v>9.4638000000000009</v>
      </c>
      <c r="J754">
        <v>47648</v>
      </c>
      <c r="K754">
        <v>-1.0733999999999999</v>
      </c>
      <c r="L754">
        <v>1.083</v>
      </c>
    </row>
    <row r="755" spans="1:12" hidden="1" x14ac:dyDescent="0.25">
      <c r="A755">
        <v>2330</v>
      </c>
      <c r="B755" t="s">
        <v>11</v>
      </c>
      <c r="C755" s="1">
        <v>40736</v>
      </c>
      <c r="D755" s="2">
        <f t="shared" si="22"/>
        <v>2</v>
      </c>
      <c r="E755" s="2">
        <f t="shared" si="23"/>
        <v>7</v>
      </c>
      <c r="F755">
        <v>53.2682</v>
      </c>
      <c r="G755">
        <v>53.4191</v>
      </c>
      <c r="H755">
        <v>52.890900000000002</v>
      </c>
      <c r="I755">
        <v>53.041800000000002</v>
      </c>
      <c r="J755">
        <v>40008</v>
      </c>
      <c r="K755">
        <v>-1.4125000000000001</v>
      </c>
      <c r="L755">
        <v>0.99860000000000004</v>
      </c>
    </row>
    <row r="756" spans="1:12" x14ac:dyDescent="0.25">
      <c r="A756">
        <v>2303</v>
      </c>
      <c r="B756" t="s">
        <v>10</v>
      </c>
      <c r="C756" s="1">
        <v>40737</v>
      </c>
      <c r="D756" s="2">
        <f t="shared" si="22"/>
        <v>3</v>
      </c>
      <c r="E756" s="2">
        <f t="shared" si="23"/>
        <v>7</v>
      </c>
      <c r="F756">
        <v>9.4298000000000002</v>
      </c>
      <c r="G756">
        <v>9.5319000000000003</v>
      </c>
      <c r="H756">
        <v>9.4298000000000002</v>
      </c>
      <c r="I756">
        <v>9.4638000000000009</v>
      </c>
      <c r="J756">
        <v>24658</v>
      </c>
      <c r="K756">
        <v>0</v>
      </c>
      <c r="L756">
        <v>1.083</v>
      </c>
    </row>
    <row r="757" spans="1:12" hidden="1" x14ac:dyDescent="0.25">
      <c r="A757">
        <v>2330</v>
      </c>
      <c r="B757" t="s">
        <v>11</v>
      </c>
      <c r="C757" s="1">
        <v>40737</v>
      </c>
      <c r="D757" s="2">
        <f t="shared" si="22"/>
        <v>3</v>
      </c>
      <c r="E757" s="2">
        <f t="shared" si="23"/>
        <v>7</v>
      </c>
      <c r="F757">
        <v>53.192700000000002</v>
      </c>
      <c r="G757">
        <v>54.701799999999999</v>
      </c>
      <c r="H757">
        <v>52.890900000000002</v>
      </c>
      <c r="I757">
        <v>54.4754</v>
      </c>
      <c r="J757">
        <v>69109</v>
      </c>
      <c r="K757">
        <v>2.6667999999999998</v>
      </c>
      <c r="L757">
        <v>3.4237000000000002</v>
      </c>
    </row>
    <row r="758" spans="1:12" x14ac:dyDescent="0.25">
      <c r="A758">
        <v>2303</v>
      </c>
      <c r="B758" t="s">
        <v>10</v>
      </c>
      <c r="C758" s="1">
        <v>40738</v>
      </c>
      <c r="D758" s="2">
        <f t="shared" si="22"/>
        <v>4</v>
      </c>
      <c r="E758" s="2">
        <f t="shared" si="23"/>
        <v>7</v>
      </c>
      <c r="F758">
        <v>9.4638000000000009</v>
      </c>
      <c r="G758">
        <v>9.5319000000000003</v>
      </c>
      <c r="H758">
        <v>9.2596000000000007</v>
      </c>
      <c r="I758">
        <v>9.3617000000000008</v>
      </c>
      <c r="J758">
        <v>39898</v>
      </c>
      <c r="K758">
        <v>-1.085</v>
      </c>
      <c r="L758">
        <v>2.9411999999999998</v>
      </c>
    </row>
    <row r="759" spans="1:12" hidden="1" x14ac:dyDescent="0.25">
      <c r="A759">
        <v>2330</v>
      </c>
      <c r="B759" t="s">
        <v>11</v>
      </c>
      <c r="C759" s="1">
        <v>40738</v>
      </c>
      <c r="D759" s="2">
        <f t="shared" si="22"/>
        <v>4</v>
      </c>
      <c r="E759" s="2">
        <f t="shared" si="23"/>
        <v>7</v>
      </c>
      <c r="F759">
        <v>53.192700000000002</v>
      </c>
      <c r="G759">
        <v>53.8718</v>
      </c>
      <c r="H759">
        <v>52.890900000000002</v>
      </c>
      <c r="I759">
        <v>53.343600000000002</v>
      </c>
      <c r="J759">
        <v>54411</v>
      </c>
      <c r="K759">
        <v>-2.0994000000000002</v>
      </c>
      <c r="L759">
        <v>1.8545</v>
      </c>
    </row>
    <row r="760" spans="1:12" x14ac:dyDescent="0.25">
      <c r="A760">
        <v>2303</v>
      </c>
      <c r="B760" t="s">
        <v>10</v>
      </c>
      <c r="C760" s="1">
        <v>40739</v>
      </c>
      <c r="D760" s="2">
        <f t="shared" si="22"/>
        <v>5</v>
      </c>
      <c r="E760" s="2">
        <f t="shared" si="23"/>
        <v>7</v>
      </c>
      <c r="F760">
        <v>9.3617000000000008</v>
      </c>
      <c r="G760">
        <v>9.4638000000000009</v>
      </c>
      <c r="H760">
        <v>9.2935999999999996</v>
      </c>
      <c r="I760">
        <v>9.4638000000000009</v>
      </c>
      <c r="J760">
        <v>28865</v>
      </c>
      <c r="K760">
        <v>1.085</v>
      </c>
      <c r="L760">
        <v>1.8314999999999999</v>
      </c>
    </row>
    <row r="761" spans="1:12" hidden="1" x14ac:dyDescent="0.25">
      <c r="A761">
        <v>2330</v>
      </c>
      <c r="B761" t="s">
        <v>11</v>
      </c>
      <c r="C761" s="1">
        <v>40739</v>
      </c>
      <c r="D761" s="2">
        <f t="shared" si="22"/>
        <v>5</v>
      </c>
      <c r="E761" s="2">
        <f t="shared" si="23"/>
        <v>7</v>
      </c>
      <c r="F761">
        <v>52.8155</v>
      </c>
      <c r="G761">
        <v>52.9664</v>
      </c>
      <c r="H761">
        <v>52.438200000000002</v>
      </c>
      <c r="I761">
        <v>52.74</v>
      </c>
      <c r="J761">
        <v>89121</v>
      </c>
      <c r="K761">
        <v>-1.1379999999999999</v>
      </c>
      <c r="L761">
        <v>1.0072000000000001</v>
      </c>
    </row>
    <row r="762" spans="1:12" x14ac:dyDescent="0.25">
      <c r="A762">
        <v>2303</v>
      </c>
      <c r="B762" t="s">
        <v>10</v>
      </c>
      <c r="C762" s="1">
        <v>40742</v>
      </c>
      <c r="D762" s="2">
        <f t="shared" si="22"/>
        <v>1</v>
      </c>
      <c r="E762" s="2">
        <f t="shared" si="23"/>
        <v>7</v>
      </c>
      <c r="F762">
        <v>9.4638000000000009</v>
      </c>
      <c r="G762">
        <v>9.4978999999999996</v>
      </c>
      <c r="H762">
        <v>9.3617000000000008</v>
      </c>
      <c r="I762">
        <v>9.4298000000000002</v>
      </c>
      <c r="J762">
        <v>19603</v>
      </c>
      <c r="K762">
        <v>-0.3604</v>
      </c>
      <c r="L762">
        <v>1.4544999999999999</v>
      </c>
    </row>
    <row r="763" spans="1:12" hidden="1" x14ac:dyDescent="0.25">
      <c r="A763">
        <v>2330</v>
      </c>
      <c r="B763" t="s">
        <v>11</v>
      </c>
      <c r="C763" s="1">
        <v>40742</v>
      </c>
      <c r="D763" s="2">
        <f t="shared" si="22"/>
        <v>1</v>
      </c>
      <c r="E763" s="2">
        <f t="shared" si="23"/>
        <v>7</v>
      </c>
      <c r="F763">
        <v>52.589100000000002</v>
      </c>
      <c r="G763">
        <v>52.9664</v>
      </c>
      <c r="H763">
        <v>52.3628</v>
      </c>
      <c r="I763">
        <v>52.589100000000002</v>
      </c>
      <c r="J763">
        <v>37965</v>
      </c>
      <c r="K763">
        <v>-0.28649999999999998</v>
      </c>
      <c r="L763">
        <v>1.1527000000000001</v>
      </c>
    </row>
    <row r="764" spans="1:12" x14ac:dyDescent="0.25">
      <c r="A764">
        <v>2303</v>
      </c>
      <c r="B764" t="s">
        <v>10</v>
      </c>
      <c r="C764" s="1">
        <v>40743</v>
      </c>
      <c r="D764" s="2">
        <f t="shared" si="22"/>
        <v>2</v>
      </c>
      <c r="E764" s="2">
        <f t="shared" si="23"/>
        <v>7</v>
      </c>
      <c r="F764">
        <v>9.4298000000000002</v>
      </c>
      <c r="G764">
        <v>9.4298000000000002</v>
      </c>
      <c r="H764">
        <v>9.3276000000000003</v>
      </c>
      <c r="I764">
        <v>9.4298000000000002</v>
      </c>
      <c r="J764">
        <v>28534</v>
      </c>
      <c r="K764">
        <v>0</v>
      </c>
      <c r="L764">
        <v>1.0949</v>
      </c>
    </row>
    <row r="765" spans="1:12" hidden="1" x14ac:dyDescent="0.25">
      <c r="A765">
        <v>2330</v>
      </c>
      <c r="B765" t="s">
        <v>11</v>
      </c>
      <c r="C765" s="1">
        <v>40743</v>
      </c>
      <c r="D765" s="2">
        <f t="shared" si="22"/>
        <v>2</v>
      </c>
      <c r="E765" s="2">
        <f t="shared" si="23"/>
        <v>7</v>
      </c>
      <c r="F765">
        <v>52.5137</v>
      </c>
      <c r="G765">
        <v>52.6646</v>
      </c>
      <c r="H765">
        <v>51.683700000000002</v>
      </c>
      <c r="I765">
        <v>51.683700000000002</v>
      </c>
      <c r="J765">
        <v>57459</v>
      </c>
      <c r="K765">
        <v>-1.7366999999999999</v>
      </c>
      <c r="L765">
        <v>1.8977999999999999</v>
      </c>
    </row>
    <row r="766" spans="1:12" x14ac:dyDescent="0.25">
      <c r="A766">
        <v>2303</v>
      </c>
      <c r="B766" t="s">
        <v>10</v>
      </c>
      <c r="C766" s="1">
        <v>40744</v>
      </c>
      <c r="D766" s="2">
        <f t="shared" si="22"/>
        <v>3</v>
      </c>
      <c r="E766" s="2">
        <f t="shared" si="23"/>
        <v>7</v>
      </c>
      <c r="F766">
        <v>9.4978999999999996</v>
      </c>
      <c r="G766">
        <v>9.6</v>
      </c>
      <c r="H766">
        <v>9.4298000000000002</v>
      </c>
      <c r="I766">
        <v>9.6</v>
      </c>
      <c r="J766">
        <v>46899</v>
      </c>
      <c r="K766">
        <v>1.7889999999999999</v>
      </c>
      <c r="L766">
        <v>1.8050999999999999</v>
      </c>
    </row>
    <row r="767" spans="1:12" hidden="1" x14ac:dyDescent="0.25">
      <c r="A767">
        <v>2330</v>
      </c>
      <c r="B767" t="s">
        <v>11</v>
      </c>
      <c r="C767" s="1">
        <v>40744</v>
      </c>
      <c r="D767" s="2">
        <f t="shared" si="22"/>
        <v>3</v>
      </c>
      <c r="E767" s="2">
        <f t="shared" si="23"/>
        <v>7</v>
      </c>
      <c r="F767">
        <v>52.589100000000002</v>
      </c>
      <c r="G767">
        <v>54.098199999999999</v>
      </c>
      <c r="H767">
        <v>52.3628</v>
      </c>
      <c r="I767">
        <v>54.0227</v>
      </c>
      <c r="J767">
        <v>58272</v>
      </c>
      <c r="K767">
        <v>4.4260999999999999</v>
      </c>
      <c r="L767">
        <v>3.3140999999999998</v>
      </c>
    </row>
    <row r="768" spans="1:12" x14ac:dyDescent="0.25">
      <c r="A768">
        <v>2303</v>
      </c>
      <c r="B768" t="s">
        <v>10</v>
      </c>
      <c r="C768" s="1">
        <v>40745</v>
      </c>
      <c r="D768" s="2">
        <f t="shared" si="22"/>
        <v>4</v>
      </c>
      <c r="E768" s="2">
        <f t="shared" si="23"/>
        <v>7</v>
      </c>
      <c r="F768">
        <v>9.6</v>
      </c>
      <c r="G768">
        <v>9.8383000000000003</v>
      </c>
      <c r="H768">
        <v>9.5319000000000003</v>
      </c>
      <c r="I768">
        <v>9.8383000000000003</v>
      </c>
      <c r="J768">
        <v>144642</v>
      </c>
      <c r="K768">
        <v>2.452</v>
      </c>
      <c r="L768">
        <v>3.2143000000000002</v>
      </c>
    </row>
    <row r="769" spans="1:12" hidden="1" x14ac:dyDescent="0.25">
      <c r="A769">
        <v>2330</v>
      </c>
      <c r="B769" t="s">
        <v>11</v>
      </c>
      <c r="C769" s="1">
        <v>40745</v>
      </c>
      <c r="D769" s="2">
        <f t="shared" si="22"/>
        <v>4</v>
      </c>
      <c r="E769" s="2">
        <f t="shared" si="23"/>
        <v>7</v>
      </c>
      <c r="F769">
        <v>53.8718</v>
      </c>
      <c r="G769">
        <v>54.0227</v>
      </c>
      <c r="H769">
        <v>53.2682</v>
      </c>
      <c r="I769">
        <v>54.0227</v>
      </c>
      <c r="J769">
        <v>33277</v>
      </c>
      <c r="K769">
        <v>0</v>
      </c>
      <c r="L769">
        <v>1.4164000000000001</v>
      </c>
    </row>
    <row r="770" spans="1:12" x14ac:dyDescent="0.25">
      <c r="A770">
        <v>2303</v>
      </c>
      <c r="B770" t="s">
        <v>10</v>
      </c>
      <c r="C770" s="1">
        <v>40746</v>
      </c>
      <c r="D770" s="2">
        <f t="shared" si="22"/>
        <v>5</v>
      </c>
      <c r="E770" s="2">
        <f t="shared" si="23"/>
        <v>7</v>
      </c>
      <c r="F770">
        <v>9.9574999999999996</v>
      </c>
      <c r="G770">
        <v>9.9574999999999996</v>
      </c>
      <c r="H770">
        <v>9.8468999999999998</v>
      </c>
      <c r="I770">
        <v>9.8838000000000008</v>
      </c>
      <c r="J770">
        <v>87932</v>
      </c>
      <c r="K770">
        <v>0.42570000000000002</v>
      </c>
      <c r="L770">
        <v>1.1235999999999999</v>
      </c>
    </row>
    <row r="771" spans="1:12" hidden="1" x14ac:dyDescent="0.25">
      <c r="A771">
        <v>2330</v>
      </c>
      <c r="B771" t="s">
        <v>11</v>
      </c>
      <c r="C771" s="1">
        <v>40746</v>
      </c>
      <c r="D771" s="2">
        <f t="shared" ref="D771:D834" si="24">WEEKDAY(C771,2)</f>
        <v>5</v>
      </c>
      <c r="E771" s="2">
        <f t="shared" ref="E771:E834" si="25">MONTH(C771)</f>
        <v>7</v>
      </c>
      <c r="F771">
        <v>54.626300000000001</v>
      </c>
      <c r="G771">
        <v>54.626300000000001</v>
      </c>
      <c r="H771">
        <v>54.098199999999999</v>
      </c>
      <c r="I771">
        <v>54.3245</v>
      </c>
      <c r="J771">
        <v>38243</v>
      </c>
      <c r="K771">
        <v>0.55710000000000004</v>
      </c>
      <c r="L771">
        <v>0.97629999999999995</v>
      </c>
    </row>
    <row r="772" spans="1:12" x14ac:dyDescent="0.25">
      <c r="A772">
        <v>2303</v>
      </c>
      <c r="B772" t="s">
        <v>10</v>
      </c>
      <c r="C772" s="1">
        <v>40749</v>
      </c>
      <c r="D772" s="2">
        <f t="shared" si="24"/>
        <v>1</v>
      </c>
      <c r="E772" s="2">
        <f t="shared" si="25"/>
        <v>7</v>
      </c>
      <c r="F772">
        <v>9.7362000000000002</v>
      </c>
      <c r="G772">
        <v>9.8838000000000008</v>
      </c>
      <c r="H772">
        <v>9.6994000000000007</v>
      </c>
      <c r="I772">
        <v>9.7362000000000002</v>
      </c>
      <c r="J772">
        <v>21408</v>
      </c>
      <c r="K772">
        <v>-1.5038</v>
      </c>
      <c r="L772">
        <v>1.9011</v>
      </c>
    </row>
    <row r="773" spans="1:12" hidden="1" x14ac:dyDescent="0.25">
      <c r="A773">
        <v>2330</v>
      </c>
      <c r="B773" t="s">
        <v>11</v>
      </c>
      <c r="C773" s="1">
        <v>40749</v>
      </c>
      <c r="D773" s="2">
        <f t="shared" si="24"/>
        <v>1</v>
      </c>
      <c r="E773" s="2">
        <f t="shared" si="25"/>
        <v>7</v>
      </c>
      <c r="F773">
        <v>54.626300000000001</v>
      </c>
      <c r="G773">
        <v>54.701799999999999</v>
      </c>
      <c r="H773">
        <v>53.8718</v>
      </c>
      <c r="I773">
        <v>54.3245</v>
      </c>
      <c r="J773">
        <v>34963</v>
      </c>
      <c r="K773">
        <v>0</v>
      </c>
      <c r="L773">
        <v>1.5406</v>
      </c>
    </row>
    <row r="774" spans="1:12" x14ac:dyDescent="0.25">
      <c r="A774">
        <v>2303</v>
      </c>
      <c r="B774" t="s">
        <v>10</v>
      </c>
      <c r="C774" s="1">
        <v>40750</v>
      </c>
      <c r="D774" s="2">
        <f t="shared" si="24"/>
        <v>2</v>
      </c>
      <c r="E774" s="2">
        <f t="shared" si="25"/>
        <v>7</v>
      </c>
      <c r="F774">
        <v>9.7362000000000002</v>
      </c>
      <c r="G774">
        <v>9.81</v>
      </c>
      <c r="H774">
        <v>9.6994000000000007</v>
      </c>
      <c r="I774">
        <v>9.81</v>
      </c>
      <c r="J774">
        <v>34138</v>
      </c>
      <c r="K774">
        <v>0.75470000000000004</v>
      </c>
      <c r="L774">
        <v>1.1407</v>
      </c>
    </row>
    <row r="775" spans="1:12" hidden="1" x14ac:dyDescent="0.25">
      <c r="A775">
        <v>2330</v>
      </c>
      <c r="B775" t="s">
        <v>11</v>
      </c>
      <c r="C775" s="1">
        <v>40750</v>
      </c>
      <c r="D775" s="2">
        <f t="shared" si="24"/>
        <v>2</v>
      </c>
      <c r="E775" s="2">
        <f t="shared" si="25"/>
        <v>7</v>
      </c>
      <c r="F775">
        <v>54.550899999999999</v>
      </c>
      <c r="G775">
        <v>55.607199999999999</v>
      </c>
      <c r="H775">
        <v>54.550899999999999</v>
      </c>
      <c r="I775">
        <v>55.607199999999999</v>
      </c>
      <c r="J775">
        <v>53159</v>
      </c>
      <c r="K775">
        <v>2.3336999999999999</v>
      </c>
      <c r="L775">
        <v>1.9363999999999999</v>
      </c>
    </row>
    <row r="776" spans="1:12" x14ac:dyDescent="0.25">
      <c r="A776">
        <v>2303</v>
      </c>
      <c r="B776" t="s">
        <v>10</v>
      </c>
      <c r="C776" s="1">
        <v>40751</v>
      </c>
      <c r="D776" s="2">
        <f t="shared" si="24"/>
        <v>3</v>
      </c>
      <c r="E776" s="2">
        <f t="shared" si="25"/>
        <v>7</v>
      </c>
      <c r="F776">
        <v>9.81</v>
      </c>
      <c r="G776">
        <v>9.81</v>
      </c>
      <c r="H776">
        <v>9.6624999999999996</v>
      </c>
      <c r="I776">
        <v>9.6624999999999996</v>
      </c>
      <c r="J776">
        <v>33251</v>
      </c>
      <c r="K776">
        <v>-1.5152000000000001</v>
      </c>
      <c r="L776">
        <v>1.5266999999999999</v>
      </c>
    </row>
    <row r="777" spans="1:12" hidden="1" x14ac:dyDescent="0.25">
      <c r="A777">
        <v>2330</v>
      </c>
      <c r="B777" t="s">
        <v>11</v>
      </c>
      <c r="C777" s="1">
        <v>40751</v>
      </c>
      <c r="D777" s="2">
        <f t="shared" si="24"/>
        <v>3</v>
      </c>
      <c r="E777" s="2">
        <f t="shared" si="25"/>
        <v>7</v>
      </c>
      <c r="F777">
        <v>55.607199999999999</v>
      </c>
      <c r="G777">
        <v>55.758099999999999</v>
      </c>
      <c r="H777">
        <v>55.079000000000001</v>
      </c>
      <c r="I777">
        <v>55.380800000000001</v>
      </c>
      <c r="J777">
        <v>45636</v>
      </c>
      <c r="K777">
        <v>-0.40789999999999998</v>
      </c>
      <c r="L777">
        <v>1.2329000000000001</v>
      </c>
    </row>
    <row r="778" spans="1:12" x14ac:dyDescent="0.25">
      <c r="A778">
        <v>2303</v>
      </c>
      <c r="B778" t="s">
        <v>10</v>
      </c>
      <c r="C778" s="1">
        <v>40752</v>
      </c>
      <c r="D778" s="2">
        <f t="shared" si="24"/>
        <v>4</v>
      </c>
      <c r="E778" s="2">
        <f t="shared" si="25"/>
        <v>7</v>
      </c>
      <c r="F778">
        <v>9.5886999999999993</v>
      </c>
      <c r="G778">
        <v>9.6624999999999996</v>
      </c>
      <c r="H778">
        <v>9.5518000000000001</v>
      </c>
      <c r="I778">
        <v>9.6256000000000004</v>
      </c>
      <c r="J778">
        <v>20333</v>
      </c>
      <c r="K778">
        <v>-0.38240000000000002</v>
      </c>
      <c r="L778">
        <v>1.1583000000000001</v>
      </c>
    </row>
    <row r="779" spans="1:12" hidden="1" x14ac:dyDescent="0.25">
      <c r="A779">
        <v>2330</v>
      </c>
      <c r="B779" t="s">
        <v>11</v>
      </c>
      <c r="C779" s="1">
        <v>40752</v>
      </c>
      <c r="D779" s="2">
        <f t="shared" si="24"/>
        <v>4</v>
      </c>
      <c r="E779" s="2">
        <f t="shared" si="25"/>
        <v>7</v>
      </c>
      <c r="F779">
        <v>54.928100000000001</v>
      </c>
      <c r="G779">
        <v>55.380800000000001</v>
      </c>
      <c r="H779">
        <v>54.550899999999999</v>
      </c>
      <c r="I779">
        <v>55.079000000000001</v>
      </c>
      <c r="J779">
        <v>33720</v>
      </c>
      <c r="K779">
        <v>-0.5464</v>
      </c>
      <c r="L779">
        <v>1.5214000000000001</v>
      </c>
    </row>
    <row r="780" spans="1:12" x14ac:dyDescent="0.25">
      <c r="A780">
        <v>2303</v>
      </c>
      <c r="B780" t="s">
        <v>10</v>
      </c>
      <c r="C780" s="1">
        <v>40753</v>
      </c>
      <c r="D780" s="2">
        <f t="shared" si="24"/>
        <v>5</v>
      </c>
      <c r="E780" s="2">
        <f t="shared" si="25"/>
        <v>7</v>
      </c>
      <c r="F780">
        <v>9.6624999999999996</v>
      </c>
      <c r="G780">
        <v>9.6624999999999996</v>
      </c>
      <c r="H780">
        <v>9.5518000000000001</v>
      </c>
      <c r="I780">
        <v>9.5518000000000001</v>
      </c>
      <c r="J780">
        <v>24874</v>
      </c>
      <c r="K780">
        <v>-0.76919999999999999</v>
      </c>
      <c r="L780">
        <v>1.1583000000000001</v>
      </c>
    </row>
    <row r="781" spans="1:12" hidden="1" x14ac:dyDescent="0.25">
      <c r="A781">
        <v>2330</v>
      </c>
      <c r="B781" t="s">
        <v>11</v>
      </c>
      <c r="C781" s="1">
        <v>40753</v>
      </c>
      <c r="D781" s="2">
        <f t="shared" si="24"/>
        <v>5</v>
      </c>
      <c r="E781" s="2">
        <f t="shared" si="25"/>
        <v>7</v>
      </c>
      <c r="F781">
        <v>54.1736</v>
      </c>
      <c r="G781">
        <v>54.626300000000001</v>
      </c>
      <c r="H781">
        <v>53.796300000000002</v>
      </c>
      <c r="I781">
        <v>54.3245</v>
      </c>
      <c r="J781">
        <v>60692</v>
      </c>
      <c r="K781">
        <v>-1.3793</v>
      </c>
      <c r="L781">
        <v>1.5427999999999999</v>
      </c>
    </row>
    <row r="782" spans="1:12" x14ac:dyDescent="0.25">
      <c r="A782">
        <v>2303</v>
      </c>
      <c r="B782" t="s">
        <v>10</v>
      </c>
      <c r="C782" s="1">
        <v>40756</v>
      </c>
      <c r="D782" s="2">
        <f t="shared" si="24"/>
        <v>1</v>
      </c>
      <c r="E782" s="2">
        <f t="shared" si="25"/>
        <v>8</v>
      </c>
      <c r="F782">
        <v>9.5518000000000001</v>
      </c>
      <c r="G782">
        <v>9.6994000000000007</v>
      </c>
      <c r="H782">
        <v>9.5150000000000006</v>
      </c>
      <c r="I782">
        <v>9.6624999999999996</v>
      </c>
      <c r="J782">
        <v>20517</v>
      </c>
      <c r="K782">
        <v>1.1516</v>
      </c>
      <c r="L782">
        <v>1.9379999999999999</v>
      </c>
    </row>
    <row r="783" spans="1:12" hidden="1" x14ac:dyDescent="0.25">
      <c r="A783">
        <v>2330</v>
      </c>
      <c r="B783" t="s">
        <v>11</v>
      </c>
      <c r="C783" s="1">
        <v>40756</v>
      </c>
      <c r="D783" s="2">
        <f t="shared" si="24"/>
        <v>1</v>
      </c>
      <c r="E783" s="2">
        <f t="shared" si="25"/>
        <v>8</v>
      </c>
      <c r="F783">
        <v>54.3245</v>
      </c>
      <c r="G783">
        <v>54.928100000000001</v>
      </c>
      <c r="H783">
        <v>54.3245</v>
      </c>
      <c r="I783">
        <v>54.777200000000001</v>
      </c>
      <c r="J783">
        <v>41138</v>
      </c>
      <c r="K783">
        <v>0.82989999999999997</v>
      </c>
      <c r="L783">
        <v>1.1111</v>
      </c>
    </row>
    <row r="784" spans="1:12" x14ac:dyDescent="0.25">
      <c r="A784">
        <v>2303</v>
      </c>
      <c r="B784" t="s">
        <v>10</v>
      </c>
      <c r="C784" s="1">
        <v>40757</v>
      </c>
      <c r="D784" s="2">
        <f t="shared" si="24"/>
        <v>2</v>
      </c>
      <c r="E784" s="2">
        <f t="shared" si="25"/>
        <v>8</v>
      </c>
      <c r="F784">
        <v>9.5518000000000001</v>
      </c>
      <c r="G784">
        <v>9.5886999999999993</v>
      </c>
      <c r="H784">
        <v>9.4412000000000003</v>
      </c>
      <c r="I784">
        <v>9.4412000000000003</v>
      </c>
      <c r="J784">
        <v>30236</v>
      </c>
      <c r="K784">
        <v>-2.3167</v>
      </c>
      <c r="L784">
        <v>1.5625</v>
      </c>
    </row>
    <row r="785" spans="1:12" hidden="1" x14ac:dyDescent="0.25">
      <c r="A785">
        <v>2330</v>
      </c>
      <c r="B785" t="s">
        <v>11</v>
      </c>
      <c r="C785" s="1">
        <v>40757</v>
      </c>
      <c r="D785" s="2">
        <f t="shared" si="24"/>
        <v>2</v>
      </c>
      <c r="E785" s="2">
        <f t="shared" si="25"/>
        <v>8</v>
      </c>
      <c r="F785">
        <v>54.3245</v>
      </c>
      <c r="G785">
        <v>54.4</v>
      </c>
      <c r="H785">
        <v>53.7209</v>
      </c>
      <c r="I785">
        <v>53.8718</v>
      </c>
      <c r="J785">
        <v>33521</v>
      </c>
      <c r="K785">
        <v>-1.6667000000000001</v>
      </c>
      <c r="L785">
        <v>1.264</v>
      </c>
    </row>
    <row r="786" spans="1:12" x14ac:dyDescent="0.25">
      <c r="A786">
        <v>2303</v>
      </c>
      <c r="B786" t="s">
        <v>10</v>
      </c>
      <c r="C786" s="1">
        <v>40758</v>
      </c>
      <c r="D786" s="2">
        <f t="shared" si="24"/>
        <v>3</v>
      </c>
      <c r="E786" s="2">
        <f t="shared" si="25"/>
        <v>8</v>
      </c>
      <c r="F786">
        <v>9.3673999999999999</v>
      </c>
      <c r="G786">
        <v>9.3673999999999999</v>
      </c>
      <c r="H786">
        <v>9.2568000000000001</v>
      </c>
      <c r="I786">
        <v>9.3306000000000004</v>
      </c>
      <c r="J786">
        <v>32733</v>
      </c>
      <c r="K786">
        <v>-1.1788000000000001</v>
      </c>
      <c r="L786">
        <v>1.1952</v>
      </c>
    </row>
    <row r="787" spans="1:12" hidden="1" x14ac:dyDescent="0.25">
      <c r="A787">
        <v>2330</v>
      </c>
      <c r="B787" t="s">
        <v>11</v>
      </c>
      <c r="C787" s="1">
        <v>40758</v>
      </c>
      <c r="D787" s="2">
        <f t="shared" si="24"/>
        <v>3</v>
      </c>
      <c r="E787" s="2">
        <f t="shared" si="25"/>
        <v>8</v>
      </c>
      <c r="F787">
        <v>52.890900000000002</v>
      </c>
      <c r="G787">
        <v>53.192700000000002</v>
      </c>
      <c r="H787">
        <v>52.6646</v>
      </c>
      <c r="I787">
        <v>52.890900000000002</v>
      </c>
      <c r="J787">
        <v>46025</v>
      </c>
      <c r="K787">
        <v>-1.8374999999999999</v>
      </c>
      <c r="L787">
        <v>1.0028999999999999</v>
      </c>
    </row>
    <row r="788" spans="1:12" x14ac:dyDescent="0.25">
      <c r="A788">
        <v>2303</v>
      </c>
      <c r="B788" t="s">
        <v>10</v>
      </c>
      <c r="C788" s="1">
        <v>40759</v>
      </c>
      <c r="D788" s="2">
        <f t="shared" si="24"/>
        <v>4</v>
      </c>
      <c r="E788" s="2">
        <f t="shared" si="25"/>
        <v>8</v>
      </c>
      <c r="F788">
        <v>9.2568000000000001</v>
      </c>
      <c r="G788">
        <v>9.2936999999999994</v>
      </c>
      <c r="H788">
        <v>9.0724</v>
      </c>
      <c r="I788">
        <v>9.1462000000000003</v>
      </c>
      <c r="J788">
        <v>52942</v>
      </c>
      <c r="K788">
        <v>-1.9961</v>
      </c>
      <c r="L788">
        <v>2.4390000000000001</v>
      </c>
    </row>
    <row r="789" spans="1:12" hidden="1" x14ac:dyDescent="0.25">
      <c r="A789">
        <v>2330</v>
      </c>
      <c r="B789" t="s">
        <v>11</v>
      </c>
      <c r="C789" s="1">
        <v>40759</v>
      </c>
      <c r="D789" s="2">
        <f t="shared" si="24"/>
        <v>4</v>
      </c>
      <c r="E789" s="2">
        <f t="shared" si="25"/>
        <v>8</v>
      </c>
      <c r="F789">
        <v>52.5137</v>
      </c>
      <c r="G789">
        <v>53.343600000000002</v>
      </c>
      <c r="H789">
        <v>52.5137</v>
      </c>
      <c r="I789">
        <v>52.8155</v>
      </c>
      <c r="J789">
        <v>45103</v>
      </c>
      <c r="K789">
        <v>-0.14280000000000001</v>
      </c>
      <c r="L789">
        <v>1.5805</v>
      </c>
    </row>
    <row r="790" spans="1:12" x14ac:dyDescent="0.25">
      <c r="A790">
        <v>2303</v>
      </c>
      <c r="B790" t="s">
        <v>10</v>
      </c>
      <c r="C790" s="1">
        <v>40760</v>
      </c>
      <c r="D790" s="2">
        <f t="shared" si="24"/>
        <v>5</v>
      </c>
      <c r="E790" s="2">
        <f t="shared" si="25"/>
        <v>8</v>
      </c>
      <c r="F790">
        <v>8.5191999999999997</v>
      </c>
      <c r="G790">
        <v>8.7035999999999998</v>
      </c>
      <c r="H790">
        <v>8.5191999999999997</v>
      </c>
      <c r="I790">
        <v>8.5191999999999997</v>
      </c>
      <c r="J790">
        <v>67317</v>
      </c>
      <c r="K790">
        <v>-7.1010999999999997</v>
      </c>
      <c r="L790">
        <v>2.1644999999999999</v>
      </c>
    </row>
    <row r="791" spans="1:12" hidden="1" x14ac:dyDescent="0.25">
      <c r="A791">
        <v>2330</v>
      </c>
      <c r="B791" t="s">
        <v>11</v>
      </c>
      <c r="C791" s="1">
        <v>40760</v>
      </c>
      <c r="D791" s="2">
        <f t="shared" si="24"/>
        <v>5</v>
      </c>
      <c r="E791" s="2">
        <f t="shared" si="25"/>
        <v>8</v>
      </c>
      <c r="F791">
        <v>49.797499999999999</v>
      </c>
      <c r="G791">
        <v>51.3065</v>
      </c>
      <c r="H791">
        <v>49.797499999999999</v>
      </c>
      <c r="I791">
        <v>50.2502</v>
      </c>
      <c r="J791">
        <v>89690</v>
      </c>
      <c r="K791">
        <v>-4.9790999999999999</v>
      </c>
      <c r="L791">
        <v>3.0303</v>
      </c>
    </row>
    <row r="792" spans="1:12" x14ac:dyDescent="0.25">
      <c r="A792">
        <v>2303</v>
      </c>
      <c r="B792" t="s">
        <v>10</v>
      </c>
      <c r="C792" s="1">
        <v>40763</v>
      </c>
      <c r="D792" s="2">
        <f t="shared" si="24"/>
        <v>1</v>
      </c>
      <c r="E792" s="2">
        <f t="shared" si="25"/>
        <v>8</v>
      </c>
      <c r="F792">
        <v>8.3347999999999995</v>
      </c>
      <c r="G792">
        <v>8.3347999999999995</v>
      </c>
      <c r="H792">
        <v>7.9291</v>
      </c>
      <c r="I792">
        <v>8.0397999999999996</v>
      </c>
      <c r="J792">
        <v>105630</v>
      </c>
      <c r="K792">
        <v>-5.7923</v>
      </c>
      <c r="L792">
        <v>5.1162999999999998</v>
      </c>
    </row>
    <row r="793" spans="1:12" hidden="1" x14ac:dyDescent="0.25">
      <c r="A793">
        <v>2330</v>
      </c>
      <c r="B793" t="s">
        <v>11</v>
      </c>
      <c r="C793" s="1">
        <v>40763</v>
      </c>
      <c r="D793" s="2">
        <f t="shared" si="24"/>
        <v>1</v>
      </c>
      <c r="E793" s="2">
        <f t="shared" si="25"/>
        <v>8</v>
      </c>
      <c r="F793">
        <v>49.797499999999999</v>
      </c>
      <c r="G793">
        <v>50.8538</v>
      </c>
      <c r="H793">
        <v>48.288400000000003</v>
      </c>
      <c r="I793">
        <v>49.193899999999999</v>
      </c>
      <c r="J793">
        <v>97536</v>
      </c>
      <c r="K793">
        <v>-2.1244999999999998</v>
      </c>
      <c r="L793">
        <v>5.3125</v>
      </c>
    </row>
    <row r="794" spans="1:12" x14ac:dyDescent="0.25">
      <c r="A794">
        <v>2303</v>
      </c>
      <c r="B794" t="s">
        <v>10</v>
      </c>
      <c r="C794" s="1">
        <v>40764</v>
      </c>
      <c r="D794" s="2">
        <f t="shared" si="24"/>
        <v>2</v>
      </c>
      <c r="E794" s="2">
        <f t="shared" si="25"/>
        <v>8</v>
      </c>
      <c r="F794">
        <v>7.4866000000000001</v>
      </c>
      <c r="G794">
        <v>7.8554000000000004</v>
      </c>
      <c r="H794">
        <v>7.4866000000000001</v>
      </c>
      <c r="I794">
        <v>7.7079000000000004</v>
      </c>
      <c r="J794">
        <v>126876</v>
      </c>
      <c r="K794">
        <v>-4.2161</v>
      </c>
      <c r="L794">
        <v>4.9260999999999999</v>
      </c>
    </row>
    <row r="795" spans="1:12" hidden="1" x14ac:dyDescent="0.25">
      <c r="A795">
        <v>2330</v>
      </c>
      <c r="B795" t="s">
        <v>11</v>
      </c>
      <c r="C795" s="1">
        <v>40764</v>
      </c>
      <c r="D795" s="2">
        <f t="shared" si="24"/>
        <v>2</v>
      </c>
      <c r="E795" s="2">
        <f t="shared" si="25"/>
        <v>8</v>
      </c>
      <c r="F795">
        <v>47.156700000000001</v>
      </c>
      <c r="G795">
        <v>49.118400000000001</v>
      </c>
      <c r="H795">
        <v>46.930300000000003</v>
      </c>
      <c r="I795">
        <v>47.760300000000001</v>
      </c>
      <c r="J795">
        <v>116036</v>
      </c>
      <c r="K795">
        <v>-2.9573999999999998</v>
      </c>
      <c r="L795">
        <v>4.6623999999999999</v>
      </c>
    </row>
    <row r="796" spans="1:12" x14ac:dyDescent="0.25">
      <c r="A796">
        <v>2303</v>
      </c>
      <c r="B796" t="s">
        <v>10</v>
      </c>
      <c r="C796" s="1">
        <v>40765</v>
      </c>
      <c r="D796" s="2">
        <f t="shared" si="24"/>
        <v>3</v>
      </c>
      <c r="E796" s="2">
        <f t="shared" si="25"/>
        <v>8</v>
      </c>
      <c r="F796">
        <v>7.9660000000000002</v>
      </c>
      <c r="G796">
        <v>8.2241999999999997</v>
      </c>
      <c r="H796">
        <v>7.8185000000000002</v>
      </c>
      <c r="I796">
        <v>8.1873000000000005</v>
      </c>
      <c r="J796">
        <v>99140</v>
      </c>
      <c r="K796">
        <v>6.0343</v>
      </c>
      <c r="L796">
        <v>5.1886999999999999</v>
      </c>
    </row>
    <row r="797" spans="1:12" hidden="1" x14ac:dyDescent="0.25">
      <c r="A797">
        <v>2330</v>
      </c>
      <c r="B797" t="s">
        <v>11</v>
      </c>
      <c r="C797" s="1">
        <v>40765</v>
      </c>
      <c r="D797" s="2">
        <f t="shared" si="24"/>
        <v>3</v>
      </c>
      <c r="E797" s="2">
        <f t="shared" si="25"/>
        <v>8</v>
      </c>
      <c r="F797">
        <v>49.118400000000001</v>
      </c>
      <c r="G797">
        <v>50.552</v>
      </c>
      <c r="H797">
        <v>49.042999999999999</v>
      </c>
      <c r="I797">
        <v>49.646599999999999</v>
      </c>
      <c r="J797">
        <v>109804</v>
      </c>
      <c r="K797">
        <v>3.8734999999999999</v>
      </c>
      <c r="L797">
        <v>3.0769000000000002</v>
      </c>
    </row>
    <row r="798" spans="1:12" x14ac:dyDescent="0.25">
      <c r="A798">
        <v>2303</v>
      </c>
      <c r="B798" t="s">
        <v>10</v>
      </c>
      <c r="C798" s="1">
        <v>40766</v>
      </c>
      <c r="D798" s="2">
        <f t="shared" si="24"/>
        <v>4</v>
      </c>
      <c r="E798" s="2">
        <f t="shared" si="25"/>
        <v>8</v>
      </c>
      <c r="F798">
        <v>7.8922999999999996</v>
      </c>
      <c r="G798">
        <v>8.1135000000000002</v>
      </c>
      <c r="H798">
        <v>7.8185000000000002</v>
      </c>
      <c r="I798">
        <v>7.9660000000000002</v>
      </c>
      <c r="J798">
        <v>75055</v>
      </c>
      <c r="K798">
        <v>-2.7399</v>
      </c>
      <c r="L798">
        <v>3.7736000000000001</v>
      </c>
    </row>
    <row r="799" spans="1:12" hidden="1" x14ac:dyDescent="0.25">
      <c r="A799">
        <v>2330</v>
      </c>
      <c r="B799" t="s">
        <v>11</v>
      </c>
      <c r="C799" s="1">
        <v>40766</v>
      </c>
      <c r="D799" s="2">
        <f t="shared" si="24"/>
        <v>4</v>
      </c>
      <c r="E799" s="2">
        <f t="shared" si="25"/>
        <v>8</v>
      </c>
      <c r="F799">
        <v>48.741199999999999</v>
      </c>
      <c r="G799">
        <v>50.4011</v>
      </c>
      <c r="H799">
        <v>48.288400000000003</v>
      </c>
      <c r="I799">
        <v>50.099299999999999</v>
      </c>
      <c r="J799">
        <v>54377</v>
      </c>
      <c r="K799">
        <v>0.90769999999999995</v>
      </c>
      <c r="L799">
        <v>4.375</v>
      </c>
    </row>
    <row r="800" spans="1:12" x14ac:dyDescent="0.25">
      <c r="A800">
        <v>2303</v>
      </c>
      <c r="B800" t="s">
        <v>10</v>
      </c>
      <c r="C800" s="1">
        <v>40767</v>
      </c>
      <c r="D800" s="2">
        <f t="shared" si="24"/>
        <v>5</v>
      </c>
      <c r="E800" s="2">
        <f t="shared" si="25"/>
        <v>8</v>
      </c>
      <c r="F800">
        <v>8.1135000000000002</v>
      </c>
      <c r="G800">
        <v>8.2611000000000008</v>
      </c>
      <c r="H800">
        <v>8.0029000000000003</v>
      </c>
      <c r="I800">
        <v>8.0397999999999996</v>
      </c>
      <c r="J800">
        <v>94101</v>
      </c>
      <c r="K800">
        <v>0.92169999999999996</v>
      </c>
      <c r="L800">
        <v>3.2258</v>
      </c>
    </row>
    <row r="801" spans="1:12" hidden="1" x14ac:dyDescent="0.25">
      <c r="A801">
        <v>2330</v>
      </c>
      <c r="B801" t="s">
        <v>11</v>
      </c>
      <c r="C801" s="1">
        <v>40767</v>
      </c>
      <c r="D801" s="2">
        <f t="shared" si="24"/>
        <v>5</v>
      </c>
      <c r="E801" s="2">
        <f t="shared" si="25"/>
        <v>8</v>
      </c>
      <c r="F801">
        <v>50.7029</v>
      </c>
      <c r="G801">
        <v>51.0047</v>
      </c>
      <c r="H801">
        <v>49.118400000000001</v>
      </c>
      <c r="I801">
        <v>49.118400000000001</v>
      </c>
      <c r="J801">
        <v>64348</v>
      </c>
      <c r="K801">
        <v>-1.9773000000000001</v>
      </c>
      <c r="L801">
        <v>3.8401999999999998</v>
      </c>
    </row>
    <row r="802" spans="1:12" x14ac:dyDescent="0.25">
      <c r="A802">
        <v>2303</v>
      </c>
      <c r="B802" t="s">
        <v>10</v>
      </c>
      <c r="C802" s="1">
        <v>40770</v>
      </c>
      <c r="D802" s="2">
        <f t="shared" si="24"/>
        <v>1</v>
      </c>
      <c r="E802" s="2">
        <f t="shared" si="25"/>
        <v>8</v>
      </c>
      <c r="F802">
        <v>8.1873000000000005</v>
      </c>
      <c r="G802">
        <v>8.2611000000000008</v>
      </c>
      <c r="H802">
        <v>8.1503999999999994</v>
      </c>
      <c r="I802">
        <v>8.2611000000000008</v>
      </c>
      <c r="J802">
        <v>33709</v>
      </c>
      <c r="K802">
        <v>2.7151000000000001</v>
      </c>
      <c r="L802">
        <v>1.3574999999999999</v>
      </c>
    </row>
    <row r="803" spans="1:12" hidden="1" x14ac:dyDescent="0.25">
      <c r="A803">
        <v>2330</v>
      </c>
      <c r="B803" t="s">
        <v>11</v>
      </c>
      <c r="C803" s="1">
        <v>40770</v>
      </c>
      <c r="D803" s="2">
        <f t="shared" si="24"/>
        <v>1</v>
      </c>
      <c r="E803" s="2">
        <f t="shared" si="25"/>
        <v>8</v>
      </c>
      <c r="F803">
        <v>50.476500000000001</v>
      </c>
      <c r="G803">
        <v>50.476500000000001</v>
      </c>
      <c r="H803">
        <v>49.722000000000001</v>
      </c>
      <c r="I803">
        <v>50.4011</v>
      </c>
      <c r="J803">
        <v>40240</v>
      </c>
      <c r="K803">
        <v>2.5779000000000001</v>
      </c>
      <c r="L803">
        <v>1.5175000000000001</v>
      </c>
    </row>
    <row r="804" spans="1:12" x14ac:dyDescent="0.25">
      <c r="A804">
        <v>2303</v>
      </c>
      <c r="B804" t="s">
        <v>10</v>
      </c>
      <c r="C804" s="1">
        <v>40771</v>
      </c>
      <c r="D804" s="2">
        <f t="shared" si="24"/>
        <v>2</v>
      </c>
      <c r="E804" s="2">
        <f t="shared" si="25"/>
        <v>8</v>
      </c>
      <c r="F804">
        <v>8.3347999999999995</v>
      </c>
      <c r="G804">
        <v>8.4085999999999999</v>
      </c>
      <c r="H804">
        <v>8.2241999999999997</v>
      </c>
      <c r="I804">
        <v>8.2611000000000008</v>
      </c>
      <c r="J804">
        <v>41637</v>
      </c>
      <c r="K804">
        <v>0</v>
      </c>
      <c r="L804">
        <v>2.2422</v>
      </c>
    </row>
    <row r="805" spans="1:12" hidden="1" x14ac:dyDescent="0.25">
      <c r="A805">
        <v>2330</v>
      </c>
      <c r="B805" t="s">
        <v>11</v>
      </c>
      <c r="C805" s="1">
        <v>40771</v>
      </c>
      <c r="D805" s="2">
        <f t="shared" si="24"/>
        <v>2</v>
      </c>
      <c r="E805" s="2">
        <f t="shared" si="25"/>
        <v>8</v>
      </c>
      <c r="F805">
        <v>50.4011</v>
      </c>
      <c r="G805">
        <v>50.4011</v>
      </c>
      <c r="H805">
        <v>49.797499999999999</v>
      </c>
      <c r="I805">
        <v>49.797499999999999</v>
      </c>
      <c r="J805">
        <v>39029</v>
      </c>
      <c r="K805">
        <v>-1.2048000000000001</v>
      </c>
      <c r="L805">
        <v>1.2121</v>
      </c>
    </row>
    <row r="806" spans="1:12" x14ac:dyDescent="0.25">
      <c r="A806">
        <v>2303</v>
      </c>
      <c r="B806" t="s">
        <v>10</v>
      </c>
      <c r="C806" s="1">
        <v>40772</v>
      </c>
      <c r="D806" s="2">
        <f t="shared" si="24"/>
        <v>3</v>
      </c>
      <c r="E806" s="2">
        <f t="shared" si="25"/>
        <v>8</v>
      </c>
      <c r="F806">
        <v>8.3347999999999995</v>
      </c>
      <c r="G806">
        <v>8.3347999999999995</v>
      </c>
      <c r="H806">
        <v>8.1135000000000002</v>
      </c>
      <c r="I806">
        <v>8.1873000000000005</v>
      </c>
      <c r="J806">
        <v>50715</v>
      </c>
      <c r="K806">
        <v>-0.89690000000000003</v>
      </c>
      <c r="L806">
        <v>2.7273000000000001</v>
      </c>
    </row>
    <row r="807" spans="1:12" hidden="1" x14ac:dyDescent="0.25">
      <c r="A807">
        <v>2330</v>
      </c>
      <c r="B807" t="s">
        <v>11</v>
      </c>
      <c r="C807" s="1">
        <v>40772</v>
      </c>
      <c r="D807" s="2">
        <f t="shared" si="24"/>
        <v>3</v>
      </c>
      <c r="E807" s="2">
        <f t="shared" si="25"/>
        <v>8</v>
      </c>
      <c r="F807">
        <v>49.797499999999999</v>
      </c>
      <c r="G807">
        <v>49.948399999999999</v>
      </c>
      <c r="H807">
        <v>49.269300000000001</v>
      </c>
      <c r="I807">
        <v>49.646599999999999</v>
      </c>
      <c r="J807">
        <v>35881</v>
      </c>
      <c r="K807">
        <v>-0.30349999999999999</v>
      </c>
      <c r="L807">
        <v>1.3783000000000001</v>
      </c>
    </row>
    <row r="808" spans="1:12" x14ac:dyDescent="0.25">
      <c r="A808">
        <v>2303</v>
      </c>
      <c r="B808" t="s">
        <v>10</v>
      </c>
      <c r="C808" s="1">
        <v>40773</v>
      </c>
      <c r="D808" s="2">
        <f t="shared" si="24"/>
        <v>4</v>
      </c>
      <c r="E808" s="2">
        <f t="shared" si="25"/>
        <v>8</v>
      </c>
      <c r="F808">
        <v>8.2611000000000008</v>
      </c>
      <c r="G808">
        <v>8.2611000000000008</v>
      </c>
      <c r="H808">
        <v>7.9660000000000002</v>
      </c>
      <c r="I808">
        <v>8.0767000000000007</v>
      </c>
      <c r="J808">
        <v>52298</v>
      </c>
      <c r="K808">
        <v>-1.3606</v>
      </c>
      <c r="L808">
        <v>3.7037</v>
      </c>
    </row>
    <row r="809" spans="1:12" hidden="1" x14ac:dyDescent="0.25">
      <c r="A809">
        <v>2330</v>
      </c>
      <c r="B809" t="s">
        <v>11</v>
      </c>
      <c r="C809" s="1">
        <v>40773</v>
      </c>
      <c r="D809" s="2">
        <f t="shared" si="24"/>
        <v>4</v>
      </c>
      <c r="E809" s="2">
        <f t="shared" si="25"/>
        <v>8</v>
      </c>
      <c r="F809">
        <v>49.646599999999999</v>
      </c>
      <c r="G809">
        <v>49.646599999999999</v>
      </c>
      <c r="H809">
        <v>47.760300000000001</v>
      </c>
      <c r="I809">
        <v>48.590299999999999</v>
      </c>
      <c r="J809">
        <v>73320</v>
      </c>
      <c r="K809">
        <v>-2.1505999999999998</v>
      </c>
      <c r="L809">
        <v>3.9493999999999998</v>
      </c>
    </row>
    <row r="810" spans="1:12" x14ac:dyDescent="0.25">
      <c r="A810">
        <v>2303</v>
      </c>
      <c r="B810" t="s">
        <v>10</v>
      </c>
      <c r="C810" s="1">
        <v>40774</v>
      </c>
      <c r="D810" s="2">
        <f t="shared" si="24"/>
        <v>5</v>
      </c>
      <c r="E810" s="2">
        <f t="shared" si="25"/>
        <v>8</v>
      </c>
      <c r="F810">
        <v>7.8922999999999996</v>
      </c>
      <c r="G810">
        <v>7.9291</v>
      </c>
      <c r="H810">
        <v>7.8185000000000002</v>
      </c>
      <c r="I810">
        <v>7.8922999999999996</v>
      </c>
      <c r="J810">
        <v>37145</v>
      </c>
      <c r="K810">
        <v>-2.3096000000000001</v>
      </c>
      <c r="L810">
        <v>1.4151</v>
      </c>
    </row>
    <row r="811" spans="1:12" hidden="1" x14ac:dyDescent="0.25">
      <c r="A811">
        <v>2330</v>
      </c>
      <c r="B811" t="s">
        <v>11</v>
      </c>
      <c r="C811" s="1">
        <v>40774</v>
      </c>
      <c r="D811" s="2">
        <f t="shared" si="24"/>
        <v>5</v>
      </c>
      <c r="E811" s="2">
        <f t="shared" si="25"/>
        <v>8</v>
      </c>
      <c r="F811">
        <v>47.609400000000001</v>
      </c>
      <c r="G811">
        <v>48.213000000000001</v>
      </c>
      <c r="H811">
        <v>47.533900000000003</v>
      </c>
      <c r="I811">
        <v>48.213000000000001</v>
      </c>
      <c r="J811">
        <v>49269</v>
      </c>
      <c r="K811">
        <v>-0.77939999999999998</v>
      </c>
      <c r="L811">
        <v>1.4286000000000001</v>
      </c>
    </row>
    <row r="812" spans="1:12" x14ac:dyDescent="0.25">
      <c r="A812">
        <v>2303</v>
      </c>
      <c r="B812" t="s">
        <v>10</v>
      </c>
      <c r="C812" s="1">
        <v>40777</v>
      </c>
      <c r="D812" s="2">
        <f t="shared" si="24"/>
        <v>1</v>
      </c>
      <c r="E812" s="2">
        <f t="shared" si="25"/>
        <v>8</v>
      </c>
      <c r="F812">
        <v>7.9660000000000002</v>
      </c>
      <c r="G812">
        <v>8.0397999999999996</v>
      </c>
      <c r="H812">
        <v>7.8554000000000004</v>
      </c>
      <c r="I812">
        <v>7.8922999999999996</v>
      </c>
      <c r="J812">
        <v>21102</v>
      </c>
      <c r="K812">
        <v>0</v>
      </c>
      <c r="L812">
        <v>2.3473999999999999</v>
      </c>
    </row>
    <row r="813" spans="1:12" hidden="1" x14ac:dyDescent="0.25">
      <c r="A813">
        <v>2330</v>
      </c>
      <c r="B813" t="s">
        <v>11</v>
      </c>
      <c r="C813" s="1">
        <v>40777</v>
      </c>
      <c r="D813" s="2">
        <f t="shared" si="24"/>
        <v>1</v>
      </c>
      <c r="E813" s="2">
        <f t="shared" si="25"/>
        <v>8</v>
      </c>
      <c r="F813">
        <v>47.986600000000003</v>
      </c>
      <c r="G813">
        <v>49.420200000000001</v>
      </c>
      <c r="H813">
        <v>47.533900000000003</v>
      </c>
      <c r="I813">
        <v>49.042999999999999</v>
      </c>
      <c r="J813">
        <v>46371</v>
      </c>
      <c r="K813">
        <v>1.7068000000000001</v>
      </c>
      <c r="L813">
        <v>3.9683000000000002</v>
      </c>
    </row>
    <row r="814" spans="1:12" x14ac:dyDescent="0.25">
      <c r="A814">
        <v>2303</v>
      </c>
      <c r="B814" t="s">
        <v>10</v>
      </c>
      <c r="C814" s="1">
        <v>40778</v>
      </c>
      <c r="D814" s="2">
        <f t="shared" si="24"/>
        <v>2</v>
      </c>
      <c r="E814" s="2">
        <f t="shared" si="25"/>
        <v>8</v>
      </c>
      <c r="F814">
        <v>8.0397999999999996</v>
      </c>
      <c r="G814">
        <v>8.2611000000000008</v>
      </c>
      <c r="H814">
        <v>7.9291</v>
      </c>
      <c r="I814">
        <v>8.1873000000000005</v>
      </c>
      <c r="J814">
        <v>25308</v>
      </c>
      <c r="K814">
        <v>3.6701000000000001</v>
      </c>
      <c r="L814">
        <v>4.1859999999999999</v>
      </c>
    </row>
    <row r="815" spans="1:12" hidden="1" x14ac:dyDescent="0.25">
      <c r="A815">
        <v>2330</v>
      </c>
      <c r="B815" t="s">
        <v>11</v>
      </c>
      <c r="C815" s="1">
        <v>40778</v>
      </c>
      <c r="D815" s="2">
        <f t="shared" si="24"/>
        <v>2</v>
      </c>
      <c r="E815" s="2">
        <f t="shared" si="25"/>
        <v>8</v>
      </c>
      <c r="F815">
        <v>49.042999999999999</v>
      </c>
      <c r="G815">
        <v>50.627400000000002</v>
      </c>
      <c r="H815">
        <v>49.042999999999999</v>
      </c>
      <c r="I815">
        <v>50.4011</v>
      </c>
      <c r="J815">
        <v>46548</v>
      </c>
      <c r="K815">
        <v>2.7315999999999998</v>
      </c>
      <c r="L815">
        <v>3.2307999999999999</v>
      </c>
    </row>
    <row r="816" spans="1:12" x14ac:dyDescent="0.25">
      <c r="A816">
        <v>2303</v>
      </c>
      <c r="B816" t="s">
        <v>10</v>
      </c>
      <c r="C816" s="1">
        <v>40779</v>
      </c>
      <c r="D816" s="2">
        <f t="shared" si="24"/>
        <v>3</v>
      </c>
      <c r="E816" s="2">
        <f t="shared" si="25"/>
        <v>8</v>
      </c>
      <c r="F816">
        <v>8.2241999999999997</v>
      </c>
      <c r="G816">
        <v>8.2241999999999997</v>
      </c>
      <c r="H816">
        <v>7.9660000000000002</v>
      </c>
      <c r="I816">
        <v>8.0767000000000007</v>
      </c>
      <c r="J816">
        <v>39171</v>
      </c>
      <c r="K816">
        <v>-1.3606</v>
      </c>
      <c r="L816">
        <v>3.2406999999999999</v>
      </c>
    </row>
    <row r="817" spans="1:12" hidden="1" x14ac:dyDescent="0.25">
      <c r="A817">
        <v>2330</v>
      </c>
      <c r="B817" t="s">
        <v>11</v>
      </c>
      <c r="C817" s="1">
        <v>40779</v>
      </c>
      <c r="D817" s="2">
        <f t="shared" si="24"/>
        <v>3</v>
      </c>
      <c r="E817" s="2">
        <f t="shared" si="25"/>
        <v>8</v>
      </c>
      <c r="F817">
        <v>51.080100000000002</v>
      </c>
      <c r="G817">
        <v>51.080100000000002</v>
      </c>
      <c r="H817">
        <v>50.099299999999999</v>
      </c>
      <c r="I817">
        <v>50.929200000000002</v>
      </c>
      <c r="J817">
        <v>50480</v>
      </c>
      <c r="K817">
        <v>1.0425</v>
      </c>
      <c r="L817">
        <v>1.9578</v>
      </c>
    </row>
    <row r="818" spans="1:12" x14ac:dyDescent="0.25">
      <c r="A818">
        <v>2303</v>
      </c>
      <c r="B818" t="s">
        <v>10</v>
      </c>
      <c r="C818" s="1">
        <v>40780</v>
      </c>
      <c r="D818" s="2">
        <f t="shared" si="24"/>
        <v>4</v>
      </c>
      <c r="E818" s="2">
        <f t="shared" si="25"/>
        <v>8</v>
      </c>
      <c r="F818">
        <v>8.0767000000000007</v>
      </c>
      <c r="G818">
        <v>8.1135000000000002</v>
      </c>
      <c r="H818">
        <v>8.0029000000000003</v>
      </c>
      <c r="I818">
        <v>8.0397999999999996</v>
      </c>
      <c r="J818">
        <v>26259</v>
      </c>
      <c r="K818">
        <v>-0.4577</v>
      </c>
      <c r="L818">
        <v>1.3825000000000001</v>
      </c>
    </row>
    <row r="819" spans="1:12" hidden="1" x14ac:dyDescent="0.25">
      <c r="A819">
        <v>2330</v>
      </c>
      <c r="B819" t="s">
        <v>11</v>
      </c>
      <c r="C819" s="1">
        <v>40780</v>
      </c>
      <c r="D819" s="2">
        <f t="shared" si="24"/>
        <v>4</v>
      </c>
      <c r="E819" s="2">
        <f t="shared" si="25"/>
        <v>8</v>
      </c>
      <c r="F819">
        <v>50.8538</v>
      </c>
      <c r="G819">
        <v>51.0047</v>
      </c>
      <c r="H819">
        <v>50.099299999999999</v>
      </c>
      <c r="I819">
        <v>50.552</v>
      </c>
      <c r="J819">
        <v>30883</v>
      </c>
      <c r="K819">
        <v>-0.74350000000000005</v>
      </c>
      <c r="L819">
        <v>1.8071999999999999</v>
      </c>
    </row>
    <row r="820" spans="1:12" x14ac:dyDescent="0.25">
      <c r="A820">
        <v>2303</v>
      </c>
      <c r="B820" t="s">
        <v>10</v>
      </c>
      <c r="C820" s="1">
        <v>40781</v>
      </c>
      <c r="D820" s="2">
        <f t="shared" si="24"/>
        <v>5</v>
      </c>
      <c r="E820" s="2">
        <f t="shared" si="25"/>
        <v>8</v>
      </c>
      <c r="F820">
        <v>8.0397999999999996</v>
      </c>
      <c r="G820">
        <v>8.1135000000000002</v>
      </c>
      <c r="H820">
        <v>7.9660000000000002</v>
      </c>
      <c r="I820">
        <v>7.9660000000000002</v>
      </c>
      <c r="J820">
        <v>22042</v>
      </c>
      <c r="K820">
        <v>-0.92169999999999996</v>
      </c>
      <c r="L820">
        <v>1.8519000000000001</v>
      </c>
    </row>
    <row r="821" spans="1:12" hidden="1" x14ac:dyDescent="0.25">
      <c r="A821">
        <v>2330</v>
      </c>
      <c r="B821" t="s">
        <v>11</v>
      </c>
      <c r="C821" s="1">
        <v>40781</v>
      </c>
      <c r="D821" s="2">
        <f t="shared" si="24"/>
        <v>5</v>
      </c>
      <c r="E821" s="2">
        <f t="shared" si="25"/>
        <v>8</v>
      </c>
      <c r="F821">
        <v>50.627400000000002</v>
      </c>
      <c r="G821">
        <v>51.532800000000002</v>
      </c>
      <c r="H821">
        <v>50.552</v>
      </c>
      <c r="I821">
        <v>51.231000000000002</v>
      </c>
      <c r="J821">
        <v>40513</v>
      </c>
      <c r="K821">
        <v>1.3343</v>
      </c>
      <c r="L821">
        <v>1.9402999999999999</v>
      </c>
    </row>
    <row r="822" spans="1:12" x14ac:dyDescent="0.25">
      <c r="A822">
        <v>2303</v>
      </c>
      <c r="B822" t="s">
        <v>10</v>
      </c>
      <c r="C822" s="1">
        <v>40784</v>
      </c>
      <c r="D822" s="2">
        <f t="shared" si="24"/>
        <v>1</v>
      </c>
      <c r="E822" s="2">
        <f t="shared" si="25"/>
        <v>8</v>
      </c>
      <c r="F822">
        <v>8.0767000000000007</v>
      </c>
      <c r="G822">
        <v>8.1873000000000005</v>
      </c>
      <c r="H822">
        <v>8.0397999999999996</v>
      </c>
      <c r="I822">
        <v>8.1135000000000002</v>
      </c>
      <c r="J822">
        <v>34487</v>
      </c>
      <c r="K822">
        <v>1.8349</v>
      </c>
      <c r="L822">
        <v>1.8349</v>
      </c>
    </row>
    <row r="823" spans="1:12" hidden="1" x14ac:dyDescent="0.25">
      <c r="A823">
        <v>2330</v>
      </c>
      <c r="B823" t="s">
        <v>11</v>
      </c>
      <c r="C823" s="1">
        <v>40784</v>
      </c>
      <c r="D823" s="2">
        <f t="shared" si="24"/>
        <v>1</v>
      </c>
      <c r="E823" s="2">
        <f t="shared" si="25"/>
        <v>8</v>
      </c>
      <c r="F823">
        <v>51.7592</v>
      </c>
      <c r="G823">
        <v>52.74</v>
      </c>
      <c r="H823">
        <v>51.381900000000002</v>
      </c>
      <c r="I823">
        <v>52.3628</v>
      </c>
      <c r="J823">
        <v>38635</v>
      </c>
      <c r="K823">
        <v>2.1850999999999998</v>
      </c>
      <c r="L823">
        <v>2.6432000000000002</v>
      </c>
    </row>
    <row r="824" spans="1:12" x14ac:dyDescent="0.25">
      <c r="A824">
        <v>2303</v>
      </c>
      <c r="B824" t="s">
        <v>10</v>
      </c>
      <c r="C824" s="1">
        <v>40785</v>
      </c>
      <c r="D824" s="2">
        <f t="shared" si="24"/>
        <v>2</v>
      </c>
      <c r="E824" s="2">
        <f t="shared" si="25"/>
        <v>8</v>
      </c>
      <c r="F824">
        <v>8.2241999999999997</v>
      </c>
      <c r="G824">
        <v>8.3347999999999995</v>
      </c>
      <c r="H824">
        <v>8.1503999999999994</v>
      </c>
      <c r="I824">
        <v>8.1873000000000005</v>
      </c>
      <c r="J824">
        <v>64130</v>
      </c>
      <c r="K824">
        <v>0.90500000000000003</v>
      </c>
      <c r="L824">
        <v>2.2624</v>
      </c>
    </row>
    <row r="825" spans="1:12" hidden="1" x14ac:dyDescent="0.25">
      <c r="A825">
        <v>2330</v>
      </c>
      <c r="B825" t="s">
        <v>11</v>
      </c>
      <c r="C825" s="1">
        <v>40785</v>
      </c>
      <c r="D825" s="2">
        <f t="shared" si="24"/>
        <v>2</v>
      </c>
      <c r="E825" s="2">
        <f t="shared" si="25"/>
        <v>8</v>
      </c>
      <c r="F825">
        <v>53.041800000000002</v>
      </c>
      <c r="G825">
        <v>53.041800000000002</v>
      </c>
      <c r="H825">
        <v>51.7592</v>
      </c>
      <c r="I825">
        <v>52.061</v>
      </c>
      <c r="J825">
        <v>33757</v>
      </c>
      <c r="K825">
        <v>-0.57799999999999996</v>
      </c>
      <c r="L825">
        <v>2.4781</v>
      </c>
    </row>
    <row r="826" spans="1:12" x14ac:dyDescent="0.25">
      <c r="A826">
        <v>2303</v>
      </c>
      <c r="B826" t="s">
        <v>10</v>
      </c>
      <c r="C826" s="1">
        <v>40786</v>
      </c>
      <c r="D826" s="2">
        <f t="shared" si="24"/>
        <v>3</v>
      </c>
      <c r="E826" s="2">
        <f t="shared" si="25"/>
        <v>8</v>
      </c>
      <c r="F826">
        <v>8.3347999999999995</v>
      </c>
      <c r="G826">
        <v>8.3717000000000006</v>
      </c>
      <c r="H826">
        <v>8.1873000000000005</v>
      </c>
      <c r="I826">
        <v>8.3347999999999995</v>
      </c>
      <c r="J826">
        <v>30087</v>
      </c>
      <c r="K826">
        <v>1.7858000000000001</v>
      </c>
      <c r="L826">
        <v>2.2523</v>
      </c>
    </row>
    <row r="827" spans="1:12" hidden="1" x14ac:dyDescent="0.25">
      <c r="A827">
        <v>2330</v>
      </c>
      <c r="B827" t="s">
        <v>11</v>
      </c>
      <c r="C827" s="1">
        <v>40786</v>
      </c>
      <c r="D827" s="2">
        <f t="shared" si="24"/>
        <v>3</v>
      </c>
      <c r="E827" s="2">
        <f t="shared" si="25"/>
        <v>8</v>
      </c>
      <c r="F827">
        <v>52.136400000000002</v>
      </c>
      <c r="G827">
        <v>52.3628</v>
      </c>
      <c r="H827">
        <v>51.1556</v>
      </c>
      <c r="I827">
        <v>52.3628</v>
      </c>
      <c r="J827">
        <v>47789</v>
      </c>
      <c r="K827">
        <v>0.57799999999999996</v>
      </c>
      <c r="L827">
        <v>2.3599000000000001</v>
      </c>
    </row>
    <row r="828" spans="1:12" x14ac:dyDescent="0.25">
      <c r="A828">
        <v>2303</v>
      </c>
      <c r="B828" t="s">
        <v>10</v>
      </c>
      <c r="C828" s="1">
        <v>40787</v>
      </c>
      <c r="D828" s="2">
        <f t="shared" si="24"/>
        <v>4</v>
      </c>
      <c r="E828" s="2">
        <f t="shared" si="25"/>
        <v>9</v>
      </c>
      <c r="F828">
        <v>8.4085999999999999</v>
      </c>
      <c r="G828">
        <v>8.8879999999999999</v>
      </c>
      <c r="H828">
        <v>8.3717000000000006</v>
      </c>
      <c r="I828">
        <v>8.6667000000000005</v>
      </c>
      <c r="J828">
        <v>91132</v>
      </c>
      <c r="K828">
        <v>3.9051</v>
      </c>
      <c r="L828">
        <v>6.1673999999999998</v>
      </c>
    </row>
    <row r="829" spans="1:12" hidden="1" x14ac:dyDescent="0.25">
      <c r="A829">
        <v>2330</v>
      </c>
      <c r="B829" t="s">
        <v>11</v>
      </c>
      <c r="C829" s="1">
        <v>40787</v>
      </c>
      <c r="D829" s="2">
        <f t="shared" si="24"/>
        <v>4</v>
      </c>
      <c r="E829" s="2">
        <f t="shared" si="25"/>
        <v>9</v>
      </c>
      <c r="F829">
        <v>52.3628</v>
      </c>
      <c r="G829">
        <v>52.6646</v>
      </c>
      <c r="H829">
        <v>51.7592</v>
      </c>
      <c r="I829">
        <v>51.7592</v>
      </c>
      <c r="J829">
        <v>47994</v>
      </c>
      <c r="K829">
        <v>-1.1594</v>
      </c>
      <c r="L829">
        <v>1.7493000000000001</v>
      </c>
    </row>
    <row r="830" spans="1:12" x14ac:dyDescent="0.25">
      <c r="A830">
        <v>2303</v>
      </c>
      <c r="B830" t="s">
        <v>10</v>
      </c>
      <c r="C830" s="1">
        <v>40788</v>
      </c>
      <c r="D830" s="2">
        <f t="shared" si="24"/>
        <v>5</v>
      </c>
      <c r="E830" s="2">
        <f t="shared" si="25"/>
        <v>9</v>
      </c>
      <c r="F830">
        <v>8.7035999999999998</v>
      </c>
      <c r="G830">
        <v>8.7035999999999998</v>
      </c>
      <c r="H830">
        <v>8.4823000000000004</v>
      </c>
      <c r="I830">
        <v>8.5561000000000007</v>
      </c>
      <c r="J830">
        <v>40099</v>
      </c>
      <c r="K830">
        <v>-1.2847999999999999</v>
      </c>
      <c r="L830">
        <v>2.6086999999999998</v>
      </c>
    </row>
    <row r="831" spans="1:12" hidden="1" x14ac:dyDescent="0.25">
      <c r="A831">
        <v>2330</v>
      </c>
      <c r="B831" t="s">
        <v>11</v>
      </c>
      <c r="C831" s="1">
        <v>40788</v>
      </c>
      <c r="D831" s="2">
        <f t="shared" si="24"/>
        <v>5</v>
      </c>
      <c r="E831" s="2">
        <f t="shared" si="25"/>
        <v>9</v>
      </c>
      <c r="F831">
        <v>52.438200000000002</v>
      </c>
      <c r="G831">
        <v>52.438200000000002</v>
      </c>
      <c r="H831">
        <v>50.627400000000002</v>
      </c>
      <c r="I831">
        <v>50.929200000000002</v>
      </c>
      <c r="J831">
        <v>44964</v>
      </c>
      <c r="K831">
        <v>-1.6165</v>
      </c>
      <c r="L831">
        <v>3.5768</v>
      </c>
    </row>
    <row r="832" spans="1:12" x14ac:dyDescent="0.25">
      <c r="A832">
        <v>2303</v>
      </c>
      <c r="B832" t="s">
        <v>10</v>
      </c>
      <c r="C832" s="1">
        <v>40791</v>
      </c>
      <c r="D832" s="2">
        <f t="shared" si="24"/>
        <v>1</v>
      </c>
      <c r="E832" s="2">
        <f t="shared" si="25"/>
        <v>9</v>
      </c>
      <c r="F832">
        <v>8.3347999999999995</v>
      </c>
      <c r="G832">
        <v>8.3347999999999995</v>
      </c>
      <c r="H832">
        <v>8.1135000000000002</v>
      </c>
      <c r="I832">
        <v>8.1503999999999994</v>
      </c>
      <c r="J832">
        <v>47605</v>
      </c>
      <c r="K832">
        <v>-4.8574999999999999</v>
      </c>
      <c r="L832">
        <v>2.7273000000000001</v>
      </c>
    </row>
    <row r="833" spans="1:12" hidden="1" x14ac:dyDescent="0.25">
      <c r="A833">
        <v>2330</v>
      </c>
      <c r="B833" t="s">
        <v>11</v>
      </c>
      <c r="C833" s="1">
        <v>40791</v>
      </c>
      <c r="D833" s="2">
        <f t="shared" si="24"/>
        <v>1</v>
      </c>
      <c r="E833" s="2">
        <f t="shared" si="25"/>
        <v>9</v>
      </c>
      <c r="F833">
        <v>49.872900000000001</v>
      </c>
      <c r="G833">
        <v>50.627400000000002</v>
      </c>
      <c r="H833">
        <v>49.722000000000001</v>
      </c>
      <c r="I833">
        <v>50.2502</v>
      </c>
      <c r="J833">
        <v>49912</v>
      </c>
      <c r="K833">
        <v>-1.3423</v>
      </c>
      <c r="L833">
        <v>1.8209</v>
      </c>
    </row>
    <row r="834" spans="1:12" x14ac:dyDescent="0.25">
      <c r="A834">
        <v>2303</v>
      </c>
      <c r="B834" t="s">
        <v>10</v>
      </c>
      <c r="C834" s="1">
        <v>40792</v>
      </c>
      <c r="D834" s="2">
        <f t="shared" si="24"/>
        <v>2</v>
      </c>
      <c r="E834" s="2">
        <f t="shared" si="25"/>
        <v>9</v>
      </c>
      <c r="F834">
        <v>8.0767000000000007</v>
      </c>
      <c r="G834">
        <v>8.1503999999999994</v>
      </c>
      <c r="H834">
        <v>8.0397999999999996</v>
      </c>
      <c r="I834">
        <v>8.0397999999999996</v>
      </c>
      <c r="J834">
        <v>33104</v>
      </c>
      <c r="K834">
        <v>-1.3668</v>
      </c>
      <c r="L834">
        <v>1.3761000000000001</v>
      </c>
    </row>
    <row r="835" spans="1:12" hidden="1" x14ac:dyDescent="0.25">
      <c r="A835">
        <v>2330</v>
      </c>
      <c r="B835" t="s">
        <v>11</v>
      </c>
      <c r="C835" s="1">
        <v>40792</v>
      </c>
      <c r="D835" s="2">
        <f t="shared" ref="D835:D898" si="26">WEEKDAY(C835,2)</f>
        <v>2</v>
      </c>
      <c r="E835" s="2">
        <f t="shared" ref="E835:E898" si="27">MONTH(C835)</f>
        <v>9</v>
      </c>
      <c r="F835">
        <v>50.174700000000001</v>
      </c>
      <c r="G835">
        <v>50.7029</v>
      </c>
      <c r="H835">
        <v>49.872900000000001</v>
      </c>
      <c r="I835">
        <v>49.872900000000001</v>
      </c>
      <c r="J835">
        <v>40850</v>
      </c>
      <c r="K835">
        <v>-0.75360000000000005</v>
      </c>
      <c r="L835">
        <v>1.6640999999999999</v>
      </c>
    </row>
    <row r="836" spans="1:12" x14ac:dyDescent="0.25">
      <c r="A836">
        <v>2303</v>
      </c>
      <c r="B836" t="s">
        <v>10</v>
      </c>
      <c r="C836" s="1">
        <v>40793</v>
      </c>
      <c r="D836" s="2">
        <f t="shared" si="26"/>
        <v>3</v>
      </c>
      <c r="E836" s="2">
        <f t="shared" si="27"/>
        <v>9</v>
      </c>
      <c r="F836">
        <v>8.1135000000000002</v>
      </c>
      <c r="G836">
        <v>8.4085999999999999</v>
      </c>
      <c r="H836">
        <v>8.0767000000000007</v>
      </c>
      <c r="I836">
        <v>8.4085999999999999</v>
      </c>
      <c r="J836">
        <v>39835</v>
      </c>
      <c r="K836">
        <v>4.4851000000000001</v>
      </c>
      <c r="L836">
        <v>4.1096000000000004</v>
      </c>
    </row>
    <row r="837" spans="1:12" hidden="1" x14ac:dyDescent="0.25">
      <c r="A837">
        <v>2330</v>
      </c>
      <c r="B837" t="s">
        <v>11</v>
      </c>
      <c r="C837" s="1">
        <v>40793</v>
      </c>
      <c r="D837" s="2">
        <f t="shared" si="26"/>
        <v>3</v>
      </c>
      <c r="E837" s="2">
        <f t="shared" si="27"/>
        <v>9</v>
      </c>
      <c r="F837">
        <v>50.552</v>
      </c>
      <c r="G837">
        <v>51.7592</v>
      </c>
      <c r="H837">
        <v>50.4011</v>
      </c>
      <c r="I837">
        <v>51.7592</v>
      </c>
      <c r="J837">
        <v>40117</v>
      </c>
      <c r="K837">
        <v>3.7124000000000001</v>
      </c>
      <c r="L837">
        <v>2.6945999999999999</v>
      </c>
    </row>
    <row r="838" spans="1:12" x14ac:dyDescent="0.25">
      <c r="A838">
        <v>2303</v>
      </c>
      <c r="B838" t="s">
        <v>10</v>
      </c>
      <c r="C838" s="1">
        <v>40794</v>
      </c>
      <c r="D838" s="2">
        <f t="shared" si="26"/>
        <v>4</v>
      </c>
      <c r="E838" s="2">
        <f t="shared" si="27"/>
        <v>9</v>
      </c>
      <c r="F838">
        <v>8.5191999999999997</v>
      </c>
      <c r="G838">
        <v>8.5561000000000007</v>
      </c>
      <c r="H838">
        <v>8.2979000000000003</v>
      </c>
      <c r="I838">
        <v>8.3717000000000006</v>
      </c>
      <c r="J838">
        <v>44818</v>
      </c>
      <c r="K838">
        <v>-0.43959999999999999</v>
      </c>
      <c r="L838">
        <v>3.1111</v>
      </c>
    </row>
    <row r="839" spans="1:12" hidden="1" x14ac:dyDescent="0.25">
      <c r="A839">
        <v>2330</v>
      </c>
      <c r="B839" t="s">
        <v>11</v>
      </c>
      <c r="C839" s="1">
        <v>40794</v>
      </c>
      <c r="D839" s="2">
        <f t="shared" si="26"/>
        <v>4</v>
      </c>
      <c r="E839" s="2">
        <f t="shared" si="27"/>
        <v>9</v>
      </c>
      <c r="F839">
        <v>52.5137</v>
      </c>
      <c r="G839">
        <v>52.5137</v>
      </c>
      <c r="H839">
        <v>51.6083</v>
      </c>
      <c r="I839">
        <v>51.834600000000002</v>
      </c>
      <c r="J839">
        <v>43046</v>
      </c>
      <c r="K839">
        <v>0.1457</v>
      </c>
      <c r="L839">
        <v>1.7544</v>
      </c>
    </row>
    <row r="840" spans="1:12" x14ac:dyDescent="0.25">
      <c r="A840">
        <v>2303</v>
      </c>
      <c r="B840" t="s">
        <v>10</v>
      </c>
      <c r="C840" s="1">
        <v>40795</v>
      </c>
      <c r="D840" s="2">
        <f t="shared" si="26"/>
        <v>5</v>
      </c>
      <c r="E840" s="2">
        <f t="shared" si="27"/>
        <v>9</v>
      </c>
      <c r="F840">
        <v>8.2611000000000008</v>
      </c>
      <c r="G840">
        <v>8.3717000000000006</v>
      </c>
      <c r="H840">
        <v>8.1873000000000005</v>
      </c>
      <c r="I840">
        <v>8.3347999999999995</v>
      </c>
      <c r="J840">
        <v>23836</v>
      </c>
      <c r="K840">
        <v>-0.4415</v>
      </c>
      <c r="L840">
        <v>2.2523</v>
      </c>
    </row>
    <row r="841" spans="1:12" hidden="1" x14ac:dyDescent="0.25">
      <c r="A841">
        <v>2330</v>
      </c>
      <c r="B841" t="s">
        <v>11</v>
      </c>
      <c r="C841" s="1">
        <v>40795</v>
      </c>
      <c r="D841" s="2">
        <f t="shared" si="26"/>
        <v>5</v>
      </c>
      <c r="E841" s="2">
        <f t="shared" si="27"/>
        <v>9</v>
      </c>
      <c r="F841">
        <v>52.438200000000002</v>
      </c>
      <c r="G841">
        <v>52.890900000000002</v>
      </c>
      <c r="H841">
        <v>51.985500000000002</v>
      </c>
      <c r="I841">
        <v>52.287300000000002</v>
      </c>
      <c r="J841">
        <v>38350</v>
      </c>
      <c r="K841">
        <v>0.86960000000000004</v>
      </c>
      <c r="L841">
        <v>1.7417</v>
      </c>
    </row>
    <row r="842" spans="1:12" x14ac:dyDescent="0.25">
      <c r="A842">
        <v>2303</v>
      </c>
      <c r="B842" t="s">
        <v>10</v>
      </c>
      <c r="C842" s="1">
        <v>40799</v>
      </c>
      <c r="D842" s="2">
        <f t="shared" si="26"/>
        <v>2</v>
      </c>
      <c r="E842" s="2">
        <f t="shared" si="27"/>
        <v>9</v>
      </c>
      <c r="F842">
        <v>8.2611000000000008</v>
      </c>
      <c r="G842">
        <v>8.2611000000000008</v>
      </c>
      <c r="H842">
        <v>8.0397999999999996</v>
      </c>
      <c r="I842">
        <v>8.0397999999999996</v>
      </c>
      <c r="J842">
        <v>25469</v>
      </c>
      <c r="K842">
        <v>-3.6040000000000001</v>
      </c>
      <c r="L842">
        <v>2.7523</v>
      </c>
    </row>
    <row r="843" spans="1:12" hidden="1" x14ac:dyDescent="0.25">
      <c r="A843">
        <v>2330</v>
      </c>
      <c r="B843" t="s">
        <v>11</v>
      </c>
      <c r="C843" s="1">
        <v>40799</v>
      </c>
      <c r="D843" s="2">
        <f t="shared" si="26"/>
        <v>2</v>
      </c>
      <c r="E843" s="2">
        <f t="shared" si="27"/>
        <v>9</v>
      </c>
      <c r="F843">
        <v>52.5137</v>
      </c>
      <c r="G843">
        <v>52.8155</v>
      </c>
      <c r="H843">
        <v>51.6083</v>
      </c>
      <c r="I843">
        <v>51.6083</v>
      </c>
      <c r="J843">
        <v>34951</v>
      </c>
      <c r="K843">
        <v>-1.3071999999999999</v>
      </c>
      <c r="L843">
        <v>2.3391999999999999</v>
      </c>
    </row>
    <row r="844" spans="1:12" x14ac:dyDescent="0.25">
      <c r="A844">
        <v>2303</v>
      </c>
      <c r="B844" t="s">
        <v>10</v>
      </c>
      <c r="C844" s="1">
        <v>40800</v>
      </c>
      <c r="D844" s="2">
        <f t="shared" si="26"/>
        <v>3</v>
      </c>
      <c r="E844" s="2">
        <f t="shared" si="27"/>
        <v>9</v>
      </c>
      <c r="F844">
        <v>8.1135000000000002</v>
      </c>
      <c r="G844">
        <v>8.1873000000000005</v>
      </c>
      <c r="H844">
        <v>7.8922999999999996</v>
      </c>
      <c r="I844">
        <v>7.9291</v>
      </c>
      <c r="J844">
        <v>33605</v>
      </c>
      <c r="K844">
        <v>-1.3856999999999999</v>
      </c>
      <c r="L844">
        <v>3.7383000000000002</v>
      </c>
    </row>
    <row r="845" spans="1:12" hidden="1" x14ac:dyDescent="0.25">
      <c r="A845">
        <v>2330</v>
      </c>
      <c r="B845" t="s">
        <v>11</v>
      </c>
      <c r="C845" s="1">
        <v>40800</v>
      </c>
      <c r="D845" s="2">
        <f t="shared" si="26"/>
        <v>3</v>
      </c>
      <c r="E845" s="2">
        <f t="shared" si="27"/>
        <v>9</v>
      </c>
      <c r="F845">
        <v>52.438200000000002</v>
      </c>
      <c r="G845">
        <v>52.5137</v>
      </c>
      <c r="H845">
        <v>50.476500000000001</v>
      </c>
      <c r="I845">
        <v>50.7029</v>
      </c>
      <c r="J845">
        <v>60845</v>
      </c>
      <c r="K845">
        <v>-1.77</v>
      </c>
      <c r="L845">
        <v>4.0358999999999998</v>
      </c>
    </row>
    <row r="846" spans="1:12" x14ac:dyDescent="0.25">
      <c r="A846">
        <v>2303</v>
      </c>
      <c r="B846" t="s">
        <v>10</v>
      </c>
      <c r="C846" s="1">
        <v>40801</v>
      </c>
      <c r="D846" s="2">
        <f t="shared" si="26"/>
        <v>4</v>
      </c>
      <c r="E846" s="2">
        <f t="shared" si="27"/>
        <v>9</v>
      </c>
      <c r="F846">
        <v>8.1873000000000005</v>
      </c>
      <c r="G846">
        <v>8.2611000000000008</v>
      </c>
      <c r="H846">
        <v>8.0397999999999996</v>
      </c>
      <c r="I846">
        <v>8.1135000000000002</v>
      </c>
      <c r="J846">
        <v>31704</v>
      </c>
      <c r="K846">
        <v>2.2989999999999999</v>
      </c>
      <c r="L846">
        <v>2.7523</v>
      </c>
    </row>
    <row r="847" spans="1:12" hidden="1" x14ac:dyDescent="0.25">
      <c r="A847">
        <v>2330</v>
      </c>
      <c r="B847" t="s">
        <v>11</v>
      </c>
      <c r="C847" s="1">
        <v>40801</v>
      </c>
      <c r="D847" s="2">
        <f t="shared" si="26"/>
        <v>4</v>
      </c>
      <c r="E847" s="2">
        <f t="shared" si="27"/>
        <v>9</v>
      </c>
      <c r="F847">
        <v>52.061</v>
      </c>
      <c r="G847">
        <v>52.6646</v>
      </c>
      <c r="H847">
        <v>51.683700000000002</v>
      </c>
      <c r="I847">
        <v>52.136400000000002</v>
      </c>
      <c r="J847">
        <v>44236</v>
      </c>
      <c r="K847">
        <v>2.7881</v>
      </c>
      <c r="L847">
        <v>1.8977999999999999</v>
      </c>
    </row>
    <row r="848" spans="1:12" x14ac:dyDescent="0.25">
      <c r="A848">
        <v>2303</v>
      </c>
      <c r="B848" t="s">
        <v>10</v>
      </c>
      <c r="C848" s="1">
        <v>40802</v>
      </c>
      <c r="D848" s="2">
        <f t="shared" si="26"/>
        <v>5</v>
      </c>
      <c r="E848" s="2">
        <f t="shared" si="27"/>
        <v>9</v>
      </c>
      <c r="F848">
        <v>8.3347999999999995</v>
      </c>
      <c r="G848">
        <v>8.4454999999999991</v>
      </c>
      <c r="H848">
        <v>8.3347999999999995</v>
      </c>
      <c r="I848">
        <v>8.4454999999999991</v>
      </c>
      <c r="J848">
        <v>63653</v>
      </c>
      <c r="K848">
        <v>4.0094000000000003</v>
      </c>
      <c r="L848">
        <v>1.3273999999999999</v>
      </c>
    </row>
    <row r="849" spans="1:12" hidden="1" x14ac:dyDescent="0.25">
      <c r="A849">
        <v>2330</v>
      </c>
      <c r="B849" t="s">
        <v>11</v>
      </c>
      <c r="C849" s="1">
        <v>40802</v>
      </c>
      <c r="D849" s="2">
        <f t="shared" si="26"/>
        <v>5</v>
      </c>
      <c r="E849" s="2">
        <f t="shared" si="27"/>
        <v>9</v>
      </c>
      <c r="F849">
        <v>53.1173</v>
      </c>
      <c r="G849">
        <v>54.3245</v>
      </c>
      <c r="H849">
        <v>53.041800000000002</v>
      </c>
      <c r="I849">
        <v>53.645400000000002</v>
      </c>
      <c r="J849">
        <v>78609</v>
      </c>
      <c r="K849">
        <v>2.8532999999999999</v>
      </c>
      <c r="L849">
        <v>2.4182000000000001</v>
      </c>
    </row>
    <row r="850" spans="1:12" x14ac:dyDescent="0.25">
      <c r="A850">
        <v>2303</v>
      </c>
      <c r="B850" t="s">
        <v>10</v>
      </c>
      <c r="C850" s="1">
        <v>40805</v>
      </c>
      <c r="D850" s="2">
        <f t="shared" si="26"/>
        <v>1</v>
      </c>
      <c r="E850" s="2">
        <f t="shared" si="27"/>
        <v>9</v>
      </c>
      <c r="F850">
        <v>8.4085999999999999</v>
      </c>
      <c r="G850">
        <v>8.4085999999999999</v>
      </c>
      <c r="H850">
        <v>8.2611000000000008</v>
      </c>
      <c r="I850">
        <v>8.2611000000000008</v>
      </c>
      <c r="J850">
        <v>12371</v>
      </c>
      <c r="K850">
        <v>-2.2075999999999998</v>
      </c>
      <c r="L850">
        <v>1.7857000000000001</v>
      </c>
    </row>
    <row r="851" spans="1:12" hidden="1" x14ac:dyDescent="0.25">
      <c r="A851">
        <v>2330</v>
      </c>
      <c r="B851" t="s">
        <v>11</v>
      </c>
      <c r="C851" s="1">
        <v>40805</v>
      </c>
      <c r="D851" s="2">
        <f t="shared" si="26"/>
        <v>1</v>
      </c>
      <c r="E851" s="2">
        <f t="shared" si="27"/>
        <v>9</v>
      </c>
      <c r="F851">
        <v>53.8718</v>
      </c>
      <c r="G851">
        <v>54.098199999999999</v>
      </c>
      <c r="H851">
        <v>53.343600000000002</v>
      </c>
      <c r="I851">
        <v>53.7209</v>
      </c>
      <c r="J851">
        <v>28798</v>
      </c>
      <c r="K851">
        <v>0.14050000000000001</v>
      </c>
      <c r="L851">
        <v>1.4144000000000001</v>
      </c>
    </row>
    <row r="852" spans="1:12" x14ac:dyDescent="0.25">
      <c r="A852">
        <v>2303</v>
      </c>
      <c r="B852" t="s">
        <v>10</v>
      </c>
      <c r="C852" s="1">
        <v>40806</v>
      </c>
      <c r="D852" s="2">
        <f t="shared" si="26"/>
        <v>2</v>
      </c>
      <c r="E852" s="2">
        <f t="shared" si="27"/>
        <v>9</v>
      </c>
      <c r="F852">
        <v>8.2979000000000003</v>
      </c>
      <c r="G852">
        <v>8.3717000000000006</v>
      </c>
      <c r="H852">
        <v>8.1873000000000005</v>
      </c>
      <c r="I852">
        <v>8.3347999999999995</v>
      </c>
      <c r="J852">
        <v>23568</v>
      </c>
      <c r="K852">
        <v>0.88890000000000002</v>
      </c>
      <c r="L852">
        <v>2.2523</v>
      </c>
    </row>
    <row r="853" spans="1:12" hidden="1" x14ac:dyDescent="0.25">
      <c r="A853">
        <v>2330</v>
      </c>
      <c r="B853" t="s">
        <v>11</v>
      </c>
      <c r="C853" s="1">
        <v>40806</v>
      </c>
      <c r="D853" s="2">
        <f t="shared" si="26"/>
        <v>2</v>
      </c>
      <c r="E853" s="2">
        <f t="shared" si="27"/>
        <v>9</v>
      </c>
      <c r="F853">
        <v>53.57</v>
      </c>
      <c r="G853">
        <v>54.098199999999999</v>
      </c>
      <c r="H853">
        <v>52.589100000000002</v>
      </c>
      <c r="I853">
        <v>53.192700000000002</v>
      </c>
      <c r="J853">
        <v>46911</v>
      </c>
      <c r="K853">
        <v>-0.98799999999999999</v>
      </c>
      <c r="L853">
        <v>2.8694000000000002</v>
      </c>
    </row>
    <row r="854" spans="1:12" x14ac:dyDescent="0.25">
      <c r="A854">
        <v>2303</v>
      </c>
      <c r="B854" t="s">
        <v>10</v>
      </c>
      <c r="C854" s="1">
        <v>40807</v>
      </c>
      <c r="D854" s="2">
        <f t="shared" si="26"/>
        <v>3</v>
      </c>
      <c r="E854" s="2">
        <f t="shared" si="27"/>
        <v>9</v>
      </c>
      <c r="F854">
        <v>8.3717000000000006</v>
      </c>
      <c r="G854">
        <v>8.4085999999999999</v>
      </c>
      <c r="H854">
        <v>8.2241999999999997</v>
      </c>
      <c r="I854">
        <v>8.4085999999999999</v>
      </c>
      <c r="J854">
        <v>18506</v>
      </c>
      <c r="K854">
        <v>0.88109999999999999</v>
      </c>
      <c r="L854">
        <v>2.2422</v>
      </c>
    </row>
    <row r="855" spans="1:12" hidden="1" x14ac:dyDescent="0.25">
      <c r="A855">
        <v>2330</v>
      </c>
      <c r="B855" t="s">
        <v>11</v>
      </c>
      <c r="C855" s="1">
        <v>40807</v>
      </c>
      <c r="D855" s="2">
        <f t="shared" si="26"/>
        <v>3</v>
      </c>
      <c r="E855" s="2">
        <f t="shared" si="27"/>
        <v>9</v>
      </c>
      <c r="F855">
        <v>53.57</v>
      </c>
      <c r="G855">
        <v>54.4</v>
      </c>
      <c r="H855">
        <v>53.494500000000002</v>
      </c>
      <c r="I855">
        <v>54.3245</v>
      </c>
      <c r="J855">
        <v>54414</v>
      </c>
      <c r="K855">
        <v>2.1053000000000002</v>
      </c>
      <c r="L855">
        <v>1.6924999999999999</v>
      </c>
    </row>
    <row r="856" spans="1:12" x14ac:dyDescent="0.25">
      <c r="A856">
        <v>2303</v>
      </c>
      <c r="B856" t="s">
        <v>10</v>
      </c>
      <c r="C856" s="1">
        <v>40808</v>
      </c>
      <c r="D856" s="2">
        <f t="shared" si="26"/>
        <v>4</v>
      </c>
      <c r="E856" s="2">
        <f t="shared" si="27"/>
        <v>9</v>
      </c>
      <c r="F856">
        <v>8.2241999999999997</v>
      </c>
      <c r="G856">
        <v>8.2611000000000008</v>
      </c>
      <c r="H856">
        <v>8.1135000000000002</v>
      </c>
      <c r="I856">
        <v>8.1135000000000002</v>
      </c>
      <c r="J856">
        <v>28127</v>
      </c>
      <c r="K856">
        <v>-3.5718000000000001</v>
      </c>
      <c r="L856">
        <v>1.8182</v>
      </c>
    </row>
    <row r="857" spans="1:12" hidden="1" x14ac:dyDescent="0.25">
      <c r="A857">
        <v>2330</v>
      </c>
      <c r="B857" t="s">
        <v>11</v>
      </c>
      <c r="C857" s="1">
        <v>40808</v>
      </c>
      <c r="D857" s="2">
        <f t="shared" si="26"/>
        <v>4</v>
      </c>
      <c r="E857" s="2">
        <f t="shared" si="27"/>
        <v>9</v>
      </c>
      <c r="F857">
        <v>52.9664</v>
      </c>
      <c r="G857">
        <v>53.192700000000002</v>
      </c>
      <c r="H857">
        <v>52.061</v>
      </c>
      <c r="I857">
        <v>52.061</v>
      </c>
      <c r="J857">
        <v>64921</v>
      </c>
      <c r="K857">
        <v>-4.2560000000000002</v>
      </c>
      <c r="L857">
        <v>2.1739000000000002</v>
      </c>
    </row>
    <row r="858" spans="1:12" x14ac:dyDescent="0.25">
      <c r="A858">
        <v>2303</v>
      </c>
      <c r="B858" t="s">
        <v>10</v>
      </c>
      <c r="C858" s="1">
        <v>40809</v>
      </c>
      <c r="D858" s="2">
        <f t="shared" si="26"/>
        <v>5</v>
      </c>
      <c r="E858" s="2">
        <f t="shared" si="27"/>
        <v>9</v>
      </c>
      <c r="F858">
        <v>7.8922999999999996</v>
      </c>
      <c r="G858">
        <v>8.1135000000000002</v>
      </c>
      <c r="H858">
        <v>7.8554000000000004</v>
      </c>
      <c r="I858">
        <v>7.9291</v>
      </c>
      <c r="J858">
        <v>66494</v>
      </c>
      <c r="K858">
        <v>-2.2989999999999999</v>
      </c>
      <c r="L858">
        <v>3.2864</v>
      </c>
    </row>
    <row r="859" spans="1:12" hidden="1" x14ac:dyDescent="0.25">
      <c r="A859">
        <v>2330</v>
      </c>
      <c r="B859" t="s">
        <v>11</v>
      </c>
      <c r="C859" s="1">
        <v>40809</v>
      </c>
      <c r="D859" s="2">
        <f t="shared" si="26"/>
        <v>5</v>
      </c>
      <c r="E859" s="2">
        <f t="shared" si="27"/>
        <v>9</v>
      </c>
      <c r="F859">
        <v>51.4574</v>
      </c>
      <c r="G859">
        <v>51.985500000000002</v>
      </c>
      <c r="H859">
        <v>50.8538</v>
      </c>
      <c r="I859">
        <v>50.929200000000002</v>
      </c>
      <c r="J859">
        <v>89409</v>
      </c>
      <c r="K859">
        <v>-2.1979000000000002</v>
      </c>
      <c r="L859">
        <v>2.2254999999999998</v>
      </c>
    </row>
    <row r="860" spans="1:12" x14ac:dyDescent="0.25">
      <c r="A860">
        <v>2303</v>
      </c>
      <c r="B860" t="s">
        <v>10</v>
      </c>
      <c r="C860" s="1">
        <v>40812</v>
      </c>
      <c r="D860" s="2">
        <f t="shared" si="26"/>
        <v>1</v>
      </c>
      <c r="E860" s="2">
        <f t="shared" si="27"/>
        <v>9</v>
      </c>
      <c r="F860">
        <v>8.0397999999999996</v>
      </c>
      <c r="G860">
        <v>8.1135000000000002</v>
      </c>
      <c r="H860">
        <v>7.9660000000000002</v>
      </c>
      <c r="I860">
        <v>8.0029000000000003</v>
      </c>
      <c r="J860">
        <v>35495</v>
      </c>
      <c r="K860">
        <v>0.92589999999999995</v>
      </c>
      <c r="L860">
        <v>1.8519000000000001</v>
      </c>
    </row>
    <row r="861" spans="1:12" hidden="1" x14ac:dyDescent="0.25">
      <c r="A861">
        <v>2330</v>
      </c>
      <c r="B861" t="s">
        <v>11</v>
      </c>
      <c r="C861" s="1">
        <v>40812</v>
      </c>
      <c r="D861" s="2">
        <f t="shared" si="26"/>
        <v>1</v>
      </c>
      <c r="E861" s="2">
        <f t="shared" si="27"/>
        <v>9</v>
      </c>
      <c r="F861">
        <v>51.080100000000002</v>
      </c>
      <c r="G861">
        <v>51.532800000000002</v>
      </c>
      <c r="H861">
        <v>50.476500000000001</v>
      </c>
      <c r="I861">
        <v>50.7029</v>
      </c>
      <c r="J861">
        <v>61686</v>
      </c>
      <c r="K861">
        <v>-0.44540000000000002</v>
      </c>
      <c r="L861">
        <v>2.0926999999999998</v>
      </c>
    </row>
    <row r="862" spans="1:12" x14ac:dyDescent="0.25">
      <c r="A862">
        <v>2303</v>
      </c>
      <c r="B862" t="s">
        <v>10</v>
      </c>
      <c r="C862" s="1">
        <v>40813</v>
      </c>
      <c r="D862" s="2">
        <f t="shared" si="26"/>
        <v>2</v>
      </c>
      <c r="E862" s="2">
        <f t="shared" si="27"/>
        <v>9</v>
      </c>
      <c r="F862">
        <v>8.1873000000000005</v>
      </c>
      <c r="G862">
        <v>8.4823000000000004</v>
      </c>
      <c r="H862">
        <v>8.1873000000000005</v>
      </c>
      <c r="I862">
        <v>8.4823000000000004</v>
      </c>
      <c r="J862">
        <v>53524</v>
      </c>
      <c r="K862">
        <v>5.8182</v>
      </c>
      <c r="L862">
        <v>3.6036000000000001</v>
      </c>
    </row>
    <row r="863" spans="1:12" hidden="1" x14ac:dyDescent="0.25">
      <c r="A863">
        <v>2330</v>
      </c>
      <c r="B863" t="s">
        <v>11</v>
      </c>
      <c r="C863" s="1">
        <v>40813</v>
      </c>
      <c r="D863" s="2">
        <f t="shared" si="26"/>
        <v>2</v>
      </c>
      <c r="E863" s="2">
        <f t="shared" si="27"/>
        <v>9</v>
      </c>
      <c r="F863">
        <v>51.985500000000002</v>
      </c>
      <c r="G863">
        <v>52.9664</v>
      </c>
      <c r="H863">
        <v>51.834600000000002</v>
      </c>
      <c r="I863">
        <v>52.74</v>
      </c>
      <c r="J863">
        <v>56719</v>
      </c>
      <c r="K863">
        <v>3.9392</v>
      </c>
      <c r="L863">
        <v>2.1833999999999998</v>
      </c>
    </row>
    <row r="864" spans="1:12" x14ac:dyDescent="0.25">
      <c r="A864">
        <v>2303</v>
      </c>
      <c r="B864" t="s">
        <v>10</v>
      </c>
      <c r="C864" s="1">
        <v>40814</v>
      </c>
      <c r="D864" s="2">
        <f t="shared" si="26"/>
        <v>3</v>
      </c>
      <c r="E864" s="2">
        <f t="shared" si="27"/>
        <v>9</v>
      </c>
      <c r="F864">
        <v>8.593</v>
      </c>
      <c r="G864">
        <v>8.593</v>
      </c>
      <c r="H864">
        <v>8.3347999999999995</v>
      </c>
      <c r="I864">
        <v>8.5191999999999997</v>
      </c>
      <c r="J864">
        <v>48616</v>
      </c>
      <c r="K864">
        <v>0.43380000000000002</v>
      </c>
      <c r="L864">
        <v>3.0973000000000002</v>
      </c>
    </row>
    <row r="865" spans="1:12" hidden="1" x14ac:dyDescent="0.25">
      <c r="A865">
        <v>2330</v>
      </c>
      <c r="B865" t="s">
        <v>11</v>
      </c>
      <c r="C865" s="1">
        <v>40814</v>
      </c>
      <c r="D865" s="2">
        <f t="shared" si="26"/>
        <v>3</v>
      </c>
      <c r="E865" s="2">
        <f t="shared" si="27"/>
        <v>9</v>
      </c>
      <c r="F865">
        <v>53.4191</v>
      </c>
      <c r="G865">
        <v>53.494500000000002</v>
      </c>
      <c r="H865">
        <v>52.6646</v>
      </c>
      <c r="I865">
        <v>53.041800000000002</v>
      </c>
      <c r="J865">
        <v>46783</v>
      </c>
      <c r="K865">
        <v>0.5706</v>
      </c>
      <c r="L865">
        <v>1.5759000000000001</v>
      </c>
    </row>
    <row r="866" spans="1:12" x14ac:dyDescent="0.25">
      <c r="A866">
        <v>2303</v>
      </c>
      <c r="B866" t="s">
        <v>10</v>
      </c>
      <c r="C866" s="1">
        <v>40815</v>
      </c>
      <c r="D866" s="2">
        <f t="shared" si="26"/>
        <v>4</v>
      </c>
      <c r="E866" s="2">
        <f t="shared" si="27"/>
        <v>9</v>
      </c>
      <c r="F866">
        <v>8.4454999999999991</v>
      </c>
      <c r="G866">
        <v>8.5191999999999997</v>
      </c>
      <c r="H866">
        <v>8.2979000000000003</v>
      </c>
      <c r="I866">
        <v>8.4454999999999991</v>
      </c>
      <c r="J866">
        <v>23862</v>
      </c>
      <c r="K866">
        <v>-0.86960000000000004</v>
      </c>
      <c r="L866">
        <v>2.6667000000000001</v>
      </c>
    </row>
    <row r="867" spans="1:12" hidden="1" x14ac:dyDescent="0.25">
      <c r="A867">
        <v>2330</v>
      </c>
      <c r="B867" t="s">
        <v>11</v>
      </c>
      <c r="C867" s="1">
        <v>40815</v>
      </c>
      <c r="D867" s="2">
        <f t="shared" si="26"/>
        <v>4</v>
      </c>
      <c r="E867" s="2">
        <f t="shared" si="27"/>
        <v>9</v>
      </c>
      <c r="F867">
        <v>52.5137</v>
      </c>
      <c r="G867">
        <v>53.494500000000002</v>
      </c>
      <c r="H867">
        <v>52.287300000000002</v>
      </c>
      <c r="I867">
        <v>53.041800000000002</v>
      </c>
      <c r="J867">
        <v>39956</v>
      </c>
      <c r="K867">
        <v>0</v>
      </c>
      <c r="L867">
        <v>2.3088000000000002</v>
      </c>
    </row>
    <row r="868" spans="1:12" x14ac:dyDescent="0.25">
      <c r="A868">
        <v>2303</v>
      </c>
      <c r="B868" t="s">
        <v>10</v>
      </c>
      <c r="C868" s="1">
        <v>40816</v>
      </c>
      <c r="D868" s="2">
        <f t="shared" si="26"/>
        <v>5</v>
      </c>
      <c r="E868" s="2">
        <f t="shared" si="27"/>
        <v>9</v>
      </c>
      <c r="F868">
        <v>8.4085999999999999</v>
      </c>
      <c r="G868">
        <v>8.4454999999999991</v>
      </c>
      <c r="H868">
        <v>8.3347999999999995</v>
      </c>
      <c r="I868">
        <v>8.4085999999999999</v>
      </c>
      <c r="J868">
        <v>32959</v>
      </c>
      <c r="K868">
        <v>-0.43759999999999999</v>
      </c>
      <c r="L868">
        <v>1.3273999999999999</v>
      </c>
    </row>
    <row r="869" spans="1:12" hidden="1" x14ac:dyDescent="0.25">
      <c r="A869">
        <v>2330</v>
      </c>
      <c r="B869" t="s">
        <v>11</v>
      </c>
      <c r="C869" s="1">
        <v>40816</v>
      </c>
      <c r="D869" s="2">
        <f t="shared" si="26"/>
        <v>5</v>
      </c>
      <c r="E869" s="2">
        <f t="shared" si="27"/>
        <v>9</v>
      </c>
      <c r="F869">
        <v>53.041800000000002</v>
      </c>
      <c r="G869">
        <v>53.4191</v>
      </c>
      <c r="H869">
        <v>52.061</v>
      </c>
      <c r="I869">
        <v>52.8155</v>
      </c>
      <c r="J869">
        <v>60517</v>
      </c>
      <c r="K869">
        <v>-0.42770000000000002</v>
      </c>
      <c r="L869">
        <v>2.6086999999999998</v>
      </c>
    </row>
    <row r="870" spans="1:12" x14ac:dyDescent="0.25">
      <c r="A870">
        <v>2303</v>
      </c>
      <c r="B870" t="s">
        <v>10</v>
      </c>
      <c r="C870" s="1">
        <v>40819</v>
      </c>
      <c r="D870" s="2">
        <f t="shared" si="26"/>
        <v>1</v>
      </c>
      <c r="E870" s="2">
        <f t="shared" si="27"/>
        <v>10</v>
      </c>
      <c r="F870">
        <v>8.4085999999999999</v>
      </c>
      <c r="G870">
        <v>8.4085999999999999</v>
      </c>
      <c r="H870">
        <v>8.2241999999999997</v>
      </c>
      <c r="I870">
        <v>8.3347999999999995</v>
      </c>
      <c r="J870">
        <v>25365</v>
      </c>
      <c r="K870">
        <v>-0.88109999999999999</v>
      </c>
      <c r="L870">
        <v>2.2422</v>
      </c>
    </row>
    <row r="871" spans="1:12" hidden="1" x14ac:dyDescent="0.25">
      <c r="A871">
        <v>2330</v>
      </c>
      <c r="B871" t="s">
        <v>11</v>
      </c>
      <c r="C871" s="1">
        <v>40819</v>
      </c>
      <c r="D871" s="2">
        <f t="shared" si="26"/>
        <v>1</v>
      </c>
      <c r="E871" s="2">
        <f t="shared" si="27"/>
        <v>10</v>
      </c>
      <c r="F871">
        <v>52.8155</v>
      </c>
      <c r="G871">
        <v>52.8155</v>
      </c>
      <c r="H871">
        <v>51.381900000000002</v>
      </c>
      <c r="I871">
        <v>51.7592</v>
      </c>
      <c r="J871">
        <v>33968</v>
      </c>
      <c r="K871">
        <v>-2.0203000000000002</v>
      </c>
      <c r="L871">
        <v>2.79</v>
      </c>
    </row>
    <row r="872" spans="1:12" x14ac:dyDescent="0.25">
      <c r="A872">
        <v>2303</v>
      </c>
      <c r="B872" t="s">
        <v>10</v>
      </c>
      <c r="C872" s="1">
        <v>40820</v>
      </c>
      <c r="D872" s="2">
        <f t="shared" si="26"/>
        <v>2</v>
      </c>
      <c r="E872" s="2">
        <f t="shared" si="27"/>
        <v>10</v>
      </c>
      <c r="F872">
        <v>8.1873000000000005</v>
      </c>
      <c r="G872">
        <v>8.4823000000000004</v>
      </c>
      <c r="H872">
        <v>8.1503999999999994</v>
      </c>
      <c r="I872">
        <v>8.4823000000000004</v>
      </c>
      <c r="J872">
        <v>30638</v>
      </c>
      <c r="K872">
        <v>1.7544</v>
      </c>
      <c r="L872">
        <v>4.0724</v>
      </c>
    </row>
    <row r="873" spans="1:12" hidden="1" x14ac:dyDescent="0.25">
      <c r="A873">
        <v>2330</v>
      </c>
      <c r="B873" t="s">
        <v>11</v>
      </c>
      <c r="C873" s="1">
        <v>40820</v>
      </c>
      <c r="D873" s="2">
        <f t="shared" si="26"/>
        <v>2</v>
      </c>
      <c r="E873" s="2">
        <f t="shared" si="27"/>
        <v>10</v>
      </c>
      <c r="F873">
        <v>52.8155</v>
      </c>
      <c r="G873">
        <v>52.8155</v>
      </c>
      <c r="H873">
        <v>51.4574</v>
      </c>
      <c r="I873">
        <v>52.136400000000002</v>
      </c>
      <c r="J873">
        <v>36568</v>
      </c>
      <c r="K873">
        <v>0.72619999999999996</v>
      </c>
      <c r="L873">
        <v>2.6393</v>
      </c>
    </row>
    <row r="874" spans="1:12" x14ac:dyDescent="0.25">
      <c r="A874">
        <v>2303</v>
      </c>
      <c r="B874" t="s">
        <v>10</v>
      </c>
      <c r="C874" s="1">
        <v>40821</v>
      </c>
      <c r="D874" s="2">
        <f t="shared" si="26"/>
        <v>3</v>
      </c>
      <c r="E874" s="2">
        <f t="shared" si="27"/>
        <v>10</v>
      </c>
      <c r="F874">
        <v>8.5191999999999997</v>
      </c>
      <c r="G874">
        <v>8.593</v>
      </c>
      <c r="H874">
        <v>8.4454999999999991</v>
      </c>
      <c r="I874">
        <v>8.4454999999999991</v>
      </c>
      <c r="J874">
        <v>17680</v>
      </c>
      <c r="K874">
        <v>-0.43569999999999998</v>
      </c>
      <c r="L874">
        <v>1.7466999999999999</v>
      </c>
    </row>
    <row r="875" spans="1:12" hidden="1" x14ac:dyDescent="0.25">
      <c r="A875">
        <v>2330</v>
      </c>
      <c r="B875" t="s">
        <v>11</v>
      </c>
      <c r="C875" s="1">
        <v>40821</v>
      </c>
      <c r="D875" s="2">
        <f t="shared" si="26"/>
        <v>3</v>
      </c>
      <c r="E875" s="2">
        <f t="shared" si="27"/>
        <v>10</v>
      </c>
      <c r="F875">
        <v>51.985500000000002</v>
      </c>
      <c r="G875">
        <v>52.589100000000002</v>
      </c>
      <c r="H875">
        <v>51.834600000000002</v>
      </c>
      <c r="I875">
        <v>52.136400000000002</v>
      </c>
      <c r="J875">
        <v>36349</v>
      </c>
      <c r="K875">
        <v>0</v>
      </c>
      <c r="L875">
        <v>1.4556</v>
      </c>
    </row>
    <row r="876" spans="1:12" x14ac:dyDescent="0.25">
      <c r="A876">
        <v>2303</v>
      </c>
      <c r="B876" t="s">
        <v>10</v>
      </c>
      <c r="C876" s="1">
        <v>40822</v>
      </c>
      <c r="D876" s="2">
        <f t="shared" si="26"/>
        <v>4</v>
      </c>
      <c r="E876" s="2">
        <f t="shared" si="27"/>
        <v>10</v>
      </c>
      <c r="F876">
        <v>8.5561000000000007</v>
      </c>
      <c r="G876">
        <v>8.7035999999999998</v>
      </c>
      <c r="H876">
        <v>8.5191999999999997</v>
      </c>
      <c r="I876">
        <v>8.6667000000000005</v>
      </c>
      <c r="J876">
        <v>37144</v>
      </c>
      <c r="K876">
        <v>2.5863999999999998</v>
      </c>
      <c r="L876">
        <v>2.1644999999999999</v>
      </c>
    </row>
    <row r="877" spans="1:12" hidden="1" x14ac:dyDescent="0.25">
      <c r="A877">
        <v>2330</v>
      </c>
      <c r="B877" t="s">
        <v>11</v>
      </c>
      <c r="C877" s="1">
        <v>40822</v>
      </c>
      <c r="D877" s="2">
        <f t="shared" si="26"/>
        <v>4</v>
      </c>
      <c r="E877" s="2">
        <f t="shared" si="27"/>
        <v>10</v>
      </c>
      <c r="F877">
        <v>52.589100000000002</v>
      </c>
      <c r="G877">
        <v>52.74</v>
      </c>
      <c r="H877">
        <v>51.834600000000002</v>
      </c>
      <c r="I877">
        <v>52.061</v>
      </c>
      <c r="J877">
        <v>57263</v>
      </c>
      <c r="K877">
        <v>-0.14480000000000001</v>
      </c>
      <c r="L877">
        <v>1.7466999999999999</v>
      </c>
    </row>
    <row r="878" spans="1:12" x14ac:dyDescent="0.25">
      <c r="A878">
        <v>2303</v>
      </c>
      <c r="B878" t="s">
        <v>10</v>
      </c>
      <c r="C878" s="1">
        <v>40823</v>
      </c>
      <c r="D878" s="2">
        <f t="shared" si="26"/>
        <v>5</v>
      </c>
      <c r="E878" s="2">
        <f t="shared" si="27"/>
        <v>10</v>
      </c>
      <c r="F878">
        <v>8.8141999999999996</v>
      </c>
      <c r="G878">
        <v>8.8141999999999996</v>
      </c>
      <c r="H878">
        <v>8.7035999999999998</v>
      </c>
      <c r="I878">
        <v>8.7774000000000001</v>
      </c>
      <c r="J878">
        <v>23852</v>
      </c>
      <c r="K878">
        <v>1.2685</v>
      </c>
      <c r="L878">
        <v>1.2712000000000001</v>
      </c>
    </row>
    <row r="879" spans="1:12" hidden="1" x14ac:dyDescent="0.25">
      <c r="A879">
        <v>2330</v>
      </c>
      <c r="B879" t="s">
        <v>11</v>
      </c>
      <c r="C879" s="1">
        <v>40823</v>
      </c>
      <c r="D879" s="2">
        <f t="shared" si="26"/>
        <v>5</v>
      </c>
      <c r="E879" s="2">
        <f t="shared" si="27"/>
        <v>10</v>
      </c>
      <c r="F879">
        <v>52.438200000000002</v>
      </c>
      <c r="G879">
        <v>52.5137</v>
      </c>
      <c r="H879">
        <v>51.834600000000002</v>
      </c>
      <c r="I879">
        <v>52.136400000000002</v>
      </c>
      <c r="J879">
        <v>47924</v>
      </c>
      <c r="K879">
        <v>0.14480000000000001</v>
      </c>
      <c r="L879">
        <v>1.31</v>
      </c>
    </row>
    <row r="880" spans="1:12" x14ac:dyDescent="0.25">
      <c r="A880">
        <v>2303</v>
      </c>
      <c r="B880" t="s">
        <v>10</v>
      </c>
      <c r="C880" s="1">
        <v>40827</v>
      </c>
      <c r="D880" s="2">
        <f t="shared" si="26"/>
        <v>2</v>
      </c>
      <c r="E880" s="2">
        <f t="shared" si="27"/>
        <v>10</v>
      </c>
      <c r="F880">
        <v>8.8879999999999999</v>
      </c>
      <c r="G880">
        <v>9.0355000000000008</v>
      </c>
      <c r="H880">
        <v>8.8879999999999999</v>
      </c>
      <c r="I880">
        <v>8.9618000000000002</v>
      </c>
      <c r="J880">
        <v>48313</v>
      </c>
      <c r="K880">
        <v>2.0790999999999999</v>
      </c>
      <c r="L880">
        <v>1.6597999999999999</v>
      </c>
    </row>
    <row r="881" spans="1:12" hidden="1" x14ac:dyDescent="0.25">
      <c r="A881">
        <v>2330</v>
      </c>
      <c r="B881" t="s">
        <v>11</v>
      </c>
      <c r="C881" s="1">
        <v>40827</v>
      </c>
      <c r="D881" s="2">
        <f t="shared" si="26"/>
        <v>2</v>
      </c>
      <c r="E881" s="2">
        <f t="shared" si="27"/>
        <v>10</v>
      </c>
      <c r="F881">
        <v>52.8155</v>
      </c>
      <c r="G881">
        <v>53.1173</v>
      </c>
      <c r="H881">
        <v>52.5137</v>
      </c>
      <c r="I881">
        <v>52.8155</v>
      </c>
      <c r="J881">
        <v>55726</v>
      </c>
      <c r="K881">
        <v>1.2941</v>
      </c>
      <c r="L881">
        <v>1.1494</v>
      </c>
    </row>
    <row r="882" spans="1:12" x14ac:dyDescent="0.25">
      <c r="A882">
        <v>2303</v>
      </c>
      <c r="B882" t="s">
        <v>10</v>
      </c>
      <c r="C882" s="1">
        <v>40828</v>
      </c>
      <c r="D882" s="2">
        <f t="shared" si="26"/>
        <v>3</v>
      </c>
      <c r="E882" s="2">
        <f t="shared" si="27"/>
        <v>10</v>
      </c>
      <c r="F882">
        <v>8.9985999999999997</v>
      </c>
      <c r="G882">
        <v>8.9985999999999997</v>
      </c>
      <c r="H882">
        <v>8.8141999999999996</v>
      </c>
      <c r="I882">
        <v>8.9618000000000002</v>
      </c>
      <c r="J882">
        <v>17542</v>
      </c>
      <c r="K882">
        <v>0</v>
      </c>
      <c r="L882">
        <v>2.0920999999999998</v>
      </c>
    </row>
    <row r="883" spans="1:12" hidden="1" x14ac:dyDescent="0.25">
      <c r="A883">
        <v>2330</v>
      </c>
      <c r="B883" t="s">
        <v>11</v>
      </c>
      <c r="C883" s="1">
        <v>40828</v>
      </c>
      <c r="D883" s="2">
        <f t="shared" si="26"/>
        <v>3</v>
      </c>
      <c r="E883" s="2">
        <f t="shared" si="27"/>
        <v>10</v>
      </c>
      <c r="F883">
        <v>53.192700000000002</v>
      </c>
      <c r="G883">
        <v>53.192700000000002</v>
      </c>
      <c r="H883">
        <v>52.5137</v>
      </c>
      <c r="I883">
        <v>53.1173</v>
      </c>
      <c r="J883">
        <v>41639</v>
      </c>
      <c r="K883">
        <v>0.56979999999999997</v>
      </c>
      <c r="L883">
        <v>1.2930999999999999</v>
      </c>
    </row>
    <row r="884" spans="1:12" x14ac:dyDescent="0.25">
      <c r="A884">
        <v>2303</v>
      </c>
      <c r="B884" t="s">
        <v>10</v>
      </c>
      <c r="C884" s="1">
        <v>40829</v>
      </c>
      <c r="D884" s="2">
        <f t="shared" si="26"/>
        <v>4</v>
      </c>
      <c r="E884" s="2">
        <f t="shared" si="27"/>
        <v>10</v>
      </c>
      <c r="F884">
        <v>8.9618000000000002</v>
      </c>
      <c r="G884">
        <v>8.9618000000000002</v>
      </c>
      <c r="H884">
        <v>8.7035999999999998</v>
      </c>
      <c r="I884">
        <v>8.8141999999999996</v>
      </c>
      <c r="J884">
        <v>31545</v>
      </c>
      <c r="K884">
        <v>-1.6597999999999999</v>
      </c>
      <c r="L884">
        <v>2.9661</v>
      </c>
    </row>
    <row r="885" spans="1:12" hidden="1" x14ac:dyDescent="0.25">
      <c r="A885">
        <v>2330</v>
      </c>
      <c r="B885" t="s">
        <v>11</v>
      </c>
      <c r="C885" s="1">
        <v>40829</v>
      </c>
      <c r="D885" s="2">
        <f t="shared" si="26"/>
        <v>4</v>
      </c>
      <c r="E885" s="2">
        <f t="shared" si="27"/>
        <v>10</v>
      </c>
      <c r="F885">
        <v>52.6646</v>
      </c>
      <c r="G885">
        <v>53.1173</v>
      </c>
      <c r="H885">
        <v>51.9101</v>
      </c>
      <c r="I885">
        <v>53.1173</v>
      </c>
      <c r="J885">
        <v>58476</v>
      </c>
      <c r="K885">
        <v>0</v>
      </c>
      <c r="L885">
        <v>2.3256000000000001</v>
      </c>
    </row>
    <row r="886" spans="1:12" x14ac:dyDescent="0.25">
      <c r="A886">
        <v>2303</v>
      </c>
      <c r="B886" t="s">
        <v>10</v>
      </c>
      <c r="C886" s="1">
        <v>40830</v>
      </c>
      <c r="D886" s="2">
        <f t="shared" si="26"/>
        <v>5</v>
      </c>
      <c r="E886" s="2">
        <f t="shared" si="27"/>
        <v>10</v>
      </c>
      <c r="F886">
        <v>8.7405000000000008</v>
      </c>
      <c r="G886">
        <v>8.8511000000000006</v>
      </c>
      <c r="H886">
        <v>8.7035999999999998</v>
      </c>
      <c r="I886">
        <v>8.7774000000000001</v>
      </c>
      <c r="J886">
        <v>14488</v>
      </c>
      <c r="K886">
        <v>-0.41930000000000001</v>
      </c>
      <c r="L886">
        <v>1.6949000000000001</v>
      </c>
    </row>
    <row r="887" spans="1:12" hidden="1" x14ac:dyDescent="0.25">
      <c r="A887">
        <v>2330</v>
      </c>
      <c r="B887" t="s">
        <v>11</v>
      </c>
      <c r="C887" s="1">
        <v>40830</v>
      </c>
      <c r="D887" s="2">
        <f t="shared" si="26"/>
        <v>5</v>
      </c>
      <c r="E887" s="2">
        <f t="shared" si="27"/>
        <v>10</v>
      </c>
      <c r="F887">
        <v>53.4191</v>
      </c>
      <c r="G887">
        <v>53.4191</v>
      </c>
      <c r="H887">
        <v>52.74</v>
      </c>
      <c r="I887">
        <v>53.041800000000002</v>
      </c>
      <c r="J887">
        <v>38790</v>
      </c>
      <c r="K887">
        <v>-0.1421</v>
      </c>
      <c r="L887">
        <v>1.2876000000000001</v>
      </c>
    </row>
    <row r="888" spans="1:12" x14ac:dyDescent="0.25">
      <c r="A888">
        <v>2303</v>
      </c>
      <c r="B888" t="s">
        <v>10</v>
      </c>
      <c r="C888" s="1">
        <v>40833</v>
      </c>
      <c r="D888" s="2">
        <f t="shared" si="26"/>
        <v>1</v>
      </c>
      <c r="E888" s="2">
        <f t="shared" si="27"/>
        <v>10</v>
      </c>
      <c r="F888">
        <v>8.8511000000000006</v>
      </c>
      <c r="G888">
        <v>8.9985999999999997</v>
      </c>
      <c r="H888">
        <v>8.8511000000000006</v>
      </c>
      <c r="I888">
        <v>8.9985999999999997</v>
      </c>
      <c r="J888">
        <v>20567</v>
      </c>
      <c r="K888">
        <v>2.4897999999999998</v>
      </c>
      <c r="L888">
        <v>1.6667000000000001</v>
      </c>
    </row>
    <row r="889" spans="1:12" hidden="1" x14ac:dyDescent="0.25">
      <c r="A889">
        <v>2330</v>
      </c>
      <c r="B889" t="s">
        <v>11</v>
      </c>
      <c r="C889" s="1">
        <v>40833</v>
      </c>
      <c r="D889" s="2">
        <f t="shared" si="26"/>
        <v>1</v>
      </c>
      <c r="E889" s="2">
        <f t="shared" si="27"/>
        <v>10</v>
      </c>
      <c r="F889">
        <v>53.4191</v>
      </c>
      <c r="G889">
        <v>53.645400000000002</v>
      </c>
      <c r="H889">
        <v>53.192700000000002</v>
      </c>
      <c r="I889">
        <v>53.645400000000002</v>
      </c>
      <c r="J889">
        <v>39053</v>
      </c>
      <c r="K889">
        <v>1.1315999999999999</v>
      </c>
      <c r="L889">
        <v>0.85109999999999997</v>
      </c>
    </row>
    <row r="890" spans="1:12" x14ac:dyDescent="0.25">
      <c r="A890">
        <v>2303</v>
      </c>
      <c r="B890" t="s">
        <v>10</v>
      </c>
      <c r="C890" s="1">
        <v>40834</v>
      </c>
      <c r="D890" s="2">
        <f t="shared" si="26"/>
        <v>2</v>
      </c>
      <c r="E890" s="2">
        <f t="shared" si="27"/>
        <v>10</v>
      </c>
      <c r="F890">
        <v>8.8511000000000006</v>
      </c>
      <c r="G890">
        <v>8.8879999999999999</v>
      </c>
      <c r="H890">
        <v>8.7405000000000008</v>
      </c>
      <c r="I890">
        <v>8.7774000000000001</v>
      </c>
      <c r="J890">
        <v>14523</v>
      </c>
      <c r="K890">
        <v>-2.4897999999999998</v>
      </c>
      <c r="L890">
        <v>1.6878</v>
      </c>
    </row>
    <row r="891" spans="1:12" hidden="1" x14ac:dyDescent="0.25">
      <c r="A891">
        <v>2330</v>
      </c>
      <c r="B891" t="s">
        <v>11</v>
      </c>
      <c r="C891" s="1">
        <v>40834</v>
      </c>
      <c r="D891" s="2">
        <f t="shared" si="26"/>
        <v>2</v>
      </c>
      <c r="E891" s="2">
        <f t="shared" si="27"/>
        <v>10</v>
      </c>
      <c r="F891">
        <v>52.890900000000002</v>
      </c>
      <c r="G891">
        <v>53.343600000000002</v>
      </c>
      <c r="H891">
        <v>52.8155</v>
      </c>
      <c r="I891">
        <v>53.343600000000002</v>
      </c>
      <c r="J891">
        <v>25859</v>
      </c>
      <c r="K891">
        <v>-0.56420000000000003</v>
      </c>
      <c r="L891">
        <v>1</v>
      </c>
    </row>
    <row r="892" spans="1:12" x14ac:dyDescent="0.25">
      <c r="A892">
        <v>2303</v>
      </c>
      <c r="B892" t="s">
        <v>10</v>
      </c>
      <c r="C892" s="1">
        <v>40835</v>
      </c>
      <c r="D892" s="2">
        <f t="shared" si="26"/>
        <v>3</v>
      </c>
      <c r="E892" s="2">
        <f t="shared" si="27"/>
        <v>10</v>
      </c>
      <c r="F892">
        <v>8.8511000000000006</v>
      </c>
      <c r="G892">
        <v>8.8879999999999999</v>
      </c>
      <c r="H892">
        <v>8.7774000000000001</v>
      </c>
      <c r="I892">
        <v>8.8879999999999999</v>
      </c>
      <c r="J892">
        <v>13010</v>
      </c>
      <c r="K892">
        <v>1.2525999999999999</v>
      </c>
      <c r="L892">
        <v>1.2605</v>
      </c>
    </row>
    <row r="893" spans="1:12" hidden="1" x14ac:dyDescent="0.25">
      <c r="A893">
        <v>2330</v>
      </c>
      <c r="B893" t="s">
        <v>11</v>
      </c>
      <c r="C893" s="1">
        <v>40835</v>
      </c>
      <c r="D893" s="2">
        <f t="shared" si="26"/>
        <v>3</v>
      </c>
      <c r="E893" s="2">
        <f t="shared" si="27"/>
        <v>10</v>
      </c>
      <c r="F893">
        <v>53.57</v>
      </c>
      <c r="G893">
        <v>53.645400000000002</v>
      </c>
      <c r="H893">
        <v>52.9664</v>
      </c>
      <c r="I893">
        <v>53.645400000000002</v>
      </c>
      <c r="J893">
        <v>32281</v>
      </c>
      <c r="K893">
        <v>0.56420000000000003</v>
      </c>
      <c r="L893">
        <v>1.2821</v>
      </c>
    </row>
    <row r="894" spans="1:12" x14ac:dyDescent="0.25">
      <c r="A894">
        <v>2303</v>
      </c>
      <c r="B894" t="s">
        <v>10</v>
      </c>
      <c r="C894" s="1">
        <v>40836</v>
      </c>
      <c r="D894" s="2">
        <f t="shared" si="26"/>
        <v>4</v>
      </c>
      <c r="E894" s="2">
        <f t="shared" si="27"/>
        <v>10</v>
      </c>
      <c r="F894">
        <v>8.8879999999999999</v>
      </c>
      <c r="G894">
        <v>8.9248999999999992</v>
      </c>
      <c r="H894">
        <v>8.8141999999999996</v>
      </c>
      <c r="I894">
        <v>8.8879999999999999</v>
      </c>
      <c r="J894">
        <v>19986</v>
      </c>
      <c r="K894">
        <v>0</v>
      </c>
      <c r="L894">
        <v>1.2552000000000001</v>
      </c>
    </row>
    <row r="895" spans="1:12" hidden="1" x14ac:dyDescent="0.25">
      <c r="A895">
        <v>2330</v>
      </c>
      <c r="B895" t="s">
        <v>11</v>
      </c>
      <c r="C895" s="1">
        <v>40836</v>
      </c>
      <c r="D895" s="2">
        <f t="shared" si="26"/>
        <v>4</v>
      </c>
      <c r="E895" s="2">
        <f t="shared" si="27"/>
        <v>10</v>
      </c>
      <c r="F895">
        <v>53.192700000000002</v>
      </c>
      <c r="G895">
        <v>53.343600000000002</v>
      </c>
      <c r="H895">
        <v>52.5137</v>
      </c>
      <c r="I895">
        <v>52.589100000000002</v>
      </c>
      <c r="J895">
        <v>27287</v>
      </c>
      <c r="K895">
        <v>-1.9886999999999999</v>
      </c>
      <c r="L895">
        <v>1.5805</v>
      </c>
    </row>
    <row r="896" spans="1:12" x14ac:dyDescent="0.25">
      <c r="A896">
        <v>2303</v>
      </c>
      <c r="B896" t="s">
        <v>10</v>
      </c>
      <c r="C896" s="1">
        <v>40837</v>
      </c>
      <c r="D896" s="2">
        <f t="shared" si="26"/>
        <v>5</v>
      </c>
      <c r="E896" s="2">
        <f t="shared" si="27"/>
        <v>10</v>
      </c>
      <c r="F896">
        <v>8.9248999999999992</v>
      </c>
      <c r="G896">
        <v>8.9248999999999992</v>
      </c>
      <c r="H896">
        <v>8.8141999999999996</v>
      </c>
      <c r="I896">
        <v>8.8879999999999999</v>
      </c>
      <c r="J896">
        <v>12041</v>
      </c>
      <c r="K896">
        <v>0</v>
      </c>
      <c r="L896">
        <v>1.2552000000000001</v>
      </c>
    </row>
    <row r="897" spans="1:12" hidden="1" x14ac:dyDescent="0.25">
      <c r="A897">
        <v>2330</v>
      </c>
      <c r="B897" t="s">
        <v>11</v>
      </c>
      <c r="C897" s="1">
        <v>40837</v>
      </c>
      <c r="D897" s="2">
        <f t="shared" si="26"/>
        <v>5</v>
      </c>
      <c r="E897" s="2">
        <f t="shared" si="27"/>
        <v>10</v>
      </c>
      <c r="F897">
        <v>53.343600000000002</v>
      </c>
      <c r="G897">
        <v>53.343600000000002</v>
      </c>
      <c r="H897">
        <v>52.5137</v>
      </c>
      <c r="I897">
        <v>53.041800000000002</v>
      </c>
      <c r="J897">
        <v>17965</v>
      </c>
      <c r="K897">
        <v>0.85709999999999997</v>
      </c>
      <c r="L897">
        <v>1.5805</v>
      </c>
    </row>
    <row r="898" spans="1:12" x14ac:dyDescent="0.25">
      <c r="A898">
        <v>2303</v>
      </c>
      <c r="B898" t="s">
        <v>10</v>
      </c>
      <c r="C898" s="1">
        <v>40840</v>
      </c>
      <c r="D898" s="2">
        <f t="shared" si="26"/>
        <v>1</v>
      </c>
      <c r="E898" s="2">
        <f t="shared" si="27"/>
        <v>10</v>
      </c>
      <c r="F898">
        <v>9.1462000000000003</v>
      </c>
      <c r="G898">
        <v>9.4412000000000003</v>
      </c>
      <c r="H898">
        <v>9.1462000000000003</v>
      </c>
      <c r="I898">
        <v>9.3673999999999999</v>
      </c>
      <c r="J898">
        <v>48344</v>
      </c>
      <c r="K898">
        <v>5.2537000000000003</v>
      </c>
      <c r="L898">
        <v>3.2258</v>
      </c>
    </row>
    <row r="899" spans="1:12" hidden="1" x14ac:dyDescent="0.25">
      <c r="A899">
        <v>2330</v>
      </c>
      <c r="B899" t="s">
        <v>11</v>
      </c>
      <c r="C899" s="1">
        <v>40840</v>
      </c>
      <c r="D899" s="2">
        <f t="shared" ref="D899:D962" si="28">WEEKDAY(C899,2)</f>
        <v>1</v>
      </c>
      <c r="E899" s="2">
        <f t="shared" ref="E899:E962" si="29">MONTH(C899)</f>
        <v>10</v>
      </c>
      <c r="F899">
        <v>53.7209</v>
      </c>
      <c r="G899">
        <v>54.249099999999999</v>
      </c>
      <c r="H899">
        <v>53.7209</v>
      </c>
      <c r="I899">
        <v>54.098199999999999</v>
      </c>
      <c r="J899">
        <v>50146</v>
      </c>
      <c r="K899">
        <v>1.9719</v>
      </c>
      <c r="L899">
        <v>0.98309999999999997</v>
      </c>
    </row>
    <row r="900" spans="1:12" x14ac:dyDescent="0.25">
      <c r="A900">
        <v>2303</v>
      </c>
      <c r="B900" t="s">
        <v>10</v>
      </c>
      <c r="C900" s="1">
        <v>40841</v>
      </c>
      <c r="D900" s="2">
        <f t="shared" si="28"/>
        <v>2</v>
      </c>
      <c r="E900" s="2">
        <f t="shared" si="29"/>
        <v>10</v>
      </c>
      <c r="F900">
        <v>9.4780999999999995</v>
      </c>
      <c r="G900">
        <v>9.4780999999999995</v>
      </c>
      <c r="H900">
        <v>9.2936999999999994</v>
      </c>
      <c r="I900">
        <v>9.3673999999999999</v>
      </c>
      <c r="J900">
        <v>31770</v>
      </c>
      <c r="K900">
        <v>0</v>
      </c>
      <c r="L900">
        <v>1.9841</v>
      </c>
    </row>
    <row r="901" spans="1:12" hidden="1" x14ac:dyDescent="0.25">
      <c r="A901">
        <v>2330</v>
      </c>
      <c r="B901" t="s">
        <v>11</v>
      </c>
      <c r="C901" s="1">
        <v>40841</v>
      </c>
      <c r="D901" s="2">
        <f t="shared" si="28"/>
        <v>2</v>
      </c>
      <c r="E901" s="2">
        <f t="shared" si="29"/>
        <v>10</v>
      </c>
      <c r="F901">
        <v>54.1736</v>
      </c>
      <c r="G901">
        <v>54.3245</v>
      </c>
      <c r="H901">
        <v>53.57</v>
      </c>
      <c r="I901">
        <v>53.947299999999998</v>
      </c>
      <c r="J901">
        <v>43178</v>
      </c>
      <c r="K901">
        <v>-0.27929999999999999</v>
      </c>
      <c r="L901">
        <v>1.4085000000000001</v>
      </c>
    </row>
    <row r="902" spans="1:12" x14ac:dyDescent="0.25">
      <c r="A902">
        <v>2303</v>
      </c>
      <c r="B902" t="s">
        <v>10</v>
      </c>
      <c r="C902" s="1">
        <v>40842</v>
      </c>
      <c r="D902" s="2">
        <f t="shared" si="28"/>
        <v>3</v>
      </c>
      <c r="E902" s="2">
        <f t="shared" si="29"/>
        <v>10</v>
      </c>
      <c r="F902">
        <v>9.1462000000000003</v>
      </c>
      <c r="G902">
        <v>9.5150000000000006</v>
      </c>
      <c r="H902">
        <v>9.1462000000000003</v>
      </c>
      <c r="I902">
        <v>9.4412000000000003</v>
      </c>
      <c r="J902">
        <v>32051</v>
      </c>
      <c r="K902">
        <v>0.7843</v>
      </c>
      <c r="L902">
        <v>4.0323000000000002</v>
      </c>
    </row>
    <row r="903" spans="1:12" hidden="1" x14ac:dyDescent="0.25">
      <c r="A903">
        <v>2330</v>
      </c>
      <c r="B903" t="s">
        <v>11</v>
      </c>
      <c r="C903" s="1">
        <v>40842</v>
      </c>
      <c r="D903" s="2">
        <f t="shared" si="28"/>
        <v>3</v>
      </c>
      <c r="E903" s="2">
        <f t="shared" si="29"/>
        <v>10</v>
      </c>
      <c r="F903">
        <v>53.8718</v>
      </c>
      <c r="G903">
        <v>54.3245</v>
      </c>
      <c r="H903">
        <v>53.645400000000002</v>
      </c>
      <c r="I903">
        <v>54.249099999999999</v>
      </c>
      <c r="J903">
        <v>25727</v>
      </c>
      <c r="K903">
        <v>0.55789999999999995</v>
      </c>
      <c r="L903">
        <v>1.2658</v>
      </c>
    </row>
    <row r="904" spans="1:12" x14ac:dyDescent="0.25">
      <c r="A904">
        <v>2303</v>
      </c>
      <c r="B904" t="s">
        <v>10</v>
      </c>
      <c r="C904" s="1">
        <v>40843</v>
      </c>
      <c r="D904" s="2">
        <f t="shared" si="28"/>
        <v>4</v>
      </c>
      <c r="E904" s="2">
        <f t="shared" si="29"/>
        <v>10</v>
      </c>
      <c r="F904">
        <v>9.5150000000000006</v>
      </c>
      <c r="G904">
        <v>9.7730999999999995</v>
      </c>
      <c r="H904">
        <v>9.4780999999999995</v>
      </c>
      <c r="I904">
        <v>9.7362000000000002</v>
      </c>
      <c r="J904">
        <v>78073</v>
      </c>
      <c r="K904">
        <v>3.0771999999999999</v>
      </c>
      <c r="L904">
        <v>3.1128</v>
      </c>
    </row>
    <row r="905" spans="1:12" hidden="1" x14ac:dyDescent="0.25">
      <c r="A905">
        <v>2330</v>
      </c>
      <c r="B905" t="s">
        <v>11</v>
      </c>
      <c r="C905" s="1">
        <v>40843</v>
      </c>
      <c r="D905" s="2">
        <f t="shared" si="28"/>
        <v>4</v>
      </c>
      <c r="E905" s="2">
        <f t="shared" si="29"/>
        <v>10</v>
      </c>
      <c r="F905">
        <v>54.3245</v>
      </c>
      <c r="G905">
        <v>54.4754</v>
      </c>
      <c r="H905">
        <v>53.8718</v>
      </c>
      <c r="I905">
        <v>54.249099999999999</v>
      </c>
      <c r="J905">
        <v>39438</v>
      </c>
      <c r="K905">
        <v>0</v>
      </c>
      <c r="L905">
        <v>1.1204000000000001</v>
      </c>
    </row>
    <row r="906" spans="1:12" x14ac:dyDescent="0.25">
      <c r="A906">
        <v>2303</v>
      </c>
      <c r="B906" t="s">
        <v>10</v>
      </c>
      <c r="C906" s="1">
        <v>40844</v>
      </c>
      <c r="D906" s="2">
        <f t="shared" si="28"/>
        <v>5</v>
      </c>
      <c r="E906" s="2">
        <f t="shared" si="29"/>
        <v>10</v>
      </c>
      <c r="F906">
        <v>9.9574999999999996</v>
      </c>
      <c r="G906">
        <v>10.105</v>
      </c>
      <c r="H906">
        <v>9.5886999999999993</v>
      </c>
      <c r="I906">
        <v>9.7362000000000002</v>
      </c>
      <c r="J906">
        <v>65391</v>
      </c>
      <c r="K906">
        <v>0</v>
      </c>
      <c r="L906">
        <v>5.3845999999999998</v>
      </c>
    </row>
    <row r="907" spans="1:12" hidden="1" x14ac:dyDescent="0.25">
      <c r="A907">
        <v>2330</v>
      </c>
      <c r="B907" t="s">
        <v>11</v>
      </c>
      <c r="C907" s="1">
        <v>40844</v>
      </c>
      <c r="D907" s="2">
        <f t="shared" si="28"/>
        <v>5</v>
      </c>
      <c r="E907" s="2">
        <f t="shared" si="29"/>
        <v>10</v>
      </c>
      <c r="F907">
        <v>55.456299999999999</v>
      </c>
      <c r="G907">
        <v>55.833500000000001</v>
      </c>
      <c r="H907">
        <v>54.4</v>
      </c>
      <c r="I907">
        <v>55.154499999999999</v>
      </c>
      <c r="J907">
        <v>93382</v>
      </c>
      <c r="K907">
        <v>1.6552</v>
      </c>
      <c r="L907">
        <v>2.6352000000000002</v>
      </c>
    </row>
    <row r="908" spans="1:12" x14ac:dyDescent="0.25">
      <c r="A908">
        <v>2303</v>
      </c>
      <c r="B908" t="s">
        <v>10</v>
      </c>
      <c r="C908" s="1">
        <v>40847</v>
      </c>
      <c r="D908" s="2">
        <f t="shared" si="28"/>
        <v>1</v>
      </c>
      <c r="E908" s="2">
        <f t="shared" si="29"/>
        <v>10</v>
      </c>
      <c r="F908">
        <v>9.7362000000000002</v>
      </c>
      <c r="G908">
        <v>9.8468999999999998</v>
      </c>
      <c r="H908">
        <v>9.6624999999999996</v>
      </c>
      <c r="I908">
        <v>9.8468999999999998</v>
      </c>
      <c r="J908">
        <v>39010</v>
      </c>
      <c r="K908">
        <v>1.1299999999999999</v>
      </c>
      <c r="L908">
        <v>1.9084000000000001</v>
      </c>
    </row>
    <row r="909" spans="1:12" hidden="1" x14ac:dyDescent="0.25">
      <c r="A909">
        <v>2330</v>
      </c>
      <c r="B909" t="s">
        <v>11</v>
      </c>
      <c r="C909" s="1">
        <v>40847</v>
      </c>
      <c r="D909" s="2">
        <f t="shared" si="28"/>
        <v>1</v>
      </c>
      <c r="E909" s="2">
        <f t="shared" si="29"/>
        <v>10</v>
      </c>
      <c r="F909">
        <v>55.456299999999999</v>
      </c>
      <c r="G909">
        <v>55.682600000000001</v>
      </c>
      <c r="H909">
        <v>55.154499999999999</v>
      </c>
      <c r="I909">
        <v>55.531700000000001</v>
      </c>
      <c r="J909">
        <v>46791</v>
      </c>
      <c r="K909">
        <v>0.68169999999999997</v>
      </c>
      <c r="L909">
        <v>0.95760000000000001</v>
      </c>
    </row>
    <row r="910" spans="1:12" x14ac:dyDescent="0.25">
      <c r="A910">
        <v>2303</v>
      </c>
      <c r="B910" t="s">
        <v>10</v>
      </c>
      <c r="C910" s="1">
        <v>40848</v>
      </c>
      <c r="D910" s="2">
        <f t="shared" si="28"/>
        <v>2</v>
      </c>
      <c r="E910" s="2">
        <f t="shared" si="29"/>
        <v>11</v>
      </c>
      <c r="F910">
        <v>9.81</v>
      </c>
      <c r="G910">
        <v>9.81</v>
      </c>
      <c r="H910">
        <v>9.6256000000000004</v>
      </c>
      <c r="I910">
        <v>9.6994000000000007</v>
      </c>
      <c r="J910">
        <v>40403</v>
      </c>
      <c r="K910">
        <v>-1.5095000000000001</v>
      </c>
      <c r="L910">
        <v>1.9157</v>
      </c>
    </row>
    <row r="911" spans="1:12" hidden="1" x14ac:dyDescent="0.25">
      <c r="A911">
        <v>2330</v>
      </c>
      <c r="B911" t="s">
        <v>11</v>
      </c>
      <c r="C911" s="1">
        <v>40848</v>
      </c>
      <c r="D911" s="2">
        <f t="shared" si="28"/>
        <v>2</v>
      </c>
      <c r="E911" s="2">
        <f t="shared" si="29"/>
        <v>11</v>
      </c>
      <c r="F911">
        <v>55.456299999999999</v>
      </c>
      <c r="G911">
        <v>55.833500000000001</v>
      </c>
      <c r="H911">
        <v>55.079000000000001</v>
      </c>
      <c r="I911">
        <v>55.682600000000001</v>
      </c>
      <c r="J911">
        <v>37363</v>
      </c>
      <c r="K911">
        <v>0.27139999999999997</v>
      </c>
      <c r="L911">
        <v>1.3698999999999999</v>
      </c>
    </row>
    <row r="912" spans="1:12" x14ac:dyDescent="0.25">
      <c r="A912">
        <v>2303</v>
      </c>
      <c r="B912" t="s">
        <v>10</v>
      </c>
      <c r="C912" s="1">
        <v>40849</v>
      </c>
      <c r="D912" s="2">
        <f t="shared" si="28"/>
        <v>3</v>
      </c>
      <c r="E912" s="2">
        <f t="shared" si="29"/>
        <v>11</v>
      </c>
      <c r="F912">
        <v>9.5150000000000006</v>
      </c>
      <c r="G912">
        <v>9.6256000000000004</v>
      </c>
      <c r="H912">
        <v>9.3673999999999999</v>
      </c>
      <c r="I912">
        <v>9.5886999999999993</v>
      </c>
      <c r="J912">
        <v>34110</v>
      </c>
      <c r="K912">
        <v>-1.1472</v>
      </c>
      <c r="L912">
        <v>2.7559</v>
      </c>
    </row>
    <row r="913" spans="1:12" hidden="1" x14ac:dyDescent="0.25">
      <c r="A913">
        <v>2330</v>
      </c>
      <c r="B913" t="s">
        <v>11</v>
      </c>
      <c r="C913" s="1">
        <v>40849</v>
      </c>
      <c r="D913" s="2">
        <f t="shared" si="28"/>
        <v>3</v>
      </c>
      <c r="E913" s="2">
        <f t="shared" si="29"/>
        <v>11</v>
      </c>
      <c r="F913">
        <v>55.154499999999999</v>
      </c>
      <c r="G913">
        <v>55.758099999999999</v>
      </c>
      <c r="H913">
        <v>54.626300000000001</v>
      </c>
      <c r="I913">
        <v>55.758099999999999</v>
      </c>
      <c r="J913">
        <v>34693</v>
      </c>
      <c r="K913">
        <v>0.13539999999999999</v>
      </c>
      <c r="L913">
        <v>2.0718000000000001</v>
      </c>
    </row>
    <row r="914" spans="1:12" x14ac:dyDescent="0.25">
      <c r="A914">
        <v>2303</v>
      </c>
      <c r="B914" t="s">
        <v>10</v>
      </c>
      <c r="C914" s="1">
        <v>40850</v>
      </c>
      <c r="D914" s="2">
        <f t="shared" si="28"/>
        <v>4</v>
      </c>
      <c r="E914" s="2">
        <f t="shared" si="29"/>
        <v>11</v>
      </c>
      <c r="F914">
        <v>9.5886999999999993</v>
      </c>
      <c r="G914">
        <v>9.5886999999999993</v>
      </c>
      <c r="H914">
        <v>9.2568000000000001</v>
      </c>
      <c r="I914">
        <v>9.4042999999999992</v>
      </c>
      <c r="J914">
        <v>28938</v>
      </c>
      <c r="K914">
        <v>-1.9418</v>
      </c>
      <c r="L914">
        <v>3.5857000000000001</v>
      </c>
    </row>
    <row r="915" spans="1:12" hidden="1" x14ac:dyDescent="0.25">
      <c r="A915">
        <v>2330</v>
      </c>
      <c r="B915" t="s">
        <v>11</v>
      </c>
      <c r="C915" s="1">
        <v>40850</v>
      </c>
      <c r="D915" s="2">
        <f t="shared" si="28"/>
        <v>4</v>
      </c>
      <c r="E915" s="2">
        <f t="shared" si="29"/>
        <v>11</v>
      </c>
      <c r="F915">
        <v>55.984400000000001</v>
      </c>
      <c r="G915">
        <v>55.984400000000001</v>
      </c>
      <c r="H915">
        <v>54.550899999999999</v>
      </c>
      <c r="I915">
        <v>55.456299999999999</v>
      </c>
      <c r="J915">
        <v>43447</v>
      </c>
      <c r="K915">
        <v>-0.54269999999999996</v>
      </c>
      <c r="L915">
        <v>2.6278999999999999</v>
      </c>
    </row>
    <row r="916" spans="1:12" x14ac:dyDescent="0.25">
      <c r="A916">
        <v>2303</v>
      </c>
      <c r="B916" t="s">
        <v>10</v>
      </c>
      <c r="C916" s="1">
        <v>40851</v>
      </c>
      <c r="D916" s="2">
        <f t="shared" si="28"/>
        <v>5</v>
      </c>
      <c r="E916" s="2">
        <f t="shared" si="29"/>
        <v>11</v>
      </c>
      <c r="F916">
        <v>9.5886999999999993</v>
      </c>
      <c r="G916">
        <v>9.7362000000000002</v>
      </c>
      <c r="H916">
        <v>9.5518000000000001</v>
      </c>
      <c r="I916">
        <v>9.6256000000000004</v>
      </c>
      <c r="J916">
        <v>29174</v>
      </c>
      <c r="K916">
        <v>2.3256999999999999</v>
      </c>
      <c r="L916">
        <v>1.9305000000000001</v>
      </c>
    </row>
    <row r="917" spans="1:12" hidden="1" x14ac:dyDescent="0.25">
      <c r="A917">
        <v>2330</v>
      </c>
      <c r="B917" t="s">
        <v>11</v>
      </c>
      <c r="C917" s="1">
        <v>40851</v>
      </c>
      <c r="D917" s="2">
        <f t="shared" si="28"/>
        <v>5</v>
      </c>
      <c r="E917" s="2">
        <f t="shared" si="29"/>
        <v>11</v>
      </c>
      <c r="F917">
        <v>56.210799999999999</v>
      </c>
      <c r="G917">
        <v>56.512599999999999</v>
      </c>
      <c r="H917">
        <v>55.758099999999999</v>
      </c>
      <c r="I917">
        <v>56.286200000000001</v>
      </c>
      <c r="J917">
        <v>57309</v>
      </c>
      <c r="K917">
        <v>1.4855</v>
      </c>
      <c r="L917">
        <v>1.3532</v>
      </c>
    </row>
    <row r="918" spans="1:12" x14ac:dyDescent="0.25">
      <c r="A918">
        <v>2303</v>
      </c>
      <c r="B918" t="s">
        <v>10</v>
      </c>
      <c r="C918" s="1">
        <v>40854</v>
      </c>
      <c r="D918" s="2">
        <f t="shared" si="28"/>
        <v>1</v>
      </c>
      <c r="E918" s="2">
        <f t="shared" si="29"/>
        <v>11</v>
      </c>
      <c r="F918">
        <v>9.6256000000000004</v>
      </c>
      <c r="G918">
        <v>9.6994000000000007</v>
      </c>
      <c r="H918">
        <v>9.4780999999999995</v>
      </c>
      <c r="I918">
        <v>9.5518000000000001</v>
      </c>
      <c r="J918">
        <v>10464</v>
      </c>
      <c r="K918">
        <v>-0.76919999999999999</v>
      </c>
      <c r="L918">
        <v>2.3346</v>
      </c>
    </row>
    <row r="919" spans="1:12" hidden="1" x14ac:dyDescent="0.25">
      <c r="A919">
        <v>2330</v>
      </c>
      <c r="B919" t="s">
        <v>11</v>
      </c>
      <c r="C919" s="1">
        <v>40854</v>
      </c>
      <c r="D919" s="2">
        <f t="shared" si="28"/>
        <v>1</v>
      </c>
      <c r="E919" s="2">
        <f t="shared" si="29"/>
        <v>11</v>
      </c>
      <c r="F919">
        <v>56.588000000000001</v>
      </c>
      <c r="G919">
        <v>56.738900000000001</v>
      </c>
      <c r="H919">
        <v>56.059899999999999</v>
      </c>
      <c r="I919">
        <v>56.588000000000001</v>
      </c>
      <c r="J919">
        <v>29685</v>
      </c>
      <c r="K919">
        <v>0.53480000000000005</v>
      </c>
      <c r="L919">
        <v>1.2113</v>
      </c>
    </row>
    <row r="920" spans="1:12" x14ac:dyDescent="0.25">
      <c r="A920">
        <v>2303</v>
      </c>
      <c r="B920" t="s">
        <v>10</v>
      </c>
      <c r="C920" s="1">
        <v>40855</v>
      </c>
      <c r="D920" s="2">
        <f t="shared" si="28"/>
        <v>2</v>
      </c>
      <c r="E920" s="2">
        <f t="shared" si="29"/>
        <v>11</v>
      </c>
      <c r="F920">
        <v>9.5518000000000001</v>
      </c>
      <c r="G920">
        <v>9.6624999999999996</v>
      </c>
      <c r="H920">
        <v>9.4780999999999995</v>
      </c>
      <c r="I920">
        <v>9.5886999999999993</v>
      </c>
      <c r="J920">
        <v>12827</v>
      </c>
      <c r="K920">
        <v>0.38540000000000002</v>
      </c>
      <c r="L920">
        <v>1.9455</v>
      </c>
    </row>
    <row r="921" spans="1:12" hidden="1" x14ac:dyDescent="0.25">
      <c r="A921">
        <v>2330</v>
      </c>
      <c r="B921" t="s">
        <v>11</v>
      </c>
      <c r="C921" s="1">
        <v>40855</v>
      </c>
      <c r="D921" s="2">
        <f t="shared" si="28"/>
        <v>2</v>
      </c>
      <c r="E921" s="2">
        <f t="shared" si="29"/>
        <v>11</v>
      </c>
      <c r="F921">
        <v>56.588000000000001</v>
      </c>
      <c r="G921">
        <v>56.588000000000001</v>
      </c>
      <c r="H921">
        <v>55.833500000000001</v>
      </c>
      <c r="I921">
        <v>56.210799999999999</v>
      </c>
      <c r="J921">
        <v>21482</v>
      </c>
      <c r="K921">
        <v>-0.66890000000000005</v>
      </c>
      <c r="L921">
        <v>1.3513999999999999</v>
      </c>
    </row>
    <row r="922" spans="1:12" x14ac:dyDescent="0.25">
      <c r="A922">
        <v>2303</v>
      </c>
      <c r="B922" t="s">
        <v>10</v>
      </c>
      <c r="C922" s="1">
        <v>40856</v>
      </c>
      <c r="D922" s="2">
        <f t="shared" si="28"/>
        <v>3</v>
      </c>
      <c r="E922" s="2">
        <f t="shared" si="29"/>
        <v>11</v>
      </c>
      <c r="F922">
        <v>9.7362000000000002</v>
      </c>
      <c r="G922">
        <v>9.7362000000000002</v>
      </c>
      <c r="H922">
        <v>9.6256000000000004</v>
      </c>
      <c r="I922">
        <v>9.6256000000000004</v>
      </c>
      <c r="J922">
        <v>15461</v>
      </c>
      <c r="K922">
        <v>0.38390000000000002</v>
      </c>
      <c r="L922">
        <v>1.1494</v>
      </c>
    </row>
    <row r="923" spans="1:12" hidden="1" x14ac:dyDescent="0.25">
      <c r="A923">
        <v>2330</v>
      </c>
      <c r="B923" t="s">
        <v>11</v>
      </c>
      <c r="C923" s="1">
        <v>40856</v>
      </c>
      <c r="D923" s="2">
        <f t="shared" si="28"/>
        <v>3</v>
      </c>
      <c r="E923" s="2">
        <f t="shared" si="29"/>
        <v>11</v>
      </c>
      <c r="F923">
        <v>56.512599999999999</v>
      </c>
      <c r="G923">
        <v>56.512599999999999</v>
      </c>
      <c r="H923">
        <v>55.908999999999999</v>
      </c>
      <c r="I923">
        <v>55.908999999999999</v>
      </c>
      <c r="J923">
        <v>20575</v>
      </c>
      <c r="K923">
        <v>-0.53839999999999999</v>
      </c>
      <c r="L923">
        <v>1.0795999999999999</v>
      </c>
    </row>
    <row r="924" spans="1:12" x14ac:dyDescent="0.25">
      <c r="A924">
        <v>2303</v>
      </c>
      <c r="B924" t="s">
        <v>10</v>
      </c>
      <c r="C924" s="1">
        <v>40857</v>
      </c>
      <c r="D924" s="2">
        <f t="shared" si="28"/>
        <v>4</v>
      </c>
      <c r="E924" s="2">
        <f t="shared" si="29"/>
        <v>11</v>
      </c>
      <c r="F924">
        <v>9.4042999999999992</v>
      </c>
      <c r="G924">
        <v>9.4412000000000003</v>
      </c>
      <c r="H924">
        <v>9.2199000000000009</v>
      </c>
      <c r="I924">
        <v>9.2568000000000001</v>
      </c>
      <c r="J924">
        <v>37232</v>
      </c>
      <c r="K924">
        <v>-3.9066999999999998</v>
      </c>
      <c r="L924">
        <v>2.4</v>
      </c>
    </row>
    <row r="925" spans="1:12" hidden="1" x14ac:dyDescent="0.25">
      <c r="A925">
        <v>2330</v>
      </c>
      <c r="B925" t="s">
        <v>11</v>
      </c>
      <c r="C925" s="1">
        <v>40857</v>
      </c>
      <c r="D925" s="2">
        <f t="shared" si="28"/>
        <v>4</v>
      </c>
      <c r="E925" s="2">
        <f t="shared" si="29"/>
        <v>11</v>
      </c>
      <c r="F925">
        <v>54.701799999999999</v>
      </c>
      <c r="G925">
        <v>55.380800000000001</v>
      </c>
      <c r="H925">
        <v>54.701799999999999</v>
      </c>
      <c r="I925">
        <v>54.777200000000001</v>
      </c>
      <c r="J925">
        <v>49448</v>
      </c>
      <c r="K925">
        <v>-2.0451000000000001</v>
      </c>
      <c r="L925">
        <v>1.2414000000000001</v>
      </c>
    </row>
    <row r="926" spans="1:12" x14ac:dyDescent="0.25">
      <c r="A926">
        <v>2303</v>
      </c>
      <c r="B926" t="s">
        <v>10</v>
      </c>
      <c r="C926" s="1">
        <v>40858</v>
      </c>
      <c r="D926" s="2">
        <f t="shared" si="28"/>
        <v>5</v>
      </c>
      <c r="E926" s="2">
        <f t="shared" si="29"/>
        <v>11</v>
      </c>
      <c r="F926">
        <v>9.3306000000000004</v>
      </c>
      <c r="G926">
        <v>9.4412000000000003</v>
      </c>
      <c r="H926">
        <v>9.2199000000000009</v>
      </c>
      <c r="I926">
        <v>9.4412000000000003</v>
      </c>
      <c r="J926">
        <v>14398</v>
      </c>
      <c r="K926">
        <v>1.9724999999999999</v>
      </c>
      <c r="L926">
        <v>2.4</v>
      </c>
    </row>
    <row r="927" spans="1:12" hidden="1" x14ac:dyDescent="0.25">
      <c r="A927">
        <v>2330</v>
      </c>
      <c r="B927" t="s">
        <v>11</v>
      </c>
      <c r="C927" s="1">
        <v>40858</v>
      </c>
      <c r="D927" s="2">
        <f t="shared" si="28"/>
        <v>5</v>
      </c>
      <c r="E927" s="2">
        <f t="shared" si="29"/>
        <v>11</v>
      </c>
      <c r="F927">
        <v>55.456299999999999</v>
      </c>
      <c r="G927">
        <v>55.531700000000001</v>
      </c>
      <c r="H927">
        <v>54.777200000000001</v>
      </c>
      <c r="I927">
        <v>55.380800000000001</v>
      </c>
      <c r="J927">
        <v>27527</v>
      </c>
      <c r="K927">
        <v>1.0959000000000001</v>
      </c>
      <c r="L927">
        <v>1.3774</v>
      </c>
    </row>
    <row r="928" spans="1:12" x14ac:dyDescent="0.25">
      <c r="A928">
        <v>2303</v>
      </c>
      <c r="B928" t="s">
        <v>10</v>
      </c>
      <c r="C928" s="1">
        <v>40861</v>
      </c>
      <c r="D928" s="2">
        <f t="shared" si="28"/>
        <v>1</v>
      </c>
      <c r="E928" s="2">
        <f t="shared" si="29"/>
        <v>11</v>
      </c>
      <c r="F928">
        <v>9.5886999999999993</v>
      </c>
      <c r="G928">
        <v>9.6994000000000007</v>
      </c>
      <c r="H928">
        <v>9.5886999999999993</v>
      </c>
      <c r="I928">
        <v>9.6994000000000007</v>
      </c>
      <c r="J928">
        <v>27785</v>
      </c>
      <c r="K928">
        <v>2.6977000000000002</v>
      </c>
      <c r="L928">
        <v>1.1537999999999999</v>
      </c>
    </row>
    <row r="929" spans="1:12" hidden="1" x14ac:dyDescent="0.25">
      <c r="A929">
        <v>2330</v>
      </c>
      <c r="B929" t="s">
        <v>11</v>
      </c>
      <c r="C929" s="1">
        <v>40861</v>
      </c>
      <c r="D929" s="2">
        <f t="shared" si="28"/>
        <v>1</v>
      </c>
      <c r="E929" s="2">
        <f t="shared" si="29"/>
        <v>11</v>
      </c>
      <c r="F929">
        <v>56.512599999999999</v>
      </c>
      <c r="G929">
        <v>57.342500000000001</v>
      </c>
      <c r="H929">
        <v>56.286200000000001</v>
      </c>
      <c r="I929">
        <v>57.267099999999999</v>
      </c>
      <c r="J929">
        <v>63725</v>
      </c>
      <c r="K929">
        <v>3.3492999999999999</v>
      </c>
      <c r="L929">
        <v>1.8767</v>
      </c>
    </row>
    <row r="930" spans="1:12" x14ac:dyDescent="0.25">
      <c r="A930">
        <v>2303</v>
      </c>
      <c r="B930" t="s">
        <v>10</v>
      </c>
      <c r="C930" s="1">
        <v>40862</v>
      </c>
      <c r="D930" s="2">
        <f t="shared" si="28"/>
        <v>2</v>
      </c>
      <c r="E930" s="2">
        <f t="shared" si="29"/>
        <v>11</v>
      </c>
      <c r="F930">
        <v>9.6256000000000004</v>
      </c>
      <c r="G930">
        <v>9.6624999999999996</v>
      </c>
      <c r="H930">
        <v>9.5150000000000006</v>
      </c>
      <c r="I930">
        <v>9.6256000000000004</v>
      </c>
      <c r="J930">
        <v>12665</v>
      </c>
      <c r="K930">
        <v>-0.76339999999999997</v>
      </c>
      <c r="L930">
        <v>1.5504</v>
      </c>
    </row>
    <row r="931" spans="1:12" hidden="1" x14ac:dyDescent="0.25">
      <c r="A931">
        <v>2330</v>
      </c>
      <c r="B931" t="s">
        <v>11</v>
      </c>
      <c r="C931" s="1">
        <v>40862</v>
      </c>
      <c r="D931" s="2">
        <f t="shared" si="28"/>
        <v>2</v>
      </c>
      <c r="E931" s="2">
        <f t="shared" si="29"/>
        <v>11</v>
      </c>
      <c r="F931">
        <v>56.965299999999999</v>
      </c>
      <c r="G931">
        <v>57.342500000000001</v>
      </c>
      <c r="H931">
        <v>56.588000000000001</v>
      </c>
      <c r="I931">
        <v>57.342500000000001</v>
      </c>
      <c r="J931">
        <v>37165</v>
      </c>
      <c r="K931">
        <v>0.13170000000000001</v>
      </c>
      <c r="L931">
        <v>1.3332999999999999</v>
      </c>
    </row>
    <row r="932" spans="1:12" x14ac:dyDescent="0.25">
      <c r="A932">
        <v>2303</v>
      </c>
      <c r="B932" t="s">
        <v>10</v>
      </c>
      <c r="C932" s="1">
        <v>40863</v>
      </c>
      <c r="D932" s="2">
        <f t="shared" si="28"/>
        <v>3</v>
      </c>
      <c r="E932" s="2">
        <f t="shared" si="29"/>
        <v>11</v>
      </c>
      <c r="F932">
        <v>9.6624999999999996</v>
      </c>
      <c r="G932">
        <v>9.6994000000000007</v>
      </c>
      <c r="H932">
        <v>9.5150000000000006</v>
      </c>
      <c r="I932">
        <v>9.5886999999999993</v>
      </c>
      <c r="J932">
        <v>18286</v>
      </c>
      <c r="K932">
        <v>-0.38390000000000002</v>
      </c>
      <c r="L932">
        <v>1.9379999999999999</v>
      </c>
    </row>
    <row r="933" spans="1:12" hidden="1" x14ac:dyDescent="0.25">
      <c r="A933">
        <v>2330</v>
      </c>
      <c r="B933" t="s">
        <v>11</v>
      </c>
      <c r="C933" s="1">
        <v>40863</v>
      </c>
      <c r="D933" s="2">
        <f t="shared" si="28"/>
        <v>3</v>
      </c>
      <c r="E933" s="2">
        <f t="shared" si="29"/>
        <v>11</v>
      </c>
      <c r="F933">
        <v>57.342500000000001</v>
      </c>
      <c r="G933">
        <v>57.342500000000001</v>
      </c>
      <c r="H933">
        <v>56.512599999999999</v>
      </c>
      <c r="I933">
        <v>56.889800000000001</v>
      </c>
      <c r="J933">
        <v>39988</v>
      </c>
      <c r="K933">
        <v>-0.79259999999999997</v>
      </c>
      <c r="L933">
        <v>1.4685999999999999</v>
      </c>
    </row>
    <row r="934" spans="1:12" x14ac:dyDescent="0.25">
      <c r="A934">
        <v>2303</v>
      </c>
      <c r="B934" t="s">
        <v>10</v>
      </c>
      <c r="C934" s="1">
        <v>40864</v>
      </c>
      <c r="D934" s="2">
        <f t="shared" si="28"/>
        <v>4</v>
      </c>
      <c r="E934" s="2">
        <f t="shared" si="29"/>
        <v>11</v>
      </c>
      <c r="F934">
        <v>9.5150000000000006</v>
      </c>
      <c r="G934">
        <v>9.5886999999999993</v>
      </c>
      <c r="H934">
        <v>9.4780999999999995</v>
      </c>
      <c r="I934">
        <v>9.4780999999999995</v>
      </c>
      <c r="J934">
        <v>12829</v>
      </c>
      <c r="K934">
        <v>-1.1606000000000001</v>
      </c>
      <c r="L934">
        <v>1.1673</v>
      </c>
    </row>
    <row r="935" spans="1:12" hidden="1" x14ac:dyDescent="0.25">
      <c r="A935">
        <v>2330</v>
      </c>
      <c r="B935" t="s">
        <v>11</v>
      </c>
      <c r="C935" s="1">
        <v>40864</v>
      </c>
      <c r="D935" s="2">
        <f t="shared" si="28"/>
        <v>4</v>
      </c>
      <c r="E935" s="2">
        <f t="shared" si="29"/>
        <v>11</v>
      </c>
      <c r="F935">
        <v>56.738900000000001</v>
      </c>
      <c r="G935">
        <v>57.342500000000001</v>
      </c>
      <c r="H935">
        <v>56.437100000000001</v>
      </c>
      <c r="I935">
        <v>57.116199999999999</v>
      </c>
      <c r="J935">
        <v>34944</v>
      </c>
      <c r="K935">
        <v>0.39710000000000001</v>
      </c>
      <c r="L935">
        <v>1.6043000000000001</v>
      </c>
    </row>
    <row r="936" spans="1:12" x14ac:dyDescent="0.25">
      <c r="A936">
        <v>2303</v>
      </c>
      <c r="B936" t="s">
        <v>10</v>
      </c>
      <c r="C936" s="1">
        <v>40865</v>
      </c>
      <c r="D936" s="2">
        <f t="shared" si="28"/>
        <v>5</v>
      </c>
      <c r="E936" s="2">
        <f t="shared" si="29"/>
        <v>11</v>
      </c>
      <c r="F936">
        <v>9.4042999999999992</v>
      </c>
      <c r="G936">
        <v>9.4042999999999992</v>
      </c>
      <c r="H936">
        <v>9.2199000000000009</v>
      </c>
      <c r="I936">
        <v>9.2936999999999994</v>
      </c>
      <c r="J936">
        <v>23335</v>
      </c>
      <c r="K936">
        <v>-1.9646999999999999</v>
      </c>
      <c r="L936">
        <v>2</v>
      </c>
    </row>
    <row r="937" spans="1:12" hidden="1" x14ac:dyDescent="0.25">
      <c r="A937">
        <v>2330</v>
      </c>
      <c r="B937" t="s">
        <v>11</v>
      </c>
      <c r="C937" s="1">
        <v>40865</v>
      </c>
      <c r="D937" s="2">
        <f t="shared" si="28"/>
        <v>5</v>
      </c>
      <c r="E937" s="2">
        <f t="shared" si="29"/>
        <v>11</v>
      </c>
      <c r="F937">
        <v>56.588000000000001</v>
      </c>
      <c r="G937">
        <v>56.738900000000001</v>
      </c>
      <c r="H937">
        <v>55.607199999999999</v>
      </c>
      <c r="I937">
        <v>55.984400000000001</v>
      </c>
      <c r="J937">
        <v>56459</v>
      </c>
      <c r="K937">
        <v>-2.0013999999999998</v>
      </c>
      <c r="L937">
        <v>2.0352999999999999</v>
      </c>
    </row>
    <row r="938" spans="1:12" x14ac:dyDescent="0.25">
      <c r="A938">
        <v>2303</v>
      </c>
      <c r="B938" t="s">
        <v>10</v>
      </c>
      <c r="C938" s="1">
        <v>40868</v>
      </c>
      <c r="D938" s="2">
        <f t="shared" si="28"/>
        <v>1</v>
      </c>
      <c r="E938" s="2">
        <f t="shared" si="29"/>
        <v>11</v>
      </c>
      <c r="F938">
        <v>9.2199000000000009</v>
      </c>
      <c r="G938">
        <v>9.2568000000000001</v>
      </c>
      <c r="H938">
        <v>9.0724</v>
      </c>
      <c r="I938">
        <v>9.1092999999999993</v>
      </c>
      <c r="J938">
        <v>18613</v>
      </c>
      <c r="K938">
        <v>-2.0041000000000002</v>
      </c>
      <c r="L938">
        <v>2.0325000000000002</v>
      </c>
    </row>
    <row r="939" spans="1:12" hidden="1" x14ac:dyDescent="0.25">
      <c r="A939">
        <v>2330</v>
      </c>
      <c r="B939" t="s">
        <v>11</v>
      </c>
      <c r="C939" s="1">
        <v>40868</v>
      </c>
      <c r="D939" s="2">
        <f t="shared" si="28"/>
        <v>1</v>
      </c>
      <c r="E939" s="2">
        <f t="shared" si="29"/>
        <v>11</v>
      </c>
      <c r="F939">
        <v>55.229900000000001</v>
      </c>
      <c r="G939">
        <v>55.758099999999999</v>
      </c>
      <c r="H939">
        <v>55.079000000000001</v>
      </c>
      <c r="I939">
        <v>55.305399999999999</v>
      </c>
      <c r="J939">
        <v>23406</v>
      </c>
      <c r="K939">
        <v>-1.2203999999999999</v>
      </c>
      <c r="L939">
        <v>1.2329000000000001</v>
      </c>
    </row>
    <row r="940" spans="1:12" x14ac:dyDescent="0.25">
      <c r="A940">
        <v>2303</v>
      </c>
      <c r="B940" t="s">
        <v>10</v>
      </c>
      <c r="C940" s="1">
        <v>40869</v>
      </c>
      <c r="D940" s="2">
        <f t="shared" si="28"/>
        <v>2</v>
      </c>
      <c r="E940" s="2">
        <f t="shared" si="29"/>
        <v>11</v>
      </c>
      <c r="F940">
        <v>9.1092999999999993</v>
      </c>
      <c r="G940">
        <v>9.3673999999999999</v>
      </c>
      <c r="H940">
        <v>9.0355000000000008</v>
      </c>
      <c r="I940">
        <v>9.2568000000000001</v>
      </c>
      <c r="J940">
        <v>30615</v>
      </c>
      <c r="K940">
        <v>1.6065</v>
      </c>
      <c r="L940">
        <v>3.6735000000000002</v>
      </c>
    </row>
    <row r="941" spans="1:12" hidden="1" x14ac:dyDescent="0.25">
      <c r="A941">
        <v>2330</v>
      </c>
      <c r="B941" t="s">
        <v>11</v>
      </c>
      <c r="C941" s="1">
        <v>40869</v>
      </c>
      <c r="D941" s="2">
        <f t="shared" si="28"/>
        <v>2</v>
      </c>
      <c r="E941" s="2">
        <f t="shared" si="29"/>
        <v>11</v>
      </c>
      <c r="F941">
        <v>56.738900000000001</v>
      </c>
      <c r="G941">
        <v>56.738900000000001</v>
      </c>
      <c r="H941">
        <v>55.682600000000001</v>
      </c>
      <c r="I941">
        <v>55.833500000000001</v>
      </c>
      <c r="J941">
        <v>47492</v>
      </c>
      <c r="K941">
        <v>0.95040000000000002</v>
      </c>
      <c r="L941">
        <v>1.897</v>
      </c>
    </row>
    <row r="942" spans="1:12" x14ac:dyDescent="0.25">
      <c r="A942">
        <v>2303</v>
      </c>
      <c r="B942" t="s">
        <v>10</v>
      </c>
      <c r="C942" s="1">
        <v>40870</v>
      </c>
      <c r="D942" s="2">
        <f t="shared" si="28"/>
        <v>3</v>
      </c>
      <c r="E942" s="2">
        <f t="shared" si="29"/>
        <v>11</v>
      </c>
      <c r="F942">
        <v>9.1092999999999993</v>
      </c>
      <c r="G942">
        <v>9.2199000000000009</v>
      </c>
      <c r="H942">
        <v>8.8141999999999996</v>
      </c>
      <c r="I942">
        <v>8.8141999999999996</v>
      </c>
      <c r="J942">
        <v>41517</v>
      </c>
      <c r="K942">
        <v>-4.8989000000000003</v>
      </c>
      <c r="L942">
        <v>4.6025</v>
      </c>
    </row>
    <row r="943" spans="1:12" hidden="1" x14ac:dyDescent="0.25">
      <c r="A943">
        <v>2330</v>
      </c>
      <c r="B943" t="s">
        <v>11</v>
      </c>
      <c r="C943" s="1">
        <v>40870</v>
      </c>
      <c r="D943" s="2">
        <f t="shared" si="28"/>
        <v>3</v>
      </c>
      <c r="E943" s="2">
        <f t="shared" si="29"/>
        <v>11</v>
      </c>
      <c r="F943">
        <v>55.833500000000001</v>
      </c>
      <c r="G943">
        <v>56.210799999999999</v>
      </c>
      <c r="H943">
        <v>55.154499999999999</v>
      </c>
      <c r="I943">
        <v>55.380800000000001</v>
      </c>
      <c r="J943">
        <v>43984</v>
      </c>
      <c r="K943">
        <v>-0.81410000000000005</v>
      </c>
      <c r="L943">
        <v>1.9152</v>
      </c>
    </row>
    <row r="944" spans="1:12" x14ac:dyDescent="0.25">
      <c r="A944">
        <v>2303</v>
      </c>
      <c r="B944" t="s">
        <v>10</v>
      </c>
      <c r="C944" s="1">
        <v>40871</v>
      </c>
      <c r="D944" s="2">
        <f t="shared" si="28"/>
        <v>4</v>
      </c>
      <c r="E944" s="2">
        <f t="shared" si="29"/>
        <v>11</v>
      </c>
      <c r="F944">
        <v>8.7035999999999998</v>
      </c>
      <c r="G944">
        <v>8.8511000000000006</v>
      </c>
      <c r="H944">
        <v>8.5561000000000007</v>
      </c>
      <c r="I944">
        <v>8.7774000000000001</v>
      </c>
      <c r="J944">
        <v>21864</v>
      </c>
      <c r="K944">
        <v>-0.41930000000000001</v>
      </c>
      <c r="L944">
        <v>3.4483000000000001</v>
      </c>
    </row>
    <row r="945" spans="1:12" hidden="1" x14ac:dyDescent="0.25">
      <c r="A945">
        <v>2330</v>
      </c>
      <c r="B945" t="s">
        <v>11</v>
      </c>
      <c r="C945" s="1">
        <v>40871</v>
      </c>
      <c r="D945" s="2">
        <f t="shared" si="28"/>
        <v>4</v>
      </c>
      <c r="E945" s="2">
        <f t="shared" si="29"/>
        <v>11</v>
      </c>
      <c r="F945">
        <v>55.003599999999999</v>
      </c>
      <c r="G945">
        <v>55.229900000000001</v>
      </c>
      <c r="H945">
        <v>54.777200000000001</v>
      </c>
      <c r="I945">
        <v>54.928100000000001</v>
      </c>
      <c r="J945">
        <v>47608</v>
      </c>
      <c r="K945">
        <v>-0.82079999999999997</v>
      </c>
      <c r="L945">
        <v>0.82640000000000002</v>
      </c>
    </row>
    <row r="946" spans="1:12" x14ac:dyDescent="0.25">
      <c r="A946">
        <v>2303</v>
      </c>
      <c r="B946" t="s">
        <v>10</v>
      </c>
      <c r="C946" s="1">
        <v>40872</v>
      </c>
      <c r="D946" s="2">
        <f t="shared" si="28"/>
        <v>5</v>
      </c>
      <c r="E946" s="2">
        <f t="shared" si="29"/>
        <v>11</v>
      </c>
      <c r="F946">
        <v>8.9618000000000002</v>
      </c>
      <c r="G946">
        <v>9.3673999999999999</v>
      </c>
      <c r="H946">
        <v>8.9618000000000002</v>
      </c>
      <c r="I946">
        <v>8.9618000000000002</v>
      </c>
      <c r="J946">
        <v>45221</v>
      </c>
      <c r="K946">
        <v>2.0790999999999999</v>
      </c>
      <c r="L946">
        <v>4.5266999999999999</v>
      </c>
    </row>
    <row r="947" spans="1:12" hidden="1" x14ac:dyDescent="0.25">
      <c r="A947">
        <v>2330</v>
      </c>
      <c r="B947" t="s">
        <v>11</v>
      </c>
      <c r="C947" s="1">
        <v>40872</v>
      </c>
      <c r="D947" s="2">
        <f t="shared" si="28"/>
        <v>5</v>
      </c>
      <c r="E947" s="2">
        <f t="shared" si="29"/>
        <v>11</v>
      </c>
      <c r="F947">
        <v>55.079000000000001</v>
      </c>
      <c r="G947">
        <v>55.305399999999999</v>
      </c>
      <c r="H947">
        <v>53.796300000000002</v>
      </c>
      <c r="I947">
        <v>54.0227</v>
      </c>
      <c r="J947">
        <v>38314</v>
      </c>
      <c r="K947">
        <v>-1.6620999999999999</v>
      </c>
      <c r="L947">
        <v>2.8050000000000002</v>
      </c>
    </row>
    <row r="948" spans="1:12" x14ac:dyDescent="0.25">
      <c r="A948">
        <v>2303</v>
      </c>
      <c r="B948" t="s">
        <v>10</v>
      </c>
      <c r="C948" s="1">
        <v>40875</v>
      </c>
      <c r="D948" s="2">
        <f t="shared" si="28"/>
        <v>1</v>
      </c>
      <c r="E948" s="2">
        <f t="shared" si="29"/>
        <v>11</v>
      </c>
      <c r="F948">
        <v>9.0724</v>
      </c>
      <c r="G948">
        <v>9.2568000000000001</v>
      </c>
      <c r="H948">
        <v>8.9985999999999997</v>
      </c>
      <c r="I948">
        <v>9.2568000000000001</v>
      </c>
      <c r="J948">
        <v>25861</v>
      </c>
      <c r="K948">
        <v>3.2391000000000001</v>
      </c>
      <c r="L948">
        <v>2.8689</v>
      </c>
    </row>
    <row r="949" spans="1:12" hidden="1" x14ac:dyDescent="0.25">
      <c r="A949">
        <v>2330</v>
      </c>
      <c r="B949" t="s">
        <v>11</v>
      </c>
      <c r="C949" s="1">
        <v>40875</v>
      </c>
      <c r="D949" s="2">
        <f t="shared" si="28"/>
        <v>1</v>
      </c>
      <c r="E949" s="2">
        <f t="shared" si="29"/>
        <v>11</v>
      </c>
      <c r="F949">
        <v>54.0227</v>
      </c>
      <c r="G949">
        <v>56.135300000000001</v>
      </c>
      <c r="H949">
        <v>54.0227</v>
      </c>
      <c r="I949">
        <v>55.531700000000001</v>
      </c>
      <c r="J949">
        <v>34957</v>
      </c>
      <c r="K949">
        <v>2.7549999999999999</v>
      </c>
      <c r="L949">
        <v>3.9106000000000001</v>
      </c>
    </row>
    <row r="950" spans="1:12" x14ac:dyDescent="0.25">
      <c r="A950">
        <v>2303</v>
      </c>
      <c r="B950" t="s">
        <v>10</v>
      </c>
      <c r="C950" s="1">
        <v>40876</v>
      </c>
      <c r="D950" s="2">
        <f t="shared" si="28"/>
        <v>2</v>
      </c>
      <c r="E950" s="2">
        <f t="shared" si="29"/>
        <v>11</v>
      </c>
      <c r="F950">
        <v>9.3306000000000004</v>
      </c>
      <c r="G950">
        <v>9.4412000000000003</v>
      </c>
      <c r="H950">
        <v>9.1462000000000003</v>
      </c>
      <c r="I950">
        <v>9.2936999999999994</v>
      </c>
      <c r="J950">
        <v>50355</v>
      </c>
      <c r="K950">
        <v>0.39760000000000001</v>
      </c>
      <c r="L950">
        <v>3.2258</v>
      </c>
    </row>
    <row r="951" spans="1:12" hidden="1" x14ac:dyDescent="0.25">
      <c r="A951">
        <v>2330</v>
      </c>
      <c r="B951" t="s">
        <v>11</v>
      </c>
      <c r="C951" s="1">
        <v>40876</v>
      </c>
      <c r="D951" s="2">
        <f t="shared" si="28"/>
        <v>2</v>
      </c>
      <c r="E951" s="2">
        <f t="shared" si="29"/>
        <v>11</v>
      </c>
      <c r="F951">
        <v>55.682600000000001</v>
      </c>
      <c r="G951">
        <v>55.984400000000001</v>
      </c>
      <c r="H951">
        <v>55.003599999999999</v>
      </c>
      <c r="I951">
        <v>55.531700000000001</v>
      </c>
      <c r="J951">
        <v>42724</v>
      </c>
      <c r="K951">
        <v>0</v>
      </c>
      <c r="L951">
        <v>1.7833000000000001</v>
      </c>
    </row>
    <row r="952" spans="1:12" x14ac:dyDescent="0.25">
      <c r="A952">
        <v>2303</v>
      </c>
      <c r="B952" t="s">
        <v>10</v>
      </c>
      <c r="C952" s="1">
        <v>40877</v>
      </c>
      <c r="D952" s="2">
        <f t="shared" si="28"/>
        <v>3</v>
      </c>
      <c r="E952" s="2">
        <f t="shared" si="29"/>
        <v>11</v>
      </c>
      <c r="F952">
        <v>9.4780999999999995</v>
      </c>
      <c r="G952">
        <v>9.5886999999999993</v>
      </c>
      <c r="H952">
        <v>9.3306000000000004</v>
      </c>
      <c r="I952">
        <v>9.5886999999999993</v>
      </c>
      <c r="J952">
        <v>50203</v>
      </c>
      <c r="K952">
        <v>3.1253000000000002</v>
      </c>
      <c r="L952">
        <v>2.7667999999999999</v>
      </c>
    </row>
    <row r="953" spans="1:12" hidden="1" x14ac:dyDescent="0.25">
      <c r="A953">
        <v>2330</v>
      </c>
      <c r="B953" t="s">
        <v>11</v>
      </c>
      <c r="C953" s="1">
        <v>40877</v>
      </c>
      <c r="D953" s="2">
        <f t="shared" si="28"/>
        <v>3</v>
      </c>
      <c r="E953" s="2">
        <f t="shared" si="29"/>
        <v>11</v>
      </c>
      <c r="F953">
        <v>55.833500000000001</v>
      </c>
      <c r="G953">
        <v>56.286200000000001</v>
      </c>
      <c r="H953">
        <v>55.079000000000001</v>
      </c>
      <c r="I953">
        <v>56.286200000000001</v>
      </c>
      <c r="J953">
        <v>51449</v>
      </c>
      <c r="K953">
        <v>1.3494999999999999</v>
      </c>
      <c r="L953">
        <v>2.1918000000000002</v>
      </c>
    </row>
    <row r="954" spans="1:12" x14ac:dyDescent="0.25">
      <c r="A954">
        <v>2303</v>
      </c>
      <c r="B954" t="s">
        <v>10</v>
      </c>
      <c r="C954" s="1">
        <v>40878</v>
      </c>
      <c r="D954" s="2">
        <f t="shared" si="28"/>
        <v>4</v>
      </c>
      <c r="E954" s="2">
        <f t="shared" si="29"/>
        <v>12</v>
      </c>
      <c r="F954">
        <v>9.9574999999999996</v>
      </c>
      <c r="G954">
        <v>10.0313</v>
      </c>
      <c r="H954">
        <v>9.7730999999999995</v>
      </c>
      <c r="I954">
        <v>9.7730999999999995</v>
      </c>
      <c r="J954">
        <v>53346</v>
      </c>
      <c r="K954">
        <v>1.9048</v>
      </c>
      <c r="L954">
        <v>2.6415000000000002</v>
      </c>
    </row>
    <row r="955" spans="1:12" hidden="1" x14ac:dyDescent="0.25">
      <c r="A955">
        <v>2330</v>
      </c>
      <c r="B955" t="s">
        <v>11</v>
      </c>
      <c r="C955" s="1">
        <v>40878</v>
      </c>
      <c r="D955" s="2">
        <f t="shared" si="28"/>
        <v>4</v>
      </c>
      <c r="E955" s="2">
        <f t="shared" si="29"/>
        <v>12</v>
      </c>
      <c r="F955">
        <v>56.965299999999999</v>
      </c>
      <c r="G955">
        <v>57.795200000000001</v>
      </c>
      <c r="H955">
        <v>56.965299999999999</v>
      </c>
      <c r="I955">
        <v>57.795200000000001</v>
      </c>
      <c r="J955">
        <v>78593</v>
      </c>
      <c r="K955">
        <v>2.6457000000000002</v>
      </c>
      <c r="L955">
        <v>1.4570000000000001</v>
      </c>
    </row>
    <row r="956" spans="1:12" x14ac:dyDescent="0.25">
      <c r="A956">
        <v>2303</v>
      </c>
      <c r="B956" t="s">
        <v>10</v>
      </c>
      <c r="C956" s="1">
        <v>40879</v>
      </c>
      <c r="D956" s="2">
        <f t="shared" si="28"/>
        <v>5</v>
      </c>
      <c r="E956" s="2">
        <f t="shared" si="29"/>
        <v>12</v>
      </c>
      <c r="F956">
        <v>9.7730999999999995</v>
      </c>
      <c r="G956">
        <v>9.8468999999999998</v>
      </c>
      <c r="H956">
        <v>9.6624999999999996</v>
      </c>
      <c r="I956">
        <v>9.6994000000000007</v>
      </c>
      <c r="J956">
        <v>14532</v>
      </c>
      <c r="K956">
        <v>-0.75760000000000005</v>
      </c>
      <c r="L956">
        <v>1.9084000000000001</v>
      </c>
    </row>
    <row r="957" spans="1:12" hidden="1" x14ac:dyDescent="0.25">
      <c r="A957">
        <v>2330</v>
      </c>
      <c r="B957" t="s">
        <v>11</v>
      </c>
      <c r="C957" s="1">
        <v>40879</v>
      </c>
      <c r="D957" s="2">
        <f t="shared" si="28"/>
        <v>5</v>
      </c>
      <c r="E957" s="2">
        <f t="shared" si="29"/>
        <v>12</v>
      </c>
      <c r="F957">
        <v>57.795200000000001</v>
      </c>
      <c r="G957">
        <v>57.946100000000001</v>
      </c>
      <c r="H957">
        <v>56.889800000000001</v>
      </c>
      <c r="I957">
        <v>57.342500000000001</v>
      </c>
      <c r="J957">
        <v>35343</v>
      </c>
      <c r="K957">
        <v>-0.78639999999999999</v>
      </c>
      <c r="L957">
        <v>1.8568</v>
      </c>
    </row>
    <row r="958" spans="1:12" x14ac:dyDescent="0.25">
      <c r="A958">
        <v>2303</v>
      </c>
      <c r="B958" t="s">
        <v>10</v>
      </c>
      <c r="C958" s="1">
        <v>40882</v>
      </c>
      <c r="D958" s="2">
        <f t="shared" si="28"/>
        <v>1</v>
      </c>
      <c r="E958" s="2">
        <f t="shared" si="29"/>
        <v>12</v>
      </c>
      <c r="F958">
        <v>9.6994000000000007</v>
      </c>
      <c r="G958">
        <v>9.7362000000000002</v>
      </c>
      <c r="H958">
        <v>9.5518000000000001</v>
      </c>
      <c r="I958">
        <v>9.5518000000000001</v>
      </c>
      <c r="J958">
        <v>22239</v>
      </c>
      <c r="K958">
        <v>-1.5326</v>
      </c>
      <c r="L958">
        <v>1.9305000000000001</v>
      </c>
    </row>
    <row r="959" spans="1:12" hidden="1" x14ac:dyDescent="0.25">
      <c r="A959">
        <v>2330</v>
      </c>
      <c r="B959" t="s">
        <v>11</v>
      </c>
      <c r="C959" s="1">
        <v>40882</v>
      </c>
      <c r="D959" s="2">
        <f t="shared" si="28"/>
        <v>1</v>
      </c>
      <c r="E959" s="2">
        <f t="shared" si="29"/>
        <v>12</v>
      </c>
      <c r="F959">
        <v>57.342500000000001</v>
      </c>
      <c r="G959">
        <v>57.568899999999999</v>
      </c>
      <c r="H959">
        <v>56.889800000000001</v>
      </c>
      <c r="I959">
        <v>57.568899999999999</v>
      </c>
      <c r="J959">
        <v>30150</v>
      </c>
      <c r="K959">
        <v>0.39400000000000002</v>
      </c>
      <c r="L959">
        <v>1.1936</v>
      </c>
    </row>
    <row r="960" spans="1:12" x14ac:dyDescent="0.25">
      <c r="A960">
        <v>2303</v>
      </c>
      <c r="B960" t="s">
        <v>10</v>
      </c>
      <c r="C960" s="1">
        <v>40883</v>
      </c>
      <c r="D960" s="2">
        <f t="shared" si="28"/>
        <v>2</v>
      </c>
      <c r="E960" s="2">
        <f t="shared" si="29"/>
        <v>12</v>
      </c>
      <c r="F960">
        <v>9.5886999999999993</v>
      </c>
      <c r="G960">
        <v>9.6256000000000004</v>
      </c>
      <c r="H960">
        <v>9.4042999999999992</v>
      </c>
      <c r="I960">
        <v>9.4042999999999992</v>
      </c>
      <c r="J960">
        <v>16680</v>
      </c>
      <c r="K960">
        <v>-1.5565</v>
      </c>
      <c r="L960">
        <v>2.3529</v>
      </c>
    </row>
    <row r="961" spans="1:12" hidden="1" x14ac:dyDescent="0.25">
      <c r="A961">
        <v>2330</v>
      </c>
      <c r="B961" t="s">
        <v>11</v>
      </c>
      <c r="C961" s="1">
        <v>40883</v>
      </c>
      <c r="D961" s="2">
        <f t="shared" si="28"/>
        <v>2</v>
      </c>
      <c r="E961" s="2">
        <f t="shared" si="29"/>
        <v>12</v>
      </c>
      <c r="F961">
        <v>57.568899999999999</v>
      </c>
      <c r="G961">
        <v>57.568899999999999</v>
      </c>
      <c r="H961">
        <v>56.814399999999999</v>
      </c>
      <c r="I961">
        <v>56.889800000000001</v>
      </c>
      <c r="J961">
        <v>43140</v>
      </c>
      <c r="K961">
        <v>-1.1866000000000001</v>
      </c>
      <c r="L961">
        <v>1.3280000000000001</v>
      </c>
    </row>
    <row r="962" spans="1:12" x14ac:dyDescent="0.25">
      <c r="A962">
        <v>2303</v>
      </c>
      <c r="B962" t="s">
        <v>10</v>
      </c>
      <c r="C962" s="1">
        <v>40884</v>
      </c>
      <c r="D962" s="2">
        <f t="shared" si="28"/>
        <v>3</v>
      </c>
      <c r="E962" s="2">
        <f t="shared" si="29"/>
        <v>12</v>
      </c>
      <c r="F962">
        <v>9.5518000000000001</v>
      </c>
      <c r="G962">
        <v>9.5886999999999993</v>
      </c>
      <c r="H962">
        <v>9.4412000000000003</v>
      </c>
      <c r="I962">
        <v>9.4780999999999995</v>
      </c>
      <c r="J962">
        <v>26222</v>
      </c>
      <c r="K962">
        <v>0.78129999999999999</v>
      </c>
      <c r="L962">
        <v>1.5625</v>
      </c>
    </row>
    <row r="963" spans="1:12" hidden="1" x14ac:dyDescent="0.25">
      <c r="A963">
        <v>2330</v>
      </c>
      <c r="B963" t="s">
        <v>11</v>
      </c>
      <c r="C963" s="1">
        <v>40884</v>
      </c>
      <c r="D963" s="2">
        <f t="shared" ref="D963:D1026" si="30">WEEKDAY(C963,2)</f>
        <v>3</v>
      </c>
      <c r="E963" s="2">
        <f t="shared" ref="E963:E1026" si="31">MONTH(C963)</f>
        <v>12</v>
      </c>
      <c r="F963">
        <v>57.719799999999999</v>
      </c>
      <c r="G963">
        <v>57.719799999999999</v>
      </c>
      <c r="H963">
        <v>56.889800000000001</v>
      </c>
      <c r="I963">
        <v>57.644300000000001</v>
      </c>
      <c r="J963">
        <v>40912</v>
      </c>
      <c r="K963">
        <v>1.3174999999999999</v>
      </c>
      <c r="L963">
        <v>1.4589000000000001</v>
      </c>
    </row>
    <row r="964" spans="1:12" x14ac:dyDescent="0.25">
      <c r="A964">
        <v>2303</v>
      </c>
      <c r="B964" t="s">
        <v>10</v>
      </c>
      <c r="C964" s="1">
        <v>40885</v>
      </c>
      <c r="D964" s="2">
        <f t="shared" si="30"/>
        <v>4</v>
      </c>
      <c r="E964" s="2">
        <f t="shared" si="31"/>
        <v>12</v>
      </c>
      <c r="F964">
        <v>9.4780999999999995</v>
      </c>
      <c r="G964">
        <v>9.5150000000000006</v>
      </c>
      <c r="H964">
        <v>9.2568000000000001</v>
      </c>
      <c r="I964">
        <v>9.4412000000000003</v>
      </c>
      <c r="J964">
        <v>24690</v>
      </c>
      <c r="K964">
        <v>-0.38990000000000002</v>
      </c>
      <c r="L964">
        <v>2.7888000000000002</v>
      </c>
    </row>
    <row r="965" spans="1:12" hidden="1" x14ac:dyDescent="0.25">
      <c r="A965">
        <v>2330</v>
      </c>
      <c r="B965" t="s">
        <v>11</v>
      </c>
      <c r="C965" s="1">
        <v>40885</v>
      </c>
      <c r="D965" s="2">
        <f t="shared" si="30"/>
        <v>4</v>
      </c>
      <c r="E965" s="2">
        <f t="shared" si="31"/>
        <v>12</v>
      </c>
      <c r="F965">
        <v>57.870699999999999</v>
      </c>
      <c r="G965">
        <v>57.870699999999999</v>
      </c>
      <c r="H965">
        <v>56.814399999999999</v>
      </c>
      <c r="I965">
        <v>57.568899999999999</v>
      </c>
      <c r="J965">
        <v>31710</v>
      </c>
      <c r="K965">
        <v>-0.13100000000000001</v>
      </c>
      <c r="L965">
        <v>1.8592</v>
      </c>
    </row>
    <row r="966" spans="1:12" x14ac:dyDescent="0.25">
      <c r="A966">
        <v>2303</v>
      </c>
      <c r="B966" t="s">
        <v>10</v>
      </c>
      <c r="C966" s="1">
        <v>40886</v>
      </c>
      <c r="D966" s="2">
        <f t="shared" si="30"/>
        <v>5</v>
      </c>
      <c r="E966" s="2">
        <f t="shared" si="31"/>
        <v>12</v>
      </c>
      <c r="F966">
        <v>9.2936999999999994</v>
      </c>
      <c r="G966">
        <v>9.3306000000000004</v>
      </c>
      <c r="H966">
        <v>9.1829999999999998</v>
      </c>
      <c r="I966">
        <v>9.1829999999999998</v>
      </c>
      <c r="J966">
        <v>25608</v>
      </c>
      <c r="K966">
        <v>-2.7725</v>
      </c>
      <c r="L966">
        <v>1.6064000000000001</v>
      </c>
    </row>
    <row r="967" spans="1:12" hidden="1" x14ac:dyDescent="0.25">
      <c r="A967">
        <v>2330</v>
      </c>
      <c r="B967" t="s">
        <v>11</v>
      </c>
      <c r="C967" s="1">
        <v>40886</v>
      </c>
      <c r="D967" s="2">
        <f t="shared" si="30"/>
        <v>5</v>
      </c>
      <c r="E967" s="2">
        <f t="shared" si="31"/>
        <v>12</v>
      </c>
      <c r="F967">
        <v>57.342500000000001</v>
      </c>
      <c r="G967">
        <v>57.342500000000001</v>
      </c>
      <c r="H967">
        <v>55.456299999999999</v>
      </c>
      <c r="I967">
        <v>55.908999999999999</v>
      </c>
      <c r="J967">
        <v>42027</v>
      </c>
      <c r="K967">
        <v>-2.9257</v>
      </c>
      <c r="L967">
        <v>3.4014000000000002</v>
      </c>
    </row>
    <row r="968" spans="1:12" x14ac:dyDescent="0.25">
      <c r="A968">
        <v>2303</v>
      </c>
      <c r="B968" t="s">
        <v>10</v>
      </c>
      <c r="C968" s="1">
        <v>40889</v>
      </c>
      <c r="D968" s="2">
        <f t="shared" si="30"/>
        <v>1</v>
      </c>
      <c r="E968" s="2">
        <f t="shared" si="31"/>
        <v>12</v>
      </c>
      <c r="F968">
        <v>9.2568000000000001</v>
      </c>
      <c r="G968">
        <v>9.4042999999999992</v>
      </c>
      <c r="H968">
        <v>9.1829999999999998</v>
      </c>
      <c r="I968">
        <v>9.2568000000000001</v>
      </c>
      <c r="J968">
        <v>11938</v>
      </c>
      <c r="K968">
        <v>0.8</v>
      </c>
      <c r="L968">
        <v>2.4096000000000002</v>
      </c>
    </row>
    <row r="969" spans="1:12" hidden="1" x14ac:dyDescent="0.25">
      <c r="A969">
        <v>2330</v>
      </c>
      <c r="B969" t="s">
        <v>11</v>
      </c>
      <c r="C969" s="1">
        <v>40889</v>
      </c>
      <c r="D969" s="2">
        <f t="shared" si="30"/>
        <v>1</v>
      </c>
      <c r="E969" s="2">
        <f t="shared" si="31"/>
        <v>12</v>
      </c>
      <c r="F969">
        <v>56.663499999999999</v>
      </c>
      <c r="G969">
        <v>56.738900000000001</v>
      </c>
      <c r="H969">
        <v>55.908999999999999</v>
      </c>
      <c r="I969">
        <v>56.588000000000001</v>
      </c>
      <c r="J969">
        <v>28589</v>
      </c>
      <c r="K969">
        <v>1.2073</v>
      </c>
      <c r="L969">
        <v>1.4844999999999999</v>
      </c>
    </row>
    <row r="970" spans="1:12" x14ac:dyDescent="0.25">
      <c r="A970">
        <v>2303</v>
      </c>
      <c r="B970" t="s">
        <v>10</v>
      </c>
      <c r="C970" s="1">
        <v>40890</v>
      </c>
      <c r="D970" s="2">
        <f t="shared" si="30"/>
        <v>2</v>
      </c>
      <c r="E970" s="2">
        <f t="shared" si="31"/>
        <v>12</v>
      </c>
      <c r="F970">
        <v>9.0724</v>
      </c>
      <c r="G970">
        <v>9.1462000000000003</v>
      </c>
      <c r="H970">
        <v>8.9985999999999997</v>
      </c>
      <c r="I970">
        <v>8.9985999999999997</v>
      </c>
      <c r="J970">
        <v>22306</v>
      </c>
      <c r="K970">
        <v>-2.8285</v>
      </c>
      <c r="L970">
        <v>1.6393</v>
      </c>
    </row>
    <row r="971" spans="1:12" hidden="1" x14ac:dyDescent="0.25">
      <c r="A971">
        <v>2330</v>
      </c>
      <c r="B971" t="s">
        <v>11</v>
      </c>
      <c r="C971" s="1">
        <v>40890</v>
      </c>
      <c r="D971" s="2">
        <f t="shared" si="30"/>
        <v>2</v>
      </c>
      <c r="E971" s="2">
        <f t="shared" si="31"/>
        <v>12</v>
      </c>
      <c r="F971">
        <v>55.607199999999999</v>
      </c>
      <c r="G971">
        <v>56.738900000000001</v>
      </c>
      <c r="H971">
        <v>55.607199999999999</v>
      </c>
      <c r="I971">
        <v>56.738900000000001</v>
      </c>
      <c r="J971">
        <v>31354</v>
      </c>
      <c r="K971">
        <v>0.26629999999999998</v>
      </c>
      <c r="L971">
        <v>2.0352999999999999</v>
      </c>
    </row>
    <row r="972" spans="1:12" x14ac:dyDescent="0.25">
      <c r="A972">
        <v>2303</v>
      </c>
      <c r="B972" t="s">
        <v>10</v>
      </c>
      <c r="C972" s="1">
        <v>40891</v>
      </c>
      <c r="D972" s="2">
        <f t="shared" si="30"/>
        <v>3</v>
      </c>
      <c r="E972" s="2">
        <f t="shared" si="31"/>
        <v>12</v>
      </c>
      <c r="F972">
        <v>8.9985999999999997</v>
      </c>
      <c r="G972">
        <v>9.0355000000000008</v>
      </c>
      <c r="H972">
        <v>8.8511000000000006</v>
      </c>
      <c r="I972">
        <v>8.8879999999999999</v>
      </c>
      <c r="J972">
        <v>23391</v>
      </c>
      <c r="K972">
        <v>-1.2371000000000001</v>
      </c>
      <c r="L972">
        <v>2.0832999999999999</v>
      </c>
    </row>
    <row r="973" spans="1:12" hidden="1" x14ac:dyDescent="0.25">
      <c r="A973">
        <v>2330</v>
      </c>
      <c r="B973" t="s">
        <v>11</v>
      </c>
      <c r="C973" s="1">
        <v>40891</v>
      </c>
      <c r="D973" s="2">
        <f t="shared" si="30"/>
        <v>3</v>
      </c>
      <c r="E973" s="2">
        <f t="shared" si="31"/>
        <v>12</v>
      </c>
      <c r="F973">
        <v>56.663499999999999</v>
      </c>
      <c r="G973">
        <v>56.663499999999999</v>
      </c>
      <c r="H973">
        <v>55.758099999999999</v>
      </c>
      <c r="I973">
        <v>56.210799999999999</v>
      </c>
      <c r="J973">
        <v>29240</v>
      </c>
      <c r="K973">
        <v>-0.93520000000000003</v>
      </c>
      <c r="L973">
        <v>1.6237999999999999</v>
      </c>
    </row>
    <row r="974" spans="1:12" x14ac:dyDescent="0.25">
      <c r="A974">
        <v>2303</v>
      </c>
      <c r="B974" t="s">
        <v>10</v>
      </c>
      <c r="C974" s="1">
        <v>40892</v>
      </c>
      <c r="D974" s="2">
        <f t="shared" si="30"/>
        <v>4</v>
      </c>
      <c r="E974" s="2">
        <f t="shared" si="31"/>
        <v>12</v>
      </c>
      <c r="F974">
        <v>8.8141999999999996</v>
      </c>
      <c r="G974">
        <v>8.8141999999999996</v>
      </c>
      <c r="H974">
        <v>8.6667000000000005</v>
      </c>
      <c r="I974">
        <v>8.6667000000000005</v>
      </c>
      <c r="J974">
        <v>34210</v>
      </c>
      <c r="K974">
        <v>-2.5211000000000001</v>
      </c>
      <c r="L974">
        <v>1.7020999999999999</v>
      </c>
    </row>
    <row r="975" spans="1:12" hidden="1" x14ac:dyDescent="0.25">
      <c r="A975">
        <v>2330</v>
      </c>
      <c r="B975" t="s">
        <v>11</v>
      </c>
      <c r="C975" s="1">
        <v>40892</v>
      </c>
      <c r="D975" s="2">
        <f t="shared" si="30"/>
        <v>4</v>
      </c>
      <c r="E975" s="2">
        <f t="shared" si="31"/>
        <v>12</v>
      </c>
      <c r="F975">
        <v>55.908999999999999</v>
      </c>
      <c r="G975">
        <v>55.908999999999999</v>
      </c>
      <c r="H975">
        <v>54.701799999999999</v>
      </c>
      <c r="I975">
        <v>54.701799999999999</v>
      </c>
      <c r="J975">
        <v>36001</v>
      </c>
      <c r="K975">
        <v>-2.7212999999999998</v>
      </c>
      <c r="L975">
        <v>2.2069000000000001</v>
      </c>
    </row>
    <row r="976" spans="1:12" x14ac:dyDescent="0.25">
      <c r="A976">
        <v>2303</v>
      </c>
      <c r="B976" t="s">
        <v>10</v>
      </c>
      <c r="C976" s="1">
        <v>40893</v>
      </c>
      <c r="D976" s="2">
        <f t="shared" si="30"/>
        <v>5</v>
      </c>
      <c r="E976" s="2">
        <f t="shared" si="31"/>
        <v>12</v>
      </c>
      <c r="F976">
        <v>8.6667000000000005</v>
      </c>
      <c r="G976">
        <v>9.0355000000000008</v>
      </c>
      <c r="H976">
        <v>8.6667000000000005</v>
      </c>
      <c r="I976">
        <v>9.0355000000000008</v>
      </c>
      <c r="J976">
        <v>24286</v>
      </c>
      <c r="K976">
        <v>4.1673</v>
      </c>
      <c r="L976">
        <v>4.2553000000000001</v>
      </c>
    </row>
    <row r="977" spans="1:12" hidden="1" x14ac:dyDescent="0.25">
      <c r="A977">
        <v>2330</v>
      </c>
      <c r="B977" t="s">
        <v>11</v>
      </c>
      <c r="C977" s="1">
        <v>40893</v>
      </c>
      <c r="D977" s="2">
        <f t="shared" si="30"/>
        <v>5</v>
      </c>
      <c r="E977" s="2">
        <f t="shared" si="31"/>
        <v>12</v>
      </c>
      <c r="F977">
        <v>54.928100000000001</v>
      </c>
      <c r="G977">
        <v>55.380800000000001</v>
      </c>
      <c r="H977">
        <v>54.701799999999999</v>
      </c>
      <c r="I977">
        <v>54.852699999999999</v>
      </c>
      <c r="J977">
        <v>22604</v>
      </c>
      <c r="K977">
        <v>0.27550000000000002</v>
      </c>
      <c r="L977">
        <v>1.2414000000000001</v>
      </c>
    </row>
    <row r="978" spans="1:12" x14ac:dyDescent="0.25">
      <c r="A978">
        <v>2303</v>
      </c>
      <c r="B978" t="s">
        <v>10</v>
      </c>
      <c r="C978" s="1">
        <v>40896</v>
      </c>
      <c r="D978" s="2">
        <f t="shared" si="30"/>
        <v>1</v>
      </c>
      <c r="E978" s="2">
        <f t="shared" si="31"/>
        <v>12</v>
      </c>
      <c r="F978">
        <v>9.0724</v>
      </c>
      <c r="G978">
        <v>9.1462000000000003</v>
      </c>
      <c r="H978">
        <v>8.7774000000000001</v>
      </c>
      <c r="I978">
        <v>8.9618000000000002</v>
      </c>
      <c r="J978">
        <v>29760</v>
      </c>
      <c r="K978">
        <v>-0.81969999999999998</v>
      </c>
      <c r="L978">
        <v>4.2016999999999998</v>
      </c>
    </row>
    <row r="979" spans="1:12" hidden="1" x14ac:dyDescent="0.25">
      <c r="A979">
        <v>2330</v>
      </c>
      <c r="B979" t="s">
        <v>11</v>
      </c>
      <c r="C979" s="1">
        <v>40896</v>
      </c>
      <c r="D979" s="2">
        <f t="shared" si="30"/>
        <v>1</v>
      </c>
      <c r="E979" s="2">
        <f t="shared" si="31"/>
        <v>12</v>
      </c>
      <c r="F979">
        <v>55.456299999999999</v>
      </c>
      <c r="G979">
        <v>55.456299999999999</v>
      </c>
      <c r="H979">
        <v>54.3245</v>
      </c>
      <c r="I979">
        <v>54.701799999999999</v>
      </c>
      <c r="J979">
        <v>24542</v>
      </c>
      <c r="K979">
        <v>-0.27550000000000002</v>
      </c>
      <c r="L979">
        <v>2.0832999999999999</v>
      </c>
    </row>
    <row r="980" spans="1:12" x14ac:dyDescent="0.25">
      <c r="A980">
        <v>2303</v>
      </c>
      <c r="B980" t="s">
        <v>10</v>
      </c>
      <c r="C980" s="1">
        <v>40897</v>
      </c>
      <c r="D980" s="2">
        <f t="shared" si="30"/>
        <v>2</v>
      </c>
      <c r="E980" s="2">
        <f t="shared" si="31"/>
        <v>12</v>
      </c>
      <c r="F980">
        <v>8.9618000000000002</v>
      </c>
      <c r="G980">
        <v>8.9618000000000002</v>
      </c>
      <c r="H980">
        <v>8.6297999999999995</v>
      </c>
      <c r="I980">
        <v>8.6667000000000005</v>
      </c>
      <c r="J980">
        <v>37777</v>
      </c>
      <c r="K980">
        <v>-3.3475999999999999</v>
      </c>
      <c r="L980">
        <v>3.8462000000000001</v>
      </c>
    </row>
    <row r="981" spans="1:12" hidden="1" x14ac:dyDescent="0.25">
      <c r="A981">
        <v>2330</v>
      </c>
      <c r="B981" t="s">
        <v>11</v>
      </c>
      <c r="C981" s="1">
        <v>40897</v>
      </c>
      <c r="D981" s="2">
        <f t="shared" si="30"/>
        <v>2</v>
      </c>
      <c r="E981" s="2">
        <f t="shared" si="31"/>
        <v>12</v>
      </c>
      <c r="F981">
        <v>55.003599999999999</v>
      </c>
      <c r="G981">
        <v>55.003599999999999</v>
      </c>
      <c r="H981">
        <v>54.3245</v>
      </c>
      <c r="I981">
        <v>54.928100000000001</v>
      </c>
      <c r="J981">
        <v>27359</v>
      </c>
      <c r="K981">
        <v>0.41289999999999999</v>
      </c>
      <c r="L981">
        <v>1.25</v>
      </c>
    </row>
    <row r="982" spans="1:12" x14ac:dyDescent="0.25">
      <c r="A982">
        <v>2303</v>
      </c>
      <c r="B982" t="s">
        <v>10</v>
      </c>
      <c r="C982" s="1">
        <v>40898</v>
      </c>
      <c r="D982" s="2">
        <f t="shared" si="30"/>
        <v>3</v>
      </c>
      <c r="E982" s="2">
        <f t="shared" si="31"/>
        <v>12</v>
      </c>
      <c r="F982">
        <v>8.9985999999999997</v>
      </c>
      <c r="G982">
        <v>9.1829999999999998</v>
      </c>
      <c r="H982">
        <v>8.9248999999999992</v>
      </c>
      <c r="I982">
        <v>9.1829999999999998</v>
      </c>
      <c r="J982">
        <v>30424</v>
      </c>
      <c r="K982">
        <v>5.7866999999999997</v>
      </c>
      <c r="L982">
        <v>2.8925999999999998</v>
      </c>
    </row>
    <row r="983" spans="1:12" hidden="1" x14ac:dyDescent="0.25">
      <c r="A983">
        <v>2330</v>
      </c>
      <c r="B983" t="s">
        <v>11</v>
      </c>
      <c r="C983" s="1">
        <v>40898</v>
      </c>
      <c r="D983" s="2">
        <f t="shared" si="30"/>
        <v>3</v>
      </c>
      <c r="E983" s="2">
        <f t="shared" si="31"/>
        <v>12</v>
      </c>
      <c r="F983">
        <v>56.512599999999999</v>
      </c>
      <c r="G983">
        <v>57.342500000000001</v>
      </c>
      <c r="H983">
        <v>55.908999999999999</v>
      </c>
      <c r="I983">
        <v>57.342500000000001</v>
      </c>
      <c r="J983">
        <v>54091</v>
      </c>
      <c r="K983">
        <v>4.3017000000000003</v>
      </c>
      <c r="L983">
        <v>2.5640999999999998</v>
      </c>
    </row>
    <row r="984" spans="1:12" x14ac:dyDescent="0.25">
      <c r="A984">
        <v>2303</v>
      </c>
      <c r="B984" t="s">
        <v>10</v>
      </c>
      <c r="C984" s="1">
        <v>40899</v>
      </c>
      <c r="D984" s="2">
        <f t="shared" si="30"/>
        <v>4</v>
      </c>
      <c r="E984" s="2">
        <f t="shared" si="31"/>
        <v>12</v>
      </c>
      <c r="F984">
        <v>9.1092999999999993</v>
      </c>
      <c r="G984">
        <v>9.2199000000000009</v>
      </c>
      <c r="H984">
        <v>9.0355000000000008</v>
      </c>
      <c r="I984">
        <v>9.1092999999999993</v>
      </c>
      <c r="J984">
        <v>15370</v>
      </c>
      <c r="K984">
        <v>-0.80649999999999999</v>
      </c>
      <c r="L984">
        <v>2.0407999999999999</v>
      </c>
    </row>
    <row r="985" spans="1:12" hidden="1" x14ac:dyDescent="0.25">
      <c r="A985">
        <v>2330</v>
      </c>
      <c r="B985" t="s">
        <v>11</v>
      </c>
      <c r="C985" s="1">
        <v>40899</v>
      </c>
      <c r="D985" s="2">
        <f t="shared" si="30"/>
        <v>4</v>
      </c>
      <c r="E985" s="2">
        <f t="shared" si="31"/>
        <v>12</v>
      </c>
      <c r="F985">
        <v>56.814399999999999</v>
      </c>
      <c r="G985">
        <v>56.965299999999999</v>
      </c>
      <c r="H985">
        <v>56.135300000000001</v>
      </c>
      <c r="I985">
        <v>56.588000000000001</v>
      </c>
      <c r="J985">
        <v>26771</v>
      </c>
      <c r="K985">
        <v>-1.3245</v>
      </c>
      <c r="L985">
        <v>1.4784999999999999</v>
      </c>
    </row>
    <row r="986" spans="1:12" x14ac:dyDescent="0.25">
      <c r="A986">
        <v>2303</v>
      </c>
      <c r="B986" t="s">
        <v>10</v>
      </c>
      <c r="C986" s="1">
        <v>40900</v>
      </c>
      <c r="D986" s="2">
        <f t="shared" si="30"/>
        <v>5</v>
      </c>
      <c r="E986" s="2">
        <f t="shared" si="31"/>
        <v>12</v>
      </c>
      <c r="F986">
        <v>9.2199000000000009</v>
      </c>
      <c r="G986">
        <v>9.3673999999999999</v>
      </c>
      <c r="H986">
        <v>9.1829999999999998</v>
      </c>
      <c r="I986">
        <v>9.3673999999999999</v>
      </c>
      <c r="J986">
        <v>17075</v>
      </c>
      <c r="K986">
        <v>2.7946</v>
      </c>
      <c r="L986">
        <v>2.008</v>
      </c>
    </row>
    <row r="987" spans="1:12" hidden="1" x14ac:dyDescent="0.25">
      <c r="A987">
        <v>2330</v>
      </c>
      <c r="B987" t="s">
        <v>11</v>
      </c>
      <c r="C987" s="1">
        <v>40900</v>
      </c>
      <c r="D987" s="2">
        <f t="shared" si="30"/>
        <v>5</v>
      </c>
      <c r="E987" s="2">
        <f t="shared" si="31"/>
        <v>12</v>
      </c>
      <c r="F987">
        <v>57.191600000000001</v>
      </c>
      <c r="G987">
        <v>57.191600000000001</v>
      </c>
      <c r="H987">
        <v>56.286200000000001</v>
      </c>
      <c r="I987">
        <v>56.889800000000001</v>
      </c>
      <c r="J987">
        <v>30276</v>
      </c>
      <c r="K987">
        <v>0.53190000000000004</v>
      </c>
      <c r="L987">
        <v>1.6086</v>
      </c>
    </row>
    <row r="988" spans="1:12" x14ac:dyDescent="0.25">
      <c r="A988">
        <v>2303</v>
      </c>
      <c r="B988" t="s">
        <v>10</v>
      </c>
      <c r="C988" s="1">
        <v>40903</v>
      </c>
      <c r="D988" s="2">
        <f t="shared" si="30"/>
        <v>1</v>
      </c>
      <c r="E988" s="2">
        <f t="shared" si="31"/>
        <v>12</v>
      </c>
      <c r="F988">
        <v>9.3673999999999999</v>
      </c>
      <c r="G988">
        <v>9.4412000000000003</v>
      </c>
      <c r="H988">
        <v>9.2199000000000009</v>
      </c>
      <c r="I988">
        <v>9.2199000000000009</v>
      </c>
      <c r="J988">
        <v>17182</v>
      </c>
      <c r="K988">
        <v>-1.5872999999999999</v>
      </c>
      <c r="L988">
        <v>2.4</v>
      </c>
    </row>
    <row r="989" spans="1:12" hidden="1" x14ac:dyDescent="0.25">
      <c r="A989">
        <v>2330</v>
      </c>
      <c r="B989" t="s">
        <v>11</v>
      </c>
      <c r="C989" s="1">
        <v>40903</v>
      </c>
      <c r="D989" s="2">
        <f t="shared" si="30"/>
        <v>1</v>
      </c>
      <c r="E989" s="2">
        <f t="shared" si="31"/>
        <v>12</v>
      </c>
      <c r="F989">
        <v>56.889800000000001</v>
      </c>
      <c r="G989">
        <v>56.965299999999999</v>
      </c>
      <c r="H989">
        <v>56.361699999999999</v>
      </c>
      <c r="I989">
        <v>56.588000000000001</v>
      </c>
      <c r="J989">
        <v>11335</v>
      </c>
      <c r="K989">
        <v>-0.53190000000000004</v>
      </c>
      <c r="L989">
        <v>1.071</v>
      </c>
    </row>
    <row r="990" spans="1:12" x14ac:dyDescent="0.25">
      <c r="A990">
        <v>2303</v>
      </c>
      <c r="B990" t="s">
        <v>10</v>
      </c>
      <c r="C990" s="1">
        <v>40904</v>
      </c>
      <c r="D990" s="2">
        <f t="shared" si="30"/>
        <v>2</v>
      </c>
      <c r="E990" s="2">
        <f t="shared" si="31"/>
        <v>12</v>
      </c>
      <c r="F990">
        <v>9.2199000000000009</v>
      </c>
      <c r="G990">
        <v>9.3306000000000004</v>
      </c>
      <c r="H990">
        <v>9.2199000000000009</v>
      </c>
      <c r="I990">
        <v>9.2936999999999994</v>
      </c>
      <c r="J990">
        <v>11106</v>
      </c>
      <c r="K990">
        <v>0.79679999999999995</v>
      </c>
      <c r="L990">
        <v>1.2</v>
      </c>
    </row>
    <row r="991" spans="1:12" hidden="1" x14ac:dyDescent="0.25">
      <c r="A991">
        <v>2330</v>
      </c>
      <c r="B991" t="s">
        <v>11</v>
      </c>
      <c r="C991" s="1">
        <v>40904</v>
      </c>
      <c r="D991" s="2">
        <f t="shared" si="30"/>
        <v>2</v>
      </c>
      <c r="E991" s="2">
        <f t="shared" si="31"/>
        <v>12</v>
      </c>
      <c r="F991">
        <v>56.437100000000001</v>
      </c>
      <c r="G991">
        <v>56.965299999999999</v>
      </c>
      <c r="H991">
        <v>56.361699999999999</v>
      </c>
      <c r="I991">
        <v>56.965299999999999</v>
      </c>
      <c r="J991">
        <v>14641</v>
      </c>
      <c r="K991">
        <v>0.66449999999999998</v>
      </c>
      <c r="L991">
        <v>1.071</v>
      </c>
    </row>
    <row r="992" spans="1:12" x14ac:dyDescent="0.25">
      <c r="A992">
        <v>2303</v>
      </c>
      <c r="B992" t="s">
        <v>10</v>
      </c>
      <c r="C992" s="1">
        <v>40905</v>
      </c>
      <c r="D992" s="2">
        <f t="shared" si="30"/>
        <v>3</v>
      </c>
      <c r="E992" s="2">
        <f t="shared" si="31"/>
        <v>12</v>
      </c>
      <c r="F992">
        <v>9.2936999999999994</v>
      </c>
      <c r="G992">
        <v>9.3306000000000004</v>
      </c>
      <c r="H992">
        <v>9.1829999999999998</v>
      </c>
      <c r="I992">
        <v>9.3306000000000004</v>
      </c>
      <c r="J992">
        <v>18368</v>
      </c>
      <c r="K992">
        <v>0.39600000000000002</v>
      </c>
      <c r="L992">
        <v>1.6064000000000001</v>
      </c>
    </row>
    <row r="993" spans="1:12" hidden="1" x14ac:dyDescent="0.25">
      <c r="A993">
        <v>2330</v>
      </c>
      <c r="B993" t="s">
        <v>11</v>
      </c>
      <c r="C993" s="1">
        <v>40905</v>
      </c>
      <c r="D993" s="2">
        <f t="shared" si="30"/>
        <v>3</v>
      </c>
      <c r="E993" s="2">
        <f t="shared" si="31"/>
        <v>12</v>
      </c>
      <c r="F993">
        <v>56.814399999999999</v>
      </c>
      <c r="G993">
        <v>57.116199999999999</v>
      </c>
      <c r="H993">
        <v>56.512599999999999</v>
      </c>
      <c r="I993">
        <v>57.116199999999999</v>
      </c>
      <c r="J993">
        <v>20046</v>
      </c>
      <c r="K993">
        <v>0.2646</v>
      </c>
      <c r="L993">
        <v>1.0681</v>
      </c>
    </row>
    <row r="994" spans="1:12" x14ac:dyDescent="0.25">
      <c r="A994">
        <v>2303</v>
      </c>
      <c r="B994" t="s">
        <v>10</v>
      </c>
      <c r="C994" s="1">
        <v>40906</v>
      </c>
      <c r="D994" s="2">
        <f t="shared" si="30"/>
        <v>4</v>
      </c>
      <c r="E994" s="2">
        <f t="shared" si="31"/>
        <v>12</v>
      </c>
      <c r="F994">
        <v>9.2568000000000001</v>
      </c>
      <c r="G994">
        <v>9.4042999999999992</v>
      </c>
      <c r="H994">
        <v>9.2199000000000009</v>
      </c>
      <c r="I994">
        <v>9.3673999999999999</v>
      </c>
      <c r="J994">
        <v>14802</v>
      </c>
      <c r="K994">
        <v>0.39450000000000002</v>
      </c>
      <c r="L994">
        <v>2</v>
      </c>
    </row>
    <row r="995" spans="1:12" hidden="1" x14ac:dyDescent="0.25">
      <c r="A995">
        <v>2330</v>
      </c>
      <c r="B995" t="s">
        <v>11</v>
      </c>
      <c r="C995" s="1">
        <v>40906</v>
      </c>
      <c r="D995" s="2">
        <f t="shared" si="30"/>
        <v>4</v>
      </c>
      <c r="E995" s="2">
        <f t="shared" si="31"/>
        <v>12</v>
      </c>
      <c r="F995">
        <v>56.889800000000001</v>
      </c>
      <c r="G995">
        <v>57.267099999999999</v>
      </c>
      <c r="H995">
        <v>56.738900000000001</v>
      </c>
      <c r="I995">
        <v>57.191600000000001</v>
      </c>
      <c r="J995">
        <v>24790</v>
      </c>
      <c r="K995">
        <v>0.13200000000000001</v>
      </c>
      <c r="L995">
        <v>0.93089999999999995</v>
      </c>
    </row>
    <row r="996" spans="1:12" x14ac:dyDescent="0.25">
      <c r="A996">
        <v>2303</v>
      </c>
      <c r="B996" t="s">
        <v>10</v>
      </c>
      <c r="C996" s="1">
        <v>40907</v>
      </c>
      <c r="D996" s="2">
        <f t="shared" si="30"/>
        <v>5</v>
      </c>
      <c r="E996" s="2">
        <f t="shared" si="31"/>
        <v>12</v>
      </c>
      <c r="F996">
        <v>9.4042999999999992</v>
      </c>
      <c r="G996">
        <v>9.4780999999999995</v>
      </c>
      <c r="H996">
        <v>9.3673999999999999</v>
      </c>
      <c r="I996">
        <v>9.3673999999999999</v>
      </c>
      <c r="J996">
        <v>13286</v>
      </c>
      <c r="K996">
        <v>0</v>
      </c>
      <c r="L996">
        <v>1.1811</v>
      </c>
    </row>
    <row r="997" spans="1:12" hidden="1" x14ac:dyDescent="0.25">
      <c r="A997">
        <v>2330</v>
      </c>
      <c r="B997" t="s">
        <v>11</v>
      </c>
      <c r="C997" s="1">
        <v>40907</v>
      </c>
      <c r="D997" s="2">
        <f t="shared" si="30"/>
        <v>5</v>
      </c>
      <c r="E997" s="2">
        <f t="shared" si="31"/>
        <v>12</v>
      </c>
      <c r="F997">
        <v>57.116199999999999</v>
      </c>
      <c r="G997">
        <v>57.267099999999999</v>
      </c>
      <c r="H997">
        <v>56.512599999999999</v>
      </c>
      <c r="I997">
        <v>57.191600000000001</v>
      </c>
      <c r="J997">
        <v>32283</v>
      </c>
      <c r="K997">
        <v>0</v>
      </c>
      <c r="L997">
        <v>1.3351</v>
      </c>
    </row>
    <row r="998" spans="1:12" x14ac:dyDescent="0.25">
      <c r="A998">
        <v>2303</v>
      </c>
      <c r="B998" t="s">
        <v>10</v>
      </c>
      <c r="C998" s="1">
        <v>40910</v>
      </c>
      <c r="D998" s="2">
        <f t="shared" si="30"/>
        <v>1</v>
      </c>
      <c r="E998" s="2">
        <f t="shared" si="31"/>
        <v>1</v>
      </c>
      <c r="F998">
        <v>9.3673999999999999</v>
      </c>
      <c r="G998">
        <v>9.4042999999999992</v>
      </c>
      <c r="H998">
        <v>9.2199000000000009</v>
      </c>
      <c r="I998">
        <v>9.2936999999999994</v>
      </c>
      <c r="J998">
        <v>8472</v>
      </c>
      <c r="K998">
        <v>-0.79049999999999998</v>
      </c>
      <c r="L998">
        <v>2</v>
      </c>
    </row>
    <row r="999" spans="1:12" hidden="1" x14ac:dyDescent="0.25">
      <c r="A999">
        <v>2330</v>
      </c>
      <c r="B999" t="s">
        <v>11</v>
      </c>
      <c r="C999" s="1">
        <v>40910</v>
      </c>
      <c r="D999" s="2">
        <f t="shared" si="30"/>
        <v>1</v>
      </c>
      <c r="E999" s="2">
        <f t="shared" si="31"/>
        <v>1</v>
      </c>
      <c r="F999">
        <v>56.588000000000001</v>
      </c>
      <c r="G999">
        <v>56.889800000000001</v>
      </c>
      <c r="H999">
        <v>56.361699999999999</v>
      </c>
      <c r="I999">
        <v>56.588000000000001</v>
      </c>
      <c r="J999">
        <v>14945</v>
      </c>
      <c r="K999">
        <v>-1.0609999999999999</v>
      </c>
      <c r="L999">
        <v>0.93710000000000004</v>
      </c>
    </row>
    <row r="1000" spans="1:12" x14ac:dyDescent="0.25">
      <c r="A1000">
        <v>2303</v>
      </c>
      <c r="B1000" t="s">
        <v>10</v>
      </c>
      <c r="C1000" s="1">
        <v>40911</v>
      </c>
      <c r="D1000" s="2">
        <f t="shared" si="30"/>
        <v>2</v>
      </c>
      <c r="E1000" s="2">
        <f t="shared" si="31"/>
        <v>1</v>
      </c>
      <c r="F1000">
        <v>9.4412000000000003</v>
      </c>
      <c r="G1000">
        <v>9.5518000000000001</v>
      </c>
      <c r="H1000">
        <v>9.4412000000000003</v>
      </c>
      <c r="I1000">
        <v>9.4780999999999995</v>
      </c>
      <c r="J1000">
        <v>20155</v>
      </c>
      <c r="K1000">
        <v>1.9646999999999999</v>
      </c>
      <c r="L1000">
        <v>1.1718999999999999</v>
      </c>
    </row>
    <row r="1001" spans="1:12" hidden="1" x14ac:dyDescent="0.25">
      <c r="A1001">
        <v>2330</v>
      </c>
      <c r="B1001" t="s">
        <v>11</v>
      </c>
      <c r="C1001" s="1">
        <v>40911</v>
      </c>
      <c r="D1001" s="2">
        <f t="shared" si="30"/>
        <v>2</v>
      </c>
      <c r="E1001" s="2">
        <f t="shared" si="31"/>
        <v>1</v>
      </c>
      <c r="F1001">
        <v>56.965299999999999</v>
      </c>
      <c r="G1001">
        <v>57.267099999999999</v>
      </c>
      <c r="H1001">
        <v>56.738900000000001</v>
      </c>
      <c r="I1001">
        <v>57.116199999999999</v>
      </c>
      <c r="J1001">
        <v>21223</v>
      </c>
      <c r="K1001">
        <v>0.92900000000000005</v>
      </c>
      <c r="L1001">
        <v>0.93089999999999995</v>
      </c>
    </row>
    <row r="1002" spans="1:12" x14ac:dyDescent="0.25">
      <c r="A1002">
        <v>2303</v>
      </c>
      <c r="B1002" t="s">
        <v>10</v>
      </c>
      <c r="C1002" s="1">
        <v>40912</v>
      </c>
      <c r="D1002" s="2">
        <f t="shared" si="30"/>
        <v>3</v>
      </c>
      <c r="E1002" s="2">
        <f t="shared" si="31"/>
        <v>1</v>
      </c>
      <c r="F1002">
        <v>9.5518000000000001</v>
      </c>
      <c r="G1002">
        <v>9.6624999999999996</v>
      </c>
      <c r="H1002">
        <v>9.5150000000000006</v>
      </c>
      <c r="I1002">
        <v>9.5886999999999993</v>
      </c>
      <c r="J1002">
        <v>31879</v>
      </c>
      <c r="K1002">
        <v>1.1606000000000001</v>
      </c>
      <c r="L1002">
        <v>1.5504</v>
      </c>
    </row>
    <row r="1003" spans="1:12" hidden="1" x14ac:dyDescent="0.25">
      <c r="A1003">
        <v>2330</v>
      </c>
      <c r="B1003" t="s">
        <v>11</v>
      </c>
      <c r="C1003" s="1">
        <v>40912</v>
      </c>
      <c r="D1003" s="2">
        <f t="shared" si="30"/>
        <v>3</v>
      </c>
      <c r="E1003" s="2">
        <f t="shared" si="31"/>
        <v>1</v>
      </c>
      <c r="F1003">
        <v>57.417999999999999</v>
      </c>
      <c r="G1003">
        <v>57.417999999999999</v>
      </c>
      <c r="H1003">
        <v>56.965299999999999</v>
      </c>
      <c r="I1003">
        <v>57.191600000000001</v>
      </c>
      <c r="J1003">
        <v>34126</v>
      </c>
      <c r="K1003">
        <v>0.13200000000000001</v>
      </c>
      <c r="L1003">
        <v>0.79469999999999996</v>
      </c>
    </row>
    <row r="1004" spans="1:12" x14ac:dyDescent="0.25">
      <c r="A1004">
        <v>2303</v>
      </c>
      <c r="B1004" t="s">
        <v>10</v>
      </c>
      <c r="C1004" s="1">
        <v>40913</v>
      </c>
      <c r="D1004" s="2">
        <f t="shared" si="30"/>
        <v>4</v>
      </c>
      <c r="E1004" s="2">
        <f t="shared" si="31"/>
        <v>1</v>
      </c>
      <c r="F1004">
        <v>9.5886999999999993</v>
      </c>
      <c r="G1004">
        <v>9.6994000000000007</v>
      </c>
      <c r="H1004">
        <v>9.5518000000000001</v>
      </c>
      <c r="I1004">
        <v>9.6994000000000007</v>
      </c>
      <c r="J1004">
        <v>25185</v>
      </c>
      <c r="K1004">
        <v>1.1472</v>
      </c>
      <c r="L1004">
        <v>1.5444</v>
      </c>
    </row>
    <row r="1005" spans="1:12" hidden="1" x14ac:dyDescent="0.25">
      <c r="A1005">
        <v>2330</v>
      </c>
      <c r="B1005" t="s">
        <v>11</v>
      </c>
      <c r="C1005" s="1">
        <v>40913</v>
      </c>
      <c r="D1005" s="2">
        <f t="shared" si="30"/>
        <v>4</v>
      </c>
      <c r="E1005" s="2">
        <f t="shared" si="31"/>
        <v>1</v>
      </c>
      <c r="F1005">
        <v>57.342500000000001</v>
      </c>
      <c r="G1005">
        <v>57.342500000000001</v>
      </c>
      <c r="H1005">
        <v>56.814399999999999</v>
      </c>
      <c r="I1005">
        <v>57.342500000000001</v>
      </c>
      <c r="J1005">
        <v>28076</v>
      </c>
      <c r="K1005">
        <v>0.26350000000000001</v>
      </c>
      <c r="L1005">
        <v>0.92959999999999998</v>
      </c>
    </row>
    <row r="1006" spans="1:12" x14ac:dyDescent="0.25">
      <c r="A1006">
        <v>2303</v>
      </c>
      <c r="B1006" t="s">
        <v>10</v>
      </c>
      <c r="C1006" s="1">
        <v>40914</v>
      </c>
      <c r="D1006" s="2">
        <f t="shared" si="30"/>
        <v>5</v>
      </c>
      <c r="E1006" s="2">
        <f t="shared" si="31"/>
        <v>1</v>
      </c>
      <c r="F1006">
        <v>9.6624999999999996</v>
      </c>
      <c r="G1006">
        <v>9.6624999999999996</v>
      </c>
      <c r="H1006">
        <v>9.5150000000000006</v>
      </c>
      <c r="I1006">
        <v>9.5886999999999993</v>
      </c>
      <c r="J1006">
        <v>23950</v>
      </c>
      <c r="K1006">
        <v>-1.1472</v>
      </c>
      <c r="L1006">
        <v>1.5504</v>
      </c>
    </row>
    <row r="1007" spans="1:12" hidden="1" x14ac:dyDescent="0.25">
      <c r="A1007">
        <v>2330</v>
      </c>
      <c r="B1007" t="s">
        <v>11</v>
      </c>
      <c r="C1007" s="1">
        <v>40914</v>
      </c>
      <c r="D1007" s="2">
        <f t="shared" si="30"/>
        <v>5</v>
      </c>
      <c r="E1007" s="2">
        <f t="shared" si="31"/>
        <v>1</v>
      </c>
      <c r="F1007">
        <v>57.267099999999999</v>
      </c>
      <c r="G1007">
        <v>57.267099999999999</v>
      </c>
      <c r="H1007">
        <v>56.512599999999999</v>
      </c>
      <c r="I1007">
        <v>57.040700000000001</v>
      </c>
      <c r="J1007">
        <v>30123</v>
      </c>
      <c r="K1007">
        <v>-0.52769999999999995</v>
      </c>
      <c r="L1007">
        <v>1.3351</v>
      </c>
    </row>
    <row r="1008" spans="1:12" x14ac:dyDescent="0.25">
      <c r="A1008">
        <v>2303</v>
      </c>
      <c r="B1008" t="s">
        <v>10</v>
      </c>
      <c r="C1008" s="1">
        <v>40917</v>
      </c>
      <c r="D1008" s="2">
        <f t="shared" si="30"/>
        <v>1</v>
      </c>
      <c r="E1008" s="2">
        <f t="shared" si="31"/>
        <v>1</v>
      </c>
      <c r="F1008">
        <v>9.5886999999999993</v>
      </c>
      <c r="G1008">
        <v>9.5886999999999993</v>
      </c>
      <c r="H1008">
        <v>9.4412000000000003</v>
      </c>
      <c r="I1008">
        <v>9.5150000000000006</v>
      </c>
      <c r="J1008">
        <v>15097</v>
      </c>
      <c r="K1008">
        <v>-0.7722</v>
      </c>
      <c r="L1008">
        <v>1.5625</v>
      </c>
    </row>
    <row r="1009" spans="1:12" hidden="1" x14ac:dyDescent="0.25">
      <c r="A1009">
        <v>2330</v>
      </c>
      <c r="B1009" t="s">
        <v>11</v>
      </c>
      <c r="C1009" s="1">
        <v>40917</v>
      </c>
      <c r="D1009" s="2">
        <f t="shared" si="30"/>
        <v>1</v>
      </c>
      <c r="E1009" s="2">
        <f t="shared" si="31"/>
        <v>1</v>
      </c>
      <c r="F1009">
        <v>56.738900000000001</v>
      </c>
      <c r="G1009">
        <v>57.040700000000001</v>
      </c>
      <c r="H1009">
        <v>56.286200000000001</v>
      </c>
      <c r="I1009">
        <v>57.040700000000001</v>
      </c>
      <c r="J1009">
        <v>27655</v>
      </c>
      <c r="K1009">
        <v>0</v>
      </c>
      <c r="L1009">
        <v>1.3405</v>
      </c>
    </row>
    <row r="1010" spans="1:12" x14ac:dyDescent="0.25">
      <c r="A1010">
        <v>2303</v>
      </c>
      <c r="B1010" t="s">
        <v>10</v>
      </c>
      <c r="C1010" s="1">
        <v>40918</v>
      </c>
      <c r="D1010" s="2">
        <f t="shared" si="30"/>
        <v>2</v>
      </c>
      <c r="E1010" s="2">
        <f t="shared" si="31"/>
        <v>1</v>
      </c>
      <c r="F1010">
        <v>9.5150000000000006</v>
      </c>
      <c r="G1010">
        <v>9.8468999999999998</v>
      </c>
      <c r="H1010">
        <v>9.5150000000000006</v>
      </c>
      <c r="I1010">
        <v>9.81</v>
      </c>
      <c r="J1010">
        <v>52906</v>
      </c>
      <c r="K1010">
        <v>3.0537000000000001</v>
      </c>
      <c r="L1010">
        <v>3.4883999999999999</v>
      </c>
    </row>
    <row r="1011" spans="1:12" hidden="1" x14ac:dyDescent="0.25">
      <c r="A1011">
        <v>2330</v>
      </c>
      <c r="B1011" t="s">
        <v>11</v>
      </c>
      <c r="C1011" s="1">
        <v>40918</v>
      </c>
      <c r="D1011" s="2">
        <f t="shared" si="30"/>
        <v>2</v>
      </c>
      <c r="E1011" s="2">
        <f t="shared" si="31"/>
        <v>1</v>
      </c>
      <c r="F1011">
        <v>57.342500000000001</v>
      </c>
      <c r="G1011">
        <v>57.719799999999999</v>
      </c>
      <c r="H1011">
        <v>57.191600000000001</v>
      </c>
      <c r="I1011">
        <v>57.719799999999999</v>
      </c>
      <c r="J1011">
        <v>62064</v>
      </c>
      <c r="K1011">
        <v>1.1834</v>
      </c>
      <c r="L1011">
        <v>0.92349999999999999</v>
      </c>
    </row>
    <row r="1012" spans="1:12" x14ac:dyDescent="0.25">
      <c r="A1012">
        <v>2303</v>
      </c>
      <c r="B1012" t="s">
        <v>10</v>
      </c>
      <c r="C1012" s="1">
        <v>40919</v>
      </c>
      <c r="D1012" s="2">
        <f t="shared" si="30"/>
        <v>3</v>
      </c>
      <c r="E1012" s="2">
        <f t="shared" si="31"/>
        <v>1</v>
      </c>
      <c r="F1012">
        <v>9.9206000000000003</v>
      </c>
      <c r="G1012">
        <v>9.9206000000000003</v>
      </c>
      <c r="H1012">
        <v>9.6994000000000007</v>
      </c>
      <c r="I1012">
        <v>9.9206000000000003</v>
      </c>
      <c r="J1012">
        <v>56347</v>
      </c>
      <c r="K1012">
        <v>1.1214999999999999</v>
      </c>
      <c r="L1012">
        <v>2.2814000000000001</v>
      </c>
    </row>
    <row r="1013" spans="1:12" hidden="1" x14ac:dyDescent="0.25">
      <c r="A1013">
        <v>2330</v>
      </c>
      <c r="B1013" t="s">
        <v>11</v>
      </c>
      <c r="C1013" s="1">
        <v>40919</v>
      </c>
      <c r="D1013" s="2">
        <f t="shared" si="30"/>
        <v>3</v>
      </c>
      <c r="E1013" s="2">
        <f t="shared" si="31"/>
        <v>1</v>
      </c>
      <c r="F1013">
        <v>57.946100000000001</v>
      </c>
      <c r="G1013">
        <v>58.097000000000001</v>
      </c>
      <c r="H1013">
        <v>57.417999999999999</v>
      </c>
      <c r="I1013">
        <v>57.719799999999999</v>
      </c>
      <c r="J1013">
        <v>44295</v>
      </c>
      <c r="K1013">
        <v>0</v>
      </c>
      <c r="L1013">
        <v>1.1827000000000001</v>
      </c>
    </row>
    <row r="1014" spans="1:12" x14ac:dyDescent="0.25">
      <c r="A1014">
        <v>2303</v>
      </c>
      <c r="B1014" t="s">
        <v>10</v>
      </c>
      <c r="C1014" s="1">
        <v>40920</v>
      </c>
      <c r="D1014" s="2">
        <f t="shared" si="30"/>
        <v>4</v>
      </c>
      <c r="E1014" s="2">
        <f t="shared" si="31"/>
        <v>1</v>
      </c>
      <c r="F1014">
        <v>9.9206000000000003</v>
      </c>
      <c r="G1014">
        <v>10.2157</v>
      </c>
      <c r="H1014">
        <v>9.9206000000000003</v>
      </c>
      <c r="I1014">
        <v>10.2157</v>
      </c>
      <c r="J1014">
        <v>87826</v>
      </c>
      <c r="K1014">
        <v>2.9306000000000001</v>
      </c>
      <c r="L1014">
        <v>2.9740000000000002</v>
      </c>
    </row>
    <row r="1015" spans="1:12" hidden="1" x14ac:dyDescent="0.25">
      <c r="A1015">
        <v>2330</v>
      </c>
      <c r="B1015" t="s">
        <v>11</v>
      </c>
      <c r="C1015" s="1">
        <v>40920</v>
      </c>
      <c r="D1015" s="2">
        <f t="shared" si="30"/>
        <v>4</v>
      </c>
      <c r="E1015" s="2">
        <f t="shared" si="31"/>
        <v>1</v>
      </c>
      <c r="F1015">
        <v>57.870699999999999</v>
      </c>
      <c r="G1015">
        <v>58.172499999999999</v>
      </c>
      <c r="H1015">
        <v>57.719799999999999</v>
      </c>
      <c r="I1015">
        <v>58.097000000000001</v>
      </c>
      <c r="J1015">
        <v>55520</v>
      </c>
      <c r="K1015">
        <v>0.65149999999999997</v>
      </c>
      <c r="L1015">
        <v>0.7843</v>
      </c>
    </row>
    <row r="1016" spans="1:12" x14ac:dyDescent="0.25">
      <c r="A1016">
        <v>2303</v>
      </c>
      <c r="B1016" t="s">
        <v>10</v>
      </c>
      <c r="C1016" s="1">
        <v>40921</v>
      </c>
      <c r="D1016" s="2">
        <f t="shared" si="30"/>
        <v>5</v>
      </c>
      <c r="E1016" s="2">
        <f t="shared" si="31"/>
        <v>1</v>
      </c>
      <c r="F1016">
        <v>10.289400000000001</v>
      </c>
      <c r="G1016">
        <v>10.363200000000001</v>
      </c>
      <c r="H1016">
        <v>10.1419</v>
      </c>
      <c r="I1016">
        <v>10.2157</v>
      </c>
      <c r="J1016">
        <v>82159</v>
      </c>
      <c r="K1016">
        <v>0</v>
      </c>
      <c r="L1016">
        <v>2.1818</v>
      </c>
    </row>
    <row r="1017" spans="1:12" hidden="1" x14ac:dyDescent="0.25">
      <c r="A1017">
        <v>2330</v>
      </c>
      <c r="B1017" t="s">
        <v>11</v>
      </c>
      <c r="C1017" s="1">
        <v>40921</v>
      </c>
      <c r="D1017" s="2">
        <f t="shared" si="30"/>
        <v>5</v>
      </c>
      <c r="E1017" s="2">
        <f t="shared" si="31"/>
        <v>1</v>
      </c>
      <c r="F1017">
        <v>58.247900000000001</v>
      </c>
      <c r="G1017">
        <v>58.851500000000001</v>
      </c>
      <c r="H1017">
        <v>58.097000000000001</v>
      </c>
      <c r="I1017">
        <v>58.474299999999999</v>
      </c>
      <c r="J1017">
        <v>57757</v>
      </c>
      <c r="K1017">
        <v>0.64729999999999999</v>
      </c>
      <c r="L1017">
        <v>1.2987</v>
      </c>
    </row>
    <row r="1018" spans="1:12" x14ac:dyDescent="0.25">
      <c r="A1018">
        <v>2303</v>
      </c>
      <c r="B1018" t="s">
        <v>10</v>
      </c>
      <c r="C1018" s="1">
        <v>40924</v>
      </c>
      <c r="D1018" s="2">
        <f t="shared" si="30"/>
        <v>1</v>
      </c>
      <c r="E1018" s="2">
        <f t="shared" si="31"/>
        <v>1</v>
      </c>
      <c r="F1018">
        <v>10.3263</v>
      </c>
      <c r="G1018">
        <v>10.3263</v>
      </c>
      <c r="H1018">
        <v>9.9206000000000003</v>
      </c>
      <c r="I1018">
        <v>9.9206000000000003</v>
      </c>
      <c r="J1018">
        <v>41844</v>
      </c>
      <c r="K1018">
        <v>-2.9306000000000001</v>
      </c>
      <c r="L1018">
        <v>4.0891999999999999</v>
      </c>
    </row>
    <row r="1019" spans="1:12" hidden="1" x14ac:dyDescent="0.25">
      <c r="A1019">
        <v>2330</v>
      </c>
      <c r="B1019" t="s">
        <v>11</v>
      </c>
      <c r="C1019" s="1">
        <v>40924</v>
      </c>
      <c r="D1019" s="2">
        <f t="shared" si="30"/>
        <v>1</v>
      </c>
      <c r="E1019" s="2">
        <f t="shared" si="31"/>
        <v>1</v>
      </c>
      <c r="F1019">
        <v>57.417999999999999</v>
      </c>
      <c r="G1019">
        <v>58.021599999999999</v>
      </c>
      <c r="H1019">
        <v>56.286200000000001</v>
      </c>
      <c r="I1019">
        <v>56.814399999999999</v>
      </c>
      <c r="J1019">
        <v>37711</v>
      </c>
      <c r="K1019">
        <v>-2.8797999999999999</v>
      </c>
      <c r="L1019">
        <v>3.0831</v>
      </c>
    </row>
    <row r="1020" spans="1:12" x14ac:dyDescent="0.25">
      <c r="A1020">
        <v>2303</v>
      </c>
      <c r="B1020" t="s">
        <v>10</v>
      </c>
      <c r="C1020" s="1">
        <v>40925</v>
      </c>
      <c r="D1020" s="2">
        <f t="shared" si="30"/>
        <v>2</v>
      </c>
      <c r="E1020" s="2">
        <f t="shared" si="31"/>
        <v>1</v>
      </c>
      <c r="F1020">
        <v>10.178800000000001</v>
      </c>
      <c r="G1020">
        <v>10.4001</v>
      </c>
      <c r="H1020">
        <v>10.105</v>
      </c>
      <c r="I1020">
        <v>10.4001</v>
      </c>
      <c r="J1020">
        <v>69083</v>
      </c>
      <c r="K1020">
        <v>4.7195999999999998</v>
      </c>
      <c r="L1020">
        <v>2.9197000000000002</v>
      </c>
    </row>
    <row r="1021" spans="1:12" hidden="1" x14ac:dyDescent="0.25">
      <c r="A1021">
        <v>2330</v>
      </c>
      <c r="B1021" t="s">
        <v>11</v>
      </c>
      <c r="C1021" s="1">
        <v>40925</v>
      </c>
      <c r="D1021" s="2">
        <f t="shared" si="30"/>
        <v>2</v>
      </c>
      <c r="E1021" s="2">
        <f t="shared" si="31"/>
        <v>1</v>
      </c>
      <c r="F1021">
        <v>57.267099999999999</v>
      </c>
      <c r="G1021">
        <v>57.267099999999999</v>
      </c>
      <c r="H1021">
        <v>56.512599999999999</v>
      </c>
      <c r="I1021">
        <v>57.040700000000001</v>
      </c>
      <c r="J1021">
        <v>43995</v>
      </c>
      <c r="K1021">
        <v>0.39760000000000001</v>
      </c>
      <c r="L1021">
        <v>1.3351</v>
      </c>
    </row>
    <row r="1022" spans="1:12" x14ac:dyDescent="0.25">
      <c r="A1022">
        <v>2303</v>
      </c>
      <c r="B1022" t="s">
        <v>10</v>
      </c>
      <c r="C1022" s="1">
        <v>40926</v>
      </c>
      <c r="D1022" s="2">
        <f t="shared" si="30"/>
        <v>3</v>
      </c>
      <c r="E1022" s="2">
        <f t="shared" si="31"/>
        <v>1</v>
      </c>
      <c r="F1022">
        <v>10.363200000000001</v>
      </c>
      <c r="G1022">
        <v>10.547599999999999</v>
      </c>
      <c r="H1022">
        <v>10.289400000000001</v>
      </c>
      <c r="I1022">
        <v>10.5107</v>
      </c>
      <c r="J1022">
        <v>60217</v>
      </c>
      <c r="K1022">
        <v>1.0582</v>
      </c>
      <c r="L1022">
        <v>2.5089999999999999</v>
      </c>
    </row>
    <row r="1023" spans="1:12" hidden="1" x14ac:dyDescent="0.25">
      <c r="A1023">
        <v>2330</v>
      </c>
      <c r="B1023" t="s">
        <v>11</v>
      </c>
      <c r="C1023" s="1">
        <v>40926</v>
      </c>
      <c r="D1023" s="2">
        <f t="shared" si="30"/>
        <v>3</v>
      </c>
      <c r="E1023" s="2">
        <f t="shared" si="31"/>
        <v>1</v>
      </c>
      <c r="F1023">
        <v>57.267099999999999</v>
      </c>
      <c r="G1023">
        <v>57.870699999999999</v>
      </c>
      <c r="H1023">
        <v>57.040700000000001</v>
      </c>
      <c r="I1023">
        <v>57.870699999999999</v>
      </c>
      <c r="J1023">
        <v>57181</v>
      </c>
      <c r="K1023">
        <v>1.4444999999999999</v>
      </c>
      <c r="L1023">
        <v>1.4550000000000001</v>
      </c>
    </row>
    <row r="1024" spans="1:12" x14ac:dyDescent="0.25">
      <c r="A1024">
        <v>2303</v>
      </c>
      <c r="B1024" t="s">
        <v>10</v>
      </c>
      <c r="C1024" s="1">
        <v>40938</v>
      </c>
      <c r="D1024" s="2">
        <f t="shared" si="30"/>
        <v>1</v>
      </c>
      <c r="E1024" s="2">
        <f t="shared" si="31"/>
        <v>1</v>
      </c>
      <c r="F1024">
        <v>10.916399999999999</v>
      </c>
      <c r="G1024">
        <v>11.211399999999999</v>
      </c>
      <c r="H1024">
        <v>10.8795</v>
      </c>
      <c r="I1024">
        <v>11.211399999999999</v>
      </c>
      <c r="J1024">
        <v>159299</v>
      </c>
      <c r="K1024">
        <v>6.4539</v>
      </c>
      <c r="L1024">
        <v>3.0508000000000002</v>
      </c>
    </row>
    <row r="1025" spans="1:12" hidden="1" x14ac:dyDescent="0.25">
      <c r="A1025">
        <v>2330</v>
      </c>
      <c r="B1025" t="s">
        <v>11</v>
      </c>
      <c r="C1025" s="1">
        <v>40938</v>
      </c>
      <c r="D1025" s="2">
        <f t="shared" si="30"/>
        <v>1</v>
      </c>
      <c r="E1025" s="2">
        <f t="shared" si="31"/>
        <v>1</v>
      </c>
      <c r="F1025">
        <v>58.851500000000001</v>
      </c>
      <c r="G1025">
        <v>59.9833</v>
      </c>
      <c r="H1025">
        <v>58.247900000000001</v>
      </c>
      <c r="I1025">
        <v>59.3797</v>
      </c>
      <c r="J1025">
        <v>147548</v>
      </c>
      <c r="K1025">
        <v>2.5741000000000001</v>
      </c>
      <c r="L1025">
        <v>2.9792999999999998</v>
      </c>
    </row>
    <row r="1026" spans="1:12" x14ac:dyDescent="0.25">
      <c r="A1026">
        <v>2303</v>
      </c>
      <c r="B1026" t="s">
        <v>10</v>
      </c>
      <c r="C1026" s="1">
        <v>40939</v>
      </c>
      <c r="D1026" s="2">
        <f t="shared" si="30"/>
        <v>2</v>
      </c>
      <c r="E1026" s="2">
        <f t="shared" si="31"/>
        <v>1</v>
      </c>
      <c r="F1026">
        <v>11.2483</v>
      </c>
      <c r="G1026">
        <v>11.432700000000001</v>
      </c>
      <c r="H1026">
        <v>11.137700000000001</v>
      </c>
      <c r="I1026">
        <v>11.432700000000001</v>
      </c>
      <c r="J1026">
        <v>81877</v>
      </c>
      <c r="K1026">
        <v>1.9544999999999999</v>
      </c>
      <c r="L1026">
        <v>2.649</v>
      </c>
    </row>
    <row r="1027" spans="1:12" hidden="1" x14ac:dyDescent="0.25">
      <c r="A1027">
        <v>2330</v>
      </c>
      <c r="B1027" t="s">
        <v>11</v>
      </c>
      <c r="C1027" s="1">
        <v>40939</v>
      </c>
      <c r="D1027" s="2">
        <f t="shared" ref="D1027:D1090" si="32">WEEKDAY(C1027,2)</f>
        <v>2</v>
      </c>
      <c r="E1027" s="2">
        <f t="shared" ref="E1027:E1090" si="33">MONTH(C1027)</f>
        <v>1</v>
      </c>
      <c r="F1027">
        <v>58.927</v>
      </c>
      <c r="G1027">
        <v>59.2288</v>
      </c>
      <c r="H1027">
        <v>57.568899999999999</v>
      </c>
      <c r="I1027">
        <v>59.2288</v>
      </c>
      <c r="J1027">
        <v>87917</v>
      </c>
      <c r="K1027">
        <v>-0.2545</v>
      </c>
      <c r="L1027">
        <v>2.8834</v>
      </c>
    </row>
    <row r="1028" spans="1:12" x14ac:dyDescent="0.25">
      <c r="A1028">
        <v>2303</v>
      </c>
      <c r="B1028" t="s">
        <v>10</v>
      </c>
      <c r="C1028" s="1">
        <v>40940</v>
      </c>
      <c r="D1028" s="2">
        <f t="shared" si="32"/>
        <v>3</v>
      </c>
      <c r="E1028" s="2">
        <f t="shared" si="33"/>
        <v>2</v>
      </c>
      <c r="F1028">
        <v>11.432700000000001</v>
      </c>
      <c r="G1028">
        <v>11.617100000000001</v>
      </c>
      <c r="H1028">
        <v>11.2852</v>
      </c>
      <c r="I1028">
        <v>11.4696</v>
      </c>
      <c r="J1028">
        <v>87764</v>
      </c>
      <c r="K1028">
        <v>0.3221</v>
      </c>
      <c r="L1028">
        <v>2.9411999999999998</v>
      </c>
    </row>
    <row r="1029" spans="1:12" hidden="1" x14ac:dyDescent="0.25">
      <c r="A1029">
        <v>2330</v>
      </c>
      <c r="B1029" t="s">
        <v>11</v>
      </c>
      <c r="C1029" s="1">
        <v>40940</v>
      </c>
      <c r="D1029" s="2">
        <f t="shared" si="32"/>
        <v>3</v>
      </c>
      <c r="E1029" s="2">
        <f t="shared" si="33"/>
        <v>2</v>
      </c>
      <c r="F1029">
        <v>58.474299999999999</v>
      </c>
      <c r="G1029">
        <v>58.6252</v>
      </c>
      <c r="H1029">
        <v>57.870699999999999</v>
      </c>
      <c r="I1029">
        <v>58.097000000000001</v>
      </c>
      <c r="J1029">
        <v>47222</v>
      </c>
      <c r="K1029">
        <v>-1.9293</v>
      </c>
      <c r="L1029">
        <v>1.3038000000000001</v>
      </c>
    </row>
    <row r="1030" spans="1:12" x14ac:dyDescent="0.25">
      <c r="A1030">
        <v>2303</v>
      </c>
      <c r="B1030" t="s">
        <v>10</v>
      </c>
      <c r="C1030" s="1">
        <v>40941</v>
      </c>
      <c r="D1030" s="2">
        <f t="shared" si="32"/>
        <v>4</v>
      </c>
      <c r="E1030" s="2">
        <f t="shared" si="33"/>
        <v>2</v>
      </c>
      <c r="F1030">
        <v>11.5802</v>
      </c>
      <c r="G1030">
        <v>11.5802</v>
      </c>
      <c r="H1030">
        <v>11.211399999999999</v>
      </c>
      <c r="I1030">
        <v>11.2852</v>
      </c>
      <c r="J1030">
        <v>49312</v>
      </c>
      <c r="K1030">
        <v>-1.6208</v>
      </c>
      <c r="L1030">
        <v>3.2894999999999999</v>
      </c>
    </row>
    <row r="1031" spans="1:12" hidden="1" x14ac:dyDescent="0.25">
      <c r="A1031">
        <v>2330</v>
      </c>
      <c r="B1031" t="s">
        <v>11</v>
      </c>
      <c r="C1031" s="1">
        <v>40941</v>
      </c>
      <c r="D1031" s="2">
        <f t="shared" si="32"/>
        <v>4</v>
      </c>
      <c r="E1031" s="2">
        <f t="shared" si="33"/>
        <v>2</v>
      </c>
      <c r="F1031">
        <v>58.474299999999999</v>
      </c>
      <c r="G1031">
        <v>58.474299999999999</v>
      </c>
      <c r="H1031">
        <v>57.417999999999999</v>
      </c>
      <c r="I1031">
        <v>57.946100000000001</v>
      </c>
      <c r="J1031">
        <v>54065</v>
      </c>
      <c r="K1031">
        <v>-0.2601</v>
      </c>
      <c r="L1031">
        <v>1.8396999999999999</v>
      </c>
    </row>
    <row r="1032" spans="1:12" x14ac:dyDescent="0.25">
      <c r="A1032">
        <v>2303</v>
      </c>
      <c r="B1032" t="s">
        <v>10</v>
      </c>
      <c r="C1032" s="1">
        <v>40942</v>
      </c>
      <c r="D1032" s="2">
        <f t="shared" si="32"/>
        <v>5</v>
      </c>
      <c r="E1032" s="2">
        <f t="shared" si="33"/>
        <v>2</v>
      </c>
      <c r="F1032">
        <v>11.2852</v>
      </c>
      <c r="G1032">
        <v>11.3589</v>
      </c>
      <c r="H1032">
        <v>11.1745</v>
      </c>
      <c r="I1032">
        <v>11.3589</v>
      </c>
      <c r="J1032">
        <v>33375</v>
      </c>
      <c r="K1032">
        <v>0.65149999999999997</v>
      </c>
      <c r="L1032">
        <v>1.6501999999999999</v>
      </c>
    </row>
    <row r="1033" spans="1:12" hidden="1" x14ac:dyDescent="0.25">
      <c r="A1033">
        <v>2330</v>
      </c>
      <c r="B1033" t="s">
        <v>11</v>
      </c>
      <c r="C1033" s="1">
        <v>40942</v>
      </c>
      <c r="D1033" s="2">
        <f t="shared" si="32"/>
        <v>5</v>
      </c>
      <c r="E1033" s="2">
        <f t="shared" si="33"/>
        <v>2</v>
      </c>
      <c r="F1033">
        <v>57.568899999999999</v>
      </c>
      <c r="G1033">
        <v>57.644300000000001</v>
      </c>
      <c r="H1033">
        <v>57.040700000000001</v>
      </c>
      <c r="I1033">
        <v>57.493400000000001</v>
      </c>
      <c r="J1033">
        <v>49361</v>
      </c>
      <c r="K1033">
        <v>-0.7843</v>
      </c>
      <c r="L1033">
        <v>1.0582</v>
      </c>
    </row>
    <row r="1034" spans="1:12" x14ac:dyDescent="0.25">
      <c r="A1034">
        <v>2303</v>
      </c>
      <c r="B1034" t="s">
        <v>10</v>
      </c>
      <c r="C1034" s="1">
        <v>40943</v>
      </c>
      <c r="D1034" s="2">
        <f t="shared" si="32"/>
        <v>6</v>
      </c>
      <c r="E1034" s="2">
        <f t="shared" si="33"/>
        <v>2</v>
      </c>
      <c r="F1034">
        <v>11.432700000000001</v>
      </c>
      <c r="G1034">
        <v>11.506500000000001</v>
      </c>
      <c r="H1034">
        <v>11.211399999999999</v>
      </c>
      <c r="I1034">
        <v>11.2852</v>
      </c>
      <c r="J1034">
        <v>37123</v>
      </c>
      <c r="K1034">
        <v>-0.65149999999999997</v>
      </c>
      <c r="L1034">
        <v>2.6316000000000002</v>
      </c>
    </row>
    <row r="1035" spans="1:12" hidden="1" x14ac:dyDescent="0.25">
      <c r="A1035">
        <v>2330</v>
      </c>
      <c r="B1035" t="s">
        <v>11</v>
      </c>
      <c r="C1035" s="1">
        <v>40943</v>
      </c>
      <c r="D1035" s="2">
        <f t="shared" si="32"/>
        <v>6</v>
      </c>
      <c r="E1035" s="2">
        <f t="shared" si="33"/>
        <v>2</v>
      </c>
      <c r="F1035">
        <v>57.644300000000001</v>
      </c>
      <c r="G1035">
        <v>57.870699999999999</v>
      </c>
      <c r="H1035">
        <v>57.342500000000001</v>
      </c>
      <c r="I1035">
        <v>57.719799999999999</v>
      </c>
      <c r="J1035">
        <v>22960</v>
      </c>
      <c r="K1035">
        <v>0.39290000000000003</v>
      </c>
      <c r="L1035">
        <v>0.92110000000000003</v>
      </c>
    </row>
    <row r="1036" spans="1:12" x14ac:dyDescent="0.25">
      <c r="A1036">
        <v>2303</v>
      </c>
      <c r="B1036" t="s">
        <v>10</v>
      </c>
      <c r="C1036" s="1">
        <v>40945</v>
      </c>
      <c r="D1036" s="2">
        <f t="shared" si="32"/>
        <v>1</v>
      </c>
      <c r="E1036" s="2">
        <f t="shared" si="33"/>
        <v>2</v>
      </c>
      <c r="F1036">
        <v>11.1745</v>
      </c>
      <c r="G1036">
        <v>11.3589</v>
      </c>
      <c r="H1036">
        <v>11.137700000000001</v>
      </c>
      <c r="I1036">
        <v>11.2852</v>
      </c>
      <c r="J1036">
        <v>38801</v>
      </c>
      <c r="K1036">
        <v>0</v>
      </c>
      <c r="L1036">
        <v>1.9867999999999999</v>
      </c>
    </row>
    <row r="1037" spans="1:12" hidden="1" x14ac:dyDescent="0.25">
      <c r="A1037">
        <v>2330</v>
      </c>
      <c r="B1037" t="s">
        <v>11</v>
      </c>
      <c r="C1037" s="1">
        <v>40945</v>
      </c>
      <c r="D1037" s="2">
        <f t="shared" si="32"/>
        <v>1</v>
      </c>
      <c r="E1037" s="2">
        <f t="shared" si="33"/>
        <v>2</v>
      </c>
      <c r="F1037">
        <v>58.323399999999999</v>
      </c>
      <c r="G1037">
        <v>58.474299999999999</v>
      </c>
      <c r="H1037">
        <v>57.795200000000001</v>
      </c>
      <c r="I1037">
        <v>58.398800000000001</v>
      </c>
      <c r="J1037">
        <v>47596</v>
      </c>
      <c r="K1037">
        <v>1.1696</v>
      </c>
      <c r="L1037">
        <v>1.1749000000000001</v>
      </c>
    </row>
    <row r="1038" spans="1:12" x14ac:dyDescent="0.25">
      <c r="A1038">
        <v>2303</v>
      </c>
      <c r="B1038" t="s">
        <v>10</v>
      </c>
      <c r="C1038" s="1">
        <v>40946</v>
      </c>
      <c r="D1038" s="2">
        <f t="shared" si="32"/>
        <v>2</v>
      </c>
      <c r="E1038" s="2">
        <f t="shared" si="33"/>
        <v>2</v>
      </c>
      <c r="F1038">
        <v>11.2852</v>
      </c>
      <c r="G1038">
        <v>11.395799999999999</v>
      </c>
      <c r="H1038">
        <v>11.2483</v>
      </c>
      <c r="I1038">
        <v>11.322100000000001</v>
      </c>
      <c r="J1038">
        <v>36980</v>
      </c>
      <c r="K1038">
        <v>0.32629999999999998</v>
      </c>
      <c r="L1038">
        <v>1.3115000000000001</v>
      </c>
    </row>
    <row r="1039" spans="1:12" hidden="1" x14ac:dyDescent="0.25">
      <c r="A1039">
        <v>2330</v>
      </c>
      <c r="B1039" t="s">
        <v>11</v>
      </c>
      <c r="C1039" s="1">
        <v>40946</v>
      </c>
      <c r="D1039" s="2">
        <f t="shared" si="32"/>
        <v>2</v>
      </c>
      <c r="E1039" s="2">
        <f t="shared" si="33"/>
        <v>2</v>
      </c>
      <c r="F1039">
        <v>58.474299999999999</v>
      </c>
      <c r="G1039">
        <v>58.474299999999999</v>
      </c>
      <c r="H1039">
        <v>57.946100000000001</v>
      </c>
      <c r="I1039">
        <v>58.398800000000001</v>
      </c>
      <c r="J1039">
        <v>30008</v>
      </c>
      <c r="K1039">
        <v>0</v>
      </c>
      <c r="L1039">
        <v>0.91149999999999998</v>
      </c>
    </row>
    <row r="1040" spans="1:12" x14ac:dyDescent="0.25">
      <c r="A1040">
        <v>2303</v>
      </c>
      <c r="B1040" t="s">
        <v>10</v>
      </c>
      <c r="C1040" s="1">
        <v>40947</v>
      </c>
      <c r="D1040" s="2">
        <f t="shared" si="32"/>
        <v>3</v>
      </c>
      <c r="E1040" s="2">
        <f t="shared" si="33"/>
        <v>2</v>
      </c>
      <c r="F1040">
        <v>11.432700000000001</v>
      </c>
      <c r="G1040">
        <v>11.432700000000001</v>
      </c>
      <c r="H1040">
        <v>11.2483</v>
      </c>
      <c r="I1040">
        <v>11.3589</v>
      </c>
      <c r="J1040">
        <v>40971</v>
      </c>
      <c r="K1040">
        <v>0.32519999999999999</v>
      </c>
      <c r="L1040">
        <v>1.6393</v>
      </c>
    </row>
    <row r="1041" spans="1:12" hidden="1" x14ac:dyDescent="0.25">
      <c r="A1041">
        <v>2330</v>
      </c>
      <c r="B1041" t="s">
        <v>11</v>
      </c>
      <c r="C1041" s="1">
        <v>40947</v>
      </c>
      <c r="D1041" s="2">
        <f t="shared" si="32"/>
        <v>3</v>
      </c>
      <c r="E1041" s="2">
        <f t="shared" si="33"/>
        <v>2</v>
      </c>
      <c r="F1041">
        <v>58.474299999999999</v>
      </c>
      <c r="G1041">
        <v>58.474299999999999</v>
      </c>
      <c r="H1041">
        <v>58.021599999999999</v>
      </c>
      <c r="I1041">
        <v>58.474299999999999</v>
      </c>
      <c r="J1041">
        <v>35600</v>
      </c>
      <c r="K1041">
        <v>0.12909999999999999</v>
      </c>
      <c r="L1041">
        <v>0.7802</v>
      </c>
    </row>
    <row r="1042" spans="1:12" x14ac:dyDescent="0.25">
      <c r="A1042">
        <v>2303</v>
      </c>
      <c r="B1042" t="s">
        <v>10</v>
      </c>
      <c r="C1042" s="1">
        <v>40948</v>
      </c>
      <c r="D1042" s="2">
        <f t="shared" si="32"/>
        <v>4</v>
      </c>
      <c r="E1042" s="2">
        <f t="shared" si="33"/>
        <v>2</v>
      </c>
      <c r="F1042">
        <v>11.2483</v>
      </c>
      <c r="G1042">
        <v>11.2483</v>
      </c>
      <c r="H1042">
        <v>10.9533</v>
      </c>
      <c r="I1042">
        <v>11.137700000000001</v>
      </c>
      <c r="J1042">
        <v>74256</v>
      </c>
      <c r="K1042">
        <v>-1.9673</v>
      </c>
      <c r="L1042">
        <v>2.6936</v>
      </c>
    </row>
    <row r="1043" spans="1:12" hidden="1" x14ac:dyDescent="0.25">
      <c r="A1043">
        <v>2330</v>
      </c>
      <c r="B1043" t="s">
        <v>11</v>
      </c>
      <c r="C1043" s="1">
        <v>40948</v>
      </c>
      <c r="D1043" s="2">
        <f t="shared" si="32"/>
        <v>4</v>
      </c>
      <c r="E1043" s="2">
        <f t="shared" si="33"/>
        <v>2</v>
      </c>
      <c r="F1043">
        <v>58.097000000000001</v>
      </c>
      <c r="G1043">
        <v>58.851500000000001</v>
      </c>
      <c r="H1043">
        <v>57.719799999999999</v>
      </c>
      <c r="I1043">
        <v>58.851500000000001</v>
      </c>
      <c r="J1043">
        <v>70988</v>
      </c>
      <c r="K1043">
        <v>0.6431</v>
      </c>
      <c r="L1043">
        <v>1.9608000000000001</v>
      </c>
    </row>
    <row r="1044" spans="1:12" x14ac:dyDescent="0.25">
      <c r="A1044">
        <v>2303</v>
      </c>
      <c r="B1044" t="s">
        <v>10</v>
      </c>
      <c r="C1044" s="1">
        <v>40949</v>
      </c>
      <c r="D1044" s="2">
        <f t="shared" si="32"/>
        <v>5</v>
      </c>
      <c r="E1044" s="2">
        <f t="shared" si="33"/>
        <v>2</v>
      </c>
      <c r="F1044">
        <v>11.1745</v>
      </c>
      <c r="G1044">
        <v>11.322100000000001</v>
      </c>
      <c r="H1044">
        <v>11.026999999999999</v>
      </c>
      <c r="I1044">
        <v>11.0639</v>
      </c>
      <c r="J1044">
        <v>51484</v>
      </c>
      <c r="K1044">
        <v>-0.66449999999999998</v>
      </c>
      <c r="L1044">
        <v>2.6756000000000002</v>
      </c>
    </row>
    <row r="1045" spans="1:12" hidden="1" x14ac:dyDescent="0.25">
      <c r="A1045">
        <v>2330</v>
      </c>
      <c r="B1045" t="s">
        <v>11</v>
      </c>
      <c r="C1045" s="1">
        <v>40949</v>
      </c>
      <c r="D1045" s="2">
        <f t="shared" si="32"/>
        <v>5</v>
      </c>
      <c r="E1045" s="2">
        <f t="shared" si="33"/>
        <v>2</v>
      </c>
      <c r="F1045">
        <v>58.851500000000001</v>
      </c>
      <c r="G1045">
        <v>58.851500000000001</v>
      </c>
      <c r="H1045">
        <v>57.870699999999999</v>
      </c>
      <c r="I1045">
        <v>58.021599999999999</v>
      </c>
      <c r="J1045">
        <v>47270</v>
      </c>
      <c r="K1045">
        <v>-1.4202999999999999</v>
      </c>
      <c r="L1045">
        <v>1.6949000000000001</v>
      </c>
    </row>
    <row r="1046" spans="1:12" x14ac:dyDescent="0.25">
      <c r="A1046">
        <v>2303</v>
      </c>
      <c r="B1046" t="s">
        <v>10</v>
      </c>
      <c r="C1046" s="1">
        <v>40952</v>
      </c>
      <c r="D1046" s="2">
        <f t="shared" si="32"/>
        <v>1</v>
      </c>
      <c r="E1046" s="2">
        <f t="shared" si="33"/>
        <v>2</v>
      </c>
      <c r="F1046">
        <v>10.9902</v>
      </c>
      <c r="G1046">
        <v>11.137700000000001</v>
      </c>
      <c r="H1046">
        <v>10.9533</v>
      </c>
      <c r="I1046">
        <v>11.026999999999999</v>
      </c>
      <c r="J1046">
        <v>35407</v>
      </c>
      <c r="K1046">
        <v>-0.33389999999999997</v>
      </c>
      <c r="L1046">
        <v>1.6835</v>
      </c>
    </row>
    <row r="1047" spans="1:12" hidden="1" x14ac:dyDescent="0.25">
      <c r="A1047">
        <v>2330</v>
      </c>
      <c r="B1047" t="s">
        <v>11</v>
      </c>
      <c r="C1047" s="1">
        <v>40952</v>
      </c>
      <c r="D1047" s="2">
        <f t="shared" si="32"/>
        <v>1</v>
      </c>
      <c r="E1047" s="2">
        <f t="shared" si="33"/>
        <v>2</v>
      </c>
      <c r="F1047">
        <v>57.644300000000001</v>
      </c>
      <c r="G1047">
        <v>58.172499999999999</v>
      </c>
      <c r="H1047">
        <v>57.493400000000001</v>
      </c>
      <c r="I1047">
        <v>57.795200000000001</v>
      </c>
      <c r="J1047">
        <v>36415</v>
      </c>
      <c r="K1047">
        <v>-0.39090000000000003</v>
      </c>
      <c r="L1047">
        <v>1.1811</v>
      </c>
    </row>
    <row r="1048" spans="1:12" x14ac:dyDescent="0.25">
      <c r="A1048">
        <v>2303</v>
      </c>
      <c r="B1048" t="s">
        <v>10</v>
      </c>
      <c r="C1048" s="1">
        <v>40953</v>
      </c>
      <c r="D1048" s="2">
        <f t="shared" si="32"/>
        <v>2</v>
      </c>
      <c r="E1048" s="2">
        <f t="shared" si="33"/>
        <v>2</v>
      </c>
      <c r="F1048">
        <v>11.137700000000001</v>
      </c>
      <c r="G1048">
        <v>11.137700000000001</v>
      </c>
      <c r="H1048">
        <v>10.8795</v>
      </c>
      <c r="I1048">
        <v>10.8795</v>
      </c>
      <c r="J1048">
        <v>35172</v>
      </c>
      <c r="K1048">
        <v>-1.3468</v>
      </c>
      <c r="L1048">
        <v>2.3729</v>
      </c>
    </row>
    <row r="1049" spans="1:12" hidden="1" x14ac:dyDescent="0.25">
      <c r="A1049">
        <v>2330</v>
      </c>
      <c r="B1049" t="s">
        <v>11</v>
      </c>
      <c r="C1049" s="1">
        <v>40953</v>
      </c>
      <c r="D1049" s="2">
        <f t="shared" si="32"/>
        <v>2</v>
      </c>
      <c r="E1049" s="2">
        <f t="shared" si="33"/>
        <v>2</v>
      </c>
      <c r="F1049">
        <v>58.172499999999999</v>
      </c>
      <c r="G1049">
        <v>58.398800000000001</v>
      </c>
      <c r="H1049">
        <v>57.493400000000001</v>
      </c>
      <c r="I1049">
        <v>58.323399999999999</v>
      </c>
      <c r="J1049">
        <v>42110</v>
      </c>
      <c r="K1049">
        <v>0.90969999999999995</v>
      </c>
      <c r="L1049">
        <v>1.5748</v>
      </c>
    </row>
    <row r="1050" spans="1:12" x14ac:dyDescent="0.25">
      <c r="A1050">
        <v>2303</v>
      </c>
      <c r="B1050" t="s">
        <v>10</v>
      </c>
      <c r="C1050" s="1">
        <v>40954</v>
      </c>
      <c r="D1050" s="2">
        <f t="shared" si="32"/>
        <v>3</v>
      </c>
      <c r="E1050" s="2">
        <f t="shared" si="33"/>
        <v>2</v>
      </c>
      <c r="F1050">
        <v>10.9902</v>
      </c>
      <c r="G1050">
        <v>11.2483</v>
      </c>
      <c r="H1050">
        <v>10.9533</v>
      </c>
      <c r="I1050">
        <v>11.2483</v>
      </c>
      <c r="J1050">
        <v>57983</v>
      </c>
      <c r="K1050">
        <v>3.3336000000000001</v>
      </c>
      <c r="L1050">
        <v>2.6936</v>
      </c>
    </row>
    <row r="1051" spans="1:12" hidden="1" x14ac:dyDescent="0.25">
      <c r="A1051">
        <v>2330</v>
      </c>
      <c r="B1051" t="s">
        <v>11</v>
      </c>
      <c r="C1051" s="1">
        <v>40954</v>
      </c>
      <c r="D1051" s="2">
        <f t="shared" si="32"/>
        <v>3</v>
      </c>
      <c r="E1051" s="2">
        <f t="shared" si="33"/>
        <v>2</v>
      </c>
      <c r="F1051">
        <v>58.549700000000001</v>
      </c>
      <c r="G1051">
        <v>59.2288</v>
      </c>
      <c r="H1051">
        <v>58.549700000000001</v>
      </c>
      <c r="I1051">
        <v>59.2288</v>
      </c>
      <c r="J1051">
        <v>71500</v>
      </c>
      <c r="K1051">
        <v>1.5405</v>
      </c>
      <c r="L1051">
        <v>1.1597999999999999</v>
      </c>
    </row>
    <row r="1052" spans="1:12" x14ac:dyDescent="0.25">
      <c r="A1052">
        <v>2303</v>
      </c>
      <c r="B1052" t="s">
        <v>10</v>
      </c>
      <c r="C1052" s="1">
        <v>40955</v>
      </c>
      <c r="D1052" s="2">
        <f t="shared" si="32"/>
        <v>4</v>
      </c>
      <c r="E1052" s="2">
        <f t="shared" si="33"/>
        <v>2</v>
      </c>
      <c r="F1052">
        <v>11.2852</v>
      </c>
      <c r="G1052">
        <v>11.322100000000001</v>
      </c>
      <c r="H1052">
        <v>11.1008</v>
      </c>
      <c r="I1052">
        <v>11.137700000000001</v>
      </c>
      <c r="J1052">
        <v>30848</v>
      </c>
      <c r="K1052">
        <v>-0.98850000000000005</v>
      </c>
      <c r="L1052">
        <v>1.9934000000000001</v>
      </c>
    </row>
    <row r="1053" spans="1:12" hidden="1" x14ac:dyDescent="0.25">
      <c r="A1053">
        <v>2330</v>
      </c>
      <c r="B1053" t="s">
        <v>11</v>
      </c>
      <c r="C1053" s="1">
        <v>40955</v>
      </c>
      <c r="D1053" s="2">
        <f t="shared" si="32"/>
        <v>4</v>
      </c>
      <c r="E1053" s="2">
        <f t="shared" si="33"/>
        <v>2</v>
      </c>
      <c r="F1053">
        <v>59.2288</v>
      </c>
      <c r="G1053">
        <v>59.5306</v>
      </c>
      <c r="H1053">
        <v>58.851500000000001</v>
      </c>
      <c r="I1053">
        <v>59.2288</v>
      </c>
      <c r="J1053">
        <v>59907</v>
      </c>
      <c r="K1053">
        <v>0</v>
      </c>
      <c r="L1053">
        <v>1.1537999999999999</v>
      </c>
    </row>
    <row r="1054" spans="1:12" x14ac:dyDescent="0.25">
      <c r="A1054">
        <v>2303</v>
      </c>
      <c r="B1054" t="s">
        <v>10</v>
      </c>
      <c r="C1054" s="1">
        <v>40956</v>
      </c>
      <c r="D1054" s="2">
        <f t="shared" si="32"/>
        <v>5</v>
      </c>
      <c r="E1054" s="2">
        <f t="shared" si="33"/>
        <v>2</v>
      </c>
      <c r="F1054">
        <v>11.2483</v>
      </c>
      <c r="G1054">
        <v>11.322100000000001</v>
      </c>
      <c r="H1054">
        <v>10.8058</v>
      </c>
      <c r="I1054">
        <v>11.026999999999999</v>
      </c>
      <c r="J1054">
        <v>57614</v>
      </c>
      <c r="K1054">
        <v>-0.99829999999999997</v>
      </c>
      <c r="L1054">
        <v>4.7782</v>
      </c>
    </row>
    <row r="1055" spans="1:12" hidden="1" x14ac:dyDescent="0.25">
      <c r="A1055">
        <v>2330</v>
      </c>
      <c r="B1055" t="s">
        <v>11</v>
      </c>
      <c r="C1055" s="1">
        <v>40956</v>
      </c>
      <c r="D1055" s="2">
        <f t="shared" si="32"/>
        <v>5</v>
      </c>
      <c r="E1055" s="2">
        <f t="shared" si="33"/>
        <v>2</v>
      </c>
      <c r="F1055">
        <v>59.9833</v>
      </c>
      <c r="G1055">
        <v>61.1905</v>
      </c>
      <c r="H1055">
        <v>59.907899999999998</v>
      </c>
      <c r="I1055">
        <v>60.360599999999998</v>
      </c>
      <c r="J1055">
        <v>78979</v>
      </c>
      <c r="K1055">
        <v>1.8928</v>
      </c>
      <c r="L1055">
        <v>2.1410999999999998</v>
      </c>
    </row>
    <row r="1056" spans="1:12" x14ac:dyDescent="0.25">
      <c r="A1056">
        <v>2303</v>
      </c>
      <c r="B1056" t="s">
        <v>10</v>
      </c>
      <c r="C1056" s="1">
        <v>40959</v>
      </c>
      <c r="D1056" s="2">
        <f t="shared" si="32"/>
        <v>1</v>
      </c>
      <c r="E1056" s="2">
        <f t="shared" si="33"/>
        <v>2</v>
      </c>
      <c r="F1056">
        <v>11.211399999999999</v>
      </c>
      <c r="G1056">
        <v>11.2483</v>
      </c>
      <c r="H1056">
        <v>10.9533</v>
      </c>
      <c r="I1056">
        <v>10.9533</v>
      </c>
      <c r="J1056">
        <v>28705</v>
      </c>
      <c r="K1056">
        <v>-0.67110000000000003</v>
      </c>
      <c r="L1056">
        <v>2.6936</v>
      </c>
    </row>
    <row r="1057" spans="1:12" hidden="1" x14ac:dyDescent="0.25">
      <c r="A1057">
        <v>2330</v>
      </c>
      <c r="B1057" t="s">
        <v>11</v>
      </c>
      <c r="C1057" s="1">
        <v>40959</v>
      </c>
      <c r="D1057" s="2">
        <f t="shared" si="32"/>
        <v>1</v>
      </c>
      <c r="E1057" s="2">
        <f t="shared" si="33"/>
        <v>2</v>
      </c>
      <c r="F1057">
        <v>60.813299999999998</v>
      </c>
      <c r="G1057">
        <v>60.964199999999998</v>
      </c>
      <c r="H1057">
        <v>60.1342</v>
      </c>
      <c r="I1057">
        <v>60.360599999999998</v>
      </c>
      <c r="J1057">
        <v>31810</v>
      </c>
      <c r="K1057">
        <v>0</v>
      </c>
      <c r="L1057">
        <v>1.3802000000000001</v>
      </c>
    </row>
    <row r="1058" spans="1:12" x14ac:dyDescent="0.25">
      <c r="A1058">
        <v>2303</v>
      </c>
      <c r="B1058" t="s">
        <v>10</v>
      </c>
      <c r="C1058" s="1">
        <v>40960</v>
      </c>
      <c r="D1058" s="2">
        <f t="shared" si="32"/>
        <v>2</v>
      </c>
      <c r="E1058" s="2">
        <f t="shared" si="33"/>
        <v>2</v>
      </c>
      <c r="F1058">
        <v>10.9533</v>
      </c>
      <c r="G1058">
        <v>11.0639</v>
      </c>
      <c r="H1058">
        <v>10.916399999999999</v>
      </c>
      <c r="I1058">
        <v>11.0639</v>
      </c>
      <c r="J1058">
        <v>38365</v>
      </c>
      <c r="K1058">
        <v>1.0049999999999999</v>
      </c>
      <c r="L1058">
        <v>1.3513999999999999</v>
      </c>
    </row>
    <row r="1059" spans="1:12" hidden="1" x14ac:dyDescent="0.25">
      <c r="A1059">
        <v>2330</v>
      </c>
      <c r="B1059" t="s">
        <v>11</v>
      </c>
      <c r="C1059" s="1">
        <v>40960</v>
      </c>
      <c r="D1059" s="2">
        <f t="shared" si="32"/>
        <v>2</v>
      </c>
      <c r="E1059" s="2">
        <f t="shared" si="33"/>
        <v>2</v>
      </c>
      <c r="F1059">
        <v>60.360599999999998</v>
      </c>
      <c r="G1059">
        <v>60.360599999999998</v>
      </c>
      <c r="H1059">
        <v>59.8324</v>
      </c>
      <c r="I1059">
        <v>60.360599999999998</v>
      </c>
      <c r="J1059">
        <v>28138</v>
      </c>
      <c r="K1059">
        <v>0</v>
      </c>
      <c r="L1059">
        <v>0.88270000000000004</v>
      </c>
    </row>
    <row r="1060" spans="1:12" x14ac:dyDescent="0.25">
      <c r="A1060">
        <v>2303</v>
      </c>
      <c r="B1060" t="s">
        <v>10</v>
      </c>
      <c r="C1060" s="1">
        <v>40961</v>
      </c>
      <c r="D1060" s="2">
        <f t="shared" si="32"/>
        <v>3</v>
      </c>
      <c r="E1060" s="2">
        <f t="shared" si="33"/>
        <v>2</v>
      </c>
      <c r="F1060">
        <v>11.0639</v>
      </c>
      <c r="G1060">
        <v>11.1008</v>
      </c>
      <c r="H1060">
        <v>10.9902</v>
      </c>
      <c r="I1060">
        <v>11.026999999999999</v>
      </c>
      <c r="J1060">
        <v>37338</v>
      </c>
      <c r="K1060">
        <v>-0.33389999999999997</v>
      </c>
      <c r="L1060">
        <v>1.0066999999999999</v>
      </c>
    </row>
    <row r="1061" spans="1:12" hidden="1" x14ac:dyDescent="0.25">
      <c r="A1061">
        <v>2330</v>
      </c>
      <c r="B1061" t="s">
        <v>11</v>
      </c>
      <c r="C1061" s="1">
        <v>40961</v>
      </c>
      <c r="D1061" s="2">
        <f t="shared" si="32"/>
        <v>3</v>
      </c>
      <c r="E1061" s="2">
        <f t="shared" si="33"/>
        <v>2</v>
      </c>
      <c r="F1061">
        <v>60.2851</v>
      </c>
      <c r="G1061">
        <v>60.360599999999998</v>
      </c>
      <c r="H1061">
        <v>59.606099999999998</v>
      </c>
      <c r="I1061">
        <v>60.1342</v>
      </c>
      <c r="J1061">
        <v>41142</v>
      </c>
      <c r="K1061">
        <v>-0.37569999999999998</v>
      </c>
      <c r="L1061">
        <v>1.2658</v>
      </c>
    </row>
    <row r="1062" spans="1:12" x14ac:dyDescent="0.25">
      <c r="A1062">
        <v>2303</v>
      </c>
      <c r="B1062" t="s">
        <v>10</v>
      </c>
      <c r="C1062" s="1">
        <v>40962</v>
      </c>
      <c r="D1062" s="2">
        <f t="shared" si="32"/>
        <v>4</v>
      </c>
      <c r="E1062" s="2">
        <f t="shared" si="33"/>
        <v>2</v>
      </c>
      <c r="F1062">
        <v>11.026999999999999</v>
      </c>
      <c r="G1062">
        <v>11.0639</v>
      </c>
      <c r="H1062">
        <v>10.916399999999999</v>
      </c>
      <c r="I1062">
        <v>10.916399999999999</v>
      </c>
      <c r="J1062">
        <v>27287</v>
      </c>
      <c r="K1062">
        <v>-1.0084</v>
      </c>
      <c r="L1062">
        <v>1.3513999999999999</v>
      </c>
    </row>
    <row r="1063" spans="1:12" hidden="1" x14ac:dyDescent="0.25">
      <c r="A1063">
        <v>2330</v>
      </c>
      <c r="B1063" t="s">
        <v>11</v>
      </c>
      <c r="C1063" s="1">
        <v>40962</v>
      </c>
      <c r="D1063" s="2">
        <f t="shared" si="32"/>
        <v>4</v>
      </c>
      <c r="E1063" s="2">
        <f t="shared" si="33"/>
        <v>2</v>
      </c>
      <c r="F1063">
        <v>59.606099999999998</v>
      </c>
      <c r="G1063">
        <v>59.907899999999998</v>
      </c>
      <c r="H1063">
        <v>58.6252</v>
      </c>
      <c r="I1063">
        <v>58.927</v>
      </c>
      <c r="J1063">
        <v>59975</v>
      </c>
      <c r="K1063">
        <v>-2.028</v>
      </c>
      <c r="L1063">
        <v>2.1879</v>
      </c>
    </row>
    <row r="1064" spans="1:12" x14ac:dyDescent="0.25">
      <c r="A1064">
        <v>2303</v>
      </c>
      <c r="B1064" t="s">
        <v>10</v>
      </c>
      <c r="C1064" s="1">
        <v>40963</v>
      </c>
      <c r="D1064" s="2">
        <f t="shared" si="32"/>
        <v>5</v>
      </c>
      <c r="E1064" s="2">
        <f t="shared" si="33"/>
        <v>2</v>
      </c>
      <c r="F1064">
        <v>11.0639</v>
      </c>
      <c r="G1064">
        <v>11.0639</v>
      </c>
      <c r="H1064">
        <v>10.9533</v>
      </c>
      <c r="I1064">
        <v>10.9902</v>
      </c>
      <c r="J1064">
        <v>28026</v>
      </c>
      <c r="K1064">
        <v>0.6734</v>
      </c>
      <c r="L1064">
        <v>1.0101</v>
      </c>
    </row>
    <row r="1065" spans="1:12" hidden="1" x14ac:dyDescent="0.25">
      <c r="A1065">
        <v>2330</v>
      </c>
      <c r="B1065" t="s">
        <v>11</v>
      </c>
      <c r="C1065" s="1">
        <v>40963</v>
      </c>
      <c r="D1065" s="2">
        <f t="shared" si="32"/>
        <v>5</v>
      </c>
      <c r="E1065" s="2">
        <f t="shared" si="33"/>
        <v>2</v>
      </c>
      <c r="F1065">
        <v>58.474299999999999</v>
      </c>
      <c r="G1065">
        <v>59.6815</v>
      </c>
      <c r="H1065">
        <v>58.247900000000001</v>
      </c>
      <c r="I1065">
        <v>59.6815</v>
      </c>
      <c r="J1065">
        <v>41026</v>
      </c>
      <c r="K1065">
        <v>1.2723</v>
      </c>
      <c r="L1065">
        <v>2.4611000000000001</v>
      </c>
    </row>
    <row r="1066" spans="1:12" x14ac:dyDescent="0.25">
      <c r="A1066">
        <v>2303</v>
      </c>
      <c r="B1066" t="s">
        <v>10</v>
      </c>
      <c r="C1066" s="1">
        <v>40968</v>
      </c>
      <c r="D1066" s="2">
        <f t="shared" si="32"/>
        <v>3</v>
      </c>
      <c r="E1066" s="2">
        <f t="shared" si="33"/>
        <v>2</v>
      </c>
      <c r="F1066">
        <v>11.137700000000001</v>
      </c>
      <c r="G1066">
        <v>11.432700000000001</v>
      </c>
      <c r="H1066">
        <v>11.137700000000001</v>
      </c>
      <c r="I1066">
        <v>11.432700000000001</v>
      </c>
      <c r="J1066">
        <v>102841</v>
      </c>
      <c r="K1066">
        <v>3.9479000000000002</v>
      </c>
      <c r="L1066">
        <v>2.649</v>
      </c>
    </row>
    <row r="1067" spans="1:12" hidden="1" x14ac:dyDescent="0.25">
      <c r="A1067">
        <v>2330</v>
      </c>
      <c r="B1067" t="s">
        <v>11</v>
      </c>
      <c r="C1067" s="1">
        <v>40968</v>
      </c>
      <c r="D1067" s="2">
        <f t="shared" si="32"/>
        <v>3</v>
      </c>
      <c r="E1067" s="2">
        <f t="shared" si="33"/>
        <v>2</v>
      </c>
      <c r="F1067">
        <v>60.511499999999998</v>
      </c>
      <c r="G1067">
        <v>61.1905</v>
      </c>
      <c r="H1067">
        <v>59.907899999999998</v>
      </c>
      <c r="I1067">
        <v>61.1905</v>
      </c>
      <c r="J1067">
        <v>78339</v>
      </c>
      <c r="K1067">
        <v>2.4969999999999999</v>
      </c>
      <c r="L1067">
        <v>2.1410999999999998</v>
      </c>
    </row>
    <row r="1068" spans="1:12" x14ac:dyDescent="0.25">
      <c r="A1068">
        <v>2303</v>
      </c>
      <c r="B1068" t="s">
        <v>10</v>
      </c>
      <c r="C1068" s="1">
        <v>40969</v>
      </c>
      <c r="D1068" s="2">
        <f t="shared" si="32"/>
        <v>4</v>
      </c>
      <c r="E1068" s="2">
        <f t="shared" si="33"/>
        <v>3</v>
      </c>
      <c r="F1068">
        <v>11.432700000000001</v>
      </c>
      <c r="G1068">
        <v>11.5802</v>
      </c>
      <c r="H1068">
        <v>11.3589</v>
      </c>
      <c r="I1068">
        <v>11.5433</v>
      </c>
      <c r="J1068">
        <v>60246</v>
      </c>
      <c r="K1068">
        <v>0.96309999999999996</v>
      </c>
      <c r="L1068">
        <v>1.9480999999999999</v>
      </c>
    </row>
    <row r="1069" spans="1:12" hidden="1" x14ac:dyDescent="0.25">
      <c r="A1069">
        <v>2330</v>
      </c>
      <c r="B1069" t="s">
        <v>11</v>
      </c>
      <c r="C1069" s="1">
        <v>40969</v>
      </c>
      <c r="D1069" s="2">
        <f t="shared" si="32"/>
        <v>4</v>
      </c>
      <c r="E1069" s="2">
        <f t="shared" si="33"/>
        <v>3</v>
      </c>
      <c r="F1069">
        <v>61.115099999999998</v>
      </c>
      <c r="G1069">
        <v>61.115099999999998</v>
      </c>
      <c r="H1069">
        <v>60.436</v>
      </c>
      <c r="I1069">
        <v>60.436</v>
      </c>
      <c r="J1069">
        <v>21239</v>
      </c>
      <c r="K1069">
        <v>-1.2406999999999999</v>
      </c>
      <c r="L1069">
        <v>1.1235999999999999</v>
      </c>
    </row>
    <row r="1070" spans="1:12" x14ac:dyDescent="0.25">
      <c r="A1070">
        <v>2303</v>
      </c>
      <c r="B1070" t="s">
        <v>10</v>
      </c>
      <c r="C1070" s="1">
        <v>40970</v>
      </c>
      <c r="D1070" s="2">
        <f t="shared" si="32"/>
        <v>5</v>
      </c>
      <c r="E1070" s="2">
        <f t="shared" si="33"/>
        <v>3</v>
      </c>
      <c r="F1070">
        <v>11.5802</v>
      </c>
      <c r="G1070">
        <v>11.5802</v>
      </c>
      <c r="H1070">
        <v>11.2852</v>
      </c>
      <c r="I1070">
        <v>11.395799999999999</v>
      </c>
      <c r="J1070">
        <v>25994</v>
      </c>
      <c r="K1070">
        <v>-1.2862</v>
      </c>
      <c r="L1070">
        <v>2.6143999999999998</v>
      </c>
    </row>
    <row r="1071" spans="1:12" hidden="1" x14ac:dyDescent="0.25">
      <c r="A1071">
        <v>2330</v>
      </c>
      <c r="B1071" t="s">
        <v>11</v>
      </c>
      <c r="C1071" s="1">
        <v>40970</v>
      </c>
      <c r="D1071" s="2">
        <f t="shared" si="32"/>
        <v>5</v>
      </c>
      <c r="E1071" s="2">
        <f t="shared" si="33"/>
        <v>3</v>
      </c>
      <c r="F1071">
        <v>60.360599999999998</v>
      </c>
      <c r="G1071">
        <v>60.436</v>
      </c>
      <c r="H1071">
        <v>59.756999999999998</v>
      </c>
      <c r="I1071">
        <v>60.360599999999998</v>
      </c>
      <c r="J1071">
        <v>23912</v>
      </c>
      <c r="K1071">
        <v>-0.1249</v>
      </c>
      <c r="L1071">
        <v>1.1364000000000001</v>
      </c>
    </row>
    <row r="1072" spans="1:12" x14ac:dyDescent="0.25">
      <c r="A1072">
        <v>2303</v>
      </c>
      <c r="B1072" t="s">
        <v>10</v>
      </c>
      <c r="C1072" s="1">
        <v>40971</v>
      </c>
      <c r="D1072" s="2">
        <f t="shared" si="32"/>
        <v>6</v>
      </c>
      <c r="E1072" s="2">
        <f t="shared" si="33"/>
        <v>3</v>
      </c>
      <c r="F1072">
        <v>11.2852</v>
      </c>
      <c r="G1072">
        <v>11.322100000000001</v>
      </c>
      <c r="H1072">
        <v>11.211399999999999</v>
      </c>
      <c r="I1072">
        <v>11.2483</v>
      </c>
      <c r="J1072">
        <v>7798</v>
      </c>
      <c r="K1072">
        <v>-1.3029999999999999</v>
      </c>
      <c r="L1072">
        <v>0.98680000000000001</v>
      </c>
    </row>
    <row r="1073" spans="1:12" hidden="1" x14ac:dyDescent="0.25">
      <c r="A1073">
        <v>2330</v>
      </c>
      <c r="B1073" t="s">
        <v>11</v>
      </c>
      <c r="C1073" s="1">
        <v>40971</v>
      </c>
      <c r="D1073" s="2">
        <f t="shared" si="32"/>
        <v>6</v>
      </c>
      <c r="E1073" s="2">
        <f t="shared" si="33"/>
        <v>3</v>
      </c>
      <c r="F1073">
        <v>59.6815</v>
      </c>
      <c r="G1073">
        <v>60.058799999999998</v>
      </c>
      <c r="H1073">
        <v>59.6815</v>
      </c>
      <c r="I1073">
        <v>59.8324</v>
      </c>
      <c r="J1073">
        <v>7341</v>
      </c>
      <c r="K1073">
        <v>-0.87890000000000001</v>
      </c>
      <c r="L1073">
        <v>0.6321</v>
      </c>
    </row>
    <row r="1074" spans="1:12" x14ac:dyDescent="0.25">
      <c r="A1074">
        <v>2303</v>
      </c>
      <c r="B1074" t="s">
        <v>10</v>
      </c>
      <c r="C1074" s="1">
        <v>40973</v>
      </c>
      <c r="D1074" s="2">
        <f t="shared" si="32"/>
        <v>1</v>
      </c>
      <c r="E1074" s="2">
        <f t="shared" si="33"/>
        <v>3</v>
      </c>
      <c r="F1074">
        <v>11.211399999999999</v>
      </c>
      <c r="G1074">
        <v>11.2483</v>
      </c>
      <c r="H1074">
        <v>11.1008</v>
      </c>
      <c r="I1074">
        <v>11.137700000000001</v>
      </c>
      <c r="J1074">
        <v>24021</v>
      </c>
      <c r="K1074">
        <v>-0.98850000000000005</v>
      </c>
      <c r="L1074">
        <v>1.3289</v>
      </c>
    </row>
    <row r="1075" spans="1:12" hidden="1" x14ac:dyDescent="0.25">
      <c r="A1075">
        <v>2330</v>
      </c>
      <c r="B1075" t="s">
        <v>11</v>
      </c>
      <c r="C1075" s="1">
        <v>40973</v>
      </c>
      <c r="D1075" s="2">
        <f t="shared" si="32"/>
        <v>1</v>
      </c>
      <c r="E1075" s="2">
        <f t="shared" si="33"/>
        <v>3</v>
      </c>
      <c r="F1075">
        <v>59.3797</v>
      </c>
      <c r="G1075">
        <v>60.058799999999998</v>
      </c>
      <c r="H1075">
        <v>59.2288</v>
      </c>
      <c r="I1075">
        <v>59.5306</v>
      </c>
      <c r="J1075">
        <v>22825</v>
      </c>
      <c r="K1075">
        <v>-0.50570000000000004</v>
      </c>
      <c r="L1075">
        <v>1.4013</v>
      </c>
    </row>
    <row r="1076" spans="1:12" x14ac:dyDescent="0.25">
      <c r="A1076">
        <v>2303</v>
      </c>
      <c r="B1076" t="s">
        <v>10</v>
      </c>
      <c r="C1076" s="1">
        <v>40974</v>
      </c>
      <c r="D1076" s="2">
        <f t="shared" si="32"/>
        <v>2</v>
      </c>
      <c r="E1076" s="2">
        <f t="shared" si="33"/>
        <v>3</v>
      </c>
      <c r="F1076">
        <v>11.137700000000001</v>
      </c>
      <c r="G1076">
        <v>11.211399999999999</v>
      </c>
      <c r="H1076">
        <v>10.916399999999999</v>
      </c>
      <c r="I1076">
        <v>11.026999999999999</v>
      </c>
      <c r="J1076">
        <v>43612</v>
      </c>
      <c r="K1076">
        <v>-0.99829999999999997</v>
      </c>
      <c r="L1076">
        <v>2.7027000000000001</v>
      </c>
    </row>
    <row r="1077" spans="1:12" hidden="1" x14ac:dyDescent="0.25">
      <c r="A1077">
        <v>2330</v>
      </c>
      <c r="B1077" t="s">
        <v>11</v>
      </c>
      <c r="C1077" s="1">
        <v>40974</v>
      </c>
      <c r="D1077" s="2">
        <f t="shared" si="32"/>
        <v>2</v>
      </c>
      <c r="E1077" s="2">
        <f t="shared" si="33"/>
        <v>3</v>
      </c>
      <c r="F1077">
        <v>60.058799999999998</v>
      </c>
      <c r="G1077">
        <v>60.058799999999998</v>
      </c>
      <c r="H1077">
        <v>59.0779</v>
      </c>
      <c r="I1077">
        <v>59.9833</v>
      </c>
      <c r="J1077">
        <v>27779</v>
      </c>
      <c r="K1077">
        <v>0.75760000000000005</v>
      </c>
      <c r="L1077">
        <v>1.6603000000000001</v>
      </c>
    </row>
    <row r="1078" spans="1:12" x14ac:dyDescent="0.25">
      <c r="A1078">
        <v>2303</v>
      </c>
      <c r="B1078" t="s">
        <v>10</v>
      </c>
      <c r="C1078" s="1">
        <v>40975</v>
      </c>
      <c r="D1078" s="2">
        <f t="shared" si="32"/>
        <v>3</v>
      </c>
      <c r="E1078" s="2">
        <f t="shared" si="33"/>
        <v>3</v>
      </c>
      <c r="F1078">
        <v>10.916399999999999</v>
      </c>
      <c r="G1078">
        <v>10.9902</v>
      </c>
      <c r="H1078">
        <v>10.7689</v>
      </c>
      <c r="I1078">
        <v>10.7689</v>
      </c>
      <c r="J1078">
        <v>43482</v>
      </c>
      <c r="K1078">
        <v>-2.3690000000000002</v>
      </c>
      <c r="L1078">
        <v>2.0548000000000002</v>
      </c>
    </row>
    <row r="1079" spans="1:12" hidden="1" x14ac:dyDescent="0.25">
      <c r="A1079">
        <v>2330</v>
      </c>
      <c r="B1079" t="s">
        <v>11</v>
      </c>
      <c r="C1079" s="1">
        <v>40975</v>
      </c>
      <c r="D1079" s="2">
        <f t="shared" si="32"/>
        <v>3</v>
      </c>
      <c r="E1079" s="2">
        <f t="shared" si="33"/>
        <v>3</v>
      </c>
      <c r="F1079">
        <v>59.606099999999998</v>
      </c>
      <c r="G1079">
        <v>59.8324</v>
      </c>
      <c r="H1079">
        <v>59.3797</v>
      </c>
      <c r="I1079">
        <v>59.6815</v>
      </c>
      <c r="J1079">
        <v>30335</v>
      </c>
      <c r="K1079">
        <v>-0.50439999999999996</v>
      </c>
      <c r="L1079">
        <v>0.76239999999999997</v>
      </c>
    </row>
    <row r="1080" spans="1:12" x14ac:dyDescent="0.25">
      <c r="A1080">
        <v>2303</v>
      </c>
      <c r="B1080" t="s">
        <v>10</v>
      </c>
      <c r="C1080" s="1">
        <v>40976</v>
      </c>
      <c r="D1080" s="2">
        <f t="shared" si="32"/>
        <v>4</v>
      </c>
      <c r="E1080" s="2">
        <f t="shared" si="33"/>
        <v>3</v>
      </c>
      <c r="F1080">
        <v>10.916399999999999</v>
      </c>
      <c r="G1080">
        <v>10.9533</v>
      </c>
      <c r="H1080">
        <v>10.7689</v>
      </c>
      <c r="I1080">
        <v>10.8795</v>
      </c>
      <c r="J1080">
        <v>23224</v>
      </c>
      <c r="K1080">
        <v>1.0222</v>
      </c>
      <c r="L1080">
        <v>1.7122999999999999</v>
      </c>
    </row>
    <row r="1081" spans="1:12" hidden="1" x14ac:dyDescent="0.25">
      <c r="A1081">
        <v>2330</v>
      </c>
      <c r="B1081" t="s">
        <v>11</v>
      </c>
      <c r="C1081" s="1">
        <v>40976</v>
      </c>
      <c r="D1081" s="2">
        <f t="shared" si="32"/>
        <v>4</v>
      </c>
      <c r="E1081" s="2">
        <f t="shared" si="33"/>
        <v>3</v>
      </c>
      <c r="F1081">
        <v>60.209699999999998</v>
      </c>
      <c r="G1081">
        <v>60.511499999999998</v>
      </c>
      <c r="H1081">
        <v>59.756999999999998</v>
      </c>
      <c r="I1081">
        <v>60.1342</v>
      </c>
      <c r="J1081">
        <v>36967</v>
      </c>
      <c r="K1081">
        <v>0.75570000000000004</v>
      </c>
      <c r="L1081">
        <v>1.2625999999999999</v>
      </c>
    </row>
    <row r="1082" spans="1:12" x14ac:dyDescent="0.25">
      <c r="A1082">
        <v>2303</v>
      </c>
      <c r="B1082" t="s">
        <v>10</v>
      </c>
      <c r="C1082" s="1">
        <v>40977</v>
      </c>
      <c r="D1082" s="2">
        <f t="shared" si="32"/>
        <v>5</v>
      </c>
      <c r="E1082" s="2">
        <f t="shared" si="33"/>
        <v>3</v>
      </c>
      <c r="F1082">
        <v>10.8058</v>
      </c>
      <c r="G1082">
        <v>10.916399999999999</v>
      </c>
      <c r="H1082">
        <v>10.658200000000001</v>
      </c>
      <c r="I1082">
        <v>10.8795</v>
      </c>
      <c r="J1082">
        <v>32820</v>
      </c>
      <c r="K1082">
        <v>0</v>
      </c>
      <c r="L1082">
        <v>2.4220999999999999</v>
      </c>
    </row>
    <row r="1083" spans="1:12" hidden="1" x14ac:dyDescent="0.25">
      <c r="A1083">
        <v>2330</v>
      </c>
      <c r="B1083" t="s">
        <v>11</v>
      </c>
      <c r="C1083" s="1">
        <v>40977</v>
      </c>
      <c r="D1083" s="2">
        <f t="shared" si="32"/>
        <v>5</v>
      </c>
      <c r="E1083" s="2">
        <f t="shared" si="33"/>
        <v>3</v>
      </c>
      <c r="F1083">
        <v>59.9833</v>
      </c>
      <c r="G1083">
        <v>60.360599999999998</v>
      </c>
      <c r="H1083">
        <v>59.455199999999998</v>
      </c>
      <c r="I1083">
        <v>60.360599999999998</v>
      </c>
      <c r="J1083">
        <v>22731</v>
      </c>
      <c r="K1083">
        <v>0.37569999999999998</v>
      </c>
      <c r="L1083">
        <v>1.5227999999999999</v>
      </c>
    </row>
    <row r="1084" spans="1:12" x14ac:dyDescent="0.25">
      <c r="A1084">
        <v>2303</v>
      </c>
      <c r="B1084" t="s">
        <v>10</v>
      </c>
      <c r="C1084" s="1">
        <v>40980</v>
      </c>
      <c r="D1084" s="2">
        <f t="shared" si="32"/>
        <v>1</v>
      </c>
      <c r="E1084" s="2">
        <f t="shared" si="33"/>
        <v>3</v>
      </c>
      <c r="F1084">
        <v>10.916399999999999</v>
      </c>
      <c r="G1084">
        <v>10.916399999999999</v>
      </c>
      <c r="H1084">
        <v>10.7689</v>
      </c>
      <c r="I1084">
        <v>10.7689</v>
      </c>
      <c r="J1084">
        <v>13713</v>
      </c>
      <c r="K1084">
        <v>-1.0222</v>
      </c>
      <c r="L1084">
        <v>1.3698999999999999</v>
      </c>
    </row>
    <row r="1085" spans="1:12" hidden="1" x14ac:dyDescent="0.25">
      <c r="A1085">
        <v>2330</v>
      </c>
      <c r="B1085" t="s">
        <v>11</v>
      </c>
      <c r="C1085" s="1">
        <v>40980</v>
      </c>
      <c r="D1085" s="2">
        <f t="shared" si="32"/>
        <v>1</v>
      </c>
      <c r="E1085" s="2">
        <f t="shared" si="33"/>
        <v>3</v>
      </c>
      <c r="F1085">
        <v>60.511499999999998</v>
      </c>
      <c r="G1085">
        <v>60.7378</v>
      </c>
      <c r="H1085">
        <v>60.058799999999998</v>
      </c>
      <c r="I1085">
        <v>60.360599999999998</v>
      </c>
      <c r="J1085">
        <v>28952</v>
      </c>
      <c r="K1085">
        <v>0</v>
      </c>
      <c r="L1085">
        <v>1.1307</v>
      </c>
    </row>
    <row r="1086" spans="1:12" x14ac:dyDescent="0.25">
      <c r="A1086">
        <v>2303</v>
      </c>
      <c r="B1086" t="s">
        <v>10</v>
      </c>
      <c r="C1086" s="1">
        <v>40981</v>
      </c>
      <c r="D1086" s="2">
        <f t="shared" si="32"/>
        <v>2</v>
      </c>
      <c r="E1086" s="2">
        <f t="shared" si="33"/>
        <v>3</v>
      </c>
      <c r="F1086">
        <v>10.8795</v>
      </c>
      <c r="G1086">
        <v>11.211399999999999</v>
      </c>
      <c r="H1086">
        <v>10.842599999999999</v>
      </c>
      <c r="I1086">
        <v>11.1745</v>
      </c>
      <c r="J1086">
        <v>51938</v>
      </c>
      <c r="K1086">
        <v>3.6979000000000002</v>
      </c>
      <c r="L1086">
        <v>3.4014000000000002</v>
      </c>
    </row>
    <row r="1087" spans="1:12" hidden="1" x14ac:dyDescent="0.25">
      <c r="A1087">
        <v>2330</v>
      </c>
      <c r="B1087" t="s">
        <v>11</v>
      </c>
      <c r="C1087" s="1">
        <v>40981</v>
      </c>
      <c r="D1087" s="2">
        <f t="shared" si="32"/>
        <v>2</v>
      </c>
      <c r="E1087" s="2">
        <f t="shared" si="33"/>
        <v>3</v>
      </c>
      <c r="F1087">
        <v>60.813299999999998</v>
      </c>
      <c r="G1087">
        <v>61.3414</v>
      </c>
      <c r="H1087">
        <v>60.436</v>
      </c>
      <c r="I1087">
        <v>61.3414</v>
      </c>
      <c r="J1087">
        <v>48137</v>
      </c>
      <c r="K1087">
        <v>1.6119000000000001</v>
      </c>
      <c r="L1087">
        <v>1.4981</v>
      </c>
    </row>
    <row r="1088" spans="1:12" x14ac:dyDescent="0.25">
      <c r="A1088">
        <v>2303</v>
      </c>
      <c r="B1088" t="s">
        <v>10</v>
      </c>
      <c r="C1088" s="1">
        <v>40982</v>
      </c>
      <c r="D1088" s="2">
        <f t="shared" si="32"/>
        <v>3</v>
      </c>
      <c r="E1088" s="2">
        <f t="shared" si="33"/>
        <v>3</v>
      </c>
      <c r="F1088">
        <v>11.2852</v>
      </c>
      <c r="G1088">
        <v>11.3589</v>
      </c>
      <c r="H1088">
        <v>11.1008</v>
      </c>
      <c r="I1088">
        <v>11.211399999999999</v>
      </c>
      <c r="J1088">
        <v>59881</v>
      </c>
      <c r="K1088">
        <v>0.32950000000000002</v>
      </c>
      <c r="L1088">
        <v>2.3256000000000001</v>
      </c>
    </row>
    <row r="1089" spans="1:12" hidden="1" x14ac:dyDescent="0.25">
      <c r="A1089">
        <v>2330</v>
      </c>
      <c r="B1089" t="s">
        <v>11</v>
      </c>
      <c r="C1089" s="1">
        <v>40982</v>
      </c>
      <c r="D1089" s="2">
        <f t="shared" si="32"/>
        <v>3</v>
      </c>
      <c r="E1089" s="2">
        <f t="shared" si="33"/>
        <v>3</v>
      </c>
      <c r="F1089">
        <v>62.171399999999998</v>
      </c>
      <c r="G1089">
        <v>62.774999999999999</v>
      </c>
      <c r="H1089">
        <v>61.869599999999998</v>
      </c>
      <c r="I1089">
        <v>62.774999999999999</v>
      </c>
      <c r="J1089">
        <v>63309</v>
      </c>
      <c r="K1089">
        <v>2.3100999999999998</v>
      </c>
      <c r="L1089">
        <v>1.4634</v>
      </c>
    </row>
    <row r="1090" spans="1:12" x14ac:dyDescent="0.25">
      <c r="A1090">
        <v>2303</v>
      </c>
      <c r="B1090" t="s">
        <v>10</v>
      </c>
      <c r="C1090" s="1">
        <v>40983</v>
      </c>
      <c r="D1090" s="2">
        <f t="shared" si="32"/>
        <v>4</v>
      </c>
      <c r="E1090" s="2">
        <f t="shared" si="33"/>
        <v>3</v>
      </c>
      <c r="F1090">
        <v>11.2483</v>
      </c>
      <c r="G1090">
        <v>11.2483</v>
      </c>
      <c r="H1090">
        <v>11.1008</v>
      </c>
      <c r="I1090">
        <v>11.1008</v>
      </c>
      <c r="J1090">
        <v>46111</v>
      </c>
      <c r="K1090">
        <v>-0.99170000000000003</v>
      </c>
      <c r="L1090">
        <v>1.3289</v>
      </c>
    </row>
    <row r="1091" spans="1:12" hidden="1" x14ac:dyDescent="0.25">
      <c r="A1091">
        <v>2330</v>
      </c>
      <c r="B1091" t="s">
        <v>11</v>
      </c>
      <c r="C1091" s="1">
        <v>40983</v>
      </c>
      <c r="D1091" s="2">
        <f t="shared" ref="D1091:D1154" si="34">WEEKDAY(C1091,2)</f>
        <v>4</v>
      </c>
      <c r="E1091" s="2">
        <f t="shared" ref="E1091:E1154" si="35">MONTH(C1091)</f>
        <v>3</v>
      </c>
      <c r="F1091">
        <v>62.774999999999999</v>
      </c>
      <c r="G1091">
        <v>62.774999999999999</v>
      </c>
      <c r="H1091">
        <v>62.2468</v>
      </c>
      <c r="I1091">
        <v>62.774999999999999</v>
      </c>
      <c r="J1091">
        <v>30609</v>
      </c>
      <c r="K1091">
        <v>0</v>
      </c>
      <c r="L1091">
        <v>0.84850000000000003</v>
      </c>
    </row>
    <row r="1092" spans="1:12" x14ac:dyDescent="0.25">
      <c r="A1092">
        <v>2303</v>
      </c>
      <c r="B1092" t="s">
        <v>10</v>
      </c>
      <c r="C1092" s="1">
        <v>40984</v>
      </c>
      <c r="D1092" s="2">
        <f t="shared" si="34"/>
        <v>5</v>
      </c>
      <c r="E1092" s="2">
        <f t="shared" si="35"/>
        <v>3</v>
      </c>
      <c r="F1092">
        <v>11.211399999999999</v>
      </c>
      <c r="G1092">
        <v>11.322100000000001</v>
      </c>
      <c r="H1092">
        <v>11.026999999999999</v>
      </c>
      <c r="I1092">
        <v>11.026999999999999</v>
      </c>
      <c r="J1092">
        <v>44915</v>
      </c>
      <c r="K1092">
        <v>-0.66669999999999996</v>
      </c>
      <c r="L1092">
        <v>2.6756000000000002</v>
      </c>
    </row>
    <row r="1093" spans="1:12" hidden="1" x14ac:dyDescent="0.25">
      <c r="A1093">
        <v>2330</v>
      </c>
      <c r="B1093" t="s">
        <v>11</v>
      </c>
      <c r="C1093" s="1">
        <v>40984</v>
      </c>
      <c r="D1093" s="2">
        <f t="shared" si="34"/>
        <v>5</v>
      </c>
      <c r="E1093" s="2">
        <f t="shared" si="35"/>
        <v>3</v>
      </c>
      <c r="F1093">
        <v>62.774999999999999</v>
      </c>
      <c r="G1093">
        <v>63.227699999999999</v>
      </c>
      <c r="H1093">
        <v>61.1905</v>
      </c>
      <c r="I1093">
        <v>61.1905</v>
      </c>
      <c r="J1093">
        <v>29210</v>
      </c>
      <c r="K1093">
        <v>-2.5564</v>
      </c>
      <c r="L1093">
        <v>3.3292000000000002</v>
      </c>
    </row>
    <row r="1094" spans="1:12" x14ac:dyDescent="0.25">
      <c r="A1094">
        <v>2303</v>
      </c>
      <c r="B1094" t="s">
        <v>10</v>
      </c>
      <c r="C1094" s="1">
        <v>40987</v>
      </c>
      <c r="D1094" s="2">
        <f t="shared" si="34"/>
        <v>1</v>
      </c>
      <c r="E1094" s="2">
        <f t="shared" si="35"/>
        <v>3</v>
      </c>
      <c r="F1094">
        <v>11.1008</v>
      </c>
      <c r="G1094">
        <v>11.137700000000001</v>
      </c>
      <c r="H1094">
        <v>10.916399999999999</v>
      </c>
      <c r="I1094">
        <v>10.9902</v>
      </c>
      <c r="J1094">
        <v>23529</v>
      </c>
      <c r="K1094">
        <v>-0.33500000000000002</v>
      </c>
      <c r="L1094">
        <v>2.0270000000000001</v>
      </c>
    </row>
    <row r="1095" spans="1:12" hidden="1" x14ac:dyDescent="0.25">
      <c r="A1095">
        <v>2330</v>
      </c>
      <c r="B1095" t="s">
        <v>11</v>
      </c>
      <c r="C1095" s="1">
        <v>40987</v>
      </c>
      <c r="D1095" s="2">
        <f t="shared" si="34"/>
        <v>1</v>
      </c>
      <c r="E1095" s="2">
        <f t="shared" si="35"/>
        <v>3</v>
      </c>
      <c r="F1095">
        <v>63.152200000000001</v>
      </c>
      <c r="G1095">
        <v>63.529499999999999</v>
      </c>
      <c r="H1095">
        <v>62.171399999999998</v>
      </c>
      <c r="I1095">
        <v>63.152200000000001</v>
      </c>
      <c r="J1095">
        <v>37508</v>
      </c>
      <c r="K1095">
        <v>3.1556000000000002</v>
      </c>
      <c r="L1095">
        <v>2.1844999999999999</v>
      </c>
    </row>
    <row r="1096" spans="1:12" x14ac:dyDescent="0.25">
      <c r="A1096">
        <v>2303</v>
      </c>
      <c r="B1096" t="s">
        <v>10</v>
      </c>
      <c r="C1096" s="1">
        <v>40988</v>
      </c>
      <c r="D1096" s="2">
        <f t="shared" si="34"/>
        <v>2</v>
      </c>
      <c r="E1096" s="2">
        <f t="shared" si="35"/>
        <v>3</v>
      </c>
      <c r="F1096">
        <v>11.137700000000001</v>
      </c>
      <c r="G1096">
        <v>11.211399999999999</v>
      </c>
      <c r="H1096">
        <v>10.9902</v>
      </c>
      <c r="I1096">
        <v>11.0639</v>
      </c>
      <c r="J1096">
        <v>19894</v>
      </c>
      <c r="K1096">
        <v>0.66890000000000005</v>
      </c>
      <c r="L1096">
        <v>2.0133999999999999</v>
      </c>
    </row>
    <row r="1097" spans="1:12" hidden="1" x14ac:dyDescent="0.25">
      <c r="A1097">
        <v>2330</v>
      </c>
      <c r="B1097" t="s">
        <v>11</v>
      </c>
      <c r="C1097" s="1">
        <v>40988</v>
      </c>
      <c r="D1097" s="2">
        <f t="shared" si="34"/>
        <v>2</v>
      </c>
      <c r="E1097" s="2">
        <f t="shared" si="35"/>
        <v>3</v>
      </c>
      <c r="F1097">
        <v>63.378599999999999</v>
      </c>
      <c r="G1097">
        <v>63.454000000000001</v>
      </c>
      <c r="H1097">
        <v>62.473199999999999</v>
      </c>
      <c r="I1097">
        <v>62.774999999999999</v>
      </c>
      <c r="J1097">
        <v>30105</v>
      </c>
      <c r="K1097">
        <v>-0.59919999999999995</v>
      </c>
      <c r="L1097">
        <v>1.57</v>
      </c>
    </row>
    <row r="1098" spans="1:12" x14ac:dyDescent="0.25">
      <c r="A1098">
        <v>2303</v>
      </c>
      <c r="B1098" t="s">
        <v>10</v>
      </c>
      <c r="C1098" s="1">
        <v>40989</v>
      </c>
      <c r="D1098" s="2">
        <f t="shared" si="34"/>
        <v>3</v>
      </c>
      <c r="E1098" s="2">
        <f t="shared" si="35"/>
        <v>3</v>
      </c>
      <c r="F1098">
        <v>11.0639</v>
      </c>
      <c r="G1098">
        <v>11.1745</v>
      </c>
      <c r="H1098">
        <v>11.026999999999999</v>
      </c>
      <c r="I1098">
        <v>11.0639</v>
      </c>
      <c r="J1098">
        <v>23366</v>
      </c>
      <c r="K1098">
        <v>0</v>
      </c>
      <c r="L1098">
        <v>1.3378000000000001</v>
      </c>
    </row>
    <row r="1099" spans="1:12" hidden="1" x14ac:dyDescent="0.25">
      <c r="A1099">
        <v>2330</v>
      </c>
      <c r="B1099" t="s">
        <v>11</v>
      </c>
      <c r="C1099" s="1">
        <v>40989</v>
      </c>
      <c r="D1099" s="2">
        <f t="shared" si="34"/>
        <v>3</v>
      </c>
      <c r="E1099" s="2">
        <f t="shared" si="35"/>
        <v>3</v>
      </c>
      <c r="F1099">
        <v>63.982199999999999</v>
      </c>
      <c r="G1099">
        <v>64.284000000000006</v>
      </c>
      <c r="H1099">
        <v>63.227699999999999</v>
      </c>
      <c r="I1099">
        <v>64.057599999999994</v>
      </c>
      <c r="J1099">
        <v>76183</v>
      </c>
      <c r="K1099">
        <v>2.0226999999999999</v>
      </c>
      <c r="L1099">
        <v>1.6706000000000001</v>
      </c>
    </row>
    <row r="1100" spans="1:12" x14ac:dyDescent="0.25">
      <c r="A1100">
        <v>2303</v>
      </c>
      <c r="B1100" t="s">
        <v>10</v>
      </c>
      <c r="C1100" s="1">
        <v>40990</v>
      </c>
      <c r="D1100" s="2">
        <f t="shared" si="34"/>
        <v>4</v>
      </c>
      <c r="E1100" s="2">
        <f t="shared" si="35"/>
        <v>3</v>
      </c>
      <c r="F1100">
        <v>11.0639</v>
      </c>
      <c r="G1100">
        <v>11.395799999999999</v>
      </c>
      <c r="H1100">
        <v>11.0639</v>
      </c>
      <c r="I1100">
        <v>11.2852</v>
      </c>
      <c r="J1100">
        <v>44333</v>
      </c>
      <c r="K1100">
        <v>1.9802999999999999</v>
      </c>
      <c r="L1100">
        <v>3</v>
      </c>
    </row>
    <row r="1101" spans="1:12" hidden="1" x14ac:dyDescent="0.25">
      <c r="A1101">
        <v>2330</v>
      </c>
      <c r="B1101" t="s">
        <v>11</v>
      </c>
      <c r="C1101" s="1">
        <v>40990</v>
      </c>
      <c r="D1101" s="2">
        <f t="shared" si="34"/>
        <v>4</v>
      </c>
      <c r="E1101" s="2">
        <f t="shared" si="35"/>
        <v>3</v>
      </c>
      <c r="F1101">
        <v>64.133099999999999</v>
      </c>
      <c r="G1101">
        <v>64.661199999999994</v>
      </c>
      <c r="H1101">
        <v>63.604900000000001</v>
      </c>
      <c r="I1101">
        <v>64.284000000000006</v>
      </c>
      <c r="J1101">
        <v>38057</v>
      </c>
      <c r="K1101">
        <v>0.35270000000000001</v>
      </c>
      <c r="L1101">
        <v>1.6607000000000001</v>
      </c>
    </row>
    <row r="1102" spans="1:12" x14ac:dyDescent="0.25">
      <c r="A1102">
        <v>2303</v>
      </c>
      <c r="B1102" t="s">
        <v>10</v>
      </c>
      <c r="C1102" s="1">
        <v>40991</v>
      </c>
      <c r="D1102" s="2">
        <f t="shared" si="34"/>
        <v>5</v>
      </c>
      <c r="E1102" s="2">
        <f t="shared" si="35"/>
        <v>3</v>
      </c>
      <c r="F1102">
        <v>11.322100000000001</v>
      </c>
      <c r="G1102">
        <v>11.322100000000001</v>
      </c>
      <c r="H1102">
        <v>11.137700000000001</v>
      </c>
      <c r="I1102">
        <v>11.2483</v>
      </c>
      <c r="J1102">
        <v>13143</v>
      </c>
      <c r="K1102">
        <v>-0.32729999999999998</v>
      </c>
      <c r="L1102">
        <v>1.6556</v>
      </c>
    </row>
    <row r="1103" spans="1:12" hidden="1" x14ac:dyDescent="0.25">
      <c r="A1103">
        <v>2330</v>
      </c>
      <c r="B1103" t="s">
        <v>11</v>
      </c>
      <c r="C1103" s="1">
        <v>40991</v>
      </c>
      <c r="D1103" s="2">
        <f t="shared" si="34"/>
        <v>5</v>
      </c>
      <c r="E1103" s="2">
        <f t="shared" si="35"/>
        <v>3</v>
      </c>
      <c r="F1103">
        <v>64.133099999999999</v>
      </c>
      <c r="G1103">
        <v>64.434899999999999</v>
      </c>
      <c r="H1103">
        <v>63.680399999999999</v>
      </c>
      <c r="I1103">
        <v>64.434899999999999</v>
      </c>
      <c r="J1103">
        <v>29495</v>
      </c>
      <c r="K1103">
        <v>0.23449999999999999</v>
      </c>
      <c r="L1103">
        <v>1.1848000000000001</v>
      </c>
    </row>
    <row r="1104" spans="1:12" x14ac:dyDescent="0.25">
      <c r="A1104">
        <v>2303</v>
      </c>
      <c r="B1104" t="s">
        <v>10</v>
      </c>
      <c r="C1104" s="1">
        <v>40994</v>
      </c>
      <c r="D1104" s="2">
        <f t="shared" si="34"/>
        <v>1</v>
      </c>
      <c r="E1104" s="2">
        <f t="shared" si="35"/>
        <v>3</v>
      </c>
      <c r="F1104">
        <v>11.211399999999999</v>
      </c>
      <c r="G1104">
        <v>11.211399999999999</v>
      </c>
      <c r="H1104">
        <v>10.9533</v>
      </c>
      <c r="I1104">
        <v>10.9902</v>
      </c>
      <c r="J1104">
        <v>39343</v>
      </c>
      <c r="K1104">
        <v>-2.3218000000000001</v>
      </c>
      <c r="L1104">
        <v>2.3569</v>
      </c>
    </row>
    <row r="1105" spans="1:12" hidden="1" x14ac:dyDescent="0.25">
      <c r="A1105">
        <v>2330</v>
      </c>
      <c r="B1105" t="s">
        <v>11</v>
      </c>
      <c r="C1105" s="1">
        <v>40994</v>
      </c>
      <c r="D1105" s="2">
        <f t="shared" si="34"/>
        <v>1</v>
      </c>
      <c r="E1105" s="2">
        <f t="shared" si="35"/>
        <v>3</v>
      </c>
      <c r="F1105">
        <v>64.208500000000001</v>
      </c>
      <c r="G1105">
        <v>64.208500000000001</v>
      </c>
      <c r="H1105">
        <v>62.2468</v>
      </c>
      <c r="I1105">
        <v>63.076799999999999</v>
      </c>
      <c r="J1105">
        <v>59940</v>
      </c>
      <c r="K1105">
        <v>-2.1303000000000001</v>
      </c>
      <c r="L1105">
        <v>3.1515</v>
      </c>
    </row>
    <row r="1106" spans="1:12" x14ac:dyDescent="0.25">
      <c r="A1106">
        <v>2303</v>
      </c>
      <c r="B1106" t="s">
        <v>10</v>
      </c>
      <c r="C1106" s="1">
        <v>40995</v>
      </c>
      <c r="D1106" s="2">
        <f t="shared" si="34"/>
        <v>2</v>
      </c>
      <c r="E1106" s="2">
        <f t="shared" si="35"/>
        <v>3</v>
      </c>
      <c r="F1106">
        <v>11.1008</v>
      </c>
      <c r="G1106">
        <v>11.137700000000001</v>
      </c>
      <c r="H1106">
        <v>11.026999999999999</v>
      </c>
      <c r="I1106">
        <v>11.137700000000001</v>
      </c>
      <c r="J1106">
        <v>18435</v>
      </c>
      <c r="K1106">
        <v>1.3333999999999999</v>
      </c>
      <c r="L1106">
        <v>1.0033000000000001</v>
      </c>
    </row>
    <row r="1107" spans="1:12" hidden="1" x14ac:dyDescent="0.25">
      <c r="A1107">
        <v>2330</v>
      </c>
      <c r="B1107" t="s">
        <v>11</v>
      </c>
      <c r="C1107" s="1">
        <v>40995</v>
      </c>
      <c r="D1107" s="2">
        <f t="shared" si="34"/>
        <v>2</v>
      </c>
      <c r="E1107" s="2">
        <f t="shared" si="35"/>
        <v>3</v>
      </c>
      <c r="F1107">
        <v>64.133099999999999</v>
      </c>
      <c r="G1107">
        <v>64.736699999999999</v>
      </c>
      <c r="H1107">
        <v>63.604900000000001</v>
      </c>
      <c r="I1107">
        <v>64.736699999999999</v>
      </c>
      <c r="J1107">
        <v>38560</v>
      </c>
      <c r="K1107">
        <v>2.5975000000000001</v>
      </c>
      <c r="L1107">
        <v>1.7794000000000001</v>
      </c>
    </row>
    <row r="1108" spans="1:12" x14ac:dyDescent="0.25">
      <c r="A1108">
        <v>2303</v>
      </c>
      <c r="B1108" t="s">
        <v>10</v>
      </c>
      <c r="C1108" s="1">
        <v>40996</v>
      </c>
      <c r="D1108" s="2">
        <f t="shared" si="34"/>
        <v>3</v>
      </c>
      <c r="E1108" s="2">
        <f t="shared" si="35"/>
        <v>3</v>
      </c>
      <c r="F1108">
        <v>11.0639</v>
      </c>
      <c r="G1108">
        <v>11.137700000000001</v>
      </c>
      <c r="H1108">
        <v>10.9902</v>
      </c>
      <c r="I1108">
        <v>11.137700000000001</v>
      </c>
      <c r="J1108">
        <v>13023</v>
      </c>
      <c r="K1108">
        <v>0</v>
      </c>
      <c r="L1108">
        <v>1.3423</v>
      </c>
    </row>
    <row r="1109" spans="1:12" hidden="1" x14ac:dyDescent="0.25">
      <c r="A1109">
        <v>2330</v>
      </c>
      <c r="B1109" t="s">
        <v>11</v>
      </c>
      <c r="C1109" s="1">
        <v>40996</v>
      </c>
      <c r="D1109" s="2">
        <f t="shared" si="34"/>
        <v>3</v>
      </c>
      <c r="E1109" s="2">
        <f t="shared" si="35"/>
        <v>3</v>
      </c>
      <c r="F1109">
        <v>65.264899999999997</v>
      </c>
      <c r="G1109">
        <v>65.264899999999997</v>
      </c>
      <c r="H1109">
        <v>63.831299999999999</v>
      </c>
      <c r="I1109">
        <v>64.510300000000001</v>
      </c>
      <c r="J1109">
        <v>28304</v>
      </c>
      <c r="K1109">
        <v>-0.3503</v>
      </c>
      <c r="L1109">
        <v>2.2458999999999998</v>
      </c>
    </row>
    <row r="1110" spans="1:12" x14ac:dyDescent="0.25">
      <c r="A1110">
        <v>2303</v>
      </c>
      <c r="B1110" t="s">
        <v>10</v>
      </c>
      <c r="C1110" s="1">
        <v>40997</v>
      </c>
      <c r="D1110" s="2">
        <f t="shared" si="34"/>
        <v>4</v>
      </c>
      <c r="E1110" s="2">
        <f t="shared" si="35"/>
        <v>3</v>
      </c>
      <c r="F1110">
        <v>10.9902</v>
      </c>
      <c r="G1110">
        <v>11.026999999999999</v>
      </c>
      <c r="H1110">
        <v>10.731999999999999</v>
      </c>
      <c r="I1110">
        <v>10.842599999999999</v>
      </c>
      <c r="J1110">
        <v>41980</v>
      </c>
      <c r="K1110">
        <v>-2.6846999999999999</v>
      </c>
      <c r="L1110">
        <v>2.7490999999999999</v>
      </c>
    </row>
    <row r="1111" spans="1:12" hidden="1" x14ac:dyDescent="0.25">
      <c r="A1111">
        <v>2330</v>
      </c>
      <c r="B1111" t="s">
        <v>11</v>
      </c>
      <c r="C1111" s="1">
        <v>40997</v>
      </c>
      <c r="D1111" s="2">
        <f t="shared" si="34"/>
        <v>4</v>
      </c>
      <c r="E1111" s="2">
        <f t="shared" si="35"/>
        <v>3</v>
      </c>
      <c r="F1111">
        <v>63.755800000000001</v>
      </c>
      <c r="G1111">
        <v>63.755800000000001</v>
      </c>
      <c r="H1111">
        <v>62.925899999999999</v>
      </c>
      <c r="I1111">
        <v>63.454000000000001</v>
      </c>
      <c r="J1111">
        <v>49939</v>
      </c>
      <c r="K1111">
        <v>-1.651</v>
      </c>
      <c r="L1111">
        <v>1.3189</v>
      </c>
    </row>
    <row r="1112" spans="1:12" x14ac:dyDescent="0.25">
      <c r="A1112">
        <v>2303</v>
      </c>
      <c r="B1112" t="s">
        <v>10</v>
      </c>
      <c r="C1112" s="1">
        <v>40998</v>
      </c>
      <c r="D1112" s="2">
        <f t="shared" si="34"/>
        <v>5</v>
      </c>
      <c r="E1112" s="2">
        <f t="shared" si="35"/>
        <v>3</v>
      </c>
      <c r="F1112">
        <v>10.658200000000001</v>
      </c>
      <c r="G1112">
        <v>10.6951</v>
      </c>
      <c r="H1112">
        <v>10.473800000000001</v>
      </c>
      <c r="I1112">
        <v>10.658200000000001</v>
      </c>
      <c r="J1112">
        <v>58424</v>
      </c>
      <c r="K1112">
        <v>-1.7153</v>
      </c>
      <c r="L1112">
        <v>2.1126999999999998</v>
      </c>
    </row>
    <row r="1113" spans="1:12" hidden="1" x14ac:dyDescent="0.25">
      <c r="A1113">
        <v>2330</v>
      </c>
      <c r="B1113" t="s">
        <v>11</v>
      </c>
      <c r="C1113" s="1">
        <v>40998</v>
      </c>
      <c r="D1113" s="2">
        <f t="shared" si="34"/>
        <v>5</v>
      </c>
      <c r="E1113" s="2">
        <f t="shared" si="35"/>
        <v>3</v>
      </c>
      <c r="F1113">
        <v>63.152200000000001</v>
      </c>
      <c r="G1113">
        <v>64.057599999999994</v>
      </c>
      <c r="H1113">
        <v>62.5486</v>
      </c>
      <c r="I1113">
        <v>64.057599999999994</v>
      </c>
      <c r="J1113">
        <v>43825</v>
      </c>
      <c r="K1113">
        <v>0.94679999999999997</v>
      </c>
      <c r="L1113">
        <v>2.4125000000000001</v>
      </c>
    </row>
    <row r="1114" spans="1:12" x14ac:dyDescent="0.25">
      <c r="A1114">
        <v>2303</v>
      </c>
      <c r="B1114" t="s">
        <v>10</v>
      </c>
      <c r="C1114" s="1">
        <v>41001</v>
      </c>
      <c r="D1114" s="2">
        <f t="shared" si="34"/>
        <v>1</v>
      </c>
      <c r="E1114" s="2">
        <f t="shared" si="35"/>
        <v>4</v>
      </c>
      <c r="F1114">
        <v>10.658200000000001</v>
      </c>
      <c r="G1114">
        <v>10.658200000000001</v>
      </c>
      <c r="H1114">
        <v>10.4001</v>
      </c>
      <c r="I1114">
        <v>10.473800000000001</v>
      </c>
      <c r="J1114">
        <v>26495</v>
      </c>
      <c r="K1114">
        <v>-1.7452000000000001</v>
      </c>
      <c r="L1114">
        <v>2.4823</v>
      </c>
    </row>
    <row r="1115" spans="1:12" hidden="1" x14ac:dyDescent="0.25">
      <c r="A1115">
        <v>2330</v>
      </c>
      <c r="B1115" t="s">
        <v>11</v>
      </c>
      <c r="C1115" s="1">
        <v>41001</v>
      </c>
      <c r="D1115" s="2">
        <f t="shared" si="34"/>
        <v>1</v>
      </c>
      <c r="E1115" s="2">
        <f t="shared" si="35"/>
        <v>4</v>
      </c>
      <c r="F1115">
        <v>63.982199999999999</v>
      </c>
      <c r="G1115">
        <v>64.284000000000006</v>
      </c>
      <c r="H1115">
        <v>63.378599999999999</v>
      </c>
      <c r="I1115">
        <v>64.208500000000001</v>
      </c>
      <c r="J1115">
        <v>23685</v>
      </c>
      <c r="K1115">
        <v>0.23530000000000001</v>
      </c>
      <c r="L1115">
        <v>1.4286000000000001</v>
      </c>
    </row>
    <row r="1116" spans="1:12" x14ac:dyDescent="0.25">
      <c r="A1116">
        <v>2303</v>
      </c>
      <c r="B1116" t="s">
        <v>10</v>
      </c>
      <c r="C1116" s="1">
        <v>41002</v>
      </c>
      <c r="D1116" s="2">
        <f t="shared" si="34"/>
        <v>2</v>
      </c>
      <c r="E1116" s="2">
        <f t="shared" si="35"/>
        <v>4</v>
      </c>
      <c r="F1116">
        <v>10.547599999999999</v>
      </c>
      <c r="G1116">
        <v>10.658200000000001</v>
      </c>
      <c r="H1116">
        <v>10.5107</v>
      </c>
      <c r="I1116">
        <v>10.5845</v>
      </c>
      <c r="J1116">
        <v>34276</v>
      </c>
      <c r="K1116">
        <v>1.0508</v>
      </c>
      <c r="L1116">
        <v>1.4035</v>
      </c>
    </row>
    <row r="1117" spans="1:12" hidden="1" x14ac:dyDescent="0.25">
      <c r="A1117">
        <v>2330</v>
      </c>
      <c r="B1117" t="s">
        <v>11</v>
      </c>
      <c r="C1117" s="1">
        <v>41002</v>
      </c>
      <c r="D1117" s="2">
        <f t="shared" si="34"/>
        <v>2</v>
      </c>
      <c r="E1117" s="2">
        <f t="shared" si="35"/>
        <v>4</v>
      </c>
      <c r="F1117">
        <v>64.133099999999999</v>
      </c>
      <c r="G1117">
        <v>64.133099999999999</v>
      </c>
      <c r="H1117">
        <v>63.227699999999999</v>
      </c>
      <c r="I1117">
        <v>64.133099999999999</v>
      </c>
      <c r="J1117">
        <v>31283</v>
      </c>
      <c r="K1117">
        <v>-0.1176</v>
      </c>
      <c r="L1117">
        <v>1.4319999999999999</v>
      </c>
    </row>
    <row r="1118" spans="1:12" x14ac:dyDescent="0.25">
      <c r="A1118">
        <v>2303</v>
      </c>
      <c r="B1118" t="s">
        <v>10</v>
      </c>
      <c r="C1118" s="1">
        <v>41004</v>
      </c>
      <c r="D1118" s="2">
        <f t="shared" si="34"/>
        <v>4</v>
      </c>
      <c r="E1118" s="2">
        <f t="shared" si="35"/>
        <v>4</v>
      </c>
      <c r="F1118">
        <v>10.252599999999999</v>
      </c>
      <c r="G1118">
        <v>10.473800000000001</v>
      </c>
      <c r="H1118">
        <v>10.252599999999999</v>
      </c>
      <c r="I1118">
        <v>10.363200000000001</v>
      </c>
      <c r="J1118">
        <v>26907</v>
      </c>
      <c r="K1118">
        <v>-2.1128</v>
      </c>
      <c r="L1118">
        <v>2.1583000000000001</v>
      </c>
    </row>
    <row r="1119" spans="1:12" hidden="1" x14ac:dyDescent="0.25">
      <c r="A1119">
        <v>2330</v>
      </c>
      <c r="B1119" t="s">
        <v>11</v>
      </c>
      <c r="C1119" s="1">
        <v>41004</v>
      </c>
      <c r="D1119" s="2">
        <f t="shared" si="34"/>
        <v>4</v>
      </c>
      <c r="E1119" s="2">
        <f t="shared" si="35"/>
        <v>4</v>
      </c>
      <c r="F1119">
        <v>62.8504</v>
      </c>
      <c r="G1119">
        <v>63.378599999999999</v>
      </c>
      <c r="H1119">
        <v>62.6995</v>
      </c>
      <c r="I1119">
        <v>62.6995</v>
      </c>
      <c r="J1119">
        <v>47674</v>
      </c>
      <c r="K1119">
        <v>-2.2606999999999999</v>
      </c>
      <c r="L1119">
        <v>1.083</v>
      </c>
    </row>
    <row r="1120" spans="1:12" x14ac:dyDescent="0.25">
      <c r="A1120">
        <v>2303</v>
      </c>
      <c r="B1120" t="s">
        <v>10</v>
      </c>
      <c r="C1120" s="1">
        <v>41005</v>
      </c>
      <c r="D1120" s="2">
        <f t="shared" si="34"/>
        <v>5</v>
      </c>
      <c r="E1120" s="2">
        <f t="shared" si="35"/>
        <v>4</v>
      </c>
      <c r="F1120">
        <v>10.363200000000001</v>
      </c>
      <c r="G1120">
        <v>10.436999999999999</v>
      </c>
      <c r="H1120">
        <v>10.3263</v>
      </c>
      <c r="I1120">
        <v>10.3263</v>
      </c>
      <c r="J1120">
        <v>41486</v>
      </c>
      <c r="K1120">
        <v>-0.35649999999999998</v>
      </c>
      <c r="L1120">
        <v>1.0713999999999999</v>
      </c>
    </row>
    <row r="1121" spans="1:12" hidden="1" x14ac:dyDescent="0.25">
      <c r="A1121">
        <v>2330</v>
      </c>
      <c r="B1121" t="s">
        <v>11</v>
      </c>
      <c r="C1121" s="1">
        <v>41005</v>
      </c>
      <c r="D1121" s="2">
        <f t="shared" si="34"/>
        <v>5</v>
      </c>
      <c r="E1121" s="2">
        <f t="shared" si="35"/>
        <v>4</v>
      </c>
      <c r="F1121">
        <v>63.378599999999999</v>
      </c>
      <c r="G1121">
        <v>63.378599999999999</v>
      </c>
      <c r="H1121">
        <v>62.6995</v>
      </c>
      <c r="I1121">
        <v>63.227699999999999</v>
      </c>
      <c r="J1121">
        <v>34112</v>
      </c>
      <c r="K1121">
        <v>0.83879999999999999</v>
      </c>
      <c r="L1121">
        <v>1.083</v>
      </c>
    </row>
    <row r="1122" spans="1:12" x14ac:dyDescent="0.25">
      <c r="A1122">
        <v>2303</v>
      </c>
      <c r="B1122" t="s">
        <v>10</v>
      </c>
      <c r="C1122" s="1">
        <v>41008</v>
      </c>
      <c r="D1122" s="2">
        <f t="shared" si="34"/>
        <v>1</v>
      </c>
      <c r="E1122" s="2">
        <f t="shared" si="35"/>
        <v>4</v>
      </c>
      <c r="F1122">
        <v>10.1419</v>
      </c>
      <c r="G1122">
        <v>10.4001</v>
      </c>
      <c r="H1122">
        <v>9.9944000000000006</v>
      </c>
      <c r="I1122">
        <v>10.2157</v>
      </c>
      <c r="J1122">
        <v>31345</v>
      </c>
      <c r="K1122">
        <v>-1.0771999999999999</v>
      </c>
      <c r="L1122">
        <v>4.0590000000000002</v>
      </c>
    </row>
    <row r="1123" spans="1:12" hidden="1" x14ac:dyDescent="0.25">
      <c r="A1123">
        <v>2330</v>
      </c>
      <c r="B1123" t="s">
        <v>11</v>
      </c>
      <c r="C1123" s="1">
        <v>41008</v>
      </c>
      <c r="D1123" s="2">
        <f t="shared" si="34"/>
        <v>1</v>
      </c>
      <c r="E1123" s="2">
        <f t="shared" si="35"/>
        <v>4</v>
      </c>
      <c r="F1123">
        <v>61.869599999999998</v>
      </c>
      <c r="G1123">
        <v>63.076799999999999</v>
      </c>
      <c r="H1123">
        <v>61.869599999999998</v>
      </c>
      <c r="I1123">
        <v>62.624099999999999</v>
      </c>
      <c r="J1123">
        <v>23247</v>
      </c>
      <c r="K1123">
        <v>-0.95920000000000005</v>
      </c>
      <c r="L1123">
        <v>1.9512</v>
      </c>
    </row>
    <row r="1124" spans="1:12" x14ac:dyDescent="0.25">
      <c r="A1124">
        <v>2303</v>
      </c>
      <c r="B1124" t="s">
        <v>10</v>
      </c>
      <c r="C1124" s="1">
        <v>41009</v>
      </c>
      <c r="D1124" s="2">
        <f t="shared" si="34"/>
        <v>2</v>
      </c>
      <c r="E1124" s="2">
        <f t="shared" si="35"/>
        <v>4</v>
      </c>
      <c r="F1124">
        <v>10.4001</v>
      </c>
      <c r="G1124">
        <v>10.547599999999999</v>
      </c>
      <c r="H1124">
        <v>10.4001</v>
      </c>
      <c r="I1124">
        <v>10.436999999999999</v>
      </c>
      <c r="J1124">
        <v>39556</v>
      </c>
      <c r="K1124">
        <v>2.1429</v>
      </c>
      <c r="L1124">
        <v>1.4184000000000001</v>
      </c>
    </row>
    <row r="1125" spans="1:12" hidden="1" x14ac:dyDescent="0.25">
      <c r="A1125">
        <v>2330</v>
      </c>
      <c r="B1125" t="s">
        <v>11</v>
      </c>
      <c r="C1125" s="1">
        <v>41009</v>
      </c>
      <c r="D1125" s="2">
        <f t="shared" si="34"/>
        <v>2</v>
      </c>
      <c r="E1125" s="2">
        <f t="shared" si="35"/>
        <v>4</v>
      </c>
      <c r="F1125">
        <v>62.6995</v>
      </c>
      <c r="G1125">
        <v>63.001300000000001</v>
      </c>
      <c r="H1125">
        <v>61.718699999999998</v>
      </c>
      <c r="I1125">
        <v>61.869599999999998</v>
      </c>
      <c r="J1125">
        <v>33387</v>
      </c>
      <c r="K1125">
        <v>-1.2121</v>
      </c>
      <c r="L1125">
        <v>2.0781999999999998</v>
      </c>
    </row>
    <row r="1126" spans="1:12" x14ac:dyDescent="0.25">
      <c r="A1126">
        <v>2303</v>
      </c>
      <c r="B1126" t="s">
        <v>10</v>
      </c>
      <c r="C1126" s="1">
        <v>41010</v>
      </c>
      <c r="D1126" s="2">
        <f t="shared" si="34"/>
        <v>3</v>
      </c>
      <c r="E1126" s="2">
        <f t="shared" si="35"/>
        <v>4</v>
      </c>
      <c r="F1126">
        <v>10.4001</v>
      </c>
      <c r="G1126">
        <v>10.6951</v>
      </c>
      <c r="H1126">
        <v>10.289400000000001</v>
      </c>
      <c r="I1126">
        <v>10.5845</v>
      </c>
      <c r="J1126">
        <v>29099</v>
      </c>
      <c r="K1126">
        <v>1.4035</v>
      </c>
      <c r="L1126">
        <v>3.9426999999999999</v>
      </c>
    </row>
    <row r="1127" spans="1:12" hidden="1" x14ac:dyDescent="0.25">
      <c r="A1127">
        <v>2330</v>
      </c>
      <c r="B1127" t="s">
        <v>11</v>
      </c>
      <c r="C1127" s="1">
        <v>41010</v>
      </c>
      <c r="D1127" s="2">
        <f t="shared" si="34"/>
        <v>3</v>
      </c>
      <c r="E1127" s="2">
        <f t="shared" si="35"/>
        <v>4</v>
      </c>
      <c r="F1127">
        <v>61.869599999999998</v>
      </c>
      <c r="G1127">
        <v>63.001300000000001</v>
      </c>
      <c r="H1127">
        <v>61.6432</v>
      </c>
      <c r="I1127">
        <v>62.171399999999998</v>
      </c>
      <c r="J1127">
        <v>40770</v>
      </c>
      <c r="K1127">
        <v>0.48659999999999998</v>
      </c>
      <c r="L1127">
        <v>2.2031999999999998</v>
      </c>
    </row>
    <row r="1128" spans="1:12" x14ac:dyDescent="0.25">
      <c r="A1128">
        <v>2303</v>
      </c>
      <c r="B1128" t="s">
        <v>10</v>
      </c>
      <c r="C1128" s="1">
        <v>41011</v>
      </c>
      <c r="D1128" s="2">
        <f t="shared" si="34"/>
        <v>4</v>
      </c>
      <c r="E1128" s="2">
        <f t="shared" si="35"/>
        <v>4</v>
      </c>
      <c r="F1128">
        <v>10.6214</v>
      </c>
      <c r="G1128">
        <v>10.6214</v>
      </c>
      <c r="H1128">
        <v>10.4001</v>
      </c>
      <c r="I1128">
        <v>10.4001</v>
      </c>
      <c r="J1128">
        <v>22524</v>
      </c>
      <c r="K1128">
        <v>-1.7575000000000001</v>
      </c>
      <c r="L1128">
        <v>2.1276999999999999</v>
      </c>
    </row>
    <row r="1129" spans="1:12" hidden="1" x14ac:dyDescent="0.25">
      <c r="A1129">
        <v>2330</v>
      </c>
      <c r="B1129" t="s">
        <v>11</v>
      </c>
      <c r="C1129" s="1">
        <v>41011</v>
      </c>
      <c r="D1129" s="2">
        <f t="shared" si="34"/>
        <v>4</v>
      </c>
      <c r="E1129" s="2">
        <f t="shared" si="35"/>
        <v>4</v>
      </c>
      <c r="F1129">
        <v>62.2468</v>
      </c>
      <c r="G1129">
        <v>62.3977</v>
      </c>
      <c r="H1129">
        <v>61.4923</v>
      </c>
      <c r="I1129">
        <v>62.322299999999998</v>
      </c>
      <c r="J1129">
        <v>39454</v>
      </c>
      <c r="K1129">
        <v>0.2424</v>
      </c>
      <c r="L1129">
        <v>1.4723999999999999</v>
      </c>
    </row>
    <row r="1130" spans="1:12" x14ac:dyDescent="0.25">
      <c r="A1130">
        <v>2303</v>
      </c>
      <c r="B1130" t="s">
        <v>10</v>
      </c>
      <c r="C1130" s="1">
        <v>41012</v>
      </c>
      <c r="D1130" s="2">
        <f t="shared" si="34"/>
        <v>5</v>
      </c>
      <c r="E1130" s="2">
        <f t="shared" si="35"/>
        <v>4</v>
      </c>
      <c r="F1130">
        <v>10.547599999999999</v>
      </c>
      <c r="G1130">
        <v>10.6951</v>
      </c>
      <c r="H1130">
        <v>10.5107</v>
      </c>
      <c r="I1130">
        <v>10.658200000000001</v>
      </c>
      <c r="J1130">
        <v>26863</v>
      </c>
      <c r="K1130">
        <v>2.452</v>
      </c>
      <c r="L1130">
        <v>1.7544</v>
      </c>
    </row>
    <row r="1131" spans="1:12" hidden="1" x14ac:dyDescent="0.25">
      <c r="A1131">
        <v>2330</v>
      </c>
      <c r="B1131" t="s">
        <v>11</v>
      </c>
      <c r="C1131" s="1">
        <v>41012</v>
      </c>
      <c r="D1131" s="2">
        <f t="shared" si="34"/>
        <v>5</v>
      </c>
      <c r="E1131" s="2">
        <f t="shared" si="35"/>
        <v>4</v>
      </c>
      <c r="F1131">
        <v>62.925899999999999</v>
      </c>
      <c r="G1131">
        <v>64.133099999999999</v>
      </c>
      <c r="H1131">
        <v>62.3977</v>
      </c>
      <c r="I1131">
        <v>64.057599999999994</v>
      </c>
      <c r="J1131">
        <v>44743</v>
      </c>
      <c r="K1131">
        <v>2.7464</v>
      </c>
      <c r="L1131">
        <v>2.7810999999999999</v>
      </c>
    </row>
    <row r="1132" spans="1:12" x14ac:dyDescent="0.25">
      <c r="A1132">
        <v>2303</v>
      </c>
      <c r="B1132" t="s">
        <v>10</v>
      </c>
      <c r="C1132" s="1">
        <v>41015</v>
      </c>
      <c r="D1132" s="2">
        <f t="shared" si="34"/>
        <v>1</v>
      </c>
      <c r="E1132" s="2">
        <f t="shared" si="35"/>
        <v>4</v>
      </c>
      <c r="F1132">
        <v>10.547599999999999</v>
      </c>
      <c r="G1132">
        <v>10.5845</v>
      </c>
      <c r="H1132">
        <v>10.436999999999999</v>
      </c>
      <c r="I1132">
        <v>10.5107</v>
      </c>
      <c r="J1132">
        <v>9796</v>
      </c>
      <c r="K1132">
        <v>-1.3937999999999999</v>
      </c>
      <c r="L1132">
        <v>1.4134</v>
      </c>
    </row>
    <row r="1133" spans="1:12" hidden="1" x14ac:dyDescent="0.25">
      <c r="A1133">
        <v>2330</v>
      </c>
      <c r="B1133" t="s">
        <v>11</v>
      </c>
      <c r="C1133" s="1">
        <v>41015</v>
      </c>
      <c r="D1133" s="2">
        <f t="shared" si="34"/>
        <v>1</v>
      </c>
      <c r="E1133" s="2">
        <f t="shared" si="35"/>
        <v>4</v>
      </c>
      <c r="F1133">
        <v>63.831299999999999</v>
      </c>
      <c r="G1133">
        <v>64.133099999999999</v>
      </c>
      <c r="H1133">
        <v>63.227699999999999</v>
      </c>
      <c r="I1133">
        <v>64.057599999999994</v>
      </c>
      <c r="J1133">
        <v>19776</v>
      </c>
      <c r="K1133">
        <v>0</v>
      </c>
      <c r="L1133">
        <v>1.4319999999999999</v>
      </c>
    </row>
    <row r="1134" spans="1:12" x14ac:dyDescent="0.25">
      <c r="A1134">
        <v>2303</v>
      </c>
      <c r="B1134" t="s">
        <v>10</v>
      </c>
      <c r="C1134" s="1">
        <v>41016</v>
      </c>
      <c r="D1134" s="2">
        <f t="shared" si="34"/>
        <v>2</v>
      </c>
      <c r="E1134" s="2">
        <f t="shared" si="35"/>
        <v>4</v>
      </c>
      <c r="F1134">
        <v>10.473800000000001</v>
      </c>
      <c r="G1134">
        <v>10.5107</v>
      </c>
      <c r="H1134">
        <v>10.363200000000001</v>
      </c>
      <c r="I1134">
        <v>10.473800000000001</v>
      </c>
      <c r="J1134">
        <v>23829</v>
      </c>
      <c r="K1134">
        <v>-0.35149999999999998</v>
      </c>
      <c r="L1134">
        <v>1.4235</v>
      </c>
    </row>
    <row r="1135" spans="1:12" hidden="1" x14ac:dyDescent="0.25">
      <c r="A1135">
        <v>2330</v>
      </c>
      <c r="B1135" t="s">
        <v>11</v>
      </c>
      <c r="C1135" s="1">
        <v>41016</v>
      </c>
      <c r="D1135" s="2">
        <f t="shared" si="34"/>
        <v>2</v>
      </c>
      <c r="E1135" s="2">
        <f t="shared" si="35"/>
        <v>4</v>
      </c>
      <c r="F1135">
        <v>64.057599999999994</v>
      </c>
      <c r="G1135">
        <v>64.057599999999994</v>
      </c>
      <c r="H1135">
        <v>62.925899999999999</v>
      </c>
      <c r="I1135">
        <v>63.227699999999999</v>
      </c>
      <c r="J1135">
        <v>29502</v>
      </c>
      <c r="K1135">
        <v>-1.3041</v>
      </c>
      <c r="L1135">
        <v>1.7986</v>
      </c>
    </row>
    <row r="1136" spans="1:12" x14ac:dyDescent="0.25">
      <c r="A1136">
        <v>2303</v>
      </c>
      <c r="B1136" t="s">
        <v>10</v>
      </c>
      <c r="C1136" s="1">
        <v>41017</v>
      </c>
      <c r="D1136" s="2">
        <f t="shared" si="34"/>
        <v>3</v>
      </c>
      <c r="E1136" s="2">
        <f t="shared" si="35"/>
        <v>4</v>
      </c>
      <c r="F1136">
        <v>10.6214</v>
      </c>
      <c r="G1136">
        <v>10.658200000000001</v>
      </c>
      <c r="H1136">
        <v>10.436999999999999</v>
      </c>
      <c r="I1136">
        <v>10.436999999999999</v>
      </c>
      <c r="J1136">
        <v>21685</v>
      </c>
      <c r="K1136">
        <v>-0.35270000000000001</v>
      </c>
      <c r="L1136">
        <v>2.1200999999999999</v>
      </c>
    </row>
    <row r="1137" spans="1:12" hidden="1" x14ac:dyDescent="0.25">
      <c r="A1137">
        <v>2330</v>
      </c>
      <c r="B1137" t="s">
        <v>11</v>
      </c>
      <c r="C1137" s="1">
        <v>41017</v>
      </c>
      <c r="D1137" s="2">
        <f t="shared" si="34"/>
        <v>3</v>
      </c>
      <c r="E1137" s="2">
        <f t="shared" si="35"/>
        <v>4</v>
      </c>
      <c r="F1137">
        <v>64.133099999999999</v>
      </c>
      <c r="G1137">
        <v>64.133099999999999</v>
      </c>
      <c r="H1137">
        <v>63.680399999999999</v>
      </c>
      <c r="I1137">
        <v>64.133099999999999</v>
      </c>
      <c r="J1137">
        <v>32818</v>
      </c>
      <c r="K1137">
        <v>1.4218</v>
      </c>
      <c r="L1137">
        <v>0.71089999999999998</v>
      </c>
    </row>
    <row r="1138" spans="1:12" x14ac:dyDescent="0.25">
      <c r="A1138">
        <v>2303</v>
      </c>
      <c r="B1138" t="s">
        <v>10</v>
      </c>
      <c r="C1138" s="1">
        <v>41018</v>
      </c>
      <c r="D1138" s="2">
        <f t="shared" si="34"/>
        <v>4</v>
      </c>
      <c r="E1138" s="2">
        <f t="shared" si="35"/>
        <v>4</v>
      </c>
      <c r="F1138">
        <v>10.5107</v>
      </c>
      <c r="G1138">
        <v>10.731999999999999</v>
      </c>
      <c r="H1138">
        <v>10.436999999999999</v>
      </c>
      <c r="I1138">
        <v>10.6951</v>
      </c>
      <c r="J1138">
        <v>24965</v>
      </c>
      <c r="K1138">
        <v>2.4434</v>
      </c>
      <c r="L1138">
        <v>2.8269000000000002</v>
      </c>
    </row>
    <row r="1139" spans="1:12" hidden="1" x14ac:dyDescent="0.25">
      <c r="A1139">
        <v>2330</v>
      </c>
      <c r="B1139" t="s">
        <v>11</v>
      </c>
      <c r="C1139" s="1">
        <v>41018</v>
      </c>
      <c r="D1139" s="2">
        <f t="shared" si="34"/>
        <v>4</v>
      </c>
      <c r="E1139" s="2">
        <f t="shared" si="35"/>
        <v>4</v>
      </c>
      <c r="F1139">
        <v>63.755800000000001</v>
      </c>
      <c r="G1139">
        <v>64.736699999999999</v>
      </c>
      <c r="H1139">
        <v>63.604900000000001</v>
      </c>
      <c r="I1139">
        <v>64.736699999999999</v>
      </c>
      <c r="J1139">
        <v>31617</v>
      </c>
      <c r="K1139">
        <v>0.93679999999999997</v>
      </c>
      <c r="L1139">
        <v>1.7794000000000001</v>
      </c>
    </row>
    <row r="1140" spans="1:12" x14ac:dyDescent="0.25">
      <c r="A1140">
        <v>2303</v>
      </c>
      <c r="B1140" t="s">
        <v>10</v>
      </c>
      <c r="C1140" s="1">
        <v>41019</v>
      </c>
      <c r="D1140" s="2">
        <f t="shared" si="34"/>
        <v>5</v>
      </c>
      <c r="E1140" s="2">
        <f t="shared" si="35"/>
        <v>4</v>
      </c>
      <c r="F1140">
        <v>10.7689</v>
      </c>
      <c r="G1140">
        <v>10.8058</v>
      </c>
      <c r="H1140">
        <v>10.6214</v>
      </c>
      <c r="I1140">
        <v>10.7689</v>
      </c>
      <c r="J1140">
        <v>32362</v>
      </c>
      <c r="K1140">
        <v>0.68730000000000002</v>
      </c>
      <c r="L1140">
        <v>1.7361</v>
      </c>
    </row>
    <row r="1141" spans="1:12" hidden="1" x14ac:dyDescent="0.25">
      <c r="A1141">
        <v>2330</v>
      </c>
      <c r="B1141" t="s">
        <v>11</v>
      </c>
      <c r="C1141" s="1">
        <v>41019</v>
      </c>
      <c r="D1141" s="2">
        <f t="shared" si="34"/>
        <v>5</v>
      </c>
      <c r="E1141" s="2">
        <f t="shared" si="35"/>
        <v>4</v>
      </c>
      <c r="F1141">
        <v>64.133099999999999</v>
      </c>
      <c r="G1141">
        <v>64.661199999999994</v>
      </c>
      <c r="H1141">
        <v>63.454000000000001</v>
      </c>
      <c r="I1141">
        <v>63.604900000000001</v>
      </c>
      <c r="J1141">
        <v>29213</v>
      </c>
      <c r="K1141">
        <v>-1.7637</v>
      </c>
      <c r="L1141">
        <v>1.9025000000000001</v>
      </c>
    </row>
    <row r="1142" spans="1:12" x14ac:dyDescent="0.25">
      <c r="A1142">
        <v>2303</v>
      </c>
      <c r="B1142" t="s">
        <v>10</v>
      </c>
      <c r="C1142" s="1">
        <v>41022</v>
      </c>
      <c r="D1142" s="2">
        <f t="shared" si="34"/>
        <v>1</v>
      </c>
      <c r="E1142" s="2">
        <f t="shared" si="35"/>
        <v>4</v>
      </c>
      <c r="F1142">
        <v>10.842599999999999</v>
      </c>
      <c r="G1142">
        <v>11.1008</v>
      </c>
      <c r="H1142">
        <v>10.842599999999999</v>
      </c>
      <c r="I1142">
        <v>11.1008</v>
      </c>
      <c r="J1142">
        <v>45565</v>
      </c>
      <c r="K1142">
        <v>3.0356000000000001</v>
      </c>
      <c r="L1142">
        <v>2.3809999999999998</v>
      </c>
    </row>
    <row r="1143" spans="1:12" hidden="1" x14ac:dyDescent="0.25">
      <c r="A1143">
        <v>2330</v>
      </c>
      <c r="B1143" t="s">
        <v>11</v>
      </c>
      <c r="C1143" s="1">
        <v>41022</v>
      </c>
      <c r="D1143" s="2">
        <f t="shared" si="34"/>
        <v>1</v>
      </c>
      <c r="E1143" s="2">
        <f t="shared" si="35"/>
        <v>4</v>
      </c>
      <c r="F1143">
        <v>63.529499999999999</v>
      </c>
      <c r="G1143">
        <v>63.831299999999999</v>
      </c>
      <c r="H1143">
        <v>62.925899999999999</v>
      </c>
      <c r="I1143">
        <v>63.604900000000001</v>
      </c>
      <c r="J1143">
        <v>20351</v>
      </c>
      <c r="K1143">
        <v>0</v>
      </c>
      <c r="L1143">
        <v>1.4388000000000001</v>
      </c>
    </row>
    <row r="1144" spans="1:12" x14ac:dyDescent="0.25">
      <c r="A1144">
        <v>2303</v>
      </c>
      <c r="B1144" t="s">
        <v>10</v>
      </c>
      <c r="C1144" s="1">
        <v>41023</v>
      </c>
      <c r="D1144" s="2">
        <f t="shared" si="34"/>
        <v>2</v>
      </c>
      <c r="E1144" s="2">
        <f t="shared" si="35"/>
        <v>4</v>
      </c>
      <c r="F1144">
        <v>11.0639</v>
      </c>
      <c r="G1144">
        <v>11.0639</v>
      </c>
      <c r="H1144">
        <v>10.731999999999999</v>
      </c>
      <c r="I1144">
        <v>10.8795</v>
      </c>
      <c r="J1144">
        <v>31425</v>
      </c>
      <c r="K1144">
        <v>-2.0135000000000001</v>
      </c>
      <c r="L1144">
        <v>3.0928</v>
      </c>
    </row>
    <row r="1145" spans="1:12" hidden="1" x14ac:dyDescent="0.25">
      <c r="A1145">
        <v>2330</v>
      </c>
      <c r="B1145" t="s">
        <v>11</v>
      </c>
      <c r="C1145" s="1">
        <v>41023</v>
      </c>
      <c r="D1145" s="2">
        <f t="shared" si="34"/>
        <v>2</v>
      </c>
      <c r="E1145" s="2">
        <f t="shared" si="35"/>
        <v>4</v>
      </c>
      <c r="F1145">
        <v>63.227699999999999</v>
      </c>
      <c r="G1145">
        <v>63.831299999999999</v>
      </c>
      <c r="H1145">
        <v>63.076799999999999</v>
      </c>
      <c r="I1145">
        <v>63.831299999999999</v>
      </c>
      <c r="J1145">
        <v>33319</v>
      </c>
      <c r="K1145">
        <v>0.35520000000000002</v>
      </c>
      <c r="L1145">
        <v>1.1961999999999999</v>
      </c>
    </row>
    <row r="1146" spans="1:12" x14ac:dyDescent="0.25">
      <c r="A1146">
        <v>2303</v>
      </c>
      <c r="B1146" t="s">
        <v>10</v>
      </c>
      <c r="C1146" s="1">
        <v>41024</v>
      </c>
      <c r="D1146" s="2">
        <f t="shared" si="34"/>
        <v>3</v>
      </c>
      <c r="E1146" s="2">
        <f t="shared" si="35"/>
        <v>4</v>
      </c>
      <c r="F1146">
        <v>10.8795</v>
      </c>
      <c r="G1146">
        <v>11.0639</v>
      </c>
      <c r="H1146">
        <v>10.842599999999999</v>
      </c>
      <c r="I1146">
        <v>10.9902</v>
      </c>
      <c r="J1146">
        <v>37478</v>
      </c>
      <c r="K1146">
        <v>1.0118</v>
      </c>
      <c r="L1146">
        <v>2.0407999999999999</v>
      </c>
    </row>
    <row r="1147" spans="1:12" hidden="1" x14ac:dyDescent="0.25">
      <c r="A1147">
        <v>2330</v>
      </c>
      <c r="B1147" t="s">
        <v>11</v>
      </c>
      <c r="C1147" s="1">
        <v>41024</v>
      </c>
      <c r="D1147" s="2">
        <f t="shared" si="34"/>
        <v>3</v>
      </c>
      <c r="E1147" s="2">
        <f t="shared" si="35"/>
        <v>4</v>
      </c>
      <c r="F1147">
        <v>64.057599999999994</v>
      </c>
      <c r="G1147">
        <v>64.057599999999994</v>
      </c>
      <c r="H1147">
        <v>63.303100000000001</v>
      </c>
      <c r="I1147">
        <v>63.529499999999999</v>
      </c>
      <c r="J1147">
        <v>49611</v>
      </c>
      <c r="K1147">
        <v>-0.47389999999999999</v>
      </c>
      <c r="L1147">
        <v>1.1919</v>
      </c>
    </row>
    <row r="1148" spans="1:12" x14ac:dyDescent="0.25">
      <c r="A1148">
        <v>2303</v>
      </c>
      <c r="B1148" t="s">
        <v>10</v>
      </c>
      <c r="C1148" s="1">
        <v>41025</v>
      </c>
      <c r="D1148" s="2">
        <f t="shared" si="34"/>
        <v>4</v>
      </c>
      <c r="E1148" s="2">
        <f t="shared" si="35"/>
        <v>4</v>
      </c>
      <c r="F1148">
        <v>11.211399999999999</v>
      </c>
      <c r="G1148">
        <v>11.211399999999999</v>
      </c>
      <c r="H1148">
        <v>10.9533</v>
      </c>
      <c r="I1148">
        <v>11.026999999999999</v>
      </c>
      <c r="J1148">
        <v>53612</v>
      </c>
      <c r="K1148">
        <v>0.33500000000000002</v>
      </c>
      <c r="L1148">
        <v>2.3569</v>
      </c>
    </row>
    <row r="1149" spans="1:12" hidden="1" x14ac:dyDescent="0.25">
      <c r="A1149">
        <v>2330</v>
      </c>
      <c r="B1149" t="s">
        <v>11</v>
      </c>
      <c r="C1149" s="1">
        <v>41025</v>
      </c>
      <c r="D1149" s="2">
        <f t="shared" si="34"/>
        <v>4</v>
      </c>
      <c r="E1149" s="2">
        <f t="shared" si="35"/>
        <v>4</v>
      </c>
      <c r="F1149">
        <v>63.529499999999999</v>
      </c>
      <c r="G1149">
        <v>63.529499999999999</v>
      </c>
      <c r="H1149">
        <v>63.001300000000001</v>
      </c>
      <c r="I1149">
        <v>63.378599999999999</v>
      </c>
      <c r="J1149">
        <v>21066</v>
      </c>
      <c r="K1149">
        <v>-0.23780000000000001</v>
      </c>
      <c r="L1149">
        <v>0.83830000000000005</v>
      </c>
    </row>
    <row r="1150" spans="1:12" x14ac:dyDescent="0.25">
      <c r="A1150">
        <v>2303</v>
      </c>
      <c r="B1150" t="s">
        <v>10</v>
      </c>
      <c r="C1150" s="1">
        <v>41026</v>
      </c>
      <c r="D1150" s="2">
        <f t="shared" si="34"/>
        <v>5</v>
      </c>
      <c r="E1150" s="2">
        <f t="shared" si="35"/>
        <v>4</v>
      </c>
      <c r="F1150">
        <v>11.1745</v>
      </c>
      <c r="G1150">
        <v>11.395799999999999</v>
      </c>
      <c r="H1150">
        <v>11.1745</v>
      </c>
      <c r="I1150">
        <v>11.2852</v>
      </c>
      <c r="J1150">
        <v>87180</v>
      </c>
      <c r="K1150">
        <v>2.3142</v>
      </c>
      <c r="L1150">
        <v>1.9802</v>
      </c>
    </row>
    <row r="1151" spans="1:12" hidden="1" x14ac:dyDescent="0.25">
      <c r="A1151">
        <v>2330</v>
      </c>
      <c r="B1151" t="s">
        <v>11</v>
      </c>
      <c r="C1151" s="1">
        <v>41026</v>
      </c>
      <c r="D1151" s="2">
        <f t="shared" si="34"/>
        <v>5</v>
      </c>
      <c r="E1151" s="2">
        <f t="shared" si="35"/>
        <v>4</v>
      </c>
      <c r="F1151">
        <v>65.642099999999999</v>
      </c>
      <c r="G1151">
        <v>67.7547</v>
      </c>
      <c r="H1151">
        <v>64.887600000000006</v>
      </c>
      <c r="I1151">
        <v>64.887600000000006</v>
      </c>
      <c r="J1151">
        <v>118848</v>
      </c>
      <c r="K1151">
        <v>2.3530000000000002</v>
      </c>
      <c r="L1151">
        <v>4.4185999999999996</v>
      </c>
    </row>
    <row r="1152" spans="1:12" x14ac:dyDescent="0.25">
      <c r="A1152">
        <v>2303</v>
      </c>
      <c r="B1152" t="s">
        <v>10</v>
      </c>
      <c r="C1152" s="1">
        <v>41029</v>
      </c>
      <c r="D1152" s="2">
        <f t="shared" si="34"/>
        <v>1</v>
      </c>
      <c r="E1152" s="2">
        <f t="shared" si="35"/>
        <v>4</v>
      </c>
      <c r="F1152">
        <v>11.322100000000001</v>
      </c>
      <c r="G1152">
        <v>11.432700000000001</v>
      </c>
      <c r="H1152">
        <v>11.211399999999999</v>
      </c>
      <c r="I1152">
        <v>11.2852</v>
      </c>
      <c r="J1152">
        <v>50827</v>
      </c>
      <c r="K1152">
        <v>0</v>
      </c>
      <c r="L1152">
        <v>1.9737</v>
      </c>
    </row>
    <row r="1153" spans="1:12" hidden="1" x14ac:dyDescent="0.25">
      <c r="A1153">
        <v>2330</v>
      </c>
      <c r="B1153" t="s">
        <v>11</v>
      </c>
      <c r="C1153" s="1">
        <v>41029</v>
      </c>
      <c r="D1153" s="2">
        <f t="shared" si="34"/>
        <v>1</v>
      </c>
      <c r="E1153" s="2">
        <f t="shared" si="35"/>
        <v>4</v>
      </c>
      <c r="F1153">
        <v>65.114000000000004</v>
      </c>
      <c r="G1153">
        <v>65.943899999999999</v>
      </c>
      <c r="H1153">
        <v>64.661199999999994</v>
      </c>
      <c r="I1153">
        <v>65.491200000000006</v>
      </c>
      <c r="J1153">
        <v>47647</v>
      </c>
      <c r="K1153">
        <v>0.92589999999999995</v>
      </c>
      <c r="L1153">
        <v>1.9837</v>
      </c>
    </row>
    <row r="1154" spans="1:12" x14ac:dyDescent="0.25">
      <c r="A1154">
        <v>2303</v>
      </c>
      <c r="B1154" t="s">
        <v>10</v>
      </c>
      <c r="C1154" s="1">
        <v>41031</v>
      </c>
      <c r="D1154" s="2">
        <f t="shared" si="34"/>
        <v>3</v>
      </c>
      <c r="E1154" s="2">
        <f t="shared" si="35"/>
        <v>5</v>
      </c>
      <c r="F1154">
        <v>11.359</v>
      </c>
      <c r="G1154">
        <v>11.506500000000001</v>
      </c>
      <c r="H1154">
        <v>11.322100000000001</v>
      </c>
      <c r="I1154">
        <v>11.4696</v>
      </c>
      <c r="J1154">
        <v>62745</v>
      </c>
      <c r="K1154">
        <v>1.6208</v>
      </c>
      <c r="L1154">
        <v>1.6287</v>
      </c>
    </row>
    <row r="1155" spans="1:12" hidden="1" x14ac:dyDescent="0.25">
      <c r="A1155">
        <v>2330</v>
      </c>
      <c r="B1155" t="s">
        <v>11</v>
      </c>
      <c r="C1155" s="1">
        <v>41031</v>
      </c>
      <c r="D1155" s="2">
        <f t="shared" ref="D1155:D1218" si="36">WEEKDAY(C1155,2)</f>
        <v>3</v>
      </c>
      <c r="E1155" s="2">
        <f t="shared" ref="E1155:E1218" si="37">MONTH(C1155)</f>
        <v>5</v>
      </c>
      <c r="F1155">
        <v>65.642099999999999</v>
      </c>
      <c r="G1155">
        <v>67.075699999999998</v>
      </c>
      <c r="H1155">
        <v>65.491200000000006</v>
      </c>
      <c r="I1155">
        <v>66.698400000000007</v>
      </c>
      <c r="J1155">
        <v>48249</v>
      </c>
      <c r="K1155">
        <v>1.8265</v>
      </c>
      <c r="L1155">
        <v>2.4194</v>
      </c>
    </row>
    <row r="1156" spans="1:12" x14ac:dyDescent="0.25">
      <c r="A1156">
        <v>2303</v>
      </c>
      <c r="B1156" t="s">
        <v>10</v>
      </c>
      <c r="C1156" s="1">
        <v>41032</v>
      </c>
      <c r="D1156" s="2">
        <f t="shared" si="36"/>
        <v>4</v>
      </c>
      <c r="E1156" s="2">
        <f t="shared" si="37"/>
        <v>5</v>
      </c>
      <c r="F1156">
        <v>11.432700000000001</v>
      </c>
      <c r="G1156">
        <v>11.4696</v>
      </c>
      <c r="H1156">
        <v>11.395799999999999</v>
      </c>
      <c r="I1156">
        <v>11.4696</v>
      </c>
      <c r="J1156">
        <v>21493</v>
      </c>
      <c r="K1156">
        <v>0</v>
      </c>
      <c r="L1156">
        <v>0.6472</v>
      </c>
    </row>
    <row r="1157" spans="1:12" hidden="1" x14ac:dyDescent="0.25">
      <c r="A1157">
        <v>2330</v>
      </c>
      <c r="B1157" t="s">
        <v>11</v>
      </c>
      <c r="C1157" s="1">
        <v>41032</v>
      </c>
      <c r="D1157" s="2">
        <f t="shared" si="36"/>
        <v>4</v>
      </c>
      <c r="E1157" s="2">
        <f t="shared" si="37"/>
        <v>5</v>
      </c>
      <c r="F1157">
        <v>66.698400000000007</v>
      </c>
      <c r="G1157">
        <v>67.1511</v>
      </c>
      <c r="H1157">
        <v>66.321200000000005</v>
      </c>
      <c r="I1157">
        <v>67.075699999999998</v>
      </c>
      <c r="J1157">
        <v>27728</v>
      </c>
      <c r="K1157">
        <v>0.56399999999999995</v>
      </c>
      <c r="L1157">
        <v>1.2514000000000001</v>
      </c>
    </row>
    <row r="1158" spans="1:12" x14ac:dyDescent="0.25">
      <c r="A1158">
        <v>2303</v>
      </c>
      <c r="B1158" t="s">
        <v>10</v>
      </c>
      <c r="C1158" s="1">
        <v>41033</v>
      </c>
      <c r="D1158" s="2">
        <f t="shared" si="36"/>
        <v>5</v>
      </c>
      <c r="E1158" s="2">
        <f t="shared" si="37"/>
        <v>5</v>
      </c>
      <c r="F1158">
        <v>11.322100000000001</v>
      </c>
      <c r="G1158">
        <v>11.395799999999999</v>
      </c>
      <c r="H1158">
        <v>11.211399999999999</v>
      </c>
      <c r="I1158">
        <v>11.2483</v>
      </c>
      <c r="J1158">
        <v>30050</v>
      </c>
      <c r="K1158">
        <v>-1.9480999999999999</v>
      </c>
      <c r="L1158">
        <v>1.6447000000000001</v>
      </c>
    </row>
    <row r="1159" spans="1:12" hidden="1" x14ac:dyDescent="0.25">
      <c r="A1159">
        <v>2330</v>
      </c>
      <c r="B1159" t="s">
        <v>11</v>
      </c>
      <c r="C1159" s="1">
        <v>41033</v>
      </c>
      <c r="D1159" s="2">
        <f t="shared" si="36"/>
        <v>5</v>
      </c>
      <c r="E1159" s="2">
        <f t="shared" si="37"/>
        <v>5</v>
      </c>
      <c r="F1159">
        <v>65.415800000000004</v>
      </c>
      <c r="G1159">
        <v>66.396600000000007</v>
      </c>
      <c r="H1159">
        <v>65.415800000000004</v>
      </c>
      <c r="I1159">
        <v>66.094800000000006</v>
      </c>
      <c r="J1159">
        <v>37719</v>
      </c>
      <c r="K1159">
        <v>-1.4731000000000001</v>
      </c>
      <c r="L1159">
        <v>1.4994000000000001</v>
      </c>
    </row>
    <row r="1160" spans="1:12" x14ac:dyDescent="0.25">
      <c r="A1160">
        <v>2303</v>
      </c>
      <c r="B1160" t="s">
        <v>10</v>
      </c>
      <c r="C1160" s="1">
        <v>41036</v>
      </c>
      <c r="D1160" s="2">
        <f t="shared" si="36"/>
        <v>1</v>
      </c>
      <c r="E1160" s="2">
        <f t="shared" si="37"/>
        <v>5</v>
      </c>
      <c r="F1160">
        <v>11.0639</v>
      </c>
      <c r="G1160">
        <v>11.0639</v>
      </c>
      <c r="H1160">
        <v>10.658200000000001</v>
      </c>
      <c r="I1160">
        <v>10.6951</v>
      </c>
      <c r="J1160">
        <v>77705</v>
      </c>
      <c r="K1160">
        <v>-5.0430999999999999</v>
      </c>
      <c r="L1160">
        <v>3.8062</v>
      </c>
    </row>
    <row r="1161" spans="1:12" hidden="1" x14ac:dyDescent="0.25">
      <c r="A1161">
        <v>2330</v>
      </c>
      <c r="B1161" t="s">
        <v>11</v>
      </c>
      <c r="C1161" s="1">
        <v>41036</v>
      </c>
      <c r="D1161" s="2">
        <f t="shared" si="36"/>
        <v>1</v>
      </c>
      <c r="E1161" s="2">
        <f t="shared" si="37"/>
        <v>5</v>
      </c>
      <c r="F1161">
        <v>65.264899999999997</v>
      </c>
      <c r="G1161">
        <v>65.264899999999997</v>
      </c>
      <c r="H1161">
        <v>64.133099999999999</v>
      </c>
      <c r="I1161">
        <v>64.585800000000006</v>
      </c>
      <c r="J1161">
        <v>47917</v>
      </c>
      <c r="K1161">
        <v>-2.3096000000000001</v>
      </c>
      <c r="L1161">
        <v>1.7646999999999999</v>
      </c>
    </row>
    <row r="1162" spans="1:12" x14ac:dyDescent="0.25">
      <c r="A1162">
        <v>2303</v>
      </c>
      <c r="B1162" t="s">
        <v>10</v>
      </c>
      <c r="C1162" s="1">
        <v>41037</v>
      </c>
      <c r="D1162" s="2">
        <f t="shared" si="36"/>
        <v>2</v>
      </c>
      <c r="E1162" s="2">
        <f t="shared" si="37"/>
        <v>5</v>
      </c>
      <c r="F1162">
        <v>10.842599999999999</v>
      </c>
      <c r="G1162">
        <v>10.916399999999999</v>
      </c>
      <c r="H1162">
        <v>10.731999999999999</v>
      </c>
      <c r="I1162">
        <v>10.8795</v>
      </c>
      <c r="J1162">
        <v>33378</v>
      </c>
      <c r="K1162">
        <v>1.7094</v>
      </c>
      <c r="L1162">
        <v>1.7181999999999999</v>
      </c>
    </row>
    <row r="1163" spans="1:12" hidden="1" x14ac:dyDescent="0.25">
      <c r="A1163">
        <v>2330</v>
      </c>
      <c r="B1163" t="s">
        <v>11</v>
      </c>
      <c r="C1163" s="1">
        <v>41037</v>
      </c>
      <c r="D1163" s="2">
        <f t="shared" si="36"/>
        <v>2</v>
      </c>
      <c r="E1163" s="2">
        <f t="shared" si="37"/>
        <v>5</v>
      </c>
      <c r="F1163">
        <v>64.887600000000006</v>
      </c>
      <c r="G1163">
        <v>64.887600000000006</v>
      </c>
      <c r="H1163">
        <v>63.680399999999999</v>
      </c>
      <c r="I1163">
        <v>63.680399999999999</v>
      </c>
      <c r="J1163">
        <v>45836</v>
      </c>
      <c r="K1163">
        <v>-1.4117999999999999</v>
      </c>
      <c r="L1163">
        <v>1.8956999999999999</v>
      </c>
    </row>
    <row r="1164" spans="1:12" x14ac:dyDescent="0.25">
      <c r="A1164">
        <v>2303</v>
      </c>
      <c r="B1164" t="s">
        <v>10</v>
      </c>
      <c r="C1164" s="1">
        <v>41038</v>
      </c>
      <c r="D1164" s="2">
        <f t="shared" si="36"/>
        <v>3</v>
      </c>
      <c r="E1164" s="2">
        <f t="shared" si="37"/>
        <v>5</v>
      </c>
      <c r="F1164">
        <v>10.8795</v>
      </c>
      <c r="G1164">
        <v>10.8795</v>
      </c>
      <c r="H1164">
        <v>10.5845</v>
      </c>
      <c r="I1164">
        <v>10.658200000000001</v>
      </c>
      <c r="J1164">
        <v>37256</v>
      </c>
      <c r="K1164">
        <v>-2.0548999999999999</v>
      </c>
      <c r="L1164">
        <v>2.7875000000000001</v>
      </c>
    </row>
    <row r="1165" spans="1:12" hidden="1" x14ac:dyDescent="0.25">
      <c r="A1165">
        <v>2330</v>
      </c>
      <c r="B1165" t="s">
        <v>11</v>
      </c>
      <c r="C1165" s="1">
        <v>41038</v>
      </c>
      <c r="D1165" s="2">
        <f t="shared" si="36"/>
        <v>3</v>
      </c>
      <c r="E1165" s="2">
        <f t="shared" si="37"/>
        <v>5</v>
      </c>
      <c r="F1165">
        <v>63.303100000000001</v>
      </c>
      <c r="G1165">
        <v>64.284000000000006</v>
      </c>
      <c r="H1165">
        <v>63.001300000000001</v>
      </c>
      <c r="I1165">
        <v>63.831299999999999</v>
      </c>
      <c r="J1165">
        <v>41263</v>
      </c>
      <c r="K1165">
        <v>0.23669999999999999</v>
      </c>
      <c r="L1165">
        <v>2.0358999999999998</v>
      </c>
    </row>
    <row r="1166" spans="1:12" x14ac:dyDescent="0.25">
      <c r="A1166">
        <v>2303</v>
      </c>
      <c r="B1166" t="s">
        <v>10</v>
      </c>
      <c r="C1166" s="1">
        <v>41039</v>
      </c>
      <c r="D1166" s="2">
        <f t="shared" si="36"/>
        <v>4</v>
      </c>
      <c r="E1166" s="2">
        <f t="shared" si="37"/>
        <v>5</v>
      </c>
      <c r="F1166">
        <v>10.5845</v>
      </c>
      <c r="G1166">
        <v>10.8058</v>
      </c>
      <c r="H1166">
        <v>10.5845</v>
      </c>
      <c r="I1166">
        <v>10.731999999999999</v>
      </c>
      <c r="J1166">
        <v>16518</v>
      </c>
      <c r="K1166">
        <v>0.68969999999999998</v>
      </c>
      <c r="L1166">
        <v>2.0905999999999998</v>
      </c>
    </row>
    <row r="1167" spans="1:12" hidden="1" x14ac:dyDescent="0.25">
      <c r="A1167">
        <v>2330</v>
      </c>
      <c r="B1167" t="s">
        <v>11</v>
      </c>
      <c r="C1167" s="1">
        <v>41039</v>
      </c>
      <c r="D1167" s="2">
        <f t="shared" si="36"/>
        <v>4</v>
      </c>
      <c r="E1167" s="2">
        <f t="shared" si="37"/>
        <v>5</v>
      </c>
      <c r="F1167">
        <v>64.133099999999999</v>
      </c>
      <c r="G1167">
        <v>64.661199999999994</v>
      </c>
      <c r="H1167">
        <v>63.604900000000001</v>
      </c>
      <c r="I1167">
        <v>64.359399999999994</v>
      </c>
      <c r="J1167">
        <v>28688</v>
      </c>
      <c r="K1167">
        <v>0.82399999999999995</v>
      </c>
      <c r="L1167">
        <v>1.6607000000000001</v>
      </c>
    </row>
    <row r="1168" spans="1:12" x14ac:dyDescent="0.25">
      <c r="A1168">
        <v>2303</v>
      </c>
      <c r="B1168" t="s">
        <v>10</v>
      </c>
      <c r="C1168" s="1">
        <v>41040</v>
      </c>
      <c r="D1168" s="2">
        <f t="shared" si="36"/>
        <v>5</v>
      </c>
      <c r="E1168" s="2">
        <f t="shared" si="37"/>
        <v>5</v>
      </c>
      <c r="F1168">
        <v>10.7689</v>
      </c>
      <c r="G1168">
        <v>10.842599999999999</v>
      </c>
      <c r="H1168">
        <v>10.6214</v>
      </c>
      <c r="I1168">
        <v>10.842599999999999</v>
      </c>
      <c r="J1168">
        <v>20771</v>
      </c>
      <c r="K1168">
        <v>1.0257000000000001</v>
      </c>
      <c r="L1168">
        <v>2.0832999999999999</v>
      </c>
    </row>
    <row r="1169" spans="1:12" hidden="1" x14ac:dyDescent="0.25">
      <c r="A1169">
        <v>2330</v>
      </c>
      <c r="B1169" t="s">
        <v>11</v>
      </c>
      <c r="C1169" s="1">
        <v>41040</v>
      </c>
      <c r="D1169" s="2">
        <f t="shared" si="36"/>
        <v>5</v>
      </c>
      <c r="E1169" s="2">
        <f t="shared" si="37"/>
        <v>5</v>
      </c>
      <c r="F1169">
        <v>64.661199999999994</v>
      </c>
      <c r="G1169">
        <v>64.661199999999994</v>
      </c>
      <c r="H1169">
        <v>63.755800000000001</v>
      </c>
      <c r="I1169">
        <v>64.510300000000001</v>
      </c>
      <c r="J1169">
        <v>33627</v>
      </c>
      <c r="K1169">
        <v>0.23419999999999999</v>
      </c>
      <c r="L1169">
        <v>1.4200999999999999</v>
      </c>
    </row>
    <row r="1170" spans="1:12" x14ac:dyDescent="0.25">
      <c r="A1170">
        <v>2303</v>
      </c>
      <c r="B1170" t="s">
        <v>10</v>
      </c>
      <c r="C1170" s="1">
        <v>41043</v>
      </c>
      <c r="D1170" s="2">
        <f t="shared" si="36"/>
        <v>1</v>
      </c>
      <c r="E1170" s="2">
        <f t="shared" si="37"/>
        <v>5</v>
      </c>
      <c r="F1170">
        <v>10.916399999999999</v>
      </c>
      <c r="G1170">
        <v>10.916399999999999</v>
      </c>
      <c r="H1170">
        <v>10.731999999999999</v>
      </c>
      <c r="I1170">
        <v>10.842599999999999</v>
      </c>
      <c r="J1170">
        <v>13568</v>
      </c>
      <c r="K1170">
        <v>0</v>
      </c>
      <c r="L1170">
        <v>1.7181999999999999</v>
      </c>
    </row>
    <row r="1171" spans="1:12" hidden="1" x14ac:dyDescent="0.25">
      <c r="A1171">
        <v>2330</v>
      </c>
      <c r="B1171" t="s">
        <v>11</v>
      </c>
      <c r="C1171" s="1">
        <v>41043</v>
      </c>
      <c r="D1171" s="2">
        <f t="shared" si="36"/>
        <v>1</v>
      </c>
      <c r="E1171" s="2">
        <f t="shared" si="37"/>
        <v>5</v>
      </c>
      <c r="F1171">
        <v>63.982199999999999</v>
      </c>
      <c r="G1171">
        <v>64.510300000000001</v>
      </c>
      <c r="H1171">
        <v>63.982199999999999</v>
      </c>
      <c r="I1171">
        <v>64.434899999999999</v>
      </c>
      <c r="J1171">
        <v>14135</v>
      </c>
      <c r="K1171">
        <v>-0.11700000000000001</v>
      </c>
      <c r="L1171">
        <v>0.82550000000000001</v>
      </c>
    </row>
    <row r="1172" spans="1:12" x14ac:dyDescent="0.25">
      <c r="A1172">
        <v>2303</v>
      </c>
      <c r="B1172" t="s">
        <v>10</v>
      </c>
      <c r="C1172" s="1">
        <v>41044</v>
      </c>
      <c r="D1172" s="2">
        <f t="shared" si="36"/>
        <v>2</v>
      </c>
      <c r="E1172" s="2">
        <f t="shared" si="37"/>
        <v>5</v>
      </c>
      <c r="F1172">
        <v>10.658200000000001</v>
      </c>
      <c r="G1172">
        <v>10.731999999999999</v>
      </c>
      <c r="H1172">
        <v>10.547599999999999</v>
      </c>
      <c r="I1172">
        <v>10.658200000000001</v>
      </c>
      <c r="J1172">
        <v>36936</v>
      </c>
      <c r="K1172">
        <v>-1.7153</v>
      </c>
      <c r="L1172">
        <v>1.7483</v>
      </c>
    </row>
    <row r="1173" spans="1:12" hidden="1" x14ac:dyDescent="0.25">
      <c r="A1173">
        <v>2330</v>
      </c>
      <c r="B1173" t="s">
        <v>11</v>
      </c>
      <c r="C1173" s="1">
        <v>41044</v>
      </c>
      <c r="D1173" s="2">
        <f t="shared" si="36"/>
        <v>2</v>
      </c>
      <c r="E1173" s="2">
        <f t="shared" si="37"/>
        <v>5</v>
      </c>
      <c r="F1173">
        <v>64.434899999999999</v>
      </c>
      <c r="G1173">
        <v>64.661199999999994</v>
      </c>
      <c r="H1173">
        <v>63.454000000000001</v>
      </c>
      <c r="I1173">
        <v>64.510300000000001</v>
      </c>
      <c r="J1173">
        <v>30739</v>
      </c>
      <c r="K1173">
        <v>0.11700000000000001</v>
      </c>
      <c r="L1173">
        <v>1.9025000000000001</v>
      </c>
    </row>
    <row r="1174" spans="1:12" x14ac:dyDescent="0.25">
      <c r="A1174">
        <v>2303</v>
      </c>
      <c r="B1174" t="s">
        <v>10</v>
      </c>
      <c r="C1174" s="1">
        <v>41045</v>
      </c>
      <c r="D1174" s="2">
        <f t="shared" si="36"/>
        <v>3</v>
      </c>
      <c r="E1174" s="2">
        <f t="shared" si="37"/>
        <v>5</v>
      </c>
      <c r="F1174">
        <v>10.5845</v>
      </c>
      <c r="G1174">
        <v>10.658200000000001</v>
      </c>
      <c r="H1174">
        <v>10.178800000000001</v>
      </c>
      <c r="I1174">
        <v>10.178800000000001</v>
      </c>
      <c r="J1174">
        <v>48718</v>
      </c>
      <c r="K1174">
        <v>-4.6025999999999998</v>
      </c>
      <c r="L1174">
        <v>4.7100999999999997</v>
      </c>
    </row>
    <row r="1175" spans="1:12" hidden="1" x14ac:dyDescent="0.25">
      <c r="A1175">
        <v>2330</v>
      </c>
      <c r="B1175" t="s">
        <v>11</v>
      </c>
      <c r="C1175" s="1">
        <v>41045</v>
      </c>
      <c r="D1175" s="2">
        <f t="shared" si="36"/>
        <v>3</v>
      </c>
      <c r="E1175" s="2">
        <f t="shared" si="37"/>
        <v>5</v>
      </c>
      <c r="F1175">
        <v>63.529499999999999</v>
      </c>
      <c r="G1175">
        <v>63.755800000000001</v>
      </c>
      <c r="H1175">
        <v>62.925899999999999</v>
      </c>
      <c r="I1175">
        <v>62.925899999999999</v>
      </c>
      <c r="J1175">
        <v>65470</v>
      </c>
      <c r="K1175">
        <v>-2.4868000000000001</v>
      </c>
      <c r="L1175">
        <v>1.3189</v>
      </c>
    </row>
    <row r="1176" spans="1:12" x14ac:dyDescent="0.25">
      <c r="A1176">
        <v>2303</v>
      </c>
      <c r="B1176" t="s">
        <v>10</v>
      </c>
      <c r="C1176" s="1">
        <v>41046</v>
      </c>
      <c r="D1176" s="2">
        <f t="shared" si="36"/>
        <v>4</v>
      </c>
      <c r="E1176" s="2">
        <f t="shared" si="37"/>
        <v>5</v>
      </c>
      <c r="F1176">
        <v>10.4001</v>
      </c>
      <c r="G1176">
        <v>10.4001</v>
      </c>
      <c r="H1176">
        <v>10.178800000000001</v>
      </c>
      <c r="I1176">
        <v>10.3263</v>
      </c>
      <c r="J1176">
        <v>37410</v>
      </c>
      <c r="K1176">
        <v>1.4389000000000001</v>
      </c>
      <c r="L1176">
        <v>2.1739000000000002</v>
      </c>
    </row>
    <row r="1177" spans="1:12" hidden="1" x14ac:dyDescent="0.25">
      <c r="A1177">
        <v>2330</v>
      </c>
      <c r="B1177" t="s">
        <v>11</v>
      </c>
      <c r="C1177" s="1">
        <v>41046</v>
      </c>
      <c r="D1177" s="2">
        <f t="shared" si="36"/>
        <v>4</v>
      </c>
      <c r="E1177" s="2">
        <f t="shared" si="37"/>
        <v>5</v>
      </c>
      <c r="F1177">
        <v>63.982199999999999</v>
      </c>
      <c r="G1177">
        <v>64.208500000000001</v>
      </c>
      <c r="H1177">
        <v>63.454000000000001</v>
      </c>
      <c r="I1177">
        <v>64.208500000000001</v>
      </c>
      <c r="J1177">
        <v>33657</v>
      </c>
      <c r="K1177">
        <v>2.0179</v>
      </c>
      <c r="L1177">
        <v>1.1891</v>
      </c>
    </row>
    <row r="1178" spans="1:12" x14ac:dyDescent="0.25">
      <c r="A1178">
        <v>2303</v>
      </c>
      <c r="B1178" t="s">
        <v>10</v>
      </c>
      <c r="C1178" s="1">
        <v>41047</v>
      </c>
      <c r="D1178" s="2">
        <f t="shared" si="36"/>
        <v>5</v>
      </c>
      <c r="E1178" s="2">
        <f t="shared" si="37"/>
        <v>5</v>
      </c>
      <c r="F1178">
        <v>10.1419</v>
      </c>
      <c r="G1178">
        <v>10.1419</v>
      </c>
      <c r="H1178">
        <v>9.7730999999999995</v>
      </c>
      <c r="I1178">
        <v>9.7730999999999995</v>
      </c>
      <c r="J1178">
        <v>60652</v>
      </c>
      <c r="K1178">
        <v>-5.5060000000000002</v>
      </c>
      <c r="L1178">
        <v>3.7736000000000001</v>
      </c>
    </row>
    <row r="1179" spans="1:12" hidden="1" x14ac:dyDescent="0.25">
      <c r="A1179">
        <v>2330</v>
      </c>
      <c r="B1179" t="s">
        <v>11</v>
      </c>
      <c r="C1179" s="1">
        <v>41047</v>
      </c>
      <c r="D1179" s="2">
        <f t="shared" si="36"/>
        <v>5</v>
      </c>
      <c r="E1179" s="2">
        <f t="shared" si="37"/>
        <v>5</v>
      </c>
      <c r="F1179">
        <v>63.303100000000001</v>
      </c>
      <c r="G1179">
        <v>63.303100000000001</v>
      </c>
      <c r="H1179">
        <v>61.718699999999998</v>
      </c>
      <c r="I1179">
        <v>61.718699999999998</v>
      </c>
      <c r="J1179">
        <v>57620</v>
      </c>
      <c r="K1179">
        <v>-3.9550000000000001</v>
      </c>
      <c r="L1179">
        <v>2.5672000000000001</v>
      </c>
    </row>
    <row r="1180" spans="1:12" x14ac:dyDescent="0.25">
      <c r="A1180">
        <v>2303</v>
      </c>
      <c r="B1180" t="s">
        <v>10</v>
      </c>
      <c r="C1180" s="1">
        <v>41050</v>
      </c>
      <c r="D1180" s="2">
        <f t="shared" si="36"/>
        <v>1</v>
      </c>
      <c r="E1180" s="2">
        <f t="shared" si="37"/>
        <v>5</v>
      </c>
      <c r="F1180">
        <v>9.7730999999999995</v>
      </c>
      <c r="G1180">
        <v>9.9207000000000001</v>
      </c>
      <c r="H1180">
        <v>9.7730999999999995</v>
      </c>
      <c r="I1180">
        <v>9.7730999999999995</v>
      </c>
      <c r="J1180">
        <v>22356</v>
      </c>
      <c r="K1180">
        <v>0</v>
      </c>
      <c r="L1180">
        <v>1.5094000000000001</v>
      </c>
    </row>
    <row r="1181" spans="1:12" hidden="1" x14ac:dyDescent="0.25">
      <c r="A1181">
        <v>2330</v>
      </c>
      <c r="B1181" t="s">
        <v>11</v>
      </c>
      <c r="C1181" s="1">
        <v>41050</v>
      </c>
      <c r="D1181" s="2">
        <f t="shared" si="36"/>
        <v>1</v>
      </c>
      <c r="E1181" s="2">
        <f t="shared" si="37"/>
        <v>5</v>
      </c>
      <c r="F1181">
        <v>61.115099999999998</v>
      </c>
      <c r="G1181">
        <v>62.473199999999999</v>
      </c>
      <c r="H1181">
        <v>61.115099999999998</v>
      </c>
      <c r="I1181">
        <v>62.2468</v>
      </c>
      <c r="J1181">
        <v>32414</v>
      </c>
      <c r="K1181">
        <v>0.85209999999999997</v>
      </c>
      <c r="L1181">
        <v>2.2222</v>
      </c>
    </row>
    <row r="1182" spans="1:12" x14ac:dyDescent="0.25">
      <c r="A1182">
        <v>2303</v>
      </c>
      <c r="B1182" t="s">
        <v>10</v>
      </c>
      <c r="C1182" s="1">
        <v>41051</v>
      </c>
      <c r="D1182" s="2">
        <f t="shared" si="36"/>
        <v>2</v>
      </c>
      <c r="E1182" s="2">
        <f t="shared" si="37"/>
        <v>5</v>
      </c>
      <c r="F1182">
        <v>9.8838000000000008</v>
      </c>
      <c r="G1182">
        <v>9.9207000000000001</v>
      </c>
      <c r="H1182">
        <v>9.81</v>
      </c>
      <c r="I1182">
        <v>9.8468999999999998</v>
      </c>
      <c r="J1182">
        <v>26888</v>
      </c>
      <c r="K1182">
        <v>0.75190000000000001</v>
      </c>
      <c r="L1182">
        <v>1.1277999999999999</v>
      </c>
    </row>
    <row r="1183" spans="1:12" hidden="1" x14ac:dyDescent="0.25">
      <c r="A1183">
        <v>2330</v>
      </c>
      <c r="B1183" t="s">
        <v>11</v>
      </c>
      <c r="C1183" s="1">
        <v>41051</v>
      </c>
      <c r="D1183" s="2">
        <f t="shared" si="36"/>
        <v>2</v>
      </c>
      <c r="E1183" s="2">
        <f t="shared" si="37"/>
        <v>5</v>
      </c>
      <c r="F1183">
        <v>62.3977</v>
      </c>
      <c r="G1183">
        <v>62.5486</v>
      </c>
      <c r="H1183">
        <v>62.020499999999998</v>
      </c>
      <c r="I1183">
        <v>62.020499999999998</v>
      </c>
      <c r="J1183">
        <v>33977</v>
      </c>
      <c r="K1183">
        <v>-0.36430000000000001</v>
      </c>
      <c r="L1183">
        <v>0.85160000000000002</v>
      </c>
    </row>
    <row r="1184" spans="1:12" x14ac:dyDescent="0.25">
      <c r="A1184">
        <v>2303</v>
      </c>
      <c r="B1184" t="s">
        <v>10</v>
      </c>
      <c r="C1184" s="1">
        <v>41052</v>
      </c>
      <c r="D1184" s="2">
        <f t="shared" si="36"/>
        <v>3</v>
      </c>
      <c r="E1184" s="2">
        <f t="shared" si="37"/>
        <v>5</v>
      </c>
      <c r="F1184">
        <v>9.5886999999999993</v>
      </c>
      <c r="G1184">
        <v>9.6256000000000004</v>
      </c>
      <c r="H1184">
        <v>9.3674999999999997</v>
      </c>
      <c r="I1184">
        <v>9.4042999999999992</v>
      </c>
      <c r="J1184">
        <v>60055</v>
      </c>
      <c r="K1184">
        <v>-4.5984999999999996</v>
      </c>
      <c r="L1184">
        <v>2.7559</v>
      </c>
    </row>
    <row r="1185" spans="1:12" hidden="1" x14ac:dyDescent="0.25">
      <c r="A1185">
        <v>2330</v>
      </c>
      <c r="B1185" t="s">
        <v>11</v>
      </c>
      <c r="C1185" s="1">
        <v>41052</v>
      </c>
      <c r="D1185" s="2">
        <f t="shared" si="36"/>
        <v>3</v>
      </c>
      <c r="E1185" s="2">
        <f t="shared" si="37"/>
        <v>5</v>
      </c>
      <c r="F1185">
        <v>61.115099999999998</v>
      </c>
      <c r="G1185">
        <v>61.265999999999998</v>
      </c>
      <c r="H1185">
        <v>59.606099999999998</v>
      </c>
      <c r="I1185">
        <v>59.6815</v>
      </c>
      <c r="J1185">
        <v>63269</v>
      </c>
      <c r="K1185">
        <v>-3.8441999999999998</v>
      </c>
      <c r="L1185">
        <v>2.7848000000000002</v>
      </c>
    </row>
    <row r="1186" spans="1:12" x14ac:dyDescent="0.25">
      <c r="A1186">
        <v>2303</v>
      </c>
      <c r="B1186" t="s">
        <v>10</v>
      </c>
      <c r="C1186" s="1">
        <v>41053</v>
      </c>
      <c r="D1186" s="2">
        <f t="shared" si="36"/>
        <v>4</v>
      </c>
      <c r="E1186" s="2">
        <f t="shared" si="37"/>
        <v>5</v>
      </c>
      <c r="F1186">
        <v>9.4412000000000003</v>
      </c>
      <c r="G1186">
        <v>9.5150000000000006</v>
      </c>
      <c r="H1186">
        <v>9.1462000000000003</v>
      </c>
      <c r="I1186">
        <v>9.2568000000000001</v>
      </c>
      <c r="J1186">
        <v>66087</v>
      </c>
      <c r="K1186">
        <v>-1.5810999999999999</v>
      </c>
      <c r="L1186">
        <v>4.0323000000000002</v>
      </c>
    </row>
    <row r="1187" spans="1:12" hidden="1" x14ac:dyDescent="0.25">
      <c r="A1187">
        <v>2330</v>
      </c>
      <c r="B1187" t="s">
        <v>11</v>
      </c>
      <c r="C1187" s="1">
        <v>41053</v>
      </c>
      <c r="D1187" s="2">
        <f t="shared" si="36"/>
        <v>4</v>
      </c>
      <c r="E1187" s="2">
        <f t="shared" si="37"/>
        <v>5</v>
      </c>
      <c r="F1187">
        <v>59.5306</v>
      </c>
      <c r="G1187">
        <v>60.813299999999998</v>
      </c>
      <c r="H1187">
        <v>58.927</v>
      </c>
      <c r="I1187">
        <v>60.813299999999998</v>
      </c>
      <c r="J1187">
        <v>40984</v>
      </c>
      <c r="K1187">
        <v>1.8786</v>
      </c>
      <c r="L1187">
        <v>3.2010000000000001</v>
      </c>
    </row>
    <row r="1188" spans="1:12" x14ac:dyDescent="0.25">
      <c r="A1188">
        <v>2303</v>
      </c>
      <c r="B1188" t="s">
        <v>10</v>
      </c>
      <c r="C1188" s="1">
        <v>41054</v>
      </c>
      <c r="D1188" s="2">
        <f t="shared" si="36"/>
        <v>5</v>
      </c>
      <c r="E1188" s="2">
        <f t="shared" si="37"/>
        <v>5</v>
      </c>
      <c r="F1188">
        <v>9.2568000000000001</v>
      </c>
      <c r="G1188">
        <v>9.4042999999999992</v>
      </c>
      <c r="H1188">
        <v>9.2199000000000009</v>
      </c>
      <c r="I1188">
        <v>9.2936999999999994</v>
      </c>
      <c r="J1188">
        <v>36202</v>
      </c>
      <c r="K1188">
        <v>0.39760000000000001</v>
      </c>
      <c r="L1188">
        <v>2</v>
      </c>
    </row>
    <row r="1189" spans="1:12" hidden="1" x14ac:dyDescent="0.25">
      <c r="A1189">
        <v>2330</v>
      </c>
      <c r="B1189" t="s">
        <v>11</v>
      </c>
      <c r="C1189" s="1">
        <v>41054</v>
      </c>
      <c r="D1189" s="2">
        <f t="shared" si="36"/>
        <v>5</v>
      </c>
      <c r="E1189" s="2">
        <f t="shared" si="37"/>
        <v>5</v>
      </c>
      <c r="F1189">
        <v>60.209699999999998</v>
      </c>
      <c r="G1189">
        <v>60.7378</v>
      </c>
      <c r="H1189">
        <v>59.756999999999998</v>
      </c>
      <c r="I1189">
        <v>60.360599999999998</v>
      </c>
      <c r="J1189">
        <v>28279</v>
      </c>
      <c r="K1189">
        <v>-0.74719999999999998</v>
      </c>
      <c r="L1189">
        <v>1.6414</v>
      </c>
    </row>
    <row r="1190" spans="1:12" x14ac:dyDescent="0.25">
      <c r="A1190">
        <v>2303</v>
      </c>
      <c r="B1190" t="s">
        <v>10</v>
      </c>
      <c r="C1190" s="1">
        <v>41057</v>
      </c>
      <c r="D1190" s="2">
        <f t="shared" si="36"/>
        <v>1</v>
      </c>
      <c r="E1190" s="2">
        <f t="shared" si="37"/>
        <v>5</v>
      </c>
      <c r="F1190">
        <v>9.2936999999999994</v>
      </c>
      <c r="G1190">
        <v>9.4042999999999992</v>
      </c>
      <c r="H1190">
        <v>9.2936999999999994</v>
      </c>
      <c r="I1190">
        <v>9.3674999999999997</v>
      </c>
      <c r="J1190">
        <v>26035</v>
      </c>
      <c r="K1190">
        <v>0.79049999999999998</v>
      </c>
      <c r="L1190">
        <v>1.1904999999999999</v>
      </c>
    </row>
    <row r="1191" spans="1:12" hidden="1" x14ac:dyDescent="0.25">
      <c r="A1191">
        <v>2330</v>
      </c>
      <c r="B1191" t="s">
        <v>11</v>
      </c>
      <c r="C1191" s="1">
        <v>41057</v>
      </c>
      <c r="D1191" s="2">
        <f t="shared" si="36"/>
        <v>1</v>
      </c>
      <c r="E1191" s="2">
        <f t="shared" si="37"/>
        <v>5</v>
      </c>
      <c r="F1191">
        <v>60.360599999999998</v>
      </c>
      <c r="G1191">
        <v>61.6432</v>
      </c>
      <c r="H1191">
        <v>60.209699999999998</v>
      </c>
      <c r="I1191">
        <v>61.567799999999998</v>
      </c>
      <c r="J1191">
        <v>30137</v>
      </c>
      <c r="K1191">
        <v>1.9802999999999999</v>
      </c>
      <c r="L1191">
        <v>2.3809999999999998</v>
      </c>
    </row>
    <row r="1192" spans="1:12" x14ac:dyDescent="0.25">
      <c r="A1192">
        <v>2303</v>
      </c>
      <c r="B1192" t="s">
        <v>10</v>
      </c>
      <c r="C1192" s="1">
        <v>41058</v>
      </c>
      <c r="D1192" s="2">
        <f t="shared" si="36"/>
        <v>2</v>
      </c>
      <c r="E1192" s="2">
        <f t="shared" si="37"/>
        <v>5</v>
      </c>
      <c r="F1192">
        <v>9.4042999999999992</v>
      </c>
      <c r="G1192">
        <v>9.9574999999999996</v>
      </c>
      <c r="H1192">
        <v>9.4042999999999992</v>
      </c>
      <c r="I1192">
        <v>9.81</v>
      </c>
      <c r="J1192">
        <v>69626</v>
      </c>
      <c r="K1192">
        <v>4.6162000000000001</v>
      </c>
      <c r="L1192">
        <v>5.8823999999999996</v>
      </c>
    </row>
    <row r="1193" spans="1:12" hidden="1" x14ac:dyDescent="0.25">
      <c r="A1193">
        <v>2330</v>
      </c>
      <c r="B1193" t="s">
        <v>11</v>
      </c>
      <c r="C1193" s="1">
        <v>41058</v>
      </c>
      <c r="D1193" s="2">
        <f t="shared" si="36"/>
        <v>2</v>
      </c>
      <c r="E1193" s="2">
        <f t="shared" si="37"/>
        <v>5</v>
      </c>
      <c r="F1193">
        <v>62.2468</v>
      </c>
      <c r="G1193">
        <v>62.774999999999999</v>
      </c>
      <c r="H1193">
        <v>61.869599999999998</v>
      </c>
      <c r="I1193">
        <v>62.0959</v>
      </c>
      <c r="J1193">
        <v>41171</v>
      </c>
      <c r="K1193">
        <v>0.85419999999999996</v>
      </c>
      <c r="L1193">
        <v>1.4634</v>
      </c>
    </row>
    <row r="1194" spans="1:12" x14ac:dyDescent="0.25">
      <c r="A1194">
        <v>2303</v>
      </c>
      <c r="B1194" t="s">
        <v>10</v>
      </c>
      <c r="C1194" s="1">
        <v>41059</v>
      </c>
      <c r="D1194" s="2">
        <f t="shared" si="36"/>
        <v>3</v>
      </c>
      <c r="E1194" s="2">
        <f t="shared" si="37"/>
        <v>5</v>
      </c>
      <c r="F1194">
        <v>9.9207000000000001</v>
      </c>
      <c r="G1194">
        <v>9.9207000000000001</v>
      </c>
      <c r="H1194">
        <v>9.6256000000000004</v>
      </c>
      <c r="I1194">
        <v>9.8468999999999998</v>
      </c>
      <c r="J1194">
        <v>40547</v>
      </c>
      <c r="K1194">
        <v>0.37519999999999998</v>
      </c>
      <c r="L1194">
        <v>3.0651000000000002</v>
      </c>
    </row>
    <row r="1195" spans="1:12" hidden="1" x14ac:dyDescent="0.25">
      <c r="A1195">
        <v>2330</v>
      </c>
      <c r="B1195" t="s">
        <v>11</v>
      </c>
      <c r="C1195" s="1">
        <v>41059</v>
      </c>
      <c r="D1195" s="2">
        <f t="shared" si="36"/>
        <v>3</v>
      </c>
      <c r="E1195" s="2">
        <f t="shared" si="37"/>
        <v>5</v>
      </c>
      <c r="F1195">
        <v>61.567799999999998</v>
      </c>
      <c r="G1195">
        <v>61.869599999999998</v>
      </c>
      <c r="H1195">
        <v>60.5869</v>
      </c>
      <c r="I1195">
        <v>61.6432</v>
      </c>
      <c r="J1195">
        <v>75751</v>
      </c>
      <c r="K1195">
        <v>-0.73170000000000002</v>
      </c>
      <c r="L1195">
        <v>2.1171000000000002</v>
      </c>
    </row>
    <row r="1196" spans="1:12" x14ac:dyDescent="0.25">
      <c r="A1196">
        <v>2303</v>
      </c>
      <c r="B1196" t="s">
        <v>10</v>
      </c>
      <c r="C1196" s="1">
        <v>41060</v>
      </c>
      <c r="D1196" s="2">
        <f t="shared" si="36"/>
        <v>4</v>
      </c>
      <c r="E1196" s="2">
        <f t="shared" si="37"/>
        <v>5</v>
      </c>
      <c r="F1196">
        <v>9.6256000000000004</v>
      </c>
      <c r="G1196">
        <v>9.6994000000000007</v>
      </c>
      <c r="H1196">
        <v>9.5150000000000006</v>
      </c>
      <c r="I1196">
        <v>9.6624999999999996</v>
      </c>
      <c r="J1196">
        <v>42314</v>
      </c>
      <c r="K1196">
        <v>-1.8904000000000001</v>
      </c>
      <c r="L1196">
        <v>1.9379999999999999</v>
      </c>
    </row>
    <row r="1197" spans="1:12" hidden="1" x14ac:dyDescent="0.25">
      <c r="A1197">
        <v>2330</v>
      </c>
      <c r="B1197" t="s">
        <v>11</v>
      </c>
      <c r="C1197" s="1">
        <v>41060</v>
      </c>
      <c r="D1197" s="2">
        <f t="shared" si="36"/>
        <v>4</v>
      </c>
      <c r="E1197" s="2">
        <f t="shared" si="37"/>
        <v>5</v>
      </c>
      <c r="F1197">
        <v>60.7378</v>
      </c>
      <c r="G1197">
        <v>64.208500000000001</v>
      </c>
      <c r="H1197">
        <v>60.1342</v>
      </c>
      <c r="I1197">
        <v>64.208500000000001</v>
      </c>
      <c r="J1197">
        <v>89332</v>
      </c>
      <c r="K1197">
        <v>4.0773000000000001</v>
      </c>
      <c r="L1197">
        <v>6.7754000000000003</v>
      </c>
    </row>
    <row r="1198" spans="1:12" x14ac:dyDescent="0.25">
      <c r="A1198">
        <v>2303</v>
      </c>
      <c r="B1198" t="s">
        <v>10</v>
      </c>
      <c r="C1198" s="1">
        <v>41061</v>
      </c>
      <c r="D1198" s="2">
        <f t="shared" si="36"/>
        <v>5</v>
      </c>
      <c r="E1198" s="2">
        <f t="shared" si="37"/>
        <v>6</v>
      </c>
      <c r="F1198">
        <v>9.5150000000000006</v>
      </c>
      <c r="G1198">
        <v>9.5150000000000006</v>
      </c>
      <c r="H1198">
        <v>9.2199000000000009</v>
      </c>
      <c r="I1198">
        <v>9.2568000000000001</v>
      </c>
      <c r="J1198">
        <v>63169</v>
      </c>
      <c r="K1198">
        <v>-4.2892000000000001</v>
      </c>
      <c r="L1198">
        <v>3.2</v>
      </c>
    </row>
    <row r="1199" spans="1:12" hidden="1" x14ac:dyDescent="0.25">
      <c r="A1199">
        <v>2330</v>
      </c>
      <c r="B1199" t="s">
        <v>11</v>
      </c>
      <c r="C1199" s="1">
        <v>41061</v>
      </c>
      <c r="D1199" s="2">
        <f t="shared" si="36"/>
        <v>5</v>
      </c>
      <c r="E1199" s="2">
        <f t="shared" si="37"/>
        <v>6</v>
      </c>
      <c r="F1199">
        <v>61.6432</v>
      </c>
      <c r="G1199">
        <v>61.6432</v>
      </c>
      <c r="H1199">
        <v>60.2851</v>
      </c>
      <c r="I1199">
        <v>60.2851</v>
      </c>
      <c r="J1199">
        <v>66924</v>
      </c>
      <c r="K1199">
        <v>-6.3051000000000004</v>
      </c>
      <c r="L1199">
        <v>2.2528000000000001</v>
      </c>
    </row>
    <row r="1200" spans="1:12" x14ac:dyDescent="0.25">
      <c r="A1200">
        <v>2303</v>
      </c>
      <c r="B1200" t="s">
        <v>10</v>
      </c>
      <c r="C1200" s="1">
        <v>41064</v>
      </c>
      <c r="D1200" s="2">
        <f t="shared" si="36"/>
        <v>1</v>
      </c>
      <c r="E1200" s="2">
        <f t="shared" si="37"/>
        <v>6</v>
      </c>
      <c r="F1200">
        <v>8.9986999999999995</v>
      </c>
      <c r="G1200">
        <v>8.9986999999999995</v>
      </c>
      <c r="H1200">
        <v>8.6298999999999992</v>
      </c>
      <c r="I1200">
        <v>8.7405000000000008</v>
      </c>
      <c r="J1200">
        <v>76694</v>
      </c>
      <c r="K1200">
        <v>-5.7393000000000001</v>
      </c>
      <c r="L1200">
        <v>4.2735000000000003</v>
      </c>
    </row>
    <row r="1201" spans="1:12" hidden="1" x14ac:dyDescent="0.25">
      <c r="A1201">
        <v>2330</v>
      </c>
      <c r="B1201" t="s">
        <v>11</v>
      </c>
      <c r="C1201" s="1">
        <v>41064</v>
      </c>
      <c r="D1201" s="2">
        <f t="shared" si="36"/>
        <v>1</v>
      </c>
      <c r="E1201" s="2">
        <f t="shared" si="37"/>
        <v>6</v>
      </c>
      <c r="F1201">
        <v>57.719799999999999</v>
      </c>
      <c r="G1201">
        <v>58.172499999999999</v>
      </c>
      <c r="H1201">
        <v>57.417999999999999</v>
      </c>
      <c r="I1201">
        <v>57.719799999999999</v>
      </c>
      <c r="J1201">
        <v>66008</v>
      </c>
      <c r="K1201">
        <v>-4.3484999999999996</v>
      </c>
      <c r="L1201">
        <v>1.3141</v>
      </c>
    </row>
    <row r="1202" spans="1:12" x14ac:dyDescent="0.25">
      <c r="A1202">
        <v>2303</v>
      </c>
      <c r="B1202" t="s">
        <v>10</v>
      </c>
      <c r="C1202" s="1">
        <v>41065</v>
      </c>
      <c r="D1202" s="2">
        <f t="shared" si="36"/>
        <v>2</v>
      </c>
      <c r="E1202" s="2">
        <f t="shared" si="37"/>
        <v>6</v>
      </c>
      <c r="F1202">
        <v>8.8511000000000006</v>
      </c>
      <c r="G1202">
        <v>8.9248999999999992</v>
      </c>
      <c r="H1202">
        <v>8.6667000000000005</v>
      </c>
      <c r="I1202">
        <v>8.7035999999999998</v>
      </c>
      <c r="J1202">
        <v>56513</v>
      </c>
      <c r="K1202">
        <v>-0.42280000000000001</v>
      </c>
      <c r="L1202">
        <v>2.9786999999999999</v>
      </c>
    </row>
    <row r="1203" spans="1:12" hidden="1" x14ac:dyDescent="0.25">
      <c r="A1203">
        <v>2330</v>
      </c>
      <c r="B1203" t="s">
        <v>11</v>
      </c>
      <c r="C1203" s="1">
        <v>41065</v>
      </c>
      <c r="D1203" s="2">
        <f t="shared" si="36"/>
        <v>2</v>
      </c>
      <c r="E1203" s="2">
        <f t="shared" si="37"/>
        <v>6</v>
      </c>
      <c r="F1203">
        <v>58.474299999999999</v>
      </c>
      <c r="G1203">
        <v>59.002400000000002</v>
      </c>
      <c r="H1203">
        <v>58.247900000000001</v>
      </c>
      <c r="I1203">
        <v>59.002400000000002</v>
      </c>
      <c r="J1203">
        <v>37616</v>
      </c>
      <c r="K1203">
        <v>2.1979000000000002</v>
      </c>
      <c r="L1203">
        <v>1.2952999999999999</v>
      </c>
    </row>
    <row r="1204" spans="1:12" x14ac:dyDescent="0.25">
      <c r="A1204">
        <v>2303</v>
      </c>
      <c r="B1204" t="s">
        <v>10</v>
      </c>
      <c r="C1204" s="1">
        <v>41066</v>
      </c>
      <c r="D1204" s="2">
        <f t="shared" si="36"/>
        <v>3</v>
      </c>
      <c r="E1204" s="2">
        <f t="shared" si="37"/>
        <v>6</v>
      </c>
      <c r="F1204">
        <v>8.7405000000000008</v>
      </c>
      <c r="G1204">
        <v>8.7774000000000001</v>
      </c>
      <c r="H1204">
        <v>8.6298999999999992</v>
      </c>
      <c r="I1204">
        <v>8.7405000000000008</v>
      </c>
      <c r="J1204">
        <v>55154</v>
      </c>
      <c r="K1204">
        <v>0.42280000000000001</v>
      </c>
      <c r="L1204">
        <v>1.7094</v>
      </c>
    </row>
    <row r="1205" spans="1:12" hidden="1" x14ac:dyDescent="0.25">
      <c r="A1205">
        <v>2330</v>
      </c>
      <c r="B1205" t="s">
        <v>11</v>
      </c>
      <c r="C1205" s="1">
        <v>41066</v>
      </c>
      <c r="D1205" s="2">
        <f t="shared" si="36"/>
        <v>3</v>
      </c>
      <c r="E1205" s="2">
        <f t="shared" si="37"/>
        <v>6</v>
      </c>
      <c r="F1205">
        <v>59.002400000000002</v>
      </c>
      <c r="G1205">
        <v>59.304299999999998</v>
      </c>
      <c r="H1205">
        <v>58.474299999999999</v>
      </c>
      <c r="I1205">
        <v>58.700600000000001</v>
      </c>
      <c r="J1205">
        <v>33715</v>
      </c>
      <c r="K1205">
        <v>-0.51280000000000003</v>
      </c>
      <c r="L1205">
        <v>1.4194</v>
      </c>
    </row>
    <row r="1206" spans="1:12" x14ac:dyDescent="0.25">
      <c r="A1206">
        <v>2303</v>
      </c>
      <c r="B1206" t="s">
        <v>10</v>
      </c>
      <c r="C1206" s="1">
        <v>41067</v>
      </c>
      <c r="D1206" s="2">
        <f t="shared" si="36"/>
        <v>4</v>
      </c>
      <c r="E1206" s="2">
        <f t="shared" si="37"/>
        <v>6</v>
      </c>
      <c r="F1206">
        <v>8.9248999999999992</v>
      </c>
      <c r="G1206">
        <v>8.9248999999999992</v>
      </c>
      <c r="H1206">
        <v>8.7035999999999998</v>
      </c>
      <c r="I1206">
        <v>8.7774000000000001</v>
      </c>
      <c r="J1206">
        <v>37904</v>
      </c>
      <c r="K1206">
        <v>0.42109999999999997</v>
      </c>
      <c r="L1206">
        <v>2.5424000000000002</v>
      </c>
    </row>
    <row r="1207" spans="1:12" hidden="1" x14ac:dyDescent="0.25">
      <c r="A1207">
        <v>2330</v>
      </c>
      <c r="B1207" t="s">
        <v>11</v>
      </c>
      <c r="C1207" s="1">
        <v>41067</v>
      </c>
      <c r="D1207" s="2">
        <f t="shared" si="36"/>
        <v>4</v>
      </c>
      <c r="E1207" s="2">
        <f t="shared" si="37"/>
        <v>6</v>
      </c>
      <c r="F1207">
        <v>59.907899999999998</v>
      </c>
      <c r="G1207">
        <v>60.209699999999998</v>
      </c>
      <c r="H1207">
        <v>59.304299999999998</v>
      </c>
      <c r="I1207">
        <v>60.209699999999998</v>
      </c>
      <c r="J1207">
        <v>47699</v>
      </c>
      <c r="K1207">
        <v>2.5381999999999998</v>
      </c>
      <c r="L1207">
        <v>1.5266999999999999</v>
      </c>
    </row>
    <row r="1208" spans="1:12" x14ac:dyDescent="0.25">
      <c r="A1208">
        <v>2303</v>
      </c>
      <c r="B1208" t="s">
        <v>10</v>
      </c>
      <c r="C1208" s="1">
        <v>41068</v>
      </c>
      <c r="D1208" s="2">
        <f t="shared" si="36"/>
        <v>5</v>
      </c>
      <c r="E1208" s="2">
        <f t="shared" si="37"/>
        <v>6</v>
      </c>
      <c r="F1208">
        <v>8.7774000000000001</v>
      </c>
      <c r="G1208">
        <v>8.8511000000000006</v>
      </c>
      <c r="H1208">
        <v>8.7035999999999998</v>
      </c>
      <c r="I1208">
        <v>8.8511000000000006</v>
      </c>
      <c r="J1208">
        <v>18807</v>
      </c>
      <c r="K1208">
        <v>0.83679999999999999</v>
      </c>
      <c r="L1208">
        <v>1.6949000000000001</v>
      </c>
    </row>
    <row r="1209" spans="1:12" hidden="1" x14ac:dyDescent="0.25">
      <c r="A1209">
        <v>2330</v>
      </c>
      <c r="B1209" t="s">
        <v>11</v>
      </c>
      <c r="C1209" s="1">
        <v>41068</v>
      </c>
      <c r="D1209" s="2">
        <f t="shared" si="36"/>
        <v>5</v>
      </c>
      <c r="E1209" s="2">
        <f t="shared" si="37"/>
        <v>6</v>
      </c>
      <c r="F1209">
        <v>58.097000000000001</v>
      </c>
      <c r="G1209">
        <v>59.3797</v>
      </c>
      <c r="H1209">
        <v>58.097000000000001</v>
      </c>
      <c r="I1209">
        <v>58.7761</v>
      </c>
      <c r="J1209">
        <v>35987</v>
      </c>
      <c r="K1209">
        <v>-2.4098000000000002</v>
      </c>
      <c r="L1209">
        <v>2.2078000000000002</v>
      </c>
    </row>
    <row r="1210" spans="1:12" x14ac:dyDescent="0.25">
      <c r="A1210">
        <v>2303</v>
      </c>
      <c r="B1210" t="s">
        <v>10</v>
      </c>
      <c r="C1210" s="1">
        <v>41071</v>
      </c>
      <c r="D1210" s="2">
        <f t="shared" si="36"/>
        <v>1</v>
      </c>
      <c r="E1210" s="2">
        <f t="shared" si="37"/>
        <v>6</v>
      </c>
      <c r="F1210">
        <v>8.9618000000000002</v>
      </c>
      <c r="G1210">
        <v>9.0355000000000008</v>
      </c>
      <c r="H1210">
        <v>8.8511000000000006</v>
      </c>
      <c r="I1210">
        <v>8.9248999999999992</v>
      </c>
      <c r="J1210">
        <v>33540</v>
      </c>
      <c r="K1210">
        <v>0.82989999999999997</v>
      </c>
      <c r="L1210">
        <v>2.0832999999999999</v>
      </c>
    </row>
    <row r="1211" spans="1:12" hidden="1" x14ac:dyDescent="0.25">
      <c r="A1211">
        <v>2330</v>
      </c>
      <c r="B1211" t="s">
        <v>11</v>
      </c>
      <c r="C1211" s="1">
        <v>41071</v>
      </c>
      <c r="D1211" s="2">
        <f t="shared" si="36"/>
        <v>1</v>
      </c>
      <c r="E1211" s="2">
        <f t="shared" si="37"/>
        <v>6</v>
      </c>
      <c r="F1211">
        <v>60.2851</v>
      </c>
      <c r="G1211">
        <v>60.7378</v>
      </c>
      <c r="H1211">
        <v>60.058799999999998</v>
      </c>
      <c r="I1211">
        <v>60.662399999999998</v>
      </c>
      <c r="J1211">
        <v>40596</v>
      </c>
      <c r="K1211">
        <v>3.1587999999999998</v>
      </c>
      <c r="L1211">
        <v>1.1307</v>
      </c>
    </row>
    <row r="1212" spans="1:12" x14ac:dyDescent="0.25">
      <c r="A1212">
        <v>2303</v>
      </c>
      <c r="B1212" t="s">
        <v>10</v>
      </c>
      <c r="C1212" s="1">
        <v>41072</v>
      </c>
      <c r="D1212" s="2">
        <f t="shared" si="36"/>
        <v>2</v>
      </c>
      <c r="E1212" s="2">
        <f t="shared" si="37"/>
        <v>6</v>
      </c>
      <c r="F1212">
        <v>8.7774000000000001</v>
      </c>
      <c r="G1212">
        <v>9.0355000000000008</v>
      </c>
      <c r="H1212">
        <v>8.7774000000000001</v>
      </c>
      <c r="I1212">
        <v>9.0355000000000008</v>
      </c>
      <c r="J1212">
        <v>28515</v>
      </c>
      <c r="K1212">
        <v>1.232</v>
      </c>
      <c r="L1212">
        <v>2.9411999999999998</v>
      </c>
    </row>
    <row r="1213" spans="1:12" hidden="1" x14ac:dyDescent="0.25">
      <c r="A1213">
        <v>2330</v>
      </c>
      <c r="B1213" t="s">
        <v>11</v>
      </c>
      <c r="C1213" s="1">
        <v>41072</v>
      </c>
      <c r="D1213" s="2">
        <f t="shared" si="36"/>
        <v>2</v>
      </c>
      <c r="E1213" s="2">
        <f t="shared" si="37"/>
        <v>6</v>
      </c>
      <c r="F1213">
        <v>59.2288</v>
      </c>
      <c r="G1213">
        <v>60.209699999999998</v>
      </c>
      <c r="H1213">
        <v>59.2288</v>
      </c>
      <c r="I1213">
        <v>59.907899999999998</v>
      </c>
      <c r="J1213">
        <v>38319</v>
      </c>
      <c r="K1213">
        <v>-1.2516</v>
      </c>
      <c r="L1213">
        <v>1.6560999999999999</v>
      </c>
    </row>
    <row r="1214" spans="1:12" x14ac:dyDescent="0.25">
      <c r="A1214">
        <v>2303</v>
      </c>
      <c r="B1214" t="s">
        <v>10</v>
      </c>
      <c r="C1214" s="1">
        <v>41073</v>
      </c>
      <c r="D1214" s="2">
        <f t="shared" si="36"/>
        <v>3</v>
      </c>
      <c r="E1214" s="2">
        <f t="shared" si="37"/>
        <v>6</v>
      </c>
      <c r="F1214">
        <v>9.0724</v>
      </c>
      <c r="G1214">
        <v>9.0724</v>
      </c>
      <c r="H1214">
        <v>8.9618000000000002</v>
      </c>
      <c r="I1214">
        <v>9.0724</v>
      </c>
      <c r="J1214">
        <v>23788</v>
      </c>
      <c r="K1214">
        <v>0.4073</v>
      </c>
      <c r="L1214">
        <v>1.2345999999999999</v>
      </c>
    </row>
    <row r="1215" spans="1:12" hidden="1" x14ac:dyDescent="0.25">
      <c r="A1215">
        <v>2330</v>
      </c>
      <c r="B1215" t="s">
        <v>11</v>
      </c>
      <c r="C1215" s="1">
        <v>41073</v>
      </c>
      <c r="D1215" s="2">
        <f t="shared" si="36"/>
        <v>3</v>
      </c>
      <c r="E1215" s="2">
        <f t="shared" si="37"/>
        <v>6</v>
      </c>
      <c r="F1215">
        <v>60.964199999999998</v>
      </c>
      <c r="G1215">
        <v>60.964199999999998</v>
      </c>
      <c r="H1215">
        <v>59.9833</v>
      </c>
      <c r="I1215">
        <v>60.360599999999998</v>
      </c>
      <c r="J1215">
        <v>32284</v>
      </c>
      <c r="K1215">
        <v>0.75280000000000002</v>
      </c>
      <c r="L1215">
        <v>1.6352</v>
      </c>
    </row>
    <row r="1216" spans="1:12" x14ac:dyDescent="0.25">
      <c r="A1216">
        <v>2303</v>
      </c>
      <c r="B1216" t="s">
        <v>10</v>
      </c>
      <c r="C1216" s="1">
        <v>41074</v>
      </c>
      <c r="D1216" s="2">
        <f t="shared" si="36"/>
        <v>4</v>
      </c>
      <c r="E1216" s="2">
        <f t="shared" si="37"/>
        <v>6</v>
      </c>
      <c r="F1216">
        <v>8.9618000000000002</v>
      </c>
      <c r="G1216">
        <v>8.9986999999999995</v>
      </c>
      <c r="H1216">
        <v>8.9248999999999992</v>
      </c>
      <c r="I1216">
        <v>8.9618000000000002</v>
      </c>
      <c r="J1216">
        <v>21940</v>
      </c>
      <c r="K1216">
        <v>-1.2270000000000001</v>
      </c>
      <c r="L1216">
        <v>0.82640000000000002</v>
      </c>
    </row>
    <row r="1217" spans="1:12" hidden="1" x14ac:dyDescent="0.25">
      <c r="A1217">
        <v>2330</v>
      </c>
      <c r="B1217" t="s">
        <v>11</v>
      </c>
      <c r="C1217" s="1">
        <v>41074</v>
      </c>
      <c r="D1217" s="2">
        <f t="shared" si="36"/>
        <v>4</v>
      </c>
      <c r="E1217" s="2">
        <f t="shared" si="37"/>
        <v>6</v>
      </c>
      <c r="F1217">
        <v>60.360599999999998</v>
      </c>
      <c r="G1217">
        <v>60.511499999999998</v>
      </c>
      <c r="H1217">
        <v>59.6815</v>
      </c>
      <c r="I1217">
        <v>59.756999999999998</v>
      </c>
      <c r="J1217">
        <v>31161</v>
      </c>
      <c r="K1217">
        <v>-1.0049999999999999</v>
      </c>
      <c r="L1217">
        <v>1.3906000000000001</v>
      </c>
    </row>
    <row r="1218" spans="1:12" x14ac:dyDescent="0.25">
      <c r="A1218">
        <v>2303</v>
      </c>
      <c r="B1218" t="s">
        <v>10</v>
      </c>
      <c r="C1218" s="1">
        <v>41075</v>
      </c>
      <c r="D1218" s="2">
        <f t="shared" si="36"/>
        <v>5</v>
      </c>
      <c r="E1218" s="2">
        <f t="shared" si="37"/>
        <v>6</v>
      </c>
      <c r="F1218">
        <v>8.9618000000000002</v>
      </c>
      <c r="G1218">
        <v>9.0355000000000008</v>
      </c>
      <c r="H1218">
        <v>8.9248999999999992</v>
      </c>
      <c r="I1218">
        <v>9.0355000000000008</v>
      </c>
      <c r="J1218">
        <v>70408</v>
      </c>
      <c r="K1218">
        <v>0.81969999999999998</v>
      </c>
      <c r="L1218">
        <v>1.2397</v>
      </c>
    </row>
    <row r="1219" spans="1:12" hidden="1" x14ac:dyDescent="0.25">
      <c r="A1219">
        <v>2330</v>
      </c>
      <c r="B1219" t="s">
        <v>11</v>
      </c>
      <c r="C1219" s="1">
        <v>41075</v>
      </c>
      <c r="D1219" s="2">
        <f t="shared" ref="D1219:D1282" si="38">WEEKDAY(C1219,2)</f>
        <v>5</v>
      </c>
      <c r="E1219" s="2">
        <f t="shared" ref="E1219:E1282" si="39">MONTH(C1219)</f>
        <v>6</v>
      </c>
      <c r="F1219">
        <v>59.756999999999998</v>
      </c>
      <c r="G1219">
        <v>59.9833</v>
      </c>
      <c r="H1219">
        <v>58.927</v>
      </c>
      <c r="I1219">
        <v>58.927</v>
      </c>
      <c r="J1219">
        <v>89900</v>
      </c>
      <c r="K1219">
        <v>-1.3986000000000001</v>
      </c>
      <c r="L1219">
        <v>1.7926</v>
      </c>
    </row>
    <row r="1220" spans="1:12" x14ac:dyDescent="0.25">
      <c r="A1220">
        <v>2303</v>
      </c>
      <c r="B1220" t="s">
        <v>10</v>
      </c>
      <c r="C1220" s="1">
        <v>41078</v>
      </c>
      <c r="D1220" s="2">
        <f t="shared" si="38"/>
        <v>1</v>
      </c>
      <c r="E1220" s="2">
        <f t="shared" si="39"/>
        <v>6</v>
      </c>
      <c r="F1220">
        <v>9.2199000000000009</v>
      </c>
      <c r="G1220">
        <v>9.2936999999999994</v>
      </c>
      <c r="H1220">
        <v>9.0724</v>
      </c>
      <c r="I1220">
        <v>9.1092999999999993</v>
      </c>
      <c r="J1220">
        <v>45382</v>
      </c>
      <c r="K1220">
        <v>0.81299999999999994</v>
      </c>
      <c r="L1220">
        <v>2.4390000000000001</v>
      </c>
    </row>
    <row r="1221" spans="1:12" hidden="1" x14ac:dyDescent="0.25">
      <c r="A1221">
        <v>2330</v>
      </c>
      <c r="B1221" t="s">
        <v>11</v>
      </c>
      <c r="C1221" s="1">
        <v>41078</v>
      </c>
      <c r="D1221" s="2">
        <f t="shared" si="38"/>
        <v>1</v>
      </c>
      <c r="E1221" s="2">
        <f t="shared" si="39"/>
        <v>6</v>
      </c>
      <c r="F1221">
        <v>60.360599999999998</v>
      </c>
      <c r="G1221">
        <v>61.115099999999998</v>
      </c>
      <c r="H1221">
        <v>60.360599999999998</v>
      </c>
      <c r="I1221">
        <v>60.964199999999998</v>
      </c>
      <c r="J1221">
        <v>33737</v>
      </c>
      <c r="K1221">
        <v>3.3986999999999998</v>
      </c>
      <c r="L1221">
        <v>1.25</v>
      </c>
    </row>
    <row r="1222" spans="1:12" x14ac:dyDescent="0.25">
      <c r="A1222">
        <v>2303</v>
      </c>
      <c r="B1222" t="s">
        <v>10</v>
      </c>
      <c r="C1222" s="1">
        <v>41079</v>
      </c>
      <c r="D1222" s="2">
        <f t="shared" si="38"/>
        <v>2</v>
      </c>
      <c r="E1222" s="2">
        <f t="shared" si="39"/>
        <v>6</v>
      </c>
      <c r="F1222">
        <v>9.1830999999999996</v>
      </c>
      <c r="G1222">
        <v>9.1830999999999996</v>
      </c>
      <c r="H1222">
        <v>9.0724</v>
      </c>
      <c r="I1222">
        <v>9.1092999999999993</v>
      </c>
      <c r="J1222">
        <v>12074</v>
      </c>
      <c r="K1222">
        <v>0</v>
      </c>
      <c r="L1222">
        <v>1.2195</v>
      </c>
    </row>
    <row r="1223" spans="1:12" hidden="1" x14ac:dyDescent="0.25">
      <c r="A1223">
        <v>2330</v>
      </c>
      <c r="B1223" t="s">
        <v>11</v>
      </c>
      <c r="C1223" s="1">
        <v>41079</v>
      </c>
      <c r="D1223" s="2">
        <f t="shared" si="38"/>
        <v>2</v>
      </c>
      <c r="E1223" s="2">
        <f t="shared" si="39"/>
        <v>6</v>
      </c>
      <c r="F1223">
        <v>61.0396</v>
      </c>
      <c r="G1223">
        <v>61.0396</v>
      </c>
      <c r="H1223">
        <v>60.360599999999998</v>
      </c>
      <c r="I1223">
        <v>60.7378</v>
      </c>
      <c r="J1223">
        <v>28910</v>
      </c>
      <c r="K1223">
        <v>-0.372</v>
      </c>
      <c r="L1223">
        <v>1.125</v>
      </c>
    </row>
    <row r="1224" spans="1:12" x14ac:dyDescent="0.25">
      <c r="A1224">
        <v>2303</v>
      </c>
      <c r="B1224" t="s">
        <v>10</v>
      </c>
      <c r="C1224" s="1">
        <v>41080</v>
      </c>
      <c r="D1224" s="2">
        <f t="shared" si="38"/>
        <v>3</v>
      </c>
      <c r="E1224" s="2">
        <f t="shared" si="39"/>
        <v>6</v>
      </c>
      <c r="F1224">
        <v>9.2568000000000001</v>
      </c>
      <c r="G1224">
        <v>9.3674999999999997</v>
      </c>
      <c r="H1224">
        <v>9.1830999999999996</v>
      </c>
      <c r="I1224">
        <v>9.3674999999999997</v>
      </c>
      <c r="J1224">
        <v>34500</v>
      </c>
      <c r="K1224">
        <v>2.7946</v>
      </c>
      <c r="L1224">
        <v>2.008</v>
      </c>
    </row>
    <row r="1225" spans="1:12" hidden="1" x14ac:dyDescent="0.25">
      <c r="A1225">
        <v>2330</v>
      </c>
      <c r="B1225" t="s">
        <v>11</v>
      </c>
      <c r="C1225" s="1">
        <v>41080</v>
      </c>
      <c r="D1225" s="2">
        <f t="shared" si="38"/>
        <v>3</v>
      </c>
      <c r="E1225" s="2">
        <f t="shared" si="39"/>
        <v>6</v>
      </c>
      <c r="F1225">
        <v>61.3414</v>
      </c>
      <c r="G1225">
        <v>61.567799999999998</v>
      </c>
      <c r="H1225">
        <v>60.7378</v>
      </c>
      <c r="I1225">
        <v>61.567799999999998</v>
      </c>
      <c r="J1225">
        <v>35326</v>
      </c>
      <c r="K1225">
        <v>1.3572</v>
      </c>
      <c r="L1225">
        <v>1.3665</v>
      </c>
    </row>
    <row r="1226" spans="1:12" x14ac:dyDescent="0.25">
      <c r="A1226">
        <v>2303</v>
      </c>
      <c r="B1226" t="s">
        <v>10</v>
      </c>
      <c r="C1226" s="1">
        <v>41081</v>
      </c>
      <c r="D1226" s="2">
        <f t="shared" si="38"/>
        <v>4</v>
      </c>
      <c r="E1226" s="2">
        <f t="shared" si="39"/>
        <v>6</v>
      </c>
      <c r="F1226">
        <v>9.3674999999999997</v>
      </c>
      <c r="G1226">
        <v>9.5886999999999993</v>
      </c>
      <c r="H1226">
        <v>9.3306000000000004</v>
      </c>
      <c r="I1226">
        <v>9.4780999999999995</v>
      </c>
      <c r="J1226">
        <v>35929</v>
      </c>
      <c r="K1226">
        <v>1.1741999999999999</v>
      </c>
      <c r="L1226">
        <v>2.7667999999999999</v>
      </c>
    </row>
    <row r="1227" spans="1:12" hidden="1" x14ac:dyDescent="0.25">
      <c r="A1227">
        <v>2330</v>
      </c>
      <c r="B1227" t="s">
        <v>11</v>
      </c>
      <c r="C1227" s="1">
        <v>41081</v>
      </c>
      <c r="D1227" s="2">
        <f t="shared" si="38"/>
        <v>4</v>
      </c>
      <c r="E1227" s="2">
        <f t="shared" si="39"/>
        <v>6</v>
      </c>
      <c r="F1227">
        <v>60.7378</v>
      </c>
      <c r="G1227">
        <v>61.115099999999998</v>
      </c>
      <c r="H1227">
        <v>60.5869</v>
      </c>
      <c r="I1227">
        <v>60.813299999999998</v>
      </c>
      <c r="J1227">
        <v>27063</v>
      </c>
      <c r="K1227">
        <v>-1.2331000000000001</v>
      </c>
      <c r="L1227">
        <v>0.87170000000000003</v>
      </c>
    </row>
    <row r="1228" spans="1:12" x14ac:dyDescent="0.25">
      <c r="A1228">
        <v>2303</v>
      </c>
      <c r="B1228" t="s">
        <v>10</v>
      </c>
      <c r="C1228" s="1">
        <v>41082</v>
      </c>
      <c r="D1228" s="2">
        <f t="shared" si="38"/>
        <v>5</v>
      </c>
      <c r="E1228" s="2">
        <f t="shared" si="39"/>
        <v>6</v>
      </c>
      <c r="F1228">
        <v>9.2936999999999994</v>
      </c>
      <c r="G1228">
        <v>9.3306000000000004</v>
      </c>
      <c r="H1228">
        <v>9.2199000000000009</v>
      </c>
      <c r="I1228">
        <v>9.2199000000000009</v>
      </c>
      <c r="J1228">
        <v>26429</v>
      </c>
      <c r="K1228">
        <v>-2.7614999999999998</v>
      </c>
      <c r="L1228">
        <v>1.2</v>
      </c>
    </row>
    <row r="1229" spans="1:12" hidden="1" x14ac:dyDescent="0.25">
      <c r="A1229">
        <v>2330</v>
      </c>
      <c r="B1229" t="s">
        <v>11</v>
      </c>
      <c r="C1229" s="1">
        <v>41082</v>
      </c>
      <c r="D1229" s="2">
        <f t="shared" si="38"/>
        <v>5</v>
      </c>
      <c r="E1229" s="2">
        <f t="shared" si="39"/>
        <v>6</v>
      </c>
      <c r="F1229">
        <v>60.360599999999998</v>
      </c>
      <c r="G1229">
        <v>61.115099999999998</v>
      </c>
      <c r="H1229">
        <v>60.2851</v>
      </c>
      <c r="I1229">
        <v>60.436</v>
      </c>
      <c r="J1229">
        <v>31117</v>
      </c>
      <c r="K1229">
        <v>-0.62229999999999996</v>
      </c>
      <c r="L1229">
        <v>1.3767</v>
      </c>
    </row>
    <row r="1230" spans="1:12" x14ac:dyDescent="0.25">
      <c r="A1230">
        <v>2303</v>
      </c>
      <c r="B1230" t="s">
        <v>10</v>
      </c>
      <c r="C1230" s="1">
        <v>41085</v>
      </c>
      <c r="D1230" s="2">
        <f t="shared" si="38"/>
        <v>1</v>
      </c>
      <c r="E1230" s="2">
        <f t="shared" si="39"/>
        <v>6</v>
      </c>
      <c r="F1230">
        <v>9.1092999999999993</v>
      </c>
      <c r="G1230">
        <v>9.1830999999999996</v>
      </c>
      <c r="H1230">
        <v>9.0355000000000008</v>
      </c>
      <c r="I1230">
        <v>9.0355000000000008</v>
      </c>
      <c r="J1230">
        <v>17111</v>
      </c>
      <c r="K1230">
        <v>-2.0203000000000002</v>
      </c>
      <c r="L1230">
        <v>1.6327</v>
      </c>
    </row>
    <row r="1231" spans="1:12" hidden="1" x14ac:dyDescent="0.25">
      <c r="A1231">
        <v>2330</v>
      </c>
      <c r="B1231" t="s">
        <v>11</v>
      </c>
      <c r="C1231" s="1">
        <v>41085</v>
      </c>
      <c r="D1231" s="2">
        <f t="shared" si="38"/>
        <v>1</v>
      </c>
      <c r="E1231" s="2">
        <f t="shared" si="39"/>
        <v>6</v>
      </c>
      <c r="F1231">
        <v>60.964199999999998</v>
      </c>
      <c r="G1231">
        <v>60.964199999999998</v>
      </c>
      <c r="H1231">
        <v>59.6815</v>
      </c>
      <c r="I1231">
        <v>60.058799999999998</v>
      </c>
      <c r="J1231">
        <v>40786</v>
      </c>
      <c r="K1231">
        <v>-0.62619999999999998</v>
      </c>
      <c r="L1231">
        <v>2.1492</v>
      </c>
    </row>
    <row r="1232" spans="1:12" x14ac:dyDescent="0.25">
      <c r="A1232">
        <v>2303</v>
      </c>
      <c r="B1232" t="s">
        <v>10</v>
      </c>
      <c r="C1232" s="1">
        <v>41086</v>
      </c>
      <c r="D1232" s="2">
        <f t="shared" si="38"/>
        <v>2</v>
      </c>
      <c r="E1232" s="2">
        <f t="shared" si="39"/>
        <v>6</v>
      </c>
      <c r="F1232">
        <v>8.9618000000000002</v>
      </c>
      <c r="G1232">
        <v>9.1462000000000003</v>
      </c>
      <c r="H1232">
        <v>8.9618000000000002</v>
      </c>
      <c r="I1232">
        <v>9.0355000000000008</v>
      </c>
      <c r="J1232">
        <v>21544</v>
      </c>
      <c r="K1232">
        <v>0</v>
      </c>
      <c r="L1232">
        <v>2.0575999999999999</v>
      </c>
    </row>
    <row r="1233" spans="1:12" hidden="1" x14ac:dyDescent="0.25">
      <c r="A1233">
        <v>2330</v>
      </c>
      <c r="B1233" t="s">
        <v>11</v>
      </c>
      <c r="C1233" s="1">
        <v>41086</v>
      </c>
      <c r="D1233" s="2">
        <f t="shared" si="38"/>
        <v>2</v>
      </c>
      <c r="E1233" s="2">
        <f t="shared" si="39"/>
        <v>6</v>
      </c>
      <c r="F1233">
        <v>59.606099999999998</v>
      </c>
      <c r="G1233">
        <v>59.6815</v>
      </c>
      <c r="H1233">
        <v>59.0779</v>
      </c>
      <c r="I1233">
        <v>59.3797</v>
      </c>
      <c r="J1233">
        <v>42391</v>
      </c>
      <c r="K1233">
        <v>-1.1371</v>
      </c>
      <c r="L1233">
        <v>1.0217000000000001</v>
      </c>
    </row>
    <row r="1234" spans="1:12" x14ac:dyDescent="0.25">
      <c r="A1234">
        <v>2303</v>
      </c>
      <c r="B1234" t="s">
        <v>10</v>
      </c>
      <c r="C1234" s="1">
        <v>41087</v>
      </c>
      <c r="D1234" s="2">
        <f t="shared" si="38"/>
        <v>3</v>
      </c>
      <c r="E1234" s="2">
        <f t="shared" si="39"/>
        <v>6</v>
      </c>
      <c r="F1234">
        <v>9.0355000000000008</v>
      </c>
      <c r="G1234">
        <v>9.1462000000000003</v>
      </c>
      <c r="H1234">
        <v>8.9986999999999995</v>
      </c>
      <c r="I1234">
        <v>8.9986999999999995</v>
      </c>
      <c r="J1234">
        <v>18505</v>
      </c>
      <c r="K1234">
        <v>-0.40899999999999997</v>
      </c>
      <c r="L1234">
        <v>1.6393</v>
      </c>
    </row>
    <row r="1235" spans="1:12" hidden="1" x14ac:dyDescent="0.25">
      <c r="A1235">
        <v>2330</v>
      </c>
      <c r="B1235" t="s">
        <v>11</v>
      </c>
      <c r="C1235" s="1">
        <v>41087</v>
      </c>
      <c r="D1235" s="2">
        <f t="shared" si="38"/>
        <v>3</v>
      </c>
      <c r="E1235" s="2">
        <f t="shared" si="39"/>
        <v>6</v>
      </c>
      <c r="F1235">
        <v>59.0779</v>
      </c>
      <c r="G1235">
        <v>59.9833</v>
      </c>
      <c r="H1235">
        <v>59.002400000000002</v>
      </c>
      <c r="I1235">
        <v>59.8324</v>
      </c>
      <c r="J1235">
        <v>32770</v>
      </c>
      <c r="K1235">
        <v>0.75949999999999995</v>
      </c>
      <c r="L1235">
        <v>1.6624000000000001</v>
      </c>
    </row>
    <row r="1236" spans="1:12" x14ac:dyDescent="0.25">
      <c r="A1236">
        <v>2303</v>
      </c>
      <c r="B1236" t="s">
        <v>10</v>
      </c>
      <c r="C1236" s="1">
        <v>41088</v>
      </c>
      <c r="D1236" s="2">
        <f t="shared" si="38"/>
        <v>4</v>
      </c>
      <c r="E1236" s="2">
        <f t="shared" si="39"/>
        <v>6</v>
      </c>
      <c r="F1236">
        <v>9.1462000000000003</v>
      </c>
      <c r="G1236">
        <v>9.1462000000000003</v>
      </c>
      <c r="H1236">
        <v>8.9248999999999992</v>
      </c>
      <c r="I1236">
        <v>8.9248999999999992</v>
      </c>
      <c r="J1236">
        <v>24578</v>
      </c>
      <c r="K1236">
        <v>-0.82299999999999995</v>
      </c>
      <c r="L1236">
        <v>2.4792999999999998</v>
      </c>
    </row>
    <row r="1237" spans="1:12" hidden="1" x14ac:dyDescent="0.25">
      <c r="A1237">
        <v>2330</v>
      </c>
      <c r="B1237" t="s">
        <v>11</v>
      </c>
      <c r="C1237" s="1">
        <v>41088</v>
      </c>
      <c r="D1237" s="2">
        <f t="shared" si="38"/>
        <v>4</v>
      </c>
      <c r="E1237" s="2">
        <f t="shared" si="39"/>
        <v>6</v>
      </c>
      <c r="F1237">
        <v>60.360599999999998</v>
      </c>
      <c r="G1237">
        <v>60.5869</v>
      </c>
      <c r="H1237">
        <v>59.9833</v>
      </c>
      <c r="I1237">
        <v>60.2851</v>
      </c>
      <c r="J1237">
        <v>33113</v>
      </c>
      <c r="K1237">
        <v>0.75380000000000003</v>
      </c>
      <c r="L1237">
        <v>1.0063</v>
      </c>
    </row>
    <row r="1238" spans="1:12" x14ac:dyDescent="0.25">
      <c r="A1238">
        <v>2303</v>
      </c>
      <c r="B1238" t="s">
        <v>10</v>
      </c>
      <c r="C1238" s="1">
        <v>41089</v>
      </c>
      <c r="D1238" s="2">
        <f t="shared" si="38"/>
        <v>5</v>
      </c>
      <c r="E1238" s="2">
        <f t="shared" si="39"/>
        <v>6</v>
      </c>
      <c r="F1238">
        <v>8.9986999999999995</v>
      </c>
      <c r="G1238">
        <v>9.5150000000000006</v>
      </c>
      <c r="H1238">
        <v>8.9618000000000002</v>
      </c>
      <c r="I1238">
        <v>9.5150000000000006</v>
      </c>
      <c r="J1238">
        <v>74124</v>
      </c>
      <c r="K1238">
        <v>6.4021999999999997</v>
      </c>
      <c r="L1238">
        <v>6.1727999999999996</v>
      </c>
    </row>
    <row r="1239" spans="1:12" hidden="1" x14ac:dyDescent="0.25">
      <c r="A1239">
        <v>2330</v>
      </c>
      <c r="B1239" t="s">
        <v>11</v>
      </c>
      <c r="C1239" s="1">
        <v>41089</v>
      </c>
      <c r="D1239" s="2">
        <f t="shared" si="38"/>
        <v>5</v>
      </c>
      <c r="E1239" s="2">
        <f t="shared" si="39"/>
        <v>6</v>
      </c>
      <c r="F1239">
        <v>60.058799999999998</v>
      </c>
      <c r="G1239">
        <v>61.3414</v>
      </c>
      <c r="H1239">
        <v>59.8324</v>
      </c>
      <c r="I1239">
        <v>61.3414</v>
      </c>
      <c r="J1239">
        <v>50919</v>
      </c>
      <c r="K1239">
        <v>1.7370000000000001</v>
      </c>
      <c r="L1239">
        <v>2.5221</v>
      </c>
    </row>
    <row r="1240" spans="1:12" x14ac:dyDescent="0.25">
      <c r="A1240">
        <v>2303</v>
      </c>
      <c r="B1240" t="s">
        <v>10</v>
      </c>
      <c r="C1240" s="1">
        <v>41092</v>
      </c>
      <c r="D1240" s="2">
        <f t="shared" si="38"/>
        <v>1</v>
      </c>
      <c r="E1240" s="2">
        <f t="shared" si="39"/>
        <v>7</v>
      </c>
      <c r="F1240">
        <v>9.6256000000000004</v>
      </c>
      <c r="G1240">
        <v>9.9574999999999996</v>
      </c>
      <c r="H1240">
        <v>9.6256000000000004</v>
      </c>
      <c r="I1240">
        <v>9.8838000000000008</v>
      </c>
      <c r="J1240">
        <v>71831</v>
      </c>
      <c r="K1240">
        <v>3.8027000000000002</v>
      </c>
      <c r="L1240">
        <v>3.4483000000000001</v>
      </c>
    </row>
    <row r="1241" spans="1:12" hidden="1" x14ac:dyDescent="0.25">
      <c r="A1241">
        <v>2330</v>
      </c>
      <c r="B1241" t="s">
        <v>11</v>
      </c>
      <c r="C1241" s="1">
        <v>41092</v>
      </c>
      <c r="D1241" s="2">
        <f t="shared" si="38"/>
        <v>1</v>
      </c>
      <c r="E1241" s="2">
        <f t="shared" si="39"/>
        <v>7</v>
      </c>
      <c r="F1241">
        <v>61.4923</v>
      </c>
      <c r="G1241">
        <v>63.152200000000001</v>
      </c>
      <c r="H1241">
        <v>61.4923</v>
      </c>
      <c r="I1241">
        <v>62.8504</v>
      </c>
      <c r="J1241">
        <v>64377</v>
      </c>
      <c r="K1241">
        <v>2.4302999999999999</v>
      </c>
      <c r="L1241">
        <v>2.6993999999999998</v>
      </c>
    </row>
    <row r="1242" spans="1:12" x14ac:dyDescent="0.25">
      <c r="A1242">
        <v>2303</v>
      </c>
      <c r="B1242" t="s">
        <v>10</v>
      </c>
      <c r="C1242" s="1">
        <v>41093</v>
      </c>
      <c r="D1242" s="2">
        <f t="shared" si="38"/>
        <v>2</v>
      </c>
      <c r="E1242" s="2">
        <f t="shared" si="39"/>
        <v>7</v>
      </c>
      <c r="F1242">
        <v>9.8468999999999998</v>
      </c>
      <c r="G1242">
        <v>9.9944000000000006</v>
      </c>
      <c r="H1242">
        <v>9.7363</v>
      </c>
      <c r="I1242">
        <v>9.8838000000000008</v>
      </c>
      <c r="J1242">
        <v>64047</v>
      </c>
      <c r="K1242">
        <v>0</v>
      </c>
      <c r="L1242">
        <v>2.6515</v>
      </c>
    </row>
    <row r="1243" spans="1:12" hidden="1" x14ac:dyDescent="0.25">
      <c r="A1243">
        <v>2330</v>
      </c>
      <c r="B1243" t="s">
        <v>11</v>
      </c>
      <c r="C1243" s="1">
        <v>41093</v>
      </c>
      <c r="D1243" s="2">
        <f t="shared" si="38"/>
        <v>2</v>
      </c>
      <c r="E1243" s="2">
        <f t="shared" si="39"/>
        <v>7</v>
      </c>
      <c r="F1243">
        <v>63.076799999999999</v>
      </c>
      <c r="G1243">
        <v>64.057599999999994</v>
      </c>
      <c r="H1243">
        <v>62.925899999999999</v>
      </c>
      <c r="I1243">
        <v>63.529499999999999</v>
      </c>
      <c r="J1243">
        <v>60850</v>
      </c>
      <c r="K1243">
        <v>1.0746</v>
      </c>
      <c r="L1243">
        <v>1.7986</v>
      </c>
    </row>
    <row r="1244" spans="1:12" x14ac:dyDescent="0.25">
      <c r="A1244">
        <v>2303</v>
      </c>
      <c r="B1244" t="s">
        <v>10</v>
      </c>
      <c r="C1244" s="1">
        <v>41094</v>
      </c>
      <c r="D1244" s="2">
        <f t="shared" si="38"/>
        <v>3</v>
      </c>
      <c r="E1244" s="2">
        <f t="shared" si="39"/>
        <v>7</v>
      </c>
      <c r="F1244">
        <v>9.8838000000000008</v>
      </c>
      <c r="G1244">
        <v>9.9207000000000001</v>
      </c>
      <c r="H1244">
        <v>9.6994000000000007</v>
      </c>
      <c r="I1244">
        <v>9.7363</v>
      </c>
      <c r="J1244">
        <v>38942</v>
      </c>
      <c r="K1244">
        <v>-1.5038</v>
      </c>
      <c r="L1244">
        <v>2.2814000000000001</v>
      </c>
    </row>
    <row r="1245" spans="1:12" hidden="1" x14ac:dyDescent="0.25">
      <c r="A1245">
        <v>2330</v>
      </c>
      <c r="B1245" t="s">
        <v>11</v>
      </c>
      <c r="C1245" s="1">
        <v>41094</v>
      </c>
      <c r="D1245" s="2">
        <f t="shared" si="38"/>
        <v>3</v>
      </c>
      <c r="E1245" s="2">
        <f t="shared" si="39"/>
        <v>7</v>
      </c>
      <c r="F1245">
        <v>64.233199999999997</v>
      </c>
      <c r="G1245">
        <v>64.233199999999997</v>
      </c>
      <c r="H1245">
        <v>63.5291</v>
      </c>
      <c r="I1245">
        <v>63.5291</v>
      </c>
      <c r="J1245">
        <v>44220</v>
      </c>
      <c r="K1245">
        <v>-5.9999999999999995E-4</v>
      </c>
      <c r="L1245">
        <v>1.1084000000000001</v>
      </c>
    </row>
    <row r="1246" spans="1:12" x14ac:dyDescent="0.25">
      <c r="A1246">
        <v>2303</v>
      </c>
      <c r="B1246" t="s">
        <v>10</v>
      </c>
      <c r="C1246" s="1">
        <v>41095</v>
      </c>
      <c r="D1246" s="2">
        <f t="shared" si="38"/>
        <v>4</v>
      </c>
      <c r="E1246" s="2">
        <f t="shared" si="39"/>
        <v>7</v>
      </c>
      <c r="F1246">
        <v>9.7363</v>
      </c>
      <c r="G1246">
        <v>9.8468999999999998</v>
      </c>
      <c r="H1246">
        <v>9.6256000000000004</v>
      </c>
      <c r="I1246">
        <v>9.6994000000000007</v>
      </c>
      <c r="J1246">
        <v>43185</v>
      </c>
      <c r="K1246">
        <v>-0.3795</v>
      </c>
      <c r="L1246">
        <v>2.2989000000000002</v>
      </c>
    </row>
    <row r="1247" spans="1:12" hidden="1" x14ac:dyDescent="0.25">
      <c r="A1247">
        <v>2330</v>
      </c>
      <c r="B1247" t="s">
        <v>11</v>
      </c>
      <c r="C1247" s="1">
        <v>41095</v>
      </c>
      <c r="D1247" s="2">
        <f t="shared" si="38"/>
        <v>4</v>
      </c>
      <c r="E1247" s="2">
        <f t="shared" si="39"/>
        <v>7</v>
      </c>
      <c r="F1247">
        <v>64.155000000000001</v>
      </c>
      <c r="G1247">
        <v>64.155000000000001</v>
      </c>
      <c r="H1247">
        <v>63.137900000000002</v>
      </c>
      <c r="I1247">
        <v>63.372599999999998</v>
      </c>
      <c r="J1247">
        <v>28556</v>
      </c>
      <c r="K1247">
        <v>-0.24660000000000001</v>
      </c>
      <c r="L1247">
        <v>1.6109</v>
      </c>
    </row>
    <row r="1248" spans="1:12" x14ac:dyDescent="0.25">
      <c r="A1248">
        <v>2303</v>
      </c>
      <c r="B1248" t="s">
        <v>10</v>
      </c>
      <c r="C1248" s="1">
        <v>41096</v>
      </c>
      <c r="D1248" s="2">
        <f t="shared" si="38"/>
        <v>5</v>
      </c>
      <c r="E1248" s="2">
        <f t="shared" si="39"/>
        <v>7</v>
      </c>
      <c r="F1248">
        <v>9.7730999999999995</v>
      </c>
      <c r="G1248">
        <v>9.7730999999999995</v>
      </c>
      <c r="H1248">
        <v>9.5518999999999998</v>
      </c>
      <c r="I1248">
        <v>9.5886999999999993</v>
      </c>
      <c r="J1248">
        <v>59629</v>
      </c>
      <c r="K1248">
        <v>-1.1472</v>
      </c>
      <c r="L1248">
        <v>2.3166000000000002</v>
      </c>
    </row>
    <row r="1249" spans="1:12" hidden="1" x14ac:dyDescent="0.25">
      <c r="A1249">
        <v>2330</v>
      </c>
      <c r="B1249" t="s">
        <v>11</v>
      </c>
      <c r="C1249" s="1">
        <v>41096</v>
      </c>
      <c r="D1249" s="2">
        <f t="shared" si="38"/>
        <v>5</v>
      </c>
      <c r="E1249" s="2">
        <f t="shared" si="39"/>
        <v>7</v>
      </c>
      <c r="F1249">
        <v>63.372599999999998</v>
      </c>
      <c r="G1249">
        <v>63.372599999999998</v>
      </c>
      <c r="H1249">
        <v>62.668500000000002</v>
      </c>
      <c r="I1249">
        <v>63.294400000000003</v>
      </c>
      <c r="J1249">
        <v>38187</v>
      </c>
      <c r="K1249">
        <v>-0.1235</v>
      </c>
      <c r="L1249">
        <v>1.1235999999999999</v>
      </c>
    </row>
    <row r="1250" spans="1:12" x14ac:dyDescent="0.25">
      <c r="A1250">
        <v>2303</v>
      </c>
      <c r="B1250" t="s">
        <v>10</v>
      </c>
      <c r="C1250" s="1">
        <v>41099</v>
      </c>
      <c r="D1250" s="2">
        <f t="shared" si="38"/>
        <v>1</v>
      </c>
      <c r="E1250" s="2">
        <f t="shared" si="39"/>
        <v>7</v>
      </c>
      <c r="F1250">
        <v>9.4734999999999996</v>
      </c>
      <c r="G1250">
        <v>9.5502000000000002</v>
      </c>
      <c r="H1250">
        <v>9.4352</v>
      </c>
      <c r="I1250">
        <v>9.4352</v>
      </c>
      <c r="J1250">
        <v>52837</v>
      </c>
      <c r="K1250">
        <v>-1.552</v>
      </c>
      <c r="L1250">
        <v>1.2195</v>
      </c>
    </row>
    <row r="1251" spans="1:12" hidden="1" x14ac:dyDescent="0.25">
      <c r="A1251">
        <v>2330</v>
      </c>
      <c r="B1251" t="s">
        <v>11</v>
      </c>
      <c r="C1251" s="1">
        <v>41099</v>
      </c>
      <c r="D1251" s="2">
        <f t="shared" si="38"/>
        <v>1</v>
      </c>
      <c r="E1251" s="2">
        <f t="shared" si="39"/>
        <v>7</v>
      </c>
      <c r="F1251">
        <v>62.512</v>
      </c>
      <c r="G1251">
        <v>62.825000000000003</v>
      </c>
      <c r="H1251">
        <v>62.277299999999997</v>
      </c>
      <c r="I1251">
        <v>62.590200000000003</v>
      </c>
      <c r="J1251">
        <v>45060</v>
      </c>
      <c r="K1251">
        <v>-1.1187</v>
      </c>
      <c r="L1251">
        <v>0.87939999999999996</v>
      </c>
    </row>
    <row r="1252" spans="1:12" x14ac:dyDescent="0.25">
      <c r="A1252">
        <v>2303</v>
      </c>
      <c r="B1252" t="s">
        <v>10</v>
      </c>
      <c r="C1252" s="1">
        <v>41100</v>
      </c>
      <c r="D1252" s="2">
        <f t="shared" si="38"/>
        <v>2</v>
      </c>
      <c r="E1252" s="2">
        <f t="shared" si="39"/>
        <v>7</v>
      </c>
      <c r="F1252">
        <v>9.5119000000000007</v>
      </c>
      <c r="G1252">
        <v>9.7420000000000009</v>
      </c>
      <c r="H1252">
        <v>9.5119000000000007</v>
      </c>
      <c r="I1252">
        <v>9.5119000000000007</v>
      </c>
      <c r="J1252">
        <v>39317</v>
      </c>
      <c r="K1252">
        <v>0.80969999999999998</v>
      </c>
      <c r="L1252">
        <v>2.4194</v>
      </c>
    </row>
    <row r="1253" spans="1:12" hidden="1" x14ac:dyDescent="0.25">
      <c r="A1253">
        <v>2330</v>
      </c>
      <c r="B1253" t="s">
        <v>11</v>
      </c>
      <c r="C1253" s="1">
        <v>41100</v>
      </c>
      <c r="D1253" s="2">
        <f t="shared" si="38"/>
        <v>2</v>
      </c>
      <c r="E1253" s="2">
        <f t="shared" si="39"/>
        <v>7</v>
      </c>
      <c r="F1253">
        <v>62.120800000000003</v>
      </c>
      <c r="G1253">
        <v>62.512</v>
      </c>
      <c r="H1253">
        <v>61.494900000000001</v>
      </c>
      <c r="I1253">
        <v>61.886099999999999</v>
      </c>
      <c r="J1253">
        <v>37141</v>
      </c>
      <c r="K1253">
        <v>-1.1314</v>
      </c>
      <c r="L1253">
        <v>1.6538999999999999</v>
      </c>
    </row>
    <row r="1254" spans="1:12" x14ac:dyDescent="0.25">
      <c r="A1254">
        <v>2303</v>
      </c>
      <c r="B1254" t="s">
        <v>10</v>
      </c>
      <c r="C1254" s="1">
        <v>41101</v>
      </c>
      <c r="D1254" s="2">
        <f t="shared" si="38"/>
        <v>3</v>
      </c>
      <c r="E1254" s="2">
        <f t="shared" si="39"/>
        <v>7</v>
      </c>
      <c r="F1254">
        <v>9.5885999999999996</v>
      </c>
      <c r="G1254">
        <v>9.5885999999999996</v>
      </c>
      <c r="H1254">
        <v>9.4352</v>
      </c>
      <c r="I1254">
        <v>9.4734999999999996</v>
      </c>
      <c r="J1254">
        <v>17940</v>
      </c>
      <c r="K1254">
        <v>-0.40400000000000003</v>
      </c>
      <c r="L1254">
        <v>1.6259999999999999</v>
      </c>
    </row>
    <row r="1255" spans="1:12" hidden="1" x14ac:dyDescent="0.25">
      <c r="A1255">
        <v>2330</v>
      </c>
      <c r="B1255" t="s">
        <v>11</v>
      </c>
      <c r="C1255" s="1">
        <v>41101</v>
      </c>
      <c r="D1255" s="2">
        <f t="shared" si="38"/>
        <v>3</v>
      </c>
      <c r="E1255" s="2">
        <f t="shared" si="39"/>
        <v>7</v>
      </c>
      <c r="F1255">
        <v>61.103700000000003</v>
      </c>
      <c r="G1255">
        <v>61.260199999999998</v>
      </c>
      <c r="H1255">
        <v>60.556100000000001</v>
      </c>
      <c r="I1255">
        <v>61.103700000000003</v>
      </c>
      <c r="J1255">
        <v>59419</v>
      </c>
      <c r="K1255">
        <v>-1.2723</v>
      </c>
      <c r="L1255">
        <v>1.1628000000000001</v>
      </c>
    </row>
    <row r="1256" spans="1:12" x14ac:dyDescent="0.25">
      <c r="A1256">
        <v>2303</v>
      </c>
      <c r="B1256" t="s">
        <v>10</v>
      </c>
      <c r="C1256" s="1">
        <v>41102</v>
      </c>
      <c r="D1256" s="2">
        <f t="shared" si="38"/>
        <v>4</v>
      </c>
      <c r="E1256" s="2">
        <f t="shared" si="39"/>
        <v>7</v>
      </c>
      <c r="F1256">
        <v>9.4734999999999996</v>
      </c>
      <c r="G1256">
        <v>9.4734999999999996</v>
      </c>
      <c r="H1256">
        <v>9.2050000000000001</v>
      </c>
      <c r="I1256">
        <v>9.2433999999999994</v>
      </c>
      <c r="J1256">
        <v>38079</v>
      </c>
      <c r="K1256">
        <v>-2.4590999999999998</v>
      </c>
      <c r="L1256">
        <v>2.9167000000000001</v>
      </c>
    </row>
    <row r="1257" spans="1:12" hidden="1" x14ac:dyDescent="0.25">
      <c r="A1257">
        <v>2330</v>
      </c>
      <c r="B1257" t="s">
        <v>11</v>
      </c>
      <c r="C1257" s="1">
        <v>41102</v>
      </c>
      <c r="D1257" s="2">
        <f t="shared" si="38"/>
        <v>4</v>
      </c>
      <c r="E1257" s="2">
        <f t="shared" si="39"/>
        <v>7</v>
      </c>
      <c r="F1257">
        <v>60.634300000000003</v>
      </c>
      <c r="G1257">
        <v>60.634300000000003</v>
      </c>
      <c r="H1257">
        <v>59.225999999999999</v>
      </c>
      <c r="I1257">
        <v>59.225999999999999</v>
      </c>
      <c r="J1257">
        <v>69235</v>
      </c>
      <c r="K1257">
        <v>-3.1212</v>
      </c>
      <c r="L1257">
        <v>2.3778000000000001</v>
      </c>
    </row>
    <row r="1258" spans="1:12" x14ac:dyDescent="0.25">
      <c r="A1258">
        <v>2303</v>
      </c>
      <c r="B1258" t="s">
        <v>10</v>
      </c>
      <c r="C1258" s="1">
        <v>41103</v>
      </c>
      <c r="D1258" s="2">
        <f t="shared" si="38"/>
        <v>5</v>
      </c>
      <c r="E1258" s="2">
        <f t="shared" si="39"/>
        <v>7</v>
      </c>
      <c r="F1258">
        <v>9.1667000000000005</v>
      </c>
      <c r="G1258">
        <v>9.2817000000000007</v>
      </c>
      <c r="H1258">
        <v>9.1282999999999994</v>
      </c>
      <c r="I1258">
        <v>9.2050000000000001</v>
      </c>
      <c r="J1258">
        <v>26058</v>
      </c>
      <c r="K1258">
        <v>-0.4158</v>
      </c>
      <c r="L1258">
        <v>1.6807000000000001</v>
      </c>
    </row>
    <row r="1259" spans="1:12" hidden="1" x14ac:dyDescent="0.25">
      <c r="A1259">
        <v>2330</v>
      </c>
      <c r="B1259" t="s">
        <v>11</v>
      </c>
      <c r="C1259" s="1">
        <v>41103</v>
      </c>
      <c r="D1259" s="2">
        <f t="shared" si="38"/>
        <v>5</v>
      </c>
      <c r="E1259" s="2">
        <f t="shared" si="39"/>
        <v>7</v>
      </c>
      <c r="F1259">
        <v>58.600099999999998</v>
      </c>
      <c r="G1259">
        <v>59.460700000000003</v>
      </c>
      <c r="H1259">
        <v>58.287199999999999</v>
      </c>
      <c r="I1259">
        <v>59.304299999999998</v>
      </c>
      <c r="J1259">
        <v>52310</v>
      </c>
      <c r="K1259">
        <v>0.13200000000000001</v>
      </c>
      <c r="L1259">
        <v>2.0133999999999999</v>
      </c>
    </row>
    <row r="1260" spans="1:12" x14ac:dyDescent="0.25">
      <c r="A1260">
        <v>2303</v>
      </c>
      <c r="B1260" t="s">
        <v>10</v>
      </c>
      <c r="C1260" s="1">
        <v>41106</v>
      </c>
      <c r="D1260" s="2">
        <f t="shared" si="38"/>
        <v>1</v>
      </c>
      <c r="E1260" s="2">
        <f t="shared" si="39"/>
        <v>7</v>
      </c>
      <c r="F1260">
        <v>9.2050000000000001</v>
      </c>
      <c r="G1260">
        <v>9.3201000000000001</v>
      </c>
      <c r="H1260">
        <v>9.1667000000000005</v>
      </c>
      <c r="I1260">
        <v>9.2433999999999994</v>
      </c>
      <c r="J1260">
        <v>22815</v>
      </c>
      <c r="K1260">
        <v>0.4158</v>
      </c>
      <c r="L1260">
        <v>1.6736</v>
      </c>
    </row>
    <row r="1261" spans="1:12" hidden="1" x14ac:dyDescent="0.25">
      <c r="A1261">
        <v>2330</v>
      </c>
      <c r="B1261" t="s">
        <v>11</v>
      </c>
      <c r="C1261" s="1">
        <v>41106</v>
      </c>
      <c r="D1261" s="2">
        <f t="shared" si="38"/>
        <v>1</v>
      </c>
      <c r="E1261" s="2">
        <f t="shared" si="39"/>
        <v>7</v>
      </c>
      <c r="F1261">
        <v>59.695399999999999</v>
      </c>
      <c r="G1261">
        <v>59.695399999999999</v>
      </c>
      <c r="H1261">
        <v>59.069499999999998</v>
      </c>
      <c r="I1261">
        <v>59.069499999999998</v>
      </c>
      <c r="J1261">
        <v>41994</v>
      </c>
      <c r="K1261">
        <v>-0.39660000000000001</v>
      </c>
      <c r="L1261">
        <v>1.0596000000000001</v>
      </c>
    </row>
    <row r="1262" spans="1:12" x14ac:dyDescent="0.25">
      <c r="A1262">
        <v>2303</v>
      </c>
      <c r="B1262" t="s">
        <v>10</v>
      </c>
      <c r="C1262" s="1">
        <v>41107</v>
      </c>
      <c r="D1262" s="2">
        <f t="shared" si="38"/>
        <v>2</v>
      </c>
      <c r="E1262" s="2">
        <f t="shared" si="39"/>
        <v>7</v>
      </c>
      <c r="F1262">
        <v>9.2433999999999994</v>
      </c>
      <c r="G1262">
        <v>9.5885999999999996</v>
      </c>
      <c r="H1262">
        <v>9.2050000000000001</v>
      </c>
      <c r="I1262">
        <v>9.5502000000000002</v>
      </c>
      <c r="J1262">
        <v>31634</v>
      </c>
      <c r="K1262">
        <v>3.2656000000000001</v>
      </c>
      <c r="L1262">
        <v>4.1666999999999996</v>
      </c>
    </row>
    <row r="1263" spans="1:12" hidden="1" x14ac:dyDescent="0.25">
      <c r="A1263">
        <v>2330</v>
      </c>
      <c r="B1263" t="s">
        <v>11</v>
      </c>
      <c r="C1263" s="1">
        <v>41107</v>
      </c>
      <c r="D1263" s="2">
        <f t="shared" si="38"/>
        <v>2</v>
      </c>
      <c r="E1263" s="2">
        <f t="shared" si="39"/>
        <v>7</v>
      </c>
      <c r="F1263">
        <v>58.287199999999999</v>
      </c>
      <c r="G1263">
        <v>58.834800000000001</v>
      </c>
      <c r="H1263">
        <v>58.287199999999999</v>
      </c>
      <c r="I1263">
        <v>58.521900000000002</v>
      </c>
      <c r="J1263">
        <v>51879</v>
      </c>
      <c r="K1263">
        <v>-0.93149999999999999</v>
      </c>
      <c r="L1263">
        <v>0.93959999999999999</v>
      </c>
    </row>
    <row r="1264" spans="1:12" x14ac:dyDescent="0.25">
      <c r="A1264">
        <v>2303</v>
      </c>
      <c r="B1264" t="s">
        <v>10</v>
      </c>
      <c r="C1264" s="1">
        <v>41108</v>
      </c>
      <c r="D1264" s="2">
        <f t="shared" si="38"/>
        <v>3</v>
      </c>
      <c r="E1264" s="2">
        <f t="shared" si="39"/>
        <v>7</v>
      </c>
      <c r="F1264">
        <v>9.5119000000000007</v>
      </c>
      <c r="G1264">
        <v>9.5502000000000002</v>
      </c>
      <c r="H1264">
        <v>9.3201000000000001</v>
      </c>
      <c r="I1264">
        <v>9.3201000000000001</v>
      </c>
      <c r="J1264">
        <v>25213</v>
      </c>
      <c r="K1264">
        <v>-2.4390999999999998</v>
      </c>
      <c r="L1264">
        <v>2.4691000000000001</v>
      </c>
    </row>
    <row r="1265" spans="1:12" hidden="1" x14ac:dyDescent="0.25">
      <c r="A1265">
        <v>2330</v>
      </c>
      <c r="B1265" t="s">
        <v>11</v>
      </c>
      <c r="C1265" s="1">
        <v>41108</v>
      </c>
      <c r="D1265" s="2">
        <f t="shared" si="38"/>
        <v>3</v>
      </c>
      <c r="E1265" s="2">
        <f t="shared" si="39"/>
        <v>7</v>
      </c>
      <c r="F1265">
        <v>58.678400000000003</v>
      </c>
      <c r="G1265">
        <v>58.9131</v>
      </c>
      <c r="H1265">
        <v>58.521900000000002</v>
      </c>
      <c r="I1265">
        <v>58.521900000000002</v>
      </c>
      <c r="J1265">
        <v>38710</v>
      </c>
      <c r="K1265">
        <v>0</v>
      </c>
      <c r="L1265">
        <v>0.66839999999999999</v>
      </c>
    </row>
    <row r="1266" spans="1:12" x14ac:dyDescent="0.25">
      <c r="A1266">
        <v>2303</v>
      </c>
      <c r="B1266" t="s">
        <v>10</v>
      </c>
      <c r="C1266" s="1">
        <v>41109</v>
      </c>
      <c r="D1266" s="2">
        <f t="shared" si="38"/>
        <v>4</v>
      </c>
      <c r="E1266" s="2">
        <f t="shared" si="39"/>
        <v>7</v>
      </c>
      <c r="F1266">
        <v>9.4734999999999996</v>
      </c>
      <c r="G1266">
        <v>9.6653000000000002</v>
      </c>
      <c r="H1266">
        <v>9.4352</v>
      </c>
      <c r="I1266">
        <v>9.5885999999999996</v>
      </c>
      <c r="J1266">
        <v>30809</v>
      </c>
      <c r="K1266">
        <v>2.8399000000000001</v>
      </c>
      <c r="L1266">
        <v>2.4390000000000001</v>
      </c>
    </row>
    <row r="1267" spans="1:12" hidden="1" x14ac:dyDescent="0.25">
      <c r="A1267">
        <v>2330</v>
      </c>
      <c r="B1267" t="s">
        <v>11</v>
      </c>
      <c r="C1267" s="1">
        <v>41109</v>
      </c>
      <c r="D1267" s="2">
        <f t="shared" si="38"/>
        <v>4</v>
      </c>
      <c r="E1267" s="2">
        <f t="shared" si="39"/>
        <v>7</v>
      </c>
      <c r="F1267">
        <v>60.086599999999997</v>
      </c>
      <c r="G1267">
        <v>61.025500000000001</v>
      </c>
      <c r="H1267">
        <v>60.086599999999997</v>
      </c>
      <c r="I1267">
        <v>60.634300000000003</v>
      </c>
      <c r="J1267">
        <v>62113</v>
      </c>
      <c r="K1267">
        <v>3.5459999999999998</v>
      </c>
      <c r="L1267">
        <v>1.5625</v>
      </c>
    </row>
    <row r="1268" spans="1:12" x14ac:dyDescent="0.25">
      <c r="A1268">
        <v>2303</v>
      </c>
      <c r="B1268" t="s">
        <v>10</v>
      </c>
      <c r="C1268" s="1">
        <v>41110</v>
      </c>
      <c r="D1268" s="2">
        <f t="shared" si="38"/>
        <v>5</v>
      </c>
      <c r="E1268" s="2">
        <f t="shared" si="39"/>
        <v>7</v>
      </c>
      <c r="F1268">
        <v>9.5119000000000007</v>
      </c>
      <c r="G1268">
        <v>9.6268999999999991</v>
      </c>
      <c r="H1268">
        <v>9.4734999999999996</v>
      </c>
      <c r="I1268">
        <v>9.6268999999999991</v>
      </c>
      <c r="J1268">
        <v>31339</v>
      </c>
      <c r="K1268">
        <v>0.3992</v>
      </c>
      <c r="L1268">
        <v>1.6194</v>
      </c>
    </row>
    <row r="1269" spans="1:12" hidden="1" x14ac:dyDescent="0.25">
      <c r="A1269">
        <v>2330</v>
      </c>
      <c r="B1269" t="s">
        <v>11</v>
      </c>
      <c r="C1269" s="1">
        <v>41110</v>
      </c>
      <c r="D1269" s="2">
        <f t="shared" si="38"/>
        <v>5</v>
      </c>
      <c r="E1269" s="2">
        <f t="shared" si="39"/>
        <v>7</v>
      </c>
      <c r="F1269">
        <v>59.773699999999998</v>
      </c>
      <c r="G1269">
        <v>60.243099999999998</v>
      </c>
      <c r="H1269">
        <v>59.617199999999997</v>
      </c>
      <c r="I1269">
        <v>60.008400000000002</v>
      </c>
      <c r="J1269">
        <v>49932</v>
      </c>
      <c r="K1269">
        <v>-1.0376000000000001</v>
      </c>
      <c r="L1269">
        <v>1.0499000000000001</v>
      </c>
    </row>
    <row r="1270" spans="1:12" x14ac:dyDescent="0.25">
      <c r="A1270">
        <v>2303</v>
      </c>
      <c r="B1270" t="s">
        <v>10</v>
      </c>
      <c r="C1270" s="1">
        <v>41113</v>
      </c>
      <c r="D1270" s="2">
        <f t="shared" si="38"/>
        <v>1</v>
      </c>
      <c r="E1270" s="2">
        <f t="shared" si="39"/>
        <v>7</v>
      </c>
      <c r="F1270">
        <v>9.4734999999999996</v>
      </c>
      <c r="G1270">
        <v>9.5119000000000007</v>
      </c>
      <c r="H1270">
        <v>9.3201000000000001</v>
      </c>
      <c r="I1270">
        <v>9.4352</v>
      </c>
      <c r="J1270">
        <v>30281</v>
      </c>
      <c r="K1270">
        <v>-2.0121000000000002</v>
      </c>
      <c r="L1270">
        <v>2.0575999999999999</v>
      </c>
    </row>
    <row r="1271" spans="1:12" hidden="1" x14ac:dyDescent="0.25">
      <c r="A1271">
        <v>2330</v>
      </c>
      <c r="B1271" t="s">
        <v>11</v>
      </c>
      <c r="C1271" s="1">
        <v>41113</v>
      </c>
      <c r="D1271" s="2">
        <f t="shared" si="38"/>
        <v>1</v>
      </c>
      <c r="E1271" s="2">
        <f t="shared" si="39"/>
        <v>7</v>
      </c>
      <c r="F1271">
        <v>58.756599999999999</v>
      </c>
      <c r="G1271">
        <v>58.756599999999999</v>
      </c>
      <c r="H1271">
        <v>57.7395</v>
      </c>
      <c r="I1271">
        <v>58.130699999999997</v>
      </c>
      <c r="J1271">
        <v>57536</v>
      </c>
      <c r="K1271">
        <v>-3.1791</v>
      </c>
      <c r="L1271">
        <v>1.7615000000000001</v>
      </c>
    </row>
    <row r="1272" spans="1:12" x14ac:dyDescent="0.25">
      <c r="A1272">
        <v>2303</v>
      </c>
      <c r="B1272" t="s">
        <v>10</v>
      </c>
      <c r="C1272" s="1">
        <v>41114</v>
      </c>
      <c r="D1272" s="2">
        <f t="shared" si="38"/>
        <v>2</v>
      </c>
      <c r="E1272" s="2">
        <f t="shared" si="39"/>
        <v>7</v>
      </c>
      <c r="F1272">
        <v>9.4352</v>
      </c>
      <c r="G1272">
        <v>9.5119000000000007</v>
      </c>
      <c r="H1272">
        <v>9.3583999999999996</v>
      </c>
      <c r="I1272">
        <v>9.4734999999999996</v>
      </c>
      <c r="J1272">
        <v>22201</v>
      </c>
      <c r="K1272">
        <v>0.40570000000000001</v>
      </c>
      <c r="L1272">
        <v>1.6393</v>
      </c>
    </row>
    <row r="1273" spans="1:12" hidden="1" x14ac:dyDescent="0.25">
      <c r="A1273">
        <v>2330</v>
      </c>
      <c r="B1273" t="s">
        <v>11</v>
      </c>
      <c r="C1273" s="1">
        <v>41114</v>
      </c>
      <c r="D1273" s="2">
        <f t="shared" si="38"/>
        <v>2</v>
      </c>
      <c r="E1273" s="2">
        <f t="shared" si="39"/>
        <v>7</v>
      </c>
      <c r="F1273">
        <v>58.130699999999997</v>
      </c>
      <c r="G1273">
        <v>58.521900000000002</v>
      </c>
      <c r="H1273">
        <v>58.052399999999999</v>
      </c>
      <c r="I1273">
        <v>58.521900000000002</v>
      </c>
      <c r="J1273">
        <v>39973</v>
      </c>
      <c r="K1273">
        <v>0.67069999999999996</v>
      </c>
      <c r="L1273">
        <v>0.80859999999999999</v>
      </c>
    </row>
    <row r="1274" spans="1:12" x14ac:dyDescent="0.25">
      <c r="A1274">
        <v>2303</v>
      </c>
      <c r="B1274" t="s">
        <v>10</v>
      </c>
      <c r="C1274" s="1">
        <v>41115</v>
      </c>
      <c r="D1274" s="2">
        <f t="shared" si="38"/>
        <v>3</v>
      </c>
      <c r="E1274" s="2">
        <f t="shared" si="39"/>
        <v>7</v>
      </c>
      <c r="F1274">
        <v>9.2817000000000007</v>
      </c>
      <c r="G1274">
        <v>9.4352</v>
      </c>
      <c r="H1274">
        <v>9.2817000000000007</v>
      </c>
      <c r="I1274">
        <v>9.2817000000000007</v>
      </c>
      <c r="J1274">
        <v>29630</v>
      </c>
      <c r="K1274">
        <v>-2.0451000000000001</v>
      </c>
      <c r="L1274">
        <v>1.6529</v>
      </c>
    </row>
    <row r="1275" spans="1:12" hidden="1" x14ac:dyDescent="0.25">
      <c r="A1275">
        <v>2330</v>
      </c>
      <c r="B1275" t="s">
        <v>11</v>
      </c>
      <c r="C1275" s="1">
        <v>41115</v>
      </c>
      <c r="D1275" s="2">
        <f t="shared" si="38"/>
        <v>3</v>
      </c>
      <c r="E1275" s="2">
        <f t="shared" si="39"/>
        <v>7</v>
      </c>
      <c r="F1275">
        <v>58.678400000000003</v>
      </c>
      <c r="G1275">
        <v>58.834800000000001</v>
      </c>
      <c r="H1275">
        <v>58.2089</v>
      </c>
      <c r="I1275">
        <v>58.365400000000001</v>
      </c>
      <c r="J1275">
        <v>72480</v>
      </c>
      <c r="K1275">
        <v>-0.26769999999999999</v>
      </c>
      <c r="L1275">
        <v>1.0752999999999999</v>
      </c>
    </row>
    <row r="1276" spans="1:12" x14ac:dyDescent="0.25">
      <c r="A1276">
        <v>2303</v>
      </c>
      <c r="B1276" t="s">
        <v>10</v>
      </c>
      <c r="C1276" s="1">
        <v>41116</v>
      </c>
      <c r="D1276" s="2">
        <f t="shared" si="38"/>
        <v>4</v>
      </c>
      <c r="E1276" s="2">
        <f t="shared" si="39"/>
        <v>7</v>
      </c>
      <c r="F1276">
        <v>9.3201000000000001</v>
      </c>
      <c r="G1276">
        <v>9.4734999999999996</v>
      </c>
      <c r="H1276">
        <v>9.3201000000000001</v>
      </c>
      <c r="I1276">
        <v>9.3583999999999996</v>
      </c>
      <c r="J1276">
        <v>20904</v>
      </c>
      <c r="K1276">
        <v>0.82299999999999995</v>
      </c>
      <c r="L1276">
        <v>1.6460999999999999</v>
      </c>
    </row>
    <row r="1277" spans="1:12" hidden="1" x14ac:dyDescent="0.25">
      <c r="A1277">
        <v>2330</v>
      </c>
      <c r="B1277" t="s">
        <v>11</v>
      </c>
      <c r="C1277" s="1">
        <v>41116</v>
      </c>
      <c r="D1277" s="2">
        <f t="shared" si="38"/>
        <v>4</v>
      </c>
      <c r="E1277" s="2">
        <f t="shared" si="39"/>
        <v>7</v>
      </c>
      <c r="F1277">
        <v>59.225999999999999</v>
      </c>
      <c r="G1277">
        <v>60.008400000000002</v>
      </c>
      <c r="H1277">
        <v>58.834800000000001</v>
      </c>
      <c r="I1277">
        <v>59.695399999999999</v>
      </c>
      <c r="J1277">
        <v>47155</v>
      </c>
      <c r="K1277">
        <v>2.2532000000000001</v>
      </c>
      <c r="L1277">
        <v>1.9946999999999999</v>
      </c>
    </row>
    <row r="1278" spans="1:12" x14ac:dyDescent="0.25">
      <c r="A1278">
        <v>2303</v>
      </c>
      <c r="B1278" t="s">
        <v>10</v>
      </c>
      <c r="C1278" s="1">
        <v>41117</v>
      </c>
      <c r="D1278" s="2">
        <f t="shared" si="38"/>
        <v>5</v>
      </c>
      <c r="E1278" s="2">
        <f t="shared" si="39"/>
        <v>7</v>
      </c>
      <c r="F1278">
        <v>9.5119000000000007</v>
      </c>
      <c r="G1278">
        <v>9.5502000000000002</v>
      </c>
      <c r="H1278">
        <v>9.4352</v>
      </c>
      <c r="I1278">
        <v>9.5119000000000007</v>
      </c>
      <c r="J1278">
        <v>22813</v>
      </c>
      <c r="K1278">
        <v>1.6261000000000001</v>
      </c>
      <c r="L1278">
        <v>1.2195</v>
      </c>
    </row>
    <row r="1279" spans="1:12" hidden="1" x14ac:dyDescent="0.25">
      <c r="A1279">
        <v>2330</v>
      </c>
      <c r="B1279" t="s">
        <v>11</v>
      </c>
      <c r="C1279" s="1">
        <v>41117</v>
      </c>
      <c r="D1279" s="2">
        <f t="shared" si="38"/>
        <v>5</v>
      </c>
      <c r="E1279" s="2">
        <f t="shared" si="39"/>
        <v>7</v>
      </c>
      <c r="F1279">
        <v>60.947200000000002</v>
      </c>
      <c r="G1279">
        <v>62.120800000000003</v>
      </c>
      <c r="H1279">
        <v>60.3996</v>
      </c>
      <c r="I1279">
        <v>62.0426</v>
      </c>
      <c r="J1279">
        <v>73460</v>
      </c>
      <c r="K1279">
        <v>3.8565</v>
      </c>
      <c r="L1279">
        <v>2.8496999999999999</v>
      </c>
    </row>
    <row r="1280" spans="1:12" x14ac:dyDescent="0.25">
      <c r="A1280">
        <v>2303</v>
      </c>
      <c r="B1280" t="s">
        <v>10</v>
      </c>
      <c r="C1280" s="1">
        <v>41120</v>
      </c>
      <c r="D1280" s="2">
        <f t="shared" si="38"/>
        <v>1</v>
      </c>
      <c r="E1280" s="2">
        <f t="shared" si="39"/>
        <v>7</v>
      </c>
      <c r="F1280">
        <v>9.5885999999999996</v>
      </c>
      <c r="G1280">
        <v>9.6268999999999991</v>
      </c>
      <c r="H1280">
        <v>9.5119000000000007</v>
      </c>
      <c r="I1280">
        <v>9.5885999999999996</v>
      </c>
      <c r="J1280">
        <v>15134</v>
      </c>
      <c r="K1280">
        <v>0.80320000000000003</v>
      </c>
      <c r="L1280">
        <v>1.2097</v>
      </c>
    </row>
    <row r="1281" spans="1:12" hidden="1" x14ac:dyDescent="0.25">
      <c r="A1281">
        <v>2330</v>
      </c>
      <c r="B1281" t="s">
        <v>11</v>
      </c>
      <c r="C1281" s="1">
        <v>41120</v>
      </c>
      <c r="D1281" s="2">
        <f t="shared" si="38"/>
        <v>1</v>
      </c>
      <c r="E1281" s="2">
        <f t="shared" si="39"/>
        <v>7</v>
      </c>
      <c r="F1281">
        <v>62.590200000000003</v>
      </c>
      <c r="G1281">
        <v>62.903199999999998</v>
      </c>
      <c r="H1281">
        <v>61.651400000000002</v>
      </c>
      <c r="I1281">
        <v>61.807899999999997</v>
      </c>
      <c r="J1281">
        <v>51381</v>
      </c>
      <c r="K1281">
        <v>-0.379</v>
      </c>
      <c r="L1281">
        <v>2.0305</v>
      </c>
    </row>
    <row r="1282" spans="1:12" x14ac:dyDescent="0.25">
      <c r="A1282">
        <v>2303</v>
      </c>
      <c r="B1282" t="s">
        <v>10</v>
      </c>
      <c r="C1282" s="1">
        <v>41121</v>
      </c>
      <c r="D1282" s="2">
        <f t="shared" si="38"/>
        <v>2</v>
      </c>
      <c r="E1282" s="2">
        <f t="shared" si="39"/>
        <v>7</v>
      </c>
      <c r="F1282">
        <v>9.5885999999999996</v>
      </c>
      <c r="G1282">
        <v>9.7035999999999998</v>
      </c>
      <c r="H1282">
        <v>9.5119000000000007</v>
      </c>
      <c r="I1282">
        <v>9.6653000000000002</v>
      </c>
      <c r="J1282">
        <v>38164</v>
      </c>
      <c r="K1282">
        <v>0.79679999999999995</v>
      </c>
      <c r="L1282">
        <v>2.0160999999999998</v>
      </c>
    </row>
    <row r="1283" spans="1:12" hidden="1" x14ac:dyDescent="0.25">
      <c r="A1283">
        <v>2330</v>
      </c>
      <c r="B1283" t="s">
        <v>11</v>
      </c>
      <c r="C1283" s="1">
        <v>41121</v>
      </c>
      <c r="D1283" s="2">
        <f t="shared" ref="D1283:D1346" si="40">WEEKDAY(C1283,2)</f>
        <v>2</v>
      </c>
      <c r="E1283" s="2">
        <f t="shared" ref="E1283:E1346" si="41">MONTH(C1283)</f>
        <v>7</v>
      </c>
      <c r="F1283">
        <v>61.416699999999999</v>
      </c>
      <c r="G1283">
        <v>63.372599999999998</v>
      </c>
      <c r="H1283">
        <v>61.416699999999999</v>
      </c>
      <c r="I1283">
        <v>63.372599999999998</v>
      </c>
      <c r="J1283">
        <v>68248</v>
      </c>
      <c r="K1283">
        <v>2.5001000000000002</v>
      </c>
      <c r="L1283">
        <v>3.1846999999999999</v>
      </c>
    </row>
    <row r="1284" spans="1:12" x14ac:dyDescent="0.25">
      <c r="A1284">
        <v>2303</v>
      </c>
      <c r="B1284" t="s">
        <v>10</v>
      </c>
      <c r="C1284" s="1">
        <v>41122</v>
      </c>
      <c r="D1284" s="2">
        <f t="shared" si="40"/>
        <v>3</v>
      </c>
      <c r="E1284" s="2">
        <f t="shared" si="41"/>
        <v>8</v>
      </c>
      <c r="F1284">
        <v>9.5885999999999996</v>
      </c>
      <c r="G1284">
        <v>9.6653000000000002</v>
      </c>
      <c r="H1284">
        <v>9.5119000000000007</v>
      </c>
      <c r="I1284">
        <v>9.6268999999999991</v>
      </c>
      <c r="J1284">
        <v>18646</v>
      </c>
      <c r="K1284">
        <v>-0.39760000000000001</v>
      </c>
      <c r="L1284">
        <v>1.6129</v>
      </c>
    </row>
    <row r="1285" spans="1:12" hidden="1" x14ac:dyDescent="0.25">
      <c r="A1285">
        <v>2330</v>
      </c>
      <c r="B1285" t="s">
        <v>11</v>
      </c>
      <c r="C1285" s="1">
        <v>41122</v>
      </c>
      <c r="D1285" s="2">
        <f t="shared" si="40"/>
        <v>3</v>
      </c>
      <c r="E1285" s="2">
        <f t="shared" si="41"/>
        <v>8</v>
      </c>
      <c r="F1285">
        <v>62.668500000000002</v>
      </c>
      <c r="G1285">
        <v>62.981400000000001</v>
      </c>
      <c r="H1285">
        <v>62.120800000000003</v>
      </c>
      <c r="I1285">
        <v>62.590200000000003</v>
      </c>
      <c r="J1285">
        <v>43525</v>
      </c>
      <c r="K1285">
        <v>-1.2423</v>
      </c>
      <c r="L1285">
        <v>1.3854</v>
      </c>
    </row>
    <row r="1286" spans="1:12" x14ac:dyDescent="0.25">
      <c r="A1286">
        <v>2303</v>
      </c>
      <c r="B1286" t="s">
        <v>10</v>
      </c>
      <c r="C1286" s="1">
        <v>41124</v>
      </c>
      <c r="D1286" s="2">
        <f t="shared" si="40"/>
        <v>5</v>
      </c>
      <c r="E1286" s="2">
        <f t="shared" si="41"/>
        <v>8</v>
      </c>
      <c r="F1286">
        <v>9.5502000000000002</v>
      </c>
      <c r="G1286">
        <v>9.5885999999999996</v>
      </c>
      <c r="H1286">
        <v>9.4734999999999996</v>
      </c>
      <c r="I1286">
        <v>9.5119000000000007</v>
      </c>
      <c r="J1286">
        <v>26427</v>
      </c>
      <c r="K1286">
        <v>-1.2023999999999999</v>
      </c>
      <c r="L1286">
        <v>1.2145999999999999</v>
      </c>
    </row>
    <row r="1287" spans="1:12" hidden="1" x14ac:dyDescent="0.25">
      <c r="A1287">
        <v>2330</v>
      </c>
      <c r="B1287" t="s">
        <v>11</v>
      </c>
      <c r="C1287" s="1">
        <v>41124</v>
      </c>
      <c r="D1287" s="2">
        <f t="shared" si="40"/>
        <v>5</v>
      </c>
      <c r="E1287" s="2">
        <f t="shared" si="41"/>
        <v>8</v>
      </c>
      <c r="F1287">
        <v>62.199100000000001</v>
      </c>
      <c r="G1287">
        <v>62.668500000000002</v>
      </c>
      <c r="H1287">
        <v>61.964300000000001</v>
      </c>
      <c r="I1287">
        <v>62.433799999999998</v>
      </c>
      <c r="J1287">
        <v>47301</v>
      </c>
      <c r="K1287">
        <v>-0.25030000000000002</v>
      </c>
      <c r="L1287">
        <v>1.1364000000000001</v>
      </c>
    </row>
    <row r="1288" spans="1:12" x14ac:dyDescent="0.25">
      <c r="A1288">
        <v>2303</v>
      </c>
      <c r="B1288" t="s">
        <v>10</v>
      </c>
      <c r="C1288" s="1">
        <v>41127</v>
      </c>
      <c r="D1288" s="2">
        <f t="shared" si="40"/>
        <v>1</v>
      </c>
      <c r="E1288" s="2">
        <f t="shared" si="41"/>
        <v>8</v>
      </c>
      <c r="F1288">
        <v>9.6653000000000002</v>
      </c>
      <c r="G1288">
        <v>9.7420000000000009</v>
      </c>
      <c r="H1288">
        <v>9.5885999999999996</v>
      </c>
      <c r="I1288">
        <v>9.7420000000000009</v>
      </c>
      <c r="J1288">
        <v>35591</v>
      </c>
      <c r="K1288">
        <v>2.3906000000000001</v>
      </c>
      <c r="L1288">
        <v>1.6</v>
      </c>
    </row>
    <row r="1289" spans="1:12" hidden="1" x14ac:dyDescent="0.25">
      <c r="A1289">
        <v>2330</v>
      </c>
      <c r="B1289" t="s">
        <v>11</v>
      </c>
      <c r="C1289" s="1">
        <v>41127</v>
      </c>
      <c r="D1289" s="2">
        <f t="shared" si="40"/>
        <v>1</v>
      </c>
      <c r="E1289" s="2">
        <f t="shared" si="41"/>
        <v>8</v>
      </c>
      <c r="F1289">
        <v>63.294400000000003</v>
      </c>
      <c r="G1289">
        <v>63.763800000000003</v>
      </c>
      <c r="H1289">
        <v>63.137900000000002</v>
      </c>
      <c r="I1289">
        <v>63.294400000000003</v>
      </c>
      <c r="J1289">
        <v>58469</v>
      </c>
      <c r="K1289">
        <v>1.369</v>
      </c>
      <c r="L1289">
        <v>0.99129999999999996</v>
      </c>
    </row>
    <row r="1290" spans="1:12" x14ac:dyDescent="0.25">
      <c r="A1290">
        <v>2303</v>
      </c>
      <c r="B1290" t="s">
        <v>10</v>
      </c>
      <c r="C1290" s="1">
        <v>41128</v>
      </c>
      <c r="D1290" s="2">
        <f t="shared" si="40"/>
        <v>2</v>
      </c>
      <c r="E1290" s="2">
        <f t="shared" si="41"/>
        <v>8</v>
      </c>
      <c r="F1290">
        <v>9.7035999999999998</v>
      </c>
      <c r="G1290">
        <v>9.7420000000000009</v>
      </c>
      <c r="H1290">
        <v>9.6268999999999991</v>
      </c>
      <c r="I1290">
        <v>9.7420000000000009</v>
      </c>
      <c r="J1290">
        <v>26164</v>
      </c>
      <c r="K1290">
        <v>0</v>
      </c>
      <c r="L1290">
        <v>1.1952</v>
      </c>
    </row>
    <row r="1291" spans="1:12" hidden="1" x14ac:dyDescent="0.25">
      <c r="A1291">
        <v>2330</v>
      </c>
      <c r="B1291" t="s">
        <v>11</v>
      </c>
      <c r="C1291" s="1">
        <v>41128</v>
      </c>
      <c r="D1291" s="2">
        <f t="shared" si="40"/>
        <v>2</v>
      </c>
      <c r="E1291" s="2">
        <f t="shared" si="41"/>
        <v>8</v>
      </c>
      <c r="F1291">
        <v>63.607300000000002</v>
      </c>
      <c r="G1291">
        <v>63.685600000000001</v>
      </c>
      <c r="H1291">
        <v>63.137900000000002</v>
      </c>
      <c r="I1291">
        <v>63.685600000000001</v>
      </c>
      <c r="J1291">
        <v>40186</v>
      </c>
      <c r="K1291">
        <v>0.61609999999999998</v>
      </c>
      <c r="L1291">
        <v>0.86739999999999995</v>
      </c>
    </row>
    <row r="1292" spans="1:12" x14ac:dyDescent="0.25">
      <c r="A1292">
        <v>2303</v>
      </c>
      <c r="B1292" t="s">
        <v>10</v>
      </c>
      <c r="C1292" s="1">
        <v>41129</v>
      </c>
      <c r="D1292" s="2">
        <f t="shared" si="40"/>
        <v>3</v>
      </c>
      <c r="E1292" s="2">
        <f t="shared" si="41"/>
        <v>8</v>
      </c>
      <c r="F1292">
        <v>9.8954000000000004</v>
      </c>
      <c r="G1292">
        <v>9.8954000000000004</v>
      </c>
      <c r="H1292">
        <v>9.7420000000000009</v>
      </c>
      <c r="I1292">
        <v>9.7803000000000004</v>
      </c>
      <c r="J1292">
        <v>24630</v>
      </c>
      <c r="K1292">
        <v>0.39290000000000003</v>
      </c>
      <c r="L1292">
        <v>1.5748</v>
      </c>
    </row>
    <row r="1293" spans="1:12" hidden="1" x14ac:dyDescent="0.25">
      <c r="A1293">
        <v>2330</v>
      </c>
      <c r="B1293" t="s">
        <v>11</v>
      </c>
      <c r="C1293" s="1">
        <v>41129</v>
      </c>
      <c r="D1293" s="2">
        <f t="shared" si="40"/>
        <v>3</v>
      </c>
      <c r="E1293" s="2">
        <f t="shared" si="41"/>
        <v>8</v>
      </c>
      <c r="F1293">
        <v>64.076800000000006</v>
      </c>
      <c r="G1293">
        <v>64.076800000000006</v>
      </c>
      <c r="H1293">
        <v>62.668500000000002</v>
      </c>
      <c r="I1293">
        <v>62.981400000000001</v>
      </c>
      <c r="J1293">
        <v>40138</v>
      </c>
      <c r="K1293">
        <v>-1.1117999999999999</v>
      </c>
      <c r="L1293">
        <v>2.2471999999999999</v>
      </c>
    </row>
    <row r="1294" spans="1:12" x14ac:dyDescent="0.25">
      <c r="A1294">
        <v>2303</v>
      </c>
      <c r="B1294" t="s">
        <v>10</v>
      </c>
      <c r="C1294" s="1">
        <v>41130</v>
      </c>
      <c r="D1294" s="2">
        <f t="shared" si="40"/>
        <v>4</v>
      </c>
      <c r="E1294" s="2">
        <f t="shared" si="41"/>
        <v>8</v>
      </c>
      <c r="F1294">
        <v>9.8954000000000004</v>
      </c>
      <c r="G1294">
        <v>9.9720999999999993</v>
      </c>
      <c r="H1294">
        <v>9.8186999999999998</v>
      </c>
      <c r="I1294">
        <v>9.8571000000000009</v>
      </c>
      <c r="J1294">
        <v>44337</v>
      </c>
      <c r="K1294">
        <v>0.78129999999999999</v>
      </c>
      <c r="L1294">
        <v>1.5625</v>
      </c>
    </row>
    <row r="1295" spans="1:12" hidden="1" x14ac:dyDescent="0.25">
      <c r="A1295">
        <v>2330</v>
      </c>
      <c r="B1295" t="s">
        <v>11</v>
      </c>
      <c r="C1295" s="1">
        <v>41130</v>
      </c>
      <c r="D1295" s="2">
        <f t="shared" si="40"/>
        <v>4</v>
      </c>
      <c r="E1295" s="2">
        <f t="shared" si="41"/>
        <v>8</v>
      </c>
      <c r="F1295">
        <v>63.607300000000002</v>
      </c>
      <c r="G1295">
        <v>64.389700000000005</v>
      </c>
      <c r="H1295">
        <v>63.607300000000002</v>
      </c>
      <c r="I1295">
        <v>64.389700000000005</v>
      </c>
      <c r="J1295">
        <v>54299</v>
      </c>
      <c r="K1295">
        <v>2.2113999999999998</v>
      </c>
      <c r="L1295">
        <v>1.23</v>
      </c>
    </row>
    <row r="1296" spans="1:12" x14ac:dyDescent="0.25">
      <c r="A1296">
        <v>2303</v>
      </c>
      <c r="B1296" t="s">
        <v>10</v>
      </c>
      <c r="C1296" s="1">
        <v>41131</v>
      </c>
      <c r="D1296" s="2">
        <f t="shared" si="40"/>
        <v>5</v>
      </c>
      <c r="E1296" s="2">
        <f t="shared" si="41"/>
        <v>8</v>
      </c>
      <c r="F1296">
        <v>9.8571000000000009</v>
      </c>
      <c r="G1296">
        <v>9.8571000000000009</v>
      </c>
      <c r="H1296">
        <v>9.6268999999999991</v>
      </c>
      <c r="I1296">
        <v>9.7420000000000009</v>
      </c>
      <c r="J1296">
        <v>27008</v>
      </c>
      <c r="K1296">
        <v>-1.1741999999999999</v>
      </c>
      <c r="L1296">
        <v>2.3904000000000001</v>
      </c>
    </row>
    <row r="1297" spans="1:12" hidden="1" x14ac:dyDescent="0.25">
      <c r="A1297">
        <v>2330</v>
      </c>
      <c r="B1297" t="s">
        <v>11</v>
      </c>
      <c r="C1297" s="1">
        <v>41131</v>
      </c>
      <c r="D1297" s="2">
        <f t="shared" si="40"/>
        <v>5</v>
      </c>
      <c r="E1297" s="2">
        <f t="shared" si="41"/>
        <v>8</v>
      </c>
      <c r="F1297">
        <v>64.389700000000005</v>
      </c>
      <c r="G1297">
        <v>64.4679</v>
      </c>
      <c r="H1297">
        <v>63.5291</v>
      </c>
      <c r="I1297">
        <v>64.155000000000001</v>
      </c>
      <c r="J1297">
        <v>30075</v>
      </c>
      <c r="K1297">
        <v>-0.36520000000000002</v>
      </c>
      <c r="L1297">
        <v>1.4778</v>
      </c>
    </row>
    <row r="1298" spans="1:12" x14ac:dyDescent="0.25">
      <c r="A1298">
        <v>2303</v>
      </c>
      <c r="B1298" t="s">
        <v>10</v>
      </c>
      <c r="C1298" s="1">
        <v>41134</v>
      </c>
      <c r="D1298" s="2">
        <f t="shared" si="40"/>
        <v>1</v>
      </c>
      <c r="E1298" s="2">
        <f t="shared" si="41"/>
        <v>8</v>
      </c>
      <c r="F1298">
        <v>9.8954000000000004</v>
      </c>
      <c r="G1298">
        <v>9.8954000000000004</v>
      </c>
      <c r="H1298">
        <v>9.5885999999999996</v>
      </c>
      <c r="I1298">
        <v>9.5885999999999996</v>
      </c>
      <c r="J1298">
        <v>22997</v>
      </c>
      <c r="K1298">
        <v>-1.5872999999999999</v>
      </c>
      <c r="L1298">
        <v>3.2</v>
      </c>
    </row>
    <row r="1299" spans="1:12" hidden="1" x14ac:dyDescent="0.25">
      <c r="A1299">
        <v>2330</v>
      </c>
      <c r="B1299" t="s">
        <v>11</v>
      </c>
      <c r="C1299" s="1">
        <v>41134</v>
      </c>
      <c r="D1299" s="2">
        <f t="shared" si="40"/>
        <v>1</v>
      </c>
      <c r="E1299" s="2">
        <f t="shared" si="41"/>
        <v>8</v>
      </c>
      <c r="F1299">
        <v>65.563299999999998</v>
      </c>
      <c r="G1299">
        <v>65.563299999999998</v>
      </c>
      <c r="H1299">
        <v>64.546199999999999</v>
      </c>
      <c r="I1299">
        <v>64.702699999999993</v>
      </c>
      <c r="J1299">
        <v>30295</v>
      </c>
      <c r="K1299">
        <v>0.85</v>
      </c>
      <c r="L1299">
        <v>1.5758000000000001</v>
      </c>
    </row>
    <row r="1300" spans="1:12" x14ac:dyDescent="0.25">
      <c r="A1300">
        <v>2303</v>
      </c>
      <c r="B1300" t="s">
        <v>10</v>
      </c>
      <c r="C1300" s="1">
        <v>41135</v>
      </c>
      <c r="D1300" s="2">
        <f t="shared" si="40"/>
        <v>2</v>
      </c>
      <c r="E1300" s="2">
        <f t="shared" si="41"/>
        <v>8</v>
      </c>
      <c r="F1300">
        <v>9.6268999999999991</v>
      </c>
      <c r="G1300">
        <v>9.7803000000000004</v>
      </c>
      <c r="H1300">
        <v>9.5502000000000002</v>
      </c>
      <c r="I1300">
        <v>9.5885999999999996</v>
      </c>
      <c r="J1300">
        <v>34209</v>
      </c>
      <c r="K1300">
        <v>0</v>
      </c>
      <c r="L1300">
        <v>2.4096000000000002</v>
      </c>
    </row>
    <row r="1301" spans="1:12" hidden="1" x14ac:dyDescent="0.25">
      <c r="A1301">
        <v>2330</v>
      </c>
      <c r="B1301" t="s">
        <v>11</v>
      </c>
      <c r="C1301" s="1">
        <v>41135</v>
      </c>
      <c r="D1301" s="2">
        <f t="shared" si="40"/>
        <v>2</v>
      </c>
      <c r="E1301" s="2">
        <f t="shared" si="41"/>
        <v>8</v>
      </c>
      <c r="F1301">
        <v>64.937399999999997</v>
      </c>
      <c r="G1301">
        <v>65.563299999999998</v>
      </c>
      <c r="H1301">
        <v>64.780900000000003</v>
      </c>
      <c r="I1301">
        <v>65.093800000000002</v>
      </c>
      <c r="J1301">
        <v>33337</v>
      </c>
      <c r="K1301">
        <v>0.6028</v>
      </c>
      <c r="L1301">
        <v>1.2077</v>
      </c>
    </row>
    <row r="1302" spans="1:12" x14ac:dyDescent="0.25">
      <c r="A1302">
        <v>2303</v>
      </c>
      <c r="B1302" t="s">
        <v>10</v>
      </c>
      <c r="C1302" s="1">
        <v>41136</v>
      </c>
      <c r="D1302" s="2">
        <f t="shared" si="40"/>
        <v>3</v>
      </c>
      <c r="E1302" s="2">
        <f t="shared" si="41"/>
        <v>8</v>
      </c>
      <c r="F1302">
        <v>9.5502000000000002</v>
      </c>
      <c r="G1302">
        <v>9.6268999999999991</v>
      </c>
      <c r="H1302">
        <v>9.4352</v>
      </c>
      <c r="I1302">
        <v>9.5502000000000002</v>
      </c>
      <c r="J1302">
        <v>33242</v>
      </c>
      <c r="K1302">
        <v>-0.40079999999999999</v>
      </c>
      <c r="L1302">
        <v>2.0325000000000002</v>
      </c>
    </row>
    <row r="1303" spans="1:12" hidden="1" x14ac:dyDescent="0.25">
      <c r="A1303">
        <v>2330</v>
      </c>
      <c r="B1303" t="s">
        <v>11</v>
      </c>
      <c r="C1303" s="1">
        <v>41136</v>
      </c>
      <c r="D1303" s="2">
        <f t="shared" si="40"/>
        <v>3</v>
      </c>
      <c r="E1303" s="2">
        <f t="shared" si="41"/>
        <v>8</v>
      </c>
      <c r="F1303">
        <v>65.484999999999999</v>
      </c>
      <c r="G1303">
        <v>65.484999999999999</v>
      </c>
      <c r="H1303">
        <v>64.546199999999999</v>
      </c>
      <c r="I1303">
        <v>64.937399999999997</v>
      </c>
      <c r="J1303">
        <v>27500</v>
      </c>
      <c r="K1303">
        <v>-0.2407</v>
      </c>
      <c r="L1303">
        <v>1.4544999999999999</v>
      </c>
    </row>
    <row r="1304" spans="1:12" x14ac:dyDescent="0.25">
      <c r="A1304">
        <v>2303</v>
      </c>
      <c r="B1304" t="s">
        <v>10</v>
      </c>
      <c r="C1304" s="1">
        <v>41137</v>
      </c>
      <c r="D1304" s="2">
        <f t="shared" si="40"/>
        <v>4</v>
      </c>
      <c r="E1304" s="2">
        <f t="shared" si="41"/>
        <v>8</v>
      </c>
      <c r="F1304">
        <v>9.5119000000000007</v>
      </c>
      <c r="G1304">
        <v>9.5885999999999996</v>
      </c>
      <c r="H1304">
        <v>9.4734999999999996</v>
      </c>
      <c r="I1304">
        <v>9.4734999999999996</v>
      </c>
      <c r="J1304">
        <v>29121</v>
      </c>
      <c r="K1304">
        <v>-0.80649999999999999</v>
      </c>
      <c r="L1304">
        <v>1.2145999999999999</v>
      </c>
    </row>
    <row r="1305" spans="1:12" hidden="1" x14ac:dyDescent="0.25">
      <c r="A1305">
        <v>2330</v>
      </c>
      <c r="B1305" t="s">
        <v>11</v>
      </c>
      <c r="C1305" s="1">
        <v>41137</v>
      </c>
      <c r="D1305" s="2">
        <f t="shared" si="40"/>
        <v>4</v>
      </c>
      <c r="E1305" s="2">
        <f t="shared" si="41"/>
        <v>8</v>
      </c>
      <c r="F1305">
        <v>64.937399999999997</v>
      </c>
      <c r="G1305">
        <v>65.250299999999996</v>
      </c>
      <c r="H1305">
        <v>64.546199999999999</v>
      </c>
      <c r="I1305">
        <v>64.859099999999998</v>
      </c>
      <c r="J1305">
        <v>28242</v>
      </c>
      <c r="K1305">
        <v>-0.1206</v>
      </c>
      <c r="L1305">
        <v>1.0909</v>
      </c>
    </row>
    <row r="1306" spans="1:12" x14ac:dyDescent="0.25">
      <c r="A1306">
        <v>2303</v>
      </c>
      <c r="B1306" t="s">
        <v>10</v>
      </c>
      <c r="C1306" s="1">
        <v>41138</v>
      </c>
      <c r="D1306" s="2">
        <f t="shared" si="40"/>
        <v>5</v>
      </c>
      <c r="E1306" s="2">
        <f t="shared" si="41"/>
        <v>8</v>
      </c>
      <c r="F1306">
        <v>9.4734999999999996</v>
      </c>
      <c r="G1306">
        <v>9.5885999999999996</v>
      </c>
      <c r="H1306">
        <v>9.3968000000000007</v>
      </c>
      <c r="I1306">
        <v>9.5502000000000002</v>
      </c>
      <c r="J1306">
        <v>49728</v>
      </c>
      <c r="K1306">
        <v>0.80649999999999999</v>
      </c>
      <c r="L1306">
        <v>2.0407999999999999</v>
      </c>
    </row>
    <row r="1307" spans="1:12" hidden="1" x14ac:dyDescent="0.25">
      <c r="A1307">
        <v>2330</v>
      </c>
      <c r="B1307" t="s">
        <v>11</v>
      </c>
      <c r="C1307" s="1">
        <v>41138</v>
      </c>
      <c r="D1307" s="2">
        <f t="shared" si="40"/>
        <v>5</v>
      </c>
      <c r="E1307" s="2">
        <f t="shared" si="41"/>
        <v>8</v>
      </c>
      <c r="F1307">
        <v>64.937399999999997</v>
      </c>
      <c r="G1307">
        <v>65.093800000000002</v>
      </c>
      <c r="H1307">
        <v>64.155000000000001</v>
      </c>
      <c r="I1307">
        <v>64.155000000000001</v>
      </c>
      <c r="J1307">
        <v>30136</v>
      </c>
      <c r="K1307">
        <v>-1.0915999999999999</v>
      </c>
      <c r="L1307">
        <v>1.4634</v>
      </c>
    </row>
    <row r="1308" spans="1:12" x14ac:dyDescent="0.25">
      <c r="A1308">
        <v>2303</v>
      </c>
      <c r="B1308" t="s">
        <v>10</v>
      </c>
      <c r="C1308" s="1">
        <v>41141</v>
      </c>
      <c r="D1308" s="2">
        <f t="shared" si="40"/>
        <v>1</v>
      </c>
      <c r="E1308" s="2">
        <f t="shared" si="41"/>
        <v>8</v>
      </c>
      <c r="F1308">
        <v>9.5502000000000002</v>
      </c>
      <c r="G1308">
        <v>9.5502000000000002</v>
      </c>
      <c r="H1308">
        <v>9.2817000000000007</v>
      </c>
      <c r="I1308">
        <v>9.3201000000000001</v>
      </c>
      <c r="J1308">
        <v>49705</v>
      </c>
      <c r="K1308">
        <v>-2.4390999999999998</v>
      </c>
      <c r="L1308">
        <v>2.8925999999999998</v>
      </c>
    </row>
    <row r="1309" spans="1:12" hidden="1" x14ac:dyDescent="0.25">
      <c r="A1309">
        <v>2330</v>
      </c>
      <c r="B1309" t="s">
        <v>11</v>
      </c>
      <c r="C1309" s="1">
        <v>41141</v>
      </c>
      <c r="D1309" s="2">
        <f t="shared" si="40"/>
        <v>1</v>
      </c>
      <c r="E1309" s="2">
        <f t="shared" si="41"/>
        <v>8</v>
      </c>
      <c r="F1309">
        <v>64.702699999999993</v>
      </c>
      <c r="G1309">
        <v>64.702699999999993</v>
      </c>
      <c r="H1309">
        <v>64.076800000000006</v>
      </c>
      <c r="I1309">
        <v>64.4679</v>
      </c>
      <c r="J1309">
        <v>26037</v>
      </c>
      <c r="K1309">
        <v>0.48659999999999998</v>
      </c>
      <c r="L1309">
        <v>0.9768</v>
      </c>
    </row>
    <row r="1310" spans="1:12" x14ac:dyDescent="0.25">
      <c r="A1310">
        <v>2303</v>
      </c>
      <c r="B1310" t="s">
        <v>10</v>
      </c>
      <c r="C1310" s="1">
        <v>41142</v>
      </c>
      <c r="D1310" s="2">
        <f t="shared" si="40"/>
        <v>2</v>
      </c>
      <c r="E1310" s="2">
        <f t="shared" si="41"/>
        <v>8</v>
      </c>
      <c r="F1310">
        <v>9.3201000000000001</v>
      </c>
      <c r="G1310">
        <v>9.4352</v>
      </c>
      <c r="H1310">
        <v>9.3201000000000001</v>
      </c>
      <c r="I1310">
        <v>9.3583999999999996</v>
      </c>
      <c r="J1310">
        <v>44588</v>
      </c>
      <c r="K1310">
        <v>0.41070000000000001</v>
      </c>
      <c r="L1310">
        <v>1.2345999999999999</v>
      </c>
    </row>
    <row r="1311" spans="1:12" hidden="1" x14ac:dyDescent="0.25">
      <c r="A1311">
        <v>2330</v>
      </c>
      <c r="B1311" t="s">
        <v>11</v>
      </c>
      <c r="C1311" s="1">
        <v>41142</v>
      </c>
      <c r="D1311" s="2">
        <f t="shared" si="40"/>
        <v>2</v>
      </c>
      <c r="E1311" s="2">
        <f t="shared" si="41"/>
        <v>8</v>
      </c>
      <c r="F1311">
        <v>64.702699999999993</v>
      </c>
      <c r="G1311">
        <v>65.641499999999994</v>
      </c>
      <c r="H1311">
        <v>64.702699999999993</v>
      </c>
      <c r="I1311">
        <v>65.406800000000004</v>
      </c>
      <c r="J1311">
        <v>36886</v>
      </c>
      <c r="K1311">
        <v>1.4458</v>
      </c>
      <c r="L1311">
        <v>1.4510000000000001</v>
      </c>
    </row>
    <row r="1312" spans="1:12" x14ac:dyDescent="0.25">
      <c r="A1312">
        <v>2303</v>
      </c>
      <c r="B1312" t="s">
        <v>10</v>
      </c>
      <c r="C1312" s="1">
        <v>41143</v>
      </c>
      <c r="D1312" s="2">
        <f t="shared" si="40"/>
        <v>3</v>
      </c>
      <c r="E1312" s="2">
        <f t="shared" si="41"/>
        <v>8</v>
      </c>
      <c r="F1312">
        <v>9.2050000000000001</v>
      </c>
      <c r="G1312">
        <v>9.2817000000000007</v>
      </c>
      <c r="H1312">
        <v>9.1282999999999994</v>
      </c>
      <c r="I1312">
        <v>9.2433999999999994</v>
      </c>
      <c r="J1312">
        <v>53684</v>
      </c>
      <c r="K1312">
        <v>-1.2371000000000001</v>
      </c>
      <c r="L1312">
        <v>1.6807000000000001</v>
      </c>
    </row>
    <row r="1313" spans="1:12" hidden="1" x14ac:dyDescent="0.25">
      <c r="A1313">
        <v>2330</v>
      </c>
      <c r="B1313" t="s">
        <v>11</v>
      </c>
      <c r="C1313" s="1">
        <v>41143</v>
      </c>
      <c r="D1313" s="2">
        <f t="shared" si="40"/>
        <v>3</v>
      </c>
      <c r="E1313" s="2">
        <f t="shared" si="41"/>
        <v>8</v>
      </c>
      <c r="F1313">
        <v>65.015600000000006</v>
      </c>
      <c r="G1313">
        <v>65.250299999999996</v>
      </c>
      <c r="H1313">
        <v>64.076800000000006</v>
      </c>
      <c r="I1313">
        <v>64.4679</v>
      </c>
      <c r="J1313">
        <v>33635</v>
      </c>
      <c r="K1313">
        <v>-1.4458</v>
      </c>
      <c r="L1313">
        <v>1.8314999999999999</v>
      </c>
    </row>
    <row r="1314" spans="1:12" x14ac:dyDescent="0.25">
      <c r="A1314">
        <v>2303</v>
      </c>
      <c r="B1314" t="s">
        <v>10</v>
      </c>
      <c r="C1314" s="1">
        <v>41144</v>
      </c>
      <c r="D1314" s="2">
        <f t="shared" si="40"/>
        <v>4</v>
      </c>
      <c r="E1314" s="2">
        <f t="shared" si="41"/>
        <v>8</v>
      </c>
      <c r="F1314">
        <v>9.2817000000000007</v>
      </c>
      <c r="G1314">
        <v>9.3583999999999996</v>
      </c>
      <c r="H1314">
        <v>9.2433999999999994</v>
      </c>
      <c r="I1314">
        <v>9.3583999999999996</v>
      </c>
      <c r="J1314">
        <v>31499</v>
      </c>
      <c r="K1314">
        <v>1.2371000000000001</v>
      </c>
      <c r="L1314">
        <v>1.2447999999999999</v>
      </c>
    </row>
    <row r="1315" spans="1:12" hidden="1" x14ac:dyDescent="0.25">
      <c r="A1315">
        <v>2330</v>
      </c>
      <c r="B1315" t="s">
        <v>11</v>
      </c>
      <c r="C1315" s="1">
        <v>41144</v>
      </c>
      <c r="D1315" s="2">
        <f t="shared" si="40"/>
        <v>4</v>
      </c>
      <c r="E1315" s="2">
        <f t="shared" si="41"/>
        <v>8</v>
      </c>
      <c r="F1315">
        <v>64.4679</v>
      </c>
      <c r="G1315">
        <v>64.780900000000003</v>
      </c>
      <c r="H1315">
        <v>64.311499999999995</v>
      </c>
      <c r="I1315">
        <v>64.702699999999993</v>
      </c>
      <c r="J1315">
        <v>22367</v>
      </c>
      <c r="K1315">
        <v>0.3634</v>
      </c>
      <c r="L1315">
        <v>0.72989999999999999</v>
      </c>
    </row>
    <row r="1316" spans="1:12" x14ac:dyDescent="0.25">
      <c r="A1316">
        <v>2303</v>
      </c>
      <c r="B1316" t="s">
        <v>10</v>
      </c>
      <c r="C1316" s="1">
        <v>41145</v>
      </c>
      <c r="D1316" s="2">
        <f t="shared" si="40"/>
        <v>5</v>
      </c>
      <c r="E1316" s="2">
        <f t="shared" si="41"/>
        <v>8</v>
      </c>
      <c r="F1316">
        <v>9.3583999999999996</v>
      </c>
      <c r="G1316">
        <v>9.3968000000000007</v>
      </c>
      <c r="H1316">
        <v>9.2817000000000007</v>
      </c>
      <c r="I1316">
        <v>9.3201000000000001</v>
      </c>
      <c r="J1316">
        <v>19288</v>
      </c>
      <c r="K1316">
        <v>-0.41070000000000001</v>
      </c>
      <c r="L1316">
        <v>1.2397</v>
      </c>
    </row>
    <row r="1317" spans="1:12" hidden="1" x14ac:dyDescent="0.25">
      <c r="A1317">
        <v>2330</v>
      </c>
      <c r="B1317" t="s">
        <v>11</v>
      </c>
      <c r="C1317" s="1">
        <v>41145</v>
      </c>
      <c r="D1317" s="2">
        <f t="shared" si="40"/>
        <v>5</v>
      </c>
      <c r="E1317" s="2">
        <f t="shared" si="41"/>
        <v>8</v>
      </c>
      <c r="F1317">
        <v>64.389700000000005</v>
      </c>
      <c r="G1317">
        <v>64.389700000000005</v>
      </c>
      <c r="H1317">
        <v>63.920299999999997</v>
      </c>
      <c r="I1317">
        <v>64.155000000000001</v>
      </c>
      <c r="J1317">
        <v>25494</v>
      </c>
      <c r="K1317">
        <v>-0.85</v>
      </c>
      <c r="L1317">
        <v>0.73440000000000005</v>
      </c>
    </row>
    <row r="1318" spans="1:12" x14ac:dyDescent="0.25">
      <c r="A1318">
        <v>2303</v>
      </c>
      <c r="B1318" t="s">
        <v>10</v>
      </c>
      <c r="C1318" s="1">
        <v>41148</v>
      </c>
      <c r="D1318" s="2">
        <f t="shared" si="40"/>
        <v>1</v>
      </c>
      <c r="E1318" s="2">
        <f t="shared" si="41"/>
        <v>8</v>
      </c>
      <c r="F1318">
        <v>9.3968000000000007</v>
      </c>
      <c r="G1318">
        <v>9.4352</v>
      </c>
      <c r="H1318">
        <v>9.2433999999999994</v>
      </c>
      <c r="I1318">
        <v>9.2433999999999994</v>
      </c>
      <c r="J1318">
        <v>21935</v>
      </c>
      <c r="K1318">
        <v>-0.82650000000000001</v>
      </c>
      <c r="L1318">
        <v>2.0747</v>
      </c>
    </row>
    <row r="1319" spans="1:12" hidden="1" x14ac:dyDescent="0.25">
      <c r="A1319">
        <v>2330</v>
      </c>
      <c r="B1319" t="s">
        <v>11</v>
      </c>
      <c r="C1319" s="1">
        <v>41148</v>
      </c>
      <c r="D1319" s="2">
        <f t="shared" si="40"/>
        <v>1</v>
      </c>
      <c r="E1319" s="2">
        <f t="shared" si="41"/>
        <v>8</v>
      </c>
      <c r="F1319">
        <v>64.859099999999998</v>
      </c>
      <c r="G1319">
        <v>65.328599999999994</v>
      </c>
      <c r="H1319">
        <v>64.4679</v>
      </c>
      <c r="I1319">
        <v>64.937399999999997</v>
      </c>
      <c r="J1319">
        <v>25735</v>
      </c>
      <c r="K1319">
        <v>1.2121</v>
      </c>
      <c r="L1319">
        <v>1.335</v>
      </c>
    </row>
    <row r="1320" spans="1:12" x14ac:dyDescent="0.25">
      <c r="A1320">
        <v>2303</v>
      </c>
      <c r="B1320" t="s">
        <v>10</v>
      </c>
      <c r="C1320" s="1">
        <v>41149</v>
      </c>
      <c r="D1320" s="2">
        <f t="shared" si="40"/>
        <v>2</v>
      </c>
      <c r="E1320" s="2">
        <f t="shared" si="41"/>
        <v>8</v>
      </c>
      <c r="F1320">
        <v>9.2050000000000001</v>
      </c>
      <c r="G1320">
        <v>9.3201000000000001</v>
      </c>
      <c r="H1320">
        <v>9.2050000000000001</v>
      </c>
      <c r="I1320">
        <v>9.2433999999999994</v>
      </c>
      <c r="J1320">
        <v>15395</v>
      </c>
      <c r="K1320">
        <v>0</v>
      </c>
      <c r="L1320">
        <v>1.25</v>
      </c>
    </row>
    <row r="1321" spans="1:12" hidden="1" x14ac:dyDescent="0.25">
      <c r="A1321">
        <v>2330</v>
      </c>
      <c r="B1321" t="s">
        <v>11</v>
      </c>
      <c r="C1321" s="1">
        <v>41149</v>
      </c>
      <c r="D1321" s="2">
        <f t="shared" si="40"/>
        <v>2</v>
      </c>
      <c r="E1321" s="2">
        <f t="shared" si="41"/>
        <v>8</v>
      </c>
      <c r="F1321">
        <v>64.389700000000005</v>
      </c>
      <c r="G1321">
        <v>65.250299999999996</v>
      </c>
      <c r="H1321">
        <v>64.155000000000001</v>
      </c>
      <c r="I1321">
        <v>64.4679</v>
      </c>
      <c r="J1321">
        <v>32428</v>
      </c>
      <c r="K1321">
        <v>-0.72550000000000003</v>
      </c>
      <c r="L1321">
        <v>1.7073</v>
      </c>
    </row>
    <row r="1322" spans="1:12" x14ac:dyDescent="0.25">
      <c r="A1322">
        <v>2303</v>
      </c>
      <c r="B1322" t="s">
        <v>10</v>
      </c>
      <c r="C1322" s="1">
        <v>41150</v>
      </c>
      <c r="D1322" s="2">
        <f t="shared" si="40"/>
        <v>3</v>
      </c>
      <c r="E1322" s="2">
        <f t="shared" si="41"/>
        <v>8</v>
      </c>
      <c r="F1322">
        <v>9.3201000000000001</v>
      </c>
      <c r="G1322">
        <v>9.3201000000000001</v>
      </c>
      <c r="H1322">
        <v>9.2433999999999994</v>
      </c>
      <c r="I1322">
        <v>9.2433999999999994</v>
      </c>
      <c r="J1322">
        <v>22625</v>
      </c>
      <c r="K1322">
        <v>0</v>
      </c>
      <c r="L1322">
        <v>0.82989999999999997</v>
      </c>
    </row>
    <row r="1323" spans="1:12" hidden="1" x14ac:dyDescent="0.25">
      <c r="A1323">
        <v>2330</v>
      </c>
      <c r="B1323" t="s">
        <v>11</v>
      </c>
      <c r="C1323" s="1">
        <v>41150</v>
      </c>
      <c r="D1323" s="2">
        <f t="shared" si="40"/>
        <v>3</v>
      </c>
      <c r="E1323" s="2">
        <f t="shared" si="41"/>
        <v>8</v>
      </c>
      <c r="F1323">
        <v>64.624399999999994</v>
      </c>
      <c r="G1323">
        <v>64.937399999999997</v>
      </c>
      <c r="H1323">
        <v>64.233199999999997</v>
      </c>
      <c r="I1323">
        <v>64.702699999999993</v>
      </c>
      <c r="J1323">
        <v>18467</v>
      </c>
      <c r="K1323">
        <v>0.3634</v>
      </c>
      <c r="L1323">
        <v>1.0962000000000001</v>
      </c>
    </row>
    <row r="1324" spans="1:12" x14ac:dyDescent="0.25">
      <c r="A1324">
        <v>2303</v>
      </c>
      <c r="B1324" t="s">
        <v>10</v>
      </c>
      <c r="C1324" s="1">
        <v>41151</v>
      </c>
      <c r="D1324" s="2">
        <f t="shared" si="40"/>
        <v>4</v>
      </c>
      <c r="E1324" s="2">
        <f t="shared" si="41"/>
        <v>8</v>
      </c>
      <c r="F1324">
        <v>9.2817000000000007</v>
      </c>
      <c r="G1324">
        <v>9.3201000000000001</v>
      </c>
      <c r="H1324">
        <v>9.2050000000000001</v>
      </c>
      <c r="I1324">
        <v>9.2433999999999994</v>
      </c>
      <c r="J1324">
        <v>29658</v>
      </c>
      <c r="K1324">
        <v>0</v>
      </c>
      <c r="L1324">
        <v>1.25</v>
      </c>
    </row>
    <row r="1325" spans="1:12" hidden="1" x14ac:dyDescent="0.25">
      <c r="A1325">
        <v>2330</v>
      </c>
      <c r="B1325" t="s">
        <v>11</v>
      </c>
      <c r="C1325" s="1">
        <v>41151</v>
      </c>
      <c r="D1325" s="2">
        <f t="shared" si="40"/>
        <v>4</v>
      </c>
      <c r="E1325" s="2">
        <f t="shared" si="41"/>
        <v>8</v>
      </c>
      <c r="F1325">
        <v>64.389700000000005</v>
      </c>
      <c r="G1325">
        <v>65.093800000000002</v>
      </c>
      <c r="H1325">
        <v>64.389700000000005</v>
      </c>
      <c r="I1325">
        <v>64.702699999999993</v>
      </c>
      <c r="J1325">
        <v>46031</v>
      </c>
      <c r="K1325">
        <v>0</v>
      </c>
      <c r="L1325">
        <v>1.0935999999999999</v>
      </c>
    </row>
    <row r="1326" spans="1:12" x14ac:dyDescent="0.25">
      <c r="A1326">
        <v>2303</v>
      </c>
      <c r="B1326" t="s">
        <v>10</v>
      </c>
      <c r="C1326" s="1">
        <v>41152</v>
      </c>
      <c r="D1326" s="2">
        <f t="shared" si="40"/>
        <v>5</v>
      </c>
      <c r="E1326" s="2">
        <f t="shared" si="41"/>
        <v>8</v>
      </c>
      <c r="F1326">
        <v>9.2433999999999994</v>
      </c>
      <c r="G1326">
        <v>9.3201000000000001</v>
      </c>
      <c r="H1326">
        <v>9.2050000000000001</v>
      </c>
      <c r="I1326">
        <v>9.2050000000000001</v>
      </c>
      <c r="J1326">
        <v>16783</v>
      </c>
      <c r="K1326">
        <v>-0.4158</v>
      </c>
      <c r="L1326">
        <v>1.25</v>
      </c>
    </row>
    <row r="1327" spans="1:12" hidden="1" x14ac:dyDescent="0.25">
      <c r="A1327">
        <v>2330</v>
      </c>
      <c r="B1327" t="s">
        <v>11</v>
      </c>
      <c r="C1327" s="1">
        <v>41152</v>
      </c>
      <c r="D1327" s="2">
        <f t="shared" si="40"/>
        <v>5</v>
      </c>
      <c r="E1327" s="2">
        <f t="shared" si="41"/>
        <v>8</v>
      </c>
      <c r="F1327">
        <v>64.4679</v>
      </c>
      <c r="G1327">
        <v>65.1721</v>
      </c>
      <c r="H1327">
        <v>64.4679</v>
      </c>
      <c r="I1327">
        <v>65.1721</v>
      </c>
      <c r="J1327">
        <v>13536</v>
      </c>
      <c r="K1327">
        <v>0.72289999999999999</v>
      </c>
      <c r="L1327">
        <v>1.0922000000000001</v>
      </c>
    </row>
    <row r="1328" spans="1:12" x14ac:dyDescent="0.25">
      <c r="A1328">
        <v>2303</v>
      </c>
      <c r="B1328" t="s">
        <v>10</v>
      </c>
      <c r="C1328" s="1">
        <v>41155</v>
      </c>
      <c r="D1328" s="2">
        <f t="shared" si="40"/>
        <v>1</v>
      </c>
      <c r="E1328" s="2">
        <f t="shared" si="41"/>
        <v>9</v>
      </c>
      <c r="F1328">
        <v>9.2050000000000001</v>
      </c>
      <c r="G1328">
        <v>9.2050000000000001</v>
      </c>
      <c r="H1328">
        <v>9.1282999999999994</v>
      </c>
      <c r="I1328">
        <v>9.1667000000000005</v>
      </c>
      <c r="J1328">
        <v>28922</v>
      </c>
      <c r="K1328">
        <v>-0.41749999999999998</v>
      </c>
      <c r="L1328">
        <v>0.84030000000000005</v>
      </c>
    </row>
    <row r="1329" spans="1:12" hidden="1" x14ac:dyDescent="0.25">
      <c r="A1329">
        <v>2330</v>
      </c>
      <c r="B1329" t="s">
        <v>11</v>
      </c>
      <c r="C1329" s="1">
        <v>41155</v>
      </c>
      <c r="D1329" s="2">
        <f t="shared" si="40"/>
        <v>1</v>
      </c>
      <c r="E1329" s="2">
        <f t="shared" si="41"/>
        <v>9</v>
      </c>
      <c r="F1329">
        <v>65.328599999999994</v>
      </c>
      <c r="G1329">
        <v>65.641499999999994</v>
      </c>
      <c r="H1329">
        <v>64.780900000000003</v>
      </c>
      <c r="I1329">
        <v>65.641499999999994</v>
      </c>
      <c r="J1329">
        <v>20795</v>
      </c>
      <c r="K1329">
        <v>0.7177</v>
      </c>
      <c r="L1329">
        <v>1.3285</v>
      </c>
    </row>
    <row r="1330" spans="1:12" x14ac:dyDescent="0.25">
      <c r="A1330">
        <v>2303</v>
      </c>
      <c r="B1330" t="s">
        <v>10</v>
      </c>
      <c r="C1330" s="1">
        <v>41156</v>
      </c>
      <c r="D1330" s="2">
        <f t="shared" si="40"/>
        <v>2</v>
      </c>
      <c r="E1330" s="2">
        <f t="shared" si="41"/>
        <v>9</v>
      </c>
      <c r="F1330">
        <v>9.2050000000000001</v>
      </c>
      <c r="G1330">
        <v>9.2433999999999994</v>
      </c>
      <c r="H1330">
        <v>9.1282999999999994</v>
      </c>
      <c r="I1330">
        <v>9.1667000000000005</v>
      </c>
      <c r="J1330">
        <v>17209</v>
      </c>
      <c r="K1330">
        <v>0</v>
      </c>
      <c r="L1330">
        <v>1.2605</v>
      </c>
    </row>
    <row r="1331" spans="1:12" hidden="1" x14ac:dyDescent="0.25">
      <c r="A1331">
        <v>2330</v>
      </c>
      <c r="B1331" t="s">
        <v>11</v>
      </c>
      <c r="C1331" s="1">
        <v>41156</v>
      </c>
      <c r="D1331" s="2">
        <f t="shared" si="40"/>
        <v>2</v>
      </c>
      <c r="E1331" s="2">
        <f t="shared" si="41"/>
        <v>9</v>
      </c>
      <c r="F1331">
        <v>65.719800000000006</v>
      </c>
      <c r="G1331">
        <v>65.719800000000006</v>
      </c>
      <c r="H1331">
        <v>65.328599999999994</v>
      </c>
      <c r="I1331">
        <v>65.719800000000006</v>
      </c>
      <c r="J1331">
        <v>21703</v>
      </c>
      <c r="K1331">
        <v>0.1191</v>
      </c>
      <c r="L1331">
        <v>0.5988</v>
      </c>
    </row>
    <row r="1332" spans="1:12" x14ac:dyDescent="0.25">
      <c r="A1332">
        <v>2303</v>
      </c>
      <c r="B1332" t="s">
        <v>10</v>
      </c>
      <c r="C1332" s="1">
        <v>41157</v>
      </c>
      <c r="D1332" s="2">
        <f t="shared" si="40"/>
        <v>3</v>
      </c>
      <c r="E1332" s="2">
        <f t="shared" si="41"/>
        <v>9</v>
      </c>
      <c r="F1332">
        <v>9.1282999999999994</v>
      </c>
      <c r="G1332">
        <v>9.1282999999999994</v>
      </c>
      <c r="H1332">
        <v>8.9748999999999999</v>
      </c>
      <c r="I1332">
        <v>8.9748999999999999</v>
      </c>
      <c r="J1332">
        <v>65705</v>
      </c>
      <c r="K1332">
        <v>-2.1141999999999999</v>
      </c>
      <c r="L1332">
        <v>1.7094</v>
      </c>
    </row>
    <row r="1333" spans="1:12" hidden="1" x14ac:dyDescent="0.25">
      <c r="A1333">
        <v>2330</v>
      </c>
      <c r="B1333" t="s">
        <v>11</v>
      </c>
      <c r="C1333" s="1">
        <v>41157</v>
      </c>
      <c r="D1333" s="2">
        <f t="shared" si="40"/>
        <v>3</v>
      </c>
      <c r="E1333" s="2">
        <f t="shared" si="41"/>
        <v>9</v>
      </c>
      <c r="F1333">
        <v>64.937399999999997</v>
      </c>
      <c r="G1333">
        <v>65.1721</v>
      </c>
      <c r="H1333">
        <v>64.076800000000006</v>
      </c>
      <c r="I1333">
        <v>64.155000000000001</v>
      </c>
      <c r="J1333">
        <v>43302</v>
      </c>
      <c r="K1333">
        <v>-2.4098000000000002</v>
      </c>
      <c r="L1333">
        <v>1.7094</v>
      </c>
    </row>
    <row r="1334" spans="1:12" x14ac:dyDescent="0.25">
      <c r="A1334">
        <v>2303</v>
      </c>
      <c r="B1334" t="s">
        <v>10</v>
      </c>
      <c r="C1334" s="1">
        <v>41158</v>
      </c>
      <c r="D1334" s="2">
        <f t="shared" si="40"/>
        <v>4</v>
      </c>
      <c r="E1334" s="2">
        <f t="shared" si="41"/>
        <v>9</v>
      </c>
      <c r="F1334">
        <v>8.9748999999999999</v>
      </c>
      <c r="G1334">
        <v>9.09</v>
      </c>
      <c r="H1334">
        <v>8.9366000000000003</v>
      </c>
      <c r="I1334">
        <v>8.9366000000000003</v>
      </c>
      <c r="J1334">
        <v>22864</v>
      </c>
      <c r="K1334">
        <v>-0.42830000000000001</v>
      </c>
      <c r="L1334">
        <v>1.7166999999999999</v>
      </c>
    </row>
    <row r="1335" spans="1:12" hidden="1" x14ac:dyDescent="0.25">
      <c r="A1335">
        <v>2330</v>
      </c>
      <c r="B1335" t="s">
        <v>11</v>
      </c>
      <c r="C1335" s="1">
        <v>41158</v>
      </c>
      <c r="D1335" s="2">
        <f t="shared" si="40"/>
        <v>4</v>
      </c>
      <c r="E1335" s="2">
        <f t="shared" si="41"/>
        <v>9</v>
      </c>
      <c r="F1335">
        <v>64.780900000000003</v>
      </c>
      <c r="G1335">
        <v>64.780900000000003</v>
      </c>
      <c r="H1335">
        <v>63.372599999999998</v>
      </c>
      <c r="I1335">
        <v>63.450899999999997</v>
      </c>
      <c r="J1335">
        <v>25873</v>
      </c>
      <c r="K1335">
        <v>-1.1035999999999999</v>
      </c>
      <c r="L1335">
        <v>2.2222</v>
      </c>
    </row>
    <row r="1336" spans="1:12" x14ac:dyDescent="0.25">
      <c r="A1336">
        <v>2303</v>
      </c>
      <c r="B1336" t="s">
        <v>10</v>
      </c>
      <c r="C1336" s="1">
        <v>41159</v>
      </c>
      <c r="D1336" s="2">
        <f t="shared" si="40"/>
        <v>5</v>
      </c>
      <c r="E1336" s="2">
        <f t="shared" si="41"/>
        <v>9</v>
      </c>
      <c r="F1336">
        <v>9.0516000000000005</v>
      </c>
      <c r="G1336">
        <v>9.1282999999999994</v>
      </c>
      <c r="H1336">
        <v>9.0132999999999992</v>
      </c>
      <c r="I1336">
        <v>9.0516000000000005</v>
      </c>
      <c r="J1336">
        <v>28409</v>
      </c>
      <c r="K1336">
        <v>1.2793000000000001</v>
      </c>
      <c r="L1336">
        <v>1.2766</v>
      </c>
    </row>
    <row r="1337" spans="1:12" hidden="1" x14ac:dyDescent="0.25">
      <c r="A1337">
        <v>2330</v>
      </c>
      <c r="B1337" t="s">
        <v>11</v>
      </c>
      <c r="C1337" s="1">
        <v>41159</v>
      </c>
      <c r="D1337" s="2">
        <f t="shared" si="40"/>
        <v>5</v>
      </c>
      <c r="E1337" s="2">
        <f t="shared" si="41"/>
        <v>9</v>
      </c>
      <c r="F1337">
        <v>64.937399999999997</v>
      </c>
      <c r="G1337">
        <v>65.641499999999994</v>
      </c>
      <c r="H1337">
        <v>64.780900000000003</v>
      </c>
      <c r="I1337">
        <v>65.563299999999998</v>
      </c>
      <c r="J1337">
        <v>44499</v>
      </c>
      <c r="K1337">
        <v>3.2749999999999999</v>
      </c>
      <c r="L1337">
        <v>1.3285</v>
      </c>
    </row>
    <row r="1338" spans="1:12" x14ac:dyDescent="0.25">
      <c r="A1338">
        <v>2303</v>
      </c>
      <c r="B1338" t="s">
        <v>10</v>
      </c>
      <c r="C1338" s="1">
        <v>41162</v>
      </c>
      <c r="D1338" s="2">
        <f t="shared" si="40"/>
        <v>1</v>
      </c>
      <c r="E1338" s="2">
        <f t="shared" si="41"/>
        <v>9</v>
      </c>
      <c r="F1338">
        <v>9.1667000000000005</v>
      </c>
      <c r="G1338">
        <v>9.2817000000000007</v>
      </c>
      <c r="H1338">
        <v>9.1667000000000005</v>
      </c>
      <c r="I1338">
        <v>9.2817000000000007</v>
      </c>
      <c r="J1338">
        <v>32717</v>
      </c>
      <c r="K1338">
        <v>2.5106000000000002</v>
      </c>
      <c r="L1338">
        <v>1.2552000000000001</v>
      </c>
    </row>
    <row r="1339" spans="1:12" hidden="1" x14ac:dyDescent="0.25">
      <c r="A1339">
        <v>2330</v>
      </c>
      <c r="B1339" t="s">
        <v>11</v>
      </c>
      <c r="C1339" s="1">
        <v>41162</v>
      </c>
      <c r="D1339" s="2">
        <f t="shared" si="40"/>
        <v>1</v>
      </c>
      <c r="E1339" s="2">
        <f t="shared" si="41"/>
        <v>9</v>
      </c>
      <c r="F1339">
        <v>65.1721</v>
      </c>
      <c r="G1339">
        <v>65.406800000000004</v>
      </c>
      <c r="H1339">
        <v>65.093800000000002</v>
      </c>
      <c r="I1339">
        <v>65.328599999999994</v>
      </c>
      <c r="J1339">
        <v>23048</v>
      </c>
      <c r="K1339">
        <v>-0.35859999999999997</v>
      </c>
      <c r="L1339">
        <v>0.48080000000000001</v>
      </c>
    </row>
    <row r="1340" spans="1:12" x14ac:dyDescent="0.25">
      <c r="A1340">
        <v>2303</v>
      </c>
      <c r="B1340" t="s">
        <v>10</v>
      </c>
      <c r="C1340" s="1">
        <v>41163</v>
      </c>
      <c r="D1340" s="2">
        <f t="shared" si="40"/>
        <v>2</v>
      </c>
      <c r="E1340" s="2">
        <f t="shared" si="41"/>
        <v>9</v>
      </c>
      <c r="F1340">
        <v>9.3583999999999996</v>
      </c>
      <c r="G1340">
        <v>9.3583999999999996</v>
      </c>
      <c r="H1340">
        <v>9.2050000000000001</v>
      </c>
      <c r="I1340">
        <v>9.2817000000000007</v>
      </c>
      <c r="J1340">
        <v>17410</v>
      </c>
      <c r="K1340">
        <v>0</v>
      </c>
      <c r="L1340">
        <v>1.6667000000000001</v>
      </c>
    </row>
    <row r="1341" spans="1:12" hidden="1" x14ac:dyDescent="0.25">
      <c r="A1341">
        <v>2330</v>
      </c>
      <c r="B1341" t="s">
        <v>11</v>
      </c>
      <c r="C1341" s="1">
        <v>41163</v>
      </c>
      <c r="D1341" s="2">
        <f t="shared" si="40"/>
        <v>2</v>
      </c>
      <c r="E1341" s="2">
        <f t="shared" si="41"/>
        <v>9</v>
      </c>
      <c r="F1341">
        <v>65.876199999999997</v>
      </c>
      <c r="G1341">
        <v>66.267399999999995</v>
      </c>
      <c r="H1341">
        <v>65.719800000000006</v>
      </c>
      <c r="I1341">
        <v>66.032700000000006</v>
      </c>
      <c r="J1341">
        <v>31624</v>
      </c>
      <c r="K1341">
        <v>1.0721000000000001</v>
      </c>
      <c r="L1341">
        <v>0.83330000000000004</v>
      </c>
    </row>
    <row r="1342" spans="1:12" x14ac:dyDescent="0.25">
      <c r="A1342">
        <v>2303</v>
      </c>
      <c r="B1342" t="s">
        <v>10</v>
      </c>
      <c r="C1342" s="1">
        <v>41164</v>
      </c>
      <c r="D1342" s="2">
        <f t="shared" si="40"/>
        <v>3</v>
      </c>
      <c r="E1342" s="2">
        <f t="shared" si="41"/>
        <v>9</v>
      </c>
      <c r="F1342">
        <v>9.3201000000000001</v>
      </c>
      <c r="G1342">
        <v>9.3201000000000001</v>
      </c>
      <c r="H1342">
        <v>9.1667000000000005</v>
      </c>
      <c r="I1342">
        <v>9.2050000000000001</v>
      </c>
      <c r="J1342">
        <v>28337</v>
      </c>
      <c r="K1342">
        <v>-0.82989999999999997</v>
      </c>
      <c r="L1342">
        <v>1.6736</v>
      </c>
    </row>
    <row r="1343" spans="1:12" hidden="1" x14ac:dyDescent="0.25">
      <c r="A1343">
        <v>2330</v>
      </c>
      <c r="B1343" t="s">
        <v>11</v>
      </c>
      <c r="C1343" s="1">
        <v>41164</v>
      </c>
      <c r="D1343" s="2">
        <f t="shared" si="40"/>
        <v>3</v>
      </c>
      <c r="E1343" s="2">
        <f t="shared" si="41"/>
        <v>9</v>
      </c>
      <c r="F1343">
        <v>66.110900000000001</v>
      </c>
      <c r="G1343">
        <v>66.423900000000003</v>
      </c>
      <c r="H1343">
        <v>66.110900000000001</v>
      </c>
      <c r="I1343">
        <v>66.110900000000001</v>
      </c>
      <c r="J1343">
        <v>37513</v>
      </c>
      <c r="K1343">
        <v>0.11840000000000001</v>
      </c>
      <c r="L1343">
        <v>0.47339999999999999</v>
      </c>
    </row>
    <row r="1344" spans="1:12" x14ac:dyDescent="0.25">
      <c r="A1344">
        <v>2303</v>
      </c>
      <c r="B1344" t="s">
        <v>10</v>
      </c>
      <c r="C1344" s="1">
        <v>41165</v>
      </c>
      <c r="D1344" s="2">
        <f t="shared" si="40"/>
        <v>4</v>
      </c>
      <c r="E1344" s="2">
        <f t="shared" si="41"/>
        <v>9</v>
      </c>
      <c r="F1344">
        <v>9.2050000000000001</v>
      </c>
      <c r="G1344">
        <v>9.2817000000000007</v>
      </c>
      <c r="H1344">
        <v>9.1667000000000005</v>
      </c>
      <c r="I1344">
        <v>9.2050000000000001</v>
      </c>
      <c r="J1344">
        <v>16937</v>
      </c>
      <c r="K1344">
        <v>0</v>
      </c>
      <c r="L1344">
        <v>1.2552000000000001</v>
      </c>
    </row>
    <row r="1345" spans="1:12" hidden="1" x14ac:dyDescent="0.25">
      <c r="A1345">
        <v>2330</v>
      </c>
      <c r="B1345" t="s">
        <v>11</v>
      </c>
      <c r="C1345" s="1">
        <v>41165</v>
      </c>
      <c r="D1345" s="2">
        <f t="shared" si="40"/>
        <v>4</v>
      </c>
      <c r="E1345" s="2">
        <f t="shared" si="41"/>
        <v>9</v>
      </c>
      <c r="F1345">
        <v>66.110900000000001</v>
      </c>
      <c r="G1345">
        <v>66.502099999999999</v>
      </c>
      <c r="H1345">
        <v>66.110900000000001</v>
      </c>
      <c r="I1345">
        <v>66.502099999999999</v>
      </c>
      <c r="J1345">
        <v>29680</v>
      </c>
      <c r="K1345">
        <v>0.59</v>
      </c>
      <c r="L1345">
        <v>0.5917</v>
      </c>
    </row>
    <row r="1346" spans="1:12" x14ac:dyDescent="0.25">
      <c r="A1346">
        <v>2303</v>
      </c>
      <c r="B1346" t="s">
        <v>10</v>
      </c>
      <c r="C1346" s="1">
        <v>41166</v>
      </c>
      <c r="D1346" s="2">
        <f t="shared" si="40"/>
        <v>5</v>
      </c>
      <c r="E1346" s="2">
        <f t="shared" si="41"/>
        <v>9</v>
      </c>
      <c r="F1346">
        <v>9.2817000000000007</v>
      </c>
      <c r="G1346">
        <v>9.4734999999999996</v>
      </c>
      <c r="H1346">
        <v>9.2050000000000001</v>
      </c>
      <c r="I1346">
        <v>9.3968000000000007</v>
      </c>
      <c r="J1346">
        <v>85216</v>
      </c>
      <c r="K1346">
        <v>2.0619000000000001</v>
      </c>
      <c r="L1346">
        <v>2.9167000000000001</v>
      </c>
    </row>
    <row r="1347" spans="1:12" hidden="1" x14ac:dyDescent="0.25">
      <c r="A1347">
        <v>2330</v>
      </c>
      <c r="B1347" t="s">
        <v>11</v>
      </c>
      <c r="C1347" s="1">
        <v>41166</v>
      </c>
      <c r="D1347" s="2">
        <f t="shared" ref="D1347:D1410" si="42">WEEKDAY(C1347,2)</f>
        <v>5</v>
      </c>
      <c r="E1347" s="2">
        <f t="shared" ref="E1347:E1410" si="43">MONTH(C1347)</f>
        <v>9</v>
      </c>
      <c r="F1347">
        <v>66.971599999999995</v>
      </c>
      <c r="G1347">
        <v>67.675700000000006</v>
      </c>
      <c r="H1347">
        <v>66.893299999999996</v>
      </c>
      <c r="I1347">
        <v>67.675700000000006</v>
      </c>
      <c r="J1347">
        <v>52174</v>
      </c>
      <c r="K1347">
        <v>1.7493000000000001</v>
      </c>
      <c r="L1347">
        <v>1.1696</v>
      </c>
    </row>
    <row r="1348" spans="1:12" x14ac:dyDescent="0.25">
      <c r="A1348">
        <v>2303</v>
      </c>
      <c r="B1348" t="s">
        <v>10</v>
      </c>
      <c r="C1348" s="1">
        <v>41169</v>
      </c>
      <c r="D1348" s="2">
        <f t="shared" si="42"/>
        <v>1</v>
      </c>
      <c r="E1348" s="2">
        <f t="shared" si="43"/>
        <v>9</v>
      </c>
      <c r="F1348">
        <v>9.4352</v>
      </c>
      <c r="G1348">
        <v>9.4352</v>
      </c>
      <c r="H1348">
        <v>9.3583999999999996</v>
      </c>
      <c r="I1348">
        <v>9.4352</v>
      </c>
      <c r="J1348">
        <v>41974</v>
      </c>
      <c r="K1348">
        <v>0.4073</v>
      </c>
      <c r="L1348">
        <v>0.81969999999999998</v>
      </c>
    </row>
    <row r="1349" spans="1:12" hidden="1" x14ac:dyDescent="0.25">
      <c r="A1349">
        <v>2330</v>
      </c>
      <c r="B1349" t="s">
        <v>11</v>
      </c>
      <c r="C1349" s="1">
        <v>41169</v>
      </c>
      <c r="D1349" s="2">
        <f t="shared" si="42"/>
        <v>1</v>
      </c>
      <c r="E1349" s="2">
        <f t="shared" si="43"/>
        <v>9</v>
      </c>
      <c r="F1349">
        <v>67.988600000000005</v>
      </c>
      <c r="G1349">
        <v>68.066900000000004</v>
      </c>
      <c r="H1349">
        <v>67.128</v>
      </c>
      <c r="I1349">
        <v>67.675700000000006</v>
      </c>
      <c r="J1349">
        <v>26567</v>
      </c>
      <c r="K1349">
        <v>0</v>
      </c>
      <c r="L1349">
        <v>1.3986000000000001</v>
      </c>
    </row>
    <row r="1350" spans="1:12" x14ac:dyDescent="0.25">
      <c r="A1350">
        <v>2303</v>
      </c>
      <c r="B1350" t="s">
        <v>10</v>
      </c>
      <c r="C1350" s="1">
        <v>41170</v>
      </c>
      <c r="D1350" s="2">
        <f t="shared" si="42"/>
        <v>2</v>
      </c>
      <c r="E1350" s="2">
        <f t="shared" si="43"/>
        <v>9</v>
      </c>
      <c r="F1350">
        <v>9.3968000000000007</v>
      </c>
      <c r="G1350">
        <v>9.4352</v>
      </c>
      <c r="H1350">
        <v>9.3201000000000001</v>
      </c>
      <c r="I1350">
        <v>9.3583999999999996</v>
      </c>
      <c r="J1350">
        <v>27118</v>
      </c>
      <c r="K1350">
        <v>-0.81630000000000003</v>
      </c>
      <c r="L1350">
        <v>1.2345999999999999</v>
      </c>
    </row>
    <row r="1351" spans="1:12" hidden="1" x14ac:dyDescent="0.25">
      <c r="A1351">
        <v>2330</v>
      </c>
      <c r="B1351" t="s">
        <v>11</v>
      </c>
      <c r="C1351" s="1">
        <v>41170</v>
      </c>
      <c r="D1351" s="2">
        <f t="shared" si="42"/>
        <v>2</v>
      </c>
      <c r="E1351" s="2">
        <f t="shared" si="43"/>
        <v>9</v>
      </c>
      <c r="F1351">
        <v>67.675700000000006</v>
      </c>
      <c r="G1351">
        <v>67.675700000000006</v>
      </c>
      <c r="H1351">
        <v>66.815100000000001</v>
      </c>
      <c r="I1351">
        <v>67.049800000000005</v>
      </c>
      <c r="J1351">
        <v>35898</v>
      </c>
      <c r="K1351">
        <v>-0.92920000000000003</v>
      </c>
      <c r="L1351">
        <v>1.2881</v>
      </c>
    </row>
    <row r="1352" spans="1:12" x14ac:dyDescent="0.25">
      <c r="A1352">
        <v>2303</v>
      </c>
      <c r="B1352" t="s">
        <v>10</v>
      </c>
      <c r="C1352" s="1">
        <v>41171</v>
      </c>
      <c r="D1352" s="2">
        <f t="shared" si="42"/>
        <v>3</v>
      </c>
      <c r="E1352" s="2">
        <f t="shared" si="43"/>
        <v>9</v>
      </c>
      <c r="F1352">
        <v>9.3583999999999996</v>
      </c>
      <c r="G1352">
        <v>9.4352</v>
      </c>
      <c r="H1352">
        <v>9.3201000000000001</v>
      </c>
      <c r="I1352">
        <v>9.4352</v>
      </c>
      <c r="J1352">
        <v>23416</v>
      </c>
      <c r="K1352">
        <v>0.81630000000000003</v>
      </c>
      <c r="L1352">
        <v>1.2345999999999999</v>
      </c>
    </row>
    <row r="1353" spans="1:12" hidden="1" x14ac:dyDescent="0.25">
      <c r="A1353">
        <v>2330</v>
      </c>
      <c r="B1353" t="s">
        <v>11</v>
      </c>
      <c r="C1353" s="1">
        <v>41171</v>
      </c>
      <c r="D1353" s="2">
        <f t="shared" si="42"/>
        <v>3</v>
      </c>
      <c r="E1353" s="2">
        <f t="shared" si="43"/>
        <v>9</v>
      </c>
      <c r="F1353">
        <v>67.206299999999999</v>
      </c>
      <c r="G1353">
        <v>67.597499999999997</v>
      </c>
      <c r="H1353">
        <v>66.580399999999997</v>
      </c>
      <c r="I1353">
        <v>67.284499999999994</v>
      </c>
      <c r="J1353">
        <v>43594</v>
      </c>
      <c r="K1353">
        <v>0.34939999999999999</v>
      </c>
      <c r="L1353">
        <v>1.5276000000000001</v>
      </c>
    </row>
    <row r="1354" spans="1:12" x14ac:dyDescent="0.25">
      <c r="A1354">
        <v>2303</v>
      </c>
      <c r="B1354" t="s">
        <v>10</v>
      </c>
      <c r="C1354" s="1">
        <v>41172</v>
      </c>
      <c r="D1354" s="2">
        <f t="shared" si="42"/>
        <v>4</v>
      </c>
      <c r="E1354" s="2">
        <f t="shared" si="43"/>
        <v>9</v>
      </c>
      <c r="F1354">
        <v>9.3968000000000007</v>
      </c>
      <c r="G1354">
        <v>9.3968000000000007</v>
      </c>
      <c r="H1354">
        <v>9.3201000000000001</v>
      </c>
      <c r="I1354">
        <v>9.3583999999999996</v>
      </c>
      <c r="J1354">
        <v>22361</v>
      </c>
      <c r="K1354">
        <v>-0.81630000000000003</v>
      </c>
      <c r="L1354">
        <v>0.82299999999999995</v>
      </c>
    </row>
    <row r="1355" spans="1:12" hidden="1" x14ac:dyDescent="0.25">
      <c r="A1355">
        <v>2330</v>
      </c>
      <c r="B1355" t="s">
        <v>11</v>
      </c>
      <c r="C1355" s="1">
        <v>41172</v>
      </c>
      <c r="D1355" s="2">
        <f t="shared" si="42"/>
        <v>4</v>
      </c>
      <c r="E1355" s="2">
        <f t="shared" si="43"/>
        <v>9</v>
      </c>
      <c r="F1355">
        <v>67.284499999999994</v>
      </c>
      <c r="G1355">
        <v>67.284499999999994</v>
      </c>
      <c r="H1355">
        <v>66.580399999999997</v>
      </c>
      <c r="I1355">
        <v>66.736800000000002</v>
      </c>
      <c r="J1355">
        <v>26839</v>
      </c>
      <c r="K1355">
        <v>-0.81730000000000003</v>
      </c>
      <c r="L1355">
        <v>1.0576000000000001</v>
      </c>
    </row>
    <row r="1356" spans="1:12" x14ac:dyDescent="0.25">
      <c r="A1356">
        <v>2303</v>
      </c>
      <c r="B1356" t="s">
        <v>10</v>
      </c>
      <c r="C1356" s="1">
        <v>41173</v>
      </c>
      <c r="D1356" s="2">
        <f t="shared" si="42"/>
        <v>5</v>
      </c>
      <c r="E1356" s="2">
        <f t="shared" si="43"/>
        <v>9</v>
      </c>
      <c r="F1356">
        <v>9.3583999999999996</v>
      </c>
      <c r="G1356">
        <v>9.4352</v>
      </c>
      <c r="H1356">
        <v>9.2817000000000007</v>
      </c>
      <c r="I1356">
        <v>9.4352</v>
      </c>
      <c r="J1356">
        <v>30847</v>
      </c>
      <c r="K1356">
        <v>0.81630000000000003</v>
      </c>
      <c r="L1356">
        <v>1.6529</v>
      </c>
    </row>
    <row r="1357" spans="1:12" hidden="1" x14ac:dyDescent="0.25">
      <c r="A1357">
        <v>2330</v>
      </c>
      <c r="B1357" t="s">
        <v>11</v>
      </c>
      <c r="C1357" s="1">
        <v>41173</v>
      </c>
      <c r="D1357" s="2">
        <f t="shared" si="42"/>
        <v>5</v>
      </c>
      <c r="E1357" s="2">
        <f t="shared" si="43"/>
        <v>9</v>
      </c>
      <c r="F1357">
        <v>67.284499999999994</v>
      </c>
      <c r="G1357">
        <v>67.675700000000006</v>
      </c>
      <c r="H1357">
        <v>66.736800000000002</v>
      </c>
      <c r="I1357">
        <v>67.049800000000005</v>
      </c>
      <c r="J1357">
        <v>51084</v>
      </c>
      <c r="K1357">
        <v>0.46779999999999999</v>
      </c>
      <c r="L1357">
        <v>1.4068000000000001</v>
      </c>
    </row>
    <row r="1358" spans="1:12" x14ac:dyDescent="0.25">
      <c r="A1358">
        <v>2303</v>
      </c>
      <c r="B1358" t="s">
        <v>10</v>
      </c>
      <c r="C1358" s="1">
        <v>41176</v>
      </c>
      <c r="D1358" s="2">
        <f t="shared" si="42"/>
        <v>1</v>
      </c>
      <c r="E1358" s="2">
        <f t="shared" si="43"/>
        <v>9</v>
      </c>
      <c r="F1358">
        <v>9.3201000000000001</v>
      </c>
      <c r="G1358">
        <v>9.3583999999999996</v>
      </c>
      <c r="H1358">
        <v>9.2817000000000007</v>
      </c>
      <c r="I1358">
        <v>9.3201000000000001</v>
      </c>
      <c r="J1358">
        <v>17621</v>
      </c>
      <c r="K1358">
        <v>-1.2270000000000001</v>
      </c>
      <c r="L1358">
        <v>0.82640000000000002</v>
      </c>
    </row>
    <row r="1359" spans="1:12" hidden="1" x14ac:dyDescent="0.25">
      <c r="A1359">
        <v>2330</v>
      </c>
      <c r="B1359" t="s">
        <v>11</v>
      </c>
      <c r="C1359" s="1">
        <v>41176</v>
      </c>
      <c r="D1359" s="2">
        <f t="shared" si="42"/>
        <v>1</v>
      </c>
      <c r="E1359" s="2">
        <f t="shared" si="43"/>
        <v>9</v>
      </c>
      <c r="F1359">
        <v>67.049800000000005</v>
      </c>
      <c r="G1359">
        <v>67.597499999999997</v>
      </c>
      <c r="H1359">
        <v>66.580399999999997</v>
      </c>
      <c r="I1359">
        <v>67.362700000000004</v>
      </c>
      <c r="J1359">
        <v>30360</v>
      </c>
      <c r="K1359">
        <v>0.4657</v>
      </c>
      <c r="L1359">
        <v>1.5276000000000001</v>
      </c>
    </row>
    <row r="1360" spans="1:12" x14ac:dyDescent="0.25">
      <c r="A1360">
        <v>2303</v>
      </c>
      <c r="B1360" t="s">
        <v>10</v>
      </c>
      <c r="C1360" s="1">
        <v>41177</v>
      </c>
      <c r="D1360" s="2">
        <f t="shared" si="42"/>
        <v>2</v>
      </c>
      <c r="E1360" s="2">
        <f t="shared" si="43"/>
        <v>9</v>
      </c>
      <c r="F1360">
        <v>9.2817000000000007</v>
      </c>
      <c r="G1360">
        <v>9.3968000000000007</v>
      </c>
      <c r="H1360">
        <v>9.2817000000000007</v>
      </c>
      <c r="I1360">
        <v>9.3201000000000001</v>
      </c>
      <c r="J1360">
        <v>27698</v>
      </c>
      <c r="K1360">
        <v>0</v>
      </c>
      <c r="L1360">
        <v>1.2397</v>
      </c>
    </row>
    <row r="1361" spans="1:12" hidden="1" x14ac:dyDescent="0.25">
      <c r="A1361">
        <v>2330</v>
      </c>
      <c r="B1361" t="s">
        <v>11</v>
      </c>
      <c r="C1361" s="1">
        <v>41177</v>
      </c>
      <c r="D1361" s="2">
        <f t="shared" si="42"/>
        <v>2</v>
      </c>
      <c r="E1361" s="2">
        <f t="shared" si="43"/>
        <v>9</v>
      </c>
      <c r="F1361">
        <v>67.128</v>
      </c>
      <c r="G1361">
        <v>67.441000000000003</v>
      </c>
      <c r="H1361">
        <v>67.049800000000005</v>
      </c>
      <c r="I1361">
        <v>67.206299999999999</v>
      </c>
      <c r="J1361">
        <v>35919</v>
      </c>
      <c r="K1361">
        <v>-0.2326</v>
      </c>
      <c r="L1361">
        <v>0.58340000000000003</v>
      </c>
    </row>
    <row r="1362" spans="1:12" x14ac:dyDescent="0.25">
      <c r="A1362">
        <v>2303</v>
      </c>
      <c r="B1362" t="s">
        <v>10</v>
      </c>
      <c r="C1362" s="1">
        <v>41178</v>
      </c>
      <c r="D1362" s="2">
        <f t="shared" si="42"/>
        <v>3</v>
      </c>
      <c r="E1362" s="2">
        <f t="shared" si="43"/>
        <v>9</v>
      </c>
      <c r="F1362">
        <v>9.2817000000000007</v>
      </c>
      <c r="G1362">
        <v>9.3201000000000001</v>
      </c>
      <c r="H1362">
        <v>9.2050000000000001</v>
      </c>
      <c r="I1362">
        <v>9.2433999999999994</v>
      </c>
      <c r="J1362">
        <v>22491</v>
      </c>
      <c r="K1362">
        <v>-0.82650000000000001</v>
      </c>
      <c r="L1362">
        <v>1.25</v>
      </c>
    </row>
    <row r="1363" spans="1:12" hidden="1" x14ac:dyDescent="0.25">
      <c r="A1363">
        <v>2330</v>
      </c>
      <c r="B1363" t="s">
        <v>11</v>
      </c>
      <c r="C1363" s="1">
        <v>41178</v>
      </c>
      <c r="D1363" s="2">
        <f t="shared" si="42"/>
        <v>3</v>
      </c>
      <c r="E1363" s="2">
        <f t="shared" si="43"/>
        <v>9</v>
      </c>
      <c r="F1363">
        <v>66.815100000000001</v>
      </c>
      <c r="G1363">
        <v>67.597499999999997</v>
      </c>
      <c r="H1363">
        <v>66.502099999999999</v>
      </c>
      <c r="I1363">
        <v>67.597499999999997</v>
      </c>
      <c r="J1363">
        <v>36962</v>
      </c>
      <c r="K1363">
        <v>0.58040000000000003</v>
      </c>
      <c r="L1363">
        <v>1.6471</v>
      </c>
    </row>
    <row r="1364" spans="1:12" x14ac:dyDescent="0.25">
      <c r="A1364">
        <v>2303</v>
      </c>
      <c r="B1364" t="s">
        <v>10</v>
      </c>
      <c r="C1364" s="1">
        <v>41179</v>
      </c>
      <c r="D1364" s="2">
        <f t="shared" si="42"/>
        <v>4</v>
      </c>
      <c r="E1364" s="2">
        <f t="shared" si="43"/>
        <v>9</v>
      </c>
      <c r="F1364">
        <v>9.2050000000000001</v>
      </c>
      <c r="G1364">
        <v>9.3583999999999996</v>
      </c>
      <c r="H1364">
        <v>9.2050000000000001</v>
      </c>
      <c r="I1364">
        <v>9.3201000000000001</v>
      </c>
      <c r="J1364">
        <v>32356</v>
      </c>
      <c r="K1364">
        <v>0.82650000000000001</v>
      </c>
      <c r="L1364">
        <v>1.6667000000000001</v>
      </c>
    </row>
    <row r="1365" spans="1:12" hidden="1" x14ac:dyDescent="0.25">
      <c r="A1365">
        <v>2330</v>
      </c>
      <c r="B1365" t="s">
        <v>11</v>
      </c>
      <c r="C1365" s="1">
        <v>41179</v>
      </c>
      <c r="D1365" s="2">
        <f t="shared" si="42"/>
        <v>4</v>
      </c>
      <c r="E1365" s="2">
        <f t="shared" si="43"/>
        <v>9</v>
      </c>
      <c r="F1365">
        <v>67.910399999999996</v>
      </c>
      <c r="G1365">
        <v>68.692800000000005</v>
      </c>
      <c r="H1365">
        <v>67.441000000000003</v>
      </c>
      <c r="I1365">
        <v>68.536299999999997</v>
      </c>
      <c r="J1365">
        <v>55641</v>
      </c>
      <c r="K1365">
        <v>1.3793</v>
      </c>
      <c r="L1365">
        <v>1.8561000000000001</v>
      </c>
    </row>
    <row r="1366" spans="1:12" x14ac:dyDescent="0.25">
      <c r="A1366">
        <v>2303</v>
      </c>
      <c r="B1366" t="s">
        <v>10</v>
      </c>
      <c r="C1366" s="1">
        <v>41180</v>
      </c>
      <c r="D1366" s="2">
        <f t="shared" si="42"/>
        <v>5</v>
      </c>
      <c r="E1366" s="2">
        <f t="shared" si="43"/>
        <v>9</v>
      </c>
      <c r="F1366">
        <v>9.3968000000000007</v>
      </c>
      <c r="G1366">
        <v>9.3968000000000007</v>
      </c>
      <c r="H1366">
        <v>9.2817000000000007</v>
      </c>
      <c r="I1366">
        <v>9.3583999999999996</v>
      </c>
      <c r="J1366">
        <v>29905</v>
      </c>
      <c r="K1366">
        <v>0.41070000000000001</v>
      </c>
      <c r="L1366">
        <v>1.2397</v>
      </c>
    </row>
    <row r="1367" spans="1:12" hidden="1" x14ac:dyDescent="0.25">
      <c r="A1367">
        <v>2330</v>
      </c>
      <c r="B1367" t="s">
        <v>11</v>
      </c>
      <c r="C1367" s="1">
        <v>41180</v>
      </c>
      <c r="D1367" s="2">
        <f t="shared" si="42"/>
        <v>5</v>
      </c>
      <c r="E1367" s="2">
        <f t="shared" si="43"/>
        <v>9</v>
      </c>
      <c r="F1367">
        <v>69.318700000000007</v>
      </c>
      <c r="G1367">
        <v>70.257499999999993</v>
      </c>
      <c r="H1367">
        <v>69.240499999999997</v>
      </c>
      <c r="I1367">
        <v>70.257499999999993</v>
      </c>
      <c r="J1367">
        <v>70929</v>
      </c>
      <c r="K1367">
        <v>2.4803999999999999</v>
      </c>
      <c r="L1367">
        <v>1.4689000000000001</v>
      </c>
    </row>
    <row r="1368" spans="1:12" x14ac:dyDescent="0.25">
      <c r="A1368">
        <v>2303</v>
      </c>
      <c r="B1368" t="s">
        <v>10</v>
      </c>
      <c r="C1368" s="1">
        <v>41183</v>
      </c>
      <c r="D1368" s="2">
        <f t="shared" si="42"/>
        <v>1</v>
      </c>
      <c r="E1368" s="2">
        <f t="shared" si="43"/>
        <v>10</v>
      </c>
      <c r="F1368">
        <v>9.2817000000000007</v>
      </c>
      <c r="G1368">
        <v>9.3201000000000001</v>
      </c>
      <c r="H1368">
        <v>9.1667000000000005</v>
      </c>
      <c r="I1368">
        <v>9.2050000000000001</v>
      </c>
      <c r="J1368">
        <v>24203</v>
      </c>
      <c r="K1368">
        <v>-1.6529</v>
      </c>
      <c r="L1368">
        <v>1.6736</v>
      </c>
    </row>
    <row r="1369" spans="1:12" hidden="1" x14ac:dyDescent="0.25">
      <c r="A1369">
        <v>2330</v>
      </c>
      <c r="B1369" t="s">
        <v>11</v>
      </c>
      <c r="C1369" s="1">
        <v>41183</v>
      </c>
      <c r="D1369" s="2">
        <f t="shared" si="42"/>
        <v>1</v>
      </c>
      <c r="E1369" s="2">
        <f t="shared" si="43"/>
        <v>10</v>
      </c>
      <c r="F1369">
        <v>69.7881</v>
      </c>
      <c r="G1369">
        <v>69.7881</v>
      </c>
      <c r="H1369">
        <v>69.084000000000003</v>
      </c>
      <c r="I1369">
        <v>69.553399999999996</v>
      </c>
      <c r="J1369">
        <v>38173</v>
      </c>
      <c r="K1369">
        <v>-1.0073000000000001</v>
      </c>
      <c r="L1369">
        <v>1.0193000000000001</v>
      </c>
    </row>
    <row r="1370" spans="1:12" x14ac:dyDescent="0.25">
      <c r="A1370">
        <v>2303</v>
      </c>
      <c r="B1370" t="s">
        <v>10</v>
      </c>
      <c r="C1370" s="1">
        <v>41184</v>
      </c>
      <c r="D1370" s="2">
        <f t="shared" si="42"/>
        <v>2</v>
      </c>
      <c r="E1370" s="2">
        <f t="shared" si="43"/>
        <v>10</v>
      </c>
      <c r="F1370">
        <v>9.2433999999999994</v>
      </c>
      <c r="G1370">
        <v>9.3201000000000001</v>
      </c>
      <c r="H1370">
        <v>9.1667000000000005</v>
      </c>
      <c r="I1370">
        <v>9.2817000000000007</v>
      </c>
      <c r="J1370">
        <v>21958</v>
      </c>
      <c r="K1370">
        <v>0.82989999999999997</v>
      </c>
      <c r="L1370">
        <v>1.6736</v>
      </c>
    </row>
    <row r="1371" spans="1:12" hidden="1" x14ac:dyDescent="0.25">
      <c r="A1371">
        <v>2330</v>
      </c>
      <c r="B1371" t="s">
        <v>11</v>
      </c>
      <c r="C1371" s="1">
        <v>41184</v>
      </c>
      <c r="D1371" s="2">
        <f t="shared" si="42"/>
        <v>2</v>
      </c>
      <c r="E1371" s="2">
        <f t="shared" si="43"/>
        <v>10</v>
      </c>
      <c r="F1371">
        <v>69.7881</v>
      </c>
      <c r="G1371">
        <v>70.257499999999993</v>
      </c>
      <c r="H1371">
        <v>69.553399999999996</v>
      </c>
      <c r="I1371">
        <v>70.101100000000002</v>
      </c>
      <c r="J1371">
        <v>35734</v>
      </c>
      <c r="K1371">
        <v>0.7843</v>
      </c>
      <c r="L1371">
        <v>1.0124</v>
      </c>
    </row>
    <row r="1372" spans="1:12" x14ac:dyDescent="0.25">
      <c r="A1372">
        <v>2303</v>
      </c>
      <c r="B1372" t="s">
        <v>10</v>
      </c>
      <c r="C1372" s="1">
        <v>41185</v>
      </c>
      <c r="D1372" s="2">
        <f t="shared" si="42"/>
        <v>3</v>
      </c>
      <c r="E1372" s="2">
        <f t="shared" si="43"/>
        <v>10</v>
      </c>
      <c r="F1372">
        <v>9.3201000000000001</v>
      </c>
      <c r="G1372">
        <v>9.3201000000000001</v>
      </c>
      <c r="H1372">
        <v>9.2050000000000001</v>
      </c>
      <c r="I1372">
        <v>9.2433999999999994</v>
      </c>
      <c r="J1372">
        <v>13100</v>
      </c>
      <c r="K1372">
        <v>-0.41410000000000002</v>
      </c>
      <c r="L1372">
        <v>1.25</v>
      </c>
    </row>
    <row r="1373" spans="1:12" hidden="1" x14ac:dyDescent="0.25">
      <c r="A1373">
        <v>2330</v>
      </c>
      <c r="B1373" t="s">
        <v>11</v>
      </c>
      <c r="C1373" s="1">
        <v>41185</v>
      </c>
      <c r="D1373" s="2">
        <f t="shared" si="42"/>
        <v>3</v>
      </c>
      <c r="E1373" s="2">
        <f t="shared" si="43"/>
        <v>10</v>
      </c>
      <c r="F1373">
        <v>70.101100000000002</v>
      </c>
      <c r="G1373">
        <v>70.335800000000006</v>
      </c>
      <c r="H1373">
        <v>69.866399999999999</v>
      </c>
      <c r="I1373">
        <v>70.257499999999993</v>
      </c>
      <c r="J1373">
        <v>32589</v>
      </c>
      <c r="K1373">
        <v>0.223</v>
      </c>
      <c r="L1373">
        <v>0.67190000000000005</v>
      </c>
    </row>
    <row r="1374" spans="1:12" x14ac:dyDescent="0.25">
      <c r="A1374">
        <v>2303</v>
      </c>
      <c r="B1374" t="s">
        <v>10</v>
      </c>
      <c r="C1374" s="1">
        <v>41186</v>
      </c>
      <c r="D1374" s="2">
        <f t="shared" si="42"/>
        <v>4</v>
      </c>
      <c r="E1374" s="2">
        <f t="shared" si="43"/>
        <v>10</v>
      </c>
      <c r="F1374">
        <v>9.2050000000000001</v>
      </c>
      <c r="G1374">
        <v>9.2433999999999994</v>
      </c>
      <c r="H1374">
        <v>9.09</v>
      </c>
      <c r="I1374">
        <v>9.1282999999999994</v>
      </c>
      <c r="J1374">
        <v>26415</v>
      </c>
      <c r="K1374">
        <v>-1.2525999999999999</v>
      </c>
      <c r="L1374">
        <v>1.6878</v>
      </c>
    </row>
    <row r="1375" spans="1:12" hidden="1" x14ac:dyDescent="0.25">
      <c r="A1375">
        <v>2330</v>
      </c>
      <c r="B1375" t="s">
        <v>11</v>
      </c>
      <c r="C1375" s="1">
        <v>41186</v>
      </c>
      <c r="D1375" s="2">
        <f t="shared" si="42"/>
        <v>4</v>
      </c>
      <c r="E1375" s="2">
        <f t="shared" si="43"/>
        <v>10</v>
      </c>
      <c r="F1375">
        <v>70.335800000000006</v>
      </c>
      <c r="G1375">
        <v>70.883399999999995</v>
      </c>
      <c r="H1375">
        <v>70.022800000000004</v>
      </c>
      <c r="I1375">
        <v>70.883399999999995</v>
      </c>
      <c r="J1375">
        <v>39780</v>
      </c>
      <c r="K1375">
        <v>0.88690000000000002</v>
      </c>
      <c r="L1375">
        <v>1.2291000000000001</v>
      </c>
    </row>
    <row r="1376" spans="1:12" x14ac:dyDescent="0.25">
      <c r="A1376">
        <v>2303</v>
      </c>
      <c r="B1376" t="s">
        <v>10</v>
      </c>
      <c r="C1376" s="1">
        <v>41187</v>
      </c>
      <c r="D1376" s="2">
        <f t="shared" si="42"/>
        <v>5</v>
      </c>
      <c r="E1376" s="2">
        <f t="shared" si="43"/>
        <v>10</v>
      </c>
      <c r="F1376">
        <v>9.1667000000000005</v>
      </c>
      <c r="G1376">
        <v>9.1667000000000005</v>
      </c>
      <c r="H1376">
        <v>9.0516000000000005</v>
      </c>
      <c r="I1376">
        <v>9.0516000000000005</v>
      </c>
      <c r="J1376">
        <v>18165</v>
      </c>
      <c r="K1376">
        <v>-0.84389999999999998</v>
      </c>
      <c r="L1376">
        <v>1.2712000000000001</v>
      </c>
    </row>
    <row r="1377" spans="1:12" hidden="1" x14ac:dyDescent="0.25">
      <c r="A1377">
        <v>2330</v>
      </c>
      <c r="B1377" t="s">
        <v>11</v>
      </c>
      <c r="C1377" s="1">
        <v>41187</v>
      </c>
      <c r="D1377" s="2">
        <f t="shared" si="42"/>
        <v>5</v>
      </c>
      <c r="E1377" s="2">
        <f t="shared" si="43"/>
        <v>10</v>
      </c>
      <c r="F1377">
        <v>71.196399999999997</v>
      </c>
      <c r="G1377">
        <v>71.431100000000001</v>
      </c>
      <c r="H1377">
        <v>70.727000000000004</v>
      </c>
      <c r="I1377">
        <v>71.196399999999997</v>
      </c>
      <c r="J1377">
        <v>42175</v>
      </c>
      <c r="K1377">
        <v>0.4405</v>
      </c>
      <c r="L1377">
        <v>0.99560000000000004</v>
      </c>
    </row>
    <row r="1378" spans="1:12" x14ac:dyDescent="0.25">
      <c r="A1378">
        <v>2303</v>
      </c>
      <c r="B1378" t="s">
        <v>10</v>
      </c>
      <c r="C1378" s="1">
        <v>41190</v>
      </c>
      <c r="D1378" s="2">
        <f t="shared" si="42"/>
        <v>1</v>
      </c>
      <c r="E1378" s="2">
        <f t="shared" si="43"/>
        <v>10</v>
      </c>
      <c r="F1378">
        <v>9.0516000000000005</v>
      </c>
      <c r="G1378">
        <v>9.1282999999999994</v>
      </c>
      <c r="H1378">
        <v>9.0516000000000005</v>
      </c>
      <c r="I1378">
        <v>9.0516000000000005</v>
      </c>
      <c r="J1378">
        <v>17197</v>
      </c>
      <c r="K1378">
        <v>0</v>
      </c>
      <c r="L1378">
        <v>0.84750000000000003</v>
      </c>
    </row>
    <row r="1379" spans="1:12" hidden="1" x14ac:dyDescent="0.25">
      <c r="A1379">
        <v>2330</v>
      </c>
      <c r="B1379" t="s">
        <v>11</v>
      </c>
      <c r="C1379" s="1">
        <v>41190</v>
      </c>
      <c r="D1379" s="2">
        <f t="shared" si="42"/>
        <v>1</v>
      </c>
      <c r="E1379" s="2">
        <f t="shared" si="43"/>
        <v>10</v>
      </c>
      <c r="F1379">
        <v>71.196399999999997</v>
      </c>
      <c r="G1379">
        <v>71.196399999999997</v>
      </c>
      <c r="H1379">
        <v>69.631600000000006</v>
      </c>
      <c r="I1379">
        <v>69.709900000000005</v>
      </c>
      <c r="J1379">
        <v>40762</v>
      </c>
      <c r="K1379">
        <v>-2.11</v>
      </c>
      <c r="L1379">
        <v>2.2471999999999999</v>
      </c>
    </row>
    <row r="1380" spans="1:12" x14ac:dyDescent="0.25">
      <c r="A1380">
        <v>2303</v>
      </c>
      <c r="B1380" t="s">
        <v>10</v>
      </c>
      <c r="C1380" s="1">
        <v>41191</v>
      </c>
      <c r="D1380" s="2">
        <f t="shared" si="42"/>
        <v>2</v>
      </c>
      <c r="E1380" s="2">
        <f t="shared" si="43"/>
        <v>10</v>
      </c>
      <c r="F1380">
        <v>9.09</v>
      </c>
      <c r="G1380">
        <v>9.1667000000000005</v>
      </c>
      <c r="H1380">
        <v>9.09</v>
      </c>
      <c r="I1380">
        <v>9.1282999999999994</v>
      </c>
      <c r="J1380">
        <v>19995</v>
      </c>
      <c r="K1380">
        <v>0.84389999999999998</v>
      </c>
      <c r="L1380">
        <v>0.84389999999999998</v>
      </c>
    </row>
    <row r="1381" spans="1:12" hidden="1" x14ac:dyDescent="0.25">
      <c r="A1381">
        <v>2330</v>
      </c>
      <c r="B1381" t="s">
        <v>11</v>
      </c>
      <c r="C1381" s="1">
        <v>41191</v>
      </c>
      <c r="D1381" s="2">
        <f t="shared" si="42"/>
        <v>2</v>
      </c>
      <c r="E1381" s="2">
        <f t="shared" si="43"/>
        <v>10</v>
      </c>
      <c r="F1381">
        <v>68.223399999999998</v>
      </c>
      <c r="G1381">
        <v>69.240499999999997</v>
      </c>
      <c r="H1381">
        <v>68.145099999999999</v>
      </c>
      <c r="I1381">
        <v>68.145099999999999</v>
      </c>
      <c r="J1381">
        <v>61216</v>
      </c>
      <c r="K1381">
        <v>-2.2702</v>
      </c>
      <c r="L1381">
        <v>1.6073</v>
      </c>
    </row>
    <row r="1382" spans="1:12" x14ac:dyDescent="0.25">
      <c r="A1382">
        <v>2303</v>
      </c>
      <c r="B1382" t="s">
        <v>10</v>
      </c>
      <c r="C1382" s="1">
        <v>41193</v>
      </c>
      <c r="D1382" s="2">
        <f t="shared" si="42"/>
        <v>4</v>
      </c>
      <c r="E1382" s="2">
        <f t="shared" si="43"/>
        <v>10</v>
      </c>
      <c r="F1382">
        <v>9.0132999999999992</v>
      </c>
      <c r="G1382">
        <v>9.0516000000000005</v>
      </c>
      <c r="H1382">
        <v>8.9748999999999999</v>
      </c>
      <c r="I1382">
        <v>8.9748999999999999</v>
      </c>
      <c r="J1382">
        <v>16409</v>
      </c>
      <c r="K1382">
        <v>-1.6950000000000001</v>
      </c>
      <c r="L1382">
        <v>0.85470000000000002</v>
      </c>
    </row>
    <row r="1383" spans="1:12" hidden="1" x14ac:dyDescent="0.25">
      <c r="A1383">
        <v>2330</v>
      </c>
      <c r="B1383" t="s">
        <v>11</v>
      </c>
      <c r="C1383" s="1">
        <v>41193</v>
      </c>
      <c r="D1383" s="2">
        <f t="shared" si="42"/>
        <v>4</v>
      </c>
      <c r="E1383" s="2">
        <f t="shared" si="43"/>
        <v>10</v>
      </c>
      <c r="F1383">
        <v>66.580399999999997</v>
      </c>
      <c r="G1383">
        <v>67.049800000000005</v>
      </c>
      <c r="H1383">
        <v>66.345699999999994</v>
      </c>
      <c r="I1383">
        <v>66.893299999999996</v>
      </c>
      <c r="J1383">
        <v>77901</v>
      </c>
      <c r="K1383">
        <v>-1.8541000000000001</v>
      </c>
      <c r="L1383">
        <v>1.0612999999999999</v>
      </c>
    </row>
    <row r="1384" spans="1:12" x14ac:dyDescent="0.25">
      <c r="A1384">
        <v>2303</v>
      </c>
      <c r="B1384" t="s">
        <v>10</v>
      </c>
      <c r="C1384" s="1">
        <v>41194</v>
      </c>
      <c r="D1384" s="2">
        <f t="shared" si="42"/>
        <v>5</v>
      </c>
      <c r="E1384" s="2">
        <f t="shared" si="43"/>
        <v>10</v>
      </c>
      <c r="F1384">
        <v>8.9748999999999999</v>
      </c>
      <c r="G1384">
        <v>9.0516000000000005</v>
      </c>
      <c r="H1384">
        <v>8.8981999999999992</v>
      </c>
      <c r="I1384">
        <v>8.9366000000000003</v>
      </c>
      <c r="J1384">
        <v>35111</v>
      </c>
      <c r="K1384">
        <v>-0.42830000000000001</v>
      </c>
      <c r="L1384">
        <v>1.7241</v>
      </c>
    </row>
    <row r="1385" spans="1:12" hidden="1" x14ac:dyDescent="0.25">
      <c r="A1385">
        <v>2330</v>
      </c>
      <c r="B1385" t="s">
        <v>11</v>
      </c>
      <c r="C1385" s="1">
        <v>41194</v>
      </c>
      <c r="D1385" s="2">
        <f t="shared" si="42"/>
        <v>5</v>
      </c>
      <c r="E1385" s="2">
        <f t="shared" si="43"/>
        <v>10</v>
      </c>
      <c r="F1385">
        <v>66.971599999999995</v>
      </c>
      <c r="G1385">
        <v>67.519199999999998</v>
      </c>
      <c r="H1385">
        <v>66.736800000000002</v>
      </c>
      <c r="I1385">
        <v>67.519199999999998</v>
      </c>
      <c r="J1385">
        <v>24739</v>
      </c>
      <c r="K1385">
        <v>0.93130000000000002</v>
      </c>
      <c r="L1385">
        <v>1.1722999999999999</v>
      </c>
    </row>
    <row r="1386" spans="1:12" x14ac:dyDescent="0.25">
      <c r="A1386">
        <v>2303</v>
      </c>
      <c r="B1386" t="s">
        <v>10</v>
      </c>
      <c r="C1386" s="1">
        <v>41197</v>
      </c>
      <c r="D1386" s="2">
        <f t="shared" si="42"/>
        <v>1</v>
      </c>
      <c r="E1386" s="2">
        <f t="shared" si="43"/>
        <v>10</v>
      </c>
      <c r="F1386">
        <v>8.9366000000000003</v>
      </c>
      <c r="G1386">
        <v>8.9366000000000003</v>
      </c>
      <c r="H1386">
        <v>8.7064000000000004</v>
      </c>
      <c r="I1386">
        <v>8.7447999999999997</v>
      </c>
      <c r="J1386">
        <v>37736</v>
      </c>
      <c r="K1386">
        <v>-2.1692999999999998</v>
      </c>
      <c r="L1386">
        <v>2.6432000000000002</v>
      </c>
    </row>
    <row r="1387" spans="1:12" hidden="1" x14ac:dyDescent="0.25">
      <c r="A1387">
        <v>2330</v>
      </c>
      <c r="B1387" t="s">
        <v>11</v>
      </c>
      <c r="C1387" s="1">
        <v>41197</v>
      </c>
      <c r="D1387" s="2">
        <f t="shared" si="42"/>
        <v>1</v>
      </c>
      <c r="E1387" s="2">
        <f t="shared" si="43"/>
        <v>10</v>
      </c>
      <c r="F1387">
        <v>67.362700000000004</v>
      </c>
      <c r="G1387">
        <v>67.597499999999997</v>
      </c>
      <c r="H1387">
        <v>66.815100000000001</v>
      </c>
      <c r="I1387">
        <v>67.597499999999997</v>
      </c>
      <c r="J1387">
        <v>19652</v>
      </c>
      <c r="K1387">
        <v>0.1158</v>
      </c>
      <c r="L1387">
        <v>1.171</v>
      </c>
    </row>
    <row r="1388" spans="1:12" x14ac:dyDescent="0.25">
      <c r="A1388">
        <v>2303</v>
      </c>
      <c r="B1388" t="s">
        <v>10</v>
      </c>
      <c r="C1388" s="1">
        <v>41198</v>
      </c>
      <c r="D1388" s="2">
        <f t="shared" si="42"/>
        <v>2</v>
      </c>
      <c r="E1388" s="2">
        <f t="shared" si="43"/>
        <v>10</v>
      </c>
      <c r="F1388">
        <v>8.7830999999999992</v>
      </c>
      <c r="G1388">
        <v>8.8215000000000003</v>
      </c>
      <c r="H1388">
        <v>8.6681000000000008</v>
      </c>
      <c r="I1388">
        <v>8.7447999999999997</v>
      </c>
      <c r="J1388">
        <v>33550</v>
      </c>
      <c r="K1388">
        <v>0</v>
      </c>
      <c r="L1388">
        <v>1.7699</v>
      </c>
    </row>
    <row r="1389" spans="1:12" hidden="1" x14ac:dyDescent="0.25">
      <c r="A1389">
        <v>2330</v>
      </c>
      <c r="B1389" t="s">
        <v>11</v>
      </c>
      <c r="C1389" s="1">
        <v>41198</v>
      </c>
      <c r="D1389" s="2">
        <f t="shared" si="42"/>
        <v>2</v>
      </c>
      <c r="E1389" s="2">
        <f t="shared" si="43"/>
        <v>10</v>
      </c>
      <c r="F1389">
        <v>67.8322</v>
      </c>
      <c r="G1389">
        <v>68.458100000000002</v>
      </c>
      <c r="H1389">
        <v>67.8322</v>
      </c>
      <c r="I1389">
        <v>68.458100000000002</v>
      </c>
      <c r="J1389">
        <v>29927</v>
      </c>
      <c r="K1389">
        <v>1.2650999999999999</v>
      </c>
      <c r="L1389">
        <v>0.92269999999999996</v>
      </c>
    </row>
    <row r="1390" spans="1:12" x14ac:dyDescent="0.25">
      <c r="A1390">
        <v>2303</v>
      </c>
      <c r="B1390" t="s">
        <v>10</v>
      </c>
      <c r="C1390" s="1">
        <v>41199</v>
      </c>
      <c r="D1390" s="2">
        <f t="shared" si="42"/>
        <v>3</v>
      </c>
      <c r="E1390" s="2">
        <f t="shared" si="43"/>
        <v>10</v>
      </c>
      <c r="F1390">
        <v>8.8215000000000003</v>
      </c>
      <c r="G1390">
        <v>8.8597999999999999</v>
      </c>
      <c r="H1390">
        <v>8.7064000000000004</v>
      </c>
      <c r="I1390">
        <v>8.7447999999999997</v>
      </c>
      <c r="J1390">
        <v>22328</v>
      </c>
      <c r="K1390">
        <v>0</v>
      </c>
      <c r="L1390">
        <v>1.7621</v>
      </c>
    </row>
    <row r="1391" spans="1:12" hidden="1" x14ac:dyDescent="0.25">
      <c r="A1391">
        <v>2330</v>
      </c>
      <c r="B1391" t="s">
        <v>11</v>
      </c>
      <c r="C1391" s="1">
        <v>41199</v>
      </c>
      <c r="D1391" s="2">
        <f t="shared" si="42"/>
        <v>3</v>
      </c>
      <c r="E1391" s="2">
        <f t="shared" si="43"/>
        <v>10</v>
      </c>
      <c r="F1391">
        <v>68.692800000000005</v>
      </c>
      <c r="G1391">
        <v>68.849299999999999</v>
      </c>
      <c r="H1391">
        <v>67.675700000000006</v>
      </c>
      <c r="I1391">
        <v>68.379800000000003</v>
      </c>
      <c r="J1391">
        <v>35886</v>
      </c>
      <c r="K1391">
        <v>-0.1144</v>
      </c>
      <c r="L1391">
        <v>1.7341</v>
      </c>
    </row>
    <row r="1392" spans="1:12" x14ac:dyDescent="0.25">
      <c r="A1392">
        <v>2303</v>
      </c>
      <c r="B1392" t="s">
        <v>10</v>
      </c>
      <c r="C1392" s="1">
        <v>41200</v>
      </c>
      <c r="D1392" s="2">
        <f t="shared" si="42"/>
        <v>4</v>
      </c>
      <c r="E1392" s="2">
        <f t="shared" si="43"/>
        <v>10</v>
      </c>
      <c r="F1392">
        <v>8.7447999999999997</v>
      </c>
      <c r="G1392">
        <v>8.8215000000000003</v>
      </c>
      <c r="H1392">
        <v>8.6296999999999997</v>
      </c>
      <c r="I1392">
        <v>8.6681000000000008</v>
      </c>
      <c r="J1392">
        <v>24310</v>
      </c>
      <c r="K1392">
        <v>-0.88109999999999999</v>
      </c>
      <c r="L1392">
        <v>2.2222</v>
      </c>
    </row>
    <row r="1393" spans="1:12" hidden="1" x14ac:dyDescent="0.25">
      <c r="A1393">
        <v>2330</v>
      </c>
      <c r="B1393" t="s">
        <v>11</v>
      </c>
      <c r="C1393" s="1">
        <v>41200</v>
      </c>
      <c r="D1393" s="2">
        <f t="shared" si="42"/>
        <v>4</v>
      </c>
      <c r="E1393" s="2">
        <f t="shared" si="43"/>
        <v>10</v>
      </c>
      <c r="F1393">
        <v>68.066900000000004</v>
      </c>
      <c r="G1393">
        <v>69.005700000000004</v>
      </c>
      <c r="H1393">
        <v>68.066900000000004</v>
      </c>
      <c r="I1393">
        <v>68.927499999999995</v>
      </c>
      <c r="J1393">
        <v>23090</v>
      </c>
      <c r="K1393">
        <v>0.79769999999999996</v>
      </c>
      <c r="L1393">
        <v>1.3793</v>
      </c>
    </row>
    <row r="1394" spans="1:12" x14ac:dyDescent="0.25">
      <c r="A1394">
        <v>2303</v>
      </c>
      <c r="B1394" t="s">
        <v>10</v>
      </c>
      <c r="C1394" s="1">
        <v>41201</v>
      </c>
      <c r="D1394" s="2">
        <f t="shared" si="42"/>
        <v>5</v>
      </c>
      <c r="E1394" s="2">
        <f t="shared" si="43"/>
        <v>10</v>
      </c>
      <c r="F1394">
        <v>8.6296999999999997</v>
      </c>
      <c r="G1394">
        <v>8.6681000000000008</v>
      </c>
      <c r="H1394">
        <v>8.5146999999999995</v>
      </c>
      <c r="I1394">
        <v>8.5530000000000008</v>
      </c>
      <c r="J1394">
        <v>33202</v>
      </c>
      <c r="K1394">
        <v>-1.3363</v>
      </c>
      <c r="L1394">
        <v>1.8018000000000001</v>
      </c>
    </row>
    <row r="1395" spans="1:12" hidden="1" x14ac:dyDescent="0.25">
      <c r="A1395">
        <v>2330</v>
      </c>
      <c r="B1395" t="s">
        <v>11</v>
      </c>
      <c r="C1395" s="1">
        <v>41201</v>
      </c>
      <c r="D1395" s="2">
        <f t="shared" si="42"/>
        <v>5</v>
      </c>
      <c r="E1395" s="2">
        <f t="shared" si="43"/>
        <v>10</v>
      </c>
      <c r="F1395">
        <v>67.441000000000003</v>
      </c>
      <c r="G1395">
        <v>68.301599999999993</v>
      </c>
      <c r="H1395">
        <v>67.441000000000003</v>
      </c>
      <c r="I1395">
        <v>67.8322</v>
      </c>
      <c r="J1395">
        <v>27673</v>
      </c>
      <c r="K1395">
        <v>-1.6019000000000001</v>
      </c>
      <c r="L1395">
        <v>1.2761</v>
      </c>
    </row>
    <row r="1396" spans="1:12" x14ac:dyDescent="0.25">
      <c r="A1396">
        <v>2303</v>
      </c>
      <c r="B1396" t="s">
        <v>10</v>
      </c>
      <c r="C1396" s="1">
        <v>41204</v>
      </c>
      <c r="D1396" s="2">
        <f t="shared" si="42"/>
        <v>1</v>
      </c>
      <c r="E1396" s="2">
        <f t="shared" si="43"/>
        <v>10</v>
      </c>
      <c r="F1396">
        <v>8.4379000000000008</v>
      </c>
      <c r="G1396">
        <v>8.5530000000000008</v>
      </c>
      <c r="H1396">
        <v>8.3995999999999995</v>
      </c>
      <c r="I1396">
        <v>8.5530000000000008</v>
      </c>
      <c r="J1396">
        <v>21999</v>
      </c>
      <c r="K1396">
        <v>0</v>
      </c>
      <c r="L1396">
        <v>1.8265</v>
      </c>
    </row>
    <row r="1397" spans="1:12" hidden="1" x14ac:dyDescent="0.25">
      <c r="A1397">
        <v>2330</v>
      </c>
      <c r="B1397" t="s">
        <v>11</v>
      </c>
      <c r="C1397" s="1">
        <v>41204</v>
      </c>
      <c r="D1397" s="2">
        <f t="shared" si="42"/>
        <v>1</v>
      </c>
      <c r="E1397" s="2">
        <f t="shared" si="43"/>
        <v>10</v>
      </c>
      <c r="F1397">
        <v>67.519199999999998</v>
      </c>
      <c r="G1397">
        <v>67.519199999999998</v>
      </c>
      <c r="H1397">
        <v>66.971599999999995</v>
      </c>
      <c r="I1397">
        <v>67.284499999999994</v>
      </c>
      <c r="J1397">
        <v>21235</v>
      </c>
      <c r="K1397">
        <v>-0.81069999999999998</v>
      </c>
      <c r="L1397">
        <v>0.81779999999999997</v>
      </c>
    </row>
    <row r="1398" spans="1:12" x14ac:dyDescent="0.25">
      <c r="A1398">
        <v>2303</v>
      </c>
      <c r="B1398" t="s">
        <v>10</v>
      </c>
      <c r="C1398" s="1">
        <v>41205</v>
      </c>
      <c r="D1398" s="2">
        <f t="shared" si="42"/>
        <v>2</v>
      </c>
      <c r="E1398" s="2">
        <f t="shared" si="43"/>
        <v>10</v>
      </c>
      <c r="F1398">
        <v>8.5146999999999995</v>
      </c>
      <c r="G1398">
        <v>8.5530000000000008</v>
      </c>
      <c r="H1398">
        <v>8.4379000000000008</v>
      </c>
      <c r="I1398">
        <v>8.4763000000000002</v>
      </c>
      <c r="J1398">
        <v>18121</v>
      </c>
      <c r="K1398">
        <v>-0.90090000000000003</v>
      </c>
      <c r="L1398">
        <v>1.3635999999999999</v>
      </c>
    </row>
    <row r="1399" spans="1:12" hidden="1" x14ac:dyDescent="0.25">
      <c r="A1399">
        <v>2330</v>
      </c>
      <c r="B1399" t="s">
        <v>11</v>
      </c>
      <c r="C1399" s="1">
        <v>41205</v>
      </c>
      <c r="D1399" s="2">
        <f t="shared" si="42"/>
        <v>2</v>
      </c>
      <c r="E1399" s="2">
        <f t="shared" si="43"/>
        <v>10</v>
      </c>
      <c r="F1399">
        <v>67.206299999999999</v>
      </c>
      <c r="G1399">
        <v>67.519199999999998</v>
      </c>
      <c r="H1399">
        <v>66.971599999999995</v>
      </c>
      <c r="I1399">
        <v>67.049800000000005</v>
      </c>
      <c r="J1399">
        <v>16192</v>
      </c>
      <c r="K1399">
        <v>-0.34939999999999999</v>
      </c>
      <c r="L1399">
        <v>0.81779999999999997</v>
      </c>
    </row>
    <row r="1400" spans="1:12" x14ac:dyDescent="0.25">
      <c r="A1400">
        <v>2303</v>
      </c>
      <c r="B1400" t="s">
        <v>10</v>
      </c>
      <c r="C1400" s="1">
        <v>41206</v>
      </c>
      <c r="D1400" s="2">
        <f t="shared" si="42"/>
        <v>3</v>
      </c>
      <c r="E1400" s="2">
        <f t="shared" si="43"/>
        <v>10</v>
      </c>
      <c r="F1400">
        <v>8.3995999999999995</v>
      </c>
      <c r="G1400">
        <v>8.6296999999999997</v>
      </c>
      <c r="H1400">
        <v>8.3612000000000002</v>
      </c>
      <c r="I1400">
        <v>8.5530000000000008</v>
      </c>
      <c r="J1400">
        <v>17733</v>
      </c>
      <c r="K1400">
        <v>0.90090000000000003</v>
      </c>
      <c r="L1400">
        <v>3.2109999999999999</v>
      </c>
    </row>
    <row r="1401" spans="1:12" hidden="1" x14ac:dyDescent="0.25">
      <c r="A1401">
        <v>2330</v>
      </c>
      <c r="B1401" t="s">
        <v>11</v>
      </c>
      <c r="C1401" s="1">
        <v>41206</v>
      </c>
      <c r="D1401" s="2">
        <f t="shared" si="42"/>
        <v>3</v>
      </c>
      <c r="E1401" s="2">
        <f t="shared" si="43"/>
        <v>10</v>
      </c>
      <c r="F1401">
        <v>66.580399999999997</v>
      </c>
      <c r="G1401">
        <v>67.597499999999997</v>
      </c>
      <c r="H1401">
        <v>66.580399999999997</v>
      </c>
      <c r="I1401">
        <v>66.815100000000001</v>
      </c>
      <c r="J1401">
        <v>30208</v>
      </c>
      <c r="K1401">
        <v>-0.35070000000000001</v>
      </c>
      <c r="L1401">
        <v>1.5276000000000001</v>
      </c>
    </row>
    <row r="1402" spans="1:12" x14ac:dyDescent="0.25">
      <c r="A1402">
        <v>2303</v>
      </c>
      <c r="B1402" t="s">
        <v>10</v>
      </c>
      <c r="C1402" s="1">
        <v>41207</v>
      </c>
      <c r="D1402" s="2">
        <f t="shared" si="42"/>
        <v>4</v>
      </c>
      <c r="E1402" s="2">
        <f t="shared" si="43"/>
        <v>10</v>
      </c>
      <c r="F1402">
        <v>8.5530000000000008</v>
      </c>
      <c r="G1402">
        <v>8.7064000000000004</v>
      </c>
      <c r="H1402">
        <v>8.5146999999999995</v>
      </c>
      <c r="I1402">
        <v>8.6296999999999997</v>
      </c>
      <c r="J1402">
        <v>19143</v>
      </c>
      <c r="K1402">
        <v>0.89290000000000003</v>
      </c>
      <c r="L1402">
        <v>2.2523</v>
      </c>
    </row>
    <row r="1403" spans="1:12" hidden="1" x14ac:dyDescent="0.25">
      <c r="A1403">
        <v>2330</v>
      </c>
      <c r="B1403" t="s">
        <v>11</v>
      </c>
      <c r="C1403" s="1">
        <v>41207</v>
      </c>
      <c r="D1403" s="2">
        <f t="shared" si="42"/>
        <v>4</v>
      </c>
      <c r="E1403" s="2">
        <f t="shared" si="43"/>
        <v>10</v>
      </c>
      <c r="F1403">
        <v>66.815100000000001</v>
      </c>
      <c r="G1403">
        <v>66.971599999999995</v>
      </c>
      <c r="H1403">
        <v>66.110900000000001</v>
      </c>
      <c r="I1403">
        <v>66.345699999999994</v>
      </c>
      <c r="J1403">
        <v>39418</v>
      </c>
      <c r="K1403">
        <v>-0.70509999999999995</v>
      </c>
      <c r="L1403">
        <v>1.3018000000000001</v>
      </c>
    </row>
    <row r="1404" spans="1:12" x14ac:dyDescent="0.25">
      <c r="A1404">
        <v>2303</v>
      </c>
      <c r="B1404" t="s">
        <v>10</v>
      </c>
      <c r="C1404" s="1">
        <v>41208</v>
      </c>
      <c r="D1404" s="2">
        <f t="shared" si="42"/>
        <v>5</v>
      </c>
      <c r="E1404" s="2">
        <f t="shared" si="43"/>
        <v>10</v>
      </c>
      <c r="F1404">
        <v>8.7064000000000004</v>
      </c>
      <c r="G1404">
        <v>8.7064000000000004</v>
      </c>
      <c r="H1404">
        <v>8.3612000000000002</v>
      </c>
      <c r="I1404">
        <v>8.3995999999999995</v>
      </c>
      <c r="J1404">
        <v>22351</v>
      </c>
      <c r="K1404">
        <v>-2.7029000000000001</v>
      </c>
      <c r="L1404">
        <v>4.1284000000000001</v>
      </c>
    </row>
    <row r="1405" spans="1:12" hidden="1" x14ac:dyDescent="0.25">
      <c r="A1405">
        <v>2330</v>
      </c>
      <c r="B1405" t="s">
        <v>11</v>
      </c>
      <c r="C1405" s="1">
        <v>41208</v>
      </c>
      <c r="D1405" s="2">
        <f t="shared" si="42"/>
        <v>5</v>
      </c>
      <c r="E1405" s="2">
        <f t="shared" si="43"/>
        <v>10</v>
      </c>
      <c r="F1405">
        <v>67.675700000000006</v>
      </c>
      <c r="G1405">
        <v>69.084000000000003</v>
      </c>
      <c r="H1405">
        <v>67.519199999999998</v>
      </c>
      <c r="I1405">
        <v>68.301599999999993</v>
      </c>
      <c r="J1405">
        <v>68297</v>
      </c>
      <c r="K1405">
        <v>2.9055</v>
      </c>
      <c r="L1405">
        <v>2.3174999999999999</v>
      </c>
    </row>
    <row r="1406" spans="1:12" x14ac:dyDescent="0.25">
      <c r="A1406">
        <v>2303</v>
      </c>
      <c r="B1406" t="s">
        <v>10</v>
      </c>
      <c r="C1406" s="1">
        <v>41211</v>
      </c>
      <c r="D1406" s="2">
        <f t="shared" si="42"/>
        <v>1</v>
      </c>
      <c r="E1406" s="2">
        <f t="shared" si="43"/>
        <v>10</v>
      </c>
      <c r="F1406">
        <v>8.3995999999999995</v>
      </c>
      <c r="G1406">
        <v>8.4379000000000008</v>
      </c>
      <c r="H1406">
        <v>8.3229000000000006</v>
      </c>
      <c r="I1406">
        <v>8.3229000000000006</v>
      </c>
      <c r="J1406">
        <v>15280</v>
      </c>
      <c r="K1406">
        <v>-0.91739999999999999</v>
      </c>
      <c r="L1406">
        <v>1.3825000000000001</v>
      </c>
    </row>
    <row r="1407" spans="1:12" hidden="1" x14ac:dyDescent="0.25">
      <c r="A1407">
        <v>2330</v>
      </c>
      <c r="B1407" t="s">
        <v>11</v>
      </c>
      <c r="C1407" s="1">
        <v>41211</v>
      </c>
      <c r="D1407" s="2">
        <f t="shared" si="42"/>
        <v>1</v>
      </c>
      <c r="E1407" s="2">
        <f t="shared" si="43"/>
        <v>10</v>
      </c>
      <c r="F1407">
        <v>69.084000000000003</v>
      </c>
      <c r="G1407">
        <v>69.709900000000005</v>
      </c>
      <c r="H1407">
        <v>68.536299999999997</v>
      </c>
      <c r="I1407">
        <v>68.927499999999995</v>
      </c>
      <c r="J1407">
        <v>37746</v>
      </c>
      <c r="K1407">
        <v>0.91220000000000001</v>
      </c>
      <c r="L1407">
        <v>1.7122999999999999</v>
      </c>
    </row>
    <row r="1408" spans="1:12" x14ac:dyDescent="0.25">
      <c r="A1408">
        <v>2303</v>
      </c>
      <c r="B1408" t="s">
        <v>10</v>
      </c>
      <c r="C1408" s="1">
        <v>41212</v>
      </c>
      <c r="D1408" s="2">
        <f t="shared" si="42"/>
        <v>2</v>
      </c>
      <c r="E1408" s="2">
        <f t="shared" si="43"/>
        <v>10</v>
      </c>
      <c r="F1408">
        <v>8.3612000000000002</v>
      </c>
      <c r="G1408">
        <v>8.4763000000000002</v>
      </c>
      <c r="H1408">
        <v>8.3612000000000002</v>
      </c>
      <c r="I1408">
        <v>8.4379000000000008</v>
      </c>
      <c r="J1408">
        <v>18181</v>
      </c>
      <c r="K1408">
        <v>1.373</v>
      </c>
      <c r="L1408">
        <v>1.3761000000000001</v>
      </c>
    </row>
    <row r="1409" spans="1:12" hidden="1" x14ac:dyDescent="0.25">
      <c r="A1409">
        <v>2330</v>
      </c>
      <c r="B1409" t="s">
        <v>11</v>
      </c>
      <c r="C1409" s="1">
        <v>41212</v>
      </c>
      <c r="D1409" s="2">
        <f t="shared" si="42"/>
        <v>2</v>
      </c>
      <c r="E1409" s="2">
        <f t="shared" si="43"/>
        <v>10</v>
      </c>
      <c r="F1409">
        <v>69.475200000000001</v>
      </c>
      <c r="G1409">
        <v>69.631600000000006</v>
      </c>
      <c r="H1409">
        <v>68.614599999999996</v>
      </c>
      <c r="I1409">
        <v>68.849299999999999</v>
      </c>
      <c r="J1409">
        <v>30349</v>
      </c>
      <c r="K1409">
        <v>-0.11360000000000001</v>
      </c>
      <c r="L1409">
        <v>1.4823</v>
      </c>
    </row>
    <row r="1410" spans="1:12" x14ac:dyDescent="0.25">
      <c r="A1410">
        <v>2303</v>
      </c>
      <c r="B1410" t="s">
        <v>10</v>
      </c>
      <c r="C1410" s="1">
        <v>41213</v>
      </c>
      <c r="D1410" s="2">
        <f t="shared" si="42"/>
        <v>3</v>
      </c>
      <c r="E1410" s="2">
        <f t="shared" si="43"/>
        <v>10</v>
      </c>
      <c r="F1410">
        <v>8.4763000000000002</v>
      </c>
      <c r="G1410">
        <v>8.4763000000000002</v>
      </c>
      <c r="H1410">
        <v>8.3229000000000006</v>
      </c>
      <c r="I1410">
        <v>8.3229000000000006</v>
      </c>
      <c r="J1410">
        <v>17618</v>
      </c>
      <c r="K1410">
        <v>-1.373</v>
      </c>
      <c r="L1410">
        <v>1.8432999999999999</v>
      </c>
    </row>
    <row r="1411" spans="1:12" hidden="1" x14ac:dyDescent="0.25">
      <c r="A1411">
        <v>2330</v>
      </c>
      <c r="B1411" t="s">
        <v>11</v>
      </c>
      <c r="C1411" s="1">
        <v>41213</v>
      </c>
      <c r="D1411" s="2">
        <f t="shared" ref="D1411:D1474" si="44">WEEKDAY(C1411,2)</f>
        <v>3</v>
      </c>
      <c r="E1411" s="2">
        <f t="shared" ref="E1411:E1474" si="45">MONTH(C1411)</f>
        <v>10</v>
      </c>
      <c r="F1411">
        <v>68.849299999999999</v>
      </c>
      <c r="G1411">
        <v>69.475200000000001</v>
      </c>
      <c r="H1411">
        <v>68.771000000000001</v>
      </c>
      <c r="I1411">
        <v>69.396900000000002</v>
      </c>
      <c r="J1411">
        <v>26035</v>
      </c>
      <c r="K1411">
        <v>0.7923</v>
      </c>
      <c r="L1411">
        <v>1.0239</v>
      </c>
    </row>
    <row r="1412" spans="1:12" x14ac:dyDescent="0.25">
      <c r="A1412">
        <v>2303</v>
      </c>
      <c r="B1412" t="s">
        <v>10</v>
      </c>
      <c r="C1412" s="1">
        <v>41214</v>
      </c>
      <c r="D1412" s="2">
        <f t="shared" si="44"/>
        <v>4</v>
      </c>
      <c r="E1412" s="2">
        <f t="shared" si="45"/>
        <v>11</v>
      </c>
      <c r="F1412">
        <v>8.3229000000000006</v>
      </c>
      <c r="G1412">
        <v>8.3229000000000006</v>
      </c>
      <c r="H1412">
        <v>8.0543999999999993</v>
      </c>
      <c r="I1412">
        <v>8.0928000000000004</v>
      </c>
      <c r="J1412">
        <v>41848</v>
      </c>
      <c r="K1412">
        <v>-2.8039000000000001</v>
      </c>
      <c r="L1412">
        <v>3.3332999999999999</v>
      </c>
    </row>
    <row r="1413" spans="1:12" hidden="1" x14ac:dyDescent="0.25">
      <c r="A1413">
        <v>2330</v>
      </c>
      <c r="B1413" t="s">
        <v>11</v>
      </c>
      <c r="C1413" s="1">
        <v>41214</v>
      </c>
      <c r="D1413" s="2">
        <f t="shared" si="44"/>
        <v>4</v>
      </c>
      <c r="E1413" s="2">
        <f t="shared" si="45"/>
        <v>11</v>
      </c>
      <c r="F1413">
        <v>69.318700000000007</v>
      </c>
      <c r="G1413">
        <v>69.7881</v>
      </c>
      <c r="H1413">
        <v>68.614599999999996</v>
      </c>
      <c r="I1413">
        <v>69.7881</v>
      </c>
      <c r="J1413">
        <v>36018</v>
      </c>
      <c r="K1413">
        <v>0.56210000000000004</v>
      </c>
      <c r="L1413">
        <v>1.7103999999999999</v>
      </c>
    </row>
    <row r="1414" spans="1:12" x14ac:dyDescent="0.25">
      <c r="A1414">
        <v>2303</v>
      </c>
      <c r="B1414" t="s">
        <v>10</v>
      </c>
      <c r="C1414" s="1">
        <v>41215</v>
      </c>
      <c r="D1414" s="2">
        <f t="shared" si="44"/>
        <v>5</v>
      </c>
      <c r="E1414" s="2">
        <f t="shared" si="45"/>
        <v>11</v>
      </c>
      <c r="F1414">
        <v>8.1694999999999993</v>
      </c>
      <c r="G1414">
        <v>8.2844999999999995</v>
      </c>
      <c r="H1414">
        <v>8.0928000000000004</v>
      </c>
      <c r="I1414">
        <v>8.1311</v>
      </c>
      <c r="J1414">
        <v>29377</v>
      </c>
      <c r="K1414">
        <v>0.4728</v>
      </c>
      <c r="L1414">
        <v>2.3696999999999999</v>
      </c>
    </row>
    <row r="1415" spans="1:12" hidden="1" x14ac:dyDescent="0.25">
      <c r="A1415">
        <v>2330</v>
      </c>
      <c r="B1415" t="s">
        <v>11</v>
      </c>
      <c r="C1415" s="1">
        <v>41215</v>
      </c>
      <c r="D1415" s="2">
        <f t="shared" si="44"/>
        <v>5</v>
      </c>
      <c r="E1415" s="2">
        <f t="shared" si="45"/>
        <v>11</v>
      </c>
      <c r="F1415">
        <v>70.414000000000001</v>
      </c>
      <c r="G1415">
        <v>70.4923</v>
      </c>
      <c r="H1415">
        <v>70.022800000000004</v>
      </c>
      <c r="I1415">
        <v>70.335800000000006</v>
      </c>
      <c r="J1415">
        <v>39106</v>
      </c>
      <c r="K1415">
        <v>0.78169999999999995</v>
      </c>
      <c r="L1415">
        <v>0.6704</v>
      </c>
    </row>
    <row r="1416" spans="1:12" x14ac:dyDescent="0.25">
      <c r="A1416">
        <v>2303</v>
      </c>
      <c r="B1416" t="s">
        <v>10</v>
      </c>
      <c r="C1416" s="1">
        <v>41218</v>
      </c>
      <c r="D1416" s="2">
        <f t="shared" si="44"/>
        <v>1</v>
      </c>
      <c r="E1416" s="2">
        <f t="shared" si="45"/>
        <v>11</v>
      </c>
      <c r="F1416">
        <v>8.0928000000000004</v>
      </c>
      <c r="G1416">
        <v>8.1694999999999993</v>
      </c>
      <c r="H1416">
        <v>8.0543999999999993</v>
      </c>
      <c r="I1416">
        <v>8.0928000000000004</v>
      </c>
      <c r="J1416">
        <v>19478</v>
      </c>
      <c r="K1416">
        <v>-0.4728</v>
      </c>
      <c r="L1416">
        <v>1.4286000000000001</v>
      </c>
    </row>
    <row r="1417" spans="1:12" hidden="1" x14ac:dyDescent="0.25">
      <c r="A1417">
        <v>2330</v>
      </c>
      <c r="B1417" t="s">
        <v>11</v>
      </c>
      <c r="C1417" s="1">
        <v>41218</v>
      </c>
      <c r="D1417" s="2">
        <f t="shared" si="44"/>
        <v>1</v>
      </c>
      <c r="E1417" s="2">
        <f t="shared" si="45"/>
        <v>11</v>
      </c>
      <c r="F1417">
        <v>70.335800000000006</v>
      </c>
      <c r="G1417">
        <v>70.648700000000005</v>
      </c>
      <c r="H1417">
        <v>69.475200000000001</v>
      </c>
      <c r="I1417">
        <v>70.648700000000005</v>
      </c>
      <c r="J1417">
        <v>31496</v>
      </c>
      <c r="K1417">
        <v>0.44400000000000001</v>
      </c>
      <c r="L1417">
        <v>1.6892</v>
      </c>
    </row>
    <row r="1418" spans="1:12" x14ac:dyDescent="0.25">
      <c r="A1418">
        <v>2303</v>
      </c>
      <c r="B1418" t="s">
        <v>10</v>
      </c>
      <c r="C1418" s="1">
        <v>41219</v>
      </c>
      <c r="D1418" s="2">
        <f t="shared" si="44"/>
        <v>2</v>
      </c>
      <c r="E1418" s="2">
        <f t="shared" si="45"/>
        <v>11</v>
      </c>
      <c r="F1418">
        <v>8.0543999999999993</v>
      </c>
      <c r="G1418">
        <v>8.0928000000000004</v>
      </c>
      <c r="H1418">
        <v>7.9776999999999996</v>
      </c>
      <c r="I1418">
        <v>8.0928000000000004</v>
      </c>
      <c r="J1418">
        <v>38572</v>
      </c>
      <c r="K1418">
        <v>0</v>
      </c>
      <c r="L1418">
        <v>1.4422999999999999</v>
      </c>
    </row>
    <row r="1419" spans="1:12" hidden="1" x14ac:dyDescent="0.25">
      <c r="A1419">
        <v>2330</v>
      </c>
      <c r="B1419" t="s">
        <v>11</v>
      </c>
      <c r="C1419" s="1">
        <v>41219</v>
      </c>
      <c r="D1419" s="2">
        <f t="shared" si="44"/>
        <v>2</v>
      </c>
      <c r="E1419" s="2">
        <f t="shared" si="45"/>
        <v>11</v>
      </c>
      <c r="F1419">
        <v>70.883399999999995</v>
      </c>
      <c r="G1419">
        <v>70.883399999999995</v>
      </c>
      <c r="H1419">
        <v>70.179299999999998</v>
      </c>
      <c r="I1419">
        <v>70.727000000000004</v>
      </c>
      <c r="J1419">
        <v>26410</v>
      </c>
      <c r="K1419">
        <v>0.11070000000000001</v>
      </c>
      <c r="L1419">
        <v>1.0033000000000001</v>
      </c>
    </row>
    <row r="1420" spans="1:12" x14ac:dyDescent="0.25">
      <c r="A1420">
        <v>2303</v>
      </c>
      <c r="B1420" t="s">
        <v>10</v>
      </c>
      <c r="C1420" s="1">
        <v>41220</v>
      </c>
      <c r="D1420" s="2">
        <f t="shared" si="44"/>
        <v>3</v>
      </c>
      <c r="E1420" s="2">
        <f t="shared" si="45"/>
        <v>11</v>
      </c>
      <c r="F1420">
        <v>8.1311</v>
      </c>
      <c r="G1420">
        <v>8.2078000000000007</v>
      </c>
      <c r="H1420">
        <v>8.0928000000000004</v>
      </c>
      <c r="I1420">
        <v>8.1694999999999993</v>
      </c>
      <c r="J1420">
        <v>48272</v>
      </c>
      <c r="K1420">
        <v>0.94340000000000002</v>
      </c>
      <c r="L1420">
        <v>1.4218</v>
      </c>
    </row>
    <row r="1421" spans="1:12" hidden="1" x14ac:dyDescent="0.25">
      <c r="A1421">
        <v>2330</v>
      </c>
      <c r="B1421" t="s">
        <v>11</v>
      </c>
      <c r="C1421" s="1">
        <v>41220</v>
      </c>
      <c r="D1421" s="2">
        <f t="shared" si="44"/>
        <v>3</v>
      </c>
      <c r="E1421" s="2">
        <f t="shared" si="45"/>
        <v>11</v>
      </c>
      <c r="F1421">
        <v>70.805199999999999</v>
      </c>
      <c r="G1421">
        <v>71.196399999999997</v>
      </c>
      <c r="H1421">
        <v>70.414000000000001</v>
      </c>
      <c r="I1421">
        <v>71.196399999999997</v>
      </c>
      <c r="J1421">
        <v>22104</v>
      </c>
      <c r="K1421">
        <v>0.66149999999999998</v>
      </c>
      <c r="L1421">
        <v>1.1111</v>
      </c>
    </row>
    <row r="1422" spans="1:12" x14ac:dyDescent="0.25">
      <c r="A1422">
        <v>2303</v>
      </c>
      <c r="B1422" t="s">
        <v>10</v>
      </c>
      <c r="C1422" s="1">
        <v>41221</v>
      </c>
      <c r="D1422" s="2">
        <f t="shared" si="44"/>
        <v>4</v>
      </c>
      <c r="E1422" s="2">
        <f t="shared" si="45"/>
        <v>11</v>
      </c>
      <c r="F1422">
        <v>8.0928000000000004</v>
      </c>
      <c r="G1422">
        <v>8.1694999999999993</v>
      </c>
      <c r="H1422">
        <v>8.016</v>
      </c>
      <c r="I1422">
        <v>8.1311</v>
      </c>
      <c r="J1422">
        <v>33533</v>
      </c>
      <c r="K1422">
        <v>-0.47060000000000002</v>
      </c>
      <c r="L1422">
        <v>1.9138999999999999</v>
      </c>
    </row>
    <row r="1423" spans="1:12" hidden="1" x14ac:dyDescent="0.25">
      <c r="A1423">
        <v>2330</v>
      </c>
      <c r="B1423" t="s">
        <v>11</v>
      </c>
      <c r="C1423" s="1">
        <v>41221</v>
      </c>
      <c r="D1423" s="2">
        <f t="shared" si="44"/>
        <v>4</v>
      </c>
      <c r="E1423" s="2">
        <f t="shared" si="45"/>
        <v>11</v>
      </c>
      <c r="F1423">
        <v>71.039900000000003</v>
      </c>
      <c r="G1423">
        <v>71.118200000000002</v>
      </c>
      <c r="H1423">
        <v>70.335800000000006</v>
      </c>
      <c r="I1423">
        <v>70.805199999999999</v>
      </c>
      <c r="J1423">
        <v>39982</v>
      </c>
      <c r="K1423">
        <v>-0.55100000000000005</v>
      </c>
      <c r="L1423">
        <v>1.1123000000000001</v>
      </c>
    </row>
    <row r="1424" spans="1:12" x14ac:dyDescent="0.25">
      <c r="A1424">
        <v>2303</v>
      </c>
      <c r="B1424" t="s">
        <v>10</v>
      </c>
      <c r="C1424" s="1">
        <v>41222</v>
      </c>
      <c r="D1424" s="2">
        <f t="shared" si="44"/>
        <v>5</v>
      </c>
      <c r="E1424" s="2">
        <f t="shared" si="45"/>
        <v>11</v>
      </c>
      <c r="F1424">
        <v>8.1311</v>
      </c>
      <c r="G1424">
        <v>8.3229000000000006</v>
      </c>
      <c r="H1424">
        <v>8.0543999999999993</v>
      </c>
      <c r="I1424">
        <v>8.3229000000000006</v>
      </c>
      <c r="J1424">
        <v>30295</v>
      </c>
      <c r="K1424">
        <v>2.3311000000000002</v>
      </c>
      <c r="L1424">
        <v>3.3332999999999999</v>
      </c>
    </row>
    <row r="1425" spans="1:12" hidden="1" x14ac:dyDescent="0.25">
      <c r="A1425">
        <v>2330</v>
      </c>
      <c r="B1425" t="s">
        <v>11</v>
      </c>
      <c r="C1425" s="1">
        <v>41222</v>
      </c>
      <c r="D1425" s="2">
        <f t="shared" si="44"/>
        <v>5</v>
      </c>
      <c r="E1425" s="2">
        <f t="shared" si="45"/>
        <v>11</v>
      </c>
      <c r="F1425">
        <v>70.648700000000005</v>
      </c>
      <c r="G1425">
        <v>71.118200000000002</v>
      </c>
      <c r="H1425">
        <v>70.022800000000004</v>
      </c>
      <c r="I1425">
        <v>71.039900000000003</v>
      </c>
      <c r="J1425">
        <v>38435</v>
      </c>
      <c r="K1425">
        <v>0.33090000000000003</v>
      </c>
      <c r="L1425">
        <v>1.5642</v>
      </c>
    </row>
    <row r="1426" spans="1:12" x14ac:dyDescent="0.25">
      <c r="A1426">
        <v>2303</v>
      </c>
      <c r="B1426" t="s">
        <v>10</v>
      </c>
      <c r="C1426" s="1">
        <v>41225</v>
      </c>
      <c r="D1426" s="2">
        <f t="shared" si="44"/>
        <v>1</v>
      </c>
      <c r="E1426" s="2">
        <f t="shared" si="45"/>
        <v>11</v>
      </c>
      <c r="F1426">
        <v>8.2844999999999995</v>
      </c>
      <c r="G1426">
        <v>8.2844999999999995</v>
      </c>
      <c r="H1426">
        <v>8.1311</v>
      </c>
      <c r="I1426">
        <v>8.1694999999999993</v>
      </c>
      <c r="J1426">
        <v>21962</v>
      </c>
      <c r="K1426">
        <v>-1.8605</v>
      </c>
      <c r="L1426">
        <v>1.8868</v>
      </c>
    </row>
    <row r="1427" spans="1:12" hidden="1" x14ac:dyDescent="0.25">
      <c r="A1427">
        <v>2330</v>
      </c>
      <c r="B1427" t="s">
        <v>11</v>
      </c>
      <c r="C1427" s="1">
        <v>41225</v>
      </c>
      <c r="D1427" s="2">
        <f t="shared" si="44"/>
        <v>1</v>
      </c>
      <c r="E1427" s="2">
        <f t="shared" si="45"/>
        <v>11</v>
      </c>
      <c r="F1427">
        <v>71.196399999999997</v>
      </c>
      <c r="G1427">
        <v>71.822299999999998</v>
      </c>
      <c r="H1427">
        <v>70.883399999999995</v>
      </c>
      <c r="I1427">
        <v>71.431100000000001</v>
      </c>
      <c r="J1427">
        <v>29957</v>
      </c>
      <c r="K1427">
        <v>0.54920000000000002</v>
      </c>
      <c r="L1427">
        <v>1.3245</v>
      </c>
    </row>
    <row r="1428" spans="1:12" x14ac:dyDescent="0.25">
      <c r="A1428">
        <v>2303</v>
      </c>
      <c r="B1428" t="s">
        <v>10</v>
      </c>
      <c r="C1428" s="1">
        <v>41226</v>
      </c>
      <c r="D1428" s="2">
        <f t="shared" si="44"/>
        <v>2</v>
      </c>
      <c r="E1428" s="2">
        <f t="shared" si="45"/>
        <v>11</v>
      </c>
      <c r="F1428">
        <v>8.1694999999999993</v>
      </c>
      <c r="G1428">
        <v>8.1694999999999993</v>
      </c>
      <c r="H1428">
        <v>8.016</v>
      </c>
      <c r="I1428">
        <v>8.0543999999999993</v>
      </c>
      <c r="J1428">
        <v>30735</v>
      </c>
      <c r="K1428">
        <v>-1.4185000000000001</v>
      </c>
      <c r="L1428">
        <v>1.9138999999999999</v>
      </c>
    </row>
    <row r="1429" spans="1:12" hidden="1" x14ac:dyDescent="0.25">
      <c r="A1429">
        <v>2330</v>
      </c>
      <c r="B1429" t="s">
        <v>11</v>
      </c>
      <c r="C1429" s="1">
        <v>41226</v>
      </c>
      <c r="D1429" s="2">
        <f t="shared" si="44"/>
        <v>2</v>
      </c>
      <c r="E1429" s="2">
        <f t="shared" si="45"/>
        <v>11</v>
      </c>
      <c r="F1429">
        <v>71.196399999999997</v>
      </c>
      <c r="G1429">
        <v>71.196399999999997</v>
      </c>
      <c r="H1429">
        <v>69.866399999999999</v>
      </c>
      <c r="I1429">
        <v>70.648700000000005</v>
      </c>
      <c r="J1429">
        <v>41761</v>
      </c>
      <c r="K1429">
        <v>-1.1012999999999999</v>
      </c>
      <c r="L1429">
        <v>1.9036999999999999</v>
      </c>
    </row>
    <row r="1430" spans="1:12" x14ac:dyDescent="0.25">
      <c r="A1430">
        <v>2303</v>
      </c>
      <c r="B1430" t="s">
        <v>10</v>
      </c>
      <c r="C1430" s="1">
        <v>41227</v>
      </c>
      <c r="D1430" s="2">
        <f t="shared" si="44"/>
        <v>3</v>
      </c>
      <c r="E1430" s="2">
        <f t="shared" si="45"/>
        <v>11</v>
      </c>
      <c r="F1430">
        <v>8.0543999999999993</v>
      </c>
      <c r="G1430">
        <v>8.0928000000000004</v>
      </c>
      <c r="H1430">
        <v>7.9776999999999996</v>
      </c>
      <c r="I1430">
        <v>8.0928000000000004</v>
      </c>
      <c r="J1430">
        <v>26415</v>
      </c>
      <c r="K1430">
        <v>0.47510000000000002</v>
      </c>
      <c r="L1430">
        <v>1.4422999999999999</v>
      </c>
    </row>
    <row r="1431" spans="1:12" hidden="1" x14ac:dyDescent="0.25">
      <c r="A1431">
        <v>2330</v>
      </c>
      <c r="B1431" t="s">
        <v>11</v>
      </c>
      <c r="C1431" s="1">
        <v>41227</v>
      </c>
      <c r="D1431" s="2">
        <f t="shared" si="44"/>
        <v>3</v>
      </c>
      <c r="E1431" s="2">
        <f t="shared" si="45"/>
        <v>11</v>
      </c>
      <c r="F1431">
        <v>70.414000000000001</v>
      </c>
      <c r="G1431">
        <v>71.118200000000002</v>
      </c>
      <c r="H1431">
        <v>70.022800000000004</v>
      </c>
      <c r="I1431">
        <v>70.805199999999999</v>
      </c>
      <c r="J1431">
        <v>31098</v>
      </c>
      <c r="K1431">
        <v>0.22120000000000001</v>
      </c>
      <c r="L1431">
        <v>1.5642</v>
      </c>
    </row>
    <row r="1432" spans="1:12" x14ac:dyDescent="0.25">
      <c r="A1432">
        <v>2303</v>
      </c>
      <c r="B1432" t="s">
        <v>10</v>
      </c>
      <c r="C1432" s="1">
        <v>41228</v>
      </c>
      <c r="D1432" s="2">
        <f t="shared" si="44"/>
        <v>4</v>
      </c>
      <c r="E1432" s="2">
        <f t="shared" si="45"/>
        <v>11</v>
      </c>
      <c r="F1432">
        <v>8.0928000000000004</v>
      </c>
      <c r="G1432">
        <v>8.1311</v>
      </c>
      <c r="H1432">
        <v>7.9776999999999996</v>
      </c>
      <c r="I1432">
        <v>8.1311</v>
      </c>
      <c r="J1432">
        <v>17979</v>
      </c>
      <c r="K1432">
        <v>0.4728</v>
      </c>
      <c r="L1432">
        <v>1.9231</v>
      </c>
    </row>
    <row r="1433" spans="1:12" hidden="1" x14ac:dyDescent="0.25">
      <c r="A1433">
        <v>2330</v>
      </c>
      <c r="B1433" t="s">
        <v>11</v>
      </c>
      <c r="C1433" s="1">
        <v>41228</v>
      </c>
      <c r="D1433" s="2">
        <f t="shared" si="44"/>
        <v>4</v>
      </c>
      <c r="E1433" s="2">
        <f t="shared" si="45"/>
        <v>11</v>
      </c>
      <c r="F1433">
        <v>70.335800000000006</v>
      </c>
      <c r="G1433">
        <v>70.883399999999995</v>
      </c>
      <c r="H1433">
        <v>69.631600000000006</v>
      </c>
      <c r="I1433">
        <v>70.570499999999996</v>
      </c>
      <c r="J1433">
        <v>25096</v>
      </c>
      <c r="K1433">
        <v>-0.33200000000000002</v>
      </c>
      <c r="L1433">
        <v>1.7978000000000001</v>
      </c>
    </row>
    <row r="1434" spans="1:12" x14ac:dyDescent="0.25">
      <c r="A1434">
        <v>2303</v>
      </c>
      <c r="B1434" t="s">
        <v>10</v>
      </c>
      <c r="C1434" s="1">
        <v>41229</v>
      </c>
      <c r="D1434" s="2">
        <f t="shared" si="44"/>
        <v>5</v>
      </c>
      <c r="E1434" s="2">
        <f t="shared" si="45"/>
        <v>11</v>
      </c>
      <c r="F1434">
        <v>8.1311</v>
      </c>
      <c r="G1434">
        <v>8.1694999999999993</v>
      </c>
      <c r="H1434">
        <v>8.016</v>
      </c>
      <c r="I1434">
        <v>8.0928000000000004</v>
      </c>
      <c r="J1434">
        <v>17510</v>
      </c>
      <c r="K1434">
        <v>-0.4728</v>
      </c>
      <c r="L1434">
        <v>1.9138999999999999</v>
      </c>
    </row>
    <row r="1435" spans="1:12" hidden="1" x14ac:dyDescent="0.25">
      <c r="A1435">
        <v>2330</v>
      </c>
      <c r="B1435" t="s">
        <v>11</v>
      </c>
      <c r="C1435" s="1">
        <v>41229</v>
      </c>
      <c r="D1435" s="2">
        <f t="shared" si="44"/>
        <v>5</v>
      </c>
      <c r="E1435" s="2">
        <f t="shared" si="45"/>
        <v>11</v>
      </c>
      <c r="F1435">
        <v>69.7881</v>
      </c>
      <c r="G1435">
        <v>70.648700000000005</v>
      </c>
      <c r="H1435">
        <v>69.7881</v>
      </c>
      <c r="I1435">
        <v>70.570499999999996</v>
      </c>
      <c r="J1435">
        <v>33802</v>
      </c>
      <c r="K1435">
        <v>0</v>
      </c>
      <c r="L1435">
        <v>1.2332000000000001</v>
      </c>
    </row>
    <row r="1436" spans="1:12" x14ac:dyDescent="0.25">
      <c r="A1436">
        <v>2303</v>
      </c>
      <c r="B1436" t="s">
        <v>10</v>
      </c>
      <c r="C1436" s="1">
        <v>41232</v>
      </c>
      <c r="D1436" s="2">
        <f t="shared" si="44"/>
        <v>1</v>
      </c>
      <c r="E1436" s="2">
        <f t="shared" si="45"/>
        <v>11</v>
      </c>
      <c r="F1436">
        <v>8.0928000000000004</v>
      </c>
      <c r="G1436">
        <v>8.0928000000000004</v>
      </c>
      <c r="H1436">
        <v>7.9776999999999996</v>
      </c>
      <c r="I1436">
        <v>7.9776999999999996</v>
      </c>
      <c r="J1436">
        <v>15444</v>
      </c>
      <c r="K1436">
        <v>-1.4319999999999999</v>
      </c>
      <c r="L1436">
        <v>1.4422999999999999</v>
      </c>
    </row>
    <row r="1437" spans="1:12" hidden="1" x14ac:dyDescent="0.25">
      <c r="A1437">
        <v>2330</v>
      </c>
      <c r="B1437" t="s">
        <v>11</v>
      </c>
      <c r="C1437" s="1">
        <v>41232</v>
      </c>
      <c r="D1437" s="2">
        <f t="shared" si="44"/>
        <v>1</v>
      </c>
      <c r="E1437" s="2">
        <f t="shared" si="45"/>
        <v>11</v>
      </c>
      <c r="F1437">
        <v>70.179299999999998</v>
      </c>
      <c r="G1437">
        <v>70.805199999999999</v>
      </c>
      <c r="H1437">
        <v>70.179299999999998</v>
      </c>
      <c r="I1437">
        <v>70.414000000000001</v>
      </c>
      <c r="J1437">
        <v>24008</v>
      </c>
      <c r="K1437">
        <v>-0.222</v>
      </c>
      <c r="L1437">
        <v>0.89190000000000003</v>
      </c>
    </row>
    <row r="1438" spans="1:12" x14ac:dyDescent="0.25">
      <c r="A1438">
        <v>2303</v>
      </c>
      <c r="B1438" t="s">
        <v>10</v>
      </c>
      <c r="C1438" s="1">
        <v>41233</v>
      </c>
      <c r="D1438" s="2">
        <f t="shared" si="44"/>
        <v>2</v>
      </c>
      <c r="E1438" s="2">
        <f t="shared" si="45"/>
        <v>11</v>
      </c>
      <c r="F1438">
        <v>8.016</v>
      </c>
      <c r="G1438">
        <v>8.0543999999999993</v>
      </c>
      <c r="H1438">
        <v>7.9009999999999998</v>
      </c>
      <c r="I1438">
        <v>7.9009999999999998</v>
      </c>
      <c r="J1438">
        <v>21848</v>
      </c>
      <c r="K1438">
        <v>-0.96619999999999995</v>
      </c>
      <c r="L1438">
        <v>1.9417</v>
      </c>
    </row>
    <row r="1439" spans="1:12" hidden="1" x14ac:dyDescent="0.25">
      <c r="A1439">
        <v>2330</v>
      </c>
      <c r="B1439" t="s">
        <v>11</v>
      </c>
      <c r="C1439" s="1">
        <v>41233</v>
      </c>
      <c r="D1439" s="2">
        <f t="shared" si="44"/>
        <v>2</v>
      </c>
      <c r="E1439" s="2">
        <f t="shared" si="45"/>
        <v>11</v>
      </c>
      <c r="F1439">
        <v>70.414000000000001</v>
      </c>
      <c r="G1439">
        <v>70.727000000000004</v>
      </c>
      <c r="H1439">
        <v>70.257499999999993</v>
      </c>
      <c r="I1439">
        <v>70.727000000000004</v>
      </c>
      <c r="J1439">
        <v>21474</v>
      </c>
      <c r="K1439">
        <v>0.44350000000000001</v>
      </c>
      <c r="L1439">
        <v>0.66820000000000002</v>
      </c>
    </row>
    <row r="1440" spans="1:12" x14ac:dyDescent="0.25">
      <c r="A1440">
        <v>2303</v>
      </c>
      <c r="B1440" t="s">
        <v>10</v>
      </c>
      <c r="C1440" s="1">
        <v>41234</v>
      </c>
      <c r="D1440" s="2">
        <f t="shared" si="44"/>
        <v>3</v>
      </c>
      <c r="E1440" s="2">
        <f t="shared" si="45"/>
        <v>11</v>
      </c>
      <c r="F1440">
        <v>7.9009999999999998</v>
      </c>
      <c r="G1440">
        <v>7.9009999999999998</v>
      </c>
      <c r="H1440">
        <v>7.6708999999999996</v>
      </c>
      <c r="I1440">
        <v>7.7476000000000003</v>
      </c>
      <c r="J1440">
        <v>50456</v>
      </c>
      <c r="K1440">
        <v>-1.9608000000000001</v>
      </c>
      <c r="L1440">
        <v>3</v>
      </c>
    </row>
    <row r="1441" spans="1:12" hidden="1" x14ac:dyDescent="0.25">
      <c r="A1441">
        <v>2330</v>
      </c>
      <c r="B1441" t="s">
        <v>11</v>
      </c>
      <c r="C1441" s="1">
        <v>41234</v>
      </c>
      <c r="D1441" s="2">
        <f t="shared" si="44"/>
        <v>3</v>
      </c>
      <c r="E1441" s="2">
        <f t="shared" si="45"/>
        <v>11</v>
      </c>
      <c r="F1441">
        <v>70.648700000000005</v>
      </c>
      <c r="G1441">
        <v>71.118200000000002</v>
      </c>
      <c r="H1441">
        <v>69.7881</v>
      </c>
      <c r="I1441">
        <v>70.805199999999999</v>
      </c>
      <c r="J1441">
        <v>30262</v>
      </c>
      <c r="K1441">
        <v>0.1106</v>
      </c>
      <c r="L1441">
        <v>1.9057999999999999</v>
      </c>
    </row>
    <row r="1442" spans="1:12" x14ac:dyDescent="0.25">
      <c r="A1442">
        <v>2303</v>
      </c>
      <c r="B1442" t="s">
        <v>10</v>
      </c>
      <c r="C1442" s="1">
        <v>41235</v>
      </c>
      <c r="D1442" s="2">
        <f t="shared" si="44"/>
        <v>4</v>
      </c>
      <c r="E1442" s="2">
        <f t="shared" si="45"/>
        <v>11</v>
      </c>
      <c r="F1442">
        <v>7.7476000000000003</v>
      </c>
      <c r="G1442">
        <v>7.8243</v>
      </c>
      <c r="H1442">
        <v>7.6708999999999996</v>
      </c>
      <c r="I1442">
        <v>7.7476000000000003</v>
      </c>
      <c r="J1442">
        <v>41561</v>
      </c>
      <c r="K1442">
        <v>0</v>
      </c>
      <c r="L1442">
        <v>2</v>
      </c>
    </row>
    <row r="1443" spans="1:12" hidden="1" x14ac:dyDescent="0.25">
      <c r="A1443">
        <v>2330</v>
      </c>
      <c r="B1443" t="s">
        <v>11</v>
      </c>
      <c r="C1443" s="1">
        <v>41235</v>
      </c>
      <c r="D1443" s="2">
        <f t="shared" si="44"/>
        <v>4</v>
      </c>
      <c r="E1443" s="2">
        <f t="shared" si="45"/>
        <v>11</v>
      </c>
      <c r="F1443">
        <v>70.648700000000005</v>
      </c>
      <c r="G1443">
        <v>71.431100000000001</v>
      </c>
      <c r="H1443">
        <v>70.648700000000005</v>
      </c>
      <c r="I1443">
        <v>71.431100000000001</v>
      </c>
      <c r="J1443">
        <v>20798</v>
      </c>
      <c r="K1443">
        <v>0.88009999999999999</v>
      </c>
      <c r="L1443">
        <v>1.1073999999999999</v>
      </c>
    </row>
    <row r="1444" spans="1:12" x14ac:dyDescent="0.25">
      <c r="A1444">
        <v>2303</v>
      </c>
      <c r="B1444" t="s">
        <v>10</v>
      </c>
      <c r="C1444" s="1">
        <v>41236</v>
      </c>
      <c r="D1444" s="2">
        <f t="shared" si="44"/>
        <v>5</v>
      </c>
      <c r="E1444" s="2">
        <f t="shared" si="45"/>
        <v>11</v>
      </c>
      <c r="F1444">
        <v>7.8243</v>
      </c>
      <c r="G1444">
        <v>8.2844999999999995</v>
      </c>
      <c r="H1444">
        <v>7.7858999999999998</v>
      </c>
      <c r="I1444">
        <v>8.2844999999999995</v>
      </c>
      <c r="J1444">
        <v>149998</v>
      </c>
      <c r="K1444">
        <v>6.7011000000000003</v>
      </c>
      <c r="L1444">
        <v>6.4039000000000001</v>
      </c>
    </row>
    <row r="1445" spans="1:12" hidden="1" x14ac:dyDescent="0.25">
      <c r="A1445">
        <v>2330</v>
      </c>
      <c r="B1445" t="s">
        <v>11</v>
      </c>
      <c r="C1445" s="1">
        <v>41236</v>
      </c>
      <c r="D1445" s="2">
        <f t="shared" si="44"/>
        <v>5</v>
      </c>
      <c r="E1445" s="2">
        <f t="shared" si="45"/>
        <v>11</v>
      </c>
      <c r="F1445">
        <v>71.665800000000004</v>
      </c>
      <c r="G1445">
        <v>74.717100000000002</v>
      </c>
      <c r="H1445">
        <v>71.587599999999995</v>
      </c>
      <c r="I1445">
        <v>74.717100000000002</v>
      </c>
      <c r="J1445">
        <v>64301</v>
      </c>
      <c r="K1445">
        <v>4.4974999999999996</v>
      </c>
      <c r="L1445">
        <v>4.3715999999999999</v>
      </c>
    </row>
    <row r="1446" spans="1:12" x14ac:dyDescent="0.25">
      <c r="A1446">
        <v>2303</v>
      </c>
      <c r="B1446" t="s">
        <v>10</v>
      </c>
      <c r="C1446" s="1">
        <v>41239</v>
      </c>
      <c r="D1446" s="2">
        <f t="shared" si="44"/>
        <v>1</v>
      </c>
      <c r="E1446" s="2">
        <f t="shared" si="45"/>
        <v>11</v>
      </c>
      <c r="F1446">
        <v>8.5146999999999995</v>
      </c>
      <c r="G1446">
        <v>8.5530000000000008</v>
      </c>
      <c r="H1446">
        <v>8.3995999999999995</v>
      </c>
      <c r="I1446">
        <v>8.5146999999999995</v>
      </c>
      <c r="J1446">
        <v>75223</v>
      </c>
      <c r="K1446">
        <v>2.7399</v>
      </c>
      <c r="L1446">
        <v>1.8265</v>
      </c>
    </row>
    <row r="1447" spans="1:12" hidden="1" x14ac:dyDescent="0.25">
      <c r="A1447">
        <v>2330</v>
      </c>
      <c r="B1447" t="s">
        <v>11</v>
      </c>
      <c r="C1447" s="1">
        <v>41239</v>
      </c>
      <c r="D1447" s="2">
        <f t="shared" si="44"/>
        <v>1</v>
      </c>
      <c r="E1447" s="2">
        <f t="shared" si="45"/>
        <v>11</v>
      </c>
      <c r="F1447">
        <v>74.717100000000002</v>
      </c>
      <c r="G1447">
        <v>74.795299999999997</v>
      </c>
      <c r="H1447">
        <v>74.247699999999995</v>
      </c>
      <c r="I1447">
        <v>74.560599999999994</v>
      </c>
      <c r="J1447">
        <v>40021</v>
      </c>
      <c r="K1447">
        <v>-0.20960000000000001</v>
      </c>
      <c r="L1447">
        <v>0.73760000000000003</v>
      </c>
    </row>
    <row r="1448" spans="1:12" x14ac:dyDescent="0.25">
      <c r="A1448">
        <v>2303</v>
      </c>
      <c r="B1448" t="s">
        <v>10</v>
      </c>
      <c r="C1448" s="1">
        <v>41240</v>
      </c>
      <c r="D1448" s="2">
        <f t="shared" si="44"/>
        <v>2</v>
      </c>
      <c r="E1448" s="2">
        <f t="shared" si="45"/>
        <v>11</v>
      </c>
      <c r="F1448">
        <v>8.5146999999999995</v>
      </c>
      <c r="G1448">
        <v>8.5914000000000001</v>
      </c>
      <c r="H1448">
        <v>8.4379000000000008</v>
      </c>
      <c r="I1448">
        <v>8.5914000000000001</v>
      </c>
      <c r="J1448">
        <v>49164</v>
      </c>
      <c r="K1448">
        <v>0.89690000000000003</v>
      </c>
      <c r="L1448">
        <v>1.8182</v>
      </c>
    </row>
    <row r="1449" spans="1:12" hidden="1" x14ac:dyDescent="0.25">
      <c r="A1449">
        <v>2330</v>
      </c>
      <c r="B1449" t="s">
        <v>11</v>
      </c>
      <c r="C1449" s="1">
        <v>41240</v>
      </c>
      <c r="D1449" s="2">
        <f t="shared" si="44"/>
        <v>2</v>
      </c>
      <c r="E1449" s="2">
        <f t="shared" si="45"/>
        <v>11</v>
      </c>
      <c r="F1449">
        <v>74.013000000000005</v>
      </c>
      <c r="G1449">
        <v>75.343000000000004</v>
      </c>
      <c r="H1449">
        <v>73.778199999999998</v>
      </c>
      <c r="I1449">
        <v>75.343000000000004</v>
      </c>
      <c r="J1449">
        <v>50925</v>
      </c>
      <c r="K1449">
        <v>1.0439000000000001</v>
      </c>
      <c r="L1449">
        <v>2.1208999999999998</v>
      </c>
    </row>
    <row r="1450" spans="1:12" x14ac:dyDescent="0.25">
      <c r="A1450">
        <v>2303</v>
      </c>
      <c r="B1450" t="s">
        <v>10</v>
      </c>
      <c r="C1450" s="1">
        <v>41241</v>
      </c>
      <c r="D1450" s="2">
        <f t="shared" si="44"/>
        <v>3</v>
      </c>
      <c r="E1450" s="2">
        <f t="shared" si="45"/>
        <v>11</v>
      </c>
      <c r="F1450">
        <v>8.5530000000000008</v>
      </c>
      <c r="G1450">
        <v>8.5914000000000001</v>
      </c>
      <c r="H1450">
        <v>8.4763000000000002</v>
      </c>
      <c r="I1450">
        <v>8.5914000000000001</v>
      </c>
      <c r="J1450">
        <v>53617</v>
      </c>
      <c r="K1450">
        <v>0</v>
      </c>
      <c r="L1450">
        <v>1.3574999999999999</v>
      </c>
    </row>
    <row r="1451" spans="1:12" hidden="1" x14ac:dyDescent="0.25">
      <c r="A1451">
        <v>2330</v>
      </c>
      <c r="B1451" t="s">
        <v>11</v>
      </c>
      <c r="C1451" s="1">
        <v>41241</v>
      </c>
      <c r="D1451" s="2">
        <f t="shared" si="44"/>
        <v>3</v>
      </c>
      <c r="E1451" s="2">
        <f t="shared" si="45"/>
        <v>11</v>
      </c>
      <c r="F1451">
        <v>74.951800000000006</v>
      </c>
      <c r="G1451">
        <v>75.186499999999995</v>
      </c>
      <c r="H1451">
        <v>74.560599999999994</v>
      </c>
      <c r="I1451">
        <v>75.030100000000004</v>
      </c>
      <c r="J1451">
        <v>63210</v>
      </c>
      <c r="K1451">
        <v>-0.41620000000000001</v>
      </c>
      <c r="L1451">
        <v>0.83950000000000002</v>
      </c>
    </row>
    <row r="1452" spans="1:12" x14ac:dyDescent="0.25">
      <c r="A1452">
        <v>2303</v>
      </c>
      <c r="B1452" t="s">
        <v>10</v>
      </c>
      <c r="C1452" s="1">
        <v>41242</v>
      </c>
      <c r="D1452" s="2">
        <f t="shared" si="44"/>
        <v>4</v>
      </c>
      <c r="E1452" s="2">
        <f t="shared" si="45"/>
        <v>11</v>
      </c>
      <c r="F1452">
        <v>8.5530000000000008</v>
      </c>
      <c r="G1452">
        <v>8.5914000000000001</v>
      </c>
      <c r="H1452">
        <v>8.4763000000000002</v>
      </c>
      <c r="I1452">
        <v>8.5146999999999995</v>
      </c>
      <c r="J1452">
        <v>61511</v>
      </c>
      <c r="K1452">
        <v>-0.89690000000000003</v>
      </c>
      <c r="L1452">
        <v>1.3574999999999999</v>
      </c>
    </row>
    <row r="1453" spans="1:12" hidden="1" x14ac:dyDescent="0.25">
      <c r="A1453">
        <v>2330</v>
      </c>
      <c r="B1453" t="s">
        <v>11</v>
      </c>
      <c r="C1453" s="1">
        <v>41242</v>
      </c>
      <c r="D1453" s="2">
        <f t="shared" si="44"/>
        <v>4</v>
      </c>
      <c r="E1453" s="2">
        <f t="shared" si="45"/>
        <v>11</v>
      </c>
      <c r="F1453">
        <v>75.1083</v>
      </c>
      <c r="G1453">
        <v>76.125399999999999</v>
      </c>
      <c r="H1453">
        <v>74.717100000000002</v>
      </c>
      <c r="I1453">
        <v>75.499499999999998</v>
      </c>
      <c r="J1453">
        <v>56516</v>
      </c>
      <c r="K1453">
        <v>0.62370000000000003</v>
      </c>
      <c r="L1453">
        <v>1.8848</v>
      </c>
    </row>
    <row r="1454" spans="1:12" x14ac:dyDescent="0.25">
      <c r="A1454">
        <v>2303</v>
      </c>
      <c r="B1454" t="s">
        <v>10</v>
      </c>
      <c r="C1454" s="1">
        <v>41243</v>
      </c>
      <c r="D1454" s="2">
        <f t="shared" si="44"/>
        <v>5</v>
      </c>
      <c r="E1454" s="2">
        <f t="shared" si="45"/>
        <v>11</v>
      </c>
      <c r="F1454">
        <v>8.4763000000000002</v>
      </c>
      <c r="G1454">
        <v>8.7064000000000004</v>
      </c>
      <c r="H1454">
        <v>8.4763000000000002</v>
      </c>
      <c r="I1454">
        <v>8.6296999999999997</v>
      </c>
      <c r="J1454">
        <v>115388</v>
      </c>
      <c r="K1454">
        <v>1.3423</v>
      </c>
      <c r="L1454">
        <v>2.7149000000000001</v>
      </c>
    </row>
    <row r="1455" spans="1:12" hidden="1" x14ac:dyDescent="0.25">
      <c r="A1455">
        <v>2330</v>
      </c>
      <c r="B1455" t="s">
        <v>11</v>
      </c>
      <c r="C1455" s="1">
        <v>41243</v>
      </c>
      <c r="D1455" s="2">
        <f t="shared" si="44"/>
        <v>5</v>
      </c>
      <c r="E1455" s="2">
        <f t="shared" si="45"/>
        <v>11</v>
      </c>
      <c r="F1455">
        <v>75.1083</v>
      </c>
      <c r="G1455">
        <v>77.298900000000003</v>
      </c>
      <c r="H1455">
        <v>75.030100000000004</v>
      </c>
      <c r="I1455">
        <v>77.220699999999994</v>
      </c>
      <c r="J1455">
        <v>76884</v>
      </c>
      <c r="K1455">
        <v>2.2542</v>
      </c>
      <c r="L1455">
        <v>3.024</v>
      </c>
    </row>
    <row r="1456" spans="1:12" x14ac:dyDescent="0.25">
      <c r="A1456">
        <v>2303</v>
      </c>
      <c r="B1456" t="s">
        <v>10</v>
      </c>
      <c r="C1456" s="1">
        <v>41246</v>
      </c>
      <c r="D1456" s="2">
        <f t="shared" si="44"/>
        <v>1</v>
      </c>
      <c r="E1456" s="2">
        <f t="shared" si="45"/>
        <v>12</v>
      </c>
      <c r="F1456">
        <v>8.5914000000000001</v>
      </c>
      <c r="G1456">
        <v>8.6296999999999997</v>
      </c>
      <c r="H1456">
        <v>8.5146999999999995</v>
      </c>
      <c r="I1456">
        <v>8.5530000000000008</v>
      </c>
      <c r="J1456">
        <v>34100</v>
      </c>
      <c r="K1456">
        <v>-0.89290000000000003</v>
      </c>
      <c r="L1456">
        <v>1.3513999999999999</v>
      </c>
    </row>
    <row r="1457" spans="1:12" hidden="1" x14ac:dyDescent="0.25">
      <c r="A1457">
        <v>2330</v>
      </c>
      <c r="B1457" t="s">
        <v>11</v>
      </c>
      <c r="C1457" s="1">
        <v>41246</v>
      </c>
      <c r="D1457" s="2">
        <f t="shared" si="44"/>
        <v>1</v>
      </c>
      <c r="E1457" s="2">
        <f t="shared" si="45"/>
        <v>12</v>
      </c>
      <c r="F1457">
        <v>76.907799999999995</v>
      </c>
      <c r="G1457">
        <v>77.142499999999998</v>
      </c>
      <c r="H1457">
        <v>75.734200000000001</v>
      </c>
      <c r="I1457">
        <v>76.594800000000006</v>
      </c>
      <c r="J1457">
        <v>44060</v>
      </c>
      <c r="K1457">
        <v>-0.81379999999999997</v>
      </c>
      <c r="L1457">
        <v>1.8594999999999999</v>
      </c>
    </row>
    <row r="1458" spans="1:12" x14ac:dyDescent="0.25">
      <c r="A1458">
        <v>2303</v>
      </c>
      <c r="B1458" t="s">
        <v>10</v>
      </c>
      <c r="C1458" s="1">
        <v>41247</v>
      </c>
      <c r="D1458" s="2">
        <f t="shared" si="44"/>
        <v>2</v>
      </c>
      <c r="E1458" s="2">
        <f t="shared" si="45"/>
        <v>12</v>
      </c>
      <c r="F1458">
        <v>8.4763000000000002</v>
      </c>
      <c r="G1458">
        <v>8.5146999999999995</v>
      </c>
      <c r="H1458">
        <v>8.3995999999999995</v>
      </c>
      <c r="I1458">
        <v>8.5146999999999995</v>
      </c>
      <c r="J1458">
        <v>52658</v>
      </c>
      <c r="K1458">
        <v>-0.44940000000000002</v>
      </c>
      <c r="L1458">
        <v>1.3698999999999999</v>
      </c>
    </row>
    <row r="1459" spans="1:12" hidden="1" x14ac:dyDescent="0.25">
      <c r="A1459">
        <v>2330</v>
      </c>
      <c r="B1459" t="s">
        <v>11</v>
      </c>
      <c r="C1459" s="1">
        <v>41247</v>
      </c>
      <c r="D1459" s="2">
        <f t="shared" si="44"/>
        <v>2</v>
      </c>
      <c r="E1459" s="2">
        <f t="shared" si="45"/>
        <v>12</v>
      </c>
      <c r="F1459">
        <v>75.812399999999997</v>
      </c>
      <c r="G1459">
        <v>76.0471</v>
      </c>
      <c r="H1459">
        <v>74.560599999999994</v>
      </c>
      <c r="I1459">
        <v>75.577699999999993</v>
      </c>
      <c r="J1459">
        <v>43075</v>
      </c>
      <c r="K1459">
        <v>-1.3368</v>
      </c>
      <c r="L1459">
        <v>1.9937</v>
      </c>
    </row>
    <row r="1460" spans="1:12" x14ac:dyDescent="0.25">
      <c r="A1460">
        <v>2303</v>
      </c>
      <c r="B1460" t="s">
        <v>10</v>
      </c>
      <c r="C1460" s="1">
        <v>41248</v>
      </c>
      <c r="D1460" s="2">
        <f t="shared" si="44"/>
        <v>3</v>
      </c>
      <c r="E1460" s="2">
        <f t="shared" si="45"/>
        <v>12</v>
      </c>
      <c r="F1460">
        <v>8.5146999999999995</v>
      </c>
      <c r="G1460">
        <v>9.0132999999999992</v>
      </c>
      <c r="H1460">
        <v>8.4379000000000008</v>
      </c>
      <c r="I1460">
        <v>8.8981999999999992</v>
      </c>
      <c r="J1460">
        <v>124871</v>
      </c>
      <c r="K1460">
        <v>4.4059999999999997</v>
      </c>
      <c r="L1460">
        <v>6.8182</v>
      </c>
    </row>
    <row r="1461" spans="1:12" hidden="1" x14ac:dyDescent="0.25">
      <c r="A1461">
        <v>2330</v>
      </c>
      <c r="B1461" t="s">
        <v>11</v>
      </c>
      <c r="C1461" s="1">
        <v>41248</v>
      </c>
      <c r="D1461" s="2">
        <f t="shared" si="44"/>
        <v>3</v>
      </c>
      <c r="E1461" s="2">
        <f t="shared" si="45"/>
        <v>12</v>
      </c>
      <c r="F1461">
        <v>74.013000000000005</v>
      </c>
      <c r="G1461">
        <v>75.968900000000005</v>
      </c>
      <c r="H1461">
        <v>74.013000000000005</v>
      </c>
      <c r="I1461">
        <v>75.812399999999997</v>
      </c>
      <c r="J1461">
        <v>60542</v>
      </c>
      <c r="K1461">
        <v>0.31009999999999999</v>
      </c>
      <c r="L1461">
        <v>2.6427</v>
      </c>
    </row>
    <row r="1462" spans="1:12" x14ac:dyDescent="0.25">
      <c r="A1462">
        <v>2303</v>
      </c>
      <c r="B1462" t="s">
        <v>10</v>
      </c>
      <c r="C1462" s="1">
        <v>41249</v>
      </c>
      <c r="D1462" s="2">
        <f t="shared" si="44"/>
        <v>4</v>
      </c>
      <c r="E1462" s="2">
        <f t="shared" si="45"/>
        <v>12</v>
      </c>
      <c r="F1462">
        <v>9.0132999999999992</v>
      </c>
      <c r="G1462">
        <v>9.0516000000000005</v>
      </c>
      <c r="H1462">
        <v>8.8597999999999999</v>
      </c>
      <c r="I1462">
        <v>8.9748999999999999</v>
      </c>
      <c r="J1462">
        <v>116109</v>
      </c>
      <c r="K1462">
        <v>0.85840000000000005</v>
      </c>
      <c r="L1462">
        <v>2.1644999999999999</v>
      </c>
    </row>
    <row r="1463" spans="1:12" hidden="1" x14ac:dyDescent="0.25">
      <c r="A1463">
        <v>2330</v>
      </c>
      <c r="B1463" t="s">
        <v>11</v>
      </c>
      <c r="C1463" s="1">
        <v>41249</v>
      </c>
      <c r="D1463" s="2">
        <f t="shared" si="44"/>
        <v>4</v>
      </c>
      <c r="E1463" s="2">
        <f t="shared" si="45"/>
        <v>12</v>
      </c>
      <c r="F1463">
        <v>75.577699999999993</v>
      </c>
      <c r="G1463">
        <v>75.812399999999997</v>
      </c>
      <c r="H1463">
        <v>75.186499999999995</v>
      </c>
      <c r="I1463">
        <v>75.577699999999993</v>
      </c>
      <c r="J1463">
        <v>33501</v>
      </c>
      <c r="K1463">
        <v>-0.31009999999999999</v>
      </c>
      <c r="L1463">
        <v>0.83250000000000002</v>
      </c>
    </row>
    <row r="1464" spans="1:12" x14ac:dyDescent="0.25">
      <c r="A1464">
        <v>2303</v>
      </c>
      <c r="B1464" t="s">
        <v>10</v>
      </c>
      <c r="C1464" s="1">
        <v>41250</v>
      </c>
      <c r="D1464" s="2">
        <f t="shared" si="44"/>
        <v>5</v>
      </c>
      <c r="E1464" s="2">
        <f t="shared" si="45"/>
        <v>12</v>
      </c>
      <c r="F1464">
        <v>9.0516000000000005</v>
      </c>
      <c r="G1464">
        <v>9.1667000000000005</v>
      </c>
      <c r="H1464">
        <v>8.8981999999999992</v>
      </c>
      <c r="I1464">
        <v>8.9366000000000003</v>
      </c>
      <c r="J1464">
        <v>94978</v>
      </c>
      <c r="K1464">
        <v>-0.42830000000000001</v>
      </c>
      <c r="L1464">
        <v>3.0171999999999999</v>
      </c>
    </row>
    <row r="1465" spans="1:12" hidden="1" x14ac:dyDescent="0.25">
      <c r="A1465">
        <v>2330</v>
      </c>
      <c r="B1465" t="s">
        <v>11</v>
      </c>
      <c r="C1465" s="1">
        <v>41250</v>
      </c>
      <c r="D1465" s="2">
        <f t="shared" si="44"/>
        <v>5</v>
      </c>
      <c r="E1465" s="2">
        <f t="shared" si="45"/>
        <v>12</v>
      </c>
      <c r="F1465">
        <v>75.968900000000005</v>
      </c>
      <c r="G1465">
        <v>77.0642</v>
      </c>
      <c r="H1465">
        <v>75.968900000000005</v>
      </c>
      <c r="I1465">
        <v>76.751300000000001</v>
      </c>
      <c r="J1465">
        <v>37114</v>
      </c>
      <c r="K1465">
        <v>1.5408999999999999</v>
      </c>
      <c r="L1465">
        <v>1.4418</v>
      </c>
    </row>
    <row r="1466" spans="1:12" x14ac:dyDescent="0.25">
      <c r="A1466">
        <v>2303</v>
      </c>
      <c r="B1466" t="s">
        <v>10</v>
      </c>
      <c r="C1466" s="1">
        <v>41253</v>
      </c>
      <c r="D1466" s="2">
        <f t="shared" si="44"/>
        <v>1</v>
      </c>
      <c r="E1466" s="2">
        <f t="shared" si="45"/>
        <v>12</v>
      </c>
      <c r="F1466">
        <v>8.9748999999999999</v>
      </c>
      <c r="G1466">
        <v>8.9748999999999999</v>
      </c>
      <c r="H1466">
        <v>8.7830999999999992</v>
      </c>
      <c r="I1466">
        <v>8.7830999999999992</v>
      </c>
      <c r="J1466">
        <v>39677</v>
      </c>
      <c r="K1466">
        <v>-1.7316</v>
      </c>
      <c r="L1466">
        <v>2.1833999999999998</v>
      </c>
    </row>
    <row r="1467" spans="1:12" hidden="1" x14ac:dyDescent="0.25">
      <c r="A1467">
        <v>2330</v>
      </c>
      <c r="B1467" t="s">
        <v>11</v>
      </c>
      <c r="C1467" s="1">
        <v>41253</v>
      </c>
      <c r="D1467" s="2">
        <f t="shared" si="44"/>
        <v>1</v>
      </c>
      <c r="E1467" s="2">
        <f t="shared" si="45"/>
        <v>12</v>
      </c>
      <c r="F1467">
        <v>76.594800000000006</v>
      </c>
      <c r="G1467">
        <v>76.673000000000002</v>
      </c>
      <c r="H1467">
        <v>75.499499999999998</v>
      </c>
      <c r="I1467">
        <v>75.499499999999998</v>
      </c>
      <c r="J1467">
        <v>30865</v>
      </c>
      <c r="K1467">
        <v>-1.6444000000000001</v>
      </c>
      <c r="L1467">
        <v>1.5544</v>
      </c>
    </row>
    <row r="1468" spans="1:12" x14ac:dyDescent="0.25">
      <c r="A1468">
        <v>2303</v>
      </c>
      <c r="B1468" t="s">
        <v>10</v>
      </c>
      <c r="C1468" s="1">
        <v>41254</v>
      </c>
      <c r="D1468" s="2">
        <f t="shared" si="44"/>
        <v>2</v>
      </c>
      <c r="E1468" s="2">
        <f t="shared" si="45"/>
        <v>12</v>
      </c>
      <c r="F1468">
        <v>8.7830999999999992</v>
      </c>
      <c r="G1468">
        <v>8.8597999999999999</v>
      </c>
      <c r="H1468">
        <v>8.7064000000000004</v>
      </c>
      <c r="I1468">
        <v>8.7447999999999997</v>
      </c>
      <c r="J1468">
        <v>40680</v>
      </c>
      <c r="K1468">
        <v>-0.43759999999999999</v>
      </c>
      <c r="L1468">
        <v>1.7621</v>
      </c>
    </row>
    <row r="1469" spans="1:12" hidden="1" x14ac:dyDescent="0.25">
      <c r="A1469">
        <v>2330</v>
      </c>
      <c r="B1469" t="s">
        <v>11</v>
      </c>
      <c r="C1469" s="1">
        <v>41254</v>
      </c>
      <c r="D1469" s="2">
        <f t="shared" si="44"/>
        <v>2</v>
      </c>
      <c r="E1469" s="2">
        <f t="shared" si="45"/>
        <v>12</v>
      </c>
      <c r="F1469">
        <v>76.125399999999999</v>
      </c>
      <c r="G1469">
        <v>76.907799999999995</v>
      </c>
      <c r="H1469">
        <v>75.656000000000006</v>
      </c>
      <c r="I1469">
        <v>76.907799999999995</v>
      </c>
      <c r="J1469">
        <v>40668</v>
      </c>
      <c r="K1469">
        <v>1.8481000000000001</v>
      </c>
      <c r="L1469">
        <v>1.6546000000000001</v>
      </c>
    </row>
    <row r="1470" spans="1:12" x14ac:dyDescent="0.25">
      <c r="A1470">
        <v>2303</v>
      </c>
      <c r="B1470" t="s">
        <v>10</v>
      </c>
      <c r="C1470" s="1">
        <v>41255</v>
      </c>
      <c r="D1470" s="2">
        <f t="shared" si="44"/>
        <v>3</v>
      </c>
      <c r="E1470" s="2">
        <f t="shared" si="45"/>
        <v>12</v>
      </c>
      <c r="F1470">
        <v>8.8981999999999992</v>
      </c>
      <c r="G1470">
        <v>8.8981999999999992</v>
      </c>
      <c r="H1470">
        <v>8.7830999999999992</v>
      </c>
      <c r="I1470">
        <v>8.8597999999999999</v>
      </c>
      <c r="J1470">
        <v>37778</v>
      </c>
      <c r="K1470">
        <v>1.3071999999999999</v>
      </c>
      <c r="L1470">
        <v>1.31</v>
      </c>
    </row>
    <row r="1471" spans="1:12" hidden="1" x14ac:dyDescent="0.25">
      <c r="A1471">
        <v>2330</v>
      </c>
      <c r="B1471" t="s">
        <v>11</v>
      </c>
      <c r="C1471" s="1">
        <v>41255</v>
      </c>
      <c r="D1471" s="2">
        <f t="shared" si="44"/>
        <v>3</v>
      </c>
      <c r="E1471" s="2">
        <f t="shared" si="45"/>
        <v>12</v>
      </c>
      <c r="F1471">
        <v>76.907799999999995</v>
      </c>
      <c r="G1471">
        <v>77.0642</v>
      </c>
      <c r="H1471">
        <v>76.0471</v>
      </c>
      <c r="I1471">
        <v>76.986000000000004</v>
      </c>
      <c r="J1471">
        <v>42272</v>
      </c>
      <c r="K1471">
        <v>0.1017</v>
      </c>
      <c r="L1471">
        <v>1.3373999999999999</v>
      </c>
    </row>
    <row r="1472" spans="1:12" x14ac:dyDescent="0.25">
      <c r="A1472">
        <v>2303</v>
      </c>
      <c r="B1472" t="s">
        <v>10</v>
      </c>
      <c r="C1472" s="1">
        <v>41256</v>
      </c>
      <c r="D1472" s="2">
        <f t="shared" si="44"/>
        <v>4</v>
      </c>
      <c r="E1472" s="2">
        <f t="shared" si="45"/>
        <v>12</v>
      </c>
      <c r="F1472">
        <v>8.8981999999999992</v>
      </c>
      <c r="G1472">
        <v>9.2050000000000001</v>
      </c>
      <c r="H1472">
        <v>8.8597999999999999</v>
      </c>
      <c r="I1472">
        <v>9.2050000000000001</v>
      </c>
      <c r="J1472">
        <v>115715</v>
      </c>
      <c r="K1472">
        <v>3.8220999999999998</v>
      </c>
      <c r="L1472">
        <v>3.8961000000000001</v>
      </c>
    </row>
    <row r="1473" spans="1:12" hidden="1" x14ac:dyDescent="0.25">
      <c r="A1473">
        <v>2330</v>
      </c>
      <c r="B1473" t="s">
        <v>11</v>
      </c>
      <c r="C1473" s="1">
        <v>41256</v>
      </c>
      <c r="D1473" s="2">
        <f t="shared" si="44"/>
        <v>4</v>
      </c>
      <c r="E1473" s="2">
        <f t="shared" si="45"/>
        <v>12</v>
      </c>
      <c r="F1473">
        <v>76.907799999999995</v>
      </c>
      <c r="G1473">
        <v>77.7684</v>
      </c>
      <c r="H1473">
        <v>76.594800000000006</v>
      </c>
      <c r="I1473">
        <v>77.611900000000006</v>
      </c>
      <c r="J1473">
        <v>45585</v>
      </c>
      <c r="K1473">
        <v>0.80969999999999998</v>
      </c>
      <c r="L1473">
        <v>1.5322</v>
      </c>
    </row>
    <row r="1474" spans="1:12" x14ac:dyDescent="0.25">
      <c r="A1474">
        <v>2303</v>
      </c>
      <c r="B1474" t="s">
        <v>10</v>
      </c>
      <c r="C1474" s="1">
        <v>41257</v>
      </c>
      <c r="D1474" s="2">
        <f t="shared" si="44"/>
        <v>5</v>
      </c>
      <c r="E1474" s="2">
        <f t="shared" si="45"/>
        <v>12</v>
      </c>
      <c r="F1474">
        <v>9.09</v>
      </c>
      <c r="G1474">
        <v>9.09</v>
      </c>
      <c r="H1474">
        <v>8.9366000000000003</v>
      </c>
      <c r="I1474">
        <v>8.9748999999999999</v>
      </c>
      <c r="J1474">
        <v>70781</v>
      </c>
      <c r="K1474">
        <v>-2.5318000000000001</v>
      </c>
      <c r="L1474">
        <v>1.7166999999999999</v>
      </c>
    </row>
    <row r="1475" spans="1:12" hidden="1" x14ac:dyDescent="0.25">
      <c r="A1475">
        <v>2330</v>
      </c>
      <c r="B1475" t="s">
        <v>11</v>
      </c>
      <c r="C1475" s="1">
        <v>41257</v>
      </c>
      <c r="D1475" s="2">
        <f t="shared" ref="D1475:D1538" si="46">WEEKDAY(C1475,2)</f>
        <v>5</v>
      </c>
      <c r="E1475" s="2">
        <f t="shared" ref="E1475:E1538" si="47">MONTH(C1475)</f>
        <v>12</v>
      </c>
      <c r="F1475">
        <v>76.829499999999996</v>
      </c>
      <c r="G1475">
        <v>77.142499999999998</v>
      </c>
      <c r="H1475">
        <v>76.281899999999993</v>
      </c>
      <c r="I1475">
        <v>76.986000000000004</v>
      </c>
      <c r="J1475">
        <v>34112</v>
      </c>
      <c r="K1475">
        <v>-0.80969999999999998</v>
      </c>
      <c r="L1475">
        <v>1.1282000000000001</v>
      </c>
    </row>
    <row r="1476" spans="1:12" x14ac:dyDescent="0.25">
      <c r="A1476">
        <v>2303</v>
      </c>
      <c r="B1476" t="s">
        <v>10</v>
      </c>
      <c r="C1476" s="1">
        <v>41260</v>
      </c>
      <c r="D1476" s="2">
        <f t="shared" si="46"/>
        <v>1</v>
      </c>
      <c r="E1476" s="2">
        <f t="shared" si="47"/>
        <v>12</v>
      </c>
      <c r="F1476">
        <v>9.0516000000000005</v>
      </c>
      <c r="G1476">
        <v>9.0516000000000005</v>
      </c>
      <c r="H1476">
        <v>8.8597999999999999</v>
      </c>
      <c r="I1476">
        <v>8.8597999999999999</v>
      </c>
      <c r="J1476">
        <v>47521</v>
      </c>
      <c r="K1476">
        <v>-1.2903</v>
      </c>
      <c r="L1476">
        <v>2.1644999999999999</v>
      </c>
    </row>
    <row r="1477" spans="1:12" hidden="1" x14ac:dyDescent="0.25">
      <c r="A1477">
        <v>2330</v>
      </c>
      <c r="B1477" t="s">
        <v>11</v>
      </c>
      <c r="C1477" s="1">
        <v>41260</v>
      </c>
      <c r="D1477" s="2">
        <f t="shared" si="46"/>
        <v>1</v>
      </c>
      <c r="E1477" s="2">
        <f t="shared" si="47"/>
        <v>12</v>
      </c>
      <c r="F1477">
        <v>75.421199999999999</v>
      </c>
      <c r="G1477">
        <v>76.438299999999998</v>
      </c>
      <c r="H1477">
        <v>75.264799999999994</v>
      </c>
      <c r="I1477">
        <v>75.890699999999995</v>
      </c>
      <c r="J1477">
        <v>46715</v>
      </c>
      <c r="K1477">
        <v>-1.4330000000000001</v>
      </c>
      <c r="L1477">
        <v>1.5592999999999999</v>
      </c>
    </row>
    <row r="1478" spans="1:12" x14ac:dyDescent="0.25">
      <c r="A1478">
        <v>2303</v>
      </c>
      <c r="B1478" t="s">
        <v>10</v>
      </c>
      <c r="C1478" s="1">
        <v>41261</v>
      </c>
      <c r="D1478" s="2">
        <f t="shared" si="46"/>
        <v>2</v>
      </c>
      <c r="E1478" s="2">
        <f t="shared" si="47"/>
        <v>12</v>
      </c>
      <c r="F1478">
        <v>8.8597999999999999</v>
      </c>
      <c r="G1478">
        <v>9.0132999999999992</v>
      </c>
      <c r="H1478">
        <v>8.8597999999999999</v>
      </c>
      <c r="I1478">
        <v>8.9366000000000003</v>
      </c>
      <c r="J1478">
        <v>46556</v>
      </c>
      <c r="K1478">
        <v>0.86209999999999998</v>
      </c>
      <c r="L1478">
        <v>1.7316</v>
      </c>
    </row>
    <row r="1479" spans="1:12" hidden="1" x14ac:dyDescent="0.25">
      <c r="A1479">
        <v>2330</v>
      </c>
      <c r="B1479" t="s">
        <v>11</v>
      </c>
      <c r="C1479" s="1">
        <v>41261</v>
      </c>
      <c r="D1479" s="2">
        <f t="shared" si="46"/>
        <v>2</v>
      </c>
      <c r="E1479" s="2">
        <f t="shared" si="47"/>
        <v>12</v>
      </c>
      <c r="F1479">
        <v>74.325900000000004</v>
      </c>
      <c r="G1479">
        <v>75.656000000000006</v>
      </c>
      <c r="H1479">
        <v>74.325900000000004</v>
      </c>
      <c r="I1479">
        <v>75.656000000000006</v>
      </c>
      <c r="J1479">
        <v>35430</v>
      </c>
      <c r="K1479">
        <v>-0.30980000000000002</v>
      </c>
      <c r="L1479">
        <v>1.7895000000000001</v>
      </c>
    </row>
    <row r="1480" spans="1:12" x14ac:dyDescent="0.25">
      <c r="A1480">
        <v>2303</v>
      </c>
      <c r="B1480" t="s">
        <v>10</v>
      </c>
      <c r="C1480" s="1">
        <v>41262</v>
      </c>
      <c r="D1480" s="2">
        <f t="shared" si="46"/>
        <v>3</v>
      </c>
      <c r="E1480" s="2">
        <f t="shared" si="47"/>
        <v>12</v>
      </c>
      <c r="F1480">
        <v>9.0516000000000005</v>
      </c>
      <c r="G1480">
        <v>9.0516000000000005</v>
      </c>
      <c r="H1480">
        <v>8.7830999999999992</v>
      </c>
      <c r="I1480">
        <v>8.8215000000000003</v>
      </c>
      <c r="J1480">
        <v>68423</v>
      </c>
      <c r="K1480">
        <v>-1.2959000000000001</v>
      </c>
      <c r="L1480">
        <v>3.0568</v>
      </c>
    </row>
    <row r="1481" spans="1:12" hidden="1" x14ac:dyDescent="0.25">
      <c r="A1481">
        <v>2330</v>
      </c>
      <c r="B1481" t="s">
        <v>11</v>
      </c>
      <c r="C1481" s="1">
        <v>41262</v>
      </c>
      <c r="D1481" s="2">
        <f t="shared" si="46"/>
        <v>3</v>
      </c>
      <c r="E1481" s="2">
        <f t="shared" si="47"/>
        <v>12</v>
      </c>
      <c r="F1481">
        <v>75.656000000000006</v>
      </c>
      <c r="G1481">
        <v>76.125399999999999</v>
      </c>
      <c r="H1481">
        <v>75.264799999999994</v>
      </c>
      <c r="I1481">
        <v>76.125399999999999</v>
      </c>
      <c r="J1481">
        <v>27889</v>
      </c>
      <c r="K1481">
        <v>0.61860000000000004</v>
      </c>
      <c r="L1481">
        <v>1.1435</v>
      </c>
    </row>
    <row r="1482" spans="1:12" x14ac:dyDescent="0.25">
      <c r="A1482">
        <v>2303</v>
      </c>
      <c r="B1482" t="s">
        <v>10</v>
      </c>
      <c r="C1482" s="1">
        <v>41263</v>
      </c>
      <c r="D1482" s="2">
        <f t="shared" si="46"/>
        <v>4</v>
      </c>
      <c r="E1482" s="2">
        <f t="shared" si="47"/>
        <v>12</v>
      </c>
      <c r="F1482">
        <v>8.8981999999999992</v>
      </c>
      <c r="G1482">
        <v>9.1667000000000005</v>
      </c>
      <c r="H1482">
        <v>8.7830999999999992</v>
      </c>
      <c r="I1482">
        <v>8.9748999999999999</v>
      </c>
      <c r="J1482">
        <v>145227</v>
      </c>
      <c r="K1482">
        <v>1.7242</v>
      </c>
      <c r="L1482">
        <v>4.3667999999999996</v>
      </c>
    </row>
    <row r="1483" spans="1:12" hidden="1" x14ac:dyDescent="0.25">
      <c r="A1483">
        <v>2330</v>
      </c>
      <c r="B1483" t="s">
        <v>11</v>
      </c>
      <c r="C1483" s="1">
        <v>41263</v>
      </c>
      <c r="D1483" s="2">
        <f t="shared" si="46"/>
        <v>4</v>
      </c>
      <c r="E1483" s="2">
        <f t="shared" si="47"/>
        <v>12</v>
      </c>
      <c r="F1483">
        <v>75.186499999999995</v>
      </c>
      <c r="G1483">
        <v>75.812399999999997</v>
      </c>
      <c r="H1483">
        <v>74.4041</v>
      </c>
      <c r="I1483">
        <v>75.1083</v>
      </c>
      <c r="J1483">
        <v>35517</v>
      </c>
      <c r="K1483">
        <v>-1.3451</v>
      </c>
      <c r="L1483">
        <v>1.8927</v>
      </c>
    </row>
    <row r="1484" spans="1:12" x14ac:dyDescent="0.25">
      <c r="A1484">
        <v>2303</v>
      </c>
      <c r="B1484" t="s">
        <v>10</v>
      </c>
      <c r="C1484" s="1">
        <v>41264</v>
      </c>
      <c r="D1484" s="2">
        <f t="shared" si="46"/>
        <v>5</v>
      </c>
      <c r="E1484" s="2">
        <f t="shared" si="47"/>
        <v>12</v>
      </c>
      <c r="F1484">
        <v>9.0516000000000005</v>
      </c>
      <c r="G1484">
        <v>9.1282999999999994</v>
      </c>
      <c r="H1484">
        <v>8.8981999999999992</v>
      </c>
      <c r="I1484">
        <v>8.9366000000000003</v>
      </c>
      <c r="J1484">
        <v>92211</v>
      </c>
      <c r="K1484">
        <v>-0.42830000000000001</v>
      </c>
      <c r="L1484">
        <v>2.5861999999999998</v>
      </c>
    </row>
    <row r="1485" spans="1:12" hidden="1" x14ac:dyDescent="0.25">
      <c r="A1485">
        <v>2330</v>
      </c>
      <c r="B1485" t="s">
        <v>11</v>
      </c>
      <c r="C1485" s="1">
        <v>41264</v>
      </c>
      <c r="D1485" s="2">
        <f t="shared" si="46"/>
        <v>5</v>
      </c>
      <c r="E1485" s="2">
        <f t="shared" si="47"/>
        <v>12</v>
      </c>
      <c r="F1485">
        <v>74.4041</v>
      </c>
      <c r="G1485">
        <v>75.499499999999998</v>
      </c>
      <c r="H1485">
        <v>74.013000000000005</v>
      </c>
      <c r="I1485">
        <v>74.169399999999996</v>
      </c>
      <c r="J1485">
        <v>34754</v>
      </c>
      <c r="K1485">
        <v>-1.2579</v>
      </c>
      <c r="L1485">
        <v>2.0085000000000002</v>
      </c>
    </row>
    <row r="1486" spans="1:12" x14ac:dyDescent="0.25">
      <c r="A1486">
        <v>2303</v>
      </c>
      <c r="B1486" t="s">
        <v>10</v>
      </c>
      <c r="C1486" s="1">
        <v>41265</v>
      </c>
      <c r="D1486" s="2">
        <f t="shared" si="46"/>
        <v>6</v>
      </c>
      <c r="E1486" s="2">
        <f t="shared" si="47"/>
        <v>12</v>
      </c>
      <c r="F1486">
        <v>8.9748999999999999</v>
      </c>
      <c r="G1486">
        <v>9.0516000000000005</v>
      </c>
      <c r="H1486">
        <v>8.8981999999999992</v>
      </c>
      <c r="I1486">
        <v>8.9366000000000003</v>
      </c>
      <c r="J1486">
        <v>50533</v>
      </c>
      <c r="K1486">
        <v>0</v>
      </c>
      <c r="L1486">
        <v>1.7241</v>
      </c>
    </row>
    <row r="1487" spans="1:12" hidden="1" x14ac:dyDescent="0.25">
      <c r="A1487">
        <v>2330</v>
      </c>
      <c r="B1487" t="s">
        <v>11</v>
      </c>
      <c r="C1487" s="1">
        <v>41265</v>
      </c>
      <c r="D1487" s="2">
        <f t="shared" si="46"/>
        <v>6</v>
      </c>
      <c r="E1487" s="2">
        <f t="shared" si="47"/>
        <v>12</v>
      </c>
      <c r="F1487">
        <v>74.873599999999996</v>
      </c>
      <c r="G1487">
        <v>75.264799999999994</v>
      </c>
      <c r="H1487">
        <v>74.325900000000004</v>
      </c>
      <c r="I1487">
        <v>74.873599999999996</v>
      </c>
      <c r="J1487">
        <v>8384</v>
      </c>
      <c r="K1487">
        <v>0.94489999999999996</v>
      </c>
      <c r="L1487">
        <v>1.2632000000000001</v>
      </c>
    </row>
    <row r="1488" spans="1:12" x14ac:dyDescent="0.25">
      <c r="A1488">
        <v>2303</v>
      </c>
      <c r="B1488" t="s">
        <v>10</v>
      </c>
      <c r="C1488" s="1">
        <v>41267</v>
      </c>
      <c r="D1488" s="2">
        <f t="shared" si="46"/>
        <v>1</v>
      </c>
      <c r="E1488" s="2">
        <f t="shared" si="47"/>
        <v>12</v>
      </c>
      <c r="F1488">
        <v>8.9366000000000003</v>
      </c>
      <c r="G1488">
        <v>8.9366000000000003</v>
      </c>
      <c r="H1488">
        <v>8.8215000000000003</v>
      </c>
      <c r="I1488">
        <v>8.8215000000000003</v>
      </c>
      <c r="J1488">
        <v>25807</v>
      </c>
      <c r="K1488">
        <v>-1.2959000000000001</v>
      </c>
      <c r="L1488">
        <v>1.3043</v>
      </c>
    </row>
    <row r="1489" spans="1:12" hidden="1" x14ac:dyDescent="0.25">
      <c r="A1489">
        <v>2330</v>
      </c>
      <c r="B1489" t="s">
        <v>11</v>
      </c>
      <c r="C1489" s="1">
        <v>41267</v>
      </c>
      <c r="D1489" s="2">
        <f t="shared" si="46"/>
        <v>1</v>
      </c>
      <c r="E1489" s="2">
        <f t="shared" si="47"/>
        <v>12</v>
      </c>
      <c r="F1489">
        <v>75.1083</v>
      </c>
      <c r="G1489">
        <v>75.421199999999999</v>
      </c>
      <c r="H1489">
        <v>74.4041</v>
      </c>
      <c r="I1489">
        <v>74.482399999999998</v>
      </c>
      <c r="J1489">
        <v>17215</v>
      </c>
      <c r="K1489">
        <v>-0.52380000000000004</v>
      </c>
      <c r="L1489">
        <v>1.367</v>
      </c>
    </row>
    <row r="1490" spans="1:12" x14ac:dyDescent="0.25">
      <c r="A1490">
        <v>2303</v>
      </c>
      <c r="B1490" t="s">
        <v>10</v>
      </c>
      <c r="C1490" s="1">
        <v>41268</v>
      </c>
      <c r="D1490" s="2">
        <f t="shared" si="46"/>
        <v>2</v>
      </c>
      <c r="E1490" s="2">
        <f t="shared" si="47"/>
        <v>12</v>
      </c>
      <c r="F1490">
        <v>8.8597999999999999</v>
      </c>
      <c r="G1490">
        <v>8.9366000000000003</v>
      </c>
      <c r="H1490">
        <v>8.8215000000000003</v>
      </c>
      <c r="I1490">
        <v>8.8981999999999992</v>
      </c>
      <c r="J1490">
        <v>21796</v>
      </c>
      <c r="K1490">
        <v>0.86580000000000001</v>
      </c>
      <c r="L1490">
        <v>1.3043</v>
      </c>
    </row>
    <row r="1491" spans="1:12" hidden="1" x14ac:dyDescent="0.25">
      <c r="A1491">
        <v>2330</v>
      </c>
      <c r="B1491" t="s">
        <v>11</v>
      </c>
      <c r="C1491" s="1">
        <v>41268</v>
      </c>
      <c r="D1491" s="2">
        <f t="shared" si="46"/>
        <v>2</v>
      </c>
      <c r="E1491" s="2">
        <f t="shared" si="47"/>
        <v>12</v>
      </c>
      <c r="F1491">
        <v>75.1083</v>
      </c>
      <c r="G1491">
        <v>76.125399999999999</v>
      </c>
      <c r="H1491">
        <v>74.795299999999997</v>
      </c>
      <c r="I1491">
        <v>75.499499999999998</v>
      </c>
      <c r="J1491">
        <v>16006</v>
      </c>
      <c r="K1491">
        <v>1.3563000000000001</v>
      </c>
      <c r="L1491">
        <v>1.7782</v>
      </c>
    </row>
    <row r="1492" spans="1:12" x14ac:dyDescent="0.25">
      <c r="A1492">
        <v>2303</v>
      </c>
      <c r="B1492" t="s">
        <v>10</v>
      </c>
      <c r="C1492" s="1">
        <v>41269</v>
      </c>
      <c r="D1492" s="2">
        <f t="shared" si="46"/>
        <v>3</v>
      </c>
      <c r="E1492" s="2">
        <f t="shared" si="47"/>
        <v>12</v>
      </c>
      <c r="F1492">
        <v>8.8981999999999992</v>
      </c>
      <c r="G1492">
        <v>9.09</v>
      </c>
      <c r="H1492">
        <v>8.8981999999999992</v>
      </c>
      <c r="I1492">
        <v>8.9366000000000003</v>
      </c>
      <c r="J1492">
        <v>49542</v>
      </c>
      <c r="K1492">
        <v>0.43009999999999998</v>
      </c>
      <c r="L1492">
        <v>2.1551999999999998</v>
      </c>
    </row>
    <row r="1493" spans="1:12" hidden="1" x14ac:dyDescent="0.25">
      <c r="A1493">
        <v>2330</v>
      </c>
      <c r="B1493" t="s">
        <v>11</v>
      </c>
      <c r="C1493" s="1">
        <v>41269</v>
      </c>
      <c r="D1493" s="2">
        <f t="shared" si="46"/>
        <v>3</v>
      </c>
      <c r="E1493" s="2">
        <f t="shared" si="47"/>
        <v>12</v>
      </c>
      <c r="F1493">
        <v>75.499499999999998</v>
      </c>
      <c r="G1493">
        <v>76.125399999999999</v>
      </c>
      <c r="H1493">
        <v>75.1083</v>
      </c>
      <c r="I1493">
        <v>75.1083</v>
      </c>
      <c r="J1493">
        <v>12055</v>
      </c>
      <c r="K1493">
        <v>-0.51949999999999996</v>
      </c>
      <c r="L1493">
        <v>1.3542000000000001</v>
      </c>
    </row>
    <row r="1494" spans="1:12" x14ac:dyDescent="0.25">
      <c r="A1494">
        <v>2303</v>
      </c>
      <c r="B1494" t="s">
        <v>10</v>
      </c>
      <c r="C1494" s="1">
        <v>41270</v>
      </c>
      <c r="D1494" s="2">
        <f t="shared" si="46"/>
        <v>4</v>
      </c>
      <c r="E1494" s="2">
        <f t="shared" si="47"/>
        <v>12</v>
      </c>
      <c r="F1494">
        <v>8.9366000000000003</v>
      </c>
      <c r="G1494">
        <v>8.9748999999999999</v>
      </c>
      <c r="H1494">
        <v>8.8981999999999992</v>
      </c>
      <c r="I1494">
        <v>8.9748999999999999</v>
      </c>
      <c r="J1494">
        <v>29177</v>
      </c>
      <c r="K1494">
        <v>0.42830000000000001</v>
      </c>
      <c r="L1494">
        <v>0.86209999999999998</v>
      </c>
    </row>
    <row r="1495" spans="1:12" hidden="1" x14ac:dyDescent="0.25">
      <c r="A1495">
        <v>2330</v>
      </c>
      <c r="B1495" t="s">
        <v>11</v>
      </c>
      <c r="C1495" s="1">
        <v>41270</v>
      </c>
      <c r="D1495" s="2">
        <f t="shared" si="46"/>
        <v>4</v>
      </c>
      <c r="E1495" s="2">
        <f t="shared" si="47"/>
        <v>12</v>
      </c>
      <c r="F1495">
        <v>75.264799999999994</v>
      </c>
      <c r="G1495">
        <v>75.656000000000006</v>
      </c>
      <c r="H1495">
        <v>74.717100000000002</v>
      </c>
      <c r="I1495">
        <v>74.795299999999997</v>
      </c>
      <c r="J1495">
        <v>24204</v>
      </c>
      <c r="K1495">
        <v>-0.41749999999999998</v>
      </c>
      <c r="L1495">
        <v>1.2565</v>
      </c>
    </row>
    <row r="1496" spans="1:12" x14ac:dyDescent="0.25">
      <c r="A1496">
        <v>2303</v>
      </c>
      <c r="B1496" t="s">
        <v>10</v>
      </c>
      <c r="C1496" s="1">
        <v>41271</v>
      </c>
      <c r="D1496" s="2">
        <f t="shared" si="46"/>
        <v>5</v>
      </c>
      <c r="E1496" s="2">
        <f t="shared" si="47"/>
        <v>12</v>
      </c>
      <c r="F1496">
        <v>9.0516000000000005</v>
      </c>
      <c r="G1496">
        <v>9.09</v>
      </c>
      <c r="H1496">
        <v>8.9748999999999999</v>
      </c>
      <c r="I1496">
        <v>8.9748999999999999</v>
      </c>
      <c r="J1496">
        <v>53452</v>
      </c>
      <c r="K1496">
        <v>0</v>
      </c>
      <c r="L1496">
        <v>1.2821</v>
      </c>
    </row>
    <row r="1497" spans="1:12" hidden="1" x14ac:dyDescent="0.25">
      <c r="A1497">
        <v>2330</v>
      </c>
      <c r="B1497" t="s">
        <v>11</v>
      </c>
      <c r="C1497" s="1">
        <v>41271</v>
      </c>
      <c r="D1497" s="2">
        <f t="shared" si="46"/>
        <v>5</v>
      </c>
      <c r="E1497" s="2">
        <f t="shared" si="47"/>
        <v>12</v>
      </c>
      <c r="F1497">
        <v>75.734200000000001</v>
      </c>
      <c r="G1497">
        <v>75.890699999999995</v>
      </c>
      <c r="H1497">
        <v>75.030100000000004</v>
      </c>
      <c r="I1497">
        <v>75.890699999999995</v>
      </c>
      <c r="J1497">
        <v>25705</v>
      </c>
      <c r="K1497">
        <v>1.4538</v>
      </c>
      <c r="L1497">
        <v>1.147</v>
      </c>
    </row>
    <row r="1498" spans="1:12" x14ac:dyDescent="0.25">
      <c r="A1498">
        <v>2303</v>
      </c>
      <c r="B1498" t="s">
        <v>10</v>
      </c>
      <c r="C1498" s="1">
        <v>41276</v>
      </c>
      <c r="D1498" s="2">
        <f t="shared" si="46"/>
        <v>3</v>
      </c>
      <c r="E1498" s="2">
        <f t="shared" si="47"/>
        <v>1</v>
      </c>
      <c r="F1498">
        <v>9.0516000000000005</v>
      </c>
      <c r="G1498">
        <v>9.1282999999999994</v>
      </c>
      <c r="H1498">
        <v>8.9366000000000003</v>
      </c>
      <c r="I1498">
        <v>9.0516000000000005</v>
      </c>
      <c r="J1498">
        <v>44320</v>
      </c>
      <c r="K1498">
        <v>0.85109999999999997</v>
      </c>
      <c r="L1498">
        <v>2.1459000000000001</v>
      </c>
    </row>
    <row r="1499" spans="1:12" hidden="1" x14ac:dyDescent="0.25">
      <c r="A1499">
        <v>2330</v>
      </c>
      <c r="B1499" t="s">
        <v>11</v>
      </c>
      <c r="C1499" s="1">
        <v>41276</v>
      </c>
      <c r="D1499" s="2">
        <f t="shared" si="46"/>
        <v>3</v>
      </c>
      <c r="E1499" s="2">
        <f t="shared" si="47"/>
        <v>1</v>
      </c>
      <c r="F1499">
        <v>76.360100000000003</v>
      </c>
      <c r="G1499">
        <v>78.159599999999998</v>
      </c>
      <c r="H1499">
        <v>75.968900000000005</v>
      </c>
      <c r="I1499">
        <v>77.924800000000005</v>
      </c>
      <c r="J1499">
        <v>40647</v>
      </c>
      <c r="K1499">
        <v>2.6450999999999998</v>
      </c>
      <c r="L1499">
        <v>2.8835999999999999</v>
      </c>
    </row>
    <row r="1500" spans="1:12" x14ac:dyDescent="0.25">
      <c r="A1500">
        <v>2303</v>
      </c>
      <c r="B1500" t="s">
        <v>10</v>
      </c>
      <c r="C1500" s="1">
        <v>41277</v>
      </c>
      <c r="D1500" s="2">
        <f t="shared" si="46"/>
        <v>4</v>
      </c>
      <c r="E1500" s="2">
        <f t="shared" si="47"/>
        <v>1</v>
      </c>
      <c r="F1500">
        <v>9.1667000000000005</v>
      </c>
      <c r="G1500">
        <v>9.6268999999999991</v>
      </c>
      <c r="H1500">
        <v>9.1667000000000005</v>
      </c>
      <c r="I1500">
        <v>9.4734999999999996</v>
      </c>
      <c r="J1500">
        <v>171773</v>
      </c>
      <c r="K1500">
        <v>4.5556999999999999</v>
      </c>
      <c r="L1500">
        <v>5.0209000000000001</v>
      </c>
    </row>
    <row r="1501" spans="1:12" hidden="1" x14ac:dyDescent="0.25">
      <c r="A1501">
        <v>2330</v>
      </c>
      <c r="B1501" t="s">
        <v>11</v>
      </c>
      <c r="C1501" s="1">
        <v>41277</v>
      </c>
      <c r="D1501" s="2">
        <f t="shared" si="46"/>
        <v>4</v>
      </c>
      <c r="E1501" s="2">
        <f t="shared" si="47"/>
        <v>1</v>
      </c>
      <c r="F1501">
        <v>78.629000000000005</v>
      </c>
      <c r="G1501">
        <v>79.802599999999998</v>
      </c>
      <c r="H1501">
        <v>78.237799999999993</v>
      </c>
      <c r="I1501">
        <v>79.020200000000003</v>
      </c>
      <c r="J1501">
        <v>44335</v>
      </c>
      <c r="K1501">
        <v>1.3957999999999999</v>
      </c>
      <c r="L1501">
        <v>2</v>
      </c>
    </row>
    <row r="1502" spans="1:12" x14ac:dyDescent="0.25">
      <c r="A1502">
        <v>2303</v>
      </c>
      <c r="B1502" t="s">
        <v>10</v>
      </c>
      <c r="C1502" s="1">
        <v>41278</v>
      </c>
      <c r="D1502" s="2">
        <f t="shared" si="46"/>
        <v>5</v>
      </c>
      <c r="E1502" s="2">
        <f t="shared" si="47"/>
        <v>1</v>
      </c>
      <c r="F1502">
        <v>9.4734999999999996</v>
      </c>
      <c r="G1502">
        <v>9.6268999999999991</v>
      </c>
      <c r="H1502">
        <v>9.3583999999999996</v>
      </c>
      <c r="I1502">
        <v>9.5119000000000007</v>
      </c>
      <c r="J1502">
        <v>106856</v>
      </c>
      <c r="K1502">
        <v>0.40400000000000003</v>
      </c>
      <c r="L1502">
        <v>2.8689</v>
      </c>
    </row>
    <row r="1503" spans="1:12" hidden="1" x14ac:dyDescent="0.25">
      <c r="A1503">
        <v>2330</v>
      </c>
      <c r="B1503" t="s">
        <v>11</v>
      </c>
      <c r="C1503" s="1">
        <v>41278</v>
      </c>
      <c r="D1503" s="2">
        <f t="shared" si="46"/>
        <v>5</v>
      </c>
      <c r="E1503" s="2">
        <f t="shared" si="47"/>
        <v>1</v>
      </c>
      <c r="F1503">
        <v>78.629000000000005</v>
      </c>
      <c r="G1503">
        <v>79.4114</v>
      </c>
      <c r="H1503">
        <v>78.237799999999993</v>
      </c>
      <c r="I1503">
        <v>79.4114</v>
      </c>
      <c r="J1503">
        <v>39502</v>
      </c>
      <c r="K1503">
        <v>0.49380000000000002</v>
      </c>
      <c r="L1503">
        <v>1.5</v>
      </c>
    </row>
    <row r="1504" spans="1:12" x14ac:dyDescent="0.25">
      <c r="A1504">
        <v>2303</v>
      </c>
      <c r="B1504" t="s">
        <v>10</v>
      </c>
      <c r="C1504" s="1">
        <v>41281</v>
      </c>
      <c r="D1504" s="2">
        <f t="shared" si="46"/>
        <v>1</v>
      </c>
      <c r="E1504" s="2">
        <f t="shared" si="47"/>
        <v>1</v>
      </c>
      <c r="F1504">
        <v>9.5119000000000007</v>
      </c>
      <c r="G1504">
        <v>9.5119000000000007</v>
      </c>
      <c r="H1504">
        <v>9.2817000000000007</v>
      </c>
      <c r="I1504">
        <v>9.3583999999999996</v>
      </c>
      <c r="J1504">
        <v>55917</v>
      </c>
      <c r="K1504">
        <v>-1.6261000000000001</v>
      </c>
      <c r="L1504">
        <v>2.4792999999999998</v>
      </c>
    </row>
    <row r="1505" spans="1:12" hidden="1" x14ac:dyDescent="0.25">
      <c r="A1505">
        <v>2330</v>
      </c>
      <c r="B1505" t="s">
        <v>11</v>
      </c>
      <c r="C1505" s="1">
        <v>41281</v>
      </c>
      <c r="D1505" s="2">
        <f t="shared" si="46"/>
        <v>1</v>
      </c>
      <c r="E1505" s="2">
        <f t="shared" si="47"/>
        <v>1</v>
      </c>
      <c r="F1505">
        <v>79.020200000000003</v>
      </c>
      <c r="G1505">
        <v>79.020200000000003</v>
      </c>
      <c r="H1505">
        <v>77.533699999999996</v>
      </c>
      <c r="I1505">
        <v>78.629000000000005</v>
      </c>
      <c r="J1505">
        <v>42328</v>
      </c>
      <c r="K1505">
        <v>-0.99009999999999998</v>
      </c>
      <c r="L1505">
        <v>1.9173</v>
      </c>
    </row>
    <row r="1506" spans="1:12" x14ac:dyDescent="0.25">
      <c r="A1506">
        <v>2303</v>
      </c>
      <c r="B1506" t="s">
        <v>10</v>
      </c>
      <c r="C1506" s="1">
        <v>41282</v>
      </c>
      <c r="D1506" s="2">
        <f t="shared" si="46"/>
        <v>2</v>
      </c>
      <c r="E1506" s="2">
        <f t="shared" si="47"/>
        <v>1</v>
      </c>
      <c r="F1506">
        <v>9.3583999999999996</v>
      </c>
      <c r="G1506">
        <v>9.4734999999999996</v>
      </c>
      <c r="H1506">
        <v>9.2050000000000001</v>
      </c>
      <c r="I1506">
        <v>9.2817000000000007</v>
      </c>
      <c r="J1506">
        <v>55647</v>
      </c>
      <c r="K1506">
        <v>-0.82299999999999995</v>
      </c>
      <c r="L1506">
        <v>2.9167000000000001</v>
      </c>
    </row>
    <row r="1507" spans="1:12" hidden="1" x14ac:dyDescent="0.25">
      <c r="A1507">
        <v>2330</v>
      </c>
      <c r="B1507" t="s">
        <v>11</v>
      </c>
      <c r="C1507" s="1">
        <v>41282</v>
      </c>
      <c r="D1507" s="2">
        <f t="shared" si="46"/>
        <v>2</v>
      </c>
      <c r="E1507" s="2">
        <f t="shared" si="47"/>
        <v>1</v>
      </c>
      <c r="F1507">
        <v>77.924800000000005</v>
      </c>
      <c r="G1507">
        <v>78.237799999999993</v>
      </c>
      <c r="H1507">
        <v>77.377200000000002</v>
      </c>
      <c r="I1507">
        <v>78.003100000000003</v>
      </c>
      <c r="J1507">
        <v>31218</v>
      </c>
      <c r="K1507">
        <v>-0.79920000000000002</v>
      </c>
      <c r="L1507">
        <v>1.1122000000000001</v>
      </c>
    </row>
    <row r="1508" spans="1:12" x14ac:dyDescent="0.25">
      <c r="A1508">
        <v>2303</v>
      </c>
      <c r="B1508" t="s">
        <v>10</v>
      </c>
      <c r="C1508" s="1">
        <v>41283</v>
      </c>
      <c r="D1508" s="2">
        <f t="shared" si="46"/>
        <v>3</v>
      </c>
      <c r="E1508" s="2">
        <f t="shared" si="47"/>
        <v>1</v>
      </c>
      <c r="F1508">
        <v>9.2050000000000001</v>
      </c>
      <c r="G1508">
        <v>9.2433999999999994</v>
      </c>
      <c r="H1508">
        <v>9.09</v>
      </c>
      <c r="I1508">
        <v>9.09</v>
      </c>
      <c r="J1508">
        <v>70863</v>
      </c>
      <c r="K1508">
        <v>-2.0878000000000001</v>
      </c>
      <c r="L1508">
        <v>1.6878</v>
      </c>
    </row>
    <row r="1509" spans="1:12" hidden="1" x14ac:dyDescent="0.25">
      <c r="A1509">
        <v>2330</v>
      </c>
      <c r="B1509" t="s">
        <v>11</v>
      </c>
      <c r="C1509" s="1">
        <v>41283</v>
      </c>
      <c r="D1509" s="2">
        <f t="shared" si="46"/>
        <v>3</v>
      </c>
      <c r="E1509" s="2">
        <f t="shared" si="47"/>
        <v>1</v>
      </c>
      <c r="F1509">
        <v>78.629000000000005</v>
      </c>
      <c r="G1509">
        <v>78.629000000000005</v>
      </c>
      <c r="H1509">
        <v>77.611900000000006</v>
      </c>
      <c r="I1509">
        <v>78.237799999999993</v>
      </c>
      <c r="J1509">
        <v>26417</v>
      </c>
      <c r="K1509">
        <v>0.30049999999999999</v>
      </c>
      <c r="L1509">
        <v>1.3105</v>
      </c>
    </row>
    <row r="1510" spans="1:12" x14ac:dyDescent="0.25">
      <c r="A1510">
        <v>2303</v>
      </c>
      <c r="B1510" t="s">
        <v>10</v>
      </c>
      <c r="C1510" s="1">
        <v>41284</v>
      </c>
      <c r="D1510" s="2">
        <f t="shared" si="46"/>
        <v>4</v>
      </c>
      <c r="E1510" s="2">
        <f t="shared" si="47"/>
        <v>1</v>
      </c>
      <c r="F1510">
        <v>9.2050000000000001</v>
      </c>
      <c r="G1510">
        <v>9.2050000000000001</v>
      </c>
      <c r="H1510">
        <v>9.0516000000000005</v>
      </c>
      <c r="I1510">
        <v>9.0516000000000005</v>
      </c>
      <c r="J1510">
        <v>54746</v>
      </c>
      <c r="K1510">
        <v>-0.42280000000000001</v>
      </c>
      <c r="L1510">
        <v>1.6949000000000001</v>
      </c>
    </row>
    <row r="1511" spans="1:12" hidden="1" x14ac:dyDescent="0.25">
      <c r="A1511">
        <v>2330</v>
      </c>
      <c r="B1511" t="s">
        <v>11</v>
      </c>
      <c r="C1511" s="1">
        <v>41284</v>
      </c>
      <c r="D1511" s="2">
        <f t="shared" si="46"/>
        <v>4</v>
      </c>
      <c r="E1511" s="2">
        <f t="shared" si="47"/>
        <v>1</v>
      </c>
      <c r="F1511">
        <v>78.159599999999998</v>
      </c>
      <c r="G1511">
        <v>79.020200000000003</v>
      </c>
      <c r="H1511">
        <v>77.846599999999995</v>
      </c>
      <c r="I1511">
        <v>79.020200000000003</v>
      </c>
      <c r="J1511">
        <v>41234</v>
      </c>
      <c r="K1511">
        <v>0.995</v>
      </c>
      <c r="L1511">
        <v>1.5075000000000001</v>
      </c>
    </row>
    <row r="1512" spans="1:12" x14ac:dyDescent="0.25">
      <c r="A1512">
        <v>2303</v>
      </c>
      <c r="B1512" t="s">
        <v>10</v>
      </c>
      <c r="C1512" s="1">
        <v>41285</v>
      </c>
      <c r="D1512" s="2">
        <f t="shared" si="46"/>
        <v>5</v>
      </c>
      <c r="E1512" s="2">
        <f t="shared" si="47"/>
        <v>1</v>
      </c>
      <c r="F1512">
        <v>9.1282999999999994</v>
      </c>
      <c r="G1512">
        <v>9.1667000000000005</v>
      </c>
      <c r="H1512">
        <v>9.0516000000000005</v>
      </c>
      <c r="I1512">
        <v>9.09</v>
      </c>
      <c r="J1512">
        <v>31247</v>
      </c>
      <c r="K1512">
        <v>0.42280000000000001</v>
      </c>
      <c r="L1512">
        <v>1.2712000000000001</v>
      </c>
    </row>
    <row r="1513" spans="1:12" hidden="1" x14ac:dyDescent="0.25">
      <c r="A1513">
        <v>2330</v>
      </c>
      <c r="B1513" t="s">
        <v>11</v>
      </c>
      <c r="C1513" s="1">
        <v>41285</v>
      </c>
      <c r="D1513" s="2">
        <f t="shared" si="46"/>
        <v>5</v>
      </c>
      <c r="E1513" s="2">
        <f t="shared" si="47"/>
        <v>1</v>
      </c>
      <c r="F1513">
        <v>79.4114</v>
      </c>
      <c r="G1513">
        <v>79.4114</v>
      </c>
      <c r="H1513">
        <v>78.629000000000005</v>
      </c>
      <c r="I1513">
        <v>79.020200000000003</v>
      </c>
      <c r="J1513">
        <v>22993</v>
      </c>
      <c r="K1513">
        <v>0</v>
      </c>
      <c r="L1513">
        <v>0.995</v>
      </c>
    </row>
    <row r="1514" spans="1:12" x14ac:dyDescent="0.25">
      <c r="A1514">
        <v>2303</v>
      </c>
      <c r="B1514" t="s">
        <v>10</v>
      </c>
      <c r="C1514" s="1">
        <v>41288</v>
      </c>
      <c r="D1514" s="2">
        <f t="shared" si="46"/>
        <v>1</v>
      </c>
      <c r="E1514" s="2">
        <f t="shared" si="47"/>
        <v>1</v>
      </c>
      <c r="F1514">
        <v>9.09</v>
      </c>
      <c r="G1514">
        <v>9.09</v>
      </c>
      <c r="H1514">
        <v>8.9748999999999999</v>
      </c>
      <c r="I1514">
        <v>9.0516000000000005</v>
      </c>
      <c r="J1514">
        <v>37858</v>
      </c>
      <c r="K1514">
        <v>-0.42280000000000001</v>
      </c>
      <c r="L1514">
        <v>1.2821</v>
      </c>
    </row>
    <row r="1515" spans="1:12" hidden="1" x14ac:dyDescent="0.25">
      <c r="A1515">
        <v>2330</v>
      </c>
      <c r="B1515" t="s">
        <v>11</v>
      </c>
      <c r="C1515" s="1">
        <v>41288</v>
      </c>
      <c r="D1515" s="2">
        <f t="shared" si="46"/>
        <v>1</v>
      </c>
      <c r="E1515" s="2">
        <f t="shared" si="47"/>
        <v>1</v>
      </c>
      <c r="F1515">
        <v>79.020200000000003</v>
      </c>
      <c r="G1515">
        <v>79.802599999999998</v>
      </c>
      <c r="H1515">
        <v>78.237799999999993</v>
      </c>
      <c r="I1515">
        <v>79.802599999999998</v>
      </c>
      <c r="J1515">
        <v>23575</v>
      </c>
      <c r="K1515">
        <v>0.98519999999999996</v>
      </c>
      <c r="L1515">
        <v>2</v>
      </c>
    </row>
    <row r="1516" spans="1:12" x14ac:dyDescent="0.25">
      <c r="A1516">
        <v>2303</v>
      </c>
      <c r="B1516" t="s">
        <v>10</v>
      </c>
      <c r="C1516" s="1">
        <v>41289</v>
      </c>
      <c r="D1516" s="2">
        <f t="shared" si="46"/>
        <v>2</v>
      </c>
      <c r="E1516" s="2">
        <f t="shared" si="47"/>
        <v>1</v>
      </c>
      <c r="F1516">
        <v>9.09</v>
      </c>
      <c r="G1516">
        <v>9.09</v>
      </c>
      <c r="H1516">
        <v>8.8981999999999992</v>
      </c>
      <c r="I1516">
        <v>8.9366000000000003</v>
      </c>
      <c r="J1516">
        <v>47248</v>
      </c>
      <c r="K1516">
        <v>-1.2793000000000001</v>
      </c>
      <c r="L1516">
        <v>2.1551999999999998</v>
      </c>
    </row>
    <row r="1517" spans="1:12" hidden="1" x14ac:dyDescent="0.25">
      <c r="A1517">
        <v>2330</v>
      </c>
      <c r="B1517" t="s">
        <v>11</v>
      </c>
      <c r="C1517" s="1">
        <v>41289</v>
      </c>
      <c r="D1517" s="2">
        <f t="shared" si="46"/>
        <v>2</v>
      </c>
      <c r="E1517" s="2">
        <f t="shared" si="47"/>
        <v>1</v>
      </c>
      <c r="F1517">
        <v>79.802599999999998</v>
      </c>
      <c r="G1517">
        <v>79.802599999999998</v>
      </c>
      <c r="H1517">
        <v>78.081299999999999</v>
      </c>
      <c r="I1517">
        <v>78.629000000000005</v>
      </c>
      <c r="J1517">
        <v>36015</v>
      </c>
      <c r="K1517">
        <v>-1.4815</v>
      </c>
      <c r="L1517">
        <v>2.2044000000000001</v>
      </c>
    </row>
    <row r="1518" spans="1:12" x14ac:dyDescent="0.25">
      <c r="A1518">
        <v>2303</v>
      </c>
      <c r="B1518" t="s">
        <v>10</v>
      </c>
      <c r="C1518" s="1">
        <v>41290</v>
      </c>
      <c r="D1518" s="2">
        <f t="shared" si="46"/>
        <v>3</v>
      </c>
      <c r="E1518" s="2">
        <f t="shared" si="47"/>
        <v>1</v>
      </c>
      <c r="F1518">
        <v>8.9366000000000003</v>
      </c>
      <c r="G1518">
        <v>8.9748999999999999</v>
      </c>
      <c r="H1518">
        <v>8.8215000000000003</v>
      </c>
      <c r="I1518">
        <v>8.8215000000000003</v>
      </c>
      <c r="J1518">
        <v>42384</v>
      </c>
      <c r="K1518">
        <v>-1.2959000000000001</v>
      </c>
      <c r="L1518">
        <v>1.7391000000000001</v>
      </c>
    </row>
    <row r="1519" spans="1:12" hidden="1" x14ac:dyDescent="0.25">
      <c r="A1519">
        <v>2330</v>
      </c>
      <c r="B1519" t="s">
        <v>11</v>
      </c>
      <c r="C1519" s="1">
        <v>41290</v>
      </c>
      <c r="D1519" s="2">
        <f t="shared" si="46"/>
        <v>3</v>
      </c>
      <c r="E1519" s="2">
        <f t="shared" si="47"/>
        <v>1</v>
      </c>
      <c r="F1519">
        <v>78.629000000000005</v>
      </c>
      <c r="G1519">
        <v>78.629000000000005</v>
      </c>
      <c r="H1519">
        <v>77.611900000000006</v>
      </c>
      <c r="I1519">
        <v>77.611900000000006</v>
      </c>
      <c r="J1519">
        <v>35496</v>
      </c>
      <c r="K1519">
        <v>-1.302</v>
      </c>
      <c r="L1519">
        <v>1.3105</v>
      </c>
    </row>
    <row r="1520" spans="1:12" x14ac:dyDescent="0.25">
      <c r="A1520">
        <v>2303</v>
      </c>
      <c r="B1520" t="s">
        <v>10</v>
      </c>
      <c r="C1520" s="1">
        <v>41291</v>
      </c>
      <c r="D1520" s="2">
        <f t="shared" si="46"/>
        <v>4</v>
      </c>
      <c r="E1520" s="2">
        <f t="shared" si="47"/>
        <v>1</v>
      </c>
      <c r="F1520">
        <v>8.8981999999999992</v>
      </c>
      <c r="G1520">
        <v>8.8981999999999992</v>
      </c>
      <c r="H1520">
        <v>8.5914000000000001</v>
      </c>
      <c r="I1520">
        <v>8.5914000000000001</v>
      </c>
      <c r="J1520">
        <v>52357</v>
      </c>
      <c r="K1520">
        <v>-2.6433</v>
      </c>
      <c r="L1520">
        <v>3.5714000000000001</v>
      </c>
    </row>
    <row r="1521" spans="1:12" hidden="1" x14ac:dyDescent="0.25">
      <c r="A1521">
        <v>2330</v>
      </c>
      <c r="B1521" t="s">
        <v>11</v>
      </c>
      <c r="C1521" s="1">
        <v>41291</v>
      </c>
      <c r="D1521" s="2">
        <f t="shared" si="46"/>
        <v>4</v>
      </c>
      <c r="E1521" s="2">
        <f t="shared" si="47"/>
        <v>1</v>
      </c>
      <c r="F1521">
        <v>78.629000000000005</v>
      </c>
      <c r="G1521">
        <v>79.020200000000003</v>
      </c>
      <c r="H1521">
        <v>77.0642</v>
      </c>
      <c r="I1521">
        <v>77.690100000000001</v>
      </c>
      <c r="J1521">
        <v>40526</v>
      </c>
      <c r="K1521">
        <v>0.1008</v>
      </c>
      <c r="L1521">
        <v>2.5381</v>
      </c>
    </row>
    <row r="1522" spans="1:12" x14ac:dyDescent="0.25">
      <c r="A1522">
        <v>2303</v>
      </c>
      <c r="B1522" t="s">
        <v>10</v>
      </c>
      <c r="C1522" s="1">
        <v>41292</v>
      </c>
      <c r="D1522" s="2">
        <f t="shared" si="46"/>
        <v>5</v>
      </c>
      <c r="E1522" s="2">
        <f t="shared" si="47"/>
        <v>1</v>
      </c>
      <c r="F1522">
        <v>8.6681000000000008</v>
      </c>
      <c r="G1522">
        <v>8.8597999999999999</v>
      </c>
      <c r="H1522">
        <v>8.6681000000000008</v>
      </c>
      <c r="I1522">
        <v>8.8215000000000003</v>
      </c>
      <c r="J1522">
        <v>48558</v>
      </c>
      <c r="K1522">
        <v>2.6433</v>
      </c>
      <c r="L1522">
        <v>2.2124000000000001</v>
      </c>
    </row>
    <row r="1523" spans="1:12" hidden="1" x14ac:dyDescent="0.25">
      <c r="A1523">
        <v>2330</v>
      </c>
      <c r="B1523" t="s">
        <v>11</v>
      </c>
      <c r="C1523" s="1">
        <v>41292</v>
      </c>
      <c r="D1523" s="2">
        <f t="shared" si="46"/>
        <v>5</v>
      </c>
      <c r="E1523" s="2">
        <f t="shared" si="47"/>
        <v>1</v>
      </c>
      <c r="F1523">
        <v>79.4114</v>
      </c>
      <c r="G1523">
        <v>79.4114</v>
      </c>
      <c r="H1523">
        <v>78.629000000000005</v>
      </c>
      <c r="I1523">
        <v>79.4114</v>
      </c>
      <c r="J1523">
        <v>49874</v>
      </c>
      <c r="K1523">
        <v>2.1913</v>
      </c>
      <c r="L1523">
        <v>0.995</v>
      </c>
    </row>
    <row r="1524" spans="1:12" x14ac:dyDescent="0.25">
      <c r="A1524">
        <v>2303</v>
      </c>
      <c r="B1524" t="s">
        <v>10</v>
      </c>
      <c r="C1524" s="1">
        <v>41295</v>
      </c>
      <c r="D1524" s="2">
        <f t="shared" si="46"/>
        <v>1</v>
      </c>
      <c r="E1524" s="2">
        <f t="shared" si="47"/>
        <v>1</v>
      </c>
      <c r="F1524">
        <v>8.7447999999999997</v>
      </c>
      <c r="G1524">
        <v>8.7830999999999992</v>
      </c>
      <c r="H1524">
        <v>8.7064000000000004</v>
      </c>
      <c r="I1524">
        <v>8.7830999999999992</v>
      </c>
      <c r="J1524">
        <v>19466</v>
      </c>
      <c r="K1524">
        <v>-0.43569999999999998</v>
      </c>
      <c r="L1524">
        <v>0.88109999999999999</v>
      </c>
    </row>
    <row r="1525" spans="1:12" hidden="1" x14ac:dyDescent="0.25">
      <c r="A1525">
        <v>2330</v>
      </c>
      <c r="B1525" t="s">
        <v>11</v>
      </c>
      <c r="C1525" s="1">
        <v>41295</v>
      </c>
      <c r="D1525" s="2">
        <f t="shared" si="46"/>
        <v>1</v>
      </c>
      <c r="E1525" s="2">
        <f t="shared" si="47"/>
        <v>1</v>
      </c>
      <c r="F1525">
        <v>79.020200000000003</v>
      </c>
      <c r="G1525">
        <v>79.020200000000003</v>
      </c>
      <c r="H1525">
        <v>78.237799999999993</v>
      </c>
      <c r="I1525">
        <v>78.629000000000005</v>
      </c>
      <c r="J1525">
        <v>17310</v>
      </c>
      <c r="K1525">
        <v>-0.99009999999999998</v>
      </c>
      <c r="L1525">
        <v>1</v>
      </c>
    </row>
    <row r="1526" spans="1:12" x14ac:dyDescent="0.25">
      <c r="A1526">
        <v>2303</v>
      </c>
      <c r="B1526" t="s">
        <v>10</v>
      </c>
      <c r="C1526" s="1">
        <v>41296</v>
      </c>
      <c r="D1526" s="2">
        <f t="shared" si="46"/>
        <v>2</v>
      </c>
      <c r="E1526" s="2">
        <f t="shared" si="47"/>
        <v>1</v>
      </c>
      <c r="F1526">
        <v>8.7830999999999992</v>
      </c>
      <c r="G1526">
        <v>8.8215000000000003</v>
      </c>
      <c r="H1526">
        <v>8.7064000000000004</v>
      </c>
      <c r="I1526">
        <v>8.8215000000000003</v>
      </c>
      <c r="J1526">
        <v>14579</v>
      </c>
      <c r="K1526">
        <v>0.43569999999999998</v>
      </c>
      <c r="L1526">
        <v>1.3216000000000001</v>
      </c>
    </row>
    <row r="1527" spans="1:12" hidden="1" x14ac:dyDescent="0.25">
      <c r="A1527">
        <v>2330</v>
      </c>
      <c r="B1527" t="s">
        <v>11</v>
      </c>
      <c r="C1527" s="1">
        <v>41296</v>
      </c>
      <c r="D1527" s="2">
        <f t="shared" si="46"/>
        <v>2</v>
      </c>
      <c r="E1527" s="2">
        <f t="shared" si="47"/>
        <v>1</v>
      </c>
      <c r="F1527">
        <v>79.020200000000003</v>
      </c>
      <c r="G1527">
        <v>79.020200000000003</v>
      </c>
      <c r="H1527">
        <v>78.159599999999998</v>
      </c>
      <c r="I1527">
        <v>79.020200000000003</v>
      </c>
      <c r="J1527">
        <v>21946</v>
      </c>
      <c r="K1527">
        <v>0.49630000000000002</v>
      </c>
      <c r="L1527">
        <v>1.1011</v>
      </c>
    </row>
    <row r="1528" spans="1:12" x14ac:dyDescent="0.25">
      <c r="A1528">
        <v>2303</v>
      </c>
      <c r="B1528" t="s">
        <v>10</v>
      </c>
      <c r="C1528" s="1">
        <v>41297</v>
      </c>
      <c r="D1528" s="2">
        <f t="shared" si="46"/>
        <v>3</v>
      </c>
      <c r="E1528" s="2">
        <f t="shared" si="47"/>
        <v>1</v>
      </c>
      <c r="F1528">
        <v>8.7447999999999997</v>
      </c>
      <c r="G1528">
        <v>8.8981999999999992</v>
      </c>
      <c r="H1528">
        <v>8.7447999999999997</v>
      </c>
      <c r="I1528">
        <v>8.7830999999999992</v>
      </c>
      <c r="J1528">
        <v>31268</v>
      </c>
      <c r="K1528">
        <v>-0.43569999999999998</v>
      </c>
      <c r="L1528">
        <v>1.7544</v>
      </c>
    </row>
    <row r="1529" spans="1:12" hidden="1" x14ac:dyDescent="0.25">
      <c r="A1529">
        <v>2330</v>
      </c>
      <c r="B1529" t="s">
        <v>11</v>
      </c>
      <c r="C1529" s="1">
        <v>41297</v>
      </c>
      <c r="D1529" s="2">
        <f t="shared" si="46"/>
        <v>3</v>
      </c>
      <c r="E1529" s="2">
        <f t="shared" si="47"/>
        <v>1</v>
      </c>
      <c r="F1529">
        <v>79.4114</v>
      </c>
      <c r="G1529">
        <v>79.4114</v>
      </c>
      <c r="H1529">
        <v>78.237799999999993</v>
      </c>
      <c r="I1529">
        <v>79.020200000000003</v>
      </c>
      <c r="J1529">
        <v>30821</v>
      </c>
      <c r="K1529">
        <v>0</v>
      </c>
      <c r="L1529">
        <v>1.5</v>
      </c>
    </row>
    <row r="1530" spans="1:12" x14ac:dyDescent="0.25">
      <c r="A1530">
        <v>2303</v>
      </c>
      <c r="B1530" t="s">
        <v>10</v>
      </c>
      <c r="C1530" s="1">
        <v>41298</v>
      </c>
      <c r="D1530" s="2">
        <f t="shared" si="46"/>
        <v>4</v>
      </c>
      <c r="E1530" s="2">
        <f t="shared" si="47"/>
        <v>1</v>
      </c>
      <c r="F1530">
        <v>8.7447999999999997</v>
      </c>
      <c r="G1530">
        <v>8.8981999999999992</v>
      </c>
      <c r="H1530">
        <v>8.7064000000000004</v>
      </c>
      <c r="I1530">
        <v>8.7447999999999997</v>
      </c>
      <c r="J1530">
        <v>35589</v>
      </c>
      <c r="K1530">
        <v>-0.43759999999999999</v>
      </c>
      <c r="L1530">
        <v>2.2025999999999999</v>
      </c>
    </row>
    <row r="1531" spans="1:12" hidden="1" x14ac:dyDescent="0.25">
      <c r="A1531">
        <v>2330</v>
      </c>
      <c r="B1531" t="s">
        <v>11</v>
      </c>
      <c r="C1531" s="1">
        <v>41298</v>
      </c>
      <c r="D1531" s="2">
        <f t="shared" si="46"/>
        <v>4</v>
      </c>
      <c r="E1531" s="2">
        <f t="shared" si="47"/>
        <v>1</v>
      </c>
      <c r="F1531">
        <v>78.237799999999993</v>
      </c>
      <c r="G1531">
        <v>78.629000000000005</v>
      </c>
      <c r="H1531">
        <v>77.611900000000006</v>
      </c>
      <c r="I1531">
        <v>78.159599999999998</v>
      </c>
      <c r="J1531">
        <v>40653</v>
      </c>
      <c r="K1531">
        <v>-1.0951</v>
      </c>
      <c r="L1531">
        <v>1.3105</v>
      </c>
    </row>
    <row r="1532" spans="1:12" x14ac:dyDescent="0.25">
      <c r="A1532">
        <v>2303</v>
      </c>
      <c r="B1532" t="s">
        <v>10</v>
      </c>
      <c r="C1532" s="1">
        <v>41299</v>
      </c>
      <c r="D1532" s="2">
        <f t="shared" si="46"/>
        <v>5</v>
      </c>
      <c r="E1532" s="2">
        <f t="shared" si="47"/>
        <v>1</v>
      </c>
      <c r="F1532">
        <v>8.7447999999999997</v>
      </c>
      <c r="G1532">
        <v>8.8215000000000003</v>
      </c>
      <c r="H1532">
        <v>8.6296999999999997</v>
      </c>
      <c r="I1532">
        <v>8.6296999999999997</v>
      </c>
      <c r="J1532">
        <v>30430</v>
      </c>
      <c r="K1532">
        <v>-1.3245</v>
      </c>
      <c r="L1532">
        <v>2.2222</v>
      </c>
    </row>
    <row r="1533" spans="1:12" hidden="1" x14ac:dyDescent="0.25">
      <c r="A1533">
        <v>2330</v>
      </c>
      <c r="B1533" t="s">
        <v>11</v>
      </c>
      <c r="C1533" s="1">
        <v>41299</v>
      </c>
      <c r="D1533" s="2">
        <f t="shared" si="46"/>
        <v>5</v>
      </c>
      <c r="E1533" s="2">
        <f t="shared" si="47"/>
        <v>1</v>
      </c>
      <c r="F1533">
        <v>78.159599999999998</v>
      </c>
      <c r="G1533">
        <v>78.159599999999998</v>
      </c>
      <c r="H1533">
        <v>76.673000000000002</v>
      </c>
      <c r="I1533">
        <v>77.455399999999997</v>
      </c>
      <c r="J1533">
        <v>48674</v>
      </c>
      <c r="K1533">
        <v>-0.90500000000000003</v>
      </c>
      <c r="L1533">
        <v>1.9388000000000001</v>
      </c>
    </row>
    <row r="1534" spans="1:12" x14ac:dyDescent="0.25">
      <c r="A1534">
        <v>2303</v>
      </c>
      <c r="B1534" t="s">
        <v>10</v>
      </c>
      <c r="C1534" s="1">
        <v>41302</v>
      </c>
      <c r="D1534" s="2">
        <f t="shared" si="46"/>
        <v>1</v>
      </c>
      <c r="E1534" s="2">
        <f t="shared" si="47"/>
        <v>1</v>
      </c>
      <c r="F1534">
        <v>8.6681000000000008</v>
      </c>
      <c r="G1534">
        <v>8.7830999999999992</v>
      </c>
      <c r="H1534">
        <v>8.6681000000000008</v>
      </c>
      <c r="I1534">
        <v>8.7064000000000004</v>
      </c>
      <c r="J1534">
        <v>15135</v>
      </c>
      <c r="K1534">
        <v>0.88500000000000001</v>
      </c>
      <c r="L1534">
        <v>1.3273999999999999</v>
      </c>
    </row>
    <row r="1535" spans="1:12" hidden="1" x14ac:dyDescent="0.25">
      <c r="A1535">
        <v>2330</v>
      </c>
      <c r="B1535" t="s">
        <v>11</v>
      </c>
      <c r="C1535" s="1">
        <v>41302</v>
      </c>
      <c r="D1535" s="2">
        <f t="shared" si="46"/>
        <v>1</v>
      </c>
      <c r="E1535" s="2">
        <f t="shared" si="47"/>
        <v>1</v>
      </c>
      <c r="F1535">
        <v>77.220699999999994</v>
      </c>
      <c r="G1535">
        <v>77.846599999999995</v>
      </c>
      <c r="H1535">
        <v>77.142499999999998</v>
      </c>
      <c r="I1535">
        <v>77.690100000000001</v>
      </c>
      <c r="J1535">
        <v>29190</v>
      </c>
      <c r="K1535">
        <v>0.30259999999999998</v>
      </c>
      <c r="L1535">
        <v>0.91279999999999994</v>
      </c>
    </row>
    <row r="1536" spans="1:12" x14ac:dyDescent="0.25">
      <c r="A1536">
        <v>2303</v>
      </c>
      <c r="B1536" t="s">
        <v>10</v>
      </c>
      <c r="C1536" s="1">
        <v>41303</v>
      </c>
      <c r="D1536" s="2">
        <f t="shared" si="46"/>
        <v>2</v>
      </c>
      <c r="E1536" s="2">
        <f t="shared" si="47"/>
        <v>1</v>
      </c>
      <c r="F1536">
        <v>8.7830999999999992</v>
      </c>
      <c r="G1536">
        <v>8.8981999999999992</v>
      </c>
      <c r="H1536">
        <v>8.7447999999999997</v>
      </c>
      <c r="I1536">
        <v>8.8597999999999999</v>
      </c>
      <c r="J1536">
        <v>40765</v>
      </c>
      <c r="K1536">
        <v>1.7467999999999999</v>
      </c>
      <c r="L1536">
        <v>1.7544</v>
      </c>
    </row>
    <row r="1537" spans="1:12" hidden="1" x14ac:dyDescent="0.25">
      <c r="A1537">
        <v>2330</v>
      </c>
      <c r="B1537" t="s">
        <v>11</v>
      </c>
      <c r="C1537" s="1">
        <v>41303</v>
      </c>
      <c r="D1537" s="2">
        <f t="shared" si="46"/>
        <v>2</v>
      </c>
      <c r="E1537" s="2">
        <f t="shared" si="47"/>
        <v>1</v>
      </c>
      <c r="F1537">
        <v>78.237799999999993</v>
      </c>
      <c r="G1537">
        <v>79.4114</v>
      </c>
      <c r="H1537">
        <v>78.003100000000003</v>
      </c>
      <c r="I1537">
        <v>79.020200000000003</v>
      </c>
      <c r="J1537">
        <v>36060</v>
      </c>
      <c r="K1537">
        <v>1.6975</v>
      </c>
      <c r="L1537">
        <v>1.8053999999999999</v>
      </c>
    </row>
    <row r="1538" spans="1:12" x14ac:dyDescent="0.25">
      <c r="A1538">
        <v>2303</v>
      </c>
      <c r="B1538" t="s">
        <v>10</v>
      </c>
      <c r="C1538" s="1">
        <v>41304</v>
      </c>
      <c r="D1538" s="2">
        <f t="shared" si="46"/>
        <v>3</v>
      </c>
      <c r="E1538" s="2">
        <f t="shared" si="47"/>
        <v>1</v>
      </c>
      <c r="F1538">
        <v>8.9366000000000003</v>
      </c>
      <c r="G1538">
        <v>8.9366000000000003</v>
      </c>
      <c r="H1538">
        <v>8.8215000000000003</v>
      </c>
      <c r="I1538">
        <v>8.9366000000000003</v>
      </c>
      <c r="J1538">
        <v>40018</v>
      </c>
      <c r="K1538">
        <v>0.86209999999999998</v>
      </c>
      <c r="L1538">
        <v>1.3043</v>
      </c>
    </row>
    <row r="1539" spans="1:12" hidden="1" x14ac:dyDescent="0.25">
      <c r="A1539">
        <v>2330</v>
      </c>
      <c r="B1539" t="s">
        <v>11</v>
      </c>
      <c r="C1539" s="1">
        <v>41304</v>
      </c>
      <c r="D1539" s="2">
        <f t="shared" ref="D1539:D1602" si="48">WEEKDAY(C1539,2)</f>
        <v>3</v>
      </c>
      <c r="E1539" s="2">
        <f t="shared" ref="E1539:E1602" si="49">MONTH(C1539)</f>
        <v>1</v>
      </c>
      <c r="F1539">
        <v>79.802599999999998</v>
      </c>
      <c r="G1539">
        <v>79.802599999999998</v>
      </c>
      <c r="H1539">
        <v>78.629000000000005</v>
      </c>
      <c r="I1539">
        <v>79.4114</v>
      </c>
      <c r="J1539">
        <v>28862</v>
      </c>
      <c r="K1539">
        <v>0.49380000000000002</v>
      </c>
      <c r="L1539">
        <v>1.4924999999999999</v>
      </c>
    </row>
    <row r="1540" spans="1:12" x14ac:dyDescent="0.25">
      <c r="A1540">
        <v>2303</v>
      </c>
      <c r="B1540" t="s">
        <v>10</v>
      </c>
      <c r="C1540" s="1">
        <v>41305</v>
      </c>
      <c r="D1540" s="2">
        <f t="shared" si="48"/>
        <v>4</v>
      </c>
      <c r="E1540" s="2">
        <f t="shared" si="49"/>
        <v>1</v>
      </c>
      <c r="F1540">
        <v>8.9366000000000003</v>
      </c>
      <c r="G1540">
        <v>8.9366000000000003</v>
      </c>
      <c r="H1540">
        <v>8.7830999999999992</v>
      </c>
      <c r="I1540">
        <v>8.8215000000000003</v>
      </c>
      <c r="J1540">
        <v>33537</v>
      </c>
      <c r="K1540">
        <v>-1.2959000000000001</v>
      </c>
      <c r="L1540">
        <v>1.7466999999999999</v>
      </c>
    </row>
    <row r="1541" spans="1:12" hidden="1" x14ac:dyDescent="0.25">
      <c r="A1541">
        <v>2330</v>
      </c>
      <c r="B1541" t="s">
        <v>11</v>
      </c>
      <c r="C1541" s="1">
        <v>41305</v>
      </c>
      <c r="D1541" s="2">
        <f t="shared" si="48"/>
        <v>4</v>
      </c>
      <c r="E1541" s="2">
        <f t="shared" si="49"/>
        <v>1</v>
      </c>
      <c r="F1541">
        <v>78.629000000000005</v>
      </c>
      <c r="G1541">
        <v>79.4114</v>
      </c>
      <c r="H1541">
        <v>78.237799999999993</v>
      </c>
      <c r="I1541">
        <v>79.4114</v>
      </c>
      <c r="J1541">
        <v>42489</v>
      </c>
      <c r="K1541">
        <v>0</v>
      </c>
      <c r="L1541">
        <v>1.5</v>
      </c>
    </row>
    <row r="1542" spans="1:12" x14ac:dyDescent="0.25">
      <c r="A1542">
        <v>2303</v>
      </c>
      <c r="B1542" t="s">
        <v>10</v>
      </c>
      <c r="C1542" s="1">
        <v>41306</v>
      </c>
      <c r="D1542" s="2">
        <f t="shared" si="48"/>
        <v>5</v>
      </c>
      <c r="E1542" s="2">
        <f t="shared" si="49"/>
        <v>2</v>
      </c>
      <c r="F1542">
        <v>8.8215000000000003</v>
      </c>
      <c r="G1542">
        <v>8.9366000000000003</v>
      </c>
      <c r="H1542">
        <v>8.8215000000000003</v>
      </c>
      <c r="I1542">
        <v>8.8981999999999992</v>
      </c>
      <c r="J1542">
        <v>26031</v>
      </c>
      <c r="K1542">
        <v>0.86580000000000001</v>
      </c>
      <c r="L1542">
        <v>1.3043</v>
      </c>
    </row>
    <row r="1543" spans="1:12" hidden="1" x14ac:dyDescent="0.25">
      <c r="A1543">
        <v>2330</v>
      </c>
      <c r="B1543" t="s">
        <v>11</v>
      </c>
      <c r="C1543" s="1">
        <v>41306</v>
      </c>
      <c r="D1543" s="2">
        <f t="shared" si="48"/>
        <v>5</v>
      </c>
      <c r="E1543" s="2">
        <f t="shared" si="49"/>
        <v>2</v>
      </c>
      <c r="F1543">
        <v>79.4114</v>
      </c>
      <c r="G1543">
        <v>79.4114</v>
      </c>
      <c r="H1543">
        <v>78.629000000000005</v>
      </c>
      <c r="I1543">
        <v>79.4114</v>
      </c>
      <c r="J1543">
        <v>23211</v>
      </c>
      <c r="K1543">
        <v>0</v>
      </c>
      <c r="L1543">
        <v>0.995</v>
      </c>
    </row>
    <row r="1544" spans="1:12" x14ac:dyDescent="0.25">
      <c r="A1544">
        <v>2303</v>
      </c>
      <c r="B1544" t="s">
        <v>10</v>
      </c>
      <c r="C1544" s="1">
        <v>41309</v>
      </c>
      <c r="D1544" s="2">
        <f t="shared" si="48"/>
        <v>1</v>
      </c>
      <c r="E1544" s="2">
        <f t="shared" si="49"/>
        <v>2</v>
      </c>
      <c r="F1544">
        <v>8.9366000000000003</v>
      </c>
      <c r="G1544">
        <v>8.9748999999999999</v>
      </c>
      <c r="H1544">
        <v>8.8597999999999999</v>
      </c>
      <c r="I1544">
        <v>8.9366000000000003</v>
      </c>
      <c r="J1544">
        <v>25603</v>
      </c>
      <c r="K1544">
        <v>0.43009999999999998</v>
      </c>
      <c r="L1544">
        <v>1.2987</v>
      </c>
    </row>
    <row r="1545" spans="1:12" hidden="1" x14ac:dyDescent="0.25">
      <c r="A1545">
        <v>2330</v>
      </c>
      <c r="B1545" t="s">
        <v>11</v>
      </c>
      <c r="C1545" s="1">
        <v>41309</v>
      </c>
      <c r="D1545" s="2">
        <f t="shared" si="48"/>
        <v>1</v>
      </c>
      <c r="E1545" s="2">
        <f t="shared" si="49"/>
        <v>2</v>
      </c>
      <c r="F1545">
        <v>79.802599999999998</v>
      </c>
      <c r="G1545">
        <v>80.584900000000005</v>
      </c>
      <c r="H1545">
        <v>79.802599999999998</v>
      </c>
      <c r="I1545">
        <v>80.584900000000005</v>
      </c>
      <c r="J1545">
        <v>35257</v>
      </c>
      <c r="K1545">
        <v>1.4670000000000001</v>
      </c>
      <c r="L1545">
        <v>0.98040000000000005</v>
      </c>
    </row>
    <row r="1546" spans="1:12" x14ac:dyDescent="0.25">
      <c r="A1546">
        <v>2303</v>
      </c>
      <c r="B1546" t="s">
        <v>10</v>
      </c>
      <c r="C1546" s="1">
        <v>41310</v>
      </c>
      <c r="D1546" s="2">
        <f t="shared" si="48"/>
        <v>2</v>
      </c>
      <c r="E1546" s="2">
        <f t="shared" si="49"/>
        <v>2</v>
      </c>
      <c r="F1546">
        <v>8.8981999999999992</v>
      </c>
      <c r="G1546">
        <v>8.8981999999999992</v>
      </c>
      <c r="H1546">
        <v>8.7447999999999997</v>
      </c>
      <c r="I1546">
        <v>8.7447999999999997</v>
      </c>
      <c r="J1546">
        <v>28816</v>
      </c>
      <c r="K1546">
        <v>-2.1692999999999998</v>
      </c>
      <c r="L1546">
        <v>1.7544</v>
      </c>
    </row>
    <row r="1547" spans="1:12" hidden="1" x14ac:dyDescent="0.25">
      <c r="A1547">
        <v>2330</v>
      </c>
      <c r="B1547" t="s">
        <v>11</v>
      </c>
      <c r="C1547" s="1">
        <v>41310</v>
      </c>
      <c r="D1547" s="2">
        <f t="shared" si="48"/>
        <v>2</v>
      </c>
      <c r="E1547" s="2">
        <f t="shared" si="49"/>
        <v>2</v>
      </c>
      <c r="F1547">
        <v>80.584900000000005</v>
      </c>
      <c r="G1547">
        <v>80.584900000000005</v>
      </c>
      <c r="H1547">
        <v>79.4114</v>
      </c>
      <c r="I1547">
        <v>80.584900000000005</v>
      </c>
      <c r="J1547">
        <v>17896</v>
      </c>
      <c r="K1547">
        <v>0</v>
      </c>
      <c r="L1547">
        <v>1.4778</v>
      </c>
    </row>
    <row r="1548" spans="1:12" x14ac:dyDescent="0.25">
      <c r="A1548">
        <v>2303</v>
      </c>
      <c r="B1548" t="s">
        <v>10</v>
      </c>
      <c r="C1548" s="1">
        <v>41311</v>
      </c>
      <c r="D1548" s="2">
        <f t="shared" si="48"/>
        <v>3</v>
      </c>
      <c r="E1548" s="2">
        <f t="shared" si="49"/>
        <v>2</v>
      </c>
      <c r="F1548">
        <v>8.7064000000000004</v>
      </c>
      <c r="G1548">
        <v>8.7830999999999992</v>
      </c>
      <c r="H1548">
        <v>8.7064000000000004</v>
      </c>
      <c r="I1548">
        <v>8.7064000000000004</v>
      </c>
      <c r="J1548">
        <v>26463</v>
      </c>
      <c r="K1548">
        <v>-0.43959999999999999</v>
      </c>
      <c r="L1548">
        <v>0.88109999999999999</v>
      </c>
    </row>
    <row r="1549" spans="1:12" hidden="1" x14ac:dyDescent="0.25">
      <c r="A1549">
        <v>2330</v>
      </c>
      <c r="B1549" t="s">
        <v>11</v>
      </c>
      <c r="C1549" s="1">
        <v>41311</v>
      </c>
      <c r="D1549" s="2">
        <f t="shared" si="48"/>
        <v>3</v>
      </c>
      <c r="E1549" s="2">
        <f t="shared" si="49"/>
        <v>2</v>
      </c>
      <c r="F1549">
        <v>80.976100000000002</v>
      </c>
      <c r="G1549">
        <v>82.149699999999996</v>
      </c>
      <c r="H1549">
        <v>80.584900000000005</v>
      </c>
      <c r="I1549">
        <v>82.149699999999996</v>
      </c>
      <c r="J1549">
        <v>32330</v>
      </c>
      <c r="K1549">
        <v>1.9231</v>
      </c>
      <c r="L1549">
        <v>1.9417</v>
      </c>
    </row>
    <row r="1550" spans="1:12" x14ac:dyDescent="0.25">
      <c r="A1550">
        <v>2303</v>
      </c>
      <c r="B1550" t="s">
        <v>10</v>
      </c>
      <c r="C1550" s="1">
        <v>41323</v>
      </c>
      <c r="D1550" s="2">
        <f t="shared" si="48"/>
        <v>1</v>
      </c>
      <c r="E1550" s="2">
        <f t="shared" si="49"/>
        <v>2</v>
      </c>
      <c r="F1550">
        <v>8.7064000000000004</v>
      </c>
      <c r="G1550">
        <v>8.7064000000000004</v>
      </c>
      <c r="H1550">
        <v>8.4763000000000002</v>
      </c>
      <c r="I1550">
        <v>8.5530000000000008</v>
      </c>
      <c r="J1550">
        <v>81393</v>
      </c>
      <c r="K1550">
        <v>-1.7778</v>
      </c>
      <c r="L1550">
        <v>2.7149000000000001</v>
      </c>
    </row>
    <row r="1551" spans="1:12" hidden="1" x14ac:dyDescent="0.25">
      <c r="A1551">
        <v>2330</v>
      </c>
      <c r="B1551" t="s">
        <v>11</v>
      </c>
      <c r="C1551" s="1">
        <v>41323</v>
      </c>
      <c r="D1551" s="2">
        <f t="shared" si="48"/>
        <v>1</v>
      </c>
      <c r="E1551" s="2">
        <f t="shared" si="49"/>
        <v>2</v>
      </c>
      <c r="F1551">
        <v>83.714399999999998</v>
      </c>
      <c r="G1551">
        <v>84.888000000000005</v>
      </c>
      <c r="H1551">
        <v>83.323300000000003</v>
      </c>
      <c r="I1551">
        <v>83.714399999999998</v>
      </c>
      <c r="J1551">
        <v>64345</v>
      </c>
      <c r="K1551">
        <v>1.8868</v>
      </c>
      <c r="L1551">
        <v>1.8778999999999999</v>
      </c>
    </row>
    <row r="1552" spans="1:12" x14ac:dyDescent="0.25">
      <c r="A1552">
        <v>2303</v>
      </c>
      <c r="B1552" t="s">
        <v>10</v>
      </c>
      <c r="C1552" s="1">
        <v>41324</v>
      </c>
      <c r="D1552" s="2">
        <f t="shared" si="48"/>
        <v>2</v>
      </c>
      <c r="E1552" s="2">
        <f t="shared" si="49"/>
        <v>2</v>
      </c>
      <c r="F1552">
        <v>8.5530000000000008</v>
      </c>
      <c r="G1552">
        <v>8.7447999999999997</v>
      </c>
      <c r="H1552">
        <v>8.5146999999999995</v>
      </c>
      <c r="I1552">
        <v>8.7064000000000004</v>
      </c>
      <c r="J1552">
        <v>48857</v>
      </c>
      <c r="K1552">
        <v>1.7778</v>
      </c>
      <c r="L1552">
        <v>2.7027000000000001</v>
      </c>
    </row>
    <row r="1553" spans="1:12" hidden="1" x14ac:dyDescent="0.25">
      <c r="A1553">
        <v>2330</v>
      </c>
      <c r="B1553" t="s">
        <v>11</v>
      </c>
      <c r="C1553" s="1">
        <v>41324</v>
      </c>
      <c r="D1553" s="2">
        <f t="shared" si="48"/>
        <v>2</v>
      </c>
      <c r="E1553" s="2">
        <f t="shared" si="49"/>
        <v>2</v>
      </c>
      <c r="F1553">
        <v>84.888000000000005</v>
      </c>
      <c r="G1553">
        <v>84.888000000000005</v>
      </c>
      <c r="H1553">
        <v>83.323300000000003</v>
      </c>
      <c r="I1553">
        <v>83.714399999999998</v>
      </c>
      <c r="J1553">
        <v>22103</v>
      </c>
      <c r="K1553">
        <v>0</v>
      </c>
      <c r="L1553">
        <v>1.8778999999999999</v>
      </c>
    </row>
    <row r="1554" spans="1:12" x14ac:dyDescent="0.25">
      <c r="A1554">
        <v>2303</v>
      </c>
      <c r="B1554" t="s">
        <v>10</v>
      </c>
      <c r="C1554" s="1">
        <v>41325</v>
      </c>
      <c r="D1554" s="2">
        <f t="shared" si="48"/>
        <v>3</v>
      </c>
      <c r="E1554" s="2">
        <f t="shared" si="49"/>
        <v>2</v>
      </c>
      <c r="F1554">
        <v>8.7447999999999997</v>
      </c>
      <c r="G1554">
        <v>8.7447999999999997</v>
      </c>
      <c r="H1554">
        <v>8.5914000000000001</v>
      </c>
      <c r="I1554">
        <v>8.6296999999999997</v>
      </c>
      <c r="J1554">
        <v>43724</v>
      </c>
      <c r="K1554">
        <v>-0.88500000000000001</v>
      </c>
      <c r="L1554">
        <v>1.7857000000000001</v>
      </c>
    </row>
    <row r="1555" spans="1:12" hidden="1" x14ac:dyDescent="0.25">
      <c r="A1555">
        <v>2330</v>
      </c>
      <c r="B1555" t="s">
        <v>11</v>
      </c>
      <c r="C1555" s="1">
        <v>41325</v>
      </c>
      <c r="D1555" s="2">
        <f t="shared" si="48"/>
        <v>3</v>
      </c>
      <c r="E1555" s="2">
        <f t="shared" si="49"/>
        <v>2</v>
      </c>
      <c r="F1555">
        <v>84.888000000000005</v>
      </c>
      <c r="G1555">
        <v>85.670400000000001</v>
      </c>
      <c r="H1555">
        <v>84.496799999999993</v>
      </c>
      <c r="I1555">
        <v>85.279200000000003</v>
      </c>
      <c r="J1555">
        <v>41921</v>
      </c>
      <c r="K1555">
        <v>1.8519000000000001</v>
      </c>
      <c r="L1555">
        <v>1.3889</v>
      </c>
    </row>
    <row r="1556" spans="1:12" x14ac:dyDescent="0.25">
      <c r="A1556">
        <v>2303</v>
      </c>
      <c r="B1556" t="s">
        <v>10</v>
      </c>
      <c r="C1556" s="1">
        <v>41326</v>
      </c>
      <c r="D1556" s="2">
        <f t="shared" si="48"/>
        <v>4</v>
      </c>
      <c r="E1556" s="2">
        <f t="shared" si="49"/>
        <v>2</v>
      </c>
      <c r="F1556">
        <v>8.5914000000000001</v>
      </c>
      <c r="G1556">
        <v>8.6296999999999997</v>
      </c>
      <c r="H1556">
        <v>8.5530000000000008</v>
      </c>
      <c r="I1556">
        <v>8.5530000000000008</v>
      </c>
      <c r="J1556">
        <v>27672</v>
      </c>
      <c r="K1556">
        <v>-0.89290000000000003</v>
      </c>
      <c r="L1556">
        <v>0.89690000000000003</v>
      </c>
    </row>
    <row r="1557" spans="1:12" hidden="1" x14ac:dyDescent="0.25">
      <c r="A1557">
        <v>2330</v>
      </c>
      <c r="B1557" t="s">
        <v>11</v>
      </c>
      <c r="C1557" s="1">
        <v>41326</v>
      </c>
      <c r="D1557" s="2">
        <f t="shared" si="48"/>
        <v>4</v>
      </c>
      <c r="E1557" s="2">
        <f t="shared" si="49"/>
        <v>2</v>
      </c>
      <c r="F1557">
        <v>84.888000000000005</v>
      </c>
      <c r="G1557">
        <v>84.888000000000005</v>
      </c>
      <c r="H1557">
        <v>83.714399999999998</v>
      </c>
      <c r="I1557">
        <v>83.714399999999998</v>
      </c>
      <c r="J1557">
        <v>30551</v>
      </c>
      <c r="K1557">
        <v>-1.8519000000000001</v>
      </c>
      <c r="L1557">
        <v>1.4018999999999999</v>
      </c>
    </row>
    <row r="1558" spans="1:12" x14ac:dyDescent="0.25">
      <c r="A1558">
        <v>2303</v>
      </c>
      <c r="B1558" t="s">
        <v>10</v>
      </c>
      <c r="C1558" s="1">
        <v>41327</v>
      </c>
      <c r="D1558" s="2">
        <f t="shared" si="48"/>
        <v>5</v>
      </c>
      <c r="E1558" s="2">
        <f t="shared" si="49"/>
        <v>2</v>
      </c>
      <c r="F1558">
        <v>8.5530000000000008</v>
      </c>
      <c r="G1558">
        <v>8.6681000000000008</v>
      </c>
      <c r="H1558">
        <v>8.5530000000000008</v>
      </c>
      <c r="I1558">
        <v>8.5914000000000001</v>
      </c>
      <c r="J1558">
        <v>35230</v>
      </c>
      <c r="K1558">
        <v>0.44740000000000002</v>
      </c>
      <c r="L1558">
        <v>1.3452999999999999</v>
      </c>
    </row>
    <row r="1559" spans="1:12" hidden="1" x14ac:dyDescent="0.25">
      <c r="A1559">
        <v>2330</v>
      </c>
      <c r="B1559" t="s">
        <v>11</v>
      </c>
      <c r="C1559" s="1">
        <v>41327</v>
      </c>
      <c r="D1559" s="2">
        <f t="shared" si="48"/>
        <v>5</v>
      </c>
      <c r="E1559" s="2">
        <f t="shared" si="49"/>
        <v>2</v>
      </c>
      <c r="F1559">
        <v>82.932100000000005</v>
      </c>
      <c r="G1559">
        <v>83.323300000000003</v>
      </c>
      <c r="H1559">
        <v>82.149699999999996</v>
      </c>
      <c r="I1559">
        <v>82.540899999999993</v>
      </c>
      <c r="J1559">
        <v>39577</v>
      </c>
      <c r="K1559">
        <v>-1.4117999999999999</v>
      </c>
      <c r="L1559">
        <v>1.4286000000000001</v>
      </c>
    </row>
    <row r="1560" spans="1:12" x14ac:dyDescent="0.25">
      <c r="A1560">
        <v>2303</v>
      </c>
      <c r="B1560" t="s">
        <v>10</v>
      </c>
      <c r="C1560" s="1">
        <v>41328</v>
      </c>
      <c r="D1560" s="2">
        <f t="shared" si="48"/>
        <v>6</v>
      </c>
      <c r="E1560" s="2">
        <f t="shared" si="49"/>
        <v>2</v>
      </c>
      <c r="F1560">
        <v>8.6681000000000008</v>
      </c>
      <c r="G1560">
        <v>8.6681000000000008</v>
      </c>
      <c r="H1560">
        <v>8.5914000000000001</v>
      </c>
      <c r="I1560">
        <v>8.5914000000000001</v>
      </c>
      <c r="J1560">
        <v>15674</v>
      </c>
      <c r="K1560">
        <v>0</v>
      </c>
      <c r="L1560">
        <v>0.89290000000000003</v>
      </c>
    </row>
    <row r="1561" spans="1:12" hidden="1" x14ac:dyDescent="0.25">
      <c r="A1561">
        <v>2330</v>
      </c>
      <c r="B1561" t="s">
        <v>11</v>
      </c>
      <c r="C1561" s="1">
        <v>41328</v>
      </c>
      <c r="D1561" s="2">
        <f t="shared" si="48"/>
        <v>6</v>
      </c>
      <c r="E1561" s="2">
        <f t="shared" si="49"/>
        <v>2</v>
      </c>
      <c r="F1561">
        <v>83.323300000000003</v>
      </c>
      <c r="G1561">
        <v>84.105599999999995</v>
      </c>
      <c r="H1561">
        <v>82.932100000000005</v>
      </c>
      <c r="I1561">
        <v>83.714399999999998</v>
      </c>
      <c r="J1561">
        <v>10174</v>
      </c>
      <c r="K1561">
        <v>1.4117999999999999</v>
      </c>
      <c r="L1561">
        <v>1.4151</v>
      </c>
    </row>
    <row r="1562" spans="1:12" x14ac:dyDescent="0.25">
      <c r="A1562">
        <v>2303</v>
      </c>
      <c r="B1562" t="s">
        <v>10</v>
      </c>
      <c r="C1562" s="1">
        <v>41330</v>
      </c>
      <c r="D1562" s="2">
        <f t="shared" si="48"/>
        <v>1</v>
      </c>
      <c r="E1562" s="2">
        <f t="shared" si="49"/>
        <v>2</v>
      </c>
      <c r="F1562">
        <v>8.6296999999999997</v>
      </c>
      <c r="G1562">
        <v>8.7064000000000004</v>
      </c>
      <c r="H1562">
        <v>8.5914000000000001</v>
      </c>
      <c r="I1562">
        <v>8.6296999999999997</v>
      </c>
      <c r="J1562">
        <v>25701</v>
      </c>
      <c r="K1562">
        <v>0.44540000000000002</v>
      </c>
      <c r="L1562">
        <v>1.3392999999999999</v>
      </c>
    </row>
    <row r="1563" spans="1:12" hidden="1" x14ac:dyDescent="0.25">
      <c r="A1563">
        <v>2330</v>
      </c>
      <c r="B1563" t="s">
        <v>11</v>
      </c>
      <c r="C1563" s="1">
        <v>41330</v>
      </c>
      <c r="D1563" s="2">
        <f t="shared" si="48"/>
        <v>1</v>
      </c>
      <c r="E1563" s="2">
        <f t="shared" si="49"/>
        <v>2</v>
      </c>
      <c r="F1563">
        <v>83.323300000000003</v>
      </c>
      <c r="G1563">
        <v>83.714399999999998</v>
      </c>
      <c r="H1563">
        <v>82.149699999999996</v>
      </c>
      <c r="I1563">
        <v>82.149699999999996</v>
      </c>
      <c r="J1563">
        <v>37216</v>
      </c>
      <c r="K1563">
        <v>-1.8868</v>
      </c>
      <c r="L1563">
        <v>1.9048</v>
      </c>
    </row>
    <row r="1564" spans="1:12" x14ac:dyDescent="0.25">
      <c r="A1564">
        <v>2303</v>
      </c>
      <c r="B1564" t="s">
        <v>10</v>
      </c>
      <c r="C1564" s="1">
        <v>41331</v>
      </c>
      <c r="D1564" s="2">
        <f t="shared" si="48"/>
        <v>2</v>
      </c>
      <c r="E1564" s="2">
        <f t="shared" si="49"/>
        <v>2</v>
      </c>
      <c r="F1564">
        <v>8.5530000000000008</v>
      </c>
      <c r="G1564">
        <v>8.5914000000000001</v>
      </c>
      <c r="H1564">
        <v>8.5146999999999995</v>
      </c>
      <c r="I1564">
        <v>8.5146999999999995</v>
      </c>
      <c r="J1564">
        <v>34061</v>
      </c>
      <c r="K1564">
        <v>-1.3423</v>
      </c>
      <c r="L1564">
        <v>0.90090000000000003</v>
      </c>
    </row>
    <row r="1565" spans="1:12" hidden="1" x14ac:dyDescent="0.25">
      <c r="A1565">
        <v>2330</v>
      </c>
      <c r="B1565" t="s">
        <v>11</v>
      </c>
      <c r="C1565" s="1">
        <v>41331</v>
      </c>
      <c r="D1565" s="2">
        <f t="shared" si="48"/>
        <v>2</v>
      </c>
      <c r="E1565" s="2">
        <f t="shared" si="49"/>
        <v>2</v>
      </c>
      <c r="F1565">
        <v>80.976100000000002</v>
      </c>
      <c r="G1565">
        <v>82.149699999999996</v>
      </c>
      <c r="H1565">
        <v>80.193700000000007</v>
      </c>
      <c r="I1565">
        <v>80.976100000000002</v>
      </c>
      <c r="J1565">
        <v>38498</v>
      </c>
      <c r="K1565">
        <v>-1.4389000000000001</v>
      </c>
      <c r="L1565">
        <v>2.4390000000000001</v>
      </c>
    </row>
    <row r="1566" spans="1:12" x14ac:dyDescent="0.25">
      <c r="A1566">
        <v>2303</v>
      </c>
      <c r="B1566" t="s">
        <v>10</v>
      </c>
      <c r="C1566" s="1">
        <v>41332</v>
      </c>
      <c r="D1566" s="2">
        <f t="shared" si="48"/>
        <v>3</v>
      </c>
      <c r="E1566" s="2">
        <f t="shared" si="49"/>
        <v>2</v>
      </c>
      <c r="F1566">
        <v>8.4763000000000002</v>
      </c>
      <c r="G1566">
        <v>8.5530000000000008</v>
      </c>
      <c r="H1566">
        <v>8.4379000000000008</v>
      </c>
      <c r="I1566">
        <v>8.5146999999999995</v>
      </c>
      <c r="J1566">
        <v>28619</v>
      </c>
      <c r="K1566">
        <v>0</v>
      </c>
      <c r="L1566">
        <v>1.3635999999999999</v>
      </c>
    </row>
    <row r="1567" spans="1:12" hidden="1" x14ac:dyDescent="0.25">
      <c r="A1567">
        <v>2330</v>
      </c>
      <c r="B1567" t="s">
        <v>11</v>
      </c>
      <c r="C1567" s="1">
        <v>41332</v>
      </c>
      <c r="D1567" s="2">
        <f t="shared" si="48"/>
        <v>3</v>
      </c>
      <c r="E1567" s="2">
        <f t="shared" si="49"/>
        <v>2</v>
      </c>
      <c r="F1567">
        <v>79.802599999999998</v>
      </c>
      <c r="G1567">
        <v>81.758499999999998</v>
      </c>
      <c r="H1567">
        <v>79.020200000000003</v>
      </c>
      <c r="I1567">
        <v>81.758499999999998</v>
      </c>
      <c r="J1567">
        <v>81358</v>
      </c>
      <c r="K1567">
        <v>0.96150000000000002</v>
      </c>
      <c r="L1567">
        <v>3.4653</v>
      </c>
    </row>
    <row r="1568" spans="1:12" x14ac:dyDescent="0.25">
      <c r="A1568">
        <v>2303</v>
      </c>
      <c r="B1568" t="s">
        <v>10</v>
      </c>
      <c r="C1568" s="1">
        <v>41334</v>
      </c>
      <c r="D1568" s="2">
        <f t="shared" si="48"/>
        <v>5</v>
      </c>
      <c r="E1568" s="2">
        <f t="shared" si="49"/>
        <v>3</v>
      </c>
      <c r="F1568">
        <v>8.5530000000000008</v>
      </c>
      <c r="G1568">
        <v>8.5914000000000001</v>
      </c>
      <c r="H1568">
        <v>8.4763000000000002</v>
      </c>
      <c r="I1568">
        <v>8.4763000000000002</v>
      </c>
      <c r="J1568">
        <v>27581</v>
      </c>
      <c r="K1568">
        <v>-0.45150000000000001</v>
      </c>
      <c r="L1568">
        <v>1.3574999999999999</v>
      </c>
    </row>
    <row r="1569" spans="1:12" hidden="1" x14ac:dyDescent="0.25">
      <c r="A1569">
        <v>2330</v>
      </c>
      <c r="B1569" t="s">
        <v>11</v>
      </c>
      <c r="C1569" s="1">
        <v>41334</v>
      </c>
      <c r="D1569" s="2">
        <f t="shared" si="48"/>
        <v>5</v>
      </c>
      <c r="E1569" s="2">
        <f t="shared" si="49"/>
        <v>3</v>
      </c>
      <c r="F1569">
        <v>80.584900000000005</v>
      </c>
      <c r="G1569">
        <v>82.149699999999996</v>
      </c>
      <c r="H1569">
        <v>80.193700000000007</v>
      </c>
      <c r="I1569">
        <v>82.149699999999996</v>
      </c>
      <c r="J1569">
        <v>35081</v>
      </c>
      <c r="K1569">
        <v>0.4773</v>
      </c>
      <c r="L1569">
        <v>2.4390000000000001</v>
      </c>
    </row>
    <row r="1570" spans="1:12" x14ac:dyDescent="0.25">
      <c r="A1570">
        <v>2303</v>
      </c>
      <c r="B1570" t="s">
        <v>10</v>
      </c>
      <c r="C1570" s="1">
        <v>41337</v>
      </c>
      <c r="D1570" s="2">
        <f t="shared" si="48"/>
        <v>1</v>
      </c>
      <c r="E1570" s="2">
        <f t="shared" si="49"/>
        <v>3</v>
      </c>
      <c r="F1570">
        <v>8.4763000000000002</v>
      </c>
      <c r="G1570">
        <v>8.5146999999999995</v>
      </c>
      <c r="H1570">
        <v>8.3612000000000002</v>
      </c>
      <c r="I1570">
        <v>8.3612000000000002</v>
      </c>
      <c r="J1570">
        <v>49657</v>
      </c>
      <c r="K1570">
        <v>-1.3668</v>
      </c>
      <c r="L1570">
        <v>1.8349</v>
      </c>
    </row>
    <row r="1571" spans="1:12" hidden="1" x14ac:dyDescent="0.25">
      <c r="A1571">
        <v>2330</v>
      </c>
      <c r="B1571" t="s">
        <v>11</v>
      </c>
      <c r="C1571" s="1">
        <v>41337</v>
      </c>
      <c r="D1571" s="2">
        <f t="shared" si="48"/>
        <v>1</v>
      </c>
      <c r="E1571" s="2">
        <f t="shared" si="49"/>
        <v>3</v>
      </c>
      <c r="F1571">
        <v>81.758499999999998</v>
      </c>
      <c r="G1571">
        <v>81.758499999999998</v>
      </c>
      <c r="H1571">
        <v>79.4114</v>
      </c>
      <c r="I1571">
        <v>79.802599999999998</v>
      </c>
      <c r="J1571">
        <v>55265</v>
      </c>
      <c r="K1571">
        <v>-2.8988</v>
      </c>
      <c r="L1571">
        <v>2.9557000000000002</v>
      </c>
    </row>
    <row r="1572" spans="1:12" x14ac:dyDescent="0.25">
      <c r="A1572">
        <v>2303</v>
      </c>
      <c r="B1572" t="s">
        <v>10</v>
      </c>
      <c r="C1572" s="1">
        <v>41338</v>
      </c>
      <c r="D1572" s="2">
        <f t="shared" si="48"/>
        <v>2</v>
      </c>
      <c r="E1572" s="2">
        <f t="shared" si="49"/>
        <v>3</v>
      </c>
      <c r="F1572">
        <v>8.3995999999999995</v>
      </c>
      <c r="G1572">
        <v>8.5530000000000008</v>
      </c>
      <c r="H1572">
        <v>8.3995999999999995</v>
      </c>
      <c r="I1572">
        <v>8.5146999999999995</v>
      </c>
      <c r="J1572">
        <v>45539</v>
      </c>
      <c r="K1572">
        <v>1.8182</v>
      </c>
      <c r="L1572">
        <v>1.8265</v>
      </c>
    </row>
    <row r="1573" spans="1:12" hidden="1" x14ac:dyDescent="0.25">
      <c r="A1573">
        <v>2330</v>
      </c>
      <c r="B1573" t="s">
        <v>11</v>
      </c>
      <c r="C1573" s="1">
        <v>41338</v>
      </c>
      <c r="D1573" s="2">
        <f t="shared" si="48"/>
        <v>2</v>
      </c>
      <c r="E1573" s="2">
        <f t="shared" si="49"/>
        <v>3</v>
      </c>
      <c r="F1573">
        <v>80.976100000000002</v>
      </c>
      <c r="G1573">
        <v>81.3673</v>
      </c>
      <c r="H1573">
        <v>80.193700000000007</v>
      </c>
      <c r="I1573">
        <v>81.3673</v>
      </c>
      <c r="J1573">
        <v>56213</v>
      </c>
      <c r="K1573">
        <v>1.9418</v>
      </c>
      <c r="L1573">
        <v>1.4634</v>
      </c>
    </row>
    <row r="1574" spans="1:12" x14ac:dyDescent="0.25">
      <c r="A1574">
        <v>2303</v>
      </c>
      <c r="B1574" t="s">
        <v>10</v>
      </c>
      <c r="C1574" s="1">
        <v>41339</v>
      </c>
      <c r="D1574" s="2">
        <f t="shared" si="48"/>
        <v>3</v>
      </c>
      <c r="E1574" s="2">
        <f t="shared" si="49"/>
        <v>3</v>
      </c>
      <c r="F1574">
        <v>8.5914000000000001</v>
      </c>
      <c r="G1574">
        <v>8.6296999999999997</v>
      </c>
      <c r="H1574">
        <v>8.4763000000000002</v>
      </c>
      <c r="I1574">
        <v>8.5914000000000001</v>
      </c>
      <c r="J1574">
        <v>31266</v>
      </c>
      <c r="K1574">
        <v>0.89690000000000003</v>
      </c>
      <c r="L1574">
        <v>1.81</v>
      </c>
    </row>
    <row r="1575" spans="1:12" hidden="1" x14ac:dyDescent="0.25">
      <c r="A1575">
        <v>2330</v>
      </c>
      <c r="B1575" t="s">
        <v>11</v>
      </c>
      <c r="C1575" s="1">
        <v>41339</v>
      </c>
      <c r="D1575" s="2">
        <f t="shared" si="48"/>
        <v>3</v>
      </c>
      <c r="E1575" s="2">
        <f t="shared" si="49"/>
        <v>3</v>
      </c>
      <c r="F1575">
        <v>81.3673</v>
      </c>
      <c r="G1575">
        <v>81.758499999999998</v>
      </c>
      <c r="H1575">
        <v>80.584900000000005</v>
      </c>
      <c r="I1575">
        <v>81.3673</v>
      </c>
      <c r="J1575">
        <v>38026</v>
      </c>
      <c r="K1575">
        <v>0</v>
      </c>
      <c r="L1575">
        <v>1.4562999999999999</v>
      </c>
    </row>
    <row r="1576" spans="1:12" x14ac:dyDescent="0.25">
      <c r="A1576">
        <v>2303</v>
      </c>
      <c r="B1576" t="s">
        <v>10</v>
      </c>
      <c r="C1576" s="1">
        <v>41340</v>
      </c>
      <c r="D1576" s="2">
        <f t="shared" si="48"/>
        <v>4</v>
      </c>
      <c r="E1576" s="2">
        <f t="shared" si="49"/>
        <v>3</v>
      </c>
      <c r="F1576">
        <v>8.5914000000000001</v>
      </c>
      <c r="G1576">
        <v>8.5914000000000001</v>
      </c>
      <c r="H1576">
        <v>8.4763000000000002</v>
      </c>
      <c r="I1576">
        <v>8.5146999999999995</v>
      </c>
      <c r="J1576">
        <v>26062</v>
      </c>
      <c r="K1576">
        <v>-0.89690000000000003</v>
      </c>
      <c r="L1576">
        <v>1.3574999999999999</v>
      </c>
    </row>
    <row r="1577" spans="1:12" hidden="1" x14ac:dyDescent="0.25">
      <c r="A1577">
        <v>2330</v>
      </c>
      <c r="B1577" t="s">
        <v>11</v>
      </c>
      <c r="C1577" s="1">
        <v>41340</v>
      </c>
      <c r="D1577" s="2">
        <f t="shared" si="48"/>
        <v>4</v>
      </c>
      <c r="E1577" s="2">
        <f t="shared" si="49"/>
        <v>3</v>
      </c>
      <c r="F1577">
        <v>80.976100000000002</v>
      </c>
      <c r="G1577">
        <v>81.3673</v>
      </c>
      <c r="H1577">
        <v>80.584900000000005</v>
      </c>
      <c r="I1577">
        <v>80.584900000000005</v>
      </c>
      <c r="J1577">
        <v>20783</v>
      </c>
      <c r="K1577">
        <v>-0.96619999999999995</v>
      </c>
      <c r="L1577">
        <v>0.97089999999999999</v>
      </c>
    </row>
    <row r="1578" spans="1:12" x14ac:dyDescent="0.25">
      <c r="A1578">
        <v>2303</v>
      </c>
      <c r="B1578" t="s">
        <v>10</v>
      </c>
      <c r="C1578" s="1">
        <v>41341</v>
      </c>
      <c r="D1578" s="2">
        <f t="shared" si="48"/>
        <v>5</v>
      </c>
      <c r="E1578" s="2">
        <f t="shared" si="49"/>
        <v>3</v>
      </c>
      <c r="F1578">
        <v>8.5146999999999995</v>
      </c>
      <c r="G1578">
        <v>8.5914000000000001</v>
      </c>
      <c r="H1578">
        <v>8.4763000000000002</v>
      </c>
      <c r="I1578">
        <v>8.4763000000000002</v>
      </c>
      <c r="J1578">
        <v>37292</v>
      </c>
      <c r="K1578">
        <v>-0.45150000000000001</v>
      </c>
      <c r="L1578">
        <v>1.3574999999999999</v>
      </c>
    </row>
    <row r="1579" spans="1:12" hidden="1" x14ac:dyDescent="0.25">
      <c r="A1579">
        <v>2330</v>
      </c>
      <c r="B1579" t="s">
        <v>11</v>
      </c>
      <c r="C1579" s="1">
        <v>41341</v>
      </c>
      <c r="D1579" s="2">
        <f t="shared" si="48"/>
        <v>5</v>
      </c>
      <c r="E1579" s="2">
        <f t="shared" si="49"/>
        <v>3</v>
      </c>
      <c r="F1579">
        <v>80.584900000000005</v>
      </c>
      <c r="G1579">
        <v>81.758499999999998</v>
      </c>
      <c r="H1579">
        <v>79.802599999999998</v>
      </c>
      <c r="I1579">
        <v>80.976100000000002</v>
      </c>
      <c r="J1579">
        <v>46036</v>
      </c>
      <c r="K1579">
        <v>0.48430000000000001</v>
      </c>
      <c r="L1579">
        <v>2.4510000000000001</v>
      </c>
    </row>
    <row r="1580" spans="1:12" x14ac:dyDescent="0.25">
      <c r="A1580">
        <v>2303</v>
      </c>
      <c r="B1580" t="s">
        <v>10</v>
      </c>
      <c r="C1580" s="1">
        <v>41344</v>
      </c>
      <c r="D1580" s="2">
        <f t="shared" si="48"/>
        <v>1</v>
      </c>
      <c r="E1580" s="2">
        <f t="shared" si="49"/>
        <v>3</v>
      </c>
      <c r="F1580">
        <v>8.5146999999999995</v>
      </c>
      <c r="G1580">
        <v>8.5914000000000001</v>
      </c>
      <c r="H1580">
        <v>8.4763000000000002</v>
      </c>
      <c r="I1580">
        <v>8.5146999999999995</v>
      </c>
      <c r="J1580">
        <v>29688</v>
      </c>
      <c r="K1580">
        <v>0.45150000000000001</v>
      </c>
      <c r="L1580">
        <v>1.3574999999999999</v>
      </c>
    </row>
    <row r="1581" spans="1:12" hidden="1" x14ac:dyDescent="0.25">
      <c r="A1581">
        <v>2330</v>
      </c>
      <c r="B1581" t="s">
        <v>11</v>
      </c>
      <c r="C1581" s="1">
        <v>41344</v>
      </c>
      <c r="D1581" s="2">
        <f t="shared" si="48"/>
        <v>1</v>
      </c>
      <c r="E1581" s="2">
        <f t="shared" si="49"/>
        <v>3</v>
      </c>
      <c r="F1581">
        <v>79.802599999999998</v>
      </c>
      <c r="G1581">
        <v>81.3673</v>
      </c>
      <c r="H1581">
        <v>79.802599999999998</v>
      </c>
      <c r="I1581">
        <v>79.802599999999998</v>
      </c>
      <c r="J1581">
        <v>36093</v>
      </c>
      <c r="K1581">
        <v>-1.4599</v>
      </c>
      <c r="L1581">
        <v>1.9608000000000001</v>
      </c>
    </row>
    <row r="1582" spans="1:12" x14ac:dyDescent="0.25">
      <c r="A1582">
        <v>2303</v>
      </c>
      <c r="B1582" t="s">
        <v>10</v>
      </c>
      <c r="C1582" s="1">
        <v>41345</v>
      </c>
      <c r="D1582" s="2">
        <f t="shared" si="48"/>
        <v>2</v>
      </c>
      <c r="E1582" s="2">
        <f t="shared" si="49"/>
        <v>3</v>
      </c>
      <c r="F1582">
        <v>8.5146999999999995</v>
      </c>
      <c r="G1582">
        <v>8.7064000000000004</v>
      </c>
      <c r="H1582">
        <v>8.4763000000000002</v>
      </c>
      <c r="I1582">
        <v>8.5914000000000001</v>
      </c>
      <c r="J1582">
        <v>56259</v>
      </c>
      <c r="K1582">
        <v>0.89690000000000003</v>
      </c>
      <c r="L1582">
        <v>2.7149000000000001</v>
      </c>
    </row>
    <row r="1583" spans="1:12" hidden="1" x14ac:dyDescent="0.25">
      <c r="A1583">
        <v>2330</v>
      </c>
      <c r="B1583" t="s">
        <v>11</v>
      </c>
      <c r="C1583" s="1">
        <v>41345</v>
      </c>
      <c r="D1583" s="2">
        <f t="shared" si="48"/>
        <v>2</v>
      </c>
      <c r="E1583" s="2">
        <f t="shared" si="49"/>
        <v>3</v>
      </c>
      <c r="F1583">
        <v>79.802599999999998</v>
      </c>
      <c r="G1583">
        <v>80.584900000000005</v>
      </c>
      <c r="H1583">
        <v>79.4114</v>
      </c>
      <c r="I1583">
        <v>80.193700000000007</v>
      </c>
      <c r="J1583">
        <v>30064</v>
      </c>
      <c r="K1583">
        <v>0.48899999999999999</v>
      </c>
      <c r="L1583">
        <v>1.4778</v>
      </c>
    </row>
    <row r="1584" spans="1:12" x14ac:dyDescent="0.25">
      <c r="A1584">
        <v>2303</v>
      </c>
      <c r="B1584" t="s">
        <v>10</v>
      </c>
      <c r="C1584" s="1">
        <v>41346</v>
      </c>
      <c r="D1584" s="2">
        <f t="shared" si="48"/>
        <v>3</v>
      </c>
      <c r="E1584" s="2">
        <f t="shared" si="49"/>
        <v>3</v>
      </c>
      <c r="F1584">
        <v>8.6296999999999997</v>
      </c>
      <c r="G1584">
        <v>8.6296999999999997</v>
      </c>
      <c r="H1584">
        <v>8.4763000000000002</v>
      </c>
      <c r="I1584">
        <v>8.5146999999999995</v>
      </c>
      <c r="J1584">
        <v>35908</v>
      </c>
      <c r="K1584">
        <v>-0.89690000000000003</v>
      </c>
      <c r="L1584">
        <v>1.81</v>
      </c>
    </row>
    <row r="1585" spans="1:12" hidden="1" x14ac:dyDescent="0.25">
      <c r="A1585">
        <v>2330</v>
      </c>
      <c r="B1585" t="s">
        <v>11</v>
      </c>
      <c r="C1585" s="1">
        <v>41346</v>
      </c>
      <c r="D1585" s="2">
        <f t="shared" si="48"/>
        <v>3</v>
      </c>
      <c r="E1585" s="2">
        <f t="shared" si="49"/>
        <v>3</v>
      </c>
      <c r="F1585">
        <v>80.193700000000007</v>
      </c>
      <c r="G1585">
        <v>82.149699999999996</v>
      </c>
      <c r="H1585">
        <v>79.802599999999998</v>
      </c>
      <c r="I1585">
        <v>81.758499999999998</v>
      </c>
      <c r="J1585">
        <v>57955</v>
      </c>
      <c r="K1585">
        <v>1.9323999999999999</v>
      </c>
      <c r="L1585">
        <v>2.9411999999999998</v>
      </c>
    </row>
    <row r="1586" spans="1:12" x14ac:dyDescent="0.25">
      <c r="A1586">
        <v>2303</v>
      </c>
      <c r="B1586" t="s">
        <v>10</v>
      </c>
      <c r="C1586" s="1">
        <v>41347</v>
      </c>
      <c r="D1586" s="2">
        <f t="shared" si="48"/>
        <v>4</v>
      </c>
      <c r="E1586" s="2">
        <f t="shared" si="49"/>
        <v>3</v>
      </c>
      <c r="F1586">
        <v>9.0516000000000005</v>
      </c>
      <c r="G1586">
        <v>9.0516000000000005</v>
      </c>
      <c r="H1586">
        <v>8.8981999999999992</v>
      </c>
      <c r="I1586">
        <v>8.8981999999999992</v>
      </c>
      <c r="J1586">
        <v>165141</v>
      </c>
      <c r="K1586">
        <v>4.4059999999999997</v>
      </c>
      <c r="L1586">
        <v>1.7241</v>
      </c>
    </row>
    <row r="1587" spans="1:12" hidden="1" x14ac:dyDescent="0.25">
      <c r="A1587">
        <v>2330</v>
      </c>
      <c r="B1587" t="s">
        <v>11</v>
      </c>
      <c r="C1587" s="1">
        <v>41347</v>
      </c>
      <c r="D1587" s="2">
        <f t="shared" si="48"/>
        <v>4</v>
      </c>
      <c r="E1587" s="2">
        <f t="shared" si="49"/>
        <v>3</v>
      </c>
      <c r="F1587">
        <v>81.3673</v>
      </c>
      <c r="G1587">
        <v>81.758499999999998</v>
      </c>
      <c r="H1587">
        <v>80.584900000000005</v>
      </c>
      <c r="I1587">
        <v>81.3673</v>
      </c>
      <c r="J1587">
        <v>33067</v>
      </c>
      <c r="K1587">
        <v>-0.47960000000000003</v>
      </c>
      <c r="L1587">
        <v>1.4562999999999999</v>
      </c>
    </row>
    <row r="1588" spans="1:12" x14ac:dyDescent="0.25">
      <c r="A1588">
        <v>2303</v>
      </c>
      <c r="B1588" t="s">
        <v>10</v>
      </c>
      <c r="C1588" s="1">
        <v>41348</v>
      </c>
      <c r="D1588" s="2">
        <f t="shared" si="48"/>
        <v>5</v>
      </c>
      <c r="E1588" s="2">
        <f t="shared" si="49"/>
        <v>3</v>
      </c>
      <c r="F1588">
        <v>8.9748999999999999</v>
      </c>
      <c r="G1588">
        <v>8.9748999999999999</v>
      </c>
      <c r="H1588">
        <v>8.8215000000000003</v>
      </c>
      <c r="I1588">
        <v>8.8981999999999992</v>
      </c>
      <c r="J1588">
        <v>83582</v>
      </c>
      <c r="K1588">
        <v>0</v>
      </c>
      <c r="L1588">
        <v>1.7391000000000001</v>
      </c>
    </row>
    <row r="1589" spans="1:12" hidden="1" x14ac:dyDescent="0.25">
      <c r="A1589">
        <v>2330</v>
      </c>
      <c r="B1589" t="s">
        <v>11</v>
      </c>
      <c r="C1589" s="1">
        <v>41348</v>
      </c>
      <c r="D1589" s="2">
        <f t="shared" si="48"/>
        <v>5</v>
      </c>
      <c r="E1589" s="2">
        <f t="shared" si="49"/>
        <v>3</v>
      </c>
      <c r="F1589">
        <v>82.149699999999996</v>
      </c>
      <c r="G1589">
        <v>82.149699999999996</v>
      </c>
      <c r="H1589">
        <v>80.584900000000005</v>
      </c>
      <c r="I1589">
        <v>80.584900000000005</v>
      </c>
      <c r="J1589">
        <v>35632</v>
      </c>
      <c r="K1589">
        <v>-0.96619999999999995</v>
      </c>
      <c r="L1589">
        <v>1.9417</v>
      </c>
    </row>
    <row r="1590" spans="1:12" x14ac:dyDescent="0.25">
      <c r="A1590">
        <v>2303</v>
      </c>
      <c r="B1590" t="s">
        <v>10</v>
      </c>
      <c r="C1590" s="1">
        <v>41351</v>
      </c>
      <c r="D1590" s="2">
        <f t="shared" si="48"/>
        <v>1</v>
      </c>
      <c r="E1590" s="2">
        <f t="shared" si="49"/>
        <v>3</v>
      </c>
      <c r="F1590">
        <v>8.7830999999999992</v>
      </c>
      <c r="G1590">
        <v>8.7830999999999992</v>
      </c>
      <c r="H1590">
        <v>8.5914000000000001</v>
      </c>
      <c r="I1590">
        <v>8.5914000000000001</v>
      </c>
      <c r="J1590">
        <v>54681</v>
      </c>
      <c r="K1590">
        <v>-3.5091000000000001</v>
      </c>
      <c r="L1590">
        <v>2.2321</v>
      </c>
    </row>
    <row r="1591" spans="1:12" hidden="1" x14ac:dyDescent="0.25">
      <c r="A1591">
        <v>2330</v>
      </c>
      <c r="B1591" t="s">
        <v>11</v>
      </c>
      <c r="C1591" s="1">
        <v>41351</v>
      </c>
      <c r="D1591" s="2">
        <f t="shared" si="48"/>
        <v>1</v>
      </c>
      <c r="E1591" s="2">
        <f t="shared" si="49"/>
        <v>3</v>
      </c>
      <c r="F1591">
        <v>79.802599999999998</v>
      </c>
      <c r="G1591">
        <v>79.802599999999998</v>
      </c>
      <c r="H1591">
        <v>78.629000000000005</v>
      </c>
      <c r="I1591">
        <v>78.629000000000005</v>
      </c>
      <c r="J1591">
        <v>44188</v>
      </c>
      <c r="K1591">
        <v>-2.4571000000000001</v>
      </c>
      <c r="L1591">
        <v>1.4924999999999999</v>
      </c>
    </row>
    <row r="1592" spans="1:12" x14ac:dyDescent="0.25">
      <c r="A1592">
        <v>2303</v>
      </c>
      <c r="B1592" t="s">
        <v>10</v>
      </c>
      <c r="C1592" s="1">
        <v>41352</v>
      </c>
      <c r="D1592" s="2">
        <f t="shared" si="48"/>
        <v>2</v>
      </c>
      <c r="E1592" s="2">
        <f t="shared" si="49"/>
        <v>3</v>
      </c>
      <c r="F1592">
        <v>8.6296999999999997</v>
      </c>
      <c r="G1592">
        <v>8.7064000000000004</v>
      </c>
      <c r="H1592">
        <v>8.5914000000000001</v>
      </c>
      <c r="I1592">
        <v>8.5914000000000001</v>
      </c>
      <c r="J1592">
        <v>42265</v>
      </c>
      <c r="K1592">
        <v>0</v>
      </c>
      <c r="L1592">
        <v>1.3392999999999999</v>
      </c>
    </row>
    <row r="1593" spans="1:12" hidden="1" x14ac:dyDescent="0.25">
      <c r="A1593">
        <v>2330</v>
      </c>
      <c r="B1593" t="s">
        <v>11</v>
      </c>
      <c r="C1593" s="1">
        <v>41352</v>
      </c>
      <c r="D1593" s="2">
        <f t="shared" si="48"/>
        <v>2</v>
      </c>
      <c r="E1593" s="2">
        <f t="shared" si="49"/>
        <v>3</v>
      </c>
      <c r="F1593">
        <v>79.020200000000003</v>
      </c>
      <c r="G1593">
        <v>79.4114</v>
      </c>
      <c r="H1593">
        <v>77.924800000000005</v>
      </c>
      <c r="I1593">
        <v>78.237799999999993</v>
      </c>
      <c r="J1593">
        <v>50765</v>
      </c>
      <c r="K1593">
        <v>-0.49880000000000002</v>
      </c>
      <c r="L1593">
        <v>1.9076</v>
      </c>
    </row>
    <row r="1594" spans="1:12" x14ac:dyDescent="0.25">
      <c r="A1594">
        <v>2303</v>
      </c>
      <c r="B1594" t="s">
        <v>10</v>
      </c>
      <c r="C1594" s="1">
        <v>41353</v>
      </c>
      <c r="D1594" s="2">
        <f t="shared" si="48"/>
        <v>3</v>
      </c>
      <c r="E1594" s="2">
        <f t="shared" si="49"/>
        <v>3</v>
      </c>
      <c r="F1594">
        <v>8.5530000000000008</v>
      </c>
      <c r="G1594">
        <v>8.6296999999999997</v>
      </c>
      <c r="H1594">
        <v>8.5146999999999995</v>
      </c>
      <c r="I1594">
        <v>8.5530000000000008</v>
      </c>
      <c r="J1594">
        <v>34494</v>
      </c>
      <c r="K1594">
        <v>-0.44740000000000002</v>
      </c>
      <c r="L1594">
        <v>1.3513999999999999</v>
      </c>
    </row>
    <row r="1595" spans="1:12" hidden="1" x14ac:dyDescent="0.25">
      <c r="A1595">
        <v>2330</v>
      </c>
      <c r="B1595" t="s">
        <v>11</v>
      </c>
      <c r="C1595" s="1">
        <v>41353</v>
      </c>
      <c r="D1595" s="2">
        <f t="shared" si="48"/>
        <v>3</v>
      </c>
      <c r="E1595" s="2">
        <f t="shared" si="49"/>
        <v>3</v>
      </c>
      <c r="F1595">
        <v>77.846599999999995</v>
      </c>
      <c r="G1595">
        <v>77.846599999999995</v>
      </c>
      <c r="H1595">
        <v>77.298900000000003</v>
      </c>
      <c r="I1595">
        <v>77.298900000000003</v>
      </c>
      <c r="J1595">
        <v>64024</v>
      </c>
      <c r="K1595">
        <v>-1.2073</v>
      </c>
      <c r="L1595">
        <v>0.70850000000000002</v>
      </c>
    </row>
    <row r="1596" spans="1:12" x14ac:dyDescent="0.25">
      <c r="A1596">
        <v>2303</v>
      </c>
      <c r="B1596" t="s">
        <v>10</v>
      </c>
      <c r="C1596" s="1">
        <v>41354</v>
      </c>
      <c r="D1596" s="2">
        <f t="shared" si="48"/>
        <v>4</v>
      </c>
      <c r="E1596" s="2">
        <f t="shared" si="49"/>
        <v>3</v>
      </c>
      <c r="F1596">
        <v>8.5146999999999995</v>
      </c>
      <c r="G1596">
        <v>8.6296999999999997</v>
      </c>
      <c r="H1596">
        <v>8.5146999999999995</v>
      </c>
      <c r="I1596">
        <v>8.5146999999999995</v>
      </c>
      <c r="J1596">
        <v>28500</v>
      </c>
      <c r="K1596">
        <v>-0.44940000000000002</v>
      </c>
      <c r="L1596">
        <v>1.3513999999999999</v>
      </c>
    </row>
    <row r="1597" spans="1:12" hidden="1" x14ac:dyDescent="0.25">
      <c r="A1597">
        <v>2330</v>
      </c>
      <c r="B1597" t="s">
        <v>11</v>
      </c>
      <c r="C1597" s="1">
        <v>41354</v>
      </c>
      <c r="D1597" s="2">
        <f t="shared" si="48"/>
        <v>4</v>
      </c>
      <c r="E1597" s="2">
        <f t="shared" si="49"/>
        <v>3</v>
      </c>
      <c r="F1597">
        <v>77.298900000000003</v>
      </c>
      <c r="G1597">
        <v>78.629000000000005</v>
      </c>
      <c r="H1597">
        <v>77.220699999999994</v>
      </c>
      <c r="I1597">
        <v>77.220699999999994</v>
      </c>
      <c r="J1597">
        <v>58467</v>
      </c>
      <c r="K1597">
        <v>-0.1013</v>
      </c>
      <c r="L1597">
        <v>1.8237000000000001</v>
      </c>
    </row>
    <row r="1598" spans="1:12" x14ac:dyDescent="0.25">
      <c r="A1598">
        <v>2303</v>
      </c>
      <c r="B1598" t="s">
        <v>10</v>
      </c>
      <c r="C1598" s="1">
        <v>41355</v>
      </c>
      <c r="D1598" s="2">
        <f t="shared" si="48"/>
        <v>5</v>
      </c>
      <c r="E1598" s="2">
        <f t="shared" si="49"/>
        <v>3</v>
      </c>
      <c r="F1598">
        <v>8.5146999999999995</v>
      </c>
      <c r="G1598">
        <v>8.5914000000000001</v>
      </c>
      <c r="H1598">
        <v>8.5146999999999995</v>
      </c>
      <c r="I1598">
        <v>8.5146999999999995</v>
      </c>
      <c r="J1598">
        <v>26058</v>
      </c>
      <c r="K1598">
        <v>0</v>
      </c>
      <c r="L1598">
        <v>0.90090000000000003</v>
      </c>
    </row>
    <row r="1599" spans="1:12" hidden="1" x14ac:dyDescent="0.25">
      <c r="A1599">
        <v>2330</v>
      </c>
      <c r="B1599" t="s">
        <v>11</v>
      </c>
      <c r="C1599" s="1">
        <v>41355</v>
      </c>
      <c r="D1599" s="2">
        <f t="shared" si="48"/>
        <v>5</v>
      </c>
      <c r="E1599" s="2">
        <f t="shared" si="49"/>
        <v>3</v>
      </c>
      <c r="F1599">
        <v>77.142499999999998</v>
      </c>
      <c r="G1599">
        <v>77.533699999999996</v>
      </c>
      <c r="H1599">
        <v>76.673000000000002</v>
      </c>
      <c r="I1599">
        <v>76.673000000000002</v>
      </c>
      <c r="J1599">
        <v>44937</v>
      </c>
      <c r="K1599">
        <v>-0.7117</v>
      </c>
      <c r="L1599">
        <v>1.1224000000000001</v>
      </c>
    </row>
    <row r="1600" spans="1:12" x14ac:dyDescent="0.25">
      <c r="A1600">
        <v>2303</v>
      </c>
      <c r="B1600" t="s">
        <v>10</v>
      </c>
      <c r="C1600" s="1">
        <v>41358</v>
      </c>
      <c r="D1600" s="2">
        <f t="shared" si="48"/>
        <v>1</v>
      </c>
      <c r="E1600" s="2">
        <f t="shared" si="49"/>
        <v>3</v>
      </c>
      <c r="F1600">
        <v>8.5530000000000008</v>
      </c>
      <c r="G1600">
        <v>8.5914000000000001</v>
      </c>
      <c r="H1600">
        <v>8.5146999999999995</v>
      </c>
      <c r="I1600">
        <v>8.5530000000000008</v>
      </c>
      <c r="J1600">
        <v>23981</v>
      </c>
      <c r="K1600">
        <v>0.44940000000000002</v>
      </c>
      <c r="L1600">
        <v>0.90090000000000003</v>
      </c>
    </row>
    <row r="1601" spans="1:12" hidden="1" x14ac:dyDescent="0.25">
      <c r="A1601">
        <v>2330</v>
      </c>
      <c r="B1601" t="s">
        <v>11</v>
      </c>
      <c r="C1601" s="1">
        <v>41358</v>
      </c>
      <c r="D1601" s="2">
        <f t="shared" si="48"/>
        <v>1</v>
      </c>
      <c r="E1601" s="2">
        <f t="shared" si="49"/>
        <v>3</v>
      </c>
      <c r="F1601">
        <v>78.159599999999998</v>
      </c>
      <c r="G1601">
        <v>78.629000000000005</v>
      </c>
      <c r="H1601">
        <v>77.611900000000006</v>
      </c>
      <c r="I1601">
        <v>77.846599999999995</v>
      </c>
      <c r="J1601">
        <v>25469</v>
      </c>
      <c r="K1601">
        <v>1.5189999999999999</v>
      </c>
      <c r="L1601">
        <v>1.3105</v>
      </c>
    </row>
    <row r="1602" spans="1:12" x14ac:dyDescent="0.25">
      <c r="A1602">
        <v>2303</v>
      </c>
      <c r="B1602" t="s">
        <v>10</v>
      </c>
      <c r="C1602" s="1">
        <v>41359</v>
      </c>
      <c r="D1602" s="2">
        <f t="shared" si="48"/>
        <v>2</v>
      </c>
      <c r="E1602" s="2">
        <f t="shared" si="49"/>
        <v>3</v>
      </c>
      <c r="F1602">
        <v>8.5914000000000001</v>
      </c>
      <c r="G1602">
        <v>8.6681000000000008</v>
      </c>
      <c r="H1602">
        <v>8.5530000000000008</v>
      </c>
      <c r="I1602">
        <v>8.6296999999999997</v>
      </c>
      <c r="J1602">
        <v>38920</v>
      </c>
      <c r="K1602">
        <v>0.89290000000000003</v>
      </c>
      <c r="L1602">
        <v>1.3452999999999999</v>
      </c>
    </row>
    <row r="1603" spans="1:12" hidden="1" x14ac:dyDescent="0.25">
      <c r="A1603">
        <v>2330</v>
      </c>
      <c r="B1603" t="s">
        <v>11</v>
      </c>
      <c r="C1603" s="1">
        <v>41359</v>
      </c>
      <c r="D1603" s="2">
        <f t="shared" ref="D1603:D1666" si="50">WEEKDAY(C1603,2)</f>
        <v>2</v>
      </c>
      <c r="E1603" s="2">
        <f t="shared" ref="E1603:E1666" si="51">MONTH(C1603)</f>
        <v>3</v>
      </c>
      <c r="F1603">
        <v>77.611900000000006</v>
      </c>
      <c r="G1603">
        <v>77.7684</v>
      </c>
      <c r="H1603">
        <v>77.298900000000003</v>
      </c>
      <c r="I1603">
        <v>77.455399999999997</v>
      </c>
      <c r="J1603">
        <v>27220</v>
      </c>
      <c r="K1603">
        <v>-0.50380000000000003</v>
      </c>
      <c r="L1603">
        <v>0.60729999999999995</v>
      </c>
    </row>
    <row r="1604" spans="1:12" x14ac:dyDescent="0.25">
      <c r="A1604">
        <v>2303</v>
      </c>
      <c r="B1604" t="s">
        <v>10</v>
      </c>
      <c r="C1604" s="1">
        <v>41360</v>
      </c>
      <c r="D1604" s="2">
        <f t="shared" si="50"/>
        <v>3</v>
      </c>
      <c r="E1604" s="2">
        <f t="shared" si="51"/>
        <v>3</v>
      </c>
      <c r="F1604">
        <v>8.6296999999999997</v>
      </c>
      <c r="G1604">
        <v>8.6681000000000008</v>
      </c>
      <c r="H1604">
        <v>8.5530000000000008</v>
      </c>
      <c r="I1604">
        <v>8.5530000000000008</v>
      </c>
      <c r="J1604">
        <v>27280</v>
      </c>
      <c r="K1604">
        <v>-0.89290000000000003</v>
      </c>
      <c r="L1604">
        <v>1.3452999999999999</v>
      </c>
    </row>
    <row r="1605" spans="1:12" hidden="1" x14ac:dyDescent="0.25">
      <c r="A1605">
        <v>2330</v>
      </c>
      <c r="B1605" t="s">
        <v>11</v>
      </c>
      <c r="C1605" s="1">
        <v>41360</v>
      </c>
      <c r="D1605" s="2">
        <f t="shared" si="50"/>
        <v>3</v>
      </c>
      <c r="E1605" s="2">
        <f t="shared" si="51"/>
        <v>3</v>
      </c>
      <c r="F1605">
        <v>77.455399999999997</v>
      </c>
      <c r="G1605">
        <v>78.629000000000005</v>
      </c>
      <c r="H1605">
        <v>77.298900000000003</v>
      </c>
      <c r="I1605">
        <v>78.629000000000005</v>
      </c>
      <c r="J1605">
        <v>29969</v>
      </c>
      <c r="K1605">
        <v>1.5038</v>
      </c>
      <c r="L1605">
        <v>1.7205999999999999</v>
      </c>
    </row>
    <row r="1606" spans="1:12" x14ac:dyDescent="0.25">
      <c r="A1606">
        <v>2303</v>
      </c>
      <c r="B1606" t="s">
        <v>10</v>
      </c>
      <c r="C1606" s="1">
        <v>41361</v>
      </c>
      <c r="D1606" s="2">
        <f t="shared" si="50"/>
        <v>4</v>
      </c>
      <c r="E1606" s="2">
        <f t="shared" si="51"/>
        <v>3</v>
      </c>
      <c r="F1606">
        <v>8.6296999999999997</v>
      </c>
      <c r="G1606">
        <v>8.6296999999999997</v>
      </c>
      <c r="H1606">
        <v>8.5146999999999995</v>
      </c>
      <c r="I1606">
        <v>8.5146999999999995</v>
      </c>
      <c r="J1606">
        <v>25189</v>
      </c>
      <c r="K1606">
        <v>-0.44940000000000002</v>
      </c>
      <c r="L1606">
        <v>1.3513999999999999</v>
      </c>
    </row>
    <row r="1607" spans="1:12" hidden="1" x14ac:dyDescent="0.25">
      <c r="A1607">
        <v>2330</v>
      </c>
      <c r="B1607" t="s">
        <v>11</v>
      </c>
      <c r="C1607" s="1">
        <v>41361</v>
      </c>
      <c r="D1607" s="2">
        <f t="shared" si="50"/>
        <v>4</v>
      </c>
      <c r="E1607" s="2">
        <f t="shared" si="51"/>
        <v>3</v>
      </c>
      <c r="F1607">
        <v>78.237799999999993</v>
      </c>
      <c r="G1607">
        <v>78.629000000000005</v>
      </c>
      <c r="H1607">
        <v>77.690100000000001</v>
      </c>
      <c r="I1607">
        <v>78.237799999999993</v>
      </c>
      <c r="J1607">
        <v>29558</v>
      </c>
      <c r="K1607">
        <v>-0.49880000000000002</v>
      </c>
      <c r="L1607">
        <v>1.2084999999999999</v>
      </c>
    </row>
    <row r="1608" spans="1:12" x14ac:dyDescent="0.25">
      <c r="A1608">
        <v>2303</v>
      </c>
      <c r="B1608" t="s">
        <v>10</v>
      </c>
      <c r="C1608" s="1">
        <v>41362</v>
      </c>
      <c r="D1608" s="2">
        <f t="shared" si="50"/>
        <v>5</v>
      </c>
      <c r="E1608" s="2">
        <f t="shared" si="51"/>
        <v>3</v>
      </c>
      <c r="F1608">
        <v>8.5530000000000008</v>
      </c>
      <c r="G1608">
        <v>8.6296999999999997</v>
      </c>
      <c r="H1608">
        <v>8.5146999999999995</v>
      </c>
      <c r="I1608">
        <v>8.5914000000000001</v>
      </c>
      <c r="J1608">
        <v>19801</v>
      </c>
      <c r="K1608">
        <v>0.89690000000000003</v>
      </c>
      <c r="L1608">
        <v>1.3513999999999999</v>
      </c>
    </row>
    <row r="1609" spans="1:12" hidden="1" x14ac:dyDescent="0.25">
      <c r="A1609">
        <v>2330</v>
      </c>
      <c r="B1609" t="s">
        <v>11</v>
      </c>
      <c r="C1609" s="1">
        <v>41362</v>
      </c>
      <c r="D1609" s="2">
        <f t="shared" si="50"/>
        <v>5</v>
      </c>
      <c r="E1609" s="2">
        <f t="shared" si="51"/>
        <v>3</v>
      </c>
      <c r="F1609">
        <v>78.237799999999993</v>
      </c>
      <c r="G1609">
        <v>79.020200000000003</v>
      </c>
      <c r="H1609">
        <v>78.081299999999999</v>
      </c>
      <c r="I1609">
        <v>78.629000000000005</v>
      </c>
      <c r="J1609">
        <v>19003</v>
      </c>
      <c r="K1609">
        <v>0.49880000000000002</v>
      </c>
      <c r="L1609">
        <v>1.2023999999999999</v>
      </c>
    </row>
    <row r="1610" spans="1:12" x14ac:dyDescent="0.25">
      <c r="A1610">
        <v>2303</v>
      </c>
      <c r="B1610" t="s">
        <v>10</v>
      </c>
      <c r="C1610" s="1">
        <v>41365</v>
      </c>
      <c r="D1610" s="2">
        <f t="shared" si="50"/>
        <v>1</v>
      </c>
      <c r="E1610" s="2">
        <f t="shared" si="51"/>
        <v>4</v>
      </c>
      <c r="F1610">
        <v>8.5914000000000001</v>
      </c>
      <c r="G1610">
        <v>8.6296999999999997</v>
      </c>
      <c r="H1610">
        <v>8.5146999999999995</v>
      </c>
      <c r="I1610">
        <v>8.5530000000000008</v>
      </c>
      <c r="J1610">
        <v>14979</v>
      </c>
      <c r="K1610">
        <v>-0.44740000000000002</v>
      </c>
      <c r="L1610">
        <v>1.3513999999999999</v>
      </c>
    </row>
    <row r="1611" spans="1:12" hidden="1" x14ac:dyDescent="0.25">
      <c r="A1611">
        <v>2330</v>
      </c>
      <c r="B1611" t="s">
        <v>11</v>
      </c>
      <c r="C1611" s="1">
        <v>41365</v>
      </c>
      <c r="D1611" s="2">
        <f t="shared" si="50"/>
        <v>1</v>
      </c>
      <c r="E1611" s="2">
        <f t="shared" si="51"/>
        <v>4</v>
      </c>
      <c r="F1611">
        <v>79.020200000000003</v>
      </c>
      <c r="G1611">
        <v>79.802599999999998</v>
      </c>
      <c r="H1611">
        <v>78.629000000000005</v>
      </c>
      <c r="I1611">
        <v>79.020200000000003</v>
      </c>
      <c r="J1611">
        <v>16374</v>
      </c>
      <c r="K1611">
        <v>0.49630000000000002</v>
      </c>
      <c r="L1611">
        <v>1.4924999999999999</v>
      </c>
    </row>
    <row r="1612" spans="1:12" x14ac:dyDescent="0.25">
      <c r="A1612">
        <v>2303</v>
      </c>
      <c r="B1612" t="s">
        <v>10</v>
      </c>
      <c r="C1612" s="1">
        <v>41366</v>
      </c>
      <c r="D1612" s="2">
        <f t="shared" si="50"/>
        <v>2</v>
      </c>
      <c r="E1612" s="2">
        <f t="shared" si="51"/>
        <v>4</v>
      </c>
      <c r="F1612">
        <v>8.5530000000000008</v>
      </c>
      <c r="G1612">
        <v>8.6681000000000008</v>
      </c>
      <c r="H1612">
        <v>8.5530000000000008</v>
      </c>
      <c r="I1612">
        <v>8.6296999999999997</v>
      </c>
      <c r="J1612">
        <v>31864</v>
      </c>
      <c r="K1612">
        <v>0.89290000000000003</v>
      </c>
      <c r="L1612">
        <v>1.3452999999999999</v>
      </c>
    </row>
    <row r="1613" spans="1:12" hidden="1" x14ac:dyDescent="0.25">
      <c r="A1613">
        <v>2330</v>
      </c>
      <c r="B1613" t="s">
        <v>11</v>
      </c>
      <c r="C1613" s="1">
        <v>41366</v>
      </c>
      <c r="D1613" s="2">
        <f t="shared" si="50"/>
        <v>2</v>
      </c>
      <c r="E1613" s="2">
        <f t="shared" si="51"/>
        <v>4</v>
      </c>
      <c r="F1613">
        <v>78.629000000000005</v>
      </c>
      <c r="G1613">
        <v>79.020200000000003</v>
      </c>
      <c r="H1613">
        <v>78.081299999999999</v>
      </c>
      <c r="I1613">
        <v>78.629000000000005</v>
      </c>
      <c r="J1613">
        <v>22334</v>
      </c>
      <c r="K1613">
        <v>-0.49630000000000002</v>
      </c>
      <c r="L1613">
        <v>1.2023999999999999</v>
      </c>
    </row>
    <row r="1614" spans="1:12" x14ac:dyDescent="0.25">
      <c r="A1614">
        <v>2303</v>
      </c>
      <c r="B1614" t="s">
        <v>10</v>
      </c>
      <c r="C1614" s="1">
        <v>41367</v>
      </c>
      <c r="D1614" s="2">
        <f t="shared" si="50"/>
        <v>3</v>
      </c>
      <c r="E1614" s="2">
        <f t="shared" si="51"/>
        <v>4</v>
      </c>
      <c r="F1614">
        <v>8.6681000000000008</v>
      </c>
      <c r="G1614">
        <v>8.7064000000000004</v>
      </c>
      <c r="H1614">
        <v>8.5914000000000001</v>
      </c>
      <c r="I1614">
        <v>8.6681000000000008</v>
      </c>
      <c r="J1614">
        <v>31841</v>
      </c>
      <c r="K1614">
        <v>0.44350000000000001</v>
      </c>
      <c r="L1614">
        <v>1.3392999999999999</v>
      </c>
    </row>
    <row r="1615" spans="1:12" hidden="1" x14ac:dyDescent="0.25">
      <c r="A1615">
        <v>2330</v>
      </c>
      <c r="B1615" t="s">
        <v>11</v>
      </c>
      <c r="C1615" s="1">
        <v>41367</v>
      </c>
      <c r="D1615" s="2">
        <f t="shared" si="50"/>
        <v>3</v>
      </c>
      <c r="E1615" s="2">
        <f t="shared" si="51"/>
        <v>4</v>
      </c>
      <c r="F1615">
        <v>79.4114</v>
      </c>
      <c r="G1615">
        <v>79.4114</v>
      </c>
      <c r="H1615">
        <v>78.237799999999993</v>
      </c>
      <c r="I1615">
        <v>78.629000000000005</v>
      </c>
      <c r="J1615">
        <v>27097</v>
      </c>
      <c r="K1615">
        <v>0</v>
      </c>
      <c r="L1615">
        <v>1.5</v>
      </c>
    </row>
    <row r="1616" spans="1:12" x14ac:dyDescent="0.25">
      <c r="A1616">
        <v>2303</v>
      </c>
      <c r="B1616" t="s">
        <v>10</v>
      </c>
      <c r="C1616" s="1">
        <v>41372</v>
      </c>
      <c r="D1616" s="2">
        <f t="shared" si="50"/>
        <v>1</v>
      </c>
      <c r="E1616" s="2">
        <f t="shared" si="51"/>
        <v>4</v>
      </c>
      <c r="F1616">
        <v>8.5146999999999995</v>
      </c>
      <c r="G1616">
        <v>8.5530000000000008</v>
      </c>
      <c r="H1616">
        <v>8.3995999999999995</v>
      </c>
      <c r="I1616">
        <v>8.4763000000000002</v>
      </c>
      <c r="J1616">
        <v>50278</v>
      </c>
      <c r="K1616">
        <v>-2.2372000000000001</v>
      </c>
      <c r="L1616">
        <v>1.8265</v>
      </c>
    </row>
    <row r="1617" spans="1:12" hidden="1" x14ac:dyDescent="0.25">
      <c r="A1617">
        <v>2330</v>
      </c>
      <c r="B1617" t="s">
        <v>11</v>
      </c>
      <c r="C1617" s="1">
        <v>41372</v>
      </c>
      <c r="D1617" s="2">
        <f t="shared" si="50"/>
        <v>1</v>
      </c>
      <c r="E1617" s="2">
        <f t="shared" si="51"/>
        <v>4</v>
      </c>
      <c r="F1617">
        <v>77.455399999999997</v>
      </c>
      <c r="G1617">
        <v>77.846599999999995</v>
      </c>
      <c r="H1617">
        <v>77.0642</v>
      </c>
      <c r="I1617">
        <v>77.0642</v>
      </c>
      <c r="J1617">
        <v>58367</v>
      </c>
      <c r="K1617">
        <v>-2.0101</v>
      </c>
      <c r="L1617">
        <v>1.0152000000000001</v>
      </c>
    </row>
    <row r="1618" spans="1:12" x14ac:dyDescent="0.25">
      <c r="A1618">
        <v>2303</v>
      </c>
      <c r="B1618" t="s">
        <v>10</v>
      </c>
      <c r="C1618" s="1">
        <v>41373</v>
      </c>
      <c r="D1618" s="2">
        <f t="shared" si="50"/>
        <v>2</v>
      </c>
      <c r="E1618" s="2">
        <f t="shared" si="51"/>
        <v>4</v>
      </c>
      <c r="F1618">
        <v>8.5146999999999995</v>
      </c>
      <c r="G1618">
        <v>8.5530000000000008</v>
      </c>
      <c r="H1618">
        <v>8.4379000000000008</v>
      </c>
      <c r="I1618">
        <v>8.5146999999999995</v>
      </c>
      <c r="J1618">
        <v>32469</v>
      </c>
      <c r="K1618">
        <v>0.45150000000000001</v>
      </c>
      <c r="L1618">
        <v>1.3635999999999999</v>
      </c>
    </row>
    <row r="1619" spans="1:12" hidden="1" x14ac:dyDescent="0.25">
      <c r="A1619">
        <v>2330</v>
      </c>
      <c r="B1619" t="s">
        <v>11</v>
      </c>
      <c r="C1619" s="1">
        <v>41373</v>
      </c>
      <c r="D1619" s="2">
        <f t="shared" si="50"/>
        <v>2</v>
      </c>
      <c r="E1619" s="2">
        <f t="shared" si="51"/>
        <v>4</v>
      </c>
      <c r="F1619">
        <v>76.673000000000002</v>
      </c>
      <c r="G1619">
        <v>77.0642</v>
      </c>
      <c r="H1619">
        <v>76.281899999999993</v>
      </c>
      <c r="I1619">
        <v>76.281899999999993</v>
      </c>
      <c r="J1619">
        <v>41316</v>
      </c>
      <c r="K1619">
        <v>-1.0204</v>
      </c>
      <c r="L1619">
        <v>1.0256000000000001</v>
      </c>
    </row>
    <row r="1620" spans="1:12" x14ac:dyDescent="0.25">
      <c r="A1620">
        <v>2303</v>
      </c>
      <c r="B1620" t="s">
        <v>10</v>
      </c>
      <c r="C1620" s="1">
        <v>41374</v>
      </c>
      <c r="D1620" s="2">
        <f t="shared" si="50"/>
        <v>3</v>
      </c>
      <c r="E1620" s="2">
        <f t="shared" si="51"/>
        <v>4</v>
      </c>
      <c r="F1620">
        <v>8.4379000000000008</v>
      </c>
      <c r="G1620">
        <v>8.5146999999999995</v>
      </c>
      <c r="H1620">
        <v>8.4379000000000008</v>
      </c>
      <c r="I1620">
        <v>8.4379000000000008</v>
      </c>
      <c r="J1620">
        <v>40712</v>
      </c>
      <c r="K1620">
        <v>-0.90500000000000003</v>
      </c>
      <c r="L1620">
        <v>0.90910000000000002</v>
      </c>
    </row>
    <row r="1621" spans="1:12" hidden="1" x14ac:dyDescent="0.25">
      <c r="A1621">
        <v>2330</v>
      </c>
      <c r="B1621" t="s">
        <v>11</v>
      </c>
      <c r="C1621" s="1">
        <v>41374</v>
      </c>
      <c r="D1621" s="2">
        <f t="shared" si="50"/>
        <v>3</v>
      </c>
      <c r="E1621" s="2">
        <f t="shared" si="51"/>
        <v>4</v>
      </c>
      <c r="F1621">
        <v>77.298900000000003</v>
      </c>
      <c r="G1621">
        <v>77.298900000000003</v>
      </c>
      <c r="H1621">
        <v>76.438299999999998</v>
      </c>
      <c r="I1621">
        <v>76.907799999999995</v>
      </c>
      <c r="J1621">
        <v>36746</v>
      </c>
      <c r="K1621">
        <v>0.81720000000000004</v>
      </c>
      <c r="L1621">
        <v>1.1258999999999999</v>
      </c>
    </row>
    <row r="1622" spans="1:12" x14ac:dyDescent="0.25">
      <c r="A1622">
        <v>2303</v>
      </c>
      <c r="B1622" t="s">
        <v>10</v>
      </c>
      <c r="C1622" s="1">
        <v>41375</v>
      </c>
      <c r="D1622" s="2">
        <f t="shared" si="50"/>
        <v>4</v>
      </c>
      <c r="E1622" s="2">
        <f t="shared" si="51"/>
        <v>4</v>
      </c>
      <c r="F1622">
        <v>8.5146999999999995</v>
      </c>
      <c r="G1622">
        <v>8.6681000000000008</v>
      </c>
      <c r="H1622">
        <v>8.4763000000000002</v>
      </c>
      <c r="I1622">
        <v>8.5914000000000001</v>
      </c>
      <c r="J1622">
        <v>45541</v>
      </c>
      <c r="K1622">
        <v>1.8019000000000001</v>
      </c>
      <c r="L1622">
        <v>2.2624</v>
      </c>
    </row>
    <row r="1623" spans="1:12" hidden="1" x14ac:dyDescent="0.25">
      <c r="A1623">
        <v>2330</v>
      </c>
      <c r="B1623" t="s">
        <v>11</v>
      </c>
      <c r="C1623" s="1">
        <v>41375</v>
      </c>
      <c r="D1623" s="2">
        <f t="shared" si="50"/>
        <v>4</v>
      </c>
      <c r="E1623" s="2">
        <f t="shared" si="51"/>
        <v>4</v>
      </c>
      <c r="F1623">
        <v>77.455399999999997</v>
      </c>
      <c r="G1623">
        <v>79.4114</v>
      </c>
      <c r="H1623">
        <v>77.298900000000003</v>
      </c>
      <c r="I1623">
        <v>79.4114</v>
      </c>
      <c r="J1623">
        <v>57867</v>
      </c>
      <c r="K1623">
        <v>3.2035</v>
      </c>
      <c r="L1623">
        <v>2.7328000000000001</v>
      </c>
    </row>
    <row r="1624" spans="1:12" x14ac:dyDescent="0.25">
      <c r="A1624">
        <v>2303</v>
      </c>
      <c r="B1624" t="s">
        <v>10</v>
      </c>
      <c r="C1624" s="1">
        <v>41376</v>
      </c>
      <c r="D1624" s="2">
        <f t="shared" si="50"/>
        <v>5</v>
      </c>
      <c r="E1624" s="2">
        <f t="shared" si="51"/>
        <v>4</v>
      </c>
      <c r="F1624">
        <v>8.6296999999999997</v>
      </c>
      <c r="G1624">
        <v>8.6296999999999997</v>
      </c>
      <c r="H1624">
        <v>8.4763000000000002</v>
      </c>
      <c r="I1624">
        <v>8.4763000000000002</v>
      </c>
      <c r="J1624">
        <v>32646</v>
      </c>
      <c r="K1624">
        <v>-1.3483000000000001</v>
      </c>
      <c r="L1624">
        <v>1.81</v>
      </c>
    </row>
    <row r="1625" spans="1:12" hidden="1" x14ac:dyDescent="0.25">
      <c r="A1625">
        <v>2330</v>
      </c>
      <c r="B1625" t="s">
        <v>11</v>
      </c>
      <c r="C1625" s="1">
        <v>41376</v>
      </c>
      <c r="D1625" s="2">
        <f t="shared" si="50"/>
        <v>5</v>
      </c>
      <c r="E1625" s="2">
        <f t="shared" si="51"/>
        <v>4</v>
      </c>
      <c r="F1625">
        <v>79.4114</v>
      </c>
      <c r="G1625">
        <v>79.4114</v>
      </c>
      <c r="H1625">
        <v>78.237799999999993</v>
      </c>
      <c r="I1625">
        <v>78.629000000000005</v>
      </c>
      <c r="J1625">
        <v>19568</v>
      </c>
      <c r="K1625">
        <v>-0.99009999999999998</v>
      </c>
      <c r="L1625">
        <v>1.5</v>
      </c>
    </row>
    <row r="1626" spans="1:12" x14ac:dyDescent="0.25">
      <c r="A1626">
        <v>2303</v>
      </c>
      <c r="B1626" t="s">
        <v>10</v>
      </c>
      <c r="C1626" s="1">
        <v>41379</v>
      </c>
      <c r="D1626" s="2">
        <f t="shared" si="50"/>
        <v>1</v>
      </c>
      <c r="E1626" s="2">
        <f t="shared" si="51"/>
        <v>4</v>
      </c>
      <c r="F1626">
        <v>8.4763000000000002</v>
      </c>
      <c r="G1626">
        <v>8.5914000000000001</v>
      </c>
      <c r="H1626">
        <v>8.4763000000000002</v>
      </c>
      <c r="I1626">
        <v>8.4763000000000002</v>
      </c>
      <c r="J1626">
        <v>25573</v>
      </c>
      <c r="K1626">
        <v>0</v>
      </c>
      <c r="L1626">
        <v>1.3574999999999999</v>
      </c>
    </row>
    <row r="1627" spans="1:12" hidden="1" x14ac:dyDescent="0.25">
      <c r="A1627">
        <v>2330</v>
      </c>
      <c r="B1627" t="s">
        <v>11</v>
      </c>
      <c r="C1627" s="1">
        <v>41379</v>
      </c>
      <c r="D1627" s="2">
        <f t="shared" si="50"/>
        <v>1</v>
      </c>
      <c r="E1627" s="2">
        <f t="shared" si="51"/>
        <v>4</v>
      </c>
      <c r="F1627">
        <v>78.629000000000005</v>
      </c>
      <c r="G1627">
        <v>79.020200000000003</v>
      </c>
      <c r="H1627">
        <v>77.533699999999996</v>
      </c>
      <c r="I1627">
        <v>77.7684</v>
      </c>
      <c r="J1627">
        <v>23440</v>
      </c>
      <c r="K1627">
        <v>-1.1006</v>
      </c>
      <c r="L1627">
        <v>1.9173</v>
      </c>
    </row>
    <row r="1628" spans="1:12" x14ac:dyDescent="0.25">
      <c r="A1628">
        <v>2303</v>
      </c>
      <c r="B1628" t="s">
        <v>10</v>
      </c>
      <c r="C1628" s="1">
        <v>41380</v>
      </c>
      <c r="D1628" s="2">
        <f t="shared" si="50"/>
        <v>2</v>
      </c>
      <c r="E1628" s="2">
        <f t="shared" si="51"/>
        <v>4</v>
      </c>
      <c r="F1628">
        <v>8.4379000000000008</v>
      </c>
      <c r="G1628">
        <v>8.6296999999999997</v>
      </c>
      <c r="H1628">
        <v>8.4379000000000008</v>
      </c>
      <c r="I1628">
        <v>8.6296999999999997</v>
      </c>
      <c r="J1628">
        <v>34539</v>
      </c>
      <c r="K1628">
        <v>1.7938000000000001</v>
      </c>
      <c r="L1628">
        <v>2.2726999999999999</v>
      </c>
    </row>
    <row r="1629" spans="1:12" hidden="1" x14ac:dyDescent="0.25">
      <c r="A1629">
        <v>2330</v>
      </c>
      <c r="B1629" t="s">
        <v>11</v>
      </c>
      <c r="C1629" s="1">
        <v>41380</v>
      </c>
      <c r="D1629" s="2">
        <f t="shared" si="50"/>
        <v>2</v>
      </c>
      <c r="E1629" s="2">
        <f t="shared" si="51"/>
        <v>4</v>
      </c>
      <c r="F1629">
        <v>76.829499999999996</v>
      </c>
      <c r="G1629">
        <v>79.020200000000003</v>
      </c>
      <c r="H1629">
        <v>76.829499999999996</v>
      </c>
      <c r="I1629">
        <v>78.629000000000005</v>
      </c>
      <c r="J1629">
        <v>35918</v>
      </c>
      <c r="K1629">
        <v>1.1006</v>
      </c>
      <c r="L1629">
        <v>2.8513000000000002</v>
      </c>
    </row>
    <row r="1630" spans="1:12" x14ac:dyDescent="0.25">
      <c r="A1630">
        <v>2303</v>
      </c>
      <c r="B1630" t="s">
        <v>10</v>
      </c>
      <c r="C1630" s="1">
        <v>41381</v>
      </c>
      <c r="D1630" s="2">
        <f t="shared" si="50"/>
        <v>3</v>
      </c>
      <c r="E1630" s="2">
        <f t="shared" si="51"/>
        <v>4</v>
      </c>
      <c r="F1630">
        <v>8.6296999999999997</v>
      </c>
      <c r="G1630">
        <v>8.6681000000000008</v>
      </c>
      <c r="H1630">
        <v>8.5530000000000008</v>
      </c>
      <c r="I1630">
        <v>8.5914000000000001</v>
      </c>
      <c r="J1630">
        <v>34777</v>
      </c>
      <c r="K1630">
        <v>-0.44540000000000002</v>
      </c>
      <c r="L1630">
        <v>1.3452999999999999</v>
      </c>
    </row>
    <row r="1631" spans="1:12" hidden="1" x14ac:dyDescent="0.25">
      <c r="A1631">
        <v>2330</v>
      </c>
      <c r="B1631" t="s">
        <v>11</v>
      </c>
      <c r="C1631" s="1">
        <v>41381</v>
      </c>
      <c r="D1631" s="2">
        <f t="shared" si="50"/>
        <v>3</v>
      </c>
      <c r="E1631" s="2">
        <f t="shared" si="51"/>
        <v>4</v>
      </c>
      <c r="F1631">
        <v>79.4114</v>
      </c>
      <c r="G1631">
        <v>79.4114</v>
      </c>
      <c r="H1631">
        <v>78.003100000000003</v>
      </c>
      <c r="I1631">
        <v>78.237799999999993</v>
      </c>
      <c r="J1631">
        <v>35897</v>
      </c>
      <c r="K1631">
        <v>-0.49880000000000002</v>
      </c>
      <c r="L1631">
        <v>1.8053999999999999</v>
      </c>
    </row>
    <row r="1632" spans="1:12" x14ac:dyDescent="0.25">
      <c r="A1632">
        <v>2303</v>
      </c>
      <c r="B1632" t="s">
        <v>10</v>
      </c>
      <c r="C1632" s="1">
        <v>41382</v>
      </c>
      <c r="D1632" s="2">
        <f t="shared" si="50"/>
        <v>4</v>
      </c>
      <c r="E1632" s="2">
        <f t="shared" si="51"/>
        <v>4</v>
      </c>
      <c r="F1632">
        <v>8.5530000000000008</v>
      </c>
      <c r="G1632">
        <v>8.5914000000000001</v>
      </c>
      <c r="H1632">
        <v>8.4763000000000002</v>
      </c>
      <c r="I1632">
        <v>8.5146999999999995</v>
      </c>
      <c r="J1632">
        <v>31814</v>
      </c>
      <c r="K1632">
        <v>-0.89690000000000003</v>
      </c>
      <c r="L1632">
        <v>1.3574999999999999</v>
      </c>
    </row>
    <row r="1633" spans="1:12" hidden="1" x14ac:dyDescent="0.25">
      <c r="A1633">
        <v>2330</v>
      </c>
      <c r="B1633" t="s">
        <v>11</v>
      </c>
      <c r="C1633" s="1">
        <v>41382</v>
      </c>
      <c r="D1633" s="2">
        <f t="shared" si="50"/>
        <v>4</v>
      </c>
      <c r="E1633" s="2">
        <f t="shared" si="51"/>
        <v>4</v>
      </c>
      <c r="F1633">
        <v>78.237799999999993</v>
      </c>
      <c r="G1633">
        <v>79.020200000000003</v>
      </c>
      <c r="H1633">
        <v>77.7684</v>
      </c>
      <c r="I1633">
        <v>78.159599999999998</v>
      </c>
      <c r="J1633">
        <v>33083</v>
      </c>
      <c r="K1633">
        <v>-0.10009999999999999</v>
      </c>
      <c r="L1633">
        <v>1.6096999999999999</v>
      </c>
    </row>
    <row r="1634" spans="1:12" x14ac:dyDescent="0.25">
      <c r="A1634">
        <v>2303</v>
      </c>
      <c r="B1634" t="s">
        <v>10</v>
      </c>
      <c r="C1634" s="1">
        <v>41383</v>
      </c>
      <c r="D1634" s="2">
        <f t="shared" si="50"/>
        <v>5</v>
      </c>
      <c r="E1634" s="2">
        <f t="shared" si="51"/>
        <v>4</v>
      </c>
      <c r="F1634">
        <v>8.5914000000000001</v>
      </c>
      <c r="G1634">
        <v>8.7830999999999992</v>
      </c>
      <c r="H1634">
        <v>8.5530000000000008</v>
      </c>
      <c r="I1634">
        <v>8.7064000000000004</v>
      </c>
      <c r="J1634">
        <v>78392</v>
      </c>
      <c r="K1634">
        <v>2.2273000000000001</v>
      </c>
      <c r="L1634">
        <v>2.6905999999999999</v>
      </c>
    </row>
    <row r="1635" spans="1:12" hidden="1" x14ac:dyDescent="0.25">
      <c r="A1635">
        <v>2330</v>
      </c>
      <c r="B1635" t="s">
        <v>11</v>
      </c>
      <c r="C1635" s="1">
        <v>41383</v>
      </c>
      <c r="D1635" s="2">
        <f t="shared" si="50"/>
        <v>5</v>
      </c>
      <c r="E1635" s="2">
        <f t="shared" si="51"/>
        <v>4</v>
      </c>
      <c r="F1635">
        <v>82.540899999999993</v>
      </c>
      <c r="G1635">
        <v>83.323300000000003</v>
      </c>
      <c r="H1635">
        <v>82.540899999999993</v>
      </c>
      <c r="I1635">
        <v>83.323300000000003</v>
      </c>
      <c r="J1635">
        <v>66950</v>
      </c>
      <c r="K1635">
        <v>6.3975</v>
      </c>
      <c r="L1635">
        <v>0.94789999999999996</v>
      </c>
    </row>
    <row r="1636" spans="1:12" x14ac:dyDescent="0.25">
      <c r="A1636">
        <v>2303</v>
      </c>
      <c r="B1636" t="s">
        <v>10</v>
      </c>
      <c r="C1636" s="1">
        <v>41386</v>
      </c>
      <c r="D1636" s="2">
        <f t="shared" si="50"/>
        <v>1</v>
      </c>
      <c r="E1636" s="2">
        <f t="shared" si="51"/>
        <v>4</v>
      </c>
      <c r="F1636">
        <v>8.7064000000000004</v>
      </c>
      <c r="G1636">
        <v>8.7064000000000004</v>
      </c>
      <c r="H1636">
        <v>8.5914000000000001</v>
      </c>
      <c r="I1636">
        <v>8.5914000000000001</v>
      </c>
      <c r="J1636">
        <v>25456</v>
      </c>
      <c r="K1636">
        <v>-1.3304</v>
      </c>
      <c r="L1636">
        <v>1.3392999999999999</v>
      </c>
    </row>
    <row r="1637" spans="1:12" hidden="1" x14ac:dyDescent="0.25">
      <c r="A1637">
        <v>2330</v>
      </c>
      <c r="B1637" t="s">
        <v>11</v>
      </c>
      <c r="C1637" s="1">
        <v>41386</v>
      </c>
      <c r="D1637" s="2">
        <f t="shared" si="50"/>
        <v>1</v>
      </c>
      <c r="E1637" s="2">
        <f t="shared" si="51"/>
        <v>4</v>
      </c>
      <c r="F1637">
        <v>84.888000000000005</v>
      </c>
      <c r="G1637">
        <v>85.670400000000001</v>
      </c>
      <c r="H1637">
        <v>84.105599999999995</v>
      </c>
      <c r="I1637">
        <v>84.888000000000005</v>
      </c>
      <c r="J1637">
        <v>72502</v>
      </c>
      <c r="K1637">
        <v>1.8605</v>
      </c>
      <c r="L1637">
        <v>1.8605</v>
      </c>
    </row>
    <row r="1638" spans="1:12" x14ac:dyDescent="0.25">
      <c r="A1638">
        <v>2303</v>
      </c>
      <c r="B1638" t="s">
        <v>10</v>
      </c>
      <c r="C1638" s="1">
        <v>41387</v>
      </c>
      <c r="D1638" s="2">
        <f t="shared" si="50"/>
        <v>2</v>
      </c>
      <c r="E1638" s="2">
        <f t="shared" si="51"/>
        <v>4</v>
      </c>
      <c r="F1638">
        <v>8.6296999999999997</v>
      </c>
      <c r="G1638">
        <v>8.6681000000000008</v>
      </c>
      <c r="H1638">
        <v>8.5530000000000008</v>
      </c>
      <c r="I1638">
        <v>8.5914000000000001</v>
      </c>
      <c r="J1638">
        <v>22744</v>
      </c>
      <c r="K1638">
        <v>0</v>
      </c>
      <c r="L1638">
        <v>1.3452999999999999</v>
      </c>
    </row>
    <row r="1639" spans="1:12" hidden="1" x14ac:dyDescent="0.25">
      <c r="A1639">
        <v>2330</v>
      </c>
      <c r="B1639" t="s">
        <v>11</v>
      </c>
      <c r="C1639" s="1">
        <v>41387</v>
      </c>
      <c r="D1639" s="2">
        <f t="shared" si="50"/>
        <v>2</v>
      </c>
      <c r="E1639" s="2">
        <f t="shared" si="51"/>
        <v>4</v>
      </c>
      <c r="F1639">
        <v>83.323300000000003</v>
      </c>
      <c r="G1639">
        <v>84.105599999999995</v>
      </c>
      <c r="H1639">
        <v>82.540899999999993</v>
      </c>
      <c r="I1639">
        <v>82.932100000000005</v>
      </c>
      <c r="J1639">
        <v>46146</v>
      </c>
      <c r="K1639">
        <v>-2.3311000000000002</v>
      </c>
      <c r="L1639">
        <v>1.8956999999999999</v>
      </c>
    </row>
    <row r="1640" spans="1:12" x14ac:dyDescent="0.25">
      <c r="A1640">
        <v>2303</v>
      </c>
      <c r="B1640" t="s">
        <v>10</v>
      </c>
      <c r="C1640" s="1">
        <v>41388</v>
      </c>
      <c r="D1640" s="2">
        <f t="shared" si="50"/>
        <v>3</v>
      </c>
      <c r="E1640" s="2">
        <f t="shared" si="51"/>
        <v>4</v>
      </c>
      <c r="F1640">
        <v>8.6681000000000008</v>
      </c>
      <c r="G1640">
        <v>8.7447999999999997</v>
      </c>
      <c r="H1640">
        <v>8.5914000000000001</v>
      </c>
      <c r="I1640">
        <v>8.7447999999999997</v>
      </c>
      <c r="J1640">
        <v>30072</v>
      </c>
      <c r="K1640">
        <v>1.77</v>
      </c>
      <c r="L1640">
        <v>1.7857000000000001</v>
      </c>
    </row>
    <row r="1641" spans="1:12" hidden="1" x14ac:dyDescent="0.25">
      <c r="A1641">
        <v>2330</v>
      </c>
      <c r="B1641" t="s">
        <v>11</v>
      </c>
      <c r="C1641" s="1">
        <v>41388</v>
      </c>
      <c r="D1641" s="2">
        <f t="shared" si="50"/>
        <v>3</v>
      </c>
      <c r="E1641" s="2">
        <f t="shared" si="51"/>
        <v>4</v>
      </c>
      <c r="F1641">
        <v>83.323300000000003</v>
      </c>
      <c r="G1641">
        <v>83.714399999999998</v>
      </c>
      <c r="H1641">
        <v>81.758499999999998</v>
      </c>
      <c r="I1641">
        <v>82.932100000000005</v>
      </c>
      <c r="J1641">
        <v>35495</v>
      </c>
      <c r="K1641">
        <v>0</v>
      </c>
      <c r="L1641">
        <v>2.3923000000000001</v>
      </c>
    </row>
    <row r="1642" spans="1:12" x14ac:dyDescent="0.25">
      <c r="A1642">
        <v>2303</v>
      </c>
      <c r="B1642" t="s">
        <v>10</v>
      </c>
      <c r="C1642" s="1">
        <v>41389</v>
      </c>
      <c r="D1642" s="2">
        <f t="shared" si="50"/>
        <v>4</v>
      </c>
      <c r="E1642" s="2">
        <f t="shared" si="51"/>
        <v>4</v>
      </c>
      <c r="F1642">
        <v>8.7064000000000004</v>
      </c>
      <c r="G1642">
        <v>8.7447999999999997</v>
      </c>
      <c r="H1642">
        <v>8.6296999999999997</v>
      </c>
      <c r="I1642">
        <v>8.6681000000000008</v>
      </c>
      <c r="J1642">
        <v>31985</v>
      </c>
      <c r="K1642">
        <v>-0.88109999999999999</v>
      </c>
      <c r="L1642">
        <v>1.3332999999999999</v>
      </c>
    </row>
    <row r="1643" spans="1:12" hidden="1" x14ac:dyDescent="0.25">
      <c r="A1643">
        <v>2330</v>
      </c>
      <c r="B1643" t="s">
        <v>11</v>
      </c>
      <c r="C1643" s="1">
        <v>41389</v>
      </c>
      <c r="D1643" s="2">
        <f t="shared" si="50"/>
        <v>4</v>
      </c>
      <c r="E1643" s="2">
        <f t="shared" si="51"/>
        <v>4</v>
      </c>
      <c r="F1643">
        <v>82.932100000000005</v>
      </c>
      <c r="G1643">
        <v>83.714399999999998</v>
      </c>
      <c r="H1643">
        <v>82.540899999999993</v>
      </c>
      <c r="I1643">
        <v>83.714399999999998</v>
      </c>
      <c r="J1643">
        <v>26287</v>
      </c>
      <c r="K1643">
        <v>0.93899999999999995</v>
      </c>
      <c r="L1643">
        <v>1.4218</v>
      </c>
    </row>
    <row r="1644" spans="1:12" x14ac:dyDescent="0.25">
      <c r="A1644">
        <v>2303</v>
      </c>
      <c r="B1644" t="s">
        <v>10</v>
      </c>
      <c r="C1644" s="1">
        <v>41390</v>
      </c>
      <c r="D1644" s="2">
        <f t="shared" si="50"/>
        <v>5</v>
      </c>
      <c r="E1644" s="2">
        <f t="shared" si="51"/>
        <v>4</v>
      </c>
      <c r="F1644">
        <v>8.6681000000000008</v>
      </c>
      <c r="G1644">
        <v>8.7064000000000004</v>
      </c>
      <c r="H1644">
        <v>8.5914000000000001</v>
      </c>
      <c r="I1644">
        <v>8.5914000000000001</v>
      </c>
      <c r="J1644">
        <v>29071</v>
      </c>
      <c r="K1644">
        <v>-0.88890000000000002</v>
      </c>
      <c r="L1644">
        <v>1.3392999999999999</v>
      </c>
    </row>
    <row r="1645" spans="1:12" hidden="1" x14ac:dyDescent="0.25">
      <c r="A1645">
        <v>2330</v>
      </c>
      <c r="B1645" t="s">
        <v>11</v>
      </c>
      <c r="C1645" s="1">
        <v>41390</v>
      </c>
      <c r="D1645" s="2">
        <f t="shared" si="50"/>
        <v>5</v>
      </c>
      <c r="E1645" s="2">
        <f t="shared" si="51"/>
        <v>4</v>
      </c>
      <c r="F1645">
        <v>83.714399999999998</v>
      </c>
      <c r="G1645">
        <v>85.279200000000003</v>
      </c>
      <c r="H1645">
        <v>83.714399999999998</v>
      </c>
      <c r="I1645">
        <v>84.888000000000005</v>
      </c>
      <c r="J1645">
        <v>36776</v>
      </c>
      <c r="K1645">
        <v>1.3920999999999999</v>
      </c>
      <c r="L1645">
        <v>1.8692</v>
      </c>
    </row>
    <row r="1646" spans="1:12" x14ac:dyDescent="0.25">
      <c r="A1646">
        <v>2303</v>
      </c>
      <c r="B1646" t="s">
        <v>10</v>
      </c>
      <c r="C1646" s="1">
        <v>41393</v>
      </c>
      <c r="D1646" s="2">
        <f t="shared" si="50"/>
        <v>1</v>
      </c>
      <c r="E1646" s="2">
        <f t="shared" si="51"/>
        <v>4</v>
      </c>
      <c r="F1646">
        <v>8.5914000000000001</v>
      </c>
      <c r="G1646">
        <v>8.6296999999999997</v>
      </c>
      <c r="H1646">
        <v>8.5146999999999995</v>
      </c>
      <c r="I1646">
        <v>8.5146999999999995</v>
      </c>
      <c r="J1646">
        <v>30661</v>
      </c>
      <c r="K1646">
        <v>-0.89690000000000003</v>
      </c>
      <c r="L1646">
        <v>1.3513999999999999</v>
      </c>
    </row>
    <row r="1647" spans="1:12" hidden="1" x14ac:dyDescent="0.25">
      <c r="A1647">
        <v>2330</v>
      </c>
      <c r="B1647" t="s">
        <v>11</v>
      </c>
      <c r="C1647" s="1">
        <v>41393</v>
      </c>
      <c r="D1647" s="2">
        <f t="shared" si="50"/>
        <v>1</v>
      </c>
      <c r="E1647" s="2">
        <f t="shared" si="51"/>
        <v>4</v>
      </c>
      <c r="F1647">
        <v>84.888000000000005</v>
      </c>
      <c r="G1647">
        <v>84.888000000000005</v>
      </c>
      <c r="H1647">
        <v>84.105599999999995</v>
      </c>
      <c r="I1647">
        <v>84.496799999999993</v>
      </c>
      <c r="J1647">
        <v>21092</v>
      </c>
      <c r="K1647">
        <v>-0.46189999999999998</v>
      </c>
      <c r="L1647">
        <v>0.93020000000000003</v>
      </c>
    </row>
    <row r="1648" spans="1:12" x14ac:dyDescent="0.25">
      <c r="A1648">
        <v>2303</v>
      </c>
      <c r="B1648" t="s">
        <v>10</v>
      </c>
      <c r="C1648" s="1">
        <v>41394</v>
      </c>
      <c r="D1648" s="2">
        <f t="shared" si="50"/>
        <v>2</v>
      </c>
      <c r="E1648" s="2">
        <f t="shared" si="51"/>
        <v>4</v>
      </c>
      <c r="F1648">
        <v>8.5914000000000001</v>
      </c>
      <c r="G1648">
        <v>8.6681000000000008</v>
      </c>
      <c r="H1648">
        <v>8.5914000000000001</v>
      </c>
      <c r="I1648">
        <v>8.6296999999999997</v>
      </c>
      <c r="J1648">
        <v>42405</v>
      </c>
      <c r="K1648">
        <v>1.3423</v>
      </c>
      <c r="L1648">
        <v>0.89290000000000003</v>
      </c>
    </row>
    <row r="1649" spans="1:12" hidden="1" x14ac:dyDescent="0.25">
      <c r="A1649">
        <v>2330</v>
      </c>
      <c r="B1649" t="s">
        <v>11</v>
      </c>
      <c r="C1649" s="1">
        <v>41394</v>
      </c>
      <c r="D1649" s="2">
        <f t="shared" si="50"/>
        <v>2</v>
      </c>
      <c r="E1649" s="2">
        <f t="shared" si="51"/>
        <v>4</v>
      </c>
      <c r="F1649">
        <v>84.888000000000005</v>
      </c>
      <c r="G1649">
        <v>85.670400000000001</v>
      </c>
      <c r="H1649">
        <v>84.888000000000005</v>
      </c>
      <c r="I1649">
        <v>85.670400000000001</v>
      </c>
      <c r="J1649">
        <v>34612</v>
      </c>
      <c r="K1649">
        <v>1.3793</v>
      </c>
      <c r="L1649">
        <v>0.92169999999999996</v>
      </c>
    </row>
    <row r="1650" spans="1:12" x14ac:dyDescent="0.25">
      <c r="A1650">
        <v>2303</v>
      </c>
      <c r="B1650" t="s">
        <v>10</v>
      </c>
      <c r="C1650" s="1">
        <v>41396</v>
      </c>
      <c r="D1650" s="2">
        <f t="shared" si="50"/>
        <v>4</v>
      </c>
      <c r="E1650" s="2">
        <f t="shared" si="51"/>
        <v>5</v>
      </c>
      <c r="F1650">
        <v>8.5914000000000001</v>
      </c>
      <c r="G1650">
        <v>8.6681000000000008</v>
      </c>
      <c r="H1650">
        <v>8.5530000000000008</v>
      </c>
      <c r="I1650">
        <v>8.5914000000000001</v>
      </c>
      <c r="J1650">
        <v>23375</v>
      </c>
      <c r="K1650">
        <v>-0.44540000000000002</v>
      </c>
      <c r="L1650">
        <v>1.3452999999999999</v>
      </c>
    </row>
    <row r="1651" spans="1:12" hidden="1" x14ac:dyDescent="0.25">
      <c r="A1651">
        <v>2330</v>
      </c>
      <c r="B1651" t="s">
        <v>11</v>
      </c>
      <c r="C1651" s="1">
        <v>41396</v>
      </c>
      <c r="D1651" s="2">
        <f t="shared" si="50"/>
        <v>4</v>
      </c>
      <c r="E1651" s="2">
        <f t="shared" si="51"/>
        <v>5</v>
      </c>
      <c r="F1651">
        <v>86.061599999999999</v>
      </c>
      <c r="G1651">
        <v>86.843999999999994</v>
      </c>
      <c r="H1651">
        <v>85.279200000000003</v>
      </c>
      <c r="I1651">
        <v>86.452799999999996</v>
      </c>
      <c r="J1651">
        <v>38796</v>
      </c>
      <c r="K1651">
        <v>0.90910000000000002</v>
      </c>
      <c r="L1651">
        <v>1.8349</v>
      </c>
    </row>
    <row r="1652" spans="1:12" x14ac:dyDescent="0.25">
      <c r="A1652">
        <v>2303</v>
      </c>
      <c r="B1652" t="s">
        <v>10</v>
      </c>
      <c r="C1652" s="1">
        <v>41397</v>
      </c>
      <c r="D1652" s="2">
        <f t="shared" si="50"/>
        <v>5</v>
      </c>
      <c r="E1652" s="2">
        <f t="shared" si="51"/>
        <v>5</v>
      </c>
      <c r="F1652">
        <v>8.5914000000000001</v>
      </c>
      <c r="G1652">
        <v>8.8215000000000003</v>
      </c>
      <c r="H1652">
        <v>8.5914000000000001</v>
      </c>
      <c r="I1652">
        <v>8.7447999999999997</v>
      </c>
      <c r="J1652">
        <v>45896</v>
      </c>
      <c r="K1652">
        <v>1.77</v>
      </c>
      <c r="L1652">
        <v>2.6785999999999999</v>
      </c>
    </row>
    <row r="1653" spans="1:12" hidden="1" x14ac:dyDescent="0.25">
      <c r="A1653">
        <v>2330</v>
      </c>
      <c r="B1653" t="s">
        <v>11</v>
      </c>
      <c r="C1653" s="1">
        <v>41397</v>
      </c>
      <c r="D1653" s="2">
        <f t="shared" si="50"/>
        <v>5</v>
      </c>
      <c r="E1653" s="2">
        <f t="shared" si="51"/>
        <v>5</v>
      </c>
      <c r="F1653">
        <v>87.235100000000003</v>
      </c>
      <c r="G1653">
        <v>88.017499999999998</v>
      </c>
      <c r="H1653">
        <v>86.061599999999999</v>
      </c>
      <c r="I1653">
        <v>86.061599999999999</v>
      </c>
      <c r="J1653">
        <v>36621</v>
      </c>
      <c r="K1653">
        <v>-0.45350000000000001</v>
      </c>
      <c r="L1653">
        <v>2.2726999999999999</v>
      </c>
    </row>
    <row r="1654" spans="1:12" x14ac:dyDescent="0.25">
      <c r="A1654">
        <v>2303</v>
      </c>
      <c r="B1654" t="s">
        <v>10</v>
      </c>
      <c r="C1654" s="1">
        <v>41400</v>
      </c>
      <c r="D1654" s="2">
        <f t="shared" si="50"/>
        <v>1</v>
      </c>
      <c r="E1654" s="2">
        <f t="shared" si="51"/>
        <v>5</v>
      </c>
      <c r="F1654">
        <v>8.8215000000000003</v>
      </c>
      <c r="G1654">
        <v>9.0516000000000005</v>
      </c>
      <c r="H1654">
        <v>8.7830999999999992</v>
      </c>
      <c r="I1654">
        <v>9.0516000000000005</v>
      </c>
      <c r="J1654">
        <v>109090</v>
      </c>
      <c r="K1654">
        <v>3.4485999999999999</v>
      </c>
      <c r="L1654">
        <v>3.0568</v>
      </c>
    </row>
    <row r="1655" spans="1:12" hidden="1" x14ac:dyDescent="0.25">
      <c r="A1655">
        <v>2330</v>
      </c>
      <c r="B1655" t="s">
        <v>11</v>
      </c>
      <c r="C1655" s="1">
        <v>41400</v>
      </c>
      <c r="D1655" s="2">
        <f t="shared" si="50"/>
        <v>1</v>
      </c>
      <c r="E1655" s="2">
        <f t="shared" si="51"/>
        <v>5</v>
      </c>
      <c r="F1655">
        <v>87.235100000000003</v>
      </c>
      <c r="G1655">
        <v>87.235100000000003</v>
      </c>
      <c r="H1655">
        <v>86.452799999999996</v>
      </c>
      <c r="I1655">
        <v>87.235100000000003</v>
      </c>
      <c r="J1655">
        <v>19393</v>
      </c>
      <c r="K1655">
        <v>1.3544</v>
      </c>
      <c r="L1655">
        <v>0.90500000000000003</v>
      </c>
    </row>
    <row r="1656" spans="1:12" x14ac:dyDescent="0.25">
      <c r="A1656">
        <v>2303</v>
      </c>
      <c r="B1656" t="s">
        <v>10</v>
      </c>
      <c r="C1656" s="1">
        <v>41401</v>
      </c>
      <c r="D1656" s="2">
        <f t="shared" si="50"/>
        <v>2</v>
      </c>
      <c r="E1656" s="2">
        <f t="shared" si="51"/>
        <v>5</v>
      </c>
      <c r="F1656">
        <v>8.9748999999999999</v>
      </c>
      <c r="G1656">
        <v>9.0132999999999992</v>
      </c>
      <c r="H1656">
        <v>8.8597999999999999</v>
      </c>
      <c r="I1656">
        <v>8.8981999999999992</v>
      </c>
      <c r="J1656">
        <v>61595</v>
      </c>
      <c r="K1656">
        <v>-1.7094</v>
      </c>
      <c r="L1656">
        <v>1.7316</v>
      </c>
    </row>
    <row r="1657" spans="1:12" hidden="1" x14ac:dyDescent="0.25">
      <c r="A1657">
        <v>2330</v>
      </c>
      <c r="B1657" t="s">
        <v>11</v>
      </c>
      <c r="C1657" s="1">
        <v>41401</v>
      </c>
      <c r="D1657" s="2">
        <f t="shared" si="50"/>
        <v>2</v>
      </c>
      <c r="E1657" s="2">
        <f t="shared" si="51"/>
        <v>5</v>
      </c>
      <c r="F1657">
        <v>87.626300000000001</v>
      </c>
      <c r="G1657">
        <v>88.408699999999996</v>
      </c>
      <c r="H1657">
        <v>86.843999999999994</v>
      </c>
      <c r="I1657">
        <v>88.017499999999998</v>
      </c>
      <c r="J1657">
        <v>22448</v>
      </c>
      <c r="K1657">
        <v>0.89290000000000003</v>
      </c>
      <c r="L1657">
        <v>1.8018000000000001</v>
      </c>
    </row>
    <row r="1658" spans="1:12" x14ac:dyDescent="0.25">
      <c r="A1658">
        <v>2303</v>
      </c>
      <c r="B1658" t="s">
        <v>10</v>
      </c>
      <c r="C1658" s="1">
        <v>41402</v>
      </c>
      <c r="D1658" s="2">
        <f t="shared" si="50"/>
        <v>3</v>
      </c>
      <c r="E1658" s="2">
        <f t="shared" si="51"/>
        <v>5</v>
      </c>
      <c r="F1658">
        <v>8.9366000000000003</v>
      </c>
      <c r="G1658">
        <v>9.2817000000000007</v>
      </c>
      <c r="H1658">
        <v>8.9366000000000003</v>
      </c>
      <c r="I1658">
        <v>9.2817000000000007</v>
      </c>
      <c r="J1658">
        <v>172431</v>
      </c>
      <c r="K1658">
        <v>4.22</v>
      </c>
      <c r="L1658">
        <v>3.8626999999999998</v>
      </c>
    </row>
    <row r="1659" spans="1:12" hidden="1" x14ac:dyDescent="0.25">
      <c r="A1659">
        <v>2330</v>
      </c>
      <c r="B1659" t="s">
        <v>11</v>
      </c>
      <c r="C1659" s="1">
        <v>41402</v>
      </c>
      <c r="D1659" s="2">
        <f t="shared" si="50"/>
        <v>3</v>
      </c>
      <c r="E1659" s="2">
        <f t="shared" si="51"/>
        <v>5</v>
      </c>
      <c r="F1659">
        <v>88.017499999999998</v>
      </c>
      <c r="G1659">
        <v>89.973500000000001</v>
      </c>
      <c r="H1659">
        <v>88.017499999999998</v>
      </c>
      <c r="I1659">
        <v>89.582300000000004</v>
      </c>
      <c r="J1659">
        <v>42509</v>
      </c>
      <c r="K1659">
        <v>1.7622</v>
      </c>
      <c r="L1659">
        <v>2.2222</v>
      </c>
    </row>
    <row r="1660" spans="1:12" x14ac:dyDescent="0.25">
      <c r="A1660">
        <v>2303</v>
      </c>
      <c r="B1660" t="s">
        <v>10</v>
      </c>
      <c r="C1660" s="1">
        <v>41403</v>
      </c>
      <c r="D1660" s="2">
        <f t="shared" si="50"/>
        <v>4</v>
      </c>
      <c r="E1660" s="2">
        <f t="shared" si="51"/>
        <v>5</v>
      </c>
      <c r="F1660">
        <v>9.4352</v>
      </c>
      <c r="G1660">
        <v>9.4352</v>
      </c>
      <c r="H1660">
        <v>9.1282999999999994</v>
      </c>
      <c r="I1660">
        <v>9.1282999999999994</v>
      </c>
      <c r="J1660">
        <v>189203</v>
      </c>
      <c r="K1660">
        <v>-1.6667000000000001</v>
      </c>
      <c r="L1660">
        <v>3.3613</v>
      </c>
    </row>
    <row r="1661" spans="1:12" hidden="1" x14ac:dyDescent="0.25">
      <c r="A1661">
        <v>2330</v>
      </c>
      <c r="B1661" t="s">
        <v>11</v>
      </c>
      <c r="C1661" s="1">
        <v>41403</v>
      </c>
      <c r="D1661" s="2">
        <f t="shared" si="50"/>
        <v>4</v>
      </c>
      <c r="E1661" s="2">
        <f t="shared" si="51"/>
        <v>5</v>
      </c>
      <c r="F1661">
        <v>90.755799999999994</v>
      </c>
      <c r="G1661">
        <v>90.755799999999994</v>
      </c>
      <c r="H1661">
        <v>89.582300000000004</v>
      </c>
      <c r="I1661">
        <v>89.973500000000001</v>
      </c>
      <c r="J1661">
        <v>27606</v>
      </c>
      <c r="K1661">
        <v>0.43569999999999998</v>
      </c>
      <c r="L1661">
        <v>1.31</v>
      </c>
    </row>
    <row r="1662" spans="1:12" x14ac:dyDescent="0.25">
      <c r="A1662">
        <v>2303</v>
      </c>
      <c r="B1662" t="s">
        <v>10</v>
      </c>
      <c r="C1662" s="1">
        <v>41404</v>
      </c>
      <c r="D1662" s="2">
        <f t="shared" si="50"/>
        <v>5</v>
      </c>
      <c r="E1662" s="2">
        <f t="shared" si="51"/>
        <v>5</v>
      </c>
      <c r="F1662">
        <v>9.2050000000000001</v>
      </c>
      <c r="G1662">
        <v>9.7035999999999998</v>
      </c>
      <c r="H1662">
        <v>9.1282999999999994</v>
      </c>
      <c r="I1662">
        <v>9.6653000000000002</v>
      </c>
      <c r="J1662">
        <v>232058</v>
      </c>
      <c r="K1662">
        <v>5.7157999999999998</v>
      </c>
      <c r="L1662">
        <v>6.3025000000000002</v>
      </c>
    </row>
    <row r="1663" spans="1:12" hidden="1" x14ac:dyDescent="0.25">
      <c r="A1663">
        <v>2330</v>
      </c>
      <c r="B1663" t="s">
        <v>11</v>
      </c>
      <c r="C1663" s="1">
        <v>41404</v>
      </c>
      <c r="D1663" s="2">
        <f t="shared" si="50"/>
        <v>5</v>
      </c>
      <c r="E1663" s="2">
        <f t="shared" si="51"/>
        <v>5</v>
      </c>
      <c r="F1663">
        <v>89.973500000000001</v>
      </c>
      <c r="G1663">
        <v>89.973500000000001</v>
      </c>
      <c r="H1663">
        <v>88.799899999999994</v>
      </c>
      <c r="I1663">
        <v>89.582300000000004</v>
      </c>
      <c r="J1663">
        <v>27536</v>
      </c>
      <c r="K1663">
        <v>-0.43569999999999998</v>
      </c>
      <c r="L1663">
        <v>1.3216000000000001</v>
      </c>
    </row>
    <row r="1664" spans="1:12" x14ac:dyDescent="0.25">
      <c r="A1664">
        <v>2303</v>
      </c>
      <c r="B1664" t="s">
        <v>10</v>
      </c>
      <c r="C1664" s="1">
        <v>41407</v>
      </c>
      <c r="D1664" s="2">
        <f t="shared" si="50"/>
        <v>1</v>
      </c>
      <c r="E1664" s="2">
        <f t="shared" si="51"/>
        <v>5</v>
      </c>
      <c r="F1664">
        <v>9.8186999999999998</v>
      </c>
      <c r="G1664">
        <v>10.0488</v>
      </c>
      <c r="H1664">
        <v>9.8186999999999998</v>
      </c>
      <c r="I1664">
        <v>10.0105</v>
      </c>
      <c r="J1664">
        <v>309283</v>
      </c>
      <c r="K1664">
        <v>3.5091000000000001</v>
      </c>
      <c r="L1664">
        <v>2.3437999999999999</v>
      </c>
    </row>
    <row r="1665" spans="1:12" hidden="1" x14ac:dyDescent="0.25">
      <c r="A1665">
        <v>2330</v>
      </c>
      <c r="B1665" t="s">
        <v>11</v>
      </c>
      <c r="C1665" s="1">
        <v>41407</v>
      </c>
      <c r="D1665" s="2">
        <f t="shared" si="50"/>
        <v>1</v>
      </c>
      <c r="E1665" s="2">
        <f t="shared" si="51"/>
        <v>5</v>
      </c>
      <c r="F1665">
        <v>89.973500000000001</v>
      </c>
      <c r="G1665">
        <v>90.364699999999999</v>
      </c>
      <c r="H1665">
        <v>89.191100000000006</v>
      </c>
      <c r="I1665">
        <v>89.582300000000004</v>
      </c>
      <c r="J1665">
        <v>18263</v>
      </c>
      <c r="K1665">
        <v>0</v>
      </c>
      <c r="L1665">
        <v>1.3158000000000001</v>
      </c>
    </row>
    <row r="1666" spans="1:12" x14ac:dyDescent="0.25">
      <c r="A1666">
        <v>2303</v>
      </c>
      <c r="B1666" t="s">
        <v>10</v>
      </c>
      <c r="C1666" s="1">
        <v>41408</v>
      </c>
      <c r="D1666" s="2">
        <f t="shared" si="50"/>
        <v>2</v>
      </c>
      <c r="E1666" s="2">
        <f t="shared" si="51"/>
        <v>5</v>
      </c>
      <c r="F1666">
        <v>10.087199999999999</v>
      </c>
      <c r="G1666">
        <v>10.087199999999999</v>
      </c>
      <c r="H1666">
        <v>9.8186999999999998</v>
      </c>
      <c r="I1666">
        <v>9.9337999999999997</v>
      </c>
      <c r="J1666">
        <v>118893</v>
      </c>
      <c r="K1666">
        <v>-0.76919999999999999</v>
      </c>
      <c r="L1666">
        <v>2.7343999999999999</v>
      </c>
    </row>
    <row r="1667" spans="1:12" hidden="1" x14ac:dyDescent="0.25">
      <c r="A1667">
        <v>2330</v>
      </c>
      <c r="B1667" t="s">
        <v>11</v>
      </c>
      <c r="C1667" s="1">
        <v>41408</v>
      </c>
      <c r="D1667" s="2">
        <f t="shared" ref="D1667:D1730" si="52">WEEKDAY(C1667,2)</f>
        <v>2</v>
      </c>
      <c r="E1667" s="2">
        <f t="shared" ref="E1667:E1730" si="53">MONTH(C1667)</f>
        <v>5</v>
      </c>
      <c r="F1667">
        <v>90.364699999999999</v>
      </c>
      <c r="G1667">
        <v>91.147000000000006</v>
      </c>
      <c r="H1667">
        <v>89.973500000000001</v>
      </c>
      <c r="I1667">
        <v>90.364699999999999</v>
      </c>
      <c r="J1667">
        <v>27855</v>
      </c>
      <c r="K1667">
        <v>0.86960000000000004</v>
      </c>
      <c r="L1667">
        <v>1.3043</v>
      </c>
    </row>
    <row r="1668" spans="1:12" x14ac:dyDescent="0.25">
      <c r="A1668">
        <v>2303</v>
      </c>
      <c r="B1668" t="s">
        <v>10</v>
      </c>
      <c r="C1668" s="1">
        <v>41409</v>
      </c>
      <c r="D1668" s="2">
        <f t="shared" si="52"/>
        <v>3</v>
      </c>
      <c r="E1668" s="2">
        <f t="shared" si="53"/>
        <v>5</v>
      </c>
      <c r="F1668">
        <v>9.9337999999999997</v>
      </c>
      <c r="G1668">
        <v>10.0105</v>
      </c>
      <c r="H1668">
        <v>9.7420000000000009</v>
      </c>
      <c r="I1668">
        <v>9.9720999999999993</v>
      </c>
      <c r="J1668">
        <v>109217</v>
      </c>
      <c r="K1668">
        <v>0.38540000000000002</v>
      </c>
      <c r="L1668">
        <v>2.7559</v>
      </c>
    </row>
    <row r="1669" spans="1:12" hidden="1" x14ac:dyDescent="0.25">
      <c r="A1669">
        <v>2330</v>
      </c>
      <c r="B1669" t="s">
        <v>11</v>
      </c>
      <c r="C1669" s="1">
        <v>41409</v>
      </c>
      <c r="D1669" s="2">
        <f t="shared" si="52"/>
        <v>3</v>
      </c>
      <c r="E1669" s="2">
        <f t="shared" si="53"/>
        <v>5</v>
      </c>
      <c r="F1669">
        <v>89.973500000000001</v>
      </c>
      <c r="G1669">
        <v>90.755799999999994</v>
      </c>
      <c r="H1669">
        <v>88.799899999999994</v>
      </c>
      <c r="I1669">
        <v>89.973500000000001</v>
      </c>
      <c r="J1669">
        <v>29107</v>
      </c>
      <c r="K1669">
        <v>-0.43380000000000002</v>
      </c>
      <c r="L1669">
        <v>2.2025999999999999</v>
      </c>
    </row>
    <row r="1670" spans="1:12" x14ac:dyDescent="0.25">
      <c r="A1670">
        <v>2303</v>
      </c>
      <c r="B1670" t="s">
        <v>10</v>
      </c>
      <c r="C1670" s="1">
        <v>41410</v>
      </c>
      <c r="D1670" s="2">
        <f t="shared" si="52"/>
        <v>4</v>
      </c>
      <c r="E1670" s="2">
        <f t="shared" si="53"/>
        <v>5</v>
      </c>
      <c r="F1670">
        <v>10.0488</v>
      </c>
      <c r="G1670">
        <v>10.432399999999999</v>
      </c>
      <c r="H1670">
        <v>9.8954000000000004</v>
      </c>
      <c r="I1670">
        <v>10.240600000000001</v>
      </c>
      <c r="J1670">
        <v>169994</v>
      </c>
      <c r="K1670">
        <v>2.6566999999999998</v>
      </c>
      <c r="L1670">
        <v>5.4264000000000001</v>
      </c>
    </row>
    <row r="1671" spans="1:12" hidden="1" x14ac:dyDescent="0.25">
      <c r="A1671">
        <v>2330</v>
      </c>
      <c r="B1671" t="s">
        <v>11</v>
      </c>
      <c r="C1671" s="1">
        <v>41410</v>
      </c>
      <c r="D1671" s="2">
        <f t="shared" si="52"/>
        <v>4</v>
      </c>
      <c r="E1671" s="2">
        <f t="shared" si="53"/>
        <v>5</v>
      </c>
      <c r="F1671">
        <v>89.973500000000001</v>
      </c>
      <c r="G1671">
        <v>90.755799999999994</v>
      </c>
      <c r="H1671">
        <v>88.408699999999996</v>
      </c>
      <c r="I1671">
        <v>88.799899999999994</v>
      </c>
      <c r="J1671">
        <v>45770</v>
      </c>
      <c r="K1671">
        <v>-1.3129</v>
      </c>
      <c r="L1671">
        <v>2.6549</v>
      </c>
    </row>
    <row r="1672" spans="1:12" x14ac:dyDescent="0.25">
      <c r="A1672">
        <v>2303</v>
      </c>
      <c r="B1672" t="s">
        <v>10</v>
      </c>
      <c r="C1672" s="1">
        <v>41411</v>
      </c>
      <c r="D1672" s="2">
        <f t="shared" si="52"/>
        <v>5</v>
      </c>
      <c r="E1672" s="2">
        <f t="shared" si="53"/>
        <v>5</v>
      </c>
      <c r="F1672">
        <v>10.240600000000001</v>
      </c>
      <c r="G1672">
        <v>10.355700000000001</v>
      </c>
      <c r="H1672">
        <v>10.0488</v>
      </c>
      <c r="I1672">
        <v>10.087199999999999</v>
      </c>
      <c r="J1672">
        <v>74653</v>
      </c>
      <c r="K1672">
        <v>-1.5095000000000001</v>
      </c>
      <c r="L1672">
        <v>3.0533999999999999</v>
      </c>
    </row>
    <row r="1673" spans="1:12" hidden="1" x14ac:dyDescent="0.25">
      <c r="A1673">
        <v>2330</v>
      </c>
      <c r="B1673" t="s">
        <v>11</v>
      </c>
      <c r="C1673" s="1">
        <v>41411</v>
      </c>
      <c r="D1673" s="2">
        <f t="shared" si="52"/>
        <v>5</v>
      </c>
      <c r="E1673" s="2">
        <f t="shared" si="53"/>
        <v>5</v>
      </c>
      <c r="F1673">
        <v>87.626300000000001</v>
      </c>
      <c r="G1673">
        <v>88.799899999999994</v>
      </c>
      <c r="H1673">
        <v>87.235100000000003</v>
      </c>
      <c r="I1673">
        <v>88.799899999999994</v>
      </c>
      <c r="J1673">
        <v>19316</v>
      </c>
      <c r="K1673">
        <v>0</v>
      </c>
      <c r="L1673">
        <v>1.7937000000000001</v>
      </c>
    </row>
    <row r="1674" spans="1:12" x14ac:dyDescent="0.25">
      <c r="A1674">
        <v>2303</v>
      </c>
      <c r="B1674" t="s">
        <v>10</v>
      </c>
      <c r="C1674" s="1">
        <v>41414</v>
      </c>
      <c r="D1674" s="2">
        <f t="shared" si="52"/>
        <v>1</v>
      </c>
      <c r="E1674" s="2">
        <f t="shared" si="53"/>
        <v>5</v>
      </c>
      <c r="F1674">
        <v>10.1639</v>
      </c>
      <c r="G1674">
        <v>10.317299999999999</v>
      </c>
      <c r="H1674">
        <v>10.087199999999999</v>
      </c>
      <c r="I1674">
        <v>10.317299999999999</v>
      </c>
      <c r="J1674">
        <v>76722</v>
      </c>
      <c r="K1674">
        <v>2.2557</v>
      </c>
      <c r="L1674">
        <v>2.2814000000000001</v>
      </c>
    </row>
    <row r="1675" spans="1:12" hidden="1" x14ac:dyDescent="0.25">
      <c r="A1675">
        <v>2330</v>
      </c>
      <c r="B1675" t="s">
        <v>11</v>
      </c>
      <c r="C1675" s="1">
        <v>41414</v>
      </c>
      <c r="D1675" s="2">
        <f t="shared" si="52"/>
        <v>1</v>
      </c>
      <c r="E1675" s="2">
        <f t="shared" si="53"/>
        <v>5</v>
      </c>
      <c r="F1675">
        <v>88.017499999999998</v>
      </c>
      <c r="G1675">
        <v>89.191100000000006</v>
      </c>
      <c r="H1675">
        <v>88.017499999999998</v>
      </c>
      <c r="I1675">
        <v>89.191100000000006</v>
      </c>
      <c r="J1675">
        <v>16882</v>
      </c>
      <c r="K1675">
        <v>0.43959999999999999</v>
      </c>
      <c r="L1675">
        <v>1.3332999999999999</v>
      </c>
    </row>
    <row r="1676" spans="1:12" x14ac:dyDescent="0.25">
      <c r="A1676">
        <v>2303</v>
      </c>
      <c r="B1676" t="s">
        <v>10</v>
      </c>
      <c r="C1676" s="1">
        <v>41415</v>
      </c>
      <c r="D1676" s="2">
        <f t="shared" si="52"/>
        <v>2</v>
      </c>
      <c r="E1676" s="2">
        <f t="shared" si="53"/>
        <v>5</v>
      </c>
      <c r="F1676">
        <v>10.355700000000001</v>
      </c>
      <c r="G1676">
        <v>10.815899999999999</v>
      </c>
      <c r="H1676">
        <v>10.355700000000001</v>
      </c>
      <c r="I1676">
        <v>10.815899999999999</v>
      </c>
      <c r="J1676">
        <v>170738</v>
      </c>
      <c r="K1676">
        <v>4.7195999999999998</v>
      </c>
      <c r="L1676">
        <v>4.4443999999999999</v>
      </c>
    </row>
    <row r="1677" spans="1:12" hidden="1" x14ac:dyDescent="0.25">
      <c r="A1677">
        <v>2330</v>
      </c>
      <c r="B1677" t="s">
        <v>11</v>
      </c>
      <c r="C1677" s="1">
        <v>41415</v>
      </c>
      <c r="D1677" s="2">
        <f t="shared" si="52"/>
        <v>2</v>
      </c>
      <c r="E1677" s="2">
        <f t="shared" si="53"/>
        <v>5</v>
      </c>
      <c r="F1677">
        <v>88.408699999999996</v>
      </c>
      <c r="G1677">
        <v>88.799899999999994</v>
      </c>
      <c r="H1677">
        <v>87.626300000000001</v>
      </c>
      <c r="I1677">
        <v>88.017499999999998</v>
      </c>
      <c r="J1677">
        <v>17238</v>
      </c>
      <c r="K1677">
        <v>-1.3245</v>
      </c>
      <c r="L1677">
        <v>1.3392999999999999</v>
      </c>
    </row>
    <row r="1678" spans="1:12" x14ac:dyDescent="0.25">
      <c r="A1678">
        <v>2303</v>
      </c>
      <c r="B1678" t="s">
        <v>10</v>
      </c>
      <c r="C1678" s="1">
        <v>41416</v>
      </c>
      <c r="D1678" s="2">
        <f t="shared" si="52"/>
        <v>3</v>
      </c>
      <c r="E1678" s="2">
        <f t="shared" si="53"/>
        <v>5</v>
      </c>
      <c r="F1678">
        <v>10.8926</v>
      </c>
      <c r="G1678">
        <v>10.8926</v>
      </c>
      <c r="H1678">
        <v>10.6625</v>
      </c>
      <c r="I1678">
        <v>10.6625</v>
      </c>
      <c r="J1678">
        <v>158934</v>
      </c>
      <c r="K1678">
        <v>-1.4286000000000001</v>
      </c>
      <c r="L1678">
        <v>2.1583000000000001</v>
      </c>
    </row>
    <row r="1679" spans="1:12" hidden="1" x14ac:dyDescent="0.25">
      <c r="A1679">
        <v>2330</v>
      </c>
      <c r="B1679" t="s">
        <v>11</v>
      </c>
      <c r="C1679" s="1">
        <v>41416</v>
      </c>
      <c r="D1679" s="2">
        <f t="shared" si="52"/>
        <v>3</v>
      </c>
      <c r="E1679" s="2">
        <f t="shared" si="53"/>
        <v>5</v>
      </c>
      <c r="F1679">
        <v>88.017499999999998</v>
      </c>
      <c r="G1679">
        <v>88.799899999999994</v>
      </c>
      <c r="H1679">
        <v>86.843999999999994</v>
      </c>
      <c r="I1679">
        <v>87.626300000000001</v>
      </c>
      <c r="J1679">
        <v>34068</v>
      </c>
      <c r="K1679">
        <v>-0.44540000000000002</v>
      </c>
      <c r="L1679">
        <v>2.2523</v>
      </c>
    </row>
    <row r="1680" spans="1:12" x14ac:dyDescent="0.25">
      <c r="A1680">
        <v>2303</v>
      </c>
      <c r="B1680" t="s">
        <v>10</v>
      </c>
      <c r="C1680" s="1">
        <v>41417</v>
      </c>
      <c r="D1680" s="2">
        <f t="shared" si="52"/>
        <v>4</v>
      </c>
      <c r="E1680" s="2">
        <f t="shared" si="53"/>
        <v>5</v>
      </c>
      <c r="F1680">
        <v>10.6241</v>
      </c>
      <c r="G1680">
        <v>10.6625</v>
      </c>
      <c r="H1680">
        <v>10.240600000000001</v>
      </c>
      <c r="I1680">
        <v>10.279</v>
      </c>
      <c r="J1680">
        <v>135206</v>
      </c>
      <c r="K1680">
        <v>-3.6634000000000002</v>
      </c>
      <c r="L1680">
        <v>4.1199000000000003</v>
      </c>
    </row>
    <row r="1681" spans="1:12" hidden="1" x14ac:dyDescent="0.25">
      <c r="A1681">
        <v>2330</v>
      </c>
      <c r="B1681" t="s">
        <v>11</v>
      </c>
      <c r="C1681" s="1">
        <v>41417</v>
      </c>
      <c r="D1681" s="2">
        <f t="shared" si="52"/>
        <v>4</v>
      </c>
      <c r="E1681" s="2">
        <f t="shared" si="53"/>
        <v>5</v>
      </c>
      <c r="F1681">
        <v>86.452799999999996</v>
      </c>
      <c r="G1681">
        <v>87.235100000000003</v>
      </c>
      <c r="H1681">
        <v>84.496799999999993</v>
      </c>
      <c r="I1681">
        <v>84.496799999999993</v>
      </c>
      <c r="J1681">
        <v>46874</v>
      </c>
      <c r="K1681">
        <v>-3.6368</v>
      </c>
      <c r="L1681">
        <v>3.2406999999999999</v>
      </c>
    </row>
    <row r="1682" spans="1:12" x14ac:dyDescent="0.25">
      <c r="A1682">
        <v>2303</v>
      </c>
      <c r="B1682" t="s">
        <v>10</v>
      </c>
      <c r="C1682" s="1">
        <v>41418</v>
      </c>
      <c r="D1682" s="2">
        <f t="shared" si="52"/>
        <v>5</v>
      </c>
      <c r="E1682" s="2">
        <f t="shared" si="53"/>
        <v>5</v>
      </c>
      <c r="F1682">
        <v>10.317299999999999</v>
      </c>
      <c r="G1682">
        <v>10.432399999999999</v>
      </c>
      <c r="H1682">
        <v>10.087199999999999</v>
      </c>
      <c r="I1682">
        <v>10.1639</v>
      </c>
      <c r="J1682">
        <v>78792</v>
      </c>
      <c r="K1682">
        <v>-1.1256999999999999</v>
      </c>
      <c r="L1682">
        <v>3.4220999999999999</v>
      </c>
    </row>
    <row r="1683" spans="1:12" hidden="1" x14ac:dyDescent="0.25">
      <c r="A1683">
        <v>2330</v>
      </c>
      <c r="B1683" t="s">
        <v>11</v>
      </c>
      <c r="C1683" s="1">
        <v>41418</v>
      </c>
      <c r="D1683" s="2">
        <f t="shared" si="52"/>
        <v>5</v>
      </c>
      <c r="E1683" s="2">
        <f t="shared" si="53"/>
        <v>5</v>
      </c>
      <c r="F1683">
        <v>85.670400000000001</v>
      </c>
      <c r="G1683">
        <v>86.452799999999996</v>
      </c>
      <c r="H1683">
        <v>84.888000000000005</v>
      </c>
      <c r="I1683">
        <v>85.670400000000001</v>
      </c>
      <c r="J1683">
        <v>26736</v>
      </c>
      <c r="K1683">
        <v>1.3793</v>
      </c>
      <c r="L1683">
        <v>1.8432999999999999</v>
      </c>
    </row>
    <row r="1684" spans="1:12" x14ac:dyDescent="0.25">
      <c r="A1684">
        <v>2303</v>
      </c>
      <c r="B1684" t="s">
        <v>10</v>
      </c>
      <c r="C1684" s="1">
        <v>41421</v>
      </c>
      <c r="D1684" s="2">
        <f t="shared" si="52"/>
        <v>1</v>
      </c>
      <c r="E1684" s="2">
        <f t="shared" si="53"/>
        <v>5</v>
      </c>
      <c r="F1684">
        <v>10.202199999999999</v>
      </c>
      <c r="G1684">
        <v>10.6241</v>
      </c>
      <c r="H1684">
        <v>10.125500000000001</v>
      </c>
      <c r="I1684">
        <v>10.6241</v>
      </c>
      <c r="J1684">
        <v>106876</v>
      </c>
      <c r="K1684">
        <v>4.4287999999999998</v>
      </c>
      <c r="L1684">
        <v>4.9241999999999999</v>
      </c>
    </row>
    <row r="1685" spans="1:12" hidden="1" x14ac:dyDescent="0.25">
      <c r="A1685">
        <v>2330</v>
      </c>
      <c r="B1685" t="s">
        <v>11</v>
      </c>
      <c r="C1685" s="1">
        <v>41421</v>
      </c>
      <c r="D1685" s="2">
        <f t="shared" si="52"/>
        <v>1</v>
      </c>
      <c r="E1685" s="2">
        <f t="shared" si="53"/>
        <v>5</v>
      </c>
      <c r="F1685">
        <v>85.670400000000001</v>
      </c>
      <c r="G1685">
        <v>87.626300000000001</v>
      </c>
      <c r="H1685">
        <v>85.670400000000001</v>
      </c>
      <c r="I1685">
        <v>87.626300000000001</v>
      </c>
      <c r="J1685">
        <v>19161</v>
      </c>
      <c r="K1685">
        <v>2.2574000000000001</v>
      </c>
      <c r="L1685">
        <v>2.2831000000000001</v>
      </c>
    </row>
    <row r="1686" spans="1:12" x14ac:dyDescent="0.25">
      <c r="A1686">
        <v>2303</v>
      </c>
      <c r="B1686" t="s">
        <v>10</v>
      </c>
      <c r="C1686" s="1">
        <v>41422</v>
      </c>
      <c r="D1686" s="2">
        <f t="shared" si="52"/>
        <v>2</v>
      </c>
      <c r="E1686" s="2">
        <f t="shared" si="53"/>
        <v>5</v>
      </c>
      <c r="F1686">
        <v>10.585800000000001</v>
      </c>
      <c r="G1686">
        <v>10.585800000000001</v>
      </c>
      <c r="H1686">
        <v>10.432399999999999</v>
      </c>
      <c r="I1686">
        <v>10.432399999999999</v>
      </c>
      <c r="J1686">
        <v>65083</v>
      </c>
      <c r="K1686">
        <v>-1.8214999999999999</v>
      </c>
      <c r="L1686">
        <v>1.4705999999999999</v>
      </c>
    </row>
    <row r="1687" spans="1:12" hidden="1" x14ac:dyDescent="0.25">
      <c r="A1687">
        <v>2330</v>
      </c>
      <c r="B1687" t="s">
        <v>11</v>
      </c>
      <c r="C1687" s="1">
        <v>41422</v>
      </c>
      <c r="D1687" s="2">
        <f t="shared" si="52"/>
        <v>2</v>
      </c>
      <c r="E1687" s="2">
        <f t="shared" si="53"/>
        <v>5</v>
      </c>
      <c r="F1687">
        <v>87.626300000000001</v>
      </c>
      <c r="G1687">
        <v>88.017499999999998</v>
      </c>
      <c r="H1687">
        <v>85.670400000000001</v>
      </c>
      <c r="I1687">
        <v>85.670400000000001</v>
      </c>
      <c r="J1687">
        <v>22762</v>
      </c>
      <c r="K1687">
        <v>-2.2574000000000001</v>
      </c>
      <c r="L1687">
        <v>2.7397</v>
      </c>
    </row>
    <row r="1688" spans="1:12" x14ac:dyDescent="0.25">
      <c r="A1688">
        <v>2303</v>
      </c>
      <c r="B1688" t="s">
        <v>10</v>
      </c>
      <c r="C1688" s="1">
        <v>41423</v>
      </c>
      <c r="D1688" s="2">
        <f t="shared" si="52"/>
        <v>3</v>
      </c>
      <c r="E1688" s="2">
        <f t="shared" si="53"/>
        <v>5</v>
      </c>
      <c r="F1688">
        <v>10.6241</v>
      </c>
      <c r="G1688">
        <v>10.700799999999999</v>
      </c>
      <c r="H1688">
        <v>10.470700000000001</v>
      </c>
      <c r="I1688">
        <v>10.470700000000001</v>
      </c>
      <c r="J1688">
        <v>71219</v>
      </c>
      <c r="K1688">
        <v>0.36699999999999999</v>
      </c>
      <c r="L1688">
        <v>2.1978</v>
      </c>
    </row>
    <row r="1689" spans="1:12" hidden="1" x14ac:dyDescent="0.25">
      <c r="A1689">
        <v>2330</v>
      </c>
      <c r="B1689" t="s">
        <v>11</v>
      </c>
      <c r="C1689" s="1">
        <v>41423</v>
      </c>
      <c r="D1689" s="2">
        <f t="shared" si="52"/>
        <v>3</v>
      </c>
      <c r="E1689" s="2">
        <f t="shared" si="53"/>
        <v>5</v>
      </c>
      <c r="F1689">
        <v>86.452799999999996</v>
      </c>
      <c r="G1689">
        <v>87.626300000000001</v>
      </c>
      <c r="H1689">
        <v>86.452799999999996</v>
      </c>
      <c r="I1689">
        <v>86.843999999999994</v>
      </c>
      <c r="J1689">
        <v>16781</v>
      </c>
      <c r="K1689">
        <v>1.3606</v>
      </c>
      <c r="L1689">
        <v>1.3574999999999999</v>
      </c>
    </row>
    <row r="1690" spans="1:12" x14ac:dyDescent="0.25">
      <c r="A1690">
        <v>2303</v>
      </c>
      <c r="B1690" t="s">
        <v>10</v>
      </c>
      <c r="C1690" s="1">
        <v>41424</v>
      </c>
      <c r="D1690" s="2">
        <f t="shared" si="52"/>
        <v>4</v>
      </c>
      <c r="E1690" s="2">
        <f t="shared" si="53"/>
        <v>5</v>
      </c>
      <c r="F1690">
        <v>10.355700000000001</v>
      </c>
      <c r="G1690">
        <v>10.432399999999999</v>
      </c>
      <c r="H1690">
        <v>10.202199999999999</v>
      </c>
      <c r="I1690">
        <v>10.355700000000001</v>
      </c>
      <c r="J1690">
        <v>68641</v>
      </c>
      <c r="K1690">
        <v>-1.105</v>
      </c>
      <c r="L1690">
        <v>2.2555999999999998</v>
      </c>
    </row>
    <row r="1691" spans="1:12" hidden="1" x14ac:dyDescent="0.25">
      <c r="A1691">
        <v>2330</v>
      </c>
      <c r="B1691" t="s">
        <v>11</v>
      </c>
      <c r="C1691" s="1">
        <v>41424</v>
      </c>
      <c r="D1691" s="2">
        <f t="shared" si="52"/>
        <v>4</v>
      </c>
      <c r="E1691" s="2">
        <f t="shared" si="53"/>
        <v>5</v>
      </c>
      <c r="F1691">
        <v>86.843999999999994</v>
      </c>
      <c r="G1691">
        <v>87.235100000000003</v>
      </c>
      <c r="H1691">
        <v>85.670400000000001</v>
      </c>
      <c r="I1691">
        <v>86.061599999999999</v>
      </c>
      <c r="J1691">
        <v>36121</v>
      </c>
      <c r="K1691">
        <v>-0.90500000000000003</v>
      </c>
      <c r="L1691">
        <v>1.8265</v>
      </c>
    </row>
    <row r="1692" spans="1:12" x14ac:dyDescent="0.25">
      <c r="A1692">
        <v>2303</v>
      </c>
      <c r="B1692" t="s">
        <v>10</v>
      </c>
      <c r="C1692" s="1">
        <v>41425</v>
      </c>
      <c r="D1692" s="2">
        <f t="shared" si="52"/>
        <v>5</v>
      </c>
      <c r="E1692" s="2">
        <f t="shared" si="53"/>
        <v>5</v>
      </c>
      <c r="F1692">
        <v>10.470700000000001</v>
      </c>
      <c r="G1692">
        <v>10.5091</v>
      </c>
      <c r="H1692">
        <v>10.125500000000001</v>
      </c>
      <c r="I1692">
        <v>10.125500000000001</v>
      </c>
      <c r="J1692">
        <v>61123</v>
      </c>
      <c r="K1692">
        <v>-2.2473000000000001</v>
      </c>
      <c r="L1692">
        <v>3.7879</v>
      </c>
    </row>
    <row r="1693" spans="1:12" hidden="1" x14ac:dyDescent="0.25">
      <c r="A1693">
        <v>2330</v>
      </c>
      <c r="B1693" t="s">
        <v>11</v>
      </c>
      <c r="C1693" s="1">
        <v>41425</v>
      </c>
      <c r="D1693" s="2">
        <f t="shared" si="52"/>
        <v>5</v>
      </c>
      <c r="E1693" s="2">
        <f t="shared" si="53"/>
        <v>5</v>
      </c>
      <c r="F1693">
        <v>87.235100000000003</v>
      </c>
      <c r="G1693">
        <v>87.235100000000003</v>
      </c>
      <c r="H1693">
        <v>85.279200000000003</v>
      </c>
      <c r="I1693">
        <v>85.670400000000001</v>
      </c>
      <c r="J1693">
        <v>37205</v>
      </c>
      <c r="K1693">
        <v>-0.4556</v>
      </c>
      <c r="L1693">
        <v>2.2936000000000001</v>
      </c>
    </row>
    <row r="1694" spans="1:12" x14ac:dyDescent="0.25">
      <c r="A1694">
        <v>2303</v>
      </c>
      <c r="B1694" t="s">
        <v>10</v>
      </c>
      <c r="C1694" s="1">
        <v>41428</v>
      </c>
      <c r="D1694" s="2">
        <f t="shared" si="52"/>
        <v>1</v>
      </c>
      <c r="E1694" s="2">
        <f t="shared" si="53"/>
        <v>6</v>
      </c>
      <c r="F1694">
        <v>10.0105</v>
      </c>
      <c r="G1694">
        <v>10.317299999999999</v>
      </c>
      <c r="H1694">
        <v>9.9720999999999993</v>
      </c>
      <c r="I1694">
        <v>10.279</v>
      </c>
      <c r="J1694">
        <v>56647</v>
      </c>
      <c r="K1694">
        <v>1.5038</v>
      </c>
      <c r="L1694">
        <v>3.4615</v>
      </c>
    </row>
    <row r="1695" spans="1:12" hidden="1" x14ac:dyDescent="0.25">
      <c r="A1695">
        <v>2330</v>
      </c>
      <c r="B1695" t="s">
        <v>11</v>
      </c>
      <c r="C1695" s="1">
        <v>41428</v>
      </c>
      <c r="D1695" s="2">
        <f t="shared" si="52"/>
        <v>1</v>
      </c>
      <c r="E1695" s="2">
        <f t="shared" si="53"/>
        <v>6</v>
      </c>
      <c r="F1695">
        <v>84.496799999999993</v>
      </c>
      <c r="G1695">
        <v>84.888000000000005</v>
      </c>
      <c r="H1695">
        <v>83.323300000000003</v>
      </c>
      <c r="I1695">
        <v>84.105599999999995</v>
      </c>
      <c r="J1695">
        <v>35834</v>
      </c>
      <c r="K1695">
        <v>-1.8433999999999999</v>
      </c>
      <c r="L1695">
        <v>1.8778999999999999</v>
      </c>
    </row>
    <row r="1696" spans="1:12" x14ac:dyDescent="0.25">
      <c r="A1696">
        <v>2303</v>
      </c>
      <c r="B1696" t="s">
        <v>10</v>
      </c>
      <c r="C1696" s="1">
        <v>41429</v>
      </c>
      <c r="D1696" s="2">
        <f t="shared" si="52"/>
        <v>2</v>
      </c>
      <c r="E1696" s="2">
        <f t="shared" si="53"/>
        <v>6</v>
      </c>
      <c r="F1696">
        <v>10.355700000000001</v>
      </c>
      <c r="G1696">
        <v>10.6625</v>
      </c>
      <c r="H1696">
        <v>10.279</v>
      </c>
      <c r="I1696">
        <v>10.6625</v>
      </c>
      <c r="J1696">
        <v>131356</v>
      </c>
      <c r="K1696">
        <v>3.6634000000000002</v>
      </c>
      <c r="L1696">
        <v>3.7313000000000001</v>
      </c>
    </row>
    <row r="1697" spans="1:12" hidden="1" x14ac:dyDescent="0.25">
      <c r="A1697">
        <v>2330</v>
      </c>
      <c r="B1697" t="s">
        <v>11</v>
      </c>
      <c r="C1697" s="1">
        <v>41429</v>
      </c>
      <c r="D1697" s="2">
        <f t="shared" si="52"/>
        <v>2</v>
      </c>
      <c r="E1697" s="2">
        <f t="shared" si="53"/>
        <v>6</v>
      </c>
      <c r="F1697">
        <v>85.279200000000003</v>
      </c>
      <c r="G1697">
        <v>86.061599999999999</v>
      </c>
      <c r="H1697">
        <v>84.105599999999995</v>
      </c>
      <c r="I1697">
        <v>85.279200000000003</v>
      </c>
      <c r="J1697">
        <v>27476</v>
      </c>
      <c r="K1697">
        <v>1.3856999999999999</v>
      </c>
      <c r="L1697">
        <v>2.3256000000000001</v>
      </c>
    </row>
    <row r="1698" spans="1:12" x14ac:dyDescent="0.25">
      <c r="A1698">
        <v>2303</v>
      </c>
      <c r="B1698" t="s">
        <v>10</v>
      </c>
      <c r="C1698" s="1">
        <v>41430</v>
      </c>
      <c r="D1698" s="2">
        <f t="shared" si="52"/>
        <v>3</v>
      </c>
      <c r="E1698" s="2">
        <f t="shared" si="53"/>
        <v>6</v>
      </c>
      <c r="F1698">
        <v>10.6625</v>
      </c>
      <c r="G1698">
        <v>10.6625</v>
      </c>
      <c r="H1698">
        <v>10.5091</v>
      </c>
      <c r="I1698">
        <v>10.5091</v>
      </c>
      <c r="J1698">
        <v>61111</v>
      </c>
      <c r="K1698">
        <v>-1.4493</v>
      </c>
      <c r="L1698">
        <v>1.4599</v>
      </c>
    </row>
    <row r="1699" spans="1:12" hidden="1" x14ac:dyDescent="0.25">
      <c r="A1699">
        <v>2330</v>
      </c>
      <c r="B1699" t="s">
        <v>11</v>
      </c>
      <c r="C1699" s="1">
        <v>41430</v>
      </c>
      <c r="D1699" s="2">
        <f t="shared" si="52"/>
        <v>3</v>
      </c>
      <c r="E1699" s="2">
        <f t="shared" si="53"/>
        <v>6</v>
      </c>
      <c r="F1699">
        <v>85.670400000000001</v>
      </c>
      <c r="G1699">
        <v>86.452799999999996</v>
      </c>
      <c r="H1699">
        <v>84.888000000000005</v>
      </c>
      <c r="I1699">
        <v>85.670400000000001</v>
      </c>
      <c r="J1699">
        <v>25581</v>
      </c>
      <c r="K1699">
        <v>0.4577</v>
      </c>
      <c r="L1699">
        <v>1.8432999999999999</v>
      </c>
    </row>
    <row r="1700" spans="1:12" x14ac:dyDescent="0.25">
      <c r="A1700">
        <v>2303</v>
      </c>
      <c r="B1700" t="s">
        <v>10</v>
      </c>
      <c r="C1700" s="1">
        <v>41431</v>
      </c>
      <c r="D1700" s="2">
        <f t="shared" si="52"/>
        <v>4</v>
      </c>
      <c r="E1700" s="2">
        <f t="shared" si="53"/>
        <v>6</v>
      </c>
      <c r="F1700">
        <v>10.355700000000001</v>
      </c>
      <c r="G1700">
        <v>10.470700000000001</v>
      </c>
      <c r="H1700">
        <v>10.240600000000001</v>
      </c>
      <c r="I1700">
        <v>10.317299999999999</v>
      </c>
      <c r="J1700">
        <v>68990</v>
      </c>
      <c r="K1700">
        <v>-1.8416999999999999</v>
      </c>
      <c r="L1700">
        <v>2.2471999999999999</v>
      </c>
    </row>
    <row r="1701" spans="1:12" hidden="1" x14ac:dyDescent="0.25">
      <c r="A1701">
        <v>2330</v>
      </c>
      <c r="B1701" t="s">
        <v>11</v>
      </c>
      <c r="C1701" s="1">
        <v>41431</v>
      </c>
      <c r="D1701" s="2">
        <f t="shared" si="52"/>
        <v>4</v>
      </c>
      <c r="E1701" s="2">
        <f t="shared" si="53"/>
        <v>6</v>
      </c>
      <c r="F1701">
        <v>84.888000000000005</v>
      </c>
      <c r="G1701">
        <v>85.670400000000001</v>
      </c>
      <c r="H1701">
        <v>83.714399999999998</v>
      </c>
      <c r="I1701">
        <v>84.105599999999995</v>
      </c>
      <c r="J1701">
        <v>34251</v>
      </c>
      <c r="K1701">
        <v>-1.8433999999999999</v>
      </c>
      <c r="L1701">
        <v>2.3363999999999998</v>
      </c>
    </row>
    <row r="1702" spans="1:12" x14ac:dyDescent="0.25">
      <c r="A1702">
        <v>2303</v>
      </c>
      <c r="B1702" t="s">
        <v>10</v>
      </c>
      <c r="C1702" s="1">
        <v>41432</v>
      </c>
      <c r="D1702" s="2">
        <f t="shared" si="52"/>
        <v>5</v>
      </c>
      <c r="E1702" s="2">
        <f t="shared" si="53"/>
        <v>6</v>
      </c>
      <c r="F1702">
        <v>10.317299999999999</v>
      </c>
      <c r="G1702">
        <v>10.432399999999999</v>
      </c>
      <c r="H1702">
        <v>10.1639</v>
      </c>
      <c r="I1702">
        <v>10.202199999999999</v>
      </c>
      <c r="J1702">
        <v>51354</v>
      </c>
      <c r="K1702">
        <v>-1.1214999999999999</v>
      </c>
      <c r="L1702">
        <v>2.6415000000000002</v>
      </c>
    </row>
    <row r="1703" spans="1:12" hidden="1" x14ac:dyDescent="0.25">
      <c r="A1703">
        <v>2330</v>
      </c>
      <c r="B1703" t="s">
        <v>11</v>
      </c>
      <c r="C1703" s="1">
        <v>41432</v>
      </c>
      <c r="D1703" s="2">
        <f t="shared" si="52"/>
        <v>5</v>
      </c>
      <c r="E1703" s="2">
        <f t="shared" si="53"/>
        <v>6</v>
      </c>
      <c r="F1703">
        <v>84.496799999999993</v>
      </c>
      <c r="G1703">
        <v>85.670400000000001</v>
      </c>
      <c r="H1703">
        <v>84.496799999999993</v>
      </c>
      <c r="I1703">
        <v>84.888000000000005</v>
      </c>
      <c r="J1703">
        <v>33085</v>
      </c>
      <c r="K1703">
        <v>0.92589999999999995</v>
      </c>
      <c r="L1703">
        <v>1.3889</v>
      </c>
    </row>
    <row r="1704" spans="1:12" x14ac:dyDescent="0.25">
      <c r="A1704">
        <v>2303</v>
      </c>
      <c r="B1704" t="s">
        <v>10</v>
      </c>
      <c r="C1704" s="1">
        <v>41435</v>
      </c>
      <c r="D1704" s="2">
        <f t="shared" si="52"/>
        <v>1</v>
      </c>
      <c r="E1704" s="2">
        <f t="shared" si="53"/>
        <v>6</v>
      </c>
      <c r="F1704">
        <v>10.394</v>
      </c>
      <c r="G1704">
        <v>10.5474</v>
      </c>
      <c r="H1704">
        <v>10.317299999999999</v>
      </c>
      <c r="I1704">
        <v>10.470700000000001</v>
      </c>
      <c r="J1704">
        <v>68025</v>
      </c>
      <c r="K1704">
        <v>2.5975000000000001</v>
      </c>
      <c r="L1704">
        <v>2.2305000000000001</v>
      </c>
    </row>
    <row r="1705" spans="1:12" hidden="1" x14ac:dyDescent="0.25">
      <c r="A1705">
        <v>2330</v>
      </c>
      <c r="B1705" t="s">
        <v>11</v>
      </c>
      <c r="C1705" s="1">
        <v>41435</v>
      </c>
      <c r="D1705" s="2">
        <f t="shared" si="52"/>
        <v>1</v>
      </c>
      <c r="E1705" s="2">
        <f t="shared" si="53"/>
        <v>6</v>
      </c>
      <c r="F1705">
        <v>86.061599999999999</v>
      </c>
      <c r="G1705">
        <v>86.061599999999999</v>
      </c>
      <c r="H1705">
        <v>84.496799999999993</v>
      </c>
      <c r="I1705">
        <v>84.888000000000005</v>
      </c>
      <c r="J1705">
        <v>21941</v>
      </c>
      <c r="K1705">
        <v>0</v>
      </c>
      <c r="L1705">
        <v>1.8519000000000001</v>
      </c>
    </row>
    <row r="1706" spans="1:12" x14ac:dyDescent="0.25">
      <c r="A1706">
        <v>2303</v>
      </c>
      <c r="B1706" t="s">
        <v>10</v>
      </c>
      <c r="C1706" s="1">
        <v>41436</v>
      </c>
      <c r="D1706" s="2">
        <f t="shared" si="52"/>
        <v>2</v>
      </c>
      <c r="E1706" s="2">
        <f t="shared" si="53"/>
        <v>6</v>
      </c>
      <c r="F1706">
        <v>10.470700000000001</v>
      </c>
      <c r="G1706">
        <v>10.5091</v>
      </c>
      <c r="H1706">
        <v>10.355700000000001</v>
      </c>
      <c r="I1706">
        <v>10.355700000000001</v>
      </c>
      <c r="J1706">
        <v>49679</v>
      </c>
      <c r="K1706">
        <v>-1.105</v>
      </c>
      <c r="L1706">
        <v>1.4815</v>
      </c>
    </row>
    <row r="1707" spans="1:12" hidden="1" x14ac:dyDescent="0.25">
      <c r="A1707">
        <v>2330</v>
      </c>
      <c r="B1707" t="s">
        <v>11</v>
      </c>
      <c r="C1707" s="1">
        <v>41436</v>
      </c>
      <c r="D1707" s="2">
        <f t="shared" si="52"/>
        <v>2</v>
      </c>
      <c r="E1707" s="2">
        <f t="shared" si="53"/>
        <v>6</v>
      </c>
      <c r="F1707">
        <v>86.061599999999999</v>
      </c>
      <c r="G1707">
        <v>86.061599999999999</v>
      </c>
      <c r="H1707">
        <v>84.496799999999993</v>
      </c>
      <c r="I1707">
        <v>84.496799999999993</v>
      </c>
      <c r="J1707">
        <v>37162</v>
      </c>
      <c r="K1707">
        <v>-0.46189999999999998</v>
      </c>
      <c r="L1707">
        <v>1.8519000000000001</v>
      </c>
    </row>
    <row r="1708" spans="1:12" x14ac:dyDescent="0.25">
      <c r="A1708">
        <v>2303</v>
      </c>
      <c r="B1708" t="s">
        <v>10</v>
      </c>
      <c r="C1708" s="1">
        <v>41438</v>
      </c>
      <c r="D1708" s="2">
        <f t="shared" si="52"/>
        <v>4</v>
      </c>
      <c r="E1708" s="2">
        <f t="shared" si="53"/>
        <v>6</v>
      </c>
      <c r="F1708">
        <v>10.202199999999999</v>
      </c>
      <c r="G1708">
        <v>10.317299999999999</v>
      </c>
      <c r="H1708">
        <v>10.0488</v>
      </c>
      <c r="I1708">
        <v>10.0488</v>
      </c>
      <c r="J1708">
        <v>82082</v>
      </c>
      <c r="K1708">
        <v>-3.0076999999999998</v>
      </c>
      <c r="L1708">
        <v>2.6718000000000002</v>
      </c>
    </row>
    <row r="1709" spans="1:12" hidden="1" x14ac:dyDescent="0.25">
      <c r="A1709">
        <v>2330</v>
      </c>
      <c r="B1709" t="s">
        <v>11</v>
      </c>
      <c r="C1709" s="1">
        <v>41438</v>
      </c>
      <c r="D1709" s="2">
        <f t="shared" si="52"/>
        <v>4</v>
      </c>
      <c r="E1709" s="2">
        <f t="shared" si="53"/>
        <v>6</v>
      </c>
      <c r="F1709">
        <v>82.932100000000005</v>
      </c>
      <c r="G1709">
        <v>83.714399999999998</v>
      </c>
      <c r="H1709">
        <v>81.3673</v>
      </c>
      <c r="I1709">
        <v>81.758499999999998</v>
      </c>
      <c r="J1709">
        <v>61059</v>
      </c>
      <c r="K1709">
        <v>-3.2944</v>
      </c>
      <c r="L1709">
        <v>2.8845999999999998</v>
      </c>
    </row>
    <row r="1710" spans="1:12" x14ac:dyDescent="0.25">
      <c r="A1710">
        <v>2303</v>
      </c>
      <c r="B1710" t="s">
        <v>10</v>
      </c>
      <c r="C1710" s="1">
        <v>41439</v>
      </c>
      <c r="D1710" s="2">
        <f t="shared" si="52"/>
        <v>5</v>
      </c>
      <c r="E1710" s="2">
        <f t="shared" si="53"/>
        <v>6</v>
      </c>
      <c r="F1710">
        <v>10.125500000000001</v>
      </c>
      <c r="G1710">
        <v>10.202199999999999</v>
      </c>
      <c r="H1710">
        <v>10.0488</v>
      </c>
      <c r="I1710">
        <v>10.0488</v>
      </c>
      <c r="J1710">
        <v>57363</v>
      </c>
      <c r="K1710">
        <v>0</v>
      </c>
      <c r="L1710">
        <v>1.5266999999999999</v>
      </c>
    </row>
    <row r="1711" spans="1:12" hidden="1" x14ac:dyDescent="0.25">
      <c r="A1711">
        <v>2330</v>
      </c>
      <c r="B1711" t="s">
        <v>11</v>
      </c>
      <c r="C1711" s="1">
        <v>41439</v>
      </c>
      <c r="D1711" s="2">
        <f t="shared" si="52"/>
        <v>5</v>
      </c>
      <c r="E1711" s="2">
        <f t="shared" si="53"/>
        <v>6</v>
      </c>
      <c r="F1711">
        <v>82.149699999999996</v>
      </c>
      <c r="G1711">
        <v>82.932100000000005</v>
      </c>
      <c r="H1711">
        <v>81.758499999999998</v>
      </c>
      <c r="I1711">
        <v>82.932100000000005</v>
      </c>
      <c r="J1711">
        <v>41207</v>
      </c>
      <c r="K1711">
        <v>1.4252</v>
      </c>
      <c r="L1711">
        <v>1.4354</v>
      </c>
    </row>
    <row r="1712" spans="1:12" x14ac:dyDescent="0.25">
      <c r="A1712">
        <v>2303</v>
      </c>
      <c r="B1712" t="s">
        <v>10</v>
      </c>
      <c r="C1712" s="1">
        <v>41442</v>
      </c>
      <c r="D1712" s="2">
        <f t="shared" si="52"/>
        <v>1</v>
      </c>
      <c r="E1712" s="2">
        <f t="shared" si="53"/>
        <v>6</v>
      </c>
      <c r="F1712">
        <v>10.0488</v>
      </c>
      <c r="G1712">
        <v>10.202199999999999</v>
      </c>
      <c r="H1712">
        <v>10.0105</v>
      </c>
      <c r="I1712">
        <v>10.202199999999999</v>
      </c>
      <c r="J1712">
        <v>33274</v>
      </c>
      <c r="K1712">
        <v>1.5152000000000001</v>
      </c>
      <c r="L1712">
        <v>1.9157</v>
      </c>
    </row>
    <row r="1713" spans="1:12" hidden="1" x14ac:dyDescent="0.25">
      <c r="A1713">
        <v>2330</v>
      </c>
      <c r="B1713" t="s">
        <v>11</v>
      </c>
      <c r="C1713" s="1">
        <v>41442</v>
      </c>
      <c r="D1713" s="2">
        <f t="shared" si="52"/>
        <v>1</v>
      </c>
      <c r="E1713" s="2">
        <f t="shared" si="53"/>
        <v>6</v>
      </c>
      <c r="F1713">
        <v>82.540899999999993</v>
      </c>
      <c r="G1713">
        <v>82.932100000000005</v>
      </c>
      <c r="H1713">
        <v>82.149699999999996</v>
      </c>
      <c r="I1713">
        <v>82.932100000000005</v>
      </c>
      <c r="J1713">
        <v>23014</v>
      </c>
      <c r="K1713">
        <v>0</v>
      </c>
      <c r="L1713">
        <v>0.95240000000000002</v>
      </c>
    </row>
    <row r="1714" spans="1:12" x14ac:dyDescent="0.25">
      <c r="A1714">
        <v>2303</v>
      </c>
      <c r="B1714" t="s">
        <v>10</v>
      </c>
      <c r="C1714" s="1">
        <v>41443</v>
      </c>
      <c r="D1714" s="2">
        <f t="shared" si="52"/>
        <v>2</v>
      </c>
      <c r="E1714" s="2">
        <f t="shared" si="53"/>
        <v>6</v>
      </c>
      <c r="F1714">
        <v>10.279</v>
      </c>
      <c r="G1714">
        <v>10.394</v>
      </c>
      <c r="H1714">
        <v>10.1639</v>
      </c>
      <c r="I1714">
        <v>10.394</v>
      </c>
      <c r="J1714">
        <v>66045</v>
      </c>
      <c r="K1714">
        <v>1.8623000000000001</v>
      </c>
      <c r="L1714">
        <v>2.2642000000000002</v>
      </c>
    </row>
    <row r="1715" spans="1:12" hidden="1" x14ac:dyDescent="0.25">
      <c r="A1715">
        <v>2330</v>
      </c>
      <c r="B1715" t="s">
        <v>11</v>
      </c>
      <c r="C1715" s="1">
        <v>41443</v>
      </c>
      <c r="D1715" s="2">
        <f t="shared" si="52"/>
        <v>2</v>
      </c>
      <c r="E1715" s="2">
        <f t="shared" si="53"/>
        <v>6</v>
      </c>
      <c r="F1715">
        <v>82.149699999999996</v>
      </c>
      <c r="G1715">
        <v>83.323300000000003</v>
      </c>
      <c r="H1715">
        <v>81.758499999999998</v>
      </c>
      <c r="I1715">
        <v>83.323300000000003</v>
      </c>
      <c r="J1715">
        <v>31676</v>
      </c>
      <c r="K1715">
        <v>0.47060000000000002</v>
      </c>
      <c r="L1715">
        <v>1.9138999999999999</v>
      </c>
    </row>
    <row r="1716" spans="1:12" x14ac:dyDescent="0.25">
      <c r="A1716">
        <v>2303</v>
      </c>
      <c r="B1716" t="s">
        <v>10</v>
      </c>
      <c r="C1716" s="1">
        <v>41444</v>
      </c>
      <c r="D1716" s="2">
        <f t="shared" si="52"/>
        <v>3</v>
      </c>
      <c r="E1716" s="2">
        <f t="shared" si="53"/>
        <v>6</v>
      </c>
      <c r="F1716">
        <v>10.432399999999999</v>
      </c>
      <c r="G1716">
        <v>10.5091</v>
      </c>
      <c r="H1716">
        <v>10.240600000000001</v>
      </c>
      <c r="I1716">
        <v>10.240600000000001</v>
      </c>
      <c r="J1716">
        <v>43184</v>
      </c>
      <c r="K1716">
        <v>-1.4870000000000001</v>
      </c>
      <c r="L1716">
        <v>2.6217000000000001</v>
      </c>
    </row>
    <row r="1717" spans="1:12" hidden="1" x14ac:dyDescent="0.25">
      <c r="A1717">
        <v>2330</v>
      </c>
      <c r="B1717" t="s">
        <v>11</v>
      </c>
      <c r="C1717" s="1">
        <v>41444</v>
      </c>
      <c r="D1717" s="2">
        <f t="shared" si="52"/>
        <v>3</v>
      </c>
      <c r="E1717" s="2">
        <f t="shared" si="53"/>
        <v>6</v>
      </c>
      <c r="F1717">
        <v>82.932100000000005</v>
      </c>
      <c r="G1717">
        <v>83.323300000000003</v>
      </c>
      <c r="H1717">
        <v>82.149699999999996</v>
      </c>
      <c r="I1717">
        <v>82.540899999999993</v>
      </c>
      <c r="J1717">
        <v>22084</v>
      </c>
      <c r="K1717">
        <v>-0.94340000000000002</v>
      </c>
      <c r="L1717">
        <v>1.4286000000000001</v>
      </c>
    </row>
    <row r="1718" spans="1:12" x14ac:dyDescent="0.25">
      <c r="A1718">
        <v>2303</v>
      </c>
      <c r="B1718" t="s">
        <v>10</v>
      </c>
      <c r="C1718" s="1">
        <v>41445</v>
      </c>
      <c r="D1718" s="2">
        <f t="shared" si="52"/>
        <v>4</v>
      </c>
      <c r="E1718" s="2">
        <f t="shared" si="53"/>
        <v>6</v>
      </c>
      <c r="F1718">
        <v>10.125500000000001</v>
      </c>
      <c r="G1718">
        <v>10.202199999999999</v>
      </c>
      <c r="H1718">
        <v>9.9337999999999997</v>
      </c>
      <c r="I1718">
        <v>9.9720999999999993</v>
      </c>
      <c r="J1718">
        <v>72739</v>
      </c>
      <c r="K1718">
        <v>-2.6566999999999998</v>
      </c>
      <c r="L1718">
        <v>2.7027000000000001</v>
      </c>
    </row>
    <row r="1719" spans="1:12" hidden="1" x14ac:dyDescent="0.25">
      <c r="A1719">
        <v>2330</v>
      </c>
      <c r="B1719" t="s">
        <v>11</v>
      </c>
      <c r="C1719" s="1">
        <v>41445</v>
      </c>
      <c r="D1719" s="2">
        <f t="shared" si="52"/>
        <v>4</v>
      </c>
      <c r="E1719" s="2">
        <f t="shared" si="53"/>
        <v>6</v>
      </c>
      <c r="F1719">
        <v>82.149699999999996</v>
      </c>
      <c r="G1719">
        <v>82.540899999999993</v>
      </c>
      <c r="H1719">
        <v>80.976100000000002</v>
      </c>
      <c r="I1719">
        <v>81.3673</v>
      </c>
      <c r="J1719">
        <v>29998</v>
      </c>
      <c r="K1719">
        <v>-1.4319999999999999</v>
      </c>
      <c r="L1719">
        <v>1.9323999999999999</v>
      </c>
    </row>
    <row r="1720" spans="1:12" x14ac:dyDescent="0.25">
      <c r="A1720">
        <v>2303</v>
      </c>
      <c r="B1720" t="s">
        <v>10</v>
      </c>
      <c r="C1720" s="1">
        <v>41446</v>
      </c>
      <c r="D1720" s="2">
        <f t="shared" si="52"/>
        <v>5</v>
      </c>
      <c r="E1720" s="2">
        <f t="shared" si="53"/>
        <v>6</v>
      </c>
      <c r="F1720">
        <v>9.6268999999999991</v>
      </c>
      <c r="G1720">
        <v>9.7420000000000009</v>
      </c>
      <c r="H1720">
        <v>9.4352</v>
      </c>
      <c r="I1720">
        <v>9.6268999999999991</v>
      </c>
      <c r="J1720">
        <v>130534</v>
      </c>
      <c r="K1720">
        <v>-3.5228999999999999</v>
      </c>
      <c r="L1720">
        <v>3.2519999999999998</v>
      </c>
    </row>
    <row r="1721" spans="1:12" hidden="1" x14ac:dyDescent="0.25">
      <c r="A1721">
        <v>2330</v>
      </c>
      <c r="B1721" t="s">
        <v>11</v>
      </c>
      <c r="C1721" s="1">
        <v>41446</v>
      </c>
      <c r="D1721" s="2">
        <f t="shared" si="52"/>
        <v>5</v>
      </c>
      <c r="E1721" s="2">
        <f t="shared" si="53"/>
        <v>6</v>
      </c>
      <c r="F1721">
        <v>79.802599999999998</v>
      </c>
      <c r="G1721">
        <v>80.976100000000002</v>
      </c>
      <c r="H1721">
        <v>79.4114</v>
      </c>
      <c r="I1721">
        <v>80.976100000000002</v>
      </c>
      <c r="J1721">
        <v>39844</v>
      </c>
      <c r="K1721">
        <v>-0.4819</v>
      </c>
      <c r="L1721">
        <v>1.9703999999999999</v>
      </c>
    </row>
    <row r="1722" spans="1:12" x14ac:dyDescent="0.25">
      <c r="A1722">
        <v>2303</v>
      </c>
      <c r="B1722" t="s">
        <v>10</v>
      </c>
      <c r="C1722" s="1">
        <v>41449</v>
      </c>
      <c r="D1722" s="2">
        <f t="shared" si="52"/>
        <v>1</v>
      </c>
      <c r="E1722" s="2">
        <f t="shared" si="53"/>
        <v>6</v>
      </c>
      <c r="F1722">
        <v>9.6268999999999991</v>
      </c>
      <c r="G1722">
        <v>9.9720999999999993</v>
      </c>
      <c r="H1722">
        <v>9.5885999999999996</v>
      </c>
      <c r="I1722">
        <v>9.8186999999999998</v>
      </c>
      <c r="J1722">
        <v>88151</v>
      </c>
      <c r="K1722">
        <v>1.9724999999999999</v>
      </c>
      <c r="L1722">
        <v>4</v>
      </c>
    </row>
    <row r="1723" spans="1:12" hidden="1" x14ac:dyDescent="0.25">
      <c r="A1723">
        <v>2330</v>
      </c>
      <c r="B1723" t="s">
        <v>11</v>
      </c>
      <c r="C1723" s="1">
        <v>41449</v>
      </c>
      <c r="D1723" s="2">
        <f t="shared" si="52"/>
        <v>1</v>
      </c>
      <c r="E1723" s="2">
        <f t="shared" si="53"/>
        <v>6</v>
      </c>
      <c r="F1723">
        <v>80.193700000000007</v>
      </c>
      <c r="G1723">
        <v>80.193700000000007</v>
      </c>
      <c r="H1723">
        <v>78.237799999999993</v>
      </c>
      <c r="I1723">
        <v>79.020200000000003</v>
      </c>
      <c r="J1723">
        <v>54091</v>
      </c>
      <c r="K1723">
        <v>-2.4451000000000001</v>
      </c>
      <c r="L1723">
        <v>2.5</v>
      </c>
    </row>
    <row r="1724" spans="1:12" x14ac:dyDescent="0.25">
      <c r="A1724">
        <v>2303</v>
      </c>
      <c r="B1724" t="s">
        <v>10</v>
      </c>
      <c r="C1724" s="1">
        <v>41450</v>
      </c>
      <c r="D1724" s="2">
        <f t="shared" si="52"/>
        <v>2</v>
      </c>
      <c r="E1724" s="2">
        <f t="shared" si="53"/>
        <v>6</v>
      </c>
      <c r="F1724">
        <v>9.8186999999999998</v>
      </c>
      <c r="G1724">
        <v>9.9337999999999997</v>
      </c>
      <c r="H1724">
        <v>9.5885999999999996</v>
      </c>
      <c r="I1724">
        <v>9.7420000000000009</v>
      </c>
      <c r="J1724">
        <v>76493</v>
      </c>
      <c r="K1724">
        <v>-0.7843</v>
      </c>
      <c r="L1724">
        <v>3.6</v>
      </c>
    </row>
    <row r="1725" spans="1:12" hidden="1" x14ac:dyDescent="0.25">
      <c r="A1725">
        <v>2330</v>
      </c>
      <c r="B1725" t="s">
        <v>11</v>
      </c>
      <c r="C1725" s="1">
        <v>41450</v>
      </c>
      <c r="D1725" s="2">
        <f t="shared" si="52"/>
        <v>2</v>
      </c>
      <c r="E1725" s="2">
        <f t="shared" si="53"/>
        <v>6</v>
      </c>
      <c r="F1725">
        <v>79.020200000000003</v>
      </c>
      <c r="G1725">
        <v>80.584900000000005</v>
      </c>
      <c r="H1725">
        <v>79.020200000000003</v>
      </c>
      <c r="I1725">
        <v>79.020200000000003</v>
      </c>
      <c r="J1725">
        <v>33897</v>
      </c>
      <c r="K1725">
        <v>0</v>
      </c>
      <c r="L1725">
        <v>1.9802</v>
      </c>
    </row>
    <row r="1726" spans="1:12" x14ac:dyDescent="0.25">
      <c r="A1726">
        <v>2303</v>
      </c>
      <c r="B1726" t="s">
        <v>10</v>
      </c>
      <c r="C1726" s="1">
        <v>41451</v>
      </c>
      <c r="D1726" s="2">
        <f t="shared" si="52"/>
        <v>3</v>
      </c>
      <c r="E1726" s="2">
        <f t="shared" si="53"/>
        <v>6</v>
      </c>
      <c r="F1726">
        <v>10.087199999999999</v>
      </c>
      <c r="G1726">
        <v>10.394</v>
      </c>
      <c r="H1726">
        <v>10.087199999999999</v>
      </c>
      <c r="I1726">
        <v>10.394</v>
      </c>
      <c r="J1726">
        <v>143036</v>
      </c>
      <c r="K1726">
        <v>6.4785000000000004</v>
      </c>
      <c r="L1726">
        <v>3.0417999999999998</v>
      </c>
    </row>
    <row r="1727" spans="1:12" hidden="1" x14ac:dyDescent="0.25">
      <c r="A1727">
        <v>2330</v>
      </c>
      <c r="B1727" t="s">
        <v>11</v>
      </c>
      <c r="C1727" s="1">
        <v>41451</v>
      </c>
      <c r="D1727" s="2">
        <f t="shared" si="52"/>
        <v>3</v>
      </c>
      <c r="E1727" s="2">
        <f t="shared" si="53"/>
        <v>6</v>
      </c>
      <c r="F1727">
        <v>80.584900000000005</v>
      </c>
      <c r="G1727">
        <v>81.3673</v>
      </c>
      <c r="H1727">
        <v>79.4114</v>
      </c>
      <c r="I1727">
        <v>79.4114</v>
      </c>
      <c r="J1727">
        <v>55865</v>
      </c>
      <c r="K1727">
        <v>0.49380000000000002</v>
      </c>
      <c r="L1727">
        <v>2.4630999999999998</v>
      </c>
    </row>
    <row r="1728" spans="1:12" x14ac:dyDescent="0.25">
      <c r="A1728">
        <v>2303</v>
      </c>
      <c r="B1728" t="s">
        <v>10</v>
      </c>
      <c r="C1728" s="1">
        <v>41452</v>
      </c>
      <c r="D1728" s="2">
        <f t="shared" si="52"/>
        <v>4</v>
      </c>
      <c r="E1728" s="2">
        <f t="shared" si="53"/>
        <v>6</v>
      </c>
      <c r="F1728">
        <v>10.7392</v>
      </c>
      <c r="G1728">
        <v>11.0844</v>
      </c>
      <c r="H1728">
        <v>10.7392</v>
      </c>
      <c r="I1728">
        <v>11.0844</v>
      </c>
      <c r="J1728">
        <v>267360</v>
      </c>
      <c r="K1728">
        <v>6.4307999999999996</v>
      </c>
      <c r="L1728">
        <v>3.2143000000000002</v>
      </c>
    </row>
    <row r="1729" spans="1:12" hidden="1" x14ac:dyDescent="0.25">
      <c r="A1729">
        <v>2330</v>
      </c>
      <c r="B1729" t="s">
        <v>11</v>
      </c>
      <c r="C1729" s="1">
        <v>41452</v>
      </c>
      <c r="D1729" s="2">
        <f t="shared" si="52"/>
        <v>4</v>
      </c>
      <c r="E1729" s="2">
        <f t="shared" si="53"/>
        <v>6</v>
      </c>
      <c r="F1729">
        <v>80.584900000000005</v>
      </c>
      <c r="G1729">
        <v>82.149699999999996</v>
      </c>
      <c r="H1729">
        <v>80.584900000000005</v>
      </c>
      <c r="I1729">
        <v>81.758499999999998</v>
      </c>
      <c r="J1729">
        <v>46982</v>
      </c>
      <c r="K1729">
        <v>2.9127999999999998</v>
      </c>
      <c r="L1729">
        <v>1.9417</v>
      </c>
    </row>
    <row r="1730" spans="1:12" x14ac:dyDescent="0.25">
      <c r="A1730">
        <v>2303</v>
      </c>
      <c r="B1730" t="s">
        <v>10</v>
      </c>
      <c r="C1730" s="1">
        <v>41453</v>
      </c>
      <c r="D1730" s="2">
        <f t="shared" si="52"/>
        <v>5</v>
      </c>
      <c r="E1730" s="2">
        <f t="shared" si="53"/>
        <v>6</v>
      </c>
      <c r="F1730">
        <v>11.161099999999999</v>
      </c>
      <c r="G1730">
        <v>11.161099999999999</v>
      </c>
      <c r="H1730">
        <v>10.9693</v>
      </c>
      <c r="I1730">
        <v>11.1227</v>
      </c>
      <c r="J1730">
        <v>180666</v>
      </c>
      <c r="K1730">
        <v>0.34539999999999998</v>
      </c>
      <c r="L1730">
        <v>1.7483</v>
      </c>
    </row>
    <row r="1731" spans="1:12" hidden="1" x14ac:dyDescent="0.25">
      <c r="A1731">
        <v>2330</v>
      </c>
      <c r="B1731" t="s">
        <v>11</v>
      </c>
      <c r="C1731" s="1">
        <v>41453</v>
      </c>
      <c r="D1731" s="2">
        <f t="shared" ref="D1731:D1794" si="54">WEEKDAY(C1731,2)</f>
        <v>5</v>
      </c>
      <c r="E1731" s="2">
        <f t="shared" ref="E1731:E1794" si="55">MONTH(C1731)</f>
        <v>6</v>
      </c>
      <c r="F1731">
        <v>82.932100000000005</v>
      </c>
      <c r="G1731">
        <v>86.843999999999994</v>
      </c>
      <c r="H1731">
        <v>82.149699999999996</v>
      </c>
      <c r="I1731">
        <v>86.843999999999994</v>
      </c>
      <c r="J1731">
        <v>74514</v>
      </c>
      <c r="K1731">
        <v>6.0343</v>
      </c>
      <c r="L1731">
        <v>5.7142999999999997</v>
      </c>
    </row>
    <row r="1732" spans="1:12" x14ac:dyDescent="0.25">
      <c r="A1732">
        <v>2303</v>
      </c>
      <c r="B1732" t="s">
        <v>10</v>
      </c>
      <c r="C1732" s="1">
        <v>41456</v>
      </c>
      <c r="D1732" s="2">
        <f t="shared" si="54"/>
        <v>1</v>
      </c>
      <c r="E1732" s="2">
        <f t="shared" si="55"/>
        <v>7</v>
      </c>
      <c r="F1732">
        <v>11.1227</v>
      </c>
      <c r="G1732">
        <v>11.8131</v>
      </c>
      <c r="H1732">
        <v>11.1227</v>
      </c>
      <c r="I1732">
        <v>11.544600000000001</v>
      </c>
      <c r="J1732">
        <v>157630</v>
      </c>
      <c r="K1732">
        <v>3.7229000000000001</v>
      </c>
      <c r="L1732">
        <v>6.2069000000000001</v>
      </c>
    </row>
    <row r="1733" spans="1:12" hidden="1" x14ac:dyDescent="0.25">
      <c r="A1733">
        <v>2330</v>
      </c>
      <c r="B1733" t="s">
        <v>11</v>
      </c>
      <c r="C1733" s="1">
        <v>41456</v>
      </c>
      <c r="D1733" s="2">
        <f t="shared" si="54"/>
        <v>1</v>
      </c>
      <c r="E1733" s="2">
        <f t="shared" si="55"/>
        <v>7</v>
      </c>
      <c r="F1733">
        <v>85.279200000000003</v>
      </c>
      <c r="G1733">
        <v>85.670400000000001</v>
      </c>
      <c r="H1733">
        <v>84.496799999999993</v>
      </c>
      <c r="I1733">
        <v>84.496799999999993</v>
      </c>
      <c r="J1733">
        <v>51935</v>
      </c>
      <c r="K1733">
        <v>-2.7399</v>
      </c>
      <c r="L1733">
        <v>1.3889</v>
      </c>
    </row>
    <row r="1734" spans="1:12" x14ac:dyDescent="0.25">
      <c r="A1734">
        <v>2303</v>
      </c>
      <c r="B1734" t="s">
        <v>10</v>
      </c>
      <c r="C1734" s="1">
        <v>41457</v>
      </c>
      <c r="D1734" s="2">
        <f t="shared" si="54"/>
        <v>2</v>
      </c>
      <c r="E1734" s="2">
        <f t="shared" si="55"/>
        <v>7</v>
      </c>
      <c r="F1734">
        <v>11.583</v>
      </c>
      <c r="G1734">
        <v>11.659700000000001</v>
      </c>
      <c r="H1734">
        <v>11.1995</v>
      </c>
      <c r="I1734">
        <v>11.276199999999999</v>
      </c>
      <c r="J1734">
        <v>136519</v>
      </c>
      <c r="K1734">
        <v>-2.3530000000000002</v>
      </c>
      <c r="L1734">
        <v>4.1096000000000004</v>
      </c>
    </row>
    <row r="1735" spans="1:12" hidden="1" x14ac:dyDescent="0.25">
      <c r="A1735">
        <v>2330</v>
      </c>
      <c r="B1735" t="s">
        <v>11</v>
      </c>
      <c r="C1735" s="1">
        <v>41457</v>
      </c>
      <c r="D1735" s="2">
        <f t="shared" si="54"/>
        <v>2</v>
      </c>
      <c r="E1735" s="2">
        <f t="shared" si="55"/>
        <v>7</v>
      </c>
      <c r="F1735">
        <v>85.279200000000003</v>
      </c>
      <c r="G1735">
        <v>86.061599999999999</v>
      </c>
      <c r="H1735">
        <v>84.888000000000005</v>
      </c>
      <c r="I1735">
        <v>86.061599999999999</v>
      </c>
      <c r="J1735">
        <v>44982</v>
      </c>
      <c r="K1735">
        <v>1.8349</v>
      </c>
      <c r="L1735">
        <v>1.3825000000000001</v>
      </c>
    </row>
    <row r="1736" spans="1:12" x14ac:dyDescent="0.25">
      <c r="A1736">
        <v>2303</v>
      </c>
      <c r="B1736" t="s">
        <v>10</v>
      </c>
      <c r="C1736" s="1">
        <v>41458</v>
      </c>
      <c r="D1736" s="2">
        <f t="shared" si="54"/>
        <v>3</v>
      </c>
      <c r="E1736" s="2">
        <f t="shared" si="55"/>
        <v>7</v>
      </c>
      <c r="F1736">
        <v>11.161099999999999</v>
      </c>
      <c r="G1736">
        <v>11.3912</v>
      </c>
      <c r="H1736">
        <v>11.1227</v>
      </c>
      <c r="I1736">
        <v>11.161099999999999</v>
      </c>
      <c r="J1736">
        <v>115676</v>
      </c>
      <c r="K1736">
        <v>-1.0257000000000001</v>
      </c>
      <c r="L1736">
        <v>2.4138000000000002</v>
      </c>
    </row>
    <row r="1737" spans="1:12" hidden="1" x14ac:dyDescent="0.25">
      <c r="A1737">
        <v>2330</v>
      </c>
      <c r="B1737" t="s">
        <v>11</v>
      </c>
      <c r="C1737" s="1">
        <v>41458</v>
      </c>
      <c r="D1737" s="2">
        <f t="shared" si="54"/>
        <v>3</v>
      </c>
      <c r="E1737" s="2">
        <f t="shared" si="55"/>
        <v>7</v>
      </c>
      <c r="F1737">
        <v>86.061300000000003</v>
      </c>
      <c r="G1737">
        <v>86.061300000000003</v>
      </c>
      <c r="H1737">
        <v>84.854799999999997</v>
      </c>
      <c r="I1737">
        <v>86.061300000000003</v>
      </c>
      <c r="J1737">
        <v>44740</v>
      </c>
      <c r="K1737">
        <v>-4.0000000000000002E-4</v>
      </c>
      <c r="L1737">
        <v>1.4218</v>
      </c>
    </row>
    <row r="1738" spans="1:12" x14ac:dyDescent="0.25">
      <c r="A1738">
        <v>2303</v>
      </c>
      <c r="B1738" t="s">
        <v>10</v>
      </c>
      <c r="C1738" s="1">
        <v>41459</v>
      </c>
      <c r="D1738" s="2">
        <f t="shared" si="54"/>
        <v>4</v>
      </c>
      <c r="E1738" s="2">
        <f t="shared" si="55"/>
        <v>7</v>
      </c>
      <c r="F1738">
        <v>11.276199999999999</v>
      </c>
      <c r="G1738">
        <v>11.544600000000001</v>
      </c>
      <c r="H1738">
        <v>11.1995</v>
      </c>
      <c r="I1738">
        <v>11.2378</v>
      </c>
      <c r="J1738">
        <v>108114</v>
      </c>
      <c r="K1738">
        <v>0.68489999999999995</v>
      </c>
      <c r="L1738">
        <v>3.0821999999999998</v>
      </c>
    </row>
    <row r="1739" spans="1:12" hidden="1" x14ac:dyDescent="0.25">
      <c r="A1739">
        <v>2330</v>
      </c>
      <c r="B1739" t="s">
        <v>11</v>
      </c>
      <c r="C1739" s="1">
        <v>41459</v>
      </c>
      <c r="D1739" s="2">
        <f t="shared" si="54"/>
        <v>4</v>
      </c>
      <c r="E1739" s="2">
        <f t="shared" si="55"/>
        <v>7</v>
      </c>
      <c r="F1739">
        <v>85.659099999999995</v>
      </c>
      <c r="G1739">
        <v>86.061300000000003</v>
      </c>
      <c r="H1739">
        <v>85.257000000000005</v>
      </c>
      <c r="I1739">
        <v>86.061300000000003</v>
      </c>
      <c r="J1739">
        <v>24500</v>
      </c>
      <c r="K1739">
        <v>0</v>
      </c>
      <c r="L1739">
        <v>0.94340000000000002</v>
      </c>
    </row>
    <row r="1740" spans="1:12" x14ac:dyDescent="0.25">
      <c r="A1740">
        <v>2303</v>
      </c>
      <c r="B1740" t="s">
        <v>10</v>
      </c>
      <c r="C1740" s="1">
        <v>41460</v>
      </c>
      <c r="D1740" s="2">
        <f t="shared" si="54"/>
        <v>5</v>
      </c>
      <c r="E1740" s="2">
        <f t="shared" si="55"/>
        <v>7</v>
      </c>
      <c r="F1740">
        <v>11.429600000000001</v>
      </c>
      <c r="G1740">
        <v>11.4679</v>
      </c>
      <c r="H1740">
        <v>11.276199999999999</v>
      </c>
      <c r="I1740">
        <v>11.3529</v>
      </c>
      <c r="J1740">
        <v>143241</v>
      </c>
      <c r="K1740">
        <v>1.0186999999999999</v>
      </c>
      <c r="L1740">
        <v>1.7007000000000001</v>
      </c>
    </row>
    <row r="1741" spans="1:12" hidden="1" x14ac:dyDescent="0.25">
      <c r="A1741">
        <v>2330</v>
      </c>
      <c r="B1741" t="s">
        <v>11</v>
      </c>
      <c r="C1741" s="1">
        <v>41460</v>
      </c>
      <c r="D1741" s="2">
        <f t="shared" si="54"/>
        <v>5</v>
      </c>
      <c r="E1741" s="2">
        <f t="shared" si="55"/>
        <v>7</v>
      </c>
      <c r="F1741">
        <v>86.463399999999993</v>
      </c>
      <c r="G1741">
        <v>88.072100000000006</v>
      </c>
      <c r="H1741">
        <v>86.061300000000003</v>
      </c>
      <c r="I1741">
        <v>87.669899999999998</v>
      </c>
      <c r="J1741">
        <v>28276</v>
      </c>
      <c r="K1741">
        <v>1.8519000000000001</v>
      </c>
      <c r="L1741">
        <v>2.3363999999999998</v>
      </c>
    </row>
    <row r="1742" spans="1:12" x14ac:dyDescent="0.25">
      <c r="A1742">
        <v>2303</v>
      </c>
      <c r="B1742" t="s">
        <v>10</v>
      </c>
      <c r="C1742" s="1">
        <v>41463</v>
      </c>
      <c r="D1742" s="2">
        <f t="shared" si="54"/>
        <v>1</v>
      </c>
      <c r="E1742" s="2">
        <f t="shared" si="55"/>
        <v>7</v>
      </c>
      <c r="F1742">
        <v>11.515700000000001</v>
      </c>
      <c r="G1742">
        <v>11.7523</v>
      </c>
      <c r="H1742">
        <v>11.081899999999999</v>
      </c>
      <c r="I1742">
        <v>11.1213</v>
      </c>
      <c r="J1742">
        <v>124477</v>
      </c>
      <c r="K1742">
        <v>-2.0036999999999998</v>
      </c>
      <c r="L1742">
        <v>6.0498000000000003</v>
      </c>
    </row>
    <row r="1743" spans="1:12" hidden="1" x14ac:dyDescent="0.25">
      <c r="A1743">
        <v>2330</v>
      </c>
      <c r="B1743" t="s">
        <v>11</v>
      </c>
      <c r="C1743" s="1">
        <v>41463</v>
      </c>
      <c r="D1743" s="2">
        <f t="shared" si="54"/>
        <v>1</v>
      </c>
      <c r="E1743" s="2">
        <f t="shared" si="55"/>
        <v>7</v>
      </c>
      <c r="F1743">
        <v>86.061300000000003</v>
      </c>
      <c r="G1743">
        <v>86.865600000000001</v>
      </c>
      <c r="H1743">
        <v>84.0505</v>
      </c>
      <c r="I1743">
        <v>84.452699999999993</v>
      </c>
      <c r="J1743">
        <v>32770</v>
      </c>
      <c r="K1743">
        <v>-3.7387999999999999</v>
      </c>
      <c r="L1743">
        <v>3.3492999999999999</v>
      </c>
    </row>
    <row r="1744" spans="1:12" x14ac:dyDescent="0.25">
      <c r="A1744">
        <v>2303</v>
      </c>
      <c r="B1744" t="s">
        <v>10</v>
      </c>
      <c r="C1744" s="1">
        <v>41464</v>
      </c>
      <c r="D1744" s="2">
        <f t="shared" si="54"/>
        <v>2</v>
      </c>
      <c r="E1744" s="2">
        <f t="shared" si="55"/>
        <v>7</v>
      </c>
      <c r="F1744">
        <v>11.1213</v>
      </c>
      <c r="G1744">
        <v>11.279</v>
      </c>
      <c r="H1744">
        <v>11.003</v>
      </c>
      <c r="I1744">
        <v>11.239599999999999</v>
      </c>
      <c r="J1744">
        <v>75287</v>
      </c>
      <c r="K1744">
        <v>1.0582</v>
      </c>
      <c r="L1744">
        <v>2.5089999999999999</v>
      </c>
    </row>
    <row r="1745" spans="1:12" hidden="1" x14ac:dyDescent="0.25">
      <c r="A1745">
        <v>2330</v>
      </c>
      <c r="B1745" t="s">
        <v>11</v>
      </c>
      <c r="C1745" s="1">
        <v>41464</v>
      </c>
      <c r="D1745" s="2">
        <f t="shared" si="54"/>
        <v>2</v>
      </c>
      <c r="E1745" s="2">
        <f t="shared" si="55"/>
        <v>7</v>
      </c>
      <c r="F1745">
        <v>84.0505</v>
      </c>
      <c r="G1745">
        <v>85.659099999999995</v>
      </c>
      <c r="H1745">
        <v>83.246200000000002</v>
      </c>
      <c r="I1745">
        <v>85.257000000000005</v>
      </c>
      <c r="J1745">
        <v>35511</v>
      </c>
      <c r="K1745">
        <v>0.94789999999999996</v>
      </c>
      <c r="L1745">
        <v>2.8986000000000001</v>
      </c>
    </row>
    <row r="1746" spans="1:12" x14ac:dyDescent="0.25">
      <c r="A1746">
        <v>2303</v>
      </c>
      <c r="B1746" t="s">
        <v>10</v>
      </c>
      <c r="C1746" s="1">
        <v>41465</v>
      </c>
      <c r="D1746" s="2">
        <f t="shared" si="54"/>
        <v>3</v>
      </c>
      <c r="E1746" s="2">
        <f t="shared" si="55"/>
        <v>7</v>
      </c>
      <c r="F1746">
        <v>11.1213</v>
      </c>
      <c r="G1746">
        <v>11.279</v>
      </c>
      <c r="H1746">
        <v>10.924099999999999</v>
      </c>
      <c r="I1746">
        <v>10.9635</v>
      </c>
      <c r="J1746">
        <v>80300</v>
      </c>
      <c r="K1746">
        <v>-2.4868000000000001</v>
      </c>
      <c r="L1746">
        <v>3.2490999999999999</v>
      </c>
    </row>
    <row r="1747" spans="1:12" hidden="1" x14ac:dyDescent="0.25">
      <c r="A1747">
        <v>2330</v>
      </c>
      <c r="B1747" t="s">
        <v>11</v>
      </c>
      <c r="C1747" s="1">
        <v>41465</v>
      </c>
      <c r="D1747" s="2">
        <f t="shared" si="54"/>
        <v>3</v>
      </c>
      <c r="E1747" s="2">
        <f t="shared" si="55"/>
        <v>7</v>
      </c>
      <c r="F1747">
        <v>84.0505</v>
      </c>
      <c r="G1747">
        <v>86.061300000000003</v>
      </c>
      <c r="H1747">
        <v>84.0505</v>
      </c>
      <c r="I1747">
        <v>85.257000000000005</v>
      </c>
      <c r="J1747">
        <v>22082</v>
      </c>
      <c r="K1747">
        <v>0</v>
      </c>
      <c r="L1747">
        <v>2.3923000000000001</v>
      </c>
    </row>
    <row r="1748" spans="1:12" x14ac:dyDescent="0.25">
      <c r="A1748">
        <v>2303</v>
      </c>
      <c r="B1748" t="s">
        <v>10</v>
      </c>
      <c r="C1748" s="1">
        <v>41466</v>
      </c>
      <c r="D1748" s="2">
        <f t="shared" si="54"/>
        <v>4</v>
      </c>
      <c r="E1748" s="2">
        <f t="shared" si="55"/>
        <v>7</v>
      </c>
      <c r="F1748">
        <v>11.1213</v>
      </c>
      <c r="G1748">
        <v>11.4368</v>
      </c>
      <c r="H1748">
        <v>11.003</v>
      </c>
      <c r="I1748">
        <v>11.4368</v>
      </c>
      <c r="J1748">
        <v>119774</v>
      </c>
      <c r="K1748">
        <v>4.226</v>
      </c>
      <c r="L1748">
        <v>3.9426999999999999</v>
      </c>
    </row>
    <row r="1749" spans="1:12" hidden="1" x14ac:dyDescent="0.25">
      <c r="A1749">
        <v>2330</v>
      </c>
      <c r="B1749" t="s">
        <v>11</v>
      </c>
      <c r="C1749" s="1">
        <v>41466</v>
      </c>
      <c r="D1749" s="2">
        <f t="shared" si="54"/>
        <v>4</v>
      </c>
      <c r="E1749" s="2">
        <f t="shared" si="55"/>
        <v>7</v>
      </c>
      <c r="F1749">
        <v>86.463399999999993</v>
      </c>
      <c r="G1749">
        <v>88.072100000000006</v>
      </c>
      <c r="H1749">
        <v>86.463399999999993</v>
      </c>
      <c r="I1749">
        <v>88.072100000000006</v>
      </c>
      <c r="J1749">
        <v>56918</v>
      </c>
      <c r="K1749">
        <v>3.2484999999999999</v>
      </c>
      <c r="L1749">
        <v>1.8605</v>
      </c>
    </row>
    <row r="1750" spans="1:12" x14ac:dyDescent="0.25">
      <c r="A1750">
        <v>2303</v>
      </c>
      <c r="B1750" t="s">
        <v>10</v>
      </c>
      <c r="C1750" s="1">
        <v>41467</v>
      </c>
      <c r="D1750" s="2">
        <f t="shared" si="54"/>
        <v>5</v>
      </c>
      <c r="E1750" s="2">
        <f t="shared" si="55"/>
        <v>7</v>
      </c>
      <c r="F1750">
        <v>11.3185</v>
      </c>
      <c r="G1750">
        <v>11.3185</v>
      </c>
      <c r="H1750">
        <v>11.1213</v>
      </c>
      <c r="I1750">
        <v>11.239599999999999</v>
      </c>
      <c r="J1750">
        <v>81327</v>
      </c>
      <c r="K1750">
        <v>-1.7392000000000001</v>
      </c>
      <c r="L1750">
        <v>1.7729999999999999</v>
      </c>
    </row>
    <row r="1751" spans="1:12" hidden="1" x14ac:dyDescent="0.25">
      <c r="A1751">
        <v>2330</v>
      </c>
      <c r="B1751" t="s">
        <v>11</v>
      </c>
      <c r="C1751" s="1">
        <v>41467</v>
      </c>
      <c r="D1751" s="2">
        <f t="shared" si="54"/>
        <v>5</v>
      </c>
      <c r="E1751" s="2">
        <f t="shared" si="55"/>
        <v>7</v>
      </c>
      <c r="F1751">
        <v>88.072100000000006</v>
      </c>
      <c r="G1751">
        <v>88.474199999999996</v>
      </c>
      <c r="H1751">
        <v>87.267700000000005</v>
      </c>
      <c r="I1751">
        <v>88.474199999999996</v>
      </c>
      <c r="J1751">
        <v>31046</v>
      </c>
      <c r="K1751">
        <v>0.4556</v>
      </c>
      <c r="L1751">
        <v>1.3825000000000001</v>
      </c>
    </row>
    <row r="1752" spans="1:12" x14ac:dyDescent="0.25">
      <c r="A1752">
        <v>2303</v>
      </c>
      <c r="B1752" t="s">
        <v>10</v>
      </c>
      <c r="C1752" s="1">
        <v>41470</v>
      </c>
      <c r="D1752" s="2">
        <f t="shared" si="54"/>
        <v>1</v>
      </c>
      <c r="E1752" s="2">
        <f t="shared" si="55"/>
        <v>7</v>
      </c>
      <c r="F1752">
        <v>11.279</v>
      </c>
      <c r="G1752">
        <v>11.357900000000001</v>
      </c>
      <c r="H1752">
        <v>11.1607</v>
      </c>
      <c r="I1752">
        <v>11.357900000000001</v>
      </c>
      <c r="J1752">
        <v>74064</v>
      </c>
      <c r="K1752">
        <v>1.0470999999999999</v>
      </c>
      <c r="L1752">
        <v>1.7667999999999999</v>
      </c>
    </row>
    <row r="1753" spans="1:12" hidden="1" x14ac:dyDescent="0.25">
      <c r="A1753">
        <v>2330</v>
      </c>
      <c r="B1753" t="s">
        <v>11</v>
      </c>
      <c r="C1753" s="1">
        <v>41470</v>
      </c>
      <c r="D1753" s="2">
        <f t="shared" si="54"/>
        <v>1</v>
      </c>
      <c r="E1753" s="2">
        <f t="shared" si="55"/>
        <v>7</v>
      </c>
      <c r="F1753">
        <v>87.267700000000005</v>
      </c>
      <c r="G1753">
        <v>88.072100000000006</v>
      </c>
      <c r="H1753">
        <v>86.865600000000001</v>
      </c>
      <c r="I1753">
        <v>88.072100000000006</v>
      </c>
      <c r="J1753">
        <v>33373</v>
      </c>
      <c r="K1753">
        <v>-0.4556</v>
      </c>
      <c r="L1753">
        <v>1.3889</v>
      </c>
    </row>
    <row r="1754" spans="1:12" x14ac:dyDescent="0.25">
      <c r="A1754">
        <v>2303</v>
      </c>
      <c r="B1754" t="s">
        <v>10</v>
      </c>
      <c r="C1754" s="1">
        <v>41471</v>
      </c>
      <c r="D1754" s="2">
        <f t="shared" si="54"/>
        <v>2</v>
      </c>
      <c r="E1754" s="2">
        <f t="shared" si="55"/>
        <v>7</v>
      </c>
      <c r="F1754">
        <v>11.3185</v>
      </c>
      <c r="G1754">
        <v>11.3185</v>
      </c>
      <c r="H1754">
        <v>10.9635</v>
      </c>
      <c r="I1754">
        <v>11.003</v>
      </c>
      <c r="J1754">
        <v>97557</v>
      </c>
      <c r="K1754">
        <v>-3.1749000000000001</v>
      </c>
      <c r="L1754">
        <v>3.2374000000000001</v>
      </c>
    </row>
    <row r="1755" spans="1:12" hidden="1" x14ac:dyDescent="0.25">
      <c r="A1755">
        <v>2330</v>
      </c>
      <c r="B1755" t="s">
        <v>11</v>
      </c>
      <c r="C1755" s="1">
        <v>41471</v>
      </c>
      <c r="D1755" s="2">
        <f t="shared" si="54"/>
        <v>2</v>
      </c>
      <c r="E1755" s="2">
        <f t="shared" si="55"/>
        <v>7</v>
      </c>
      <c r="F1755">
        <v>87.267700000000005</v>
      </c>
      <c r="G1755">
        <v>87.669899999999998</v>
      </c>
      <c r="H1755">
        <v>86.061300000000003</v>
      </c>
      <c r="I1755">
        <v>86.865600000000001</v>
      </c>
      <c r="J1755">
        <v>35961</v>
      </c>
      <c r="K1755">
        <v>-1.3793</v>
      </c>
      <c r="L1755">
        <v>1.8692</v>
      </c>
    </row>
    <row r="1756" spans="1:12" x14ac:dyDescent="0.25">
      <c r="A1756">
        <v>2303</v>
      </c>
      <c r="B1756" t="s">
        <v>10</v>
      </c>
      <c r="C1756" s="1">
        <v>41472</v>
      </c>
      <c r="D1756" s="2">
        <f t="shared" si="54"/>
        <v>3</v>
      </c>
      <c r="E1756" s="2">
        <f t="shared" si="55"/>
        <v>7</v>
      </c>
      <c r="F1756">
        <v>10.8847</v>
      </c>
      <c r="G1756">
        <v>10.8847</v>
      </c>
      <c r="H1756">
        <v>10.5297</v>
      </c>
      <c r="I1756">
        <v>10.5297</v>
      </c>
      <c r="J1756">
        <v>172202</v>
      </c>
      <c r="K1756">
        <v>-4.3963000000000001</v>
      </c>
      <c r="L1756">
        <v>3.3708</v>
      </c>
    </row>
    <row r="1757" spans="1:12" hidden="1" x14ac:dyDescent="0.25">
      <c r="A1757">
        <v>2330</v>
      </c>
      <c r="B1757" t="s">
        <v>11</v>
      </c>
      <c r="C1757" s="1">
        <v>41472</v>
      </c>
      <c r="D1757" s="2">
        <f t="shared" si="54"/>
        <v>3</v>
      </c>
      <c r="E1757" s="2">
        <f t="shared" si="55"/>
        <v>7</v>
      </c>
      <c r="F1757">
        <v>86.865600000000001</v>
      </c>
      <c r="G1757">
        <v>87.669899999999998</v>
      </c>
      <c r="H1757">
        <v>86.061300000000003</v>
      </c>
      <c r="I1757">
        <v>87.669899999999998</v>
      </c>
      <c r="J1757">
        <v>40121</v>
      </c>
      <c r="K1757">
        <v>0.92169999999999996</v>
      </c>
      <c r="L1757">
        <v>1.8692</v>
      </c>
    </row>
    <row r="1758" spans="1:12" x14ac:dyDescent="0.25">
      <c r="A1758">
        <v>2303</v>
      </c>
      <c r="B1758" t="s">
        <v>10</v>
      </c>
      <c r="C1758" s="1">
        <v>41473</v>
      </c>
      <c r="D1758" s="2">
        <f t="shared" si="54"/>
        <v>4</v>
      </c>
      <c r="E1758" s="2">
        <f t="shared" si="55"/>
        <v>7</v>
      </c>
      <c r="F1758">
        <v>10.4903</v>
      </c>
      <c r="G1758">
        <v>10.648</v>
      </c>
      <c r="H1758">
        <v>10.4114</v>
      </c>
      <c r="I1758">
        <v>10.5297</v>
      </c>
      <c r="J1758">
        <v>104349</v>
      </c>
      <c r="K1758">
        <v>0</v>
      </c>
      <c r="L1758">
        <v>2.2726999999999999</v>
      </c>
    </row>
    <row r="1759" spans="1:12" hidden="1" x14ac:dyDescent="0.25">
      <c r="A1759">
        <v>2330</v>
      </c>
      <c r="B1759" t="s">
        <v>11</v>
      </c>
      <c r="C1759" s="1">
        <v>41473</v>
      </c>
      <c r="D1759" s="2">
        <f t="shared" si="54"/>
        <v>4</v>
      </c>
      <c r="E1759" s="2">
        <f t="shared" si="55"/>
        <v>7</v>
      </c>
      <c r="F1759">
        <v>86.463399999999993</v>
      </c>
      <c r="G1759">
        <v>86.865600000000001</v>
      </c>
      <c r="H1759">
        <v>84.854799999999997</v>
      </c>
      <c r="I1759">
        <v>84.854799999999997</v>
      </c>
      <c r="J1759">
        <v>53223</v>
      </c>
      <c r="K1759">
        <v>-3.2637</v>
      </c>
      <c r="L1759">
        <v>2.3696999999999999</v>
      </c>
    </row>
    <row r="1760" spans="1:12" x14ac:dyDescent="0.25">
      <c r="A1760">
        <v>2303</v>
      </c>
      <c r="B1760" t="s">
        <v>10</v>
      </c>
      <c r="C1760" s="1">
        <v>41474</v>
      </c>
      <c r="D1760" s="2">
        <f t="shared" si="54"/>
        <v>5</v>
      </c>
      <c r="E1760" s="2">
        <f t="shared" si="55"/>
        <v>7</v>
      </c>
      <c r="F1760">
        <v>10.293100000000001</v>
      </c>
      <c r="G1760">
        <v>10.372</v>
      </c>
      <c r="H1760">
        <v>9.8986999999999998</v>
      </c>
      <c r="I1760">
        <v>10.0565</v>
      </c>
      <c r="J1760">
        <v>171041</v>
      </c>
      <c r="K1760">
        <v>-4.5984999999999996</v>
      </c>
      <c r="L1760">
        <v>4.7808999999999999</v>
      </c>
    </row>
    <row r="1761" spans="1:12" hidden="1" x14ac:dyDescent="0.25">
      <c r="A1761">
        <v>2330</v>
      </c>
      <c r="B1761" t="s">
        <v>11</v>
      </c>
      <c r="C1761" s="1">
        <v>41474</v>
      </c>
      <c r="D1761" s="2">
        <f t="shared" si="54"/>
        <v>5</v>
      </c>
      <c r="E1761" s="2">
        <f t="shared" si="55"/>
        <v>7</v>
      </c>
      <c r="F1761">
        <v>79.948499999999996</v>
      </c>
      <c r="G1761">
        <v>80.189800000000005</v>
      </c>
      <c r="H1761">
        <v>78.9833</v>
      </c>
      <c r="I1761">
        <v>78.9833</v>
      </c>
      <c r="J1761">
        <v>123330</v>
      </c>
      <c r="K1761">
        <v>-7.1704999999999997</v>
      </c>
      <c r="L1761">
        <v>1.5275000000000001</v>
      </c>
    </row>
    <row r="1762" spans="1:12" x14ac:dyDescent="0.25">
      <c r="A1762">
        <v>2303</v>
      </c>
      <c r="B1762" t="s">
        <v>10</v>
      </c>
      <c r="C1762" s="1">
        <v>41477</v>
      </c>
      <c r="D1762" s="2">
        <f t="shared" si="54"/>
        <v>1</v>
      </c>
      <c r="E1762" s="2">
        <f t="shared" si="55"/>
        <v>7</v>
      </c>
      <c r="F1762">
        <v>9.9776000000000007</v>
      </c>
      <c r="G1762">
        <v>10.293100000000001</v>
      </c>
      <c r="H1762">
        <v>9.9776000000000007</v>
      </c>
      <c r="I1762">
        <v>10.2537</v>
      </c>
      <c r="J1762">
        <v>75375</v>
      </c>
      <c r="K1762">
        <v>1.9418</v>
      </c>
      <c r="L1762">
        <v>3.1621000000000001</v>
      </c>
    </row>
    <row r="1763" spans="1:12" hidden="1" x14ac:dyDescent="0.25">
      <c r="A1763">
        <v>2330</v>
      </c>
      <c r="B1763" t="s">
        <v>11</v>
      </c>
      <c r="C1763" s="1">
        <v>41477</v>
      </c>
      <c r="D1763" s="2">
        <f t="shared" si="54"/>
        <v>1</v>
      </c>
      <c r="E1763" s="2">
        <f t="shared" si="55"/>
        <v>7</v>
      </c>
      <c r="F1763">
        <v>78.822500000000005</v>
      </c>
      <c r="G1763">
        <v>79.144199999999998</v>
      </c>
      <c r="H1763">
        <v>77.937700000000007</v>
      </c>
      <c r="I1763">
        <v>78.018199999999993</v>
      </c>
      <c r="J1763">
        <v>88048</v>
      </c>
      <c r="K1763">
        <v>-1.2295</v>
      </c>
      <c r="L1763">
        <v>1.548</v>
      </c>
    </row>
    <row r="1764" spans="1:12" x14ac:dyDescent="0.25">
      <c r="A1764">
        <v>2303</v>
      </c>
      <c r="B1764" t="s">
        <v>10</v>
      </c>
      <c r="C1764" s="1">
        <v>41478</v>
      </c>
      <c r="D1764" s="2">
        <f t="shared" si="54"/>
        <v>2</v>
      </c>
      <c r="E1764" s="2">
        <f t="shared" si="55"/>
        <v>7</v>
      </c>
      <c r="F1764">
        <v>10.372</v>
      </c>
      <c r="G1764">
        <v>10.726900000000001</v>
      </c>
      <c r="H1764">
        <v>10.372</v>
      </c>
      <c r="I1764">
        <v>10.648</v>
      </c>
      <c r="J1764">
        <v>121041</v>
      </c>
      <c r="K1764">
        <v>3.774</v>
      </c>
      <c r="L1764">
        <v>3.4220999999999999</v>
      </c>
    </row>
    <row r="1765" spans="1:12" hidden="1" x14ac:dyDescent="0.25">
      <c r="A1765">
        <v>2330</v>
      </c>
      <c r="B1765" t="s">
        <v>11</v>
      </c>
      <c r="C1765" s="1">
        <v>41478</v>
      </c>
      <c r="D1765" s="2">
        <f t="shared" si="54"/>
        <v>2</v>
      </c>
      <c r="E1765" s="2">
        <f t="shared" si="55"/>
        <v>7</v>
      </c>
      <c r="F1765">
        <v>79.224599999999995</v>
      </c>
      <c r="G1765">
        <v>81.637600000000006</v>
      </c>
      <c r="H1765">
        <v>79.224599999999995</v>
      </c>
      <c r="I1765">
        <v>80.431100000000001</v>
      </c>
      <c r="J1765">
        <v>85595</v>
      </c>
      <c r="K1765">
        <v>3.0459000000000001</v>
      </c>
      <c r="L1765">
        <v>3.0457000000000001</v>
      </c>
    </row>
    <row r="1766" spans="1:12" x14ac:dyDescent="0.25">
      <c r="A1766">
        <v>2303</v>
      </c>
      <c r="B1766" t="s">
        <v>10</v>
      </c>
      <c r="C1766" s="1">
        <v>41479</v>
      </c>
      <c r="D1766" s="2">
        <f t="shared" si="54"/>
        <v>3</v>
      </c>
      <c r="E1766" s="2">
        <f t="shared" si="55"/>
        <v>7</v>
      </c>
      <c r="F1766">
        <v>10.726900000000001</v>
      </c>
      <c r="G1766">
        <v>10.766400000000001</v>
      </c>
      <c r="H1766">
        <v>10.648</v>
      </c>
      <c r="I1766">
        <v>10.648</v>
      </c>
      <c r="J1766">
        <v>69303</v>
      </c>
      <c r="K1766">
        <v>0</v>
      </c>
      <c r="L1766">
        <v>1.1111</v>
      </c>
    </row>
    <row r="1767" spans="1:12" hidden="1" x14ac:dyDescent="0.25">
      <c r="A1767">
        <v>2330</v>
      </c>
      <c r="B1767" t="s">
        <v>11</v>
      </c>
      <c r="C1767" s="1">
        <v>41479</v>
      </c>
      <c r="D1767" s="2">
        <f t="shared" si="54"/>
        <v>3</v>
      </c>
      <c r="E1767" s="2">
        <f t="shared" si="55"/>
        <v>7</v>
      </c>
      <c r="F1767">
        <v>80.833299999999994</v>
      </c>
      <c r="G1767">
        <v>82.843999999999994</v>
      </c>
      <c r="H1767">
        <v>80.431100000000001</v>
      </c>
      <c r="I1767">
        <v>82.039699999999996</v>
      </c>
      <c r="J1767">
        <v>58355</v>
      </c>
      <c r="K1767">
        <v>1.9802999999999999</v>
      </c>
      <c r="L1767">
        <v>3</v>
      </c>
    </row>
    <row r="1768" spans="1:12" x14ac:dyDescent="0.25">
      <c r="A1768">
        <v>2303</v>
      </c>
      <c r="B1768" t="s">
        <v>10</v>
      </c>
      <c r="C1768" s="1">
        <v>41480</v>
      </c>
      <c r="D1768" s="2">
        <f t="shared" si="54"/>
        <v>4</v>
      </c>
      <c r="E1768" s="2">
        <f t="shared" si="55"/>
        <v>7</v>
      </c>
      <c r="F1768">
        <v>10.726900000000001</v>
      </c>
      <c r="G1768">
        <v>10.8058</v>
      </c>
      <c r="H1768">
        <v>10.5692</v>
      </c>
      <c r="I1768">
        <v>10.5692</v>
      </c>
      <c r="J1768">
        <v>51028</v>
      </c>
      <c r="K1768">
        <v>-0.74350000000000005</v>
      </c>
      <c r="L1768">
        <v>2.2387999999999999</v>
      </c>
    </row>
    <row r="1769" spans="1:12" hidden="1" x14ac:dyDescent="0.25">
      <c r="A1769">
        <v>2330</v>
      </c>
      <c r="B1769" t="s">
        <v>11</v>
      </c>
      <c r="C1769" s="1">
        <v>41480</v>
      </c>
      <c r="D1769" s="2">
        <f t="shared" si="54"/>
        <v>4</v>
      </c>
      <c r="E1769" s="2">
        <f t="shared" si="55"/>
        <v>7</v>
      </c>
      <c r="F1769">
        <v>82.039699999999996</v>
      </c>
      <c r="G1769">
        <v>83.246200000000002</v>
      </c>
      <c r="H1769">
        <v>81.235399999999998</v>
      </c>
      <c r="I1769">
        <v>82.441900000000004</v>
      </c>
      <c r="J1769">
        <v>37559</v>
      </c>
      <c r="K1769">
        <v>0.48899999999999999</v>
      </c>
      <c r="L1769">
        <v>2.4752000000000001</v>
      </c>
    </row>
    <row r="1770" spans="1:12" x14ac:dyDescent="0.25">
      <c r="A1770">
        <v>2303</v>
      </c>
      <c r="B1770" t="s">
        <v>10</v>
      </c>
      <c r="C1770" s="1">
        <v>41481</v>
      </c>
      <c r="D1770" s="2">
        <f t="shared" si="54"/>
        <v>5</v>
      </c>
      <c r="E1770" s="2">
        <f t="shared" si="55"/>
        <v>7</v>
      </c>
      <c r="F1770">
        <v>10.726900000000001</v>
      </c>
      <c r="G1770">
        <v>10.8058</v>
      </c>
      <c r="H1770">
        <v>10.5692</v>
      </c>
      <c r="I1770">
        <v>10.8058</v>
      </c>
      <c r="J1770">
        <v>58113</v>
      </c>
      <c r="K1770">
        <v>2.2141000000000002</v>
      </c>
      <c r="L1770">
        <v>2.2387999999999999</v>
      </c>
    </row>
    <row r="1771" spans="1:12" hidden="1" x14ac:dyDescent="0.25">
      <c r="A1771">
        <v>2330</v>
      </c>
      <c r="B1771" t="s">
        <v>11</v>
      </c>
      <c r="C1771" s="1">
        <v>41481</v>
      </c>
      <c r="D1771" s="2">
        <f t="shared" si="54"/>
        <v>5</v>
      </c>
      <c r="E1771" s="2">
        <f t="shared" si="55"/>
        <v>7</v>
      </c>
      <c r="F1771">
        <v>82.843999999999994</v>
      </c>
      <c r="G1771">
        <v>82.843999999999994</v>
      </c>
      <c r="H1771">
        <v>81.235399999999998</v>
      </c>
      <c r="I1771">
        <v>82.441900000000004</v>
      </c>
      <c r="J1771">
        <v>31817</v>
      </c>
      <c r="K1771">
        <v>0</v>
      </c>
      <c r="L1771">
        <v>1.9802</v>
      </c>
    </row>
    <row r="1772" spans="1:12" x14ac:dyDescent="0.25">
      <c r="A1772">
        <v>2303</v>
      </c>
      <c r="B1772" t="s">
        <v>10</v>
      </c>
      <c r="C1772" s="1">
        <v>41484</v>
      </c>
      <c r="D1772" s="2">
        <f t="shared" si="54"/>
        <v>1</v>
      </c>
      <c r="E1772" s="2">
        <f t="shared" si="55"/>
        <v>7</v>
      </c>
      <c r="F1772">
        <v>10.8058</v>
      </c>
      <c r="G1772">
        <v>10.8058</v>
      </c>
      <c r="H1772">
        <v>10.450900000000001</v>
      </c>
      <c r="I1772">
        <v>10.450900000000001</v>
      </c>
      <c r="J1772">
        <v>58111</v>
      </c>
      <c r="K1772">
        <v>-3.3397999999999999</v>
      </c>
      <c r="L1772">
        <v>3.3961999999999999</v>
      </c>
    </row>
    <row r="1773" spans="1:12" hidden="1" x14ac:dyDescent="0.25">
      <c r="A1773">
        <v>2330</v>
      </c>
      <c r="B1773" t="s">
        <v>11</v>
      </c>
      <c r="C1773" s="1">
        <v>41484</v>
      </c>
      <c r="D1773" s="2">
        <f t="shared" si="54"/>
        <v>1</v>
      </c>
      <c r="E1773" s="2">
        <f t="shared" si="55"/>
        <v>7</v>
      </c>
      <c r="F1773">
        <v>80.431100000000001</v>
      </c>
      <c r="G1773">
        <v>81.637600000000006</v>
      </c>
      <c r="H1773">
        <v>80.431100000000001</v>
      </c>
      <c r="I1773">
        <v>80.431100000000001</v>
      </c>
      <c r="J1773">
        <v>38334</v>
      </c>
      <c r="K1773">
        <v>-2.4693000000000001</v>
      </c>
      <c r="L1773">
        <v>1.5</v>
      </c>
    </row>
    <row r="1774" spans="1:12" x14ac:dyDescent="0.25">
      <c r="A1774">
        <v>2303</v>
      </c>
      <c r="B1774" t="s">
        <v>10</v>
      </c>
      <c r="C1774" s="1">
        <v>41485</v>
      </c>
      <c r="D1774" s="2">
        <f t="shared" si="54"/>
        <v>2</v>
      </c>
      <c r="E1774" s="2">
        <f t="shared" si="55"/>
        <v>7</v>
      </c>
      <c r="F1774">
        <v>10.4903</v>
      </c>
      <c r="G1774">
        <v>10.726900000000001</v>
      </c>
      <c r="H1774">
        <v>10.4903</v>
      </c>
      <c r="I1774">
        <v>10.648</v>
      </c>
      <c r="J1774">
        <v>55868</v>
      </c>
      <c r="K1774">
        <v>1.8692</v>
      </c>
      <c r="L1774">
        <v>2.2555999999999998</v>
      </c>
    </row>
    <row r="1775" spans="1:12" hidden="1" x14ac:dyDescent="0.25">
      <c r="A1775">
        <v>2330</v>
      </c>
      <c r="B1775" t="s">
        <v>11</v>
      </c>
      <c r="C1775" s="1">
        <v>41485</v>
      </c>
      <c r="D1775" s="2">
        <f t="shared" si="54"/>
        <v>2</v>
      </c>
      <c r="E1775" s="2">
        <f t="shared" si="55"/>
        <v>7</v>
      </c>
      <c r="F1775">
        <v>80.833299999999994</v>
      </c>
      <c r="G1775">
        <v>82.441900000000004</v>
      </c>
      <c r="H1775">
        <v>80.833299999999994</v>
      </c>
      <c r="I1775">
        <v>82.039699999999996</v>
      </c>
      <c r="J1775">
        <v>33871</v>
      </c>
      <c r="K1775">
        <v>1.9802999999999999</v>
      </c>
      <c r="L1775">
        <v>1.99</v>
      </c>
    </row>
    <row r="1776" spans="1:12" x14ac:dyDescent="0.25">
      <c r="A1776">
        <v>2303</v>
      </c>
      <c r="B1776" t="s">
        <v>10</v>
      </c>
      <c r="C1776" s="1">
        <v>41486</v>
      </c>
      <c r="D1776" s="2">
        <f t="shared" si="54"/>
        <v>3</v>
      </c>
      <c r="E1776" s="2">
        <f t="shared" si="55"/>
        <v>7</v>
      </c>
      <c r="F1776">
        <v>10.648</v>
      </c>
      <c r="G1776">
        <v>10.6875</v>
      </c>
      <c r="H1776">
        <v>10.5297</v>
      </c>
      <c r="I1776">
        <v>10.5297</v>
      </c>
      <c r="J1776">
        <v>32300</v>
      </c>
      <c r="K1776">
        <v>-1.1173</v>
      </c>
      <c r="L1776">
        <v>1.4981</v>
      </c>
    </row>
    <row r="1777" spans="1:12" hidden="1" x14ac:dyDescent="0.25">
      <c r="A1777">
        <v>2330</v>
      </c>
      <c r="B1777" t="s">
        <v>11</v>
      </c>
      <c r="C1777" s="1">
        <v>41486</v>
      </c>
      <c r="D1777" s="2">
        <f t="shared" si="54"/>
        <v>3</v>
      </c>
      <c r="E1777" s="2">
        <f t="shared" si="55"/>
        <v>7</v>
      </c>
      <c r="F1777">
        <v>81.637600000000006</v>
      </c>
      <c r="G1777">
        <v>82.843999999999994</v>
      </c>
      <c r="H1777">
        <v>81.235399999999998</v>
      </c>
      <c r="I1777">
        <v>82.441900000000004</v>
      </c>
      <c r="J1777">
        <v>36997</v>
      </c>
      <c r="K1777">
        <v>0.48899999999999999</v>
      </c>
      <c r="L1777">
        <v>1.9802</v>
      </c>
    </row>
    <row r="1778" spans="1:12" x14ac:dyDescent="0.25">
      <c r="A1778">
        <v>2303</v>
      </c>
      <c r="B1778" t="s">
        <v>10</v>
      </c>
      <c r="C1778" s="1">
        <v>41487</v>
      </c>
      <c r="D1778" s="2">
        <f t="shared" si="54"/>
        <v>4</v>
      </c>
      <c r="E1778" s="2">
        <f t="shared" si="55"/>
        <v>8</v>
      </c>
      <c r="F1778">
        <v>10.648</v>
      </c>
      <c r="G1778">
        <v>10.648</v>
      </c>
      <c r="H1778">
        <v>10.4903</v>
      </c>
      <c r="I1778">
        <v>10.4903</v>
      </c>
      <c r="J1778">
        <v>28628</v>
      </c>
      <c r="K1778">
        <v>-0.37519999999999998</v>
      </c>
      <c r="L1778">
        <v>1.5038</v>
      </c>
    </row>
    <row r="1779" spans="1:12" hidden="1" x14ac:dyDescent="0.25">
      <c r="A1779">
        <v>2330</v>
      </c>
      <c r="B1779" t="s">
        <v>11</v>
      </c>
      <c r="C1779" s="1">
        <v>41487</v>
      </c>
      <c r="D1779" s="2">
        <f t="shared" si="54"/>
        <v>4</v>
      </c>
      <c r="E1779" s="2">
        <f t="shared" si="55"/>
        <v>8</v>
      </c>
      <c r="F1779">
        <v>82.039699999999996</v>
      </c>
      <c r="G1779">
        <v>82.039699999999996</v>
      </c>
      <c r="H1779">
        <v>80.431100000000001</v>
      </c>
      <c r="I1779">
        <v>80.833299999999994</v>
      </c>
      <c r="J1779">
        <v>32509</v>
      </c>
      <c r="K1779">
        <v>-1.9704999999999999</v>
      </c>
      <c r="L1779">
        <v>2</v>
      </c>
    </row>
    <row r="1780" spans="1:12" x14ac:dyDescent="0.25">
      <c r="A1780">
        <v>2303</v>
      </c>
      <c r="B1780" t="s">
        <v>10</v>
      </c>
      <c r="C1780" s="1">
        <v>41488</v>
      </c>
      <c r="D1780" s="2">
        <f t="shared" si="54"/>
        <v>5</v>
      </c>
      <c r="E1780" s="2">
        <f t="shared" si="55"/>
        <v>8</v>
      </c>
      <c r="F1780">
        <v>10.5692</v>
      </c>
      <c r="G1780">
        <v>10.608599999999999</v>
      </c>
      <c r="H1780">
        <v>10.3325</v>
      </c>
      <c r="I1780">
        <v>10.372</v>
      </c>
      <c r="J1780">
        <v>53153</v>
      </c>
      <c r="K1780">
        <v>-1.1342000000000001</v>
      </c>
      <c r="L1780">
        <v>2.6718000000000002</v>
      </c>
    </row>
    <row r="1781" spans="1:12" hidden="1" x14ac:dyDescent="0.25">
      <c r="A1781">
        <v>2330</v>
      </c>
      <c r="B1781" t="s">
        <v>11</v>
      </c>
      <c r="C1781" s="1">
        <v>41488</v>
      </c>
      <c r="D1781" s="2">
        <f t="shared" si="54"/>
        <v>5</v>
      </c>
      <c r="E1781" s="2">
        <f t="shared" si="55"/>
        <v>8</v>
      </c>
      <c r="F1781">
        <v>82.441900000000004</v>
      </c>
      <c r="G1781">
        <v>82.843999999999994</v>
      </c>
      <c r="H1781">
        <v>80.431100000000001</v>
      </c>
      <c r="I1781">
        <v>80.833299999999994</v>
      </c>
      <c r="J1781">
        <v>28039</v>
      </c>
      <c r="K1781">
        <v>0</v>
      </c>
      <c r="L1781">
        <v>3</v>
      </c>
    </row>
    <row r="1782" spans="1:12" x14ac:dyDescent="0.25">
      <c r="A1782">
        <v>2303</v>
      </c>
      <c r="B1782" t="s">
        <v>10</v>
      </c>
      <c r="C1782" s="1">
        <v>41491</v>
      </c>
      <c r="D1782" s="2">
        <f t="shared" si="54"/>
        <v>1</v>
      </c>
      <c r="E1782" s="2">
        <f t="shared" si="55"/>
        <v>8</v>
      </c>
      <c r="F1782">
        <v>10.372</v>
      </c>
      <c r="G1782">
        <v>10.5297</v>
      </c>
      <c r="H1782">
        <v>10.372</v>
      </c>
      <c r="I1782">
        <v>10.5297</v>
      </c>
      <c r="J1782">
        <v>29363</v>
      </c>
      <c r="K1782">
        <v>1.5095000000000001</v>
      </c>
      <c r="L1782">
        <v>1.5208999999999999</v>
      </c>
    </row>
    <row r="1783" spans="1:12" hidden="1" x14ac:dyDescent="0.25">
      <c r="A1783">
        <v>2330</v>
      </c>
      <c r="B1783" t="s">
        <v>11</v>
      </c>
      <c r="C1783" s="1">
        <v>41491</v>
      </c>
      <c r="D1783" s="2">
        <f t="shared" si="54"/>
        <v>1</v>
      </c>
      <c r="E1783" s="2">
        <f t="shared" si="55"/>
        <v>8</v>
      </c>
      <c r="F1783">
        <v>80.431100000000001</v>
      </c>
      <c r="G1783">
        <v>81.637600000000006</v>
      </c>
      <c r="H1783">
        <v>80.350700000000003</v>
      </c>
      <c r="I1783">
        <v>80.833299999999994</v>
      </c>
      <c r="J1783">
        <v>23372</v>
      </c>
      <c r="K1783">
        <v>0</v>
      </c>
      <c r="L1783">
        <v>1.6015999999999999</v>
      </c>
    </row>
    <row r="1784" spans="1:12" x14ac:dyDescent="0.25">
      <c r="A1784">
        <v>2303</v>
      </c>
      <c r="B1784" t="s">
        <v>10</v>
      </c>
      <c r="C1784" s="1">
        <v>41492</v>
      </c>
      <c r="D1784" s="2">
        <f t="shared" si="54"/>
        <v>2</v>
      </c>
      <c r="E1784" s="2">
        <f t="shared" si="55"/>
        <v>8</v>
      </c>
      <c r="F1784">
        <v>10.5692</v>
      </c>
      <c r="G1784">
        <v>10.5692</v>
      </c>
      <c r="H1784">
        <v>10.2537</v>
      </c>
      <c r="I1784">
        <v>10.293100000000001</v>
      </c>
      <c r="J1784">
        <v>65067</v>
      </c>
      <c r="K1784">
        <v>-2.2728000000000002</v>
      </c>
      <c r="L1784">
        <v>3.0769000000000002</v>
      </c>
    </row>
    <row r="1785" spans="1:12" hidden="1" x14ac:dyDescent="0.25">
      <c r="A1785">
        <v>2330</v>
      </c>
      <c r="B1785" t="s">
        <v>11</v>
      </c>
      <c r="C1785" s="1">
        <v>41492</v>
      </c>
      <c r="D1785" s="2">
        <f t="shared" si="54"/>
        <v>2</v>
      </c>
      <c r="E1785" s="2">
        <f t="shared" si="55"/>
        <v>8</v>
      </c>
      <c r="F1785">
        <v>80.833299999999994</v>
      </c>
      <c r="G1785">
        <v>80.833299999999994</v>
      </c>
      <c r="H1785">
        <v>79.305099999999996</v>
      </c>
      <c r="I1785">
        <v>79.465900000000005</v>
      </c>
      <c r="J1785">
        <v>42787</v>
      </c>
      <c r="K1785">
        <v>-1.706</v>
      </c>
      <c r="L1785">
        <v>1.927</v>
      </c>
    </row>
    <row r="1786" spans="1:12" x14ac:dyDescent="0.25">
      <c r="A1786">
        <v>2303</v>
      </c>
      <c r="B1786" t="s">
        <v>10</v>
      </c>
      <c r="C1786" s="1">
        <v>41493</v>
      </c>
      <c r="D1786" s="2">
        <f t="shared" si="54"/>
        <v>3</v>
      </c>
      <c r="E1786" s="2">
        <f t="shared" si="55"/>
        <v>8</v>
      </c>
      <c r="F1786">
        <v>10.174799999999999</v>
      </c>
      <c r="G1786">
        <v>10.2142</v>
      </c>
      <c r="H1786">
        <v>10.0565</v>
      </c>
      <c r="I1786">
        <v>10.0565</v>
      </c>
      <c r="J1786">
        <v>81782</v>
      </c>
      <c r="K1786">
        <v>-2.3256999999999999</v>
      </c>
      <c r="L1786">
        <v>1.5686</v>
      </c>
    </row>
    <row r="1787" spans="1:12" hidden="1" x14ac:dyDescent="0.25">
      <c r="A1787">
        <v>2330</v>
      </c>
      <c r="B1787" t="s">
        <v>11</v>
      </c>
      <c r="C1787" s="1">
        <v>41493</v>
      </c>
      <c r="D1787" s="2">
        <f t="shared" si="54"/>
        <v>3</v>
      </c>
      <c r="E1787" s="2">
        <f t="shared" si="55"/>
        <v>8</v>
      </c>
      <c r="F1787">
        <v>79.224599999999995</v>
      </c>
      <c r="G1787">
        <v>79.224599999999995</v>
      </c>
      <c r="H1787">
        <v>78.018199999999993</v>
      </c>
      <c r="I1787">
        <v>78.018199999999993</v>
      </c>
      <c r="J1787">
        <v>45969</v>
      </c>
      <c r="K1787">
        <v>-1.8387</v>
      </c>
      <c r="L1787">
        <v>1.5464</v>
      </c>
    </row>
    <row r="1788" spans="1:12" x14ac:dyDescent="0.25">
      <c r="A1788">
        <v>2303</v>
      </c>
      <c r="B1788" t="s">
        <v>10</v>
      </c>
      <c r="C1788" s="1">
        <v>41494</v>
      </c>
      <c r="D1788" s="2">
        <f t="shared" si="54"/>
        <v>4</v>
      </c>
      <c r="E1788" s="2">
        <f t="shared" si="55"/>
        <v>8</v>
      </c>
      <c r="F1788">
        <v>9.8986999999999998</v>
      </c>
      <c r="G1788">
        <v>10.0565</v>
      </c>
      <c r="H1788">
        <v>9.7015999999999991</v>
      </c>
      <c r="I1788">
        <v>9.8199000000000005</v>
      </c>
      <c r="J1788">
        <v>131301</v>
      </c>
      <c r="K1788">
        <v>-2.3811</v>
      </c>
      <c r="L1788">
        <v>3.6585000000000001</v>
      </c>
    </row>
    <row r="1789" spans="1:12" hidden="1" x14ac:dyDescent="0.25">
      <c r="A1789">
        <v>2330</v>
      </c>
      <c r="B1789" t="s">
        <v>11</v>
      </c>
      <c r="C1789" s="1">
        <v>41494</v>
      </c>
      <c r="D1789" s="2">
        <f t="shared" si="54"/>
        <v>4</v>
      </c>
      <c r="E1789" s="2">
        <f t="shared" si="55"/>
        <v>8</v>
      </c>
      <c r="F1789">
        <v>77.213899999999995</v>
      </c>
      <c r="G1789">
        <v>78.098600000000005</v>
      </c>
      <c r="H1789">
        <v>76.650800000000004</v>
      </c>
      <c r="I1789">
        <v>77.535600000000002</v>
      </c>
      <c r="J1789">
        <v>55873</v>
      </c>
      <c r="K1789">
        <v>-0.62050000000000005</v>
      </c>
      <c r="L1789">
        <v>1.8888</v>
      </c>
    </row>
    <row r="1790" spans="1:12" x14ac:dyDescent="0.25">
      <c r="A1790">
        <v>2303</v>
      </c>
      <c r="B1790" t="s">
        <v>10</v>
      </c>
      <c r="C1790" s="1">
        <v>41495</v>
      </c>
      <c r="D1790" s="2">
        <f t="shared" si="54"/>
        <v>5</v>
      </c>
      <c r="E1790" s="2">
        <f t="shared" si="55"/>
        <v>8</v>
      </c>
      <c r="F1790">
        <v>9.8199000000000005</v>
      </c>
      <c r="G1790">
        <v>9.8986999999999998</v>
      </c>
      <c r="H1790">
        <v>9.7015999999999991</v>
      </c>
      <c r="I1790">
        <v>9.7015999999999991</v>
      </c>
      <c r="J1790">
        <v>64990</v>
      </c>
      <c r="K1790">
        <v>-1.2121</v>
      </c>
      <c r="L1790">
        <v>2.0325000000000002</v>
      </c>
    </row>
    <row r="1791" spans="1:12" hidden="1" x14ac:dyDescent="0.25">
      <c r="A1791">
        <v>2330</v>
      </c>
      <c r="B1791" t="s">
        <v>11</v>
      </c>
      <c r="C1791" s="1">
        <v>41495</v>
      </c>
      <c r="D1791" s="2">
        <f t="shared" si="54"/>
        <v>5</v>
      </c>
      <c r="E1791" s="2">
        <f t="shared" si="55"/>
        <v>8</v>
      </c>
      <c r="F1791">
        <v>80.431100000000001</v>
      </c>
      <c r="G1791">
        <v>80.431100000000001</v>
      </c>
      <c r="H1791">
        <v>77.535600000000002</v>
      </c>
      <c r="I1791">
        <v>77.535600000000002</v>
      </c>
      <c r="J1791">
        <v>47192</v>
      </c>
      <c r="K1791">
        <v>0</v>
      </c>
      <c r="L1791">
        <v>3.7343999999999999</v>
      </c>
    </row>
    <row r="1792" spans="1:12" x14ac:dyDescent="0.25">
      <c r="A1792">
        <v>2303</v>
      </c>
      <c r="B1792" t="s">
        <v>10</v>
      </c>
      <c r="C1792" s="1">
        <v>41498</v>
      </c>
      <c r="D1792" s="2">
        <f t="shared" si="54"/>
        <v>1</v>
      </c>
      <c r="E1792" s="2">
        <f t="shared" si="55"/>
        <v>8</v>
      </c>
      <c r="F1792">
        <v>9.7804000000000002</v>
      </c>
      <c r="G1792">
        <v>9.8592999999999993</v>
      </c>
      <c r="H1792">
        <v>9.7409999999999997</v>
      </c>
      <c r="I1792">
        <v>9.7409999999999997</v>
      </c>
      <c r="J1792">
        <v>47086</v>
      </c>
      <c r="K1792">
        <v>0.40570000000000001</v>
      </c>
      <c r="L1792">
        <v>1.2145999999999999</v>
      </c>
    </row>
    <row r="1793" spans="1:12" hidden="1" x14ac:dyDescent="0.25">
      <c r="A1793">
        <v>2330</v>
      </c>
      <c r="B1793" t="s">
        <v>11</v>
      </c>
      <c r="C1793" s="1">
        <v>41498</v>
      </c>
      <c r="D1793" s="2">
        <f t="shared" si="54"/>
        <v>1</v>
      </c>
      <c r="E1793" s="2">
        <f t="shared" si="55"/>
        <v>8</v>
      </c>
      <c r="F1793">
        <v>77.535600000000002</v>
      </c>
      <c r="G1793">
        <v>77.776899999999998</v>
      </c>
      <c r="H1793">
        <v>76.892099999999999</v>
      </c>
      <c r="I1793">
        <v>77.213899999999995</v>
      </c>
      <c r="J1793">
        <v>33454</v>
      </c>
      <c r="K1793">
        <v>-0.4158</v>
      </c>
      <c r="L1793">
        <v>1.1506000000000001</v>
      </c>
    </row>
    <row r="1794" spans="1:12" x14ac:dyDescent="0.25">
      <c r="A1794">
        <v>2303</v>
      </c>
      <c r="B1794" t="s">
        <v>10</v>
      </c>
      <c r="C1794" s="1">
        <v>41499</v>
      </c>
      <c r="D1794" s="2">
        <f t="shared" si="54"/>
        <v>2</v>
      </c>
      <c r="E1794" s="2">
        <f t="shared" si="55"/>
        <v>8</v>
      </c>
      <c r="F1794">
        <v>9.7804000000000002</v>
      </c>
      <c r="G1794">
        <v>9.8986999999999998</v>
      </c>
      <c r="H1794">
        <v>9.7804000000000002</v>
      </c>
      <c r="I1794">
        <v>9.8592999999999993</v>
      </c>
      <c r="J1794">
        <v>42670</v>
      </c>
      <c r="K1794">
        <v>1.2073</v>
      </c>
      <c r="L1794">
        <v>1.2097</v>
      </c>
    </row>
    <row r="1795" spans="1:12" hidden="1" x14ac:dyDescent="0.25">
      <c r="A1795">
        <v>2330</v>
      </c>
      <c r="B1795" t="s">
        <v>11</v>
      </c>
      <c r="C1795" s="1">
        <v>41499</v>
      </c>
      <c r="D1795" s="2">
        <f t="shared" ref="D1795:D1858" si="56">WEEKDAY(C1795,2)</f>
        <v>2</v>
      </c>
      <c r="E1795" s="2">
        <f t="shared" ref="E1795:E1858" si="57">MONTH(C1795)</f>
        <v>8</v>
      </c>
      <c r="F1795">
        <v>77.213899999999995</v>
      </c>
      <c r="G1795">
        <v>78.3399</v>
      </c>
      <c r="H1795">
        <v>77.213899999999995</v>
      </c>
      <c r="I1795">
        <v>78.179000000000002</v>
      </c>
      <c r="J1795">
        <v>34392</v>
      </c>
      <c r="K1795">
        <v>1.2423</v>
      </c>
      <c r="L1795">
        <v>1.4582999999999999</v>
      </c>
    </row>
    <row r="1796" spans="1:12" x14ac:dyDescent="0.25">
      <c r="A1796">
        <v>2303</v>
      </c>
      <c r="B1796" t="s">
        <v>10</v>
      </c>
      <c r="C1796" s="1">
        <v>41500</v>
      </c>
      <c r="D1796" s="2">
        <f t="shared" si="56"/>
        <v>3</v>
      </c>
      <c r="E1796" s="2">
        <f t="shared" si="57"/>
        <v>8</v>
      </c>
      <c r="F1796">
        <v>9.8592999999999993</v>
      </c>
      <c r="G1796">
        <v>9.8592999999999993</v>
      </c>
      <c r="H1796">
        <v>9.6621000000000006</v>
      </c>
      <c r="I1796">
        <v>9.7015999999999991</v>
      </c>
      <c r="J1796">
        <v>41691</v>
      </c>
      <c r="K1796">
        <v>-1.6129</v>
      </c>
      <c r="L1796">
        <v>2.0407999999999999</v>
      </c>
    </row>
    <row r="1797" spans="1:12" hidden="1" x14ac:dyDescent="0.25">
      <c r="A1797">
        <v>2330</v>
      </c>
      <c r="B1797" t="s">
        <v>11</v>
      </c>
      <c r="C1797" s="1">
        <v>41500</v>
      </c>
      <c r="D1797" s="2">
        <f t="shared" si="56"/>
        <v>3</v>
      </c>
      <c r="E1797" s="2">
        <f t="shared" si="57"/>
        <v>8</v>
      </c>
      <c r="F1797">
        <v>77.213899999999995</v>
      </c>
      <c r="G1797">
        <v>78.259500000000003</v>
      </c>
      <c r="H1797">
        <v>77.052999999999997</v>
      </c>
      <c r="I1797">
        <v>77.857299999999995</v>
      </c>
      <c r="J1797">
        <v>44023</v>
      </c>
      <c r="K1797">
        <v>-0.41239999999999999</v>
      </c>
      <c r="L1797">
        <v>1.5658000000000001</v>
      </c>
    </row>
    <row r="1798" spans="1:12" x14ac:dyDescent="0.25">
      <c r="A1798">
        <v>2303</v>
      </c>
      <c r="B1798" t="s">
        <v>10</v>
      </c>
      <c r="C1798" s="1">
        <v>41501</v>
      </c>
      <c r="D1798" s="2">
        <f t="shared" si="56"/>
        <v>4</v>
      </c>
      <c r="E1798" s="2">
        <f t="shared" si="57"/>
        <v>8</v>
      </c>
      <c r="F1798">
        <v>9.5831999999999997</v>
      </c>
      <c r="G1798">
        <v>9.5831999999999997</v>
      </c>
      <c r="H1798">
        <v>9.4649000000000001</v>
      </c>
      <c r="I1798">
        <v>9.5044000000000004</v>
      </c>
      <c r="J1798">
        <v>77439</v>
      </c>
      <c r="K1798">
        <v>-2.0535000000000001</v>
      </c>
      <c r="L1798">
        <v>1.25</v>
      </c>
    </row>
    <row r="1799" spans="1:12" hidden="1" x14ac:dyDescent="0.25">
      <c r="A1799">
        <v>2330</v>
      </c>
      <c r="B1799" t="s">
        <v>11</v>
      </c>
      <c r="C1799" s="1">
        <v>41501</v>
      </c>
      <c r="D1799" s="2">
        <f t="shared" si="56"/>
        <v>4</v>
      </c>
      <c r="E1799" s="2">
        <f t="shared" si="57"/>
        <v>8</v>
      </c>
      <c r="F1799">
        <v>77.535600000000002</v>
      </c>
      <c r="G1799">
        <v>77.535600000000002</v>
      </c>
      <c r="H1799">
        <v>76.650800000000004</v>
      </c>
      <c r="I1799">
        <v>77.213899999999995</v>
      </c>
      <c r="J1799">
        <v>42687</v>
      </c>
      <c r="K1799">
        <v>-0.82989999999999997</v>
      </c>
      <c r="L1799">
        <v>1.1541999999999999</v>
      </c>
    </row>
    <row r="1800" spans="1:12" x14ac:dyDescent="0.25">
      <c r="A1800">
        <v>2303</v>
      </c>
      <c r="B1800" t="s">
        <v>10</v>
      </c>
      <c r="C1800" s="1">
        <v>41502</v>
      </c>
      <c r="D1800" s="2">
        <f t="shared" si="56"/>
        <v>5</v>
      </c>
      <c r="E1800" s="2">
        <f t="shared" si="57"/>
        <v>8</v>
      </c>
      <c r="F1800">
        <v>9.3466000000000005</v>
      </c>
      <c r="G1800">
        <v>9.5044000000000004</v>
      </c>
      <c r="H1800">
        <v>9.3466000000000005</v>
      </c>
      <c r="I1800">
        <v>9.4254999999999995</v>
      </c>
      <c r="J1800">
        <v>78156</v>
      </c>
      <c r="K1800">
        <v>-0.83330000000000004</v>
      </c>
      <c r="L1800">
        <v>1.6878</v>
      </c>
    </row>
    <row r="1801" spans="1:12" hidden="1" x14ac:dyDescent="0.25">
      <c r="A1801">
        <v>2330</v>
      </c>
      <c r="B1801" t="s">
        <v>11</v>
      </c>
      <c r="C1801" s="1">
        <v>41502</v>
      </c>
      <c r="D1801" s="2">
        <f t="shared" si="56"/>
        <v>5</v>
      </c>
      <c r="E1801" s="2">
        <f t="shared" si="57"/>
        <v>8</v>
      </c>
      <c r="F1801">
        <v>76.731300000000005</v>
      </c>
      <c r="G1801">
        <v>78.420299999999997</v>
      </c>
      <c r="H1801">
        <v>76.570400000000006</v>
      </c>
      <c r="I1801">
        <v>77.616</v>
      </c>
      <c r="J1801">
        <v>37698</v>
      </c>
      <c r="K1801">
        <v>0.51949999999999996</v>
      </c>
      <c r="L1801">
        <v>2.4159999999999999</v>
      </c>
    </row>
    <row r="1802" spans="1:12" x14ac:dyDescent="0.25">
      <c r="A1802">
        <v>2303</v>
      </c>
      <c r="B1802" t="s">
        <v>10</v>
      </c>
      <c r="C1802" s="1">
        <v>41505</v>
      </c>
      <c r="D1802" s="2">
        <f t="shared" si="56"/>
        <v>1</v>
      </c>
      <c r="E1802" s="2">
        <f t="shared" si="57"/>
        <v>8</v>
      </c>
      <c r="F1802">
        <v>9.4254999999999995</v>
      </c>
      <c r="G1802">
        <v>9.4254999999999995</v>
      </c>
      <c r="H1802">
        <v>9.3466000000000005</v>
      </c>
      <c r="I1802">
        <v>9.3466000000000005</v>
      </c>
      <c r="J1802">
        <v>33581</v>
      </c>
      <c r="K1802">
        <v>-0.84030000000000005</v>
      </c>
      <c r="L1802">
        <v>0.84389999999999998</v>
      </c>
    </row>
    <row r="1803" spans="1:12" hidden="1" x14ac:dyDescent="0.25">
      <c r="A1803">
        <v>2330</v>
      </c>
      <c r="B1803" t="s">
        <v>11</v>
      </c>
      <c r="C1803" s="1">
        <v>41505</v>
      </c>
      <c r="D1803" s="2">
        <f t="shared" si="56"/>
        <v>1</v>
      </c>
      <c r="E1803" s="2">
        <f t="shared" si="57"/>
        <v>8</v>
      </c>
      <c r="F1803">
        <v>76.811700000000002</v>
      </c>
      <c r="G1803">
        <v>77.294300000000007</v>
      </c>
      <c r="H1803">
        <v>76.650800000000004</v>
      </c>
      <c r="I1803">
        <v>76.811700000000002</v>
      </c>
      <c r="J1803">
        <v>52061</v>
      </c>
      <c r="K1803">
        <v>-1.0417000000000001</v>
      </c>
      <c r="L1803">
        <v>0.83950000000000002</v>
      </c>
    </row>
    <row r="1804" spans="1:12" x14ac:dyDescent="0.25">
      <c r="A1804">
        <v>2303</v>
      </c>
      <c r="B1804" t="s">
        <v>10</v>
      </c>
      <c r="C1804" s="1">
        <v>41506</v>
      </c>
      <c r="D1804" s="2">
        <f t="shared" si="56"/>
        <v>2</v>
      </c>
      <c r="E1804" s="2">
        <f t="shared" si="57"/>
        <v>8</v>
      </c>
      <c r="F1804">
        <v>9.3466000000000005</v>
      </c>
      <c r="G1804">
        <v>9.5044000000000004</v>
      </c>
      <c r="H1804">
        <v>9.3071999999999999</v>
      </c>
      <c r="I1804">
        <v>9.3071999999999999</v>
      </c>
      <c r="J1804">
        <v>49094</v>
      </c>
      <c r="K1804">
        <v>-0.42280000000000001</v>
      </c>
      <c r="L1804">
        <v>2.1185999999999998</v>
      </c>
    </row>
    <row r="1805" spans="1:12" hidden="1" x14ac:dyDescent="0.25">
      <c r="A1805">
        <v>2330</v>
      </c>
      <c r="B1805" t="s">
        <v>11</v>
      </c>
      <c r="C1805" s="1">
        <v>41506</v>
      </c>
      <c r="D1805" s="2">
        <f t="shared" si="56"/>
        <v>2</v>
      </c>
      <c r="E1805" s="2">
        <f t="shared" si="57"/>
        <v>8</v>
      </c>
      <c r="F1805">
        <v>76.570400000000006</v>
      </c>
      <c r="G1805">
        <v>76.731300000000005</v>
      </c>
      <c r="H1805">
        <v>75.927000000000007</v>
      </c>
      <c r="I1805">
        <v>75.927000000000007</v>
      </c>
      <c r="J1805">
        <v>42471</v>
      </c>
      <c r="K1805">
        <v>-1.1585000000000001</v>
      </c>
      <c r="L1805">
        <v>1.0592999999999999</v>
      </c>
    </row>
    <row r="1806" spans="1:12" x14ac:dyDescent="0.25">
      <c r="A1806">
        <v>2303</v>
      </c>
      <c r="B1806" t="s">
        <v>10</v>
      </c>
      <c r="C1806" s="1">
        <v>41508</v>
      </c>
      <c r="D1806" s="2">
        <f t="shared" si="56"/>
        <v>4</v>
      </c>
      <c r="E1806" s="2">
        <f t="shared" si="57"/>
        <v>8</v>
      </c>
      <c r="F1806">
        <v>9.2283000000000008</v>
      </c>
      <c r="G1806">
        <v>9.3071999999999999</v>
      </c>
      <c r="H1806">
        <v>9.0311000000000003</v>
      </c>
      <c r="I1806">
        <v>9.2676999999999996</v>
      </c>
      <c r="J1806">
        <v>108612</v>
      </c>
      <c r="K1806">
        <v>-0.42459999999999998</v>
      </c>
      <c r="L1806">
        <v>3.0568</v>
      </c>
    </row>
    <row r="1807" spans="1:12" hidden="1" x14ac:dyDescent="0.25">
      <c r="A1807">
        <v>2330</v>
      </c>
      <c r="B1807" t="s">
        <v>11</v>
      </c>
      <c r="C1807" s="1">
        <v>41508</v>
      </c>
      <c r="D1807" s="2">
        <f t="shared" si="56"/>
        <v>4</v>
      </c>
      <c r="E1807" s="2">
        <f t="shared" si="57"/>
        <v>8</v>
      </c>
      <c r="F1807">
        <v>74.800899999999999</v>
      </c>
      <c r="G1807">
        <v>76.329099999999997</v>
      </c>
      <c r="H1807">
        <v>74.720500000000001</v>
      </c>
      <c r="I1807">
        <v>76.007400000000004</v>
      </c>
      <c r="J1807">
        <v>60311</v>
      </c>
      <c r="K1807">
        <v>0.10589999999999999</v>
      </c>
      <c r="L1807">
        <v>2.1528999999999998</v>
      </c>
    </row>
    <row r="1808" spans="1:12" x14ac:dyDescent="0.25">
      <c r="A1808">
        <v>2303</v>
      </c>
      <c r="B1808" t="s">
        <v>10</v>
      </c>
      <c r="C1808" s="1">
        <v>41509</v>
      </c>
      <c r="D1808" s="2">
        <f t="shared" si="56"/>
        <v>5</v>
      </c>
      <c r="E1808" s="2">
        <f t="shared" si="57"/>
        <v>8</v>
      </c>
      <c r="F1808">
        <v>9.4649000000000001</v>
      </c>
      <c r="G1808">
        <v>9.7015999999999991</v>
      </c>
      <c r="H1808">
        <v>9.4254999999999995</v>
      </c>
      <c r="I1808">
        <v>9.6621000000000006</v>
      </c>
      <c r="J1808">
        <v>134114</v>
      </c>
      <c r="K1808">
        <v>4.1673</v>
      </c>
      <c r="L1808">
        <v>2.9289000000000001</v>
      </c>
    </row>
    <row r="1809" spans="1:12" hidden="1" x14ac:dyDescent="0.25">
      <c r="A1809">
        <v>2330</v>
      </c>
      <c r="B1809" t="s">
        <v>11</v>
      </c>
      <c r="C1809" s="1">
        <v>41509</v>
      </c>
      <c r="D1809" s="2">
        <f t="shared" si="56"/>
        <v>5</v>
      </c>
      <c r="E1809" s="2">
        <f t="shared" si="57"/>
        <v>8</v>
      </c>
      <c r="F1809">
        <v>76.9726</v>
      </c>
      <c r="G1809">
        <v>78.259500000000003</v>
      </c>
      <c r="H1809">
        <v>76.811700000000002</v>
      </c>
      <c r="I1809">
        <v>78.018199999999993</v>
      </c>
      <c r="J1809">
        <v>44454</v>
      </c>
      <c r="K1809">
        <v>2.6111</v>
      </c>
      <c r="L1809">
        <v>1.8848</v>
      </c>
    </row>
    <row r="1810" spans="1:12" x14ac:dyDescent="0.25">
      <c r="A1810">
        <v>2303</v>
      </c>
      <c r="B1810" t="s">
        <v>10</v>
      </c>
      <c r="C1810" s="1">
        <v>41512</v>
      </c>
      <c r="D1810" s="2">
        <f t="shared" si="56"/>
        <v>1</v>
      </c>
      <c r="E1810" s="2">
        <f t="shared" si="57"/>
        <v>8</v>
      </c>
      <c r="F1810">
        <v>9.7015999999999991</v>
      </c>
      <c r="G1810">
        <v>9.7409999999999997</v>
      </c>
      <c r="H1810">
        <v>9.5437999999999992</v>
      </c>
      <c r="I1810">
        <v>9.7015999999999991</v>
      </c>
      <c r="J1810">
        <v>64755</v>
      </c>
      <c r="K1810">
        <v>0.4073</v>
      </c>
      <c r="L1810">
        <v>2.0661</v>
      </c>
    </row>
    <row r="1811" spans="1:12" hidden="1" x14ac:dyDescent="0.25">
      <c r="A1811">
        <v>2330</v>
      </c>
      <c r="B1811" t="s">
        <v>11</v>
      </c>
      <c r="C1811" s="1">
        <v>41512</v>
      </c>
      <c r="D1811" s="2">
        <f t="shared" si="56"/>
        <v>1</v>
      </c>
      <c r="E1811" s="2">
        <f t="shared" si="57"/>
        <v>8</v>
      </c>
      <c r="F1811">
        <v>78.500799999999998</v>
      </c>
      <c r="G1811">
        <v>78.500799999999998</v>
      </c>
      <c r="H1811">
        <v>77.294300000000007</v>
      </c>
      <c r="I1811">
        <v>77.857299999999995</v>
      </c>
      <c r="J1811">
        <v>18698</v>
      </c>
      <c r="K1811">
        <v>-0.2064</v>
      </c>
      <c r="L1811">
        <v>1.5609</v>
      </c>
    </row>
    <row r="1812" spans="1:12" x14ac:dyDescent="0.25">
      <c r="A1812">
        <v>2303</v>
      </c>
      <c r="B1812" t="s">
        <v>10</v>
      </c>
      <c r="C1812" s="1">
        <v>41513</v>
      </c>
      <c r="D1812" s="2">
        <f t="shared" si="56"/>
        <v>2</v>
      </c>
      <c r="E1812" s="2">
        <f t="shared" si="57"/>
        <v>8</v>
      </c>
      <c r="F1812">
        <v>9.6621000000000006</v>
      </c>
      <c r="G1812">
        <v>9.6621000000000006</v>
      </c>
      <c r="H1812">
        <v>9.5437999999999992</v>
      </c>
      <c r="I1812">
        <v>9.6227</v>
      </c>
      <c r="J1812">
        <v>51067</v>
      </c>
      <c r="K1812">
        <v>-0.81630000000000003</v>
      </c>
      <c r="L1812">
        <v>1.2397</v>
      </c>
    </row>
    <row r="1813" spans="1:12" hidden="1" x14ac:dyDescent="0.25">
      <c r="A1813">
        <v>2330</v>
      </c>
      <c r="B1813" t="s">
        <v>11</v>
      </c>
      <c r="C1813" s="1">
        <v>41513</v>
      </c>
      <c r="D1813" s="2">
        <f t="shared" si="56"/>
        <v>2</v>
      </c>
      <c r="E1813" s="2">
        <f t="shared" si="57"/>
        <v>8</v>
      </c>
      <c r="F1813">
        <v>77.213899999999995</v>
      </c>
      <c r="G1813">
        <v>77.857299999999995</v>
      </c>
      <c r="H1813">
        <v>76.892099999999999</v>
      </c>
      <c r="I1813">
        <v>76.892099999999999</v>
      </c>
      <c r="J1813">
        <v>24474</v>
      </c>
      <c r="K1813">
        <v>-1.2474000000000001</v>
      </c>
      <c r="L1813">
        <v>1.2552000000000001</v>
      </c>
    </row>
    <row r="1814" spans="1:12" x14ac:dyDescent="0.25">
      <c r="A1814">
        <v>2303</v>
      </c>
      <c r="B1814" t="s">
        <v>10</v>
      </c>
      <c r="C1814" s="1">
        <v>41514</v>
      </c>
      <c r="D1814" s="2">
        <f t="shared" si="56"/>
        <v>3</v>
      </c>
      <c r="E1814" s="2">
        <f t="shared" si="57"/>
        <v>8</v>
      </c>
      <c r="F1814">
        <v>9.4649000000000001</v>
      </c>
      <c r="G1814">
        <v>9.5437999999999992</v>
      </c>
      <c r="H1814">
        <v>9.4254999999999995</v>
      </c>
      <c r="I1814">
        <v>9.5044000000000004</v>
      </c>
      <c r="J1814">
        <v>36410</v>
      </c>
      <c r="K1814">
        <v>-1.2371000000000001</v>
      </c>
      <c r="L1814">
        <v>1.2552000000000001</v>
      </c>
    </row>
    <row r="1815" spans="1:12" hidden="1" x14ac:dyDescent="0.25">
      <c r="A1815">
        <v>2330</v>
      </c>
      <c r="B1815" t="s">
        <v>11</v>
      </c>
      <c r="C1815" s="1">
        <v>41514</v>
      </c>
      <c r="D1815" s="2">
        <f t="shared" si="56"/>
        <v>3</v>
      </c>
      <c r="E1815" s="2">
        <f t="shared" si="57"/>
        <v>8</v>
      </c>
      <c r="F1815">
        <v>76.892099999999999</v>
      </c>
      <c r="G1815">
        <v>78.259500000000003</v>
      </c>
      <c r="H1815">
        <v>76.489999999999995</v>
      </c>
      <c r="I1815">
        <v>77.857299999999995</v>
      </c>
      <c r="J1815">
        <v>35977</v>
      </c>
      <c r="K1815">
        <v>1.2474000000000001</v>
      </c>
      <c r="L1815">
        <v>2.3134000000000001</v>
      </c>
    </row>
    <row r="1816" spans="1:12" x14ac:dyDescent="0.25">
      <c r="A1816">
        <v>2303</v>
      </c>
      <c r="B1816" t="s">
        <v>10</v>
      </c>
      <c r="C1816" s="1">
        <v>41515</v>
      </c>
      <c r="D1816" s="2">
        <f t="shared" si="56"/>
        <v>4</v>
      </c>
      <c r="E1816" s="2">
        <f t="shared" si="57"/>
        <v>8</v>
      </c>
      <c r="F1816">
        <v>9.5044000000000004</v>
      </c>
      <c r="G1816">
        <v>9.5831999999999997</v>
      </c>
      <c r="H1816">
        <v>9.4649000000000001</v>
      </c>
      <c r="I1816">
        <v>9.4649000000000001</v>
      </c>
      <c r="J1816">
        <v>37840</v>
      </c>
      <c r="K1816">
        <v>-0.4158</v>
      </c>
      <c r="L1816">
        <v>1.25</v>
      </c>
    </row>
    <row r="1817" spans="1:12" hidden="1" x14ac:dyDescent="0.25">
      <c r="A1817">
        <v>2330</v>
      </c>
      <c r="B1817" t="s">
        <v>11</v>
      </c>
      <c r="C1817" s="1">
        <v>41515</v>
      </c>
      <c r="D1817" s="2">
        <f t="shared" si="56"/>
        <v>4</v>
      </c>
      <c r="E1817" s="2">
        <f t="shared" si="57"/>
        <v>8</v>
      </c>
      <c r="F1817">
        <v>77.937700000000007</v>
      </c>
      <c r="G1817">
        <v>79.546400000000006</v>
      </c>
      <c r="H1817">
        <v>77.937700000000007</v>
      </c>
      <c r="I1817">
        <v>79.385499999999993</v>
      </c>
      <c r="J1817">
        <v>52396</v>
      </c>
      <c r="K1817">
        <v>1.9438</v>
      </c>
      <c r="L1817">
        <v>2.0640000000000001</v>
      </c>
    </row>
    <row r="1818" spans="1:12" x14ac:dyDescent="0.25">
      <c r="A1818">
        <v>2303</v>
      </c>
      <c r="B1818" t="s">
        <v>10</v>
      </c>
      <c r="C1818" s="1">
        <v>41516</v>
      </c>
      <c r="D1818" s="2">
        <f t="shared" si="56"/>
        <v>5</v>
      </c>
      <c r="E1818" s="2">
        <f t="shared" si="57"/>
        <v>8</v>
      </c>
      <c r="F1818">
        <v>9.5437999999999992</v>
      </c>
      <c r="G1818">
        <v>9.7015999999999991</v>
      </c>
      <c r="H1818">
        <v>9.5044000000000004</v>
      </c>
      <c r="I1818">
        <v>9.7015999999999991</v>
      </c>
      <c r="J1818">
        <v>52420</v>
      </c>
      <c r="K1818">
        <v>2.4693000000000001</v>
      </c>
      <c r="L1818">
        <v>2.0747</v>
      </c>
    </row>
    <row r="1819" spans="1:12" hidden="1" x14ac:dyDescent="0.25">
      <c r="A1819">
        <v>2330</v>
      </c>
      <c r="B1819" t="s">
        <v>11</v>
      </c>
      <c r="C1819" s="1">
        <v>41516</v>
      </c>
      <c r="D1819" s="2">
        <f t="shared" si="56"/>
        <v>5</v>
      </c>
      <c r="E1819" s="2">
        <f t="shared" si="57"/>
        <v>8</v>
      </c>
      <c r="F1819">
        <v>80.109399999999994</v>
      </c>
      <c r="G1819">
        <v>80.833299999999994</v>
      </c>
      <c r="H1819">
        <v>79.465900000000005</v>
      </c>
      <c r="I1819">
        <v>80.833299999999994</v>
      </c>
      <c r="J1819">
        <v>38965</v>
      </c>
      <c r="K1819">
        <v>1.8072999999999999</v>
      </c>
      <c r="L1819">
        <v>1.7205999999999999</v>
      </c>
    </row>
    <row r="1820" spans="1:12" x14ac:dyDescent="0.25">
      <c r="A1820">
        <v>2303</v>
      </c>
      <c r="B1820" t="s">
        <v>10</v>
      </c>
      <c r="C1820" s="1">
        <v>41519</v>
      </c>
      <c r="D1820" s="2">
        <f t="shared" si="56"/>
        <v>1</v>
      </c>
      <c r="E1820" s="2">
        <f t="shared" si="57"/>
        <v>9</v>
      </c>
      <c r="F1820">
        <v>9.7015999999999991</v>
      </c>
      <c r="G1820">
        <v>9.7015999999999991</v>
      </c>
      <c r="H1820">
        <v>9.5831999999999997</v>
      </c>
      <c r="I1820">
        <v>9.6621000000000006</v>
      </c>
      <c r="J1820">
        <v>31464</v>
      </c>
      <c r="K1820">
        <v>-0.4073</v>
      </c>
      <c r="L1820">
        <v>1.2345999999999999</v>
      </c>
    </row>
    <row r="1821" spans="1:12" hidden="1" x14ac:dyDescent="0.25">
      <c r="A1821">
        <v>2330</v>
      </c>
      <c r="B1821" t="s">
        <v>11</v>
      </c>
      <c r="C1821" s="1">
        <v>41519</v>
      </c>
      <c r="D1821" s="2">
        <f t="shared" si="56"/>
        <v>1</v>
      </c>
      <c r="E1821" s="2">
        <f t="shared" si="57"/>
        <v>9</v>
      </c>
      <c r="F1821">
        <v>80.431100000000001</v>
      </c>
      <c r="G1821">
        <v>82.039699999999996</v>
      </c>
      <c r="H1821">
        <v>80.109399999999994</v>
      </c>
      <c r="I1821">
        <v>82.039699999999996</v>
      </c>
      <c r="J1821">
        <v>30859</v>
      </c>
      <c r="K1821">
        <v>1.4815</v>
      </c>
      <c r="L1821">
        <v>2.4096000000000002</v>
      </c>
    </row>
    <row r="1822" spans="1:12" x14ac:dyDescent="0.25">
      <c r="A1822">
        <v>2303</v>
      </c>
      <c r="B1822" t="s">
        <v>10</v>
      </c>
      <c r="C1822" s="1">
        <v>41520</v>
      </c>
      <c r="D1822" s="2">
        <f t="shared" si="56"/>
        <v>2</v>
      </c>
      <c r="E1822" s="2">
        <f t="shared" si="57"/>
        <v>9</v>
      </c>
      <c r="F1822">
        <v>9.7015999999999991</v>
      </c>
      <c r="G1822">
        <v>9.7409999999999997</v>
      </c>
      <c r="H1822">
        <v>9.5437999999999992</v>
      </c>
      <c r="I1822">
        <v>9.5437999999999992</v>
      </c>
      <c r="J1822">
        <v>33949</v>
      </c>
      <c r="K1822">
        <v>-1.232</v>
      </c>
      <c r="L1822">
        <v>2.0661</v>
      </c>
    </row>
    <row r="1823" spans="1:12" hidden="1" x14ac:dyDescent="0.25">
      <c r="A1823">
        <v>2330</v>
      </c>
      <c r="B1823" t="s">
        <v>11</v>
      </c>
      <c r="C1823" s="1">
        <v>41520</v>
      </c>
      <c r="D1823" s="2">
        <f t="shared" si="56"/>
        <v>2</v>
      </c>
      <c r="E1823" s="2">
        <f t="shared" si="57"/>
        <v>9</v>
      </c>
      <c r="F1823">
        <v>82.843999999999994</v>
      </c>
      <c r="G1823">
        <v>82.843999999999994</v>
      </c>
      <c r="H1823">
        <v>81.637600000000006</v>
      </c>
      <c r="I1823">
        <v>82.039699999999996</v>
      </c>
      <c r="J1823">
        <v>33838</v>
      </c>
      <c r="K1823">
        <v>0</v>
      </c>
      <c r="L1823">
        <v>1.4778</v>
      </c>
    </row>
    <row r="1824" spans="1:12" x14ac:dyDescent="0.25">
      <c r="A1824">
        <v>2303</v>
      </c>
      <c r="B1824" t="s">
        <v>10</v>
      </c>
      <c r="C1824" s="1">
        <v>41521</v>
      </c>
      <c r="D1824" s="2">
        <f t="shared" si="56"/>
        <v>3</v>
      </c>
      <c r="E1824" s="2">
        <f t="shared" si="57"/>
        <v>9</v>
      </c>
      <c r="F1824">
        <v>9.5437999999999992</v>
      </c>
      <c r="G1824">
        <v>9.6227</v>
      </c>
      <c r="H1824">
        <v>9.4649000000000001</v>
      </c>
      <c r="I1824">
        <v>9.5831999999999997</v>
      </c>
      <c r="J1824">
        <v>29259</v>
      </c>
      <c r="K1824">
        <v>0.41239999999999999</v>
      </c>
      <c r="L1824">
        <v>1.6667000000000001</v>
      </c>
    </row>
    <row r="1825" spans="1:12" hidden="1" x14ac:dyDescent="0.25">
      <c r="A1825">
        <v>2330</v>
      </c>
      <c r="B1825" t="s">
        <v>11</v>
      </c>
      <c r="C1825" s="1">
        <v>41521</v>
      </c>
      <c r="D1825" s="2">
        <f t="shared" si="56"/>
        <v>3</v>
      </c>
      <c r="E1825" s="2">
        <f t="shared" si="57"/>
        <v>9</v>
      </c>
      <c r="F1825">
        <v>80.833299999999994</v>
      </c>
      <c r="G1825">
        <v>81.637600000000006</v>
      </c>
      <c r="H1825">
        <v>80.431100000000001</v>
      </c>
      <c r="I1825">
        <v>80.833299999999994</v>
      </c>
      <c r="J1825">
        <v>25229</v>
      </c>
      <c r="K1825">
        <v>-1.4815</v>
      </c>
      <c r="L1825">
        <v>1.5</v>
      </c>
    </row>
    <row r="1826" spans="1:12" x14ac:dyDescent="0.25">
      <c r="A1826">
        <v>2303</v>
      </c>
      <c r="B1826" t="s">
        <v>10</v>
      </c>
      <c r="C1826" s="1">
        <v>41522</v>
      </c>
      <c r="D1826" s="2">
        <f t="shared" si="56"/>
        <v>4</v>
      </c>
      <c r="E1826" s="2">
        <f t="shared" si="57"/>
        <v>9</v>
      </c>
      <c r="F1826">
        <v>9.6621000000000006</v>
      </c>
      <c r="G1826">
        <v>9.7015999999999991</v>
      </c>
      <c r="H1826">
        <v>9.6227</v>
      </c>
      <c r="I1826">
        <v>9.7015999999999991</v>
      </c>
      <c r="J1826">
        <v>41516</v>
      </c>
      <c r="K1826">
        <v>1.2270000000000001</v>
      </c>
      <c r="L1826">
        <v>0.81969999999999998</v>
      </c>
    </row>
    <row r="1827" spans="1:12" hidden="1" x14ac:dyDescent="0.25">
      <c r="A1827">
        <v>2330</v>
      </c>
      <c r="B1827" t="s">
        <v>11</v>
      </c>
      <c r="C1827" s="1">
        <v>41522</v>
      </c>
      <c r="D1827" s="2">
        <f t="shared" si="56"/>
        <v>4</v>
      </c>
      <c r="E1827" s="2">
        <f t="shared" si="57"/>
        <v>9</v>
      </c>
      <c r="F1827">
        <v>80.833299999999994</v>
      </c>
      <c r="G1827">
        <v>81.637600000000006</v>
      </c>
      <c r="H1827">
        <v>80.431100000000001</v>
      </c>
      <c r="I1827">
        <v>81.637600000000006</v>
      </c>
      <c r="J1827">
        <v>35890</v>
      </c>
      <c r="K1827">
        <v>0.99009999999999998</v>
      </c>
      <c r="L1827">
        <v>1.5</v>
      </c>
    </row>
    <row r="1828" spans="1:12" x14ac:dyDescent="0.25">
      <c r="A1828">
        <v>2303</v>
      </c>
      <c r="B1828" t="s">
        <v>10</v>
      </c>
      <c r="C1828" s="1">
        <v>41523</v>
      </c>
      <c r="D1828" s="2">
        <f t="shared" si="56"/>
        <v>5</v>
      </c>
      <c r="E1828" s="2">
        <f t="shared" si="57"/>
        <v>9</v>
      </c>
      <c r="F1828">
        <v>9.7015999999999991</v>
      </c>
      <c r="G1828">
        <v>9.7409999999999997</v>
      </c>
      <c r="H1828">
        <v>9.6227</v>
      </c>
      <c r="I1828">
        <v>9.6227</v>
      </c>
      <c r="J1828">
        <v>29777</v>
      </c>
      <c r="K1828">
        <v>-0.81630000000000003</v>
      </c>
      <c r="L1828">
        <v>1.2295</v>
      </c>
    </row>
    <row r="1829" spans="1:12" hidden="1" x14ac:dyDescent="0.25">
      <c r="A1829">
        <v>2330</v>
      </c>
      <c r="B1829" t="s">
        <v>11</v>
      </c>
      <c r="C1829" s="1">
        <v>41523</v>
      </c>
      <c r="D1829" s="2">
        <f t="shared" si="56"/>
        <v>5</v>
      </c>
      <c r="E1829" s="2">
        <f t="shared" si="57"/>
        <v>9</v>
      </c>
      <c r="F1829">
        <v>82.039699999999996</v>
      </c>
      <c r="G1829">
        <v>82.039699999999996</v>
      </c>
      <c r="H1829">
        <v>81.235399999999998</v>
      </c>
      <c r="I1829">
        <v>82.039699999999996</v>
      </c>
      <c r="J1829">
        <v>25342</v>
      </c>
      <c r="K1829">
        <v>0.4914</v>
      </c>
      <c r="L1829">
        <v>0.99009999999999998</v>
      </c>
    </row>
    <row r="1830" spans="1:12" x14ac:dyDescent="0.25">
      <c r="A1830">
        <v>2303</v>
      </c>
      <c r="B1830" t="s">
        <v>10</v>
      </c>
      <c r="C1830" s="1">
        <v>41526</v>
      </c>
      <c r="D1830" s="2">
        <f t="shared" si="56"/>
        <v>1</v>
      </c>
      <c r="E1830" s="2">
        <f t="shared" si="57"/>
        <v>9</v>
      </c>
      <c r="F1830">
        <v>9.6227</v>
      </c>
      <c r="G1830">
        <v>9.6621000000000006</v>
      </c>
      <c r="H1830">
        <v>9.5044000000000004</v>
      </c>
      <c r="I1830">
        <v>9.5831999999999997</v>
      </c>
      <c r="J1830">
        <v>34446</v>
      </c>
      <c r="K1830">
        <v>-0.41070000000000001</v>
      </c>
      <c r="L1830">
        <v>1.6597999999999999</v>
      </c>
    </row>
    <row r="1831" spans="1:12" hidden="1" x14ac:dyDescent="0.25">
      <c r="A1831">
        <v>2330</v>
      </c>
      <c r="B1831" t="s">
        <v>11</v>
      </c>
      <c r="C1831" s="1">
        <v>41526</v>
      </c>
      <c r="D1831" s="2">
        <f t="shared" si="56"/>
        <v>1</v>
      </c>
      <c r="E1831" s="2">
        <f t="shared" si="57"/>
        <v>9</v>
      </c>
      <c r="F1831">
        <v>82.441900000000004</v>
      </c>
      <c r="G1831">
        <v>82.843999999999994</v>
      </c>
      <c r="H1831">
        <v>81.235399999999998</v>
      </c>
      <c r="I1831">
        <v>82.843999999999994</v>
      </c>
      <c r="J1831">
        <v>33083</v>
      </c>
      <c r="K1831">
        <v>0.97560000000000002</v>
      </c>
      <c r="L1831">
        <v>1.9802</v>
      </c>
    </row>
    <row r="1832" spans="1:12" x14ac:dyDescent="0.25">
      <c r="A1832">
        <v>2303</v>
      </c>
      <c r="B1832" t="s">
        <v>10</v>
      </c>
      <c r="C1832" s="1">
        <v>41527</v>
      </c>
      <c r="D1832" s="2">
        <f t="shared" si="56"/>
        <v>2</v>
      </c>
      <c r="E1832" s="2">
        <f t="shared" si="57"/>
        <v>9</v>
      </c>
      <c r="F1832">
        <v>9.6621000000000006</v>
      </c>
      <c r="G1832">
        <v>9.8592999999999993</v>
      </c>
      <c r="H1832">
        <v>9.6227</v>
      </c>
      <c r="I1832">
        <v>9.8592999999999993</v>
      </c>
      <c r="J1832">
        <v>82979</v>
      </c>
      <c r="K1832">
        <v>2.8399000000000001</v>
      </c>
      <c r="L1832">
        <v>2.4590000000000001</v>
      </c>
    </row>
    <row r="1833" spans="1:12" hidden="1" x14ac:dyDescent="0.25">
      <c r="A1833">
        <v>2330</v>
      </c>
      <c r="B1833" t="s">
        <v>11</v>
      </c>
      <c r="C1833" s="1">
        <v>41527</v>
      </c>
      <c r="D1833" s="2">
        <f t="shared" si="56"/>
        <v>2</v>
      </c>
      <c r="E1833" s="2">
        <f t="shared" si="57"/>
        <v>9</v>
      </c>
      <c r="F1833">
        <v>82.843999999999994</v>
      </c>
      <c r="G1833">
        <v>84.0505</v>
      </c>
      <c r="H1833">
        <v>82.441900000000004</v>
      </c>
      <c r="I1833">
        <v>84.0505</v>
      </c>
      <c r="J1833">
        <v>37392</v>
      </c>
      <c r="K1833">
        <v>1.4458</v>
      </c>
      <c r="L1833">
        <v>1.9512</v>
      </c>
    </row>
    <row r="1834" spans="1:12" x14ac:dyDescent="0.25">
      <c r="A1834">
        <v>2303</v>
      </c>
      <c r="B1834" t="s">
        <v>10</v>
      </c>
      <c r="C1834" s="1">
        <v>41528</v>
      </c>
      <c r="D1834" s="2">
        <f t="shared" si="56"/>
        <v>3</v>
      </c>
      <c r="E1834" s="2">
        <f t="shared" si="57"/>
        <v>9</v>
      </c>
      <c r="F1834">
        <v>9.8592999999999993</v>
      </c>
      <c r="G1834">
        <v>9.9382000000000001</v>
      </c>
      <c r="H1834">
        <v>9.6227</v>
      </c>
      <c r="I1834">
        <v>9.8199000000000005</v>
      </c>
      <c r="J1834">
        <v>64675</v>
      </c>
      <c r="K1834">
        <v>-0.40079999999999999</v>
      </c>
      <c r="L1834">
        <v>3.2787000000000002</v>
      </c>
    </row>
    <row r="1835" spans="1:12" hidden="1" x14ac:dyDescent="0.25">
      <c r="A1835">
        <v>2330</v>
      </c>
      <c r="B1835" t="s">
        <v>11</v>
      </c>
      <c r="C1835" s="1">
        <v>41528</v>
      </c>
      <c r="D1835" s="2">
        <f t="shared" si="56"/>
        <v>3</v>
      </c>
      <c r="E1835" s="2">
        <f t="shared" si="57"/>
        <v>9</v>
      </c>
      <c r="F1835">
        <v>82.843999999999994</v>
      </c>
      <c r="G1835">
        <v>84.0505</v>
      </c>
      <c r="H1835">
        <v>82.441900000000004</v>
      </c>
      <c r="I1835">
        <v>84.0505</v>
      </c>
      <c r="J1835">
        <v>41349</v>
      </c>
      <c r="K1835">
        <v>0</v>
      </c>
      <c r="L1835">
        <v>1.9512</v>
      </c>
    </row>
    <row r="1836" spans="1:12" x14ac:dyDescent="0.25">
      <c r="A1836">
        <v>2303</v>
      </c>
      <c r="B1836" t="s">
        <v>10</v>
      </c>
      <c r="C1836" s="1">
        <v>41529</v>
      </c>
      <c r="D1836" s="2">
        <f t="shared" si="56"/>
        <v>4</v>
      </c>
      <c r="E1836" s="2">
        <f t="shared" si="57"/>
        <v>9</v>
      </c>
      <c r="F1836">
        <v>9.7015999999999991</v>
      </c>
      <c r="G1836">
        <v>9.7804000000000002</v>
      </c>
      <c r="H1836">
        <v>9.5831999999999997</v>
      </c>
      <c r="I1836">
        <v>9.7015999999999991</v>
      </c>
      <c r="J1836">
        <v>49602</v>
      </c>
      <c r="K1836">
        <v>-1.2121</v>
      </c>
      <c r="L1836">
        <v>2.0575999999999999</v>
      </c>
    </row>
    <row r="1837" spans="1:12" hidden="1" x14ac:dyDescent="0.25">
      <c r="A1837">
        <v>2330</v>
      </c>
      <c r="B1837" t="s">
        <v>11</v>
      </c>
      <c r="C1837" s="1">
        <v>41529</v>
      </c>
      <c r="D1837" s="2">
        <f t="shared" si="56"/>
        <v>4</v>
      </c>
      <c r="E1837" s="2">
        <f t="shared" si="57"/>
        <v>9</v>
      </c>
      <c r="F1837">
        <v>82.843999999999994</v>
      </c>
      <c r="G1837">
        <v>84.0505</v>
      </c>
      <c r="H1837">
        <v>82.843999999999994</v>
      </c>
      <c r="I1837">
        <v>83.246200000000002</v>
      </c>
      <c r="J1837">
        <v>32865</v>
      </c>
      <c r="K1837">
        <v>-0.96150000000000002</v>
      </c>
      <c r="L1837">
        <v>1.4562999999999999</v>
      </c>
    </row>
    <row r="1838" spans="1:12" x14ac:dyDescent="0.25">
      <c r="A1838">
        <v>2303</v>
      </c>
      <c r="B1838" t="s">
        <v>10</v>
      </c>
      <c r="C1838" s="1">
        <v>41530</v>
      </c>
      <c r="D1838" s="2">
        <f t="shared" si="56"/>
        <v>5</v>
      </c>
      <c r="E1838" s="2">
        <f t="shared" si="57"/>
        <v>9</v>
      </c>
      <c r="F1838">
        <v>9.7015999999999991</v>
      </c>
      <c r="G1838">
        <v>9.7015999999999991</v>
      </c>
      <c r="H1838">
        <v>9.5437999999999992</v>
      </c>
      <c r="I1838">
        <v>9.5437999999999992</v>
      </c>
      <c r="J1838">
        <v>34487</v>
      </c>
      <c r="K1838">
        <v>-1.6394</v>
      </c>
      <c r="L1838">
        <v>1.6529</v>
      </c>
    </row>
    <row r="1839" spans="1:12" hidden="1" x14ac:dyDescent="0.25">
      <c r="A1839">
        <v>2330</v>
      </c>
      <c r="B1839" t="s">
        <v>11</v>
      </c>
      <c r="C1839" s="1">
        <v>41530</v>
      </c>
      <c r="D1839" s="2">
        <f t="shared" si="56"/>
        <v>5</v>
      </c>
      <c r="E1839" s="2">
        <f t="shared" si="57"/>
        <v>9</v>
      </c>
      <c r="F1839">
        <v>82.441900000000004</v>
      </c>
      <c r="G1839">
        <v>82.843999999999994</v>
      </c>
      <c r="H1839">
        <v>82.039699999999996</v>
      </c>
      <c r="I1839">
        <v>82.441900000000004</v>
      </c>
      <c r="J1839">
        <v>23635</v>
      </c>
      <c r="K1839">
        <v>-0.97089999999999999</v>
      </c>
      <c r="L1839">
        <v>0.98040000000000005</v>
      </c>
    </row>
    <row r="1840" spans="1:12" x14ac:dyDescent="0.25">
      <c r="A1840">
        <v>2303</v>
      </c>
      <c r="B1840" t="s">
        <v>10</v>
      </c>
      <c r="C1840" s="1">
        <v>41531</v>
      </c>
      <c r="D1840" s="2">
        <f t="shared" si="56"/>
        <v>6</v>
      </c>
      <c r="E1840" s="2">
        <f t="shared" si="57"/>
        <v>9</v>
      </c>
      <c r="F1840">
        <v>9.5437999999999992</v>
      </c>
      <c r="G1840">
        <v>9.6227</v>
      </c>
      <c r="H1840">
        <v>9.5437999999999992</v>
      </c>
      <c r="I1840">
        <v>9.5437999999999992</v>
      </c>
      <c r="J1840">
        <v>16345</v>
      </c>
      <c r="K1840">
        <v>0</v>
      </c>
      <c r="L1840">
        <v>0.82640000000000002</v>
      </c>
    </row>
    <row r="1841" spans="1:12" hidden="1" x14ac:dyDescent="0.25">
      <c r="A1841">
        <v>2330</v>
      </c>
      <c r="B1841" t="s">
        <v>11</v>
      </c>
      <c r="C1841" s="1">
        <v>41531</v>
      </c>
      <c r="D1841" s="2">
        <f t="shared" si="56"/>
        <v>6</v>
      </c>
      <c r="E1841" s="2">
        <f t="shared" si="57"/>
        <v>9</v>
      </c>
      <c r="F1841">
        <v>82.441900000000004</v>
      </c>
      <c r="G1841">
        <v>83.246200000000002</v>
      </c>
      <c r="H1841">
        <v>82.039699999999996</v>
      </c>
      <c r="I1841">
        <v>82.441900000000004</v>
      </c>
      <c r="J1841">
        <v>5222</v>
      </c>
      <c r="K1841">
        <v>0</v>
      </c>
      <c r="L1841">
        <v>1.4705999999999999</v>
      </c>
    </row>
    <row r="1842" spans="1:12" x14ac:dyDescent="0.25">
      <c r="A1842">
        <v>2303</v>
      </c>
      <c r="B1842" t="s">
        <v>10</v>
      </c>
      <c r="C1842" s="1">
        <v>41533</v>
      </c>
      <c r="D1842" s="2">
        <f t="shared" si="56"/>
        <v>1</v>
      </c>
      <c r="E1842" s="2">
        <f t="shared" si="57"/>
        <v>9</v>
      </c>
      <c r="F1842">
        <v>9.6227</v>
      </c>
      <c r="G1842">
        <v>9.7015999999999991</v>
      </c>
      <c r="H1842">
        <v>9.5831999999999997</v>
      </c>
      <c r="I1842">
        <v>9.6621000000000006</v>
      </c>
      <c r="J1842">
        <v>40432</v>
      </c>
      <c r="K1842">
        <v>1.232</v>
      </c>
      <c r="L1842">
        <v>1.2345999999999999</v>
      </c>
    </row>
    <row r="1843" spans="1:12" hidden="1" x14ac:dyDescent="0.25">
      <c r="A1843">
        <v>2330</v>
      </c>
      <c r="B1843" t="s">
        <v>11</v>
      </c>
      <c r="C1843" s="1">
        <v>41533</v>
      </c>
      <c r="D1843" s="2">
        <f t="shared" si="56"/>
        <v>1</v>
      </c>
      <c r="E1843" s="2">
        <f t="shared" si="57"/>
        <v>9</v>
      </c>
      <c r="F1843">
        <v>83.648300000000006</v>
      </c>
      <c r="G1843">
        <v>84.854799999999997</v>
      </c>
      <c r="H1843">
        <v>83.648300000000006</v>
      </c>
      <c r="I1843">
        <v>84.854799999999997</v>
      </c>
      <c r="J1843">
        <v>40693</v>
      </c>
      <c r="K1843">
        <v>2.8847999999999998</v>
      </c>
      <c r="L1843">
        <v>1.4422999999999999</v>
      </c>
    </row>
    <row r="1844" spans="1:12" x14ac:dyDescent="0.25">
      <c r="A1844">
        <v>2303</v>
      </c>
      <c r="B1844" t="s">
        <v>10</v>
      </c>
      <c r="C1844" s="1">
        <v>41534</v>
      </c>
      <c r="D1844" s="2">
        <f t="shared" si="56"/>
        <v>2</v>
      </c>
      <c r="E1844" s="2">
        <f t="shared" si="57"/>
        <v>9</v>
      </c>
      <c r="F1844">
        <v>9.6227</v>
      </c>
      <c r="G1844">
        <v>9.6227</v>
      </c>
      <c r="H1844">
        <v>9.5044000000000004</v>
      </c>
      <c r="I1844">
        <v>9.5437999999999992</v>
      </c>
      <c r="J1844">
        <v>26773</v>
      </c>
      <c r="K1844">
        <v>-1.232</v>
      </c>
      <c r="L1844">
        <v>1.2447999999999999</v>
      </c>
    </row>
    <row r="1845" spans="1:12" hidden="1" x14ac:dyDescent="0.25">
      <c r="A1845">
        <v>2330</v>
      </c>
      <c r="B1845" t="s">
        <v>11</v>
      </c>
      <c r="C1845" s="1">
        <v>41534</v>
      </c>
      <c r="D1845" s="2">
        <f t="shared" si="56"/>
        <v>2</v>
      </c>
      <c r="E1845" s="2">
        <f t="shared" si="57"/>
        <v>9</v>
      </c>
      <c r="F1845">
        <v>84.854799999999997</v>
      </c>
      <c r="G1845">
        <v>84.854799999999997</v>
      </c>
      <c r="H1845">
        <v>84.0505</v>
      </c>
      <c r="I1845">
        <v>84.854799999999997</v>
      </c>
      <c r="J1845">
        <v>25467</v>
      </c>
      <c r="K1845">
        <v>0</v>
      </c>
      <c r="L1845">
        <v>0.95689999999999997</v>
      </c>
    </row>
    <row r="1846" spans="1:12" x14ac:dyDescent="0.25">
      <c r="A1846">
        <v>2303</v>
      </c>
      <c r="B1846" t="s">
        <v>10</v>
      </c>
      <c r="C1846" s="1">
        <v>41535</v>
      </c>
      <c r="D1846" s="2">
        <f t="shared" si="56"/>
        <v>3</v>
      </c>
      <c r="E1846" s="2">
        <f t="shared" si="57"/>
        <v>9</v>
      </c>
      <c r="F1846">
        <v>9.5437999999999992</v>
      </c>
      <c r="G1846">
        <v>9.6227</v>
      </c>
      <c r="H1846">
        <v>9.5437999999999992</v>
      </c>
      <c r="I1846">
        <v>9.5437999999999992</v>
      </c>
      <c r="J1846">
        <v>24348</v>
      </c>
      <c r="K1846">
        <v>0</v>
      </c>
      <c r="L1846">
        <v>0.82640000000000002</v>
      </c>
    </row>
    <row r="1847" spans="1:12" hidden="1" x14ac:dyDescent="0.25">
      <c r="A1847">
        <v>2330</v>
      </c>
      <c r="B1847" t="s">
        <v>11</v>
      </c>
      <c r="C1847" s="1">
        <v>41535</v>
      </c>
      <c r="D1847" s="2">
        <f t="shared" si="56"/>
        <v>3</v>
      </c>
      <c r="E1847" s="2">
        <f t="shared" si="57"/>
        <v>9</v>
      </c>
      <c r="F1847">
        <v>84.452699999999993</v>
      </c>
      <c r="G1847">
        <v>84.854799999999997</v>
      </c>
      <c r="H1847">
        <v>82.843999999999994</v>
      </c>
      <c r="I1847">
        <v>82.843999999999994</v>
      </c>
      <c r="J1847">
        <v>34987</v>
      </c>
      <c r="K1847">
        <v>-2.3982000000000001</v>
      </c>
      <c r="L1847">
        <v>2.4272</v>
      </c>
    </row>
    <row r="1848" spans="1:12" x14ac:dyDescent="0.25">
      <c r="A1848">
        <v>2303</v>
      </c>
      <c r="B1848" t="s">
        <v>10</v>
      </c>
      <c r="C1848" s="1">
        <v>41540</v>
      </c>
      <c r="D1848" s="2">
        <f t="shared" si="56"/>
        <v>1</v>
      </c>
      <c r="E1848" s="2">
        <f t="shared" si="57"/>
        <v>9</v>
      </c>
      <c r="F1848">
        <v>9.5437999999999992</v>
      </c>
      <c r="G1848">
        <v>9.9776000000000007</v>
      </c>
      <c r="H1848">
        <v>9.5437999999999992</v>
      </c>
      <c r="I1848">
        <v>9.9382000000000001</v>
      </c>
      <c r="J1848">
        <v>123327</v>
      </c>
      <c r="K1848">
        <v>4.0491000000000001</v>
      </c>
      <c r="L1848">
        <v>4.5454999999999997</v>
      </c>
    </row>
    <row r="1849" spans="1:12" hidden="1" x14ac:dyDescent="0.25">
      <c r="A1849">
        <v>2330</v>
      </c>
      <c r="B1849" t="s">
        <v>11</v>
      </c>
      <c r="C1849" s="1">
        <v>41540</v>
      </c>
      <c r="D1849" s="2">
        <f t="shared" si="56"/>
        <v>1</v>
      </c>
      <c r="E1849" s="2">
        <f t="shared" si="57"/>
        <v>9</v>
      </c>
      <c r="F1849">
        <v>82.843999999999994</v>
      </c>
      <c r="G1849">
        <v>85.257000000000005</v>
      </c>
      <c r="H1849">
        <v>82.441900000000004</v>
      </c>
      <c r="I1849">
        <v>84.854799999999997</v>
      </c>
      <c r="J1849">
        <v>57281</v>
      </c>
      <c r="K1849">
        <v>2.3982000000000001</v>
      </c>
      <c r="L1849">
        <v>3.4146000000000001</v>
      </c>
    </row>
    <row r="1850" spans="1:12" x14ac:dyDescent="0.25">
      <c r="A1850">
        <v>2303</v>
      </c>
      <c r="B1850" t="s">
        <v>10</v>
      </c>
      <c r="C1850" s="1">
        <v>41541</v>
      </c>
      <c r="D1850" s="2">
        <f t="shared" si="56"/>
        <v>2</v>
      </c>
      <c r="E1850" s="2">
        <f t="shared" si="57"/>
        <v>9</v>
      </c>
      <c r="F1850">
        <v>10.016999999999999</v>
      </c>
      <c r="G1850">
        <v>10.5297</v>
      </c>
      <c r="H1850">
        <v>10.016999999999999</v>
      </c>
      <c r="I1850">
        <v>10.293100000000001</v>
      </c>
      <c r="J1850">
        <v>196425</v>
      </c>
      <c r="K1850">
        <v>3.5091000000000001</v>
      </c>
      <c r="L1850">
        <v>5.1181000000000001</v>
      </c>
    </row>
    <row r="1851" spans="1:12" hidden="1" x14ac:dyDescent="0.25">
      <c r="A1851">
        <v>2330</v>
      </c>
      <c r="B1851" t="s">
        <v>11</v>
      </c>
      <c r="C1851" s="1">
        <v>41541</v>
      </c>
      <c r="D1851" s="2">
        <f t="shared" si="56"/>
        <v>2</v>
      </c>
      <c r="E1851" s="2">
        <f t="shared" si="57"/>
        <v>9</v>
      </c>
      <c r="F1851">
        <v>84.452699999999993</v>
      </c>
      <c r="G1851">
        <v>84.854799999999997</v>
      </c>
      <c r="H1851">
        <v>83.648300000000006</v>
      </c>
      <c r="I1851">
        <v>84.452699999999993</v>
      </c>
      <c r="J1851">
        <v>28676</v>
      </c>
      <c r="K1851">
        <v>-0.47510000000000002</v>
      </c>
      <c r="L1851">
        <v>1.4422999999999999</v>
      </c>
    </row>
    <row r="1852" spans="1:12" x14ac:dyDescent="0.25">
      <c r="A1852">
        <v>2303</v>
      </c>
      <c r="B1852" t="s">
        <v>10</v>
      </c>
      <c r="C1852" s="1">
        <v>41542</v>
      </c>
      <c r="D1852" s="2">
        <f t="shared" si="56"/>
        <v>3</v>
      </c>
      <c r="E1852" s="2">
        <f t="shared" si="57"/>
        <v>9</v>
      </c>
      <c r="F1852">
        <v>10.293100000000001</v>
      </c>
      <c r="G1852">
        <v>10.372</v>
      </c>
      <c r="H1852">
        <v>10.135400000000001</v>
      </c>
      <c r="I1852">
        <v>10.2142</v>
      </c>
      <c r="J1852">
        <v>87116</v>
      </c>
      <c r="K1852">
        <v>-0.76919999999999999</v>
      </c>
      <c r="L1852">
        <v>2.3346</v>
      </c>
    </row>
    <row r="1853" spans="1:12" hidden="1" x14ac:dyDescent="0.25">
      <c r="A1853">
        <v>2330</v>
      </c>
      <c r="B1853" t="s">
        <v>11</v>
      </c>
      <c r="C1853" s="1">
        <v>41542</v>
      </c>
      <c r="D1853" s="2">
        <f t="shared" si="56"/>
        <v>3</v>
      </c>
      <c r="E1853" s="2">
        <f t="shared" si="57"/>
        <v>9</v>
      </c>
      <c r="F1853">
        <v>84.0505</v>
      </c>
      <c r="G1853">
        <v>84.0505</v>
      </c>
      <c r="H1853">
        <v>82.843999999999994</v>
      </c>
      <c r="I1853">
        <v>82.843999999999994</v>
      </c>
      <c r="J1853">
        <v>35289</v>
      </c>
      <c r="K1853">
        <v>-1.9231</v>
      </c>
      <c r="L1853">
        <v>1.4562999999999999</v>
      </c>
    </row>
    <row r="1854" spans="1:12" x14ac:dyDescent="0.25">
      <c r="A1854">
        <v>2303</v>
      </c>
      <c r="B1854" t="s">
        <v>10</v>
      </c>
      <c r="C1854" s="1">
        <v>41543</v>
      </c>
      <c r="D1854" s="2">
        <f t="shared" si="56"/>
        <v>4</v>
      </c>
      <c r="E1854" s="2">
        <f t="shared" si="57"/>
        <v>9</v>
      </c>
      <c r="F1854">
        <v>10.2142</v>
      </c>
      <c r="G1854">
        <v>10.2142</v>
      </c>
      <c r="H1854">
        <v>9.9382000000000001</v>
      </c>
      <c r="I1854">
        <v>9.9776000000000007</v>
      </c>
      <c r="J1854">
        <v>90255</v>
      </c>
      <c r="K1854">
        <v>-2.3439000000000001</v>
      </c>
      <c r="L1854">
        <v>2.7778</v>
      </c>
    </row>
    <row r="1855" spans="1:12" hidden="1" x14ac:dyDescent="0.25">
      <c r="A1855">
        <v>2330</v>
      </c>
      <c r="B1855" t="s">
        <v>11</v>
      </c>
      <c r="C1855" s="1">
        <v>41543</v>
      </c>
      <c r="D1855" s="2">
        <f t="shared" si="56"/>
        <v>4</v>
      </c>
      <c r="E1855" s="2">
        <f t="shared" si="57"/>
        <v>9</v>
      </c>
      <c r="F1855">
        <v>83.246200000000002</v>
      </c>
      <c r="G1855">
        <v>83.246200000000002</v>
      </c>
      <c r="H1855">
        <v>81.637600000000006</v>
      </c>
      <c r="I1855">
        <v>81.637600000000006</v>
      </c>
      <c r="J1855">
        <v>23059</v>
      </c>
      <c r="K1855">
        <v>-1.4670000000000001</v>
      </c>
      <c r="L1855">
        <v>1.9703999999999999</v>
      </c>
    </row>
    <row r="1856" spans="1:12" x14ac:dyDescent="0.25">
      <c r="A1856">
        <v>2303</v>
      </c>
      <c r="B1856" t="s">
        <v>10</v>
      </c>
      <c r="C1856" s="1">
        <v>41544</v>
      </c>
      <c r="D1856" s="2">
        <f t="shared" si="56"/>
        <v>5</v>
      </c>
      <c r="E1856" s="2">
        <f t="shared" si="57"/>
        <v>9</v>
      </c>
      <c r="F1856">
        <v>10.016999999999999</v>
      </c>
      <c r="G1856">
        <v>10.135400000000001</v>
      </c>
      <c r="H1856">
        <v>9.9382000000000001</v>
      </c>
      <c r="I1856">
        <v>10.016999999999999</v>
      </c>
      <c r="J1856">
        <v>62925</v>
      </c>
      <c r="K1856">
        <v>0.39450000000000002</v>
      </c>
      <c r="L1856">
        <v>1.9841</v>
      </c>
    </row>
    <row r="1857" spans="1:12" hidden="1" x14ac:dyDescent="0.25">
      <c r="A1857">
        <v>2330</v>
      </c>
      <c r="B1857" t="s">
        <v>11</v>
      </c>
      <c r="C1857" s="1">
        <v>41544</v>
      </c>
      <c r="D1857" s="2">
        <f t="shared" si="56"/>
        <v>5</v>
      </c>
      <c r="E1857" s="2">
        <f t="shared" si="57"/>
        <v>9</v>
      </c>
      <c r="F1857">
        <v>83.246200000000002</v>
      </c>
      <c r="G1857">
        <v>83.246200000000002</v>
      </c>
      <c r="H1857">
        <v>82.039699999999996</v>
      </c>
      <c r="I1857">
        <v>82.843999999999994</v>
      </c>
      <c r="J1857">
        <v>26663</v>
      </c>
      <c r="K1857">
        <v>1.4670000000000001</v>
      </c>
      <c r="L1857">
        <v>1.4705999999999999</v>
      </c>
    </row>
    <row r="1858" spans="1:12" x14ac:dyDescent="0.25">
      <c r="A1858">
        <v>2303</v>
      </c>
      <c r="B1858" t="s">
        <v>10</v>
      </c>
      <c r="C1858" s="1">
        <v>41547</v>
      </c>
      <c r="D1858" s="2">
        <f t="shared" si="56"/>
        <v>1</v>
      </c>
      <c r="E1858" s="2">
        <f t="shared" si="57"/>
        <v>9</v>
      </c>
      <c r="F1858">
        <v>9.9382000000000001</v>
      </c>
      <c r="G1858">
        <v>10.0959</v>
      </c>
      <c r="H1858">
        <v>9.8592999999999993</v>
      </c>
      <c r="I1858">
        <v>9.9776000000000007</v>
      </c>
      <c r="J1858">
        <v>48468</v>
      </c>
      <c r="K1858">
        <v>-0.39450000000000002</v>
      </c>
      <c r="L1858">
        <v>2.4</v>
      </c>
    </row>
    <row r="1859" spans="1:12" hidden="1" x14ac:dyDescent="0.25">
      <c r="A1859">
        <v>2330</v>
      </c>
      <c r="B1859" t="s">
        <v>11</v>
      </c>
      <c r="C1859" s="1">
        <v>41547</v>
      </c>
      <c r="D1859" s="2">
        <f t="shared" ref="D1859:D1922" si="58">WEEKDAY(C1859,2)</f>
        <v>1</v>
      </c>
      <c r="E1859" s="2">
        <f t="shared" ref="E1859:E1922" si="59">MONTH(C1859)</f>
        <v>9</v>
      </c>
      <c r="F1859">
        <v>80.833299999999994</v>
      </c>
      <c r="G1859">
        <v>82.039699999999996</v>
      </c>
      <c r="H1859">
        <v>80.431100000000001</v>
      </c>
      <c r="I1859">
        <v>80.833299999999994</v>
      </c>
      <c r="J1859">
        <v>46224</v>
      </c>
      <c r="K1859">
        <v>-2.4571000000000001</v>
      </c>
      <c r="L1859">
        <v>2</v>
      </c>
    </row>
    <row r="1860" spans="1:12" x14ac:dyDescent="0.25">
      <c r="A1860">
        <v>2303</v>
      </c>
      <c r="B1860" t="s">
        <v>10</v>
      </c>
      <c r="C1860" s="1">
        <v>41548</v>
      </c>
      <c r="D1860" s="2">
        <f t="shared" si="58"/>
        <v>2</v>
      </c>
      <c r="E1860" s="2">
        <f t="shared" si="59"/>
        <v>10</v>
      </c>
      <c r="F1860">
        <v>9.9382000000000001</v>
      </c>
      <c r="G1860">
        <v>10.0565</v>
      </c>
      <c r="H1860">
        <v>9.9382000000000001</v>
      </c>
      <c r="I1860">
        <v>9.9382000000000001</v>
      </c>
      <c r="J1860">
        <v>30237</v>
      </c>
      <c r="K1860">
        <v>-0.39600000000000002</v>
      </c>
      <c r="L1860">
        <v>1.1904999999999999</v>
      </c>
    </row>
    <row r="1861" spans="1:12" hidden="1" x14ac:dyDescent="0.25">
      <c r="A1861">
        <v>2330</v>
      </c>
      <c r="B1861" t="s">
        <v>11</v>
      </c>
      <c r="C1861" s="1">
        <v>41548</v>
      </c>
      <c r="D1861" s="2">
        <f t="shared" si="58"/>
        <v>2</v>
      </c>
      <c r="E1861" s="2">
        <f t="shared" si="59"/>
        <v>10</v>
      </c>
      <c r="F1861">
        <v>80.833299999999994</v>
      </c>
      <c r="G1861">
        <v>82.441900000000004</v>
      </c>
      <c r="H1861">
        <v>80.833299999999994</v>
      </c>
      <c r="I1861">
        <v>81.637600000000006</v>
      </c>
      <c r="J1861">
        <v>22927</v>
      </c>
      <c r="K1861">
        <v>0.99009999999999998</v>
      </c>
      <c r="L1861">
        <v>1.99</v>
      </c>
    </row>
    <row r="1862" spans="1:12" x14ac:dyDescent="0.25">
      <c r="A1862">
        <v>2303</v>
      </c>
      <c r="B1862" t="s">
        <v>10</v>
      </c>
      <c r="C1862" s="1">
        <v>41549</v>
      </c>
      <c r="D1862" s="2">
        <f t="shared" si="58"/>
        <v>3</v>
      </c>
      <c r="E1862" s="2">
        <f t="shared" si="59"/>
        <v>10</v>
      </c>
      <c r="F1862">
        <v>9.9382000000000001</v>
      </c>
      <c r="G1862">
        <v>10.016999999999999</v>
      </c>
      <c r="H1862">
        <v>9.8199000000000005</v>
      </c>
      <c r="I1862">
        <v>9.8199000000000005</v>
      </c>
      <c r="J1862">
        <v>42546</v>
      </c>
      <c r="K1862">
        <v>-1.1976</v>
      </c>
      <c r="L1862">
        <v>2.008</v>
      </c>
    </row>
    <row r="1863" spans="1:12" hidden="1" x14ac:dyDescent="0.25">
      <c r="A1863">
        <v>2330</v>
      </c>
      <c r="B1863" t="s">
        <v>11</v>
      </c>
      <c r="C1863" s="1">
        <v>41549</v>
      </c>
      <c r="D1863" s="2">
        <f t="shared" si="58"/>
        <v>3</v>
      </c>
      <c r="E1863" s="2">
        <f t="shared" si="59"/>
        <v>10</v>
      </c>
      <c r="F1863">
        <v>83.246200000000002</v>
      </c>
      <c r="G1863">
        <v>83.246200000000002</v>
      </c>
      <c r="H1863">
        <v>82.039699999999996</v>
      </c>
      <c r="I1863">
        <v>82.843999999999994</v>
      </c>
      <c r="J1863">
        <v>14707</v>
      </c>
      <c r="K1863">
        <v>1.4670000000000001</v>
      </c>
      <c r="L1863">
        <v>1.4705999999999999</v>
      </c>
    </row>
    <row r="1864" spans="1:12" x14ac:dyDescent="0.25">
      <c r="A1864">
        <v>2303</v>
      </c>
      <c r="B1864" t="s">
        <v>10</v>
      </c>
      <c r="C1864" s="1">
        <v>41550</v>
      </c>
      <c r="D1864" s="2">
        <f t="shared" si="58"/>
        <v>4</v>
      </c>
      <c r="E1864" s="2">
        <f t="shared" si="59"/>
        <v>10</v>
      </c>
      <c r="F1864">
        <v>9.8986999999999998</v>
      </c>
      <c r="G1864">
        <v>10.293100000000001</v>
      </c>
      <c r="H1864">
        <v>9.8986999999999998</v>
      </c>
      <c r="I1864">
        <v>10.293100000000001</v>
      </c>
      <c r="J1864">
        <v>121429</v>
      </c>
      <c r="K1864">
        <v>4.7068000000000003</v>
      </c>
      <c r="L1864">
        <v>3.9841000000000002</v>
      </c>
    </row>
    <row r="1865" spans="1:12" hidden="1" x14ac:dyDescent="0.25">
      <c r="A1865">
        <v>2330</v>
      </c>
      <c r="B1865" t="s">
        <v>11</v>
      </c>
      <c r="C1865" s="1">
        <v>41550</v>
      </c>
      <c r="D1865" s="2">
        <f t="shared" si="58"/>
        <v>4</v>
      </c>
      <c r="E1865" s="2">
        <f t="shared" si="59"/>
        <v>10</v>
      </c>
      <c r="F1865">
        <v>83.246200000000002</v>
      </c>
      <c r="G1865">
        <v>85.257000000000005</v>
      </c>
      <c r="H1865">
        <v>82.843999999999994</v>
      </c>
      <c r="I1865">
        <v>84.452699999999993</v>
      </c>
      <c r="J1865">
        <v>50840</v>
      </c>
      <c r="K1865">
        <v>1.9231</v>
      </c>
      <c r="L1865">
        <v>2.9125999999999999</v>
      </c>
    </row>
    <row r="1866" spans="1:12" x14ac:dyDescent="0.25">
      <c r="A1866">
        <v>2303</v>
      </c>
      <c r="B1866" t="s">
        <v>10</v>
      </c>
      <c r="C1866" s="1">
        <v>41551</v>
      </c>
      <c r="D1866" s="2">
        <f t="shared" si="58"/>
        <v>5</v>
      </c>
      <c r="E1866" s="2">
        <f t="shared" si="59"/>
        <v>10</v>
      </c>
      <c r="F1866">
        <v>10.2537</v>
      </c>
      <c r="G1866">
        <v>10.293100000000001</v>
      </c>
      <c r="H1866">
        <v>10.0959</v>
      </c>
      <c r="I1866">
        <v>10.135400000000001</v>
      </c>
      <c r="J1866">
        <v>45065</v>
      </c>
      <c r="K1866">
        <v>-1.5444</v>
      </c>
      <c r="L1866">
        <v>1.9531000000000001</v>
      </c>
    </row>
    <row r="1867" spans="1:12" hidden="1" x14ac:dyDescent="0.25">
      <c r="A1867">
        <v>2330</v>
      </c>
      <c r="B1867" t="s">
        <v>11</v>
      </c>
      <c r="C1867" s="1">
        <v>41551</v>
      </c>
      <c r="D1867" s="2">
        <f t="shared" si="58"/>
        <v>5</v>
      </c>
      <c r="E1867" s="2">
        <f t="shared" si="59"/>
        <v>10</v>
      </c>
      <c r="F1867">
        <v>84.0505</v>
      </c>
      <c r="G1867">
        <v>84.452699999999993</v>
      </c>
      <c r="H1867">
        <v>83.246200000000002</v>
      </c>
      <c r="I1867">
        <v>83.648300000000006</v>
      </c>
      <c r="J1867">
        <v>21986</v>
      </c>
      <c r="K1867">
        <v>-0.95689999999999997</v>
      </c>
      <c r="L1867">
        <v>1.4493</v>
      </c>
    </row>
    <row r="1868" spans="1:12" x14ac:dyDescent="0.25">
      <c r="A1868">
        <v>2303</v>
      </c>
      <c r="B1868" t="s">
        <v>10</v>
      </c>
      <c r="C1868" s="1">
        <v>41554</v>
      </c>
      <c r="D1868" s="2">
        <f t="shared" si="58"/>
        <v>1</v>
      </c>
      <c r="E1868" s="2">
        <f t="shared" si="59"/>
        <v>10</v>
      </c>
      <c r="F1868">
        <v>10.0959</v>
      </c>
      <c r="G1868">
        <v>10.135400000000001</v>
      </c>
      <c r="H1868">
        <v>10.016999999999999</v>
      </c>
      <c r="I1868">
        <v>10.0565</v>
      </c>
      <c r="J1868">
        <v>29175</v>
      </c>
      <c r="K1868">
        <v>-0.78129999999999999</v>
      </c>
      <c r="L1868">
        <v>1.1811</v>
      </c>
    </row>
    <row r="1869" spans="1:12" hidden="1" x14ac:dyDescent="0.25">
      <c r="A1869">
        <v>2330</v>
      </c>
      <c r="B1869" t="s">
        <v>11</v>
      </c>
      <c r="C1869" s="1">
        <v>41554</v>
      </c>
      <c r="D1869" s="2">
        <f t="shared" si="58"/>
        <v>1</v>
      </c>
      <c r="E1869" s="2">
        <f t="shared" si="59"/>
        <v>10</v>
      </c>
      <c r="F1869">
        <v>83.246200000000002</v>
      </c>
      <c r="G1869">
        <v>83.648300000000006</v>
      </c>
      <c r="H1869">
        <v>82.039699999999996</v>
      </c>
      <c r="I1869">
        <v>82.843999999999994</v>
      </c>
      <c r="J1869">
        <v>24399</v>
      </c>
      <c r="K1869">
        <v>-0.96619999999999995</v>
      </c>
      <c r="L1869">
        <v>1.9608000000000001</v>
      </c>
    </row>
    <row r="1870" spans="1:12" x14ac:dyDescent="0.25">
      <c r="A1870">
        <v>2303</v>
      </c>
      <c r="B1870" t="s">
        <v>10</v>
      </c>
      <c r="C1870" s="1">
        <v>41555</v>
      </c>
      <c r="D1870" s="2">
        <f t="shared" si="58"/>
        <v>2</v>
      </c>
      <c r="E1870" s="2">
        <f t="shared" si="59"/>
        <v>10</v>
      </c>
      <c r="F1870">
        <v>10.0565</v>
      </c>
      <c r="G1870">
        <v>10.3325</v>
      </c>
      <c r="H1870">
        <v>10.016999999999999</v>
      </c>
      <c r="I1870">
        <v>10.3325</v>
      </c>
      <c r="J1870">
        <v>51280</v>
      </c>
      <c r="K1870">
        <v>2.7081</v>
      </c>
      <c r="L1870">
        <v>3.1496</v>
      </c>
    </row>
    <row r="1871" spans="1:12" hidden="1" x14ac:dyDescent="0.25">
      <c r="A1871">
        <v>2330</v>
      </c>
      <c r="B1871" t="s">
        <v>11</v>
      </c>
      <c r="C1871" s="1">
        <v>41555</v>
      </c>
      <c r="D1871" s="2">
        <f t="shared" si="58"/>
        <v>2</v>
      </c>
      <c r="E1871" s="2">
        <f t="shared" si="59"/>
        <v>10</v>
      </c>
      <c r="F1871">
        <v>83.246200000000002</v>
      </c>
      <c r="G1871">
        <v>84.854799999999997</v>
      </c>
      <c r="H1871">
        <v>82.843999999999994</v>
      </c>
      <c r="I1871">
        <v>84.452699999999993</v>
      </c>
      <c r="J1871">
        <v>35150</v>
      </c>
      <c r="K1871">
        <v>1.9231</v>
      </c>
      <c r="L1871">
        <v>2.4272</v>
      </c>
    </row>
    <row r="1872" spans="1:12" x14ac:dyDescent="0.25">
      <c r="A1872">
        <v>2303</v>
      </c>
      <c r="B1872" t="s">
        <v>10</v>
      </c>
      <c r="C1872" s="1">
        <v>41556</v>
      </c>
      <c r="D1872" s="2">
        <f t="shared" si="58"/>
        <v>3</v>
      </c>
      <c r="E1872" s="2">
        <f t="shared" si="59"/>
        <v>10</v>
      </c>
      <c r="F1872">
        <v>10.2537</v>
      </c>
      <c r="G1872">
        <v>10.2537</v>
      </c>
      <c r="H1872">
        <v>10.0959</v>
      </c>
      <c r="I1872">
        <v>10.0959</v>
      </c>
      <c r="J1872">
        <v>40568</v>
      </c>
      <c r="K1872">
        <v>-2.3167</v>
      </c>
      <c r="L1872">
        <v>1.5625</v>
      </c>
    </row>
    <row r="1873" spans="1:12" hidden="1" x14ac:dyDescent="0.25">
      <c r="A1873">
        <v>2330</v>
      </c>
      <c r="B1873" t="s">
        <v>11</v>
      </c>
      <c r="C1873" s="1">
        <v>41556</v>
      </c>
      <c r="D1873" s="2">
        <f t="shared" si="58"/>
        <v>3</v>
      </c>
      <c r="E1873" s="2">
        <f t="shared" si="59"/>
        <v>10</v>
      </c>
      <c r="F1873">
        <v>83.648300000000006</v>
      </c>
      <c r="G1873">
        <v>84.854799999999997</v>
      </c>
      <c r="H1873">
        <v>82.843999999999994</v>
      </c>
      <c r="I1873">
        <v>84.452699999999993</v>
      </c>
      <c r="J1873">
        <v>26186</v>
      </c>
      <c r="K1873">
        <v>0</v>
      </c>
      <c r="L1873">
        <v>2.4272</v>
      </c>
    </row>
    <row r="1874" spans="1:12" x14ac:dyDescent="0.25">
      <c r="A1874">
        <v>2303</v>
      </c>
      <c r="B1874" t="s">
        <v>10</v>
      </c>
      <c r="C1874" s="1">
        <v>41558</v>
      </c>
      <c r="D1874" s="2">
        <f t="shared" si="58"/>
        <v>5</v>
      </c>
      <c r="E1874" s="2">
        <f t="shared" si="59"/>
        <v>10</v>
      </c>
      <c r="F1874">
        <v>10.2142</v>
      </c>
      <c r="G1874">
        <v>10.2537</v>
      </c>
      <c r="H1874">
        <v>9.9382000000000001</v>
      </c>
      <c r="I1874">
        <v>9.9382000000000001</v>
      </c>
      <c r="J1874">
        <v>73614</v>
      </c>
      <c r="K1874">
        <v>-1.5748</v>
      </c>
      <c r="L1874">
        <v>3.1745999999999999</v>
      </c>
    </row>
    <row r="1875" spans="1:12" hidden="1" x14ac:dyDescent="0.25">
      <c r="A1875">
        <v>2330</v>
      </c>
      <c r="B1875" t="s">
        <v>11</v>
      </c>
      <c r="C1875" s="1">
        <v>41558</v>
      </c>
      <c r="D1875" s="2">
        <f t="shared" si="58"/>
        <v>5</v>
      </c>
      <c r="E1875" s="2">
        <f t="shared" si="59"/>
        <v>10</v>
      </c>
      <c r="F1875">
        <v>84.452699999999993</v>
      </c>
      <c r="G1875">
        <v>86.463399999999993</v>
      </c>
      <c r="H1875">
        <v>84.452699999999993</v>
      </c>
      <c r="I1875">
        <v>85.659099999999995</v>
      </c>
      <c r="J1875">
        <v>59435</v>
      </c>
      <c r="K1875">
        <v>1.4185000000000001</v>
      </c>
      <c r="L1875">
        <v>2.3809999999999998</v>
      </c>
    </row>
    <row r="1876" spans="1:12" x14ac:dyDescent="0.25">
      <c r="A1876">
        <v>2303</v>
      </c>
      <c r="B1876" t="s">
        <v>10</v>
      </c>
      <c r="C1876" s="1">
        <v>41561</v>
      </c>
      <c r="D1876" s="2">
        <f t="shared" si="58"/>
        <v>1</v>
      </c>
      <c r="E1876" s="2">
        <f t="shared" si="59"/>
        <v>10</v>
      </c>
      <c r="F1876">
        <v>9.9382000000000001</v>
      </c>
      <c r="G1876">
        <v>9.9776000000000007</v>
      </c>
      <c r="H1876">
        <v>9.6621000000000006</v>
      </c>
      <c r="I1876">
        <v>9.7015999999999991</v>
      </c>
      <c r="J1876">
        <v>55427</v>
      </c>
      <c r="K1876">
        <v>-2.4098000000000002</v>
      </c>
      <c r="L1876">
        <v>3.2652999999999999</v>
      </c>
    </row>
    <row r="1877" spans="1:12" hidden="1" x14ac:dyDescent="0.25">
      <c r="A1877">
        <v>2330</v>
      </c>
      <c r="B1877" t="s">
        <v>11</v>
      </c>
      <c r="C1877" s="1">
        <v>41561</v>
      </c>
      <c r="D1877" s="2">
        <f t="shared" si="58"/>
        <v>1</v>
      </c>
      <c r="E1877" s="2">
        <f t="shared" si="59"/>
        <v>10</v>
      </c>
      <c r="F1877">
        <v>85.659099999999995</v>
      </c>
      <c r="G1877">
        <v>85.659099999999995</v>
      </c>
      <c r="H1877">
        <v>84.452699999999993</v>
      </c>
      <c r="I1877">
        <v>84.452699999999993</v>
      </c>
      <c r="J1877">
        <v>18800</v>
      </c>
      <c r="K1877">
        <v>-1.4185000000000001</v>
      </c>
      <c r="L1877">
        <v>1.4286000000000001</v>
      </c>
    </row>
    <row r="1878" spans="1:12" x14ac:dyDescent="0.25">
      <c r="A1878">
        <v>2303</v>
      </c>
      <c r="B1878" t="s">
        <v>10</v>
      </c>
      <c r="C1878" s="1">
        <v>41562</v>
      </c>
      <c r="D1878" s="2">
        <f t="shared" si="58"/>
        <v>2</v>
      </c>
      <c r="E1878" s="2">
        <f t="shared" si="59"/>
        <v>10</v>
      </c>
      <c r="F1878">
        <v>9.7804000000000002</v>
      </c>
      <c r="G1878">
        <v>10.0959</v>
      </c>
      <c r="H1878">
        <v>9.7804000000000002</v>
      </c>
      <c r="I1878">
        <v>10.0565</v>
      </c>
      <c r="J1878">
        <v>58857</v>
      </c>
      <c r="K1878">
        <v>3.5931999999999999</v>
      </c>
      <c r="L1878">
        <v>3.2258</v>
      </c>
    </row>
    <row r="1879" spans="1:12" hidden="1" x14ac:dyDescent="0.25">
      <c r="A1879">
        <v>2330</v>
      </c>
      <c r="B1879" t="s">
        <v>11</v>
      </c>
      <c r="C1879" s="1">
        <v>41562</v>
      </c>
      <c r="D1879" s="2">
        <f t="shared" si="58"/>
        <v>2</v>
      </c>
      <c r="E1879" s="2">
        <f t="shared" si="59"/>
        <v>10</v>
      </c>
      <c r="F1879">
        <v>85.659099999999995</v>
      </c>
      <c r="G1879">
        <v>86.061300000000003</v>
      </c>
      <c r="H1879">
        <v>85.257000000000005</v>
      </c>
      <c r="I1879">
        <v>86.061300000000003</v>
      </c>
      <c r="J1879">
        <v>21681</v>
      </c>
      <c r="K1879">
        <v>1.8868</v>
      </c>
      <c r="L1879">
        <v>0.94340000000000002</v>
      </c>
    </row>
    <row r="1880" spans="1:12" x14ac:dyDescent="0.25">
      <c r="A1880">
        <v>2303</v>
      </c>
      <c r="B1880" t="s">
        <v>10</v>
      </c>
      <c r="C1880" s="1">
        <v>41563</v>
      </c>
      <c r="D1880" s="2">
        <f t="shared" si="58"/>
        <v>3</v>
      </c>
      <c r="E1880" s="2">
        <f t="shared" si="59"/>
        <v>10</v>
      </c>
      <c r="F1880">
        <v>9.9382000000000001</v>
      </c>
      <c r="G1880">
        <v>10.0565</v>
      </c>
      <c r="H1880">
        <v>9.8199000000000005</v>
      </c>
      <c r="I1880">
        <v>9.8199000000000005</v>
      </c>
      <c r="J1880">
        <v>37300</v>
      </c>
      <c r="K1880">
        <v>-2.3811</v>
      </c>
      <c r="L1880">
        <v>2.4096000000000002</v>
      </c>
    </row>
    <row r="1881" spans="1:12" hidden="1" x14ac:dyDescent="0.25">
      <c r="A1881">
        <v>2330</v>
      </c>
      <c r="B1881" t="s">
        <v>11</v>
      </c>
      <c r="C1881" s="1">
        <v>41563</v>
      </c>
      <c r="D1881" s="2">
        <f t="shared" si="58"/>
        <v>3</v>
      </c>
      <c r="E1881" s="2">
        <f t="shared" si="59"/>
        <v>10</v>
      </c>
      <c r="F1881">
        <v>86.865600000000001</v>
      </c>
      <c r="G1881">
        <v>86.865600000000001</v>
      </c>
      <c r="H1881">
        <v>85.257000000000005</v>
      </c>
      <c r="I1881">
        <v>85.257000000000005</v>
      </c>
      <c r="J1881">
        <v>19077</v>
      </c>
      <c r="K1881">
        <v>-0.93899999999999995</v>
      </c>
      <c r="L1881">
        <v>1.8868</v>
      </c>
    </row>
    <row r="1882" spans="1:12" x14ac:dyDescent="0.25">
      <c r="A1882">
        <v>2303</v>
      </c>
      <c r="B1882" t="s">
        <v>10</v>
      </c>
      <c r="C1882" s="1">
        <v>41564</v>
      </c>
      <c r="D1882" s="2">
        <f t="shared" si="58"/>
        <v>4</v>
      </c>
      <c r="E1882" s="2">
        <f t="shared" si="59"/>
        <v>10</v>
      </c>
      <c r="F1882">
        <v>9.9382000000000001</v>
      </c>
      <c r="G1882">
        <v>10.0959</v>
      </c>
      <c r="H1882">
        <v>9.8986999999999998</v>
      </c>
      <c r="I1882">
        <v>9.9776000000000007</v>
      </c>
      <c r="J1882">
        <v>37690</v>
      </c>
      <c r="K1882">
        <v>1.5936999999999999</v>
      </c>
      <c r="L1882">
        <v>1.992</v>
      </c>
    </row>
    <row r="1883" spans="1:12" hidden="1" x14ac:dyDescent="0.25">
      <c r="A1883">
        <v>2330</v>
      </c>
      <c r="B1883" t="s">
        <v>11</v>
      </c>
      <c r="C1883" s="1">
        <v>41564</v>
      </c>
      <c r="D1883" s="2">
        <f t="shared" si="58"/>
        <v>4</v>
      </c>
      <c r="E1883" s="2">
        <f t="shared" si="59"/>
        <v>10</v>
      </c>
      <c r="F1883">
        <v>86.463399999999993</v>
      </c>
      <c r="G1883">
        <v>86.865600000000001</v>
      </c>
      <c r="H1883">
        <v>86.061300000000003</v>
      </c>
      <c r="I1883">
        <v>86.061300000000003</v>
      </c>
      <c r="J1883">
        <v>28186</v>
      </c>
      <c r="K1883">
        <v>0.93899999999999995</v>
      </c>
      <c r="L1883">
        <v>0.93459999999999999</v>
      </c>
    </row>
    <row r="1884" spans="1:12" x14ac:dyDescent="0.25">
      <c r="A1884">
        <v>2303</v>
      </c>
      <c r="B1884" t="s">
        <v>10</v>
      </c>
      <c r="C1884" s="1">
        <v>41565</v>
      </c>
      <c r="D1884" s="2">
        <f t="shared" si="58"/>
        <v>5</v>
      </c>
      <c r="E1884" s="2">
        <f t="shared" si="59"/>
        <v>10</v>
      </c>
      <c r="F1884">
        <v>10.0959</v>
      </c>
      <c r="G1884">
        <v>10.2142</v>
      </c>
      <c r="H1884">
        <v>10.0565</v>
      </c>
      <c r="I1884">
        <v>10.2142</v>
      </c>
      <c r="J1884">
        <v>70023</v>
      </c>
      <c r="K1884">
        <v>2.3439000000000001</v>
      </c>
      <c r="L1884">
        <v>1.5686</v>
      </c>
    </row>
    <row r="1885" spans="1:12" hidden="1" x14ac:dyDescent="0.25">
      <c r="A1885">
        <v>2330</v>
      </c>
      <c r="B1885" t="s">
        <v>11</v>
      </c>
      <c r="C1885" s="1">
        <v>41565</v>
      </c>
      <c r="D1885" s="2">
        <f t="shared" si="58"/>
        <v>5</v>
      </c>
      <c r="E1885" s="2">
        <f t="shared" si="59"/>
        <v>10</v>
      </c>
      <c r="F1885">
        <v>87.267700000000005</v>
      </c>
      <c r="G1885">
        <v>88.474199999999996</v>
      </c>
      <c r="H1885">
        <v>87.267700000000005</v>
      </c>
      <c r="I1885">
        <v>88.474199999999996</v>
      </c>
      <c r="J1885">
        <v>60125</v>
      </c>
      <c r="K1885">
        <v>2.7652000000000001</v>
      </c>
      <c r="L1885">
        <v>1.3825000000000001</v>
      </c>
    </row>
    <row r="1886" spans="1:12" x14ac:dyDescent="0.25">
      <c r="A1886">
        <v>2303</v>
      </c>
      <c r="B1886" t="s">
        <v>10</v>
      </c>
      <c r="C1886" s="1">
        <v>41568</v>
      </c>
      <c r="D1886" s="2">
        <f t="shared" si="58"/>
        <v>1</v>
      </c>
      <c r="E1886" s="2">
        <f t="shared" si="59"/>
        <v>10</v>
      </c>
      <c r="F1886">
        <v>10.2537</v>
      </c>
      <c r="G1886">
        <v>10.293100000000001</v>
      </c>
      <c r="H1886">
        <v>10.135400000000001</v>
      </c>
      <c r="I1886">
        <v>10.2537</v>
      </c>
      <c r="J1886">
        <v>49323</v>
      </c>
      <c r="K1886">
        <v>0.38540000000000002</v>
      </c>
      <c r="L1886">
        <v>1.5564</v>
      </c>
    </row>
    <row r="1887" spans="1:12" hidden="1" x14ac:dyDescent="0.25">
      <c r="A1887">
        <v>2330</v>
      </c>
      <c r="B1887" t="s">
        <v>11</v>
      </c>
      <c r="C1887" s="1">
        <v>41568</v>
      </c>
      <c r="D1887" s="2">
        <f t="shared" si="58"/>
        <v>1</v>
      </c>
      <c r="E1887" s="2">
        <f t="shared" si="59"/>
        <v>10</v>
      </c>
      <c r="F1887">
        <v>89.278499999999994</v>
      </c>
      <c r="G1887">
        <v>89.680700000000002</v>
      </c>
      <c r="H1887">
        <v>88.072100000000006</v>
      </c>
      <c r="I1887">
        <v>88.474199999999996</v>
      </c>
      <c r="J1887">
        <v>41327</v>
      </c>
      <c r="K1887">
        <v>0</v>
      </c>
      <c r="L1887">
        <v>1.8265</v>
      </c>
    </row>
    <row r="1888" spans="1:12" x14ac:dyDescent="0.25">
      <c r="A1888">
        <v>2303</v>
      </c>
      <c r="B1888" t="s">
        <v>10</v>
      </c>
      <c r="C1888" s="1">
        <v>41569</v>
      </c>
      <c r="D1888" s="2">
        <f t="shared" si="58"/>
        <v>2</v>
      </c>
      <c r="E1888" s="2">
        <f t="shared" si="59"/>
        <v>10</v>
      </c>
      <c r="F1888">
        <v>10.174799999999999</v>
      </c>
      <c r="G1888">
        <v>10.293100000000001</v>
      </c>
      <c r="H1888">
        <v>10.0959</v>
      </c>
      <c r="I1888">
        <v>10.174799999999999</v>
      </c>
      <c r="J1888">
        <v>45441</v>
      </c>
      <c r="K1888">
        <v>-0.7722</v>
      </c>
      <c r="L1888">
        <v>1.9531000000000001</v>
      </c>
    </row>
    <row r="1889" spans="1:12" hidden="1" x14ac:dyDescent="0.25">
      <c r="A1889">
        <v>2330</v>
      </c>
      <c r="B1889" t="s">
        <v>11</v>
      </c>
      <c r="C1889" s="1">
        <v>41569</v>
      </c>
      <c r="D1889" s="2">
        <f t="shared" si="58"/>
        <v>2</v>
      </c>
      <c r="E1889" s="2">
        <f t="shared" si="59"/>
        <v>10</v>
      </c>
      <c r="F1889">
        <v>88.474199999999996</v>
      </c>
      <c r="G1889">
        <v>89.680700000000002</v>
      </c>
      <c r="H1889">
        <v>88.072100000000006</v>
      </c>
      <c r="I1889">
        <v>89.680700000000002</v>
      </c>
      <c r="J1889">
        <v>39837</v>
      </c>
      <c r="K1889">
        <v>1.3544</v>
      </c>
      <c r="L1889">
        <v>1.8265</v>
      </c>
    </row>
    <row r="1890" spans="1:12" x14ac:dyDescent="0.25">
      <c r="A1890">
        <v>2303</v>
      </c>
      <c r="B1890" t="s">
        <v>10</v>
      </c>
      <c r="C1890" s="1">
        <v>41570</v>
      </c>
      <c r="D1890" s="2">
        <f t="shared" si="58"/>
        <v>3</v>
      </c>
      <c r="E1890" s="2">
        <f t="shared" si="59"/>
        <v>10</v>
      </c>
      <c r="F1890">
        <v>10.2142</v>
      </c>
      <c r="G1890">
        <v>10.2537</v>
      </c>
      <c r="H1890">
        <v>10.0959</v>
      </c>
      <c r="I1890">
        <v>10.0959</v>
      </c>
      <c r="J1890">
        <v>31831</v>
      </c>
      <c r="K1890">
        <v>-0.7782</v>
      </c>
      <c r="L1890">
        <v>1.5625</v>
      </c>
    </row>
    <row r="1891" spans="1:12" hidden="1" x14ac:dyDescent="0.25">
      <c r="A1891">
        <v>2330</v>
      </c>
      <c r="B1891" t="s">
        <v>11</v>
      </c>
      <c r="C1891" s="1">
        <v>41570</v>
      </c>
      <c r="D1891" s="2">
        <f t="shared" si="58"/>
        <v>3</v>
      </c>
      <c r="E1891" s="2">
        <f t="shared" si="59"/>
        <v>10</v>
      </c>
      <c r="F1891">
        <v>89.278499999999994</v>
      </c>
      <c r="G1891">
        <v>89.680700000000002</v>
      </c>
      <c r="H1891">
        <v>88.474199999999996</v>
      </c>
      <c r="I1891">
        <v>89.278499999999994</v>
      </c>
      <c r="J1891">
        <v>23057</v>
      </c>
      <c r="K1891">
        <v>-0.44940000000000002</v>
      </c>
      <c r="L1891">
        <v>1.3635999999999999</v>
      </c>
    </row>
    <row r="1892" spans="1:12" x14ac:dyDescent="0.25">
      <c r="A1892">
        <v>2303</v>
      </c>
      <c r="B1892" t="s">
        <v>10</v>
      </c>
      <c r="C1892" s="1">
        <v>41571</v>
      </c>
      <c r="D1892" s="2">
        <f t="shared" si="58"/>
        <v>4</v>
      </c>
      <c r="E1892" s="2">
        <f t="shared" si="59"/>
        <v>10</v>
      </c>
      <c r="F1892">
        <v>10.016999999999999</v>
      </c>
      <c r="G1892">
        <v>10.0959</v>
      </c>
      <c r="H1892">
        <v>9.9776000000000007</v>
      </c>
      <c r="I1892">
        <v>10.0565</v>
      </c>
      <c r="J1892">
        <v>30077</v>
      </c>
      <c r="K1892">
        <v>-0.39140000000000003</v>
      </c>
      <c r="L1892">
        <v>1.1858</v>
      </c>
    </row>
    <row r="1893" spans="1:12" hidden="1" x14ac:dyDescent="0.25">
      <c r="A1893">
        <v>2330</v>
      </c>
      <c r="B1893" t="s">
        <v>11</v>
      </c>
      <c r="C1893" s="1">
        <v>41571</v>
      </c>
      <c r="D1893" s="2">
        <f t="shared" si="58"/>
        <v>4</v>
      </c>
      <c r="E1893" s="2">
        <f t="shared" si="59"/>
        <v>10</v>
      </c>
      <c r="F1893">
        <v>87.669899999999998</v>
      </c>
      <c r="G1893">
        <v>88.474199999999996</v>
      </c>
      <c r="H1893">
        <v>87.267700000000005</v>
      </c>
      <c r="I1893">
        <v>88.474199999999996</v>
      </c>
      <c r="J1893">
        <v>21570</v>
      </c>
      <c r="K1893">
        <v>-0.90500000000000003</v>
      </c>
      <c r="L1893">
        <v>1.3825000000000001</v>
      </c>
    </row>
    <row r="1894" spans="1:12" x14ac:dyDescent="0.25">
      <c r="A1894">
        <v>2303</v>
      </c>
      <c r="B1894" t="s">
        <v>10</v>
      </c>
      <c r="C1894" s="1">
        <v>41572</v>
      </c>
      <c r="D1894" s="2">
        <f t="shared" si="58"/>
        <v>5</v>
      </c>
      <c r="E1894" s="2">
        <f t="shared" si="59"/>
        <v>10</v>
      </c>
      <c r="F1894">
        <v>10.016999999999999</v>
      </c>
      <c r="G1894">
        <v>10.0565</v>
      </c>
      <c r="H1894">
        <v>9.8199000000000005</v>
      </c>
      <c r="I1894">
        <v>9.8986999999999998</v>
      </c>
      <c r="J1894">
        <v>51715</v>
      </c>
      <c r="K1894">
        <v>-1.5810999999999999</v>
      </c>
      <c r="L1894">
        <v>2.4096000000000002</v>
      </c>
    </row>
    <row r="1895" spans="1:12" hidden="1" x14ac:dyDescent="0.25">
      <c r="A1895">
        <v>2330</v>
      </c>
      <c r="B1895" t="s">
        <v>11</v>
      </c>
      <c r="C1895" s="1">
        <v>41572</v>
      </c>
      <c r="D1895" s="2">
        <f t="shared" si="58"/>
        <v>5</v>
      </c>
      <c r="E1895" s="2">
        <f t="shared" si="59"/>
        <v>10</v>
      </c>
      <c r="F1895">
        <v>87.267700000000005</v>
      </c>
      <c r="G1895">
        <v>87.669899999999998</v>
      </c>
      <c r="H1895">
        <v>85.659099999999995</v>
      </c>
      <c r="I1895">
        <v>86.061300000000003</v>
      </c>
      <c r="J1895">
        <v>37244</v>
      </c>
      <c r="K1895">
        <v>-2.7652000000000001</v>
      </c>
      <c r="L1895">
        <v>2.3473999999999999</v>
      </c>
    </row>
    <row r="1896" spans="1:12" x14ac:dyDescent="0.25">
      <c r="A1896">
        <v>2303</v>
      </c>
      <c r="B1896" t="s">
        <v>10</v>
      </c>
      <c r="C1896" s="1">
        <v>41575</v>
      </c>
      <c r="D1896" s="2">
        <f t="shared" si="58"/>
        <v>1</v>
      </c>
      <c r="E1896" s="2">
        <f t="shared" si="59"/>
        <v>10</v>
      </c>
      <c r="F1896">
        <v>9.8986999999999998</v>
      </c>
      <c r="G1896">
        <v>10.0565</v>
      </c>
      <c r="H1896">
        <v>9.8592999999999993</v>
      </c>
      <c r="I1896">
        <v>9.9776000000000007</v>
      </c>
      <c r="J1896">
        <v>33907</v>
      </c>
      <c r="K1896">
        <v>0.79369999999999996</v>
      </c>
      <c r="L1896">
        <v>2</v>
      </c>
    </row>
    <row r="1897" spans="1:12" hidden="1" x14ac:dyDescent="0.25">
      <c r="A1897">
        <v>2330</v>
      </c>
      <c r="B1897" t="s">
        <v>11</v>
      </c>
      <c r="C1897" s="1">
        <v>41575</v>
      </c>
      <c r="D1897" s="2">
        <f t="shared" si="58"/>
        <v>1</v>
      </c>
      <c r="E1897" s="2">
        <f t="shared" si="59"/>
        <v>10</v>
      </c>
      <c r="F1897">
        <v>86.865600000000001</v>
      </c>
      <c r="G1897">
        <v>88.072100000000006</v>
      </c>
      <c r="H1897">
        <v>86.463399999999993</v>
      </c>
      <c r="I1897">
        <v>88.072100000000006</v>
      </c>
      <c r="J1897">
        <v>21241</v>
      </c>
      <c r="K1897">
        <v>2.3096000000000001</v>
      </c>
      <c r="L1897">
        <v>1.8605</v>
      </c>
    </row>
    <row r="1898" spans="1:12" x14ac:dyDescent="0.25">
      <c r="A1898">
        <v>2303</v>
      </c>
      <c r="B1898" t="s">
        <v>10</v>
      </c>
      <c r="C1898" s="1">
        <v>41576</v>
      </c>
      <c r="D1898" s="2">
        <f t="shared" si="58"/>
        <v>2</v>
      </c>
      <c r="E1898" s="2">
        <f t="shared" si="59"/>
        <v>10</v>
      </c>
      <c r="F1898">
        <v>9.9776000000000007</v>
      </c>
      <c r="G1898">
        <v>10.0959</v>
      </c>
      <c r="H1898">
        <v>9.9382000000000001</v>
      </c>
      <c r="I1898">
        <v>9.9776000000000007</v>
      </c>
      <c r="J1898">
        <v>34588</v>
      </c>
      <c r="K1898">
        <v>0</v>
      </c>
      <c r="L1898">
        <v>1.5872999999999999</v>
      </c>
    </row>
    <row r="1899" spans="1:12" hidden="1" x14ac:dyDescent="0.25">
      <c r="A1899">
        <v>2330</v>
      </c>
      <c r="B1899" t="s">
        <v>11</v>
      </c>
      <c r="C1899" s="1">
        <v>41576</v>
      </c>
      <c r="D1899" s="2">
        <f t="shared" si="58"/>
        <v>2</v>
      </c>
      <c r="E1899" s="2">
        <f t="shared" si="59"/>
        <v>10</v>
      </c>
      <c r="F1899">
        <v>87.267700000000005</v>
      </c>
      <c r="G1899">
        <v>88.072100000000006</v>
      </c>
      <c r="H1899">
        <v>86.865600000000001</v>
      </c>
      <c r="I1899">
        <v>88.072100000000006</v>
      </c>
      <c r="J1899">
        <v>21531</v>
      </c>
      <c r="K1899">
        <v>0</v>
      </c>
      <c r="L1899">
        <v>1.3889</v>
      </c>
    </row>
    <row r="1900" spans="1:12" x14ac:dyDescent="0.25">
      <c r="A1900">
        <v>2303</v>
      </c>
      <c r="B1900" t="s">
        <v>10</v>
      </c>
      <c r="C1900" s="1">
        <v>41577</v>
      </c>
      <c r="D1900" s="2">
        <f t="shared" si="58"/>
        <v>3</v>
      </c>
      <c r="E1900" s="2">
        <f t="shared" si="59"/>
        <v>10</v>
      </c>
      <c r="F1900">
        <v>10.0565</v>
      </c>
      <c r="G1900">
        <v>10.3325</v>
      </c>
      <c r="H1900">
        <v>10.016999999999999</v>
      </c>
      <c r="I1900">
        <v>10.3325</v>
      </c>
      <c r="J1900">
        <v>94599</v>
      </c>
      <c r="K1900">
        <v>3.4954999999999998</v>
      </c>
      <c r="L1900">
        <v>3.1496</v>
      </c>
    </row>
    <row r="1901" spans="1:12" hidden="1" x14ac:dyDescent="0.25">
      <c r="A1901">
        <v>2330</v>
      </c>
      <c r="B1901" t="s">
        <v>11</v>
      </c>
      <c r="C1901" s="1">
        <v>41577</v>
      </c>
      <c r="D1901" s="2">
        <f t="shared" si="58"/>
        <v>3</v>
      </c>
      <c r="E1901" s="2">
        <f t="shared" si="59"/>
        <v>10</v>
      </c>
      <c r="F1901">
        <v>87.669899999999998</v>
      </c>
      <c r="G1901">
        <v>88.474199999999996</v>
      </c>
      <c r="H1901">
        <v>87.669899999999998</v>
      </c>
      <c r="I1901">
        <v>88.474199999999996</v>
      </c>
      <c r="J1901">
        <v>16768</v>
      </c>
      <c r="K1901">
        <v>0.4556</v>
      </c>
      <c r="L1901">
        <v>0.91739999999999999</v>
      </c>
    </row>
    <row r="1902" spans="1:12" x14ac:dyDescent="0.25">
      <c r="A1902">
        <v>2303</v>
      </c>
      <c r="B1902" t="s">
        <v>10</v>
      </c>
      <c r="C1902" s="1">
        <v>41578</v>
      </c>
      <c r="D1902" s="2">
        <f t="shared" si="58"/>
        <v>4</v>
      </c>
      <c r="E1902" s="2">
        <f t="shared" si="59"/>
        <v>10</v>
      </c>
      <c r="F1902">
        <v>10.174799999999999</v>
      </c>
      <c r="G1902">
        <v>10.174799999999999</v>
      </c>
      <c r="H1902">
        <v>9.8199000000000005</v>
      </c>
      <c r="I1902">
        <v>9.8199000000000005</v>
      </c>
      <c r="J1902">
        <v>144295</v>
      </c>
      <c r="K1902">
        <v>-5.0891999999999999</v>
      </c>
      <c r="L1902">
        <v>3.6145</v>
      </c>
    </row>
    <row r="1903" spans="1:12" hidden="1" x14ac:dyDescent="0.25">
      <c r="A1903">
        <v>2330</v>
      </c>
      <c r="B1903" t="s">
        <v>11</v>
      </c>
      <c r="C1903" s="1">
        <v>41578</v>
      </c>
      <c r="D1903" s="2">
        <f t="shared" si="58"/>
        <v>4</v>
      </c>
      <c r="E1903" s="2">
        <f t="shared" si="59"/>
        <v>10</v>
      </c>
      <c r="F1903">
        <v>87.267700000000005</v>
      </c>
      <c r="G1903">
        <v>88.072100000000006</v>
      </c>
      <c r="H1903">
        <v>86.865600000000001</v>
      </c>
      <c r="I1903">
        <v>88.072100000000006</v>
      </c>
      <c r="J1903">
        <v>23098</v>
      </c>
      <c r="K1903">
        <v>-0.4556</v>
      </c>
      <c r="L1903">
        <v>1.3889</v>
      </c>
    </row>
    <row r="1904" spans="1:12" x14ac:dyDescent="0.25">
      <c r="A1904">
        <v>2303</v>
      </c>
      <c r="B1904" t="s">
        <v>10</v>
      </c>
      <c r="C1904" s="1">
        <v>41579</v>
      </c>
      <c r="D1904" s="2">
        <f t="shared" si="58"/>
        <v>5</v>
      </c>
      <c r="E1904" s="2">
        <f t="shared" si="59"/>
        <v>11</v>
      </c>
      <c r="F1904">
        <v>9.8592999999999993</v>
      </c>
      <c r="G1904">
        <v>9.8592999999999993</v>
      </c>
      <c r="H1904">
        <v>9.7804000000000002</v>
      </c>
      <c r="I1904">
        <v>9.8199000000000005</v>
      </c>
      <c r="J1904">
        <v>38868</v>
      </c>
      <c r="K1904">
        <v>0</v>
      </c>
      <c r="L1904">
        <v>0.80649999999999999</v>
      </c>
    </row>
    <row r="1905" spans="1:12" hidden="1" x14ac:dyDescent="0.25">
      <c r="A1905">
        <v>2330</v>
      </c>
      <c r="B1905" t="s">
        <v>11</v>
      </c>
      <c r="C1905" s="1">
        <v>41579</v>
      </c>
      <c r="D1905" s="2">
        <f t="shared" si="58"/>
        <v>5</v>
      </c>
      <c r="E1905" s="2">
        <f t="shared" si="59"/>
        <v>11</v>
      </c>
      <c r="F1905">
        <v>88.876400000000004</v>
      </c>
      <c r="G1905">
        <v>88.876400000000004</v>
      </c>
      <c r="H1905">
        <v>87.267700000000005</v>
      </c>
      <c r="I1905">
        <v>88.072100000000006</v>
      </c>
      <c r="J1905">
        <v>10870</v>
      </c>
      <c r="K1905">
        <v>0</v>
      </c>
      <c r="L1905">
        <v>1.8432999999999999</v>
      </c>
    </row>
    <row r="1906" spans="1:12" x14ac:dyDescent="0.25">
      <c r="A1906">
        <v>2303</v>
      </c>
      <c r="B1906" t="s">
        <v>10</v>
      </c>
      <c r="C1906" s="1">
        <v>41582</v>
      </c>
      <c r="D1906" s="2">
        <f t="shared" si="58"/>
        <v>1</v>
      </c>
      <c r="E1906" s="2">
        <f t="shared" si="59"/>
        <v>11</v>
      </c>
      <c r="F1906">
        <v>9.7804000000000002</v>
      </c>
      <c r="G1906">
        <v>9.7804000000000002</v>
      </c>
      <c r="H1906">
        <v>9.6621000000000006</v>
      </c>
      <c r="I1906">
        <v>9.7409999999999997</v>
      </c>
      <c r="J1906">
        <v>52763</v>
      </c>
      <c r="K1906">
        <v>-0.80649999999999999</v>
      </c>
      <c r="L1906">
        <v>1.2244999999999999</v>
      </c>
    </row>
    <row r="1907" spans="1:12" hidden="1" x14ac:dyDescent="0.25">
      <c r="A1907">
        <v>2330</v>
      </c>
      <c r="B1907" t="s">
        <v>11</v>
      </c>
      <c r="C1907" s="1">
        <v>41582</v>
      </c>
      <c r="D1907" s="2">
        <f t="shared" si="58"/>
        <v>1</v>
      </c>
      <c r="E1907" s="2">
        <f t="shared" si="59"/>
        <v>11</v>
      </c>
      <c r="F1907">
        <v>86.865600000000001</v>
      </c>
      <c r="G1907">
        <v>87.669899999999998</v>
      </c>
      <c r="H1907">
        <v>86.865600000000001</v>
      </c>
      <c r="I1907">
        <v>87.669899999999998</v>
      </c>
      <c r="J1907">
        <v>9642</v>
      </c>
      <c r="K1907">
        <v>-0.4577</v>
      </c>
      <c r="L1907">
        <v>0.92589999999999995</v>
      </c>
    </row>
    <row r="1908" spans="1:12" x14ac:dyDescent="0.25">
      <c r="A1908">
        <v>2303</v>
      </c>
      <c r="B1908" t="s">
        <v>10</v>
      </c>
      <c r="C1908" s="1">
        <v>41583</v>
      </c>
      <c r="D1908" s="2">
        <f t="shared" si="58"/>
        <v>2</v>
      </c>
      <c r="E1908" s="2">
        <f t="shared" si="59"/>
        <v>11</v>
      </c>
      <c r="F1908">
        <v>9.7015999999999991</v>
      </c>
      <c r="G1908">
        <v>9.8592999999999993</v>
      </c>
      <c r="H1908">
        <v>9.7015999999999991</v>
      </c>
      <c r="I1908">
        <v>9.7409999999999997</v>
      </c>
      <c r="J1908">
        <v>33532</v>
      </c>
      <c r="K1908">
        <v>0</v>
      </c>
      <c r="L1908">
        <v>1.6259999999999999</v>
      </c>
    </row>
    <row r="1909" spans="1:12" hidden="1" x14ac:dyDescent="0.25">
      <c r="A1909">
        <v>2330</v>
      </c>
      <c r="B1909" t="s">
        <v>11</v>
      </c>
      <c r="C1909" s="1">
        <v>41583</v>
      </c>
      <c r="D1909" s="2">
        <f t="shared" si="58"/>
        <v>2</v>
      </c>
      <c r="E1909" s="2">
        <f t="shared" si="59"/>
        <v>11</v>
      </c>
      <c r="F1909">
        <v>87.267700000000005</v>
      </c>
      <c r="G1909">
        <v>87.669899999999998</v>
      </c>
      <c r="H1909">
        <v>85.659099999999995</v>
      </c>
      <c r="I1909">
        <v>85.659099999999995</v>
      </c>
      <c r="J1909">
        <v>21861</v>
      </c>
      <c r="K1909">
        <v>-2.3203</v>
      </c>
      <c r="L1909">
        <v>2.3473999999999999</v>
      </c>
    </row>
    <row r="1910" spans="1:12" x14ac:dyDescent="0.25">
      <c r="A1910">
        <v>2303</v>
      </c>
      <c r="B1910" t="s">
        <v>10</v>
      </c>
      <c r="C1910" s="1">
        <v>41584</v>
      </c>
      <c r="D1910" s="2">
        <f t="shared" si="58"/>
        <v>3</v>
      </c>
      <c r="E1910" s="2">
        <f t="shared" si="59"/>
        <v>11</v>
      </c>
      <c r="F1910">
        <v>9.7409999999999997</v>
      </c>
      <c r="G1910">
        <v>9.7804000000000002</v>
      </c>
      <c r="H1910">
        <v>9.6621000000000006</v>
      </c>
      <c r="I1910">
        <v>9.7015999999999991</v>
      </c>
      <c r="J1910">
        <v>34671</v>
      </c>
      <c r="K1910">
        <v>-0.40570000000000001</v>
      </c>
      <c r="L1910">
        <v>1.2244999999999999</v>
      </c>
    </row>
    <row r="1911" spans="1:12" hidden="1" x14ac:dyDescent="0.25">
      <c r="A1911">
        <v>2330</v>
      </c>
      <c r="B1911" t="s">
        <v>11</v>
      </c>
      <c r="C1911" s="1">
        <v>41584</v>
      </c>
      <c r="D1911" s="2">
        <f t="shared" si="58"/>
        <v>3</v>
      </c>
      <c r="E1911" s="2">
        <f t="shared" si="59"/>
        <v>11</v>
      </c>
      <c r="F1911">
        <v>85.659099999999995</v>
      </c>
      <c r="G1911">
        <v>86.463399999999993</v>
      </c>
      <c r="H1911">
        <v>85.659099999999995</v>
      </c>
      <c r="I1911">
        <v>86.061300000000003</v>
      </c>
      <c r="J1911">
        <v>17440</v>
      </c>
      <c r="K1911">
        <v>0.46839999999999998</v>
      </c>
      <c r="L1911">
        <v>0.93899999999999995</v>
      </c>
    </row>
    <row r="1912" spans="1:12" x14ac:dyDescent="0.25">
      <c r="A1912">
        <v>2303</v>
      </c>
      <c r="B1912" t="s">
        <v>10</v>
      </c>
      <c r="C1912" s="1">
        <v>41585</v>
      </c>
      <c r="D1912" s="2">
        <f t="shared" si="58"/>
        <v>4</v>
      </c>
      <c r="E1912" s="2">
        <f t="shared" si="59"/>
        <v>11</v>
      </c>
      <c r="F1912">
        <v>9.7015999999999991</v>
      </c>
      <c r="G1912">
        <v>9.8199000000000005</v>
      </c>
      <c r="H1912">
        <v>9.6621000000000006</v>
      </c>
      <c r="I1912">
        <v>9.8199000000000005</v>
      </c>
      <c r="J1912">
        <v>27328</v>
      </c>
      <c r="K1912">
        <v>1.2121</v>
      </c>
      <c r="L1912">
        <v>1.6327</v>
      </c>
    </row>
    <row r="1913" spans="1:12" hidden="1" x14ac:dyDescent="0.25">
      <c r="A1913">
        <v>2330</v>
      </c>
      <c r="B1913" t="s">
        <v>11</v>
      </c>
      <c r="C1913" s="1">
        <v>41585</v>
      </c>
      <c r="D1913" s="2">
        <f t="shared" si="58"/>
        <v>4</v>
      </c>
      <c r="E1913" s="2">
        <f t="shared" si="59"/>
        <v>11</v>
      </c>
      <c r="F1913">
        <v>86.061300000000003</v>
      </c>
      <c r="G1913">
        <v>86.463399999999993</v>
      </c>
      <c r="H1913">
        <v>85.257000000000005</v>
      </c>
      <c r="I1913">
        <v>86.061300000000003</v>
      </c>
      <c r="J1913">
        <v>15944</v>
      </c>
      <c r="K1913">
        <v>0</v>
      </c>
      <c r="L1913">
        <v>1.4151</v>
      </c>
    </row>
    <row r="1914" spans="1:12" x14ac:dyDescent="0.25">
      <c r="A1914">
        <v>2303</v>
      </c>
      <c r="B1914" t="s">
        <v>10</v>
      </c>
      <c r="C1914" s="1">
        <v>41586</v>
      </c>
      <c r="D1914" s="2">
        <f t="shared" si="58"/>
        <v>5</v>
      </c>
      <c r="E1914" s="2">
        <f t="shared" si="59"/>
        <v>11</v>
      </c>
      <c r="F1914">
        <v>9.7409999999999997</v>
      </c>
      <c r="G1914">
        <v>9.7804000000000002</v>
      </c>
      <c r="H1914">
        <v>9.7015999999999991</v>
      </c>
      <c r="I1914">
        <v>9.7409999999999997</v>
      </c>
      <c r="J1914">
        <v>13344</v>
      </c>
      <c r="K1914">
        <v>-0.80649999999999999</v>
      </c>
      <c r="L1914">
        <v>0.81299999999999994</v>
      </c>
    </row>
    <row r="1915" spans="1:12" hidden="1" x14ac:dyDescent="0.25">
      <c r="A1915">
        <v>2330</v>
      </c>
      <c r="B1915" t="s">
        <v>11</v>
      </c>
      <c r="C1915" s="1">
        <v>41586</v>
      </c>
      <c r="D1915" s="2">
        <f t="shared" si="58"/>
        <v>5</v>
      </c>
      <c r="E1915" s="2">
        <f t="shared" si="59"/>
        <v>11</v>
      </c>
      <c r="F1915">
        <v>84.452699999999993</v>
      </c>
      <c r="G1915">
        <v>85.659099999999995</v>
      </c>
      <c r="H1915">
        <v>84.452699999999993</v>
      </c>
      <c r="I1915">
        <v>85.257000000000005</v>
      </c>
      <c r="J1915">
        <v>31481</v>
      </c>
      <c r="K1915">
        <v>-0.93899999999999995</v>
      </c>
      <c r="L1915">
        <v>1.4286000000000001</v>
      </c>
    </row>
    <row r="1916" spans="1:12" x14ac:dyDescent="0.25">
      <c r="A1916">
        <v>2303</v>
      </c>
      <c r="B1916" t="s">
        <v>10</v>
      </c>
      <c r="C1916" s="1">
        <v>41589</v>
      </c>
      <c r="D1916" s="2">
        <f t="shared" si="58"/>
        <v>1</v>
      </c>
      <c r="E1916" s="2">
        <f t="shared" si="59"/>
        <v>11</v>
      </c>
      <c r="F1916">
        <v>9.7015999999999991</v>
      </c>
      <c r="G1916">
        <v>9.7409999999999997</v>
      </c>
      <c r="H1916">
        <v>9.5831999999999997</v>
      </c>
      <c r="I1916">
        <v>9.5831999999999997</v>
      </c>
      <c r="J1916">
        <v>27477</v>
      </c>
      <c r="K1916">
        <v>-1.6327</v>
      </c>
      <c r="L1916">
        <v>1.6460999999999999</v>
      </c>
    </row>
    <row r="1917" spans="1:12" hidden="1" x14ac:dyDescent="0.25">
      <c r="A1917">
        <v>2330</v>
      </c>
      <c r="B1917" t="s">
        <v>11</v>
      </c>
      <c r="C1917" s="1">
        <v>41589</v>
      </c>
      <c r="D1917" s="2">
        <f t="shared" si="58"/>
        <v>1</v>
      </c>
      <c r="E1917" s="2">
        <f t="shared" si="59"/>
        <v>11</v>
      </c>
      <c r="F1917">
        <v>84.452699999999993</v>
      </c>
      <c r="G1917">
        <v>85.257000000000005</v>
      </c>
      <c r="H1917">
        <v>84.0505</v>
      </c>
      <c r="I1917">
        <v>84.0505</v>
      </c>
      <c r="J1917">
        <v>21491</v>
      </c>
      <c r="K1917">
        <v>-1.4252</v>
      </c>
      <c r="L1917">
        <v>1.4354</v>
      </c>
    </row>
    <row r="1918" spans="1:12" x14ac:dyDescent="0.25">
      <c r="A1918">
        <v>2303</v>
      </c>
      <c r="B1918" t="s">
        <v>10</v>
      </c>
      <c r="C1918" s="1">
        <v>41590</v>
      </c>
      <c r="D1918" s="2">
        <f t="shared" si="58"/>
        <v>2</v>
      </c>
      <c r="E1918" s="2">
        <f t="shared" si="59"/>
        <v>11</v>
      </c>
      <c r="F1918">
        <v>9.5831999999999997</v>
      </c>
      <c r="G1918">
        <v>9.6621000000000006</v>
      </c>
      <c r="H1918">
        <v>9.4649000000000001</v>
      </c>
      <c r="I1918">
        <v>9.5437999999999992</v>
      </c>
      <c r="J1918">
        <v>37813</v>
      </c>
      <c r="K1918">
        <v>-0.41239999999999999</v>
      </c>
      <c r="L1918">
        <v>2.0832999999999999</v>
      </c>
    </row>
    <row r="1919" spans="1:12" hidden="1" x14ac:dyDescent="0.25">
      <c r="A1919">
        <v>2330</v>
      </c>
      <c r="B1919" t="s">
        <v>11</v>
      </c>
      <c r="C1919" s="1">
        <v>41590</v>
      </c>
      <c r="D1919" s="2">
        <f t="shared" si="58"/>
        <v>2</v>
      </c>
      <c r="E1919" s="2">
        <f t="shared" si="59"/>
        <v>11</v>
      </c>
      <c r="F1919">
        <v>85.257000000000005</v>
      </c>
      <c r="G1919">
        <v>85.257000000000005</v>
      </c>
      <c r="H1919">
        <v>84.0505</v>
      </c>
      <c r="I1919">
        <v>84.452699999999993</v>
      </c>
      <c r="J1919">
        <v>31992</v>
      </c>
      <c r="K1919">
        <v>0.4773</v>
      </c>
      <c r="L1919">
        <v>1.4354</v>
      </c>
    </row>
    <row r="1920" spans="1:12" x14ac:dyDescent="0.25">
      <c r="A1920">
        <v>2303</v>
      </c>
      <c r="B1920" t="s">
        <v>10</v>
      </c>
      <c r="C1920" s="1">
        <v>41591</v>
      </c>
      <c r="D1920" s="2">
        <f t="shared" si="58"/>
        <v>3</v>
      </c>
      <c r="E1920" s="2">
        <f t="shared" si="59"/>
        <v>11</v>
      </c>
      <c r="F1920">
        <v>9.5044000000000004</v>
      </c>
      <c r="G1920">
        <v>9.5437999999999992</v>
      </c>
      <c r="H1920">
        <v>9.4254999999999995</v>
      </c>
      <c r="I1920">
        <v>9.4649000000000001</v>
      </c>
      <c r="J1920">
        <v>52608</v>
      </c>
      <c r="K1920">
        <v>-0.82989999999999997</v>
      </c>
      <c r="L1920">
        <v>1.2552000000000001</v>
      </c>
    </row>
    <row r="1921" spans="1:12" hidden="1" x14ac:dyDescent="0.25">
      <c r="A1921">
        <v>2330</v>
      </c>
      <c r="B1921" t="s">
        <v>11</v>
      </c>
      <c r="C1921" s="1">
        <v>41591</v>
      </c>
      <c r="D1921" s="2">
        <f t="shared" si="58"/>
        <v>3</v>
      </c>
      <c r="E1921" s="2">
        <f t="shared" si="59"/>
        <v>11</v>
      </c>
      <c r="F1921">
        <v>84.452699999999993</v>
      </c>
      <c r="G1921">
        <v>84.452699999999993</v>
      </c>
      <c r="H1921">
        <v>82.843999999999994</v>
      </c>
      <c r="I1921">
        <v>82.843999999999994</v>
      </c>
      <c r="J1921">
        <v>26708</v>
      </c>
      <c r="K1921">
        <v>-1.9231</v>
      </c>
      <c r="L1921">
        <v>1.9417</v>
      </c>
    </row>
    <row r="1922" spans="1:12" x14ac:dyDescent="0.25">
      <c r="A1922">
        <v>2303</v>
      </c>
      <c r="B1922" t="s">
        <v>10</v>
      </c>
      <c r="C1922" s="1">
        <v>41592</v>
      </c>
      <c r="D1922" s="2">
        <f t="shared" si="58"/>
        <v>4</v>
      </c>
      <c r="E1922" s="2">
        <f t="shared" si="59"/>
        <v>11</v>
      </c>
      <c r="F1922">
        <v>9.4649000000000001</v>
      </c>
      <c r="G1922">
        <v>9.5437999999999992</v>
      </c>
      <c r="H1922">
        <v>9.4649000000000001</v>
      </c>
      <c r="I1922">
        <v>9.4649000000000001</v>
      </c>
      <c r="J1922">
        <v>36345</v>
      </c>
      <c r="K1922">
        <v>0</v>
      </c>
      <c r="L1922">
        <v>0.83330000000000004</v>
      </c>
    </row>
    <row r="1923" spans="1:12" hidden="1" x14ac:dyDescent="0.25">
      <c r="A1923">
        <v>2330</v>
      </c>
      <c r="B1923" t="s">
        <v>11</v>
      </c>
      <c r="C1923" s="1">
        <v>41592</v>
      </c>
      <c r="D1923" s="2">
        <f t="shared" ref="D1923:D1986" si="60">WEEKDAY(C1923,2)</f>
        <v>4</v>
      </c>
      <c r="E1923" s="2">
        <f t="shared" ref="E1923:E1986" si="61">MONTH(C1923)</f>
        <v>11</v>
      </c>
      <c r="F1923">
        <v>83.648300000000006</v>
      </c>
      <c r="G1923">
        <v>84.0505</v>
      </c>
      <c r="H1923">
        <v>83.246200000000002</v>
      </c>
      <c r="I1923">
        <v>83.246200000000002</v>
      </c>
      <c r="J1923">
        <v>29933</v>
      </c>
      <c r="K1923">
        <v>0.48430000000000001</v>
      </c>
      <c r="L1923">
        <v>0.96619999999999995</v>
      </c>
    </row>
    <row r="1924" spans="1:12" x14ac:dyDescent="0.25">
      <c r="A1924">
        <v>2303</v>
      </c>
      <c r="B1924" t="s">
        <v>10</v>
      </c>
      <c r="C1924" s="1">
        <v>41593</v>
      </c>
      <c r="D1924" s="2">
        <f t="shared" si="60"/>
        <v>5</v>
      </c>
      <c r="E1924" s="2">
        <f t="shared" si="61"/>
        <v>11</v>
      </c>
      <c r="F1924">
        <v>9.5437999999999992</v>
      </c>
      <c r="G1924">
        <v>9.5831999999999997</v>
      </c>
      <c r="H1924">
        <v>9.4649000000000001</v>
      </c>
      <c r="I1924">
        <v>9.5044000000000004</v>
      </c>
      <c r="J1924">
        <v>21781</v>
      </c>
      <c r="K1924">
        <v>0.4158</v>
      </c>
      <c r="L1924">
        <v>1.25</v>
      </c>
    </row>
    <row r="1925" spans="1:12" hidden="1" x14ac:dyDescent="0.25">
      <c r="A1925">
        <v>2330</v>
      </c>
      <c r="B1925" t="s">
        <v>11</v>
      </c>
      <c r="C1925" s="1">
        <v>41593</v>
      </c>
      <c r="D1925" s="2">
        <f t="shared" si="60"/>
        <v>5</v>
      </c>
      <c r="E1925" s="2">
        <f t="shared" si="61"/>
        <v>11</v>
      </c>
      <c r="F1925">
        <v>83.246200000000002</v>
      </c>
      <c r="G1925">
        <v>84.0505</v>
      </c>
      <c r="H1925">
        <v>83.246200000000002</v>
      </c>
      <c r="I1925">
        <v>83.648300000000006</v>
      </c>
      <c r="J1925">
        <v>19904</v>
      </c>
      <c r="K1925">
        <v>0.4819</v>
      </c>
      <c r="L1925">
        <v>0.96619999999999995</v>
      </c>
    </row>
    <row r="1926" spans="1:12" x14ac:dyDescent="0.25">
      <c r="A1926">
        <v>2303</v>
      </c>
      <c r="B1926" t="s">
        <v>10</v>
      </c>
      <c r="C1926" s="1">
        <v>41596</v>
      </c>
      <c r="D1926" s="2">
        <f t="shared" si="60"/>
        <v>1</v>
      </c>
      <c r="E1926" s="2">
        <f t="shared" si="61"/>
        <v>11</v>
      </c>
      <c r="F1926">
        <v>9.5437999999999992</v>
      </c>
      <c r="G1926">
        <v>9.5831999999999997</v>
      </c>
      <c r="H1926">
        <v>9.4649000000000001</v>
      </c>
      <c r="I1926">
        <v>9.5044000000000004</v>
      </c>
      <c r="J1926">
        <v>17199</v>
      </c>
      <c r="K1926">
        <v>0</v>
      </c>
      <c r="L1926">
        <v>1.25</v>
      </c>
    </row>
    <row r="1927" spans="1:12" hidden="1" x14ac:dyDescent="0.25">
      <c r="A1927">
        <v>2330</v>
      </c>
      <c r="B1927" t="s">
        <v>11</v>
      </c>
      <c r="C1927" s="1">
        <v>41596</v>
      </c>
      <c r="D1927" s="2">
        <f t="shared" si="60"/>
        <v>1</v>
      </c>
      <c r="E1927" s="2">
        <f t="shared" si="61"/>
        <v>11</v>
      </c>
      <c r="F1927">
        <v>84.0505</v>
      </c>
      <c r="G1927">
        <v>84.452699999999993</v>
      </c>
      <c r="H1927">
        <v>83.648300000000006</v>
      </c>
      <c r="I1927">
        <v>83.648300000000006</v>
      </c>
      <c r="J1927">
        <v>25297</v>
      </c>
      <c r="K1927">
        <v>0</v>
      </c>
      <c r="L1927">
        <v>0.96150000000000002</v>
      </c>
    </row>
    <row r="1928" spans="1:12" x14ac:dyDescent="0.25">
      <c r="A1928">
        <v>2303</v>
      </c>
      <c r="B1928" t="s">
        <v>10</v>
      </c>
      <c r="C1928" s="1">
        <v>41597</v>
      </c>
      <c r="D1928" s="2">
        <f t="shared" si="60"/>
        <v>2</v>
      </c>
      <c r="E1928" s="2">
        <f t="shared" si="61"/>
        <v>11</v>
      </c>
      <c r="F1928">
        <v>9.5437999999999992</v>
      </c>
      <c r="G1928">
        <v>9.5437999999999992</v>
      </c>
      <c r="H1928">
        <v>9.4649000000000001</v>
      </c>
      <c r="I1928">
        <v>9.5044000000000004</v>
      </c>
      <c r="J1928">
        <v>31939</v>
      </c>
      <c r="K1928">
        <v>0</v>
      </c>
      <c r="L1928">
        <v>0.83330000000000004</v>
      </c>
    </row>
    <row r="1929" spans="1:12" hidden="1" x14ac:dyDescent="0.25">
      <c r="A1929">
        <v>2330</v>
      </c>
      <c r="B1929" t="s">
        <v>11</v>
      </c>
      <c r="C1929" s="1">
        <v>41597</v>
      </c>
      <c r="D1929" s="2">
        <f t="shared" si="60"/>
        <v>2</v>
      </c>
      <c r="E1929" s="2">
        <f t="shared" si="61"/>
        <v>11</v>
      </c>
      <c r="F1929">
        <v>84.0505</v>
      </c>
      <c r="G1929">
        <v>84.854799999999997</v>
      </c>
      <c r="H1929">
        <v>83.648300000000006</v>
      </c>
      <c r="I1929">
        <v>84.452699999999993</v>
      </c>
      <c r="J1929">
        <v>34510</v>
      </c>
      <c r="K1929">
        <v>0.95689999999999997</v>
      </c>
      <c r="L1929">
        <v>1.4422999999999999</v>
      </c>
    </row>
    <row r="1930" spans="1:12" x14ac:dyDescent="0.25">
      <c r="A1930">
        <v>2303</v>
      </c>
      <c r="B1930" t="s">
        <v>10</v>
      </c>
      <c r="C1930" s="1">
        <v>41598</v>
      </c>
      <c r="D1930" s="2">
        <f t="shared" si="60"/>
        <v>3</v>
      </c>
      <c r="E1930" s="2">
        <f t="shared" si="61"/>
        <v>11</v>
      </c>
      <c r="F1930">
        <v>9.5044000000000004</v>
      </c>
      <c r="G1930">
        <v>9.5437999999999992</v>
      </c>
      <c r="H1930">
        <v>9.4649000000000001</v>
      </c>
      <c r="I1930">
        <v>9.4649000000000001</v>
      </c>
      <c r="J1930">
        <v>24019</v>
      </c>
      <c r="K1930">
        <v>-0.4158</v>
      </c>
      <c r="L1930">
        <v>0.83330000000000004</v>
      </c>
    </row>
    <row r="1931" spans="1:12" hidden="1" x14ac:dyDescent="0.25">
      <c r="A1931">
        <v>2330</v>
      </c>
      <c r="B1931" t="s">
        <v>11</v>
      </c>
      <c r="C1931" s="1">
        <v>41598</v>
      </c>
      <c r="D1931" s="2">
        <f t="shared" si="60"/>
        <v>3</v>
      </c>
      <c r="E1931" s="2">
        <f t="shared" si="61"/>
        <v>11</v>
      </c>
      <c r="F1931">
        <v>83.648300000000006</v>
      </c>
      <c r="G1931">
        <v>83.648300000000006</v>
      </c>
      <c r="H1931">
        <v>82.441900000000004</v>
      </c>
      <c r="I1931">
        <v>82.843999999999994</v>
      </c>
      <c r="J1931">
        <v>46675</v>
      </c>
      <c r="K1931">
        <v>-1.9231</v>
      </c>
      <c r="L1931">
        <v>1.4634</v>
      </c>
    </row>
    <row r="1932" spans="1:12" x14ac:dyDescent="0.25">
      <c r="A1932">
        <v>2303</v>
      </c>
      <c r="B1932" t="s">
        <v>10</v>
      </c>
      <c r="C1932" s="1">
        <v>41599</v>
      </c>
      <c r="D1932" s="2">
        <f t="shared" si="60"/>
        <v>4</v>
      </c>
      <c r="E1932" s="2">
        <f t="shared" si="61"/>
        <v>11</v>
      </c>
      <c r="F1932">
        <v>9.4649000000000001</v>
      </c>
      <c r="G1932">
        <v>9.4649000000000001</v>
      </c>
      <c r="H1932">
        <v>9.3466000000000005</v>
      </c>
      <c r="I1932">
        <v>9.3861000000000008</v>
      </c>
      <c r="J1932">
        <v>28070</v>
      </c>
      <c r="K1932">
        <v>-0.83679999999999999</v>
      </c>
      <c r="L1932">
        <v>1.2658</v>
      </c>
    </row>
    <row r="1933" spans="1:12" hidden="1" x14ac:dyDescent="0.25">
      <c r="A1933">
        <v>2330</v>
      </c>
      <c r="B1933" t="s">
        <v>11</v>
      </c>
      <c r="C1933" s="1">
        <v>41599</v>
      </c>
      <c r="D1933" s="2">
        <f t="shared" si="60"/>
        <v>4</v>
      </c>
      <c r="E1933" s="2">
        <f t="shared" si="61"/>
        <v>11</v>
      </c>
      <c r="F1933">
        <v>82.039699999999996</v>
      </c>
      <c r="G1933">
        <v>82.843999999999994</v>
      </c>
      <c r="H1933">
        <v>80.833299999999994</v>
      </c>
      <c r="I1933">
        <v>81.235399999999998</v>
      </c>
      <c r="J1933">
        <v>57002</v>
      </c>
      <c r="K1933">
        <v>-1.9608000000000001</v>
      </c>
      <c r="L1933">
        <v>2.4876</v>
      </c>
    </row>
    <row r="1934" spans="1:12" x14ac:dyDescent="0.25">
      <c r="A1934">
        <v>2303</v>
      </c>
      <c r="B1934" t="s">
        <v>10</v>
      </c>
      <c r="C1934" s="1">
        <v>41600</v>
      </c>
      <c r="D1934" s="2">
        <f t="shared" si="60"/>
        <v>5</v>
      </c>
      <c r="E1934" s="2">
        <f t="shared" si="61"/>
        <v>11</v>
      </c>
      <c r="F1934">
        <v>9.3861000000000008</v>
      </c>
      <c r="G1934">
        <v>9.4649000000000001</v>
      </c>
      <c r="H1934">
        <v>9.3861000000000008</v>
      </c>
      <c r="I1934">
        <v>9.4254999999999995</v>
      </c>
      <c r="J1934">
        <v>13140</v>
      </c>
      <c r="K1934">
        <v>0.41930000000000001</v>
      </c>
      <c r="L1934">
        <v>0.84030000000000005</v>
      </c>
    </row>
    <row r="1935" spans="1:12" hidden="1" x14ac:dyDescent="0.25">
      <c r="A1935">
        <v>2330</v>
      </c>
      <c r="B1935" t="s">
        <v>11</v>
      </c>
      <c r="C1935" s="1">
        <v>41600</v>
      </c>
      <c r="D1935" s="2">
        <f t="shared" si="60"/>
        <v>5</v>
      </c>
      <c r="E1935" s="2">
        <f t="shared" si="61"/>
        <v>11</v>
      </c>
      <c r="F1935">
        <v>80.431100000000001</v>
      </c>
      <c r="G1935">
        <v>81.637600000000006</v>
      </c>
      <c r="H1935">
        <v>80.431100000000001</v>
      </c>
      <c r="I1935">
        <v>80.431100000000001</v>
      </c>
      <c r="J1935">
        <v>57158</v>
      </c>
      <c r="K1935">
        <v>-0.995</v>
      </c>
      <c r="L1935">
        <v>1.5</v>
      </c>
    </row>
    <row r="1936" spans="1:12" x14ac:dyDescent="0.25">
      <c r="A1936">
        <v>2303</v>
      </c>
      <c r="B1936" t="s">
        <v>10</v>
      </c>
      <c r="C1936" s="1">
        <v>41603</v>
      </c>
      <c r="D1936" s="2">
        <f t="shared" si="60"/>
        <v>1</v>
      </c>
      <c r="E1936" s="2">
        <f t="shared" si="61"/>
        <v>11</v>
      </c>
      <c r="F1936">
        <v>9.5044000000000004</v>
      </c>
      <c r="G1936">
        <v>9.5437999999999992</v>
      </c>
      <c r="H1936">
        <v>9.4254999999999995</v>
      </c>
      <c r="I1936">
        <v>9.4649000000000001</v>
      </c>
      <c r="J1936">
        <v>17847</v>
      </c>
      <c r="K1936">
        <v>0.41749999999999998</v>
      </c>
      <c r="L1936">
        <v>1.2552000000000001</v>
      </c>
    </row>
    <row r="1937" spans="1:12" hidden="1" x14ac:dyDescent="0.25">
      <c r="A1937">
        <v>2330</v>
      </c>
      <c r="B1937" t="s">
        <v>11</v>
      </c>
      <c r="C1937" s="1">
        <v>41603</v>
      </c>
      <c r="D1937" s="2">
        <f t="shared" si="60"/>
        <v>1</v>
      </c>
      <c r="E1937" s="2">
        <f t="shared" si="61"/>
        <v>11</v>
      </c>
      <c r="F1937">
        <v>81.235399999999998</v>
      </c>
      <c r="G1937">
        <v>82.441900000000004</v>
      </c>
      <c r="H1937">
        <v>81.235399999999998</v>
      </c>
      <c r="I1937">
        <v>81.235399999999998</v>
      </c>
      <c r="J1937">
        <v>30949</v>
      </c>
      <c r="K1937">
        <v>0.995</v>
      </c>
      <c r="L1937">
        <v>1.4851000000000001</v>
      </c>
    </row>
    <row r="1938" spans="1:12" x14ac:dyDescent="0.25">
      <c r="A1938">
        <v>2303</v>
      </c>
      <c r="B1938" t="s">
        <v>10</v>
      </c>
      <c r="C1938" s="1">
        <v>41604</v>
      </c>
      <c r="D1938" s="2">
        <f t="shared" si="60"/>
        <v>2</v>
      </c>
      <c r="E1938" s="2">
        <f t="shared" si="61"/>
        <v>11</v>
      </c>
      <c r="F1938">
        <v>9.4254999999999995</v>
      </c>
      <c r="G1938">
        <v>9.6227</v>
      </c>
      <c r="H1938">
        <v>9.4254999999999995</v>
      </c>
      <c r="I1938">
        <v>9.5044000000000004</v>
      </c>
      <c r="J1938">
        <v>28498</v>
      </c>
      <c r="K1938">
        <v>0.4158</v>
      </c>
      <c r="L1938">
        <v>2.0920999999999998</v>
      </c>
    </row>
    <row r="1939" spans="1:12" hidden="1" x14ac:dyDescent="0.25">
      <c r="A1939">
        <v>2330</v>
      </c>
      <c r="B1939" t="s">
        <v>11</v>
      </c>
      <c r="C1939" s="1">
        <v>41604</v>
      </c>
      <c r="D1939" s="2">
        <f t="shared" si="60"/>
        <v>2</v>
      </c>
      <c r="E1939" s="2">
        <f t="shared" si="61"/>
        <v>11</v>
      </c>
      <c r="F1939">
        <v>82.039699999999996</v>
      </c>
      <c r="G1939">
        <v>84.452699999999993</v>
      </c>
      <c r="H1939">
        <v>81.637600000000006</v>
      </c>
      <c r="I1939">
        <v>83.246200000000002</v>
      </c>
      <c r="J1939">
        <v>47194</v>
      </c>
      <c r="K1939">
        <v>2.4451000000000001</v>
      </c>
      <c r="L1939">
        <v>3.4483000000000001</v>
      </c>
    </row>
    <row r="1940" spans="1:12" x14ac:dyDescent="0.25">
      <c r="A1940">
        <v>2303</v>
      </c>
      <c r="B1940" t="s">
        <v>10</v>
      </c>
      <c r="C1940" s="1">
        <v>41605</v>
      </c>
      <c r="D1940" s="2">
        <f t="shared" si="60"/>
        <v>3</v>
      </c>
      <c r="E1940" s="2">
        <f t="shared" si="61"/>
        <v>11</v>
      </c>
      <c r="F1940">
        <v>9.5044000000000004</v>
      </c>
      <c r="G1940">
        <v>9.6227</v>
      </c>
      <c r="H1940">
        <v>9.5044000000000004</v>
      </c>
      <c r="I1940">
        <v>9.5831999999999997</v>
      </c>
      <c r="J1940">
        <v>25451</v>
      </c>
      <c r="K1940">
        <v>0.82650000000000001</v>
      </c>
      <c r="L1940">
        <v>1.2447999999999999</v>
      </c>
    </row>
    <row r="1941" spans="1:12" hidden="1" x14ac:dyDescent="0.25">
      <c r="A1941">
        <v>2330</v>
      </c>
      <c r="B1941" t="s">
        <v>11</v>
      </c>
      <c r="C1941" s="1">
        <v>41605</v>
      </c>
      <c r="D1941" s="2">
        <f t="shared" si="60"/>
        <v>3</v>
      </c>
      <c r="E1941" s="2">
        <f t="shared" si="61"/>
        <v>11</v>
      </c>
      <c r="F1941">
        <v>84.452699999999993</v>
      </c>
      <c r="G1941">
        <v>84.854799999999997</v>
      </c>
      <c r="H1941">
        <v>84.0505</v>
      </c>
      <c r="I1941">
        <v>84.452699999999993</v>
      </c>
      <c r="J1941">
        <v>22853</v>
      </c>
      <c r="K1941">
        <v>1.4389000000000001</v>
      </c>
      <c r="L1941">
        <v>0.95689999999999997</v>
      </c>
    </row>
    <row r="1942" spans="1:12" x14ac:dyDescent="0.25">
      <c r="A1942">
        <v>2303</v>
      </c>
      <c r="B1942" t="s">
        <v>10</v>
      </c>
      <c r="C1942" s="1">
        <v>41606</v>
      </c>
      <c r="D1942" s="2">
        <f t="shared" si="60"/>
        <v>4</v>
      </c>
      <c r="E1942" s="2">
        <f t="shared" si="61"/>
        <v>11</v>
      </c>
      <c r="F1942">
        <v>9.6227</v>
      </c>
      <c r="G1942">
        <v>9.8199000000000005</v>
      </c>
      <c r="H1942">
        <v>9.6227</v>
      </c>
      <c r="I1942">
        <v>9.7804000000000002</v>
      </c>
      <c r="J1942">
        <v>68521</v>
      </c>
      <c r="K1942">
        <v>2.0367000000000002</v>
      </c>
      <c r="L1942">
        <v>2.0491999999999999</v>
      </c>
    </row>
    <row r="1943" spans="1:12" hidden="1" x14ac:dyDescent="0.25">
      <c r="A1943">
        <v>2330</v>
      </c>
      <c r="B1943" t="s">
        <v>11</v>
      </c>
      <c r="C1943" s="1">
        <v>41606</v>
      </c>
      <c r="D1943" s="2">
        <f t="shared" si="60"/>
        <v>4</v>
      </c>
      <c r="E1943" s="2">
        <f t="shared" si="61"/>
        <v>11</v>
      </c>
      <c r="F1943">
        <v>84.452699999999993</v>
      </c>
      <c r="G1943">
        <v>84.854799999999997</v>
      </c>
      <c r="H1943">
        <v>84.0505</v>
      </c>
      <c r="I1943">
        <v>84.452699999999993</v>
      </c>
      <c r="J1943">
        <v>22995</v>
      </c>
      <c r="K1943">
        <v>0</v>
      </c>
      <c r="L1943">
        <v>0.95689999999999997</v>
      </c>
    </row>
    <row r="1944" spans="1:12" x14ac:dyDescent="0.25">
      <c r="A1944">
        <v>2303</v>
      </c>
      <c r="B1944" t="s">
        <v>10</v>
      </c>
      <c r="C1944" s="1">
        <v>41607</v>
      </c>
      <c r="D1944" s="2">
        <f t="shared" si="60"/>
        <v>5</v>
      </c>
      <c r="E1944" s="2">
        <f t="shared" si="61"/>
        <v>11</v>
      </c>
      <c r="F1944">
        <v>9.8199000000000005</v>
      </c>
      <c r="G1944">
        <v>9.8592999999999993</v>
      </c>
      <c r="H1944">
        <v>9.7015999999999991</v>
      </c>
      <c r="I1944">
        <v>9.7015999999999991</v>
      </c>
      <c r="J1944">
        <v>39172</v>
      </c>
      <c r="K1944">
        <v>-0.80969999999999998</v>
      </c>
      <c r="L1944">
        <v>1.6259999999999999</v>
      </c>
    </row>
    <row r="1945" spans="1:12" hidden="1" x14ac:dyDescent="0.25">
      <c r="A1945">
        <v>2330</v>
      </c>
      <c r="B1945" t="s">
        <v>11</v>
      </c>
      <c r="C1945" s="1">
        <v>41607</v>
      </c>
      <c r="D1945" s="2">
        <f t="shared" si="60"/>
        <v>5</v>
      </c>
      <c r="E1945" s="2">
        <f t="shared" si="61"/>
        <v>11</v>
      </c>
      <c r="F1945">
        <v>84.0505</v>
      </c>
      <c r="G1945">
        <v>84.452699999999993</v>
      </c>
      <c r="H1945">
        <v>83.648300000000006</v>
      </c>
      <c r="I1945">
        <v>84.452699999999993</v>
      </c>
      <c r="J1945">
        <v>34465</v>
      </c>
      <c r="K1945">
        <v>0</v>
      </c>
      <c r="L1945">
        <v>0.96150000000000002</v>
      </c>
    </row>
    <row r="1946" spans="1:12" x14ac:dyDescent="0.25">
      <c r="A1946">
        <v>2303</v>
      </c>
      <c r="B1946" t="s">
        <v>10</v>
      </c>
      <c r="C1946" s="1">
        <v>41610</v>
      </c>
      <c r="D1946" s="2">
        <f t="shared" si="60"/>
        <v>1</v>
      </c>
      <c r="E1946" s="2">
        <f t="shared" si="61"/>
        <v>12</v>
      </c>
      <c r="F1946">
        <v>9.7015999999999991</v>
      </c>
      <c r="G1946">
        <v>9.8199000000000005</v>
      </c>
      <c r="H1946">
        <v>9.6621000000000006</v>
      </c>
      <c r="I1946">
        <v>9.7015999999999991</v>
      </c>
      <c r="J1946">
        <v>25838</v>
      </c>
      <c r="K1946">
        <v>0</v>
      </c>
      <c r="L1946">
        <v>1.6327</v>
      </c>
    </row>
    <row r="1947" spans="1:12" hidden="1" x14ac:dyDescent="0.25">
      <c r="A1947">
        <v>2330</v>
      </c>
      <c r="B1947" t="s">
        <v>11</v>
      </c>
      <c r="C1947" s="1">
        <v>41610</v>
      </c>
      <c r="D1947" s="2">
        <f t="shared" si="60"/>
        <v>1</v>
      </c>
      <c r="E1947" s="2">
        <f t="shared" si="61"/>
        <v>12</v>
      </c>
      <c r="F1947">
        <v>84.452699999999993</v>
      </c>
      <c r="G1947">
        <v>84.854799999999997</v>
      </c>
      <c r="H1947">
        <v>83.648300000000006</v>
      </c>
      <c r="I1947">
        <v>84.0505</v>
      </c>
      <c r="J1947">
        <v>19042</v>
      </c>
      <c r="K1947">
        <v>-0.4773</v>
      </c>
      <c r="L1947">
        <v>1.4422999999999999</v>
      </c>
    </row>
    <row r="1948" spans="1:12" x14ac:dyDescent="0.25">
      <c r="A1948">
        <v>2303</v>
      </c>
      <c r="B1948" t="s">
        <v>10</v>
      </c>
      <c r="C1948" s="1">
        <v>41611</v>
      </c>
      <c r="D1948" s="2">
        <f t="shared" si="60"/>
        <v>2</v>
      </c>
      <c r="E1948" s="2">
        <f t="shared" si="61"/>
        <v>12</v>
      </c>
      <c r="F1948">
        <v>9.6227</v>
      </c>
      <c r="G1948">
        <v>9.7409999999999997</v>
      </c>
      <c r="H1948">
        <v>9.6227</v>
      </c>
      <c r="I1948">
        <v>9.6227</v>
      </c>
      <c r="J1948">
        <v>25986</v>
      </c>
      <c r="K1948">
        <v>-0.81630000000000003</v>
      </c>
      <c r="L1948">
        <v>1.2295</v>
      </c>
    </row>
    <row r="1949" spans="1:12" hidden="1" x14ac:dyDescent="0.25">
      <c r="A1949">
        <v>2330</v>
      </c>
      <c r="B1949" t="s">
        <v>11</v>
      </c>
      <c r="C1949" s="1">
        <v>41611</v>
      </c>
      <c r="D1949" s="2">
        <f t="shared" si="60"/>
        <v>2</v>
      </c>
      <c r="E1949" s="2">
        <f t="shared" si="61"/>
        <v>12</v>
      </c>
      <c r="F1949">
        <v>83.648300000000006</v>
      </c>
      <c r="G1949">
        <v>84.452699999999993</v>
      </c>
      <c r="H1949">
        <v>83.246200000000002</v>
      </c>
      <c r="I1949">
        <v>83.648300000000006</v>
      </c>
      <c r="J1949">
        <v>26811</v>
      </c>
      <c r="K1949">
        <v>-0.47960000000000003</v>
      </c>
      <c r="L1949">
        <v>1.4493</v>
      </c>
    </row>
    <row r="1950" spans="1:12" x14ac:dyDescent="0.25">
      <c r="A1950">
        <v>2303</v>
      </c>
      <c r="B1950" t="s">
        <v>10</v>
      </c>
      <c r="C1950" s="1">
        <v>41612</v>
      </c>
      <c r="D1950" s="2">
        <f t="shared" si="60"/>
        <v>3</v>
      </c>
      <c r="E1950" s="2">
        <f t="shared" si="61"/>
        <v>12</v>
      </c>
      <c r="F1950">
        <v>9.5831999999999997</v>
      </c>
      <c r="G1950">
        <v>9.6621000000000006</v>
      </c>
      <c r="H1950">
        <v>9.5437999999999992</v>
      </c>
      <c r="I1950">
        <v>9.5831999999999997</v>
      </c>
      <c r="J1950">
        <v>29087</v>
      </c>
      <c r="K1950">
        <v>-0.41070000000000001</v>
      </c>
      <c r="L1950">
        <v>1.2397</v>
      </c>
    </row>
    <row r="1951" spans="1:12" hidden="1" x14ac:dyDescent="0.25">
      <c r="A1951">
        <v>2330</v>
      </c>
      <c r="B1951" t="s">
        <v>11</v>
      </c>
      <c r="C1951" s="1">
        <v>41612</v>
      </c>
      <c r="D1951" s="2">
        <f t="shared" si="60"/>
        <v>3</v>
      </c>
      <c r="E1951" s="2">
        <f t="shared" si="61"/>
        <v>12</v>
      </c>
      <c r="F1951">
        <v>83.246200000000002</v>
      </c>
      <c r="G1951">
        <v>84.854799999999997</v>
      </c>
      <c r="H1951">
        <v>83.246200000000002</v>
      </c>
      <c r="I1951">
        <v>84.452699999999993</v>
      </c>
      <c r="J1951">
        <v>23630</v>
      </c>
      <c r="K1951">
        <v>0.95689999999999997</v>
      </c>
      <c r="L1951">
        <v>1.9323999999999999</v>
      </c>
    </row>
    <row r="1952" spans="1:12" x14ac:dyDescent="0.25">
      <c r="A1952">
        <v>2303</v>
      </c>
      <c r="B1952" t="s">
        <v>10</v>
      </c>
      <c r="C1952" s="1">
        <v>41613</v>
      </c>
      <c r="D1952" s="2">
        <f t="shared" si="60"/>
        <v>4</v>
      </c>
      <c r="E1952" s="2">
        <f t="shared" si="61"/>
        <v>12</v>
      </c>
      <c r="F1952">
        <v>9.6227</v>
      </c>
      <c r="G1952">
        <v>9.6621000000000006</v>
      </c>
      <c r="H1952">
        <v>9.5437999999999992</v>
      </c>
      <c r="I1952">
        <v>9.5437999999999992</v>
      </c>
      <c r="J1952">
        <v>17467</v>
      </c>
      <c r="K1952">
        <v>-0.41239999999999999</v>
      </c>
      <c r="L1952">
        <v>1.2397</v>
      </c>
    </row>
    <row r="1953" spans="1:12" hidden="1" x14ac:dyDescent="0.25">
      <c r="A1953">
        <v>2330</v>
      </c>
      <c r="B1953" t="s">
        <v>11</v>
      </c>
      <c r="C1953" s="1">
        <v>41613</v>
      </c>
      <c r="D1953" s="2">
        <f t="shared" si="60"/>
        <v>4</v>
      </c>
      <c r="E1953" s="2">
        <f t="shared" si="61"/>
        <v>12</v>
      </c>
      <c r="F1953">
        <v>84.452699999999993</v>
      </c>
      <c r="G1953">
        <v>84.452699999999993</v>
      </c>
      <c r="H1953">
        <v>83.246200000000002</v>
      </c>
      <c r="I1953">
        <v>83.648300000000006</v>
      </c>
      <c r="J1953">
        <v>25209</v>
      </c>
      <c r="K1953">
        <v>-0.95689999999999997</v>
      </c>
      <c r="L1953">
        <v>1.4493</v>
      </c>
    </row>
    <row r="1954" spans="1:12" x14ac:dyDescent="0.25">
      <c r="A1954">
        <v>2303</v>
      </c>
      <c r="B1954" t="s">
        <v>10</v>
      </c>
      <c r="C1954" s="1">
        <v>41614</v>
      </c>
      <c r="D1954" s="2">
        <f t="shared" si="60"/>
        <v>5</v>
      </c>
      <c r="E1954" s="2">
        <f t="shared" si="61"/>
        <v>12</v>
      </c>
      <c r="F1954">
        <v>9.5437999999999992</v>
      </c>
      <c r="G1954">
        <v>9.6227</v>
      </c>
      <c r="H1954">
        <v>9.5044000000000004</v>
      </c>
      <c r="I1954">
        <v>9.5437999999999992</v>
      </c>
      <c r="J1954">
        <v>24061</v>
      </c>
      <c r="K1954">
        <v>0</v>
      </c>
      <c r="L1954">
        <v>1.2447999999999999</v>
      </c>
    </row>
    <row r="1955" spans="1:12" hidden="1" x14ac:dyDescent="0.25">
      <c r="A1955">
        <v>2330</v>
      </c>
      <c r="B1955" t="s">
        <v>11</v>
      </c>
      <c r="C1955" s="1">
        <v>41614</v>
      </c>
      <c r="D1955" s="2">
        <f t="shared" si="60"/>
        <v>5</v>
      </c>
      <c r="E1955" s="2">
        <f t="shared" si="61"/>
        <v>12</v>
      </c>
      <c r="F1955">
        <v>82.843999999999994</v>
      </c>
      <c r="G1955">
        <v>84.0505</v>
      </c>
      <c r="H1955">
        <v>82.843999999999994</v>
      </c>
      <c r="I1955">
        <v>82.843999999999994</v>
      </c>
      <c r="J1955">
        <v>25358</v>
      </c>
      <c r="K1955">
        <v>-0.96619999999999995</v>
      </c>
      <c r="L1955">
        <v>1.4562999999999999</v>
      </c>
    </row>
    <row r="1956" spans="1:12" x14ac:dyDescent="0.25">
      <c r="A1956">
        <v>2303</v>
      </c>
      <c r="B1956" t="s">
        <v>10</v>
      </c>
      <c r="C1956" s="1">
        <v>41617</v>
      </c>
      <c r="D1956" s="2">
        <f t="shared" si="60"/>
        <v>1</v>
      </c>
      <c r="E1956" s="2">
        <f t="shared" si="61"/>
        <v>12</v>
      </c>
      <c r="F1956">
        <v>9.6227</v>
      </c>
      <c r="G1956">
        <v>9.7015999999999991</v>
      </c>
      <c r="H1956">
        <v>9.5831999999999997</v>
      </c>
      <c r="I1956">
        <v>9.6227</v>
      </c>
      <c r="J1956">
        <v>33981</v>
      </c>
      <c r="K1956">
        <v>0.82299999999999995</v>
      </c>
      <c r="L1956">
        <v>1.2345999999999999</v>
      </c>
    </row>
    <row r="1957" spans="1:12" hidden="1" x14ac:dyDescent="0.25">
      <c r="A1957">
        <v>2330</v>
      </c>
      <c r="B1957" t="s">
        <v>11</v>
      </c>
      <c r="C1957" s="1">
        <v>41617</v>
      </c>
      <c r="D1957" s="2">
        <f t="shared" si="60"/>
        <v>1</v>
      </c>
      <c r="E1957" s="2">
        <f t="shared" si="61"/>
        <v>12</v>
      </c>
      <c r="F1957">
        <v>83.648300000000006</v>
      </c>
      <c r="G1957">
        <v>84.452699999999993</v>
      </c>
      <c r="H1957">
        <v>83.648300000000006</v>
      </c>
      <c r="I1957">
        <v>84.452699999999993</v>
      </c>
      <c r="J1957">
        <v>23971</v>
      </c>
      <c r="K1957">
        <v>1.9231</v>
      </c>
      <c r="L1957">
        <v>0.96150000000000002</v>
      </c>
    </row>
    <row r="1958" spans="1:12" x14ac:dyDescent="0.25">
      <c r="A1958">
        <v>2303</v>
      </c>
      <c r="B1958" t="s">
        <v>10</v>
      </c>
      <c r="C1958" s="1">
        <v>41618</v>
      </c>
      <c r="D1958" s="2">
        <f t="shared" si="60"/>
        <v>2</v>
      </c>
      <c r="E1958" s="2">
        <f t="shared" si="61"/>
        <v>12</v>
      </c>
      <c r="F1958">
        <v>9.6621000000000006</v>
      </c>
      <c r="G1958">
        <v>9.7015999999999991</v>
      </c>
      <c r="H1958">
        <v>9.6227</v>
      </c>
      <c r="I1958">
        <v>9.6621000000000006</v>
      </c>
      <c r="J1958">
        <v>15839</v>
      </c>
      <c r="K1958">
        <v>0.40899999999999997</v>
      </c>
      <c r="L1958">
        <v>0.81969999999999998</v>
      </c>
    </row>
    <row r="1959" spans="1:12" hidden="1" x14ac:dyDescent="0.25">
      <c r="A1959">
        <v>2330</v>
      </c>
      <c r="B1959" t="s">
        <v>11</v>
      </c>
      <c r="C1959" s="1">
        <v>41618</v>
      </c>
      <c r="D1959" s="2">
        <f t="shared" si="60"/>
        <v>2</v>
      </c>
      <c r="E1959" s="2">
        <f t="shared" si="61"/>
        <v>12</v>
      </c>
      <c r="F1959">
        <v>84.0505</v>
      </c>
      <c r="G1959">
        <v>84.452699999999993</v>
      </c>
      <c r="H1959">
        <v>83.648300000000006</v>
      </c>
      <c r="I1959">
        <v>83.648300000000006</v>
      </c>
      <c r="J1959">
        <v>22935</v>
      </c>
      <c r="K1959">
        <v>-0.95689999999999997</v>
      </c>
      <c r="L1959">
        <v>0.96150000000000002</v>
      </c>
    </row>
    <row r="1960" spans="1:12" x14ac:dyDescent="0.25">
      <c r="A1960">
        <v>2303</v>
      </c>
      <c r="B1960" t="s">
        <v>10</v>
      </c>
      <c r="C1960" s="1">
        <v>41619</v>
      </c>
      <c r="D1960" s="2">
        <f t="shared" si="60"/>
        <v>3</v>
      </c>
      <c r="E1960" s="2">
        <f t="shared" si="61"/>
        <v>12</v>
      </c>
      <c r="F1960">
        <v>9.6621000000000006</v>
      </c>
      <c r="G1960">
        <v>9.7409999999999997</v>
      </c>
      <c r="H1960">
        <v>9.5831999999999997</v>
      </c>
      <c r="I1960">
        <v>9.6621000000000006</v>
      </c>
      <c r="J1960">
        <v>18713</v>
      </c>
      <c r="K1960">
        <v>0</v>
      </c>
      <c r="L1960">
        <v>1.6460999999999999</v>
      </c>
    </row>
    <row r="1961" spans="1:12" hidden="1" x14ac:dyDescent="0.25">
      <c r="A1961">
        <v>2330</v>
      </c>
      <c r="B1961" t="s">
        <v>11</v>
      </c>
      <c r="C1961" s="1">
        <v>41619</v>
      </c>
      <c r="D1961" s="2">
        <f t="shared" si="60"/>
        <v>3</v>
      </c>
      <c r="E1961" s="2">
        <f t="shared" si="61"/>
        <v>12</v>
      </c>
      <c r="F1961">
        <v>83.246200000000002</v>
      </c>
      <c r="G1961">
        <v>84.452699999999993</v>
      </c>
      <c r="H1961">
        <v>83.246200000000002</v>
      </c>
      <c r="I1961">
        <v>84.452699999999993</v>
      </c>
      <c r="J1961">
        <v>24614</v>
      </c>
      <c r="K1961">
        <v>0.95689999999999997</v>
      </c>
      <c r="L1961">
        <v>1.4493</v>
      </c>
    </row>
    <row r="1962" spans="1:12" x14ac:dyDescent="0.25">
      <c r="A1962">
        <v>2303</v>
      </c>
      <c r="B1962" t="s">
        <v>10</v>
      </c>
      <c r="C1962" s="1">
        <v>41620</v>
      </c>
      <c r="D1962" s="2">
        <f t="shared" si="60"/>
        <v>4</v>
      </c>
      <c r="E1962" s="2">
        <f t="shared" si="61"/>
        <v>12</v>
      </c>
      <c r="F1962">
        <v>9.6227</v>
      </c>
      <c r="G1962">
        <v>9.6621000000000006</v>
      </c>
      <c r="H1962">
        <v>9.5831999999999997</v>
      </c>
      <c r="I1962">
        <v>9.5831999999999997</v>
      </c>
      <c r="J1962">
        <v>12011</v>
      </c>
      <c r="K1962">
        <v>-0.81969999999999998</v>
      </c>
      <c r="L1962">
        <v>0.82299999999999995</v>
      </c>
    </row>
    <row r="1963" spans="1:12" hidden="1" x14ac:dyDescent="0.25">
      <c r="A1963">
        <v>2330</v>
      </c>
      <c r="B1963" t="s">
        <v>11</v>
      </c>
      <c r="C1963" s="1">
        <v>41620</v>
      </c>
      <c r="D1963" s="2">
        <f t="shared" si="60"/>
        <v>4</v>
      </c>
      <c r="E1963" s="2">
        <f t="shared" si="61"/>
        <v>12</v>
      </c>
      <c r="F1963">
        <v>84.0505</v>
      </c>
      <c r="G1963">
        <v>84.0505</v>
      </c>
      <c r="H1963">
        <v>82.843999999999994</v>
      </c>
      <c r="I1963">
        <v>82.843999999999994</v>
      </c>
      <c r="J1963">
        <v>18536</v>
      </c>
      <c r="K1963">
        <v>-1.9231</v>
      </c>
      <c r="L1963">
        <v>1.4562999999999999</v>
      </c>
    </row>
    <row r="1964" spans="1:12" x14ac:dyDescent="0.25">
      <c r="A1964">
        <v>2303</v>
      </c>
      <c r="B1964" t="s">
        <v>10</v>
      </c>
      <c r="C1964" s="1">
        <v>41621</v>
      </c>
      <c r="D1964" s="2">
        <f t="shared" si="60"/>
        <v>5</v>
      </c>
      <c r="E1964" s="2">
        <f t="shared" si="61"/>
        <v>12</v>
      </c>
      <c r="F1964">
        <v>9.6227</v>
      </c>
      <c r="G1964">
        <v>9.6621000000000006</v>
      </c>
      <c r="H1964">
        <v>9.5831999999999997</v>
      </c>
      <c r="I1964">
        <v>9.6227</v>
      </c>
      <c r="J1964">
        <v>13438</v>
      </c>
      <c r="K1964">
        <v>0.41070000000000001</v>
      </c>
      <c r="L1964">
        <v>0.82299999999999995</v>
      </c>
    </row>
    <row r="1965" spans="1:12" hidden="1" x14ac:dyDescent="0.25">
      <c r="A1965">
        <v>2330</v>
      </c>
      <c r="B1965" t="s">
        <v>11</v>
      </c>
      <c r="C1965" s="1">
        <v>41621</v>
      </c>
      <c r="D1965" s="2">
        <f t="shared" si="60"/>
        <v>5</v>
      </c>
      <c r="E1965" s="2">
        <f t="shared" si="61"/>
        <v>12</v>
      </c>
      <c r="F1965">
        <v>82.441900000000004</v>
      </c>
      <c r="G1965">
        <v>83.246200000000002</v>
      </c>
      <c r="H1965">
        <v>82.441900000000004</v>
      </c>
      <c r="I1965">
        <v>82.441900000000004</v>
      </c>
      <c r="J1965">
        <v>28297</v>
      </c>
      <c r="K1965">
        <v>-0.48659999999999998</v>
      </c>
      <c r="L1965">
        <v>0.97560000000000002</v>
      </c>
    </row>
    <row r="1966" spans="1:12" x14ac:dyDescent="0.25">
      <c r="A1966">
        <v>2303</v>
      </c>
      <c r="B1966" t="s">
        <v>10</v>
      </c>
      <c r="C1966" s="1">
        <v>41624</v>
      </c>
      <c r="D1966" s="2">
        <f t="shared" si="60"/>
        <v>1</v>
      </c>
      <c r="E1966" s="2">
        <f t="shared" si="61"/>
        <v>12</v>
      </c>
      <c r="F1966">
        <v>9.5831999999999997</v>
      </c>
      <c r="G1966">
        <v>9.6227</v>
      </c>
      <c r="H1966">
        <v>9.5044000000000004</v>
      </c>
      <c r="I1966">
        <v>9.5044000000000004</v>
      </c>
      <c r="J1966">
        <v>19614</v>
      </c>
      <c r="K1966">
        <v>-1.2371000000000001</v>
      </c>
      <c r="L1966">
        <v>1.2447999999999999</v>
      </c>
    </row>
    <row r="1967" spans="1:12" hidden="1" x14ac:dyDescent="0.25">
      <c r="A1967">
        <v>2330</v>
      </c>
      <c r="B1967" t="s">
        <v>11</v>
      </c>
      <c r="C1967" s="1">
        <v>41624</v>
      </c>
      <c r="D1967" s="2">
        <f t="shared" si="60"/>
        <v>1</v>
      </c>
      <c r="E1967" s="2">
        <f t="shared" si="61"/>
        <v>12</v>
      </c>
      <c r="F1967">
        <v>82.441900000000004</v>
      </c>
      <c r="G1967">
        <v>82.843999999999994</v>
      </c>
      <c r="H1967">
        <v>82.039699999999996</v>
      </c>
      <c r="I1967">
        <v>82.039699999999996</v>
      </c>
      <c r="J1967">
        <v>18772</v>
      </c>
      <c r="K1967">
        <v>-0.48899999999999999</v>
      </c>
      <c r="L1967">
        <v>0.98040000000000005</v>
      </c>
    </row>
    <row r="1968" spans="1:12" x14ac:dyDescent="0.25">
      <c r="A1968">
        <v>2303</v>
      </c>
      <c r="B1968" t="s">
        <v>10</v>
      </c>
      <c r="C1968" s="1">
        <v>41625</v>
      </c>
      <c r="D1968" s="2">
        <f t="shared" si="60"/>
        <v>2</v>
      </c>
      <c r="E1968" s="2">
        <f t="shared" si="61"/>
        <v>12</v>
      </c>
      <c r="F1968">
        <v>9.5831999999999997</v>
      </c>
      <c r="G1968">
        <v>9.5831999999999997</v>
      </c>
      <c r="H1968">
        <v>9.5044000000000004</v>
      </c>
      <c r="I1968">
        <v>9.5044000000000004</v>
      </c>
      <c r="J1968">
        <v>17641</v>
      </c>
      <c r="K1968">
        <v>0</v>
      </c>
      <c r="L1968">
        <v>0.82989999999999997</v>
      </c>
    </row>
    <row r="1969" spans="1:12" hidden="1" x14ac:dyDescent="0.25">
      <c r="A1969">
        <v>2330</v>
      </c>
      <c r="B1969" t="s">
        <v>11</v>
      </c>
      <c r="C1969" s="1">
        <v>41625</v>
      </c>
      <c r="D1969" s="2">
        <f t="shared" si="60"/>
        <v>2</v>
      </c>
      <c r="E1969" s="2">
        <f t="shared" si="61"/>
        <v>12</v>
      </c>
      <c r="F1969">
        <v>82.843999999999994</v>
      </c>
      <c r="G1969">
        <v>84.0505</v>
      </c>
      <c r="H1969">
        <v>82.843999999999994</v>
      </c>
      <c r="I1969">
        <v>83.246200000000002</v>
      </c>
      <c r="J1969">
        <v>26232</v>
      </c>
      <c r="K1969">
        <v>1.4599</v>
      </c>
      <c r="L1969">
        <v>1.4562999999999999</v>
      </c>
    </row>
    <row r="1970" spans="1:12" x14ac:dyDescent="0.25">
      <c r="A1970">
        <v>2303</v>
      </c>
      <c r="B1970" t="s">
        <v>10</v>
      </c>
      <c r="C1970" s="1">
        <v>41626</v>
      </c>
      <c r="D1970" s="2">
        <f t="shared" si="60"/>
        <v>3</v>
      </c>
      <c r="E1970" s="2">
        <f t="shared" si="61"/>
        <v>12</v>
      </c>
      <c r="F1970">
        <v>9.5437999999999992</v>
      </c>
      <c r="G1970">
        <v>9.5831999999999997</v>
      </c>
      <c r="H1970">
        <v>9.4649000000000001</v>
      </c>
      <c r="I1970">
        <v>9.5044000000000004</v>
      </c>
      <c r="J1970">
        <v>20230</v>
      </c>
      <c r="K1970">
        <v>0</v>
      </c>
      <c r="L1970">
        <v>1.25</v>
      </c>
    </row>
    <row r="1971" spans="1:12" hidden="1" x14ac:dyDescent="0.25">
      <c r="A1971">
        <v>2330</v>
      </c>
      <c r="B1971" t="s">
        <v>11</v>
      </c>
      <c r="C1971" s="1">
        <v>41626</v>
      </c>
      <c r="D1971" s="2">
        <f t="shared" si="60"/>
        <v>3</v>
      </c>
      <c r="E1971" s="2">
        <f t="shared" si="61"/>
        <v>12</v>
      </c>
      <c r="F1971">
        <v>82.441900000000004</v>
      </c>
      <c r="G1971">
        <v>82.843999999999994</v>
      </c>
      <c r="H1971">
        <v>81.235399999999998</v>
      </c>
      <c r="I1971">
        <v>81.235399999999998</v>
      </c>
      <c r="J1971">
        <v>66102</v>
      </c>
      <c r="K1971">
        <v>-2.4451000000000001</v>
      </c>
      <c r="L1971">
        <v>1.9802</v>
      </c>
    </row>
    <row r="1972" spans="1:12" x14ac:dyDescent="0.25">
      <c r="A1972">
        <v>2303</v>
      </c>
      <c r="B1972" t="s">
        <v>10</v>
      </c>
      <c r="C1972" s="1">
        <v>41627</v>
      </c>
      <c r="D1972" s="2">
        <f t="shared" si="60"/>
        <v>4</v>
      </c>
      <c r="E1972" s="2">
        <f t="shared" si="61"/>
        <v>12</v>
      </c>
      <c r="F1972">
        <v>9.5831999999999997</v>
      </c>
      <c r="G1972">
        <v>9.6227</v>
      </c>
      <c r="H1972">
        <v>9.5044000000000004</v>
      </c>
      <c r="I1972">
        <v>9.5437999999999992</v>
      </c>
      <c r="J1972">
        <v>20174</v>
      </c>
      <c r="K1972">
        <v>0.41410000000000002</v>
      </c>
      <c r="L1972">
        <v>1.2447999999999999</v>
      </c>
    </row>
    <row r="1973" spans="1:12" hidden="1" x14ac:dyDescent="0.25">
      <c r="A1973">
        <v>2330</v>
      </c>
      <c r="B1973" t="s">
        <v>11</v>
      </c>
      <c r="C1973" s="1">
        <v>41627</v>
      </c>
      <c r="D1973" s="2">
        <f t="shared" si="60"/>
        <v>4</v>
      </c>
      <c r="E1973" s="2">
        <f t="shared" si="61"/>
        <v>12</v>
      </c>
      <c r="F1973">
        <v>82.039699999999996</v>
      </c>
      <c r="G1973">
        <v>82.843999999999994</v>
      </c>
      <c r="H1973">
        <v>81.637600000000006</v>
      </c>
      <c r="I1973">
        <v>82.441900000000004</v>
      </c>
      <c r="J1973">
        <v>27824</v>
      </c>
      <c r="K1973">
        <v>1.4742</v>
      </c>
      <c r="L1973">
        <v>1.4778</v>
      </c>
    </row>
    <row r="1974" spans="1:12" x14ac:dyDescent="0.25">
      <c r="A1974">
        <v>2303</v>
      </c>
      <c r="B1974" t="s">
        <v>10</v>
      </c>
      <c r="C1974" s="1">
        <v>41628</v>
      </c>
      <c r="D1974" s="2">
        <f t="shared" si="60"/>
        <v>5</v>
      </c>
      <c r="E1974" s="2">
        <f t="shared" si="61"/>
        <v>12</v>
      </c>
      <c r="F1974">
        <v>9.5437999999999992</v>
      </c>
      <c r="G1974">
        <v>9.7015999999999991</v>
      </c>
      <c r="H1974">
        <v>9.5044000000000004</v>
      </c>
      <c r="I1974">
        <v>9.6621000000000006</v>
      </c>
      <c r="J1974">
        <v>40239</v>
      </c>
      <c r="K1974">
        <v>1.232</v>
      </c>
      <c r="L1974">
        <v>2.0747</v>
      </c>
    </row>
    <row r="1975" spans="1:12" hidden="1" x14ac:dyDescent="0.25">
      <c r="A1975">
        <v>2330</v>
      </c>
      <c r="B1975" t="s">
        <v>11</v>
      </c>
      <c r="C1975" s="1">
        <v>41628</v>
      </c>
      <c r="D1975" s="2">
        <f t="shared" si="60"/>
        <v>5</v>
      </c>
      <c r="E1975" s="2">
        <f t="shared" si="61"/>
        <v>12</v>
      </c>
      <c r="F1975">
        <v>81.637600000000006</v>
      </c>
      <c r="G1975">
        <v>83.246200000000002</v>
      </c>
      <c r="H1975">
        <v>81.637600000000006</v>
      </c>
      <c r="I1975">
        <v>82.039699999999996</v>
      </c>
      <c r="J1975">
        <v>37618</v>
      </c>
      <c r="K1975">
        <v>-0.48899999999999999</v>
      </c>
      <c r="L1975">
        <v>1.9703999999999999</v>
      </c>
    </row>
    <row r="1976" spans="1:12" x14ac:dyDescent="0.25">
      <c r="A1976">
        <v>2303</v>
      </c>
      <c r="B1976" t="s">
        <v>10</v>
      </c>
      <c r="C1976" s="1">
        <v>41631</v>
      </c>
      <c r="D1976" s="2">
        <f t="shared" si="60"/>
        <v>1</v>
      </c>
      <c r="E1976" s="2">
        <f t="shared" si="61"/>
        <v>12</v>
      </c>
      <c r="F1976">
        <v>9.7015999999999991</v>
      </c>
      <c r="G1976">
        <v>9.7804000000000002</v>
      </c>
      <c r="H1976">
        <v>9.6621000000000006</v>
      </c>
      <c r="I1976">
        <v>9.7409999999999997</v>
      </c>
      <c r="J1976">
        <v>44291</v>
      </c>
      <c r="K1976">
        <v>0.81299999999999994</v>
      </c>
      <c r="L1976">
        <v>1.2244999999999999</v>
      </c>
    </row>
    <row r="1977" spans="1:12" hidden="1" x14ac:dyDescent="0.25">
      <c r="A1977">
        <v>2330</v>
      </c>
      <c r="B1977" t="s">
        <v>11</v>
      </c>
      <c r="C1977" s="1">
        <v>41631</v>
      </c>
      <c r="D1977" s="2">
        <f t="shared" si="60"/>
        <v>1</v>
      </c>
      <c r="E1977" s="2">
        <f t="shared" si="61"/>
        <v>12</v>
      </c>
      <c r="F1977">
        <v>82.843999999999994</v>
      </c>
      <c r="G1977">
        <v>84.0505</v>
      </c>
      <c r="H1977">
        <v>82.843999999999994</v>
      </c>
      <c r="I1977">
        <v>83.648300000000006</v>
      </c>
      <c r="J1977">
        <v>28393</v>
      </c>
      <c r="K1977">
        <v>1.9418</v>
      </c>
      <c r="L1977">
        <v>1.4562999999999999</v>
      </c>
    </row>
    <row r="1978" spans="1:12" x14ac:dyDescent="0.25">
      <c r="A1978">
        <v>2303</v>
      </c>
      <c r="B1978" t="s">
        <v>10</v>
      </c>
      <c r="C1978" s="1">
        <v>41632</v>
      </c>
      <c r="D1978" s="2">
        <f t="shared" si="60"/>
        <v>2</v>
      </c>
      <c r="E1978" s="2">
        <f t="shared" si="61"/>
        <v>12</v>
      </c>
      <c r="F1978">
        <v>9.8199000000000005</v>
      </c>
      <c r="G1978">
        <v>9.8199000000000005</v>
      </c>
      <c r="H1978">
        <v>9.6621000000000006</v>
      </c>
      <c r="I1978">
        <v>9.6621000000000006</v>
      </c>
      <c r="J1978">
        <v>21986</v>
      </c>
      <c r="K1978">
        <v>-0.81299999999999994</v>
      </c>
      <c r="L1978">
        <v>1.6327</v>
      </c>
    </row>
    <row r="1979" spans="1:12" hidden="1" x14ac:dyDescent="0.25">
      <c r="A1979">
        <v>2330</v>
      </c>
      <c r="B1979" t="s">
        <v>11</v>
      </c>
      <c r="C1979" s="1">
        <v>41632</v>
      </c>
      <c r="D1979" s="2">
        <f t="shared" si="60"/>
        <v>2</v>
      </c>
      <c r="E1979" s="2">
        <f t="shared" si="61"/>
        <v>12</v>
      </c>
      <c r="F1979">
        <v>83.648300000000006</v>
      </c>
      <c r="G1979">
        <v>83.648300000000006</v>
      </c>
      <c r="H1979">
        <v>82.843999999999994</v>
      </c>
      <c r="I1979">
        <v>82.843999999999994</v>
      </c>
      <c r="J1979">
        <v>14079</v>
      </c>
      <c r="K1979">
        <v>-0.96619999999999995</v>
      </c>
      <c r="L1979">
        <v>0.97089999999999999</v>
      </c>
    </row>
    <row r="1980" spans="1:12" x14ac:dyDescent="0.25">
      <c r="A1980">
        <v>2303</v>
      </c>
      <c r="B1980" t="s">
        <v>10</v>
      </c>
      <c r="C1980" s="1">
        <v>41633</v>
      </c>
      <c r="D1980" s="2">
        <f t="shared" si="60"/>
        <v>3</v>
      </c>
      <c r="E1980" s="2">
        <f t="shared" si="61"/>
        <v>12</v>
      </c>
      <c r="F1980">
        <v>9.6621000000000006</v>
      </c>
      <c r="G1980">
        <v>9.7015999999999991</v>
      </c>
      <c r="H1980">
        <v>9.6227</v>
      </c>
      <c r="I1980">
        <v>9.6227</v>
      </c>
      <c r="J1980">
        <v>22041</v>
      </c>
      <c r="K1980">
        <v>-0.40899999999999997</v>
      </c>
      <c r="L1980">
        <v>0.81969999999999998</v>
      </c>
    </row>
    <row r="1981" spans="1:12" hidden="1" x14ac:dyDescent="0.25">
      <c r="A1981">
        <v>2330</v>
      </c>
      <c r="B1981" t="s">
        <v>11</v>
      </c>
      <c r="C1981" s="1">
        <v>41633</v>
      </c>
      <c r="D1981" s="2">
        <f t="shared" si="60"/>
        <v>3</v>
      </c>
      <c r="E1981" s="2">
        <f t="shared" si="61"/>
        <v>12</v>
      </c>
      <c r="F1981">
        <v>82.441900000000004</v>
      </c>
      <c r="G1981">
        <v>83.246200000000002</v>
      </c>
      <c r="H1981">
        <v>82.441900000000004</v>
      </c>
      <c r="I1981">
        <v>82.843999999999994</v>
      </c>
      <c r="J1981">
        <v>9789</v>
      </c>
      <c r="K1981">
        <v>0</v>
      </c>
      <c r="L1981">
        <v>0.97560000000000002</v>
      </c>
    </row>
    <row r="1982" spans="1:12" x14ac:dyDescent="0.25">
      <c r="A1982">
        <v>2303</v>
      </c>
      <c r="B1982" t="s">
        <v>10</v>
      </c>
      <c r="C1982" s="1">
        <v>41634</v>
      </c>
      <c r="D1982" s="2">
        <f t="shared" si="60"/>
        <v>4</v>
      </c>
      <c r="E1982" s="2">
        <f t="shared" si="61"/>
        <v>12</v>
      </c>
      <c r="F1982">
        <v>9.6227</v>
      </c>
      <c r="G1982">
        <v>9.6621000000000006</v>
      </c>
      <c r="H1982">
        <v>9.5831999999999997</v>
      </c>
      <c r="I1982">
        <v>9.6227</v>
      </c>
      <c r="J1982">
        <v>16455</v>
      </c>
      <c r="K1982">
        <v>0</v>
      </c>
      <c r="L1982">
        <v>0.82299999999999995</v>
      </c>
    </row>
    <row r="1983" spans="1:12" hidden="1" x14ac:dyDescent="0.25">
      <c r="A1983">
        <v>2330</v>
      </c>
      <c r="B1983" t="s">
        <v>11</v>
      </c>
      <c r="C1983" s="1">
        <v>41634</v>
      </c>
      <c r="D1983" s="2">
        <f t="shared" si="60"/>
        <v>4</v>
      </c>
      <c r="E1983" s="2">
        <f t="shared" si="61"/>
        <v>12</v>
      </c>
      <c r="F1983">
        <v>82.843999999999994</v>
      </c>
      <c r="G1983">
        <v>83.648300000000006</v>
      </c>
      <c r="H1983">
        <v>82.843999999999994</v>
      </c>
      <c r="I1983">
        <v>83.648300000000006</v>
      </c>
      <c r="J1983">
        <v>6793</v>
      </c>
      <c r="K1983">
        <v>0.96619999999999995</v>
      </c>
      <c r="L1983">
        <v>0.97089999999999999</v>
      </c>
    </row>
    <row r="1984" spans="1:12" x14ac:dyDescent="0.25">
      <c r="A1984">
        <v>2303</v>
      </c>
      <c r="B1984" t="s">
        <v>10</v>
      </c>
      <c r="C1984" s="1">
        <v>41635</v>
      </c>
      <c r="D1984" s="2">
        <f t="shared" si="60"/>
        <v>5</v>
      </c>
      <c r="E1984" s="2">
        <f t="shared" si="61"/>
        <v>12</v>
      </c>
      <c r="F1984">
        <v>9.6227</v>
      </c>
      <c r="G1984">
        <v>9.7409999999999997</v>
      </c>
      <c r="H1984">
        <v>9.5831999999999997</v>
      </c>
      <c r="I1984">
        <v>9.7015999999999991</v>
      </c>
      <c r="J1984">
        <v>33686</v>
      </c>
      <c r="K1984">
        <v>0.81630000000000003</v>
      </c>
      <c r="L1984">
        <v>1.6460999999999999</v>
      </c>
    </row>
    <row r="1985" spans="1:12" hidden="1" x14ac:dyDescent="0.25">
      <c r="A1985">
        <v>2330</v>
      </c>
      <c r="B1985" t="s">
        <v>11</v>
      </c>
      <c r="C1985" s="1">
        <v>41635</v>
      </c>
      <c r="D1985" s="2">
        <f t="shared" si="60"/>
        <v>5</v>
      </c>
      <c r="E1985" s="2">
        <f t="shared" si="61"/>
        <v>12</v>
      </c>
      <c r="F1985">
        <v>83.246200000000002</v>
      </c>
      <c r="G1985">
        <v>84.0505</v>
      </c>
      <c r="H1985">
        <v>82.843999999999994</v>
      </c>
      <c r="I1985">
        <v>84.0505</v>
      </c>
      <c r="J1985">
        <v>24135</v>
      </c>
      <c r="K1985">
        <v>0.47960000000000003</v>
      </c>
      <c r="L1985">
        <v>1.4562999999999999</v>
      </c>
    </row>
    <row r="1986" spans="1:12" x14ac:dyDescent="0.25">
      <c r="A1986">
        <v>2303</v>
      </c>
      <c r="B1986" t="s">
        <v>10</v>
      </c>
      <c r="C1986" s="1">
        <v>41638</v>
      </c>
      <c r="D1986" s="2">
        <f t="shared" si="60"/>
        <v>1</v>
      </c>
      <c r="E1986" s="2">
        <f t="shared" si="61"/>
        <v>12</v>
      </c>
      <c r="F1986">
        <v>9.7409999999999997</v>
      </c>
      <c r="G1986">
        <v>9.7804000000000002</v>
      </c>
      <c r="H1986">
        <v>9.7015999999999991</v>
      </c>
      <c r="I1986">
        <v>9.7804000000000002</v>
      </c>
      <c r="J1986">
        <v>26798</v>
      </c>
      <c r="K1986">
        <v>0.80969999999999998</v>
      </c>
      <c r="L1986">
        <v>0.81299999999999994</v>
      </c>
    </row>
    <row r="1987" spans="1:12" hidden="1" x14ac:dyDescent="0.25">
      <c r="A1987">
        <v>2330</v>
      </c>
      <c r="B1987" t="s">
        <v>11</v>
      </c>
      <c r="C1987" s="1">
        <v>41638</v>
      </c>
      <c r="D1987" s="2">
        <f t="shared" ref="D1987:D2050" si="62">WEEKDAY(C1987,2)</f>
        <v>1</v>
      </c>
      <c r="E1987" s="2">
        <f t="shared" ref="E1987:E2050" si="63">MONTH(C1987)</f>
        <v>12</v>
      </c>
      <c r="F1987">
        <v>83.648300000000006</v>
      </c>
      <c r="G1987">
        <v>85.257000000000005</v>
      </c>
      <c r="H1987">
        <v>83.648300000000006</v>
      </c>
      <c r="I1987">
        <v>85.257000000000005</v>
      </c>
      <c r="J1987">
        <v>44280</v>
      </c>
      <c r="K1987">
        <v>1.4252</v>
      </c>
      <c r="L1987">
        <v>1.9231</v>
      </c>
    </row>
    <row r="1988" spans="1:12" x14ac:dyDescent="0.25">
      <c r="A1988">
        <v>2303</v>
      </c>
      <c r="B1988" t="s">
        <v>10</v>
      </c>
      <c r="C1988" s="1">
        <v>41639</v>
      </c>
      <c r="D1988" s="2">
        <f t="shared" si="62"/>
        <v>2</v>
      </c>
      <c r="E1988" s="2">
        <f t="shared" si="63"/>
        <v>12</v>
      </c>
      <c r="F1988">
        <v>9.7804000000000002</v>
      </c>
      <c r="G1988">
        <v>9.8199000000000005</v>
      </c>
      <c r="H1988">
        <v>9.7015999999999991</v>
      </c>
      <c r="I1988">
        <v>9.7409999999999997</v>
      </c>
      <c r="J1988">
        <v>29313</v>
      </c>
      <c r="K1988">
        <v>-0.40400000000000003</v>
      </c>
      <c r="L1988">
        <v>1.2195</v>
      </c>
    </row>
    <row r="1989" spans="1:12" hidden="1" x14ac:dyDescent="0.25">
      <c r="A1989">
        <v>2330</v>
      </c>
      <c r="B1989" t="s">
        <v>11</v>
      </c>
      <c r="C1989" s="1">
        <v>41639</v>
      </c>
      <c r="D1989" s="2">
        <f t="shared" si="62"/>
        <v>2</v>
      </c>
      <c r="E1989" s="2">
        <f t="shared" si="63"/>
        <v>12</v>
      </c>
      <c r="F1989">
        <v>84.854799999999997</v>
      </c>
      <c r="G1989">
        <v>85.257000000000005</v>
      </c>
      <c r="H1989">
        <v>84.452699999999993</v>
      </c>
      <c r="I1989">
        <v>84.854799999999997</v>
      </c>
      <c r="J1989">
        <v>24484</v>
      </c>
      <c r="K1989">
        <v>-0.4728</v>
      </c>
      <c r="L1989">
        <v>0.95240000000000002</v>
      </c>
    </row>
    <row r="1990" spans="1:12" x14ac:dyDescent="0.25">
      <c r="A1990">
        <v>2303</v>
      </c>
      <c r="B1990" t="s">
        <v>10</v>
      </c>
      <c r="C1990" s="1">
        <v>41641</v>
      </c>
      <c r="D1990" s="2">
        <f t="shared" si="62"/>
        <v>4</v>
      </c>
      <c r="E1990" s="2">
        <f t="shared" si="63"/>
        <v>1</v>
      </c>
      <c r="F1990">
        <v>9.7409999999999997</v>
      </c>
      <c r="G1990">
        <v>9.8199000000000005</v>
      </c>
      <c r="H1990">
        <v>9.7015999999999991</v>
      </c>
      <c r="I1990">
        <v>9.7015999999999991</v>
      </c>
      <c r="J1990">
        <v>31331</v>
      </c>
      <c r="K1990">
        <v>-0.40570000000000001</v>
      </c>
      <c r="L1990">
        <v>1.2195</v>
      </c>
    </row>
    <row r="1991" spans="1:12" hidden="1" x14ac:dyDescent="0.25">
      <c r="A1991">
        <v>2330</v>
      </c>
      <c r="B1991" t="s">
        <v>11</v>
      </c>
      <c r="C1991" s="1">
        <v>41641</v>
      </c>
      <c r="D1991" s="2">
        <f t="shared" si="62"/>
        <v>4</v>
      </c>
      <c r="E1991" s="2">
        <f t="shared" si="63"/>
        <v>1</v>
      </c>
      <c r="F1991">
        <v>84.452699999999993</v>
      </c>
      <c r="G1991">
        <v>84.854799999999997</v>
      </c>
      <c r="H1991">
        <v>83.246200000000002</v>
      </c>
      <c r="I1991">
        <v>84.0505</v>
      </c>
      <c r="J1991">
        <v>15133</v>
      </c>
      <c r="K1991">
        <v>-0.95240000000000002</v>
      </c>
      <c r="L1991">
        <v>1.9323999999999999</v>
      </c>
    </row>
    <row r="1992" spans="1:12" x14ac:dyDescent="0.25">
      <c r="A1992">
        <v>2303</v>
      </c>
      <c r="B1992" t="s">
        <v>10</v>
      </c>
      <c r="C1992" s="1">
        <v>41642</v>
      </c>
      <c r="D1992" s="2">
        <f t="shared" si="62"/>
        <v>5</v>
      </c>
      <c r="E1992" s="2">
        <f t="shared" si="63"/>
        <v>1</v>
      </c>
      <c r="F1992">
        <v>9.6621000000000006</v>
      </c>
      <c r="G1992">
        <v>9.7015999999999991</v>
      </c>
      <c r="H1992">
        <v>9.6227</v>
      </c>
      <c r="I1992">
        <v>9.6621000000000006</v>
      </c>
      <c r="J1992">
        <v>27627</v>
      </c>
      <c r="K1992">
        <v>-0.4073</v>
      </c>
      <c r="L1992">
        <v>0.81969999999999998</v>
      </c>
    </row>
    <row r="1993" spans="1:12" hidden="1" x14ac:dyDescent="0.25">
      <c r="A1993">
        <v>2330</v>
      </c>
      <c r="B1993" t="s">
        <v>11</v>
      </c>
      <c r="C1993" s="1">
        <v>41642</v>
      </c>
      <c r="D1993" s="2">
        <f t="shared" si="62"/>
        <v>5</v>
      </c>
      <c r="E1993" s="2">
        <f t="shared" si="63"/>
        <v>1</v>
      </c>
      <c r="F1993">
        <v>82.843999999999994</v>
      </c>
      <c r="G1993">
        <v>82.843999999999994</v>
      </c>
      <c r="H1993">
        <v>82.039699999999996</v>
      </c>
      <c r="I1993">
        <v>82.441900000000004</v>
      </c>
      <c r="J1993">
        <v>41160</v>
      </c>
      <c r="K1993">
        <v>-1.9323999999999999</v>
      </c>
      <c r="L1993">
        <v>0.98040000000000005</v>
      </c>
    </row>
    <row r="1994" spans="1:12" x14ac:dyDescent="0.25">
      <c r="A1994">
        <v>2303</v>
      </c>
      <c r="B1994" t="s">
        <v>10</v>
      </c>
      <c r="C1994" s="1">
        <v>41645</v>
      </c>
      <c r="D1994" s="2">
        <f t="shared" si="62"/>
        <v>1</v>
      </c>
      <c r="E1994" s="2">
        <f t="shared" si="63"/>
        <v>1</v>
      </c>
      <c r="F1994">
        <v>9.7409999999999997</v>
      </c>
      <c r="G1994">
        <v>9.9776000000000007</v>
      </c>
      <c r="H1994">
        <v>9.7409999999999997</v>
      </c>
      <c r="I1994">
        <v>9.7804000000000002</v>
      </c>
      <c r="J1994">
        <v>106089</v>
      </c>
      <c r="K1994">
        <v>1.2171000000000001</v>
      </c>
      <c r="L1994">
        <v>2.4291</v>
      </c>
    </row>
    <row r="1995" spans="1:12" hidden="1" x14ac:dyDescent="0.25">
      <c r="A1995">
        <v>2330</v>
      </c>
      <c r="B1995" t="s">
        <v>11</v>
      </c>
      <c r="C1995" s="1">
        <v>41645</v>
      </c>
      <c r="D1995" s="2">
        <f t="shared" si="62"/>
        <v>1</v>
      </c>
      <c r="E1995" s="2">
        <f t="shared" si="63"/>
        <v>1</v>
      </c>
      <c r="F1995">
        <v>82.039699999999996</v>
      </c>
      <c r="G1995">
        <v>82.843999999999994</v>
      </c>
      <c r="H1995">
        <v>82.039699999999996</v>
      </c>
      <c r="I1995">
        <v>82.441900000000004</v>
      </c>
      <c r="J1995">
        <v>23729</v>
      </c>
      <c r="K1995">
        <v>0</v>
      </c>
      <c r="L1995">
        <v>0.98040000000000005</v>
      </c>
    </row>
    <row r="1996" spans="1:12" x14ac:dyDescent="0.25">
      <c r="A1996">
        <v>2303</v>
      </c>
      <c r="B1996" t="s">
        <v>10</v>
      </c>
      <c r="C1996" s="1">
        <v>41646</v>
      </c>
      <c r="D1996" s="2">
        <f t="shared" si="62"/>
        <v>2</v>
      </c>
      <c r="E1996" s="2">
        <f t="shared" si="63"/>
        <v>1</v>
      </c>
      <c r="F1996">
        <v>9.8986999999999998</v>
      </c>
      <c r="G1996">
        <v>9.9776000000000007</v>
      </c>
      <c r="H1996">
        <v>9.8199000000000005</v>
      </c>
      <c r="I1996">
        <v>9.9382000000000001</v>
      </c>
      <c r="J1996">
        <v>78471</v>
      </c>
      <c r="K1996">
        <v>1.6</v>
      </c>
      <c r="L1996">
        <v>1.6064000000000001</v>
      </c>
    </row>
    <row r="1997" spans="1:12" hidden="1" x14ac:dyDescent="0.25">
      <c r="A1997">
        <v>2330</v>
      </c>
      <c r="B1997" t="s">
        <v>11</v>
      </c>
      <c r="C1997" s="1">
        <v>41646</v>
      </c>
      <c r="D1997" s="2">
        <f t="shared" si="62"/>
        <v>2</v>
      </c>
      <c r="E1997" s="2">
        <f t="shared" si="63"/>
        <v>1</v>
      </c>
      <c r="F1997">
        <v>82.441900000000004</v>
      </c>
      <c r="G1997">
        <v>82.843999999999994</v>
      </c>
      <c r="H1997">
        <v>82.039699999999996</v>
      </c>
      <c r="I1997">
        <v>82.039699999999996</v>
      </c>
      <c r="J1997">
        <v>18803</v>
      </c>
      <c r="K1997">
        <v>-0.48899999999999999</v>
      </c>
      <c r="L1997">
        <v>0.98040000000000005</v>
      </c>
    </row>
    <row r="1998" spans="1:12" x14ac:dyDescent="0.25">
      <c r="A1998">
        <v>2303</v>
      </c>
      <c r="B1998" t="s">
        <v>10</v>
      </c>
      <c r="C1998" s="1">
        <v>41647</v>
      </c>
      <c r="D1998" s="2">
        <f t="shared" si="62"/>
        <v>3</v>
      </c>
      <c r="E1998" s="2">
        <f t="shared" si="63"/>
        <v>1</v>
      </c>
      <c r="F1998">
        <v>10.016999999999999</v>
      </c>
      <c r="G1998">
        <v>10.293100000000001</v>
      </c>
      <c r="H1998">
        <v>10.016999999999999</v>
      </c>
      <c r="I1998">
        <v>10.2142</v>
      </c>
      <c r="J1998">
        <v>142462</v>
      </c>
      <c r="K1998">
        <v>2.7399</v>
      </c>
      <c r="L1998">
        <v>2.7559</v>
      </c>
    </row>
    <row r="1999" spans="1:12" hidden="1" x14ac:dyDescent="0.25">
      <c r="A1999">
        <v>2330</v>
      </c>
      <c r="B1999" t="s">
        <v>11</v>
      </c>
      <c r="C1999" s="1">
        <v>41647</v>
      </c>
      <c r="D1999" s="2">
        <f t="shared" si="62"/>
        <v>3</v>
      </c>
      <c r="E1999" s="2">
        <f t="shared" si="63"/>
        <v>1</v>
      </c>
      <c r="F1999">
        <v>82.843999999999994</v>
      </c>
      <c r="G1999">
        <v>84.0505</v>
      </c>
      <c r="H1999">
        <v>82.441900000000004</v>
      </c>
      <c r="I1999">
        <v>83.648300000000006</v>
      </c>
      <c r="J1999">
        <v>30933</v>
      </c>
      <c r="K1999">
        <v>1.9418</v>
      </c>
      <c r="L1999">
        <v>1.9512</v>
      </c>
    </row>
    <row r="2000" spans="1:12" x14ac:dyDescent="0.25">
      <c r="A2000">
        <v>2303</v>
      </c>
      <c r="B2000" t="s">
        <v>10</v>
      </c>
      <c r="C2000" s="1">
        <v>41648</v>
      </c>
      <c r="D2000" s="2">
        <f t="shared" si="62"/>
        <v>4</v>
      </c>
      <c r="E2000" s="2">
        <f t="shared" si="63"/>
        <v>1</v>
      </c>
      <c r="F2000">
        <v>10.2537</v>
      </c>
      <c r="G2000">
        <v>10.293100000000001</v>
      </c>
      <c r="H2000">
        <v>10.135400000000001</v>
      </c>
      <c r="I2000">
        <v>10.135400000000001</v>
      </c>
      <c r="J2000">
        <v>88394</v>
      </c>
      <c r="K2000">
        <v>-0.7752</v>
      </c>
      <c r="L2000">
        <v>1.5564</v>
      </c>
    </row>
    <row r="2001" spans="1:12" hidden="1" x14ac:dyDescent="0.25">
      <c r="A2001">
        <v>2330</v>
      </c>
      <c r="B2001" t="s">
        <v>11</v>
      </c>
      <c r="C2001" s="1">
        <v>41648</v>
      </c>
      <c r="D2001" s="2">
        <f t="shared" si="62"/>
        <v>4</v>
      </c>
      <c r="E2001" s="2">
        <f t="shared" si="63"/>
        <v>1</v>
      </c>
      <c r="F2001">
        <v>82.441900000000004</v>
      </c>
      <c r="G2001">
        <v>82.843999999999994</v>
      </c>
      <c r="H2001">
        <v>80.833299999999994</v>
      </c>
      <c r="I2001">
        <v>81.235399999999998</v>
      </c>
      <c r="J2001">
        <v>64221</v>
      </c>
      <c r="K2001">
        <v>-2.927</v>
      </c>
      <c r="L2001">
        <v>2.4876</v>
      </c>
    </row>
    <row r="2002" spans="1:12" x14ac:dyDescent="0.25">
      <c r="A2002">
        <v>2303</v>
      </c>
      <c r="B2002" t="s">
        <v>10</v>
      </c>
      <c r="C2002" s="1">
        <v>41649</v>
      </c>
      <c r="D2002" s="2">
        <f t="shared" si="62"/>
        <v>5</v>
      </c>
      <c r="E2002" s="2">
        <f t="shared" si="63"/>
        <v>1</v>
      </c>
      <c r="F2002">
        <v>10.135400000000001</v>
      </c>
      <c r="G2002">
        <v>10.174799999999999</v>
      </c>
      <c r="H2002">
        <v>10.0565</v>
      </c>
      <c r="I2002">
        <v>10.0959</v>
      </c>
      <c r="J2002">
        <v>40796</v>
      </c>
      <c r="K2002">
        <v>-0.38990000000000002</v>
      </c>
      <c r="L2002">
        <v>1.1765000000000001</v>
      </c>
    </row>
    <row r="2003" spans="1:12" hidden="1" x14ac:dyDescent="0.25">
      <c r="A2003">
        <v>2330</v>
      </c>
      <c r="B2003" t="s">
        <v>11</v>
      </c>
      <c r="C2003" s="1">
        <v>41649</v>
      </c>
      <c r="D2003" s="2">
        <f t="shared" si="62"/>
        <v>5</v>
      </c>
      <c r="E2003" s="2">
        <f t="shared" si="63"/>
        <v>1</v>
      </c>
      <c r="F2003">
        <v>82.039699999999996</v>
      </c>
      <c r="G2003">
        <v>82.441900000000004</v>
      </c>
      <c r="H2003">
        <v>81.637600000000006</v>
      </c>
      <c r="I2003">
        <v>82.039699999999996</v>
      </c>
      <c r="J2003">
        <v>36289</v>
      </c>
      <c r="K2003">
        <v>0.98519999999999996</v>
      </c>
      <c r="L2003">
        <v>0.98519999999999996</v>
      </c>
    </row>
    <row r="2004" spans="1:12" x14ac:dyDescent="0.25">
      <c r="A2004">
        <v>2303</v>
      </c>
      <c r="B2004" t="s">
        <v>10</v>
      </c>
      <c r="C2004" s="1">
        <v>41652</v>
      </c>
      <c r="D2004" s="2">
        <f t="shared" si="62"/>
        <v>1</v>
      </c>
      <c r="E2004" s="2">
        <f t="shared" si="63"/>
        <v>1</v>
      </c>
      <c r="F2004">
        <v>10.174799999999999</v>
      </c>
      <c r="G2004">
        <v>10.174799999999999</v>
      </c>
      <c r="H2004">
        <v>9.9382000000000001</v>
      </c>
      <c r="I2004">
        <v>9.9776000000000007</v>
      </c>
      <c r="J2004">
        <v>51964</v>
      </c>
      <c r="K2004">
        <v>-1.1788000000000001</v>
      </c>
      <c r="L2004">
        <v>2.3809999999999998</v>
      </c>
    </row>
    <row r="2005" spans="1:12" hidden="1" x14ac:dyDescent="0.25">
      <c r="A2005">
        <v>2330</v>
      </c>
      <c r="B2005" t="s">
        <v>11</v>
      </c>
      <c r="C2005" s="1">
        <v>41652</v>
      </c>
      <c r="D2005" s="2">
        <f t="shared" si="62"/>
        <v>1</v>
      </c>
      <c r="E2005" s="2">
        <f t="shared" si="63"/>
        <v>1</v>
      </c>
      <c r="F2005">
        <v>82.843999999999994</v>
      </c>
      <c r="G2005">
        <v>83.246200000000002</v>
      </c>
      <c r="H2005">
        <v>82.441900000000004</v>
      </c>
      <c r="I2005">
        <v>82.843999999999994</v>
      </c>
      <c r="J2005">
        <v>22080</v>
      </c>
      <c r="K2005">
        <v>0.97560000000000002</v>
      </c>
      <c r="L2005">
        <v>0.97560000000000002</v>
      </c>
    </row>
    <row r="2006" spans="1:12" x14ac:dyDescent="0.25">
      <c r="A2006">
        <v>2303</v>
      </c>
      <c r="B2006" t="s">
        <v>10</v>
      </c>
      <c r="C2006" s="1">
        <v>41653</v>
      </c>
      <c r="D2006" s="2">
        <f t="shared" si="62"/>
        <v>2</v>
      </c>
      <c r="E2006" s="2">
        <f t="shared" si="63"/>
        <v>1</v>
      </c>
      <c r="F2006">
        <v>9.9776000000000007</v>
      </c>
      <c r="G2006">
        <v>9.9776000000000007</v>
      </c>
      <c r="H2006">
        <v>9.8592999999999993</v>
      </c>
      <c r="I2006">
        <v>9.9382000000000001</v>
      </c>
      <c r="J2006">
        <v>41737</v>
      </c>
      <c r="K2006">
        <v>-0.39600000000000002</v>
      </c>
      <c r="L2006">
        <v>1.2</v>
      </c>
    </row>
    <row r="2007" spans="1:12" hidden="1" x14ac:dyDescent="0.25">
      <c r="A2007">
        <v>2330</v>
      </c>
      <c r="B2007" t="s">
        <v>11</v>
      </c>
      <c r="C2007" s="1">
        <v>41653</v>
      </c>
      <c r="D2007" s="2">
        <f t="shared" si="62"/>
        <v>2</v>
      </c>
      <c r="E2007" s="2">
        <f t="shared" si="63"/>
        <v>1</v>
      </c>
      <c r="F2007">
        <v>82.441900000000004</v>
      </c>
      <c r="G2007">
        <v>83.246200000000002</v>
      </c>
      <c r="H2007">
        <v>82.039699999999996</v>
      </c>
      <c r="I2007">
        <v>83.246200000000002</v>
      </c>
      <c r="J2007">
        <v>21718</v>
      </c>
      <c r="K2007">
        <v>0.48430000000000001</v>
      </c>
      <c r="L2007">
        <v>1.4705999999999999</v>
      </c>
    </row>
    <row r="2008" spans="1:12" x14ac:dyDescent="0.25">
      <c r="A2008">
        <v>2303</v>
      </c>
      <c r="B2008" t="s">
        <v>10</v>
      </c>
      <c r="C2008" s="1">
        <v>41654</v>
      </c>
      <c r="D2008" s="2">
        <f t="shared" si="62"/>
        <v>3</v>
      </c>
      <c r="E2008" s="2">
        <f t="shared" si="63"/>
        <v>1</v>
      </c>
      <c r="F2008">
        <v>10.016999999999999</v>
      </c>
      <c r="G2008">
        <v>10.135400000000001</v>
      </c>
      <c r="H2008">
        <v>9.9776000000000007</v>
      </c>
      <c r="I2008">
        <v>10.016999999999999</v>
      </c>
      <c r="J2008">
        <v>79150</v>
      </c>
      <c r="K2008">
        <v>0.79049999999999998</v>
      </c>
      <c r="L2008">
        <v>1.581</v>
      </c>
    </row>
    <row r="2009" spans="1:12" hidden="1" x14ac:dyDescent="0.25">
      <c r="A2009">
        <v>2330</v>
      </c>
      <c r="B2009" t="s">
        <v>11</v>
      </c>
      <c r="C2009" s="1">
        <v>41654</v>
      </c>
      <c r="D2009" s="2">
        <f t="shared" si="62"/>
        <v>3</v>
      </c>
      <c r="E2009" s="2">
        <f t="shared" si="63"/>
        <v>1</v>
      </c>
      <c r="F2009">
        <v>83.648300000000006</v>
      </c>
      <c r="G2009">
        <v>85.257000000000005</v>
      </c>
      <c r="H2009">
        <v>83.648300000000006</v>
      </c>
      <c r="I2009">
        <v>84.452699999999993</v>
      </c>
      <c r="J2009">
        <v>54458</v>
      </c>
      <c r="K2009">
        <v>1.4389000000000001</v>
      </c>
      <c r="L2009">
        <v>1.9231</v>
      </c>
    </row>
    <row r="2010" spans="1:12" x14ac:dyDescent="0.25">
      <c r="A2010">
        <v>2303</v>
      </c>
      <c r="B2010" t="s">
        <v>10</v>
      </c>
      <c r="C2010" s="1">
        <v>41655</v>
      </c>
      <c r="D2010" s="2">
        <f t="shared" si="62"/>
        <v>4</v>
      </c>
      <c r="E2010" s="2">
        <f t="shared" si="63"/>
        <v>1</v>
      </c>
      <c r="F2010">
        <v>10.135400000000001</v>
      </c>
      <c r="G2010">
        <v>10.2142</v>
      </c>
      <c r="H2010">
        <v>10.016999999999999</v>
      </c>
      <c r="I2010">
        <v>10.016999999999999</v>
      </c>
      <c r="J2010">
        <v>54256</v>
      </c>
      <c r="K2010">
        <v>0</v>
      </c>
      <c r="L2010">
        <v>1.9684999999999999</v>
      </c>
    </row>
    <row r="2011" spans="1:12" hidden="1" x14ac:dyDescent="0.25">
      <c r="A2011">
        <v>2330</v>
      </c>
      <c r="B2011" t="s">
        <v>11</v>
      </c>
      <c r="C2011" s="1">
        <v>41655</v>
      </c>
      <c r="D2011" s="2">
        <f t="shared" si="62"/>
        <v>4</v>
      </c>
      <c r="E2011" s="2">
        <f t="shared" si="63"/>
        <v>1</v>
      </c>
      <c r="F2011">
        <v>85.257000000000005</v>
      </c>
      <c r="G2011">
        <v>86.463399999999993</v>
      </c>
      <c r="H2011">
        <v>85.257000000000005</v>
      </c>
      <c r="I2011">
        <v>86.061300000000003</v>
      </c>
      <c r="J2011">
        <v>49601</v>
      </c>
      <c r="K2011">
        <v>1.8868</v>
      </c>
      <c r="L2011">
        <v>1.4151</v>
      </c>
    </row>
    <row r="2012" spans="1:12" x14ac:dyDescent="0.25">
      <c r="A2012">
        <v>2303</v>
      </c>
      <c r="B2012" t="s">
        <v>10</v>
      </c>
      <c r="C2012" s="1">
        <v>41656</v>
      </c>
      <c r="D2012" s="2">
        <f t="shared" si="62"/>
        <v>5</v>
      </c>
      <c r="E2012" s="2">
        <f t="shared" si="63"/>
        <v>1</v>
      </c>
      <c r="F2012">
        <v>10.0959</v>
      </c>
      <c r="G2012">
        <v>10.0959</v>
      </c>
      <c r="H2012">
        <v>10.016999999999999</v>
      </c>
      <c r="I2012">
        <v>10.0565</v>
      </c>
      <c r="J2012">
        <v>32492</v>
      </c>
      <c r="K2012">
        <v>0.39290000000000003</v>
      </c>
      <c r="L2012">
        <v>0.78739999999999999</v>
      </c>
    </row>
    <row r="2013" spans="1:12" hidden="1" x14ac:dyDescent="0.25">
      <c r="A2013">
        <v>2330</v>
      </c>
      <c r="B2013" t="s">
        <v>11</v>
      </c>
      <c r="C2013" s="1">
        <v>41656</v>
      </c>
      <c r="D2013" s="2">
        <f t="shared" si="62"/>
        <v>5</v>
      </c>
      <c r="E2013" s="2">
        <f t="shared" si="63"/>
        <v>1</v>
      </c>
      <c r="F2013">
        <v>86.865600000000001</v>
      </c>
      <c r="G2013">
        <v>87.267700000000005</v>
      </c>
      <c r="H2013">
        <v>86.061300000000003</v>
      </c>
      <c r="I2013">
        <v>86.463399999999993</v>
      </c>
      <c r="J2013">
        <v>55767</v>
      </c>
      <c r="K2013">
        <v>0.4662</v>
      </c>
      <c r="L2013">
        <v>1.4018999999999999</v>
      </c>
    </row>
    <row r="2014" spans="1:12" x14ac:dyDescent="0.25">
      <c r="A2014">
        <v>2303</v>
      </c>
      <c r="B2014" t="s">
        <v>10</v>
      </c>
      <c r="C2014" s="1">
        <v>41659</v>
      </c>
      <c r="D2014" s="2">
        <f t="shared" si="62"/>
        <v>1</v>
      </c>
      <c r="E2014" s="2">
        <f t="shared" si="63"/>
        <v>1</v>
      </c>
      <c r="F2014">
        <v>10.0565</v>
      </c>
      <c r="G2014">
        <v>10.0959</v>
      </c>
      <c r="H2014">
        <v>10.016999999999999</v>
      </c>
      <c r="I2014">
        <v>10.0959</v>
      </c>
      <c r="J2014">
        <v>23652</v>
      </c>
      <c r="K2014">
        <v>0.39140000000000003</v>
      </c>
      <c r="L2014">
        <v>0.78739999999999999</v>
      </c>
    </row>
    <row r="2015" spans="1:12" hidden="1" x14ac:dyDescent="0.25">
      <c r="A2015">
        <v>2330</v>
      </c>
      <c r="B2015" t="s">
        <v>11</v>
      </c>
      <c r="C2015" s="1">
        <v>41659</v>
      </c>
      <c r="D2015" s="2">
        <f t="shared" si="62"/>
        <v>1</v>
      </c>
      <c r="E2015" s="2">
        <f t="shared" si="63"/>
        <v>1</v>
      </c>
      <c r="F2015">
        <v>86.061300000000003</v>
      </c>
      <c r="G2015">
        <v>87.267700000000005</v>
      </c>
      <c r="H2015">
        <v>86.061300000000003</v>
      </c>
      <c r="I2015">
        <v>86.463399999999993</v>
      </c>
      <c r="J2015">
        <v>24299</v>
      </c>
      <c r="K2015">
        <v>0</v>
      </c>
      <c r="L2015">
        <v>1.4018999999999999</v>
      </c>
    </row>
    <row r="2016" spans="1:12" x14ac:dyDescent="0.25">
      <c r="A2016">
        <v>2303</v>
      </c>
      <c r="B2016" t="s">
        <v>10</v>
      </c>
      <c r="C2016" s="1">
        <v>41660</v>
      </c>
      <c r="D2016" s="2">
        <f t="shared" si="62"/>
        <v>2</v>
      </c>
      <c r="E2016" s="2">
        <f t="shared" si="63"/>
        <v>1</v>
      </c>
      <c r="F2016">
        <v>10.0959</v>
      </c>
      <c r="G2016">
        <v>10.135400000000001</v>
      </c>
      <c r="H2016">
        <v>10.016999999999999</v>
      </c>
      <c r="I2016">
        <v>10.0959</v>
      </c>
      <c r="J2016">
        <v>23052</v>
      </c>
      <c r="K2016">
        <v>0</v>
      </c>
      <c r="L2016">
        <v>1.1811</v>
      </c>
    </row>
    <row r="2017" spans="1:12" hidden="1" x14ac:dyDescent="0.25">
      <c r="A2017">
        <v>2330</v>
      </c>
      <c r="B2017" t="s">
        <v>11</v>
      </c>
      <c r="C2017" s="1">
        <v>41660</v>
      </c>
      <c r="D2017" s="2">
        <f t="shared" si="62"/>
        <v>2</v>
      </c>
      <c r="E2017" s="2">
        <f t="shared" si="63"/>
        <v>1</v>
      </c>
      <c r="F2017">
        <v>87.267700000000005</v>
      </c>
      <c r="G2017">
        <v>87.267700000000005</v>
      </c>
      <c r="H2017">
        <v>85.257000000000005</v>
      </c>
      <c r="I2017">
        <v>85.659099999999995</v>
      </c>
      <c r="J2017">
        <v>25121</v>
      </c>
      <c r="K2017">
        <v>-0.93459999999999999</v>
      </c>
      <c r="L2017">
        <v>2.3584999999999998</v>
      </c>
    </row>
    <row r="2018" spans="1:12" x14ac:dyDescent="0.25">
      <c r="A2018">
        <v>2303</v>
      </c>
      <c r="B2018" t="s">
        <v>10</v>
      </c>
      <c r="C2018" s="1">
        <v>41661</v>
      </c>
      <c r="D2018" s="2">
        <f t="shared" si="62"/>
        <v>3</v>
      </c>
      <c r="E2018" s="2">
        <f t="shared" si="63"/>
        <v>1</v>
      </c>
      <c r="F2018">
        <v>10.0565</v>
      </c>
      <c r="G2018">
        <v>10.0959</v>
      </c>
      <c r="H2018">
        <v>10.016999999999999</v>
      </c>
      <c r="I2018">
        <v>10.0565</v>
      </c>
      <c r="J2018">
        <v>19489</v>
      </c>
      <c r="K2018">
        <v>-0.39140000000000003</v>
      </c>
      <c r="L2018">
        <v>0.78739999999999999</v>
      </c>
    </row>
    <row r="2019" spans="1:12" hidden="1" x14ac:dyDescent="0.25">
      <c r="A2019">
        <v>2330</v>
      </c>
      <c r="B2019" t="s">
        <v>11</v>
      </c>
      <c r="C2019" s="1">
        <v>41661</v>
      </c>
      <c r="D2019" s="2">
        <f t="shared" si="62"/>
        <v>3</v>
      </c>
      <c r="E2019" s="2">
        <f t="shared" si="63"/>
        <v>1</v>
      </c>
      <c r="F2019">
        <v>85.257000000000005</v>
      </c>
      <c r="G2019">
        <v>86.463399999999993</v>
      </c>
      <c r="H2019">
        <v>85.257000000000005</v>
      </c>
      <c r="I2019">
        <v>86.463399999999993</v>
      </c>
      <c r="J2019">
        <v>28726</v>
      </c>
      <c r="K2019">
        <v>0.93459999999999999</v>
      </c>
      <c r="L2019">
        <v>1.4151</v>
      </c>
    </row>
    <row r="2020" spans="1:12" x14ac:dyDescent="0.25">
      <c r="A2020">
        <v>2303</v>
      </c>
      <c r="B2020" t="s">
        <v>10</v>
      </c>
      <c r="C2020" s="1">
        <v>41662</v>
      </c>
      <c r="D2020" s="2">
        <f t="shared" si="62"/>
        <v>4</v>
      </c>
      <c r="E2020" s="2">
        <f t="shared" si="63"/>
        <v>1</v>
      </c>
      <c r="F2020">
        <v>10.0565</v>
      </c>
      <c r="G2020">
        <v>10.2537</v>
      </c>
      <c r="H2020">
        <v>10.0565</v>
      </c>
      <c r="I2020">
        <v>10.135400000000001</v>
      </c>
      <c r="J2020">
        <v>68167</v>
      </c>
      <c r="K2020">
        <v>0.78129999999999999</v>
      </c>
      <c r="L2020">
        <v>1.9608000000000001</v>
      </c>
    </row>
    <row r="2021" spans="1:12" hidden="1" x14ac:dyDescent="0.25">
      <c r="A2021">
        <v>2330</v>
      </c>
      <c r="B2021" t="s">
        <v>11</v>
      </c>
      <c r="C2021" s="1">
        <v>41662</v>
      </c>
      <c r="D2021" s="2">
        <f t="shared" si="62"/>
        <v>4</v>
      </c>
      <c r="E2021" s="2">
        <f t="shared" si="63"/>
        <v>1</v>
      </c>
      <c r="F2021">
        <v>87.267700000000005</v>
      </c>
      <c r="G2021">
        <v>87.267700000000005</v>
      </c>
      <c r="H2021">
        <v>86.463399999999993</v>
      </c>
      <c r="I2021">
        <v>86.463399999999993</v>
      </c>
      <c r="J2021">
        <v>28308</v>
      </c>
      <c r="K2021">
        <v>0</v>
      </c>
      <c r="L2021">
        <v>0.93020000000000003</v>
      </c>
    </row>
    <row r="2022" spans="1:12" x14ac:dyDescent="0.25">
      <c r="A2022">
        <v>2303</v>
      </c>
      <c r="B2022" t="s">
        <v>10</v>
      </c>
      <c r="C2022" s="1">
        <v>41663</v>
      </c>
      <c r="D2022" s="2">
        <f t="shared" si="62"/>
        <v>5</v>
      </c>
      <c r="E2022" s="2">
        <f t="shared" si="63"/>
        <v>1</v>
      </c>
      <c r="F2022">
        <v>10.174799999999999</v>
      </c>
      <c r="G2022">
        <v>10.2537</v>
      </c>
      <c r="H2022">
        <v>10.0565</v>
      </c>
      <c r="I2022">
        <v>10.135400000000001</v>
      </c>
      <c r="J2022">
        <v>45855</v>
      </c>
      <c r="K2022">
        <v>0</v>
      </c>
      <c r="L2022">
        <v>1.9608000000000001</v>
      </c>
    </row>
    <row r="2023" spans="1:12" hidden="1" x14ac:dyDescent="0.25">
      <c r="A2023">
        <v>2330</v>
      </c>
      <c r="B2023" t="s">
        <v>11</v>
      </c>
      <c r="C2023" s="1">
        <v>41663</v>
      </c>
      <c r="D2023" s="2">
        <f t="shared" si="62"/>
        <v>5</v>
      </c>
      <c r="E2023" s="2">
        <f t="shared" si="63"/>
        <v>1</v>
      </c>
      <c r="F2023">
        <v>86.061300000000003</v>
      </c>
      <c r="G2023">
        <v>87.267700000000005</v>
      </c>
      <c r="H2023">
        <v>86.061300000000003</v>
      </c>
      <c r="I2023">
        <v>86.865600000000001</v>
      </c>
      <c r="J2023">
        <v>34059</v>
      </c>
      <c r="K2023">
        <v>0.46400000000000002</v>
      </c>
      <c r="L2023">
        <v>1.4018999999999999</v>
      </c>
    </row>
    <row r="2024" spans="1:12" x14ac:dyDescent="0.25">
      <c r="A2024">
        <v>2303</v>
      </c>
      <c r="B2024" t="s">
        <v>10</v>
      </c>
      <c r="C2024" s="1">
        <v>41666</v>
      </c>
      <c r="D2024" s="2">
        <f t="shared" si="62"/>
        <v>1</v>
      </c>
      <c r="E2024" s="2">
        <f t="shared" si="63"/>
        <v>1</v>
      </c>
      <c r="F2024">
        <v>9.9382000000000001</v>
      </c>
      <c r="G2024">
        <v>9.9382000000000001</v>
      </c>
      <c r="H2024">
        <v>9.7015999999999991</v>
      </c>
      <c r="I2024">
        <v>9.7409999999999997</v>
      </c>
      <c r="J2024">
        <v>99403</v>
      </c>
      <c r="K2024">
        <v>-3.9687999999999999</v>
      </c>
      <c r="L2024">
        <v>2.4390000000000001</v>
      </c>
    </row>
    <row r="2025" spans="1:12" hidden="1" x14ac:dyDescent="0.25">
      <c r="A2025">
        <v>2330</v>
      </c>
      <c r="B2025" t="s">
        <v>11</v>
      </c>
      <c r="C2025" s="1">
        <v>41666</v>
      </c>
      <c r="D2025" s="2">
        <f t="shared" si="62"/>
        <v>1</v>
      </c>
      <c r="E2025" s="2">
        <f t="shared" si="63"/>
        <v>1</v>
      </c>
      <c r="F2025">
        <v>85.257000000000005</v>
      </c>
      <c r="G2025">
        <v>85.659099999999995</v>
      </c>
      <c r="H2025">
        <v>83.648300000000006</v>
      </c>
      <c r="I2025">
        <v>84.452699999999993</v>
      </c>
      <c r="J2025">
        <v>65271</v>
      </c>
      <c r="K2025">
        <v>-2.8170999999999999</v>
      </c>
      <c r="L2025">
        <v>2.4037999999999999</v>
      </c>
    </row>
    <row r="2026" spans="1:12" x14ac:dyDescent="0.25">
      <c r="A2026">
        <v>2303</v>
      </c>
      <c r="B2026" t="s">
        <v>10</v>
      </c>
      <c r="C2026" s="1">
        <v>41675</v>
      </c>
      <c r="D2026" s="2">
        <f t="shared" si="62"/>
        <v>3</v>
      </c>
      <c r="E2026" s="2">
        <f t="shared" si="63"/>
        <v>2</v>
      </c>
      <c r="F2026">
        <v>9.5044000000000004</v>
      </c>
      <c r="G2026">
        <v>9.5437999999999992</v>
      </c>
      <c r="H2026">
        <v>9.3861000000000008</v>
      </c>
      <c r="I2026">
        <v>9.4649000000000001</v>
      </c>
      <c r="J2026">
        <v>99678</v>
      </c>
      <c r="K2026">
        <v>-2.8748999999999998</v>
      </c>
      <c r="L2026">
        <v>1.6807000000000001</v>
      </c>
    </row>
    <row r="2027" spans="1:12" hidden="1" x14ac:dyDescent="0.25">
      <c r="A2027">
        <v>2330</v>
      </c>
      <c r="B2027" t="s">
        <v>11</v>
      </c>
      <c r="C2027" s="1">
        <v>41675</v>
      </c>
      <c r="D2027" s="2">
        <f t="shared" si="62"/>
        <v>3</v>
      </c>
      <c r="E2027" s="2">
        <f t="shared" si="63"/>
        <v>2</v>
      </c>
      <c r="F2027">
        <v>82.039699999999996</v>
      </c>
      <c r="G2027">
        <v>82.039699999999996</v>
      </c>
      <c r="H2027">
        <v>80.833299999999994</v>
      </c>
      <c r="I2027">
        <v>80.833299999999994</v>
      </c>
      <c r="J2027">
        <v>147198</v>
      </c>
      <c r="K2027">
        <v>-4.3803000000000001</v>
      </c>
      <c r="L2027">
        <v>1.4924999999999999</v>
      </c>
    </row>
    <row r="2028" spans="1:12" x14ac:dyDescent="0.25">
      <c r="A2028">
        <v>2303</v>
      </c>
      <c r="B2028" t="s">
        <v>10</v>
      </c>
      <c r="C2028" s="1">
        <v>41676</v>
      </c>
      <c r="D2028" s="2">
        <f t="shared" si="62"/>
        <v>4</v>
      </c>
      <c r="E2028" s="2">
        <f t="shared" si="63"/>
        <v>2</v>
      </c>
      <c r="F2028">
        <v>9.4649000000000001</v>
      </c>
      <c r="G2028">
        <v>9.5831999999999997</v>
      </c>
      <c r="H2028">
        <v>9.4649000000000001</v>
      </c>
      <c r="I2028">
        <v>9.5044000000000004</v>
      </c>
      <c r="J2028">
        <v>43445</v>
      </c>
      <c r="K2028">
        <v>0.4158</v>
      </c>
      <c r="L2028">
        <v>1.25</v>
      </c>
    </row>
    <row r="2029" spans="1:12" hidden="1" x14ac:dyDescent="0.25">
      <c r="A2029">
        <v>2330</v>
      </c>
      <c r="B2029" t="s">
        <v>11</v>
      </c>
      <c r="C2029" s="1">
        <v>41676</v>
      </c>
      <c r="D2029" s="2">
        <f t="shared" si="62"/>
        <v>4</v>
      </c>
      <c r="E2029" s="2">
        <f t="shared" si="63"/>
        <v>2</v>
      </c>
      <c r="F2029">
        <v>81.235399999999998</v>
      </c>
      <c r="G2029">
        <v>82.843999999999994</v>
      </c>
      <c r="H2029">
        <v>81.235399999999998</v>
      </c>
      <c r="I2029">
        <v>82.039699999999996</v>
      </c>
      <c r="J2029">
        <v>73840</v>
      </c>
      <c r="K2029">
        <v>1.4815</v>
      </c>
      <c r="L2029">
        <v>1.9802</v>
      </c>
    </row>
    <row r="2030" spans="1:12" x14ac:dyDescent="0.25">
      <c r="A2030">
        <v>2303</v>
      </c>
      <c r="B2030" t="s">
        <v>10</v>
      </c>
      <c r="C2030" s="1">
        <v>41677</v>
      </c>
      <c r="D2030" s="2">
        <f t="shared" si="62"/>
        <v>5</v>
      </c>
      <c r="E2030" s="2">
        <f t="shared" si="63"/>
        <v>2</v>
      </c>
      <c r="F2030">
        <v>9.5437999999999992</v>
      </c>
      <c r="G2030">
        <v>9.6227</v>
      </c>
      <c r="H2030">
        <v>9.5437999999999992</v>
      </c>
      <c r="I2030">
        <v>9.5437999999999992</v>
      </c>
      <c r="J2030">
        <v>41897</v>
      </c>
      <c r="K2030">
        <v>0.41410000000000002</v>
      </c>
      <c r="L2030">
        <v>0.82640000000000002</v>
      </c>
    </row>
    <row r="2031" spans="1:12" hidden="1" x14ac:dyDescent="0.25">
      <c r="A2031">
        <v>2330</v>
      </c>
      <c r="B2031" t="s">
        <v>11</v>
      </c>
      <c r="C2031" s="1">
        <v>41677</v>
      </c>
      <c r="D2031" s="2">
        <f t="shared" si="62"/>
        <v>5</v>
      </c>
      <c r="E2031" s="2">
        <f t="shared" si="63"/>
        <v>2</v>
      </c>
      <c r="F2031">
        <v>83.246200000000002</v>
      </c>
      <c r="G2031">
        <v>84.0505</v>
      </c>
      <c r="H2031">
        <v>82.843999999999994</v>
      </c>
      <c r="I2031">
        <v>83.648300000000006</v>
      </c>
      <c r="J2031">
        <v>54185</v>
      </c>
      <c r="K2031">
        <v>1.9418</v>
      </c>
      <c r="L2031">
        <v>1.4562999999999999</v>
      </c>
    </row>
    <row r="2032" spans="1:12" x14ac:dyDescent="0.25">
      <c r="A2032">
        <v>2303</v>
      </c>
      <c r="B2032" t="s">
        <v>10</v>
      </c>
      <c r="C2032" s="1">
        <v>41680</v>
      </c>
      <c r="D2032" s="2">
        <f t="shared" si="62"/>
        <v>1</v>
      </c>
      <c r="E2032" s="2">
        <f t="shared" si="63"/>
        <v>2</v>
      </c>
      <c r="F2032">
        <v>9.5437999999999992</v>
      </c>
      <c r="G2032">
        <v>9.6227</v>
      </c>
      <c r="H2032">
        <v>9.5437999999999992</v>
      </c>
      <c r="I2032">
        <v>9.5437999999999992</v>
      </c>
      <c r="J2032">
        <v>17707</v>
      </c>
      <c r="K2032">
        <v>0</v>
      </c>
      <c r="L2032">
        <v>0.82640000000000002</v>
      </c>
    </row>
    <row r="2033" spans="1:12" hidden="1" x14ac:dyDescent="0.25">
      <c r="A2033">
        <v>2330</v>
      </c>
      <c r="B2033" t="s">
        <v>11</v>
      </c>
      <c r="C2033" s="1">
        <v>41680</v>
      </c>
      <c r="D2033" s="2">
        <f t="shared" si="62"/>
        <v>1</v>
      </c>
      <c r="E2033" s="2">
        <f t="shared" si="63"/>
        <v>2</v>
      </c>
      <c r="F2033">
        <v>83.648300000000006</v>
      </c>
      <c r="G2033">
        <v>84.0505</v>
      </c>
      <c r="H2033">
        <v>82.843999999999994</v>
      </c>
      <c r="I2033">
        <v>82.843999999999994</v>
      </c>
      <c r="J2033">
        <v>26243</v>
      </c>
      <c r="K2033">
        <v>-0.96619999999999995</v>
      </c>
      <c r="L2033">
        <v>1.4562999999999999</v>
      </c>
    </row>
    <row r="2034" spans="1:12" x14ac:dyDescent="0.25">
      <c r="A2034">
        <v>2303</v>
      </c>
      <c r="B2034" t="s">
        <v>10</v>
      </c>
      <c r="C2034" s="1">
        <v>41681</v>
      </c>
      <c r="D2034" s="2">
        <f t="shared" si="62"/>
        <v>2</v>
      </c>
      <c r="E2034" s="2">
        <f t="shared" si="63"/>
        <v>2</v>
      </c>
      <c r="F2034">
        <v>9.6227</v>
      </c>
      <c r="G2034">
        <v>9.6227</v>
      </c>
      <c r="H2034">
        <v>9.5437999999999992</v>
      </c>
      <c r="I2034">
        <v>9.5437999999999992</v>
      </c>
      <c r="J2034">
        <v>24572</v>
      </c>
      <c r="K2034">
        <v>0</v>
      </c>
      <c r="L2034">
        <v>0.82640000000000002</v>
      </c>
    </row>
    <row r="2035" spans="1:12" hidden="1" x14ac:dyDescent="0.25">
      <c r="A2035">
        <v>2330</v>
      </c>
      <c r="B2035" t="s">
        <v>11</v>
      </c>
      <c r="C2035" s="1">
        <v>41681</v>
      </c>
      <c r="D2035" s="2">
        <f t="shared" si="62"/>
        <v>2</v>
      </c>
      <c r="E2035" s="2">
        <f t="shared" si="63"/>
        <v>2</v>
      </c>
      <c r="F2035">
        <v>84.0505</v>
      </c>
      <c r="G2035">
        <v>84.452699999999993</v>
      </c>
      <c r="H2035">
        <v>83.648300000000006</v>
      </c>
      <c r="I2035">
        <v>84.0505</v>
      </c>
      <c r="J2035">
        <v>23523</v>
      </c>
      <c r="K2035">
        <v>1.4458</v>
      </c>
      <c r="L2035">
        <v>0.96150000000000002</v>
      </c>
    </row>
    <row r="2036" spans="1:12" x14ac:dyDescent="0.25">
      <c r="A2036">
        <v>2303</v>
      </c>
      <c r="B2036" t="s">
        <v>10</v>
      </c>
      <c r="C2036" s="1">
        <v>41682</v>
      </c>
      <c r="D2036" s="2">
        <f t="shared" si="62"/>
        <v>3</v>
      </c>
      <c r="E2036" s="2">
        <f t="shared" si="63"/>
        <v>2</v>
      </c>
      <c r="F2036">
        <v>9.6227</v>
      </c>
      <c r="G2036">
        <v>9.6621000000000006</v>
      </c>
      <c r="H2036">
        <v>9.5437999999999992</v>
      </c>
      <c r="I2036">
        <v>9.6227</v>
      </c>
      <c r="J2036">
        <v>34945</v>
      </c>
      <c r="K2036">
        <v>0.82299999999999995</v>
      </c>
      <c r="L2036">
        <v>1.2397</v>
      </c>
    </row>
    <row r="2037" spans="1:12" hidden="1" x14ac:dyDescent="0.25">
      <c r="A2037">
        <v>2330</v>
      </c>
      <c r="B2037" t="s">
        <v>11</v>
      </c>
      <c r="C2037" s="1">
        <v>41682</v>
      </c>
      <c r="D2037" s="2">
        <f t="shared" si="62"/>
        <v>3</v>
      </c>
      <c r="E2037" s="2">
        <f t="shared" si="63"/>
        <v>2</v>
      </c>
      <c r="F2037">
        <v>84.452699999999993</v>
      </c>
      <c r="G2037">
        <v>84.854799999999997</v>
      </c>
      <c r="H2037">
        <v>84.0505</v>
      </c>
      <c r="I2037">
        <v>84.452699999999993</v>
      </c>
      <c r="J2037">
        <v>25305</v>
      </c>
      <c r="K2037">
        <v>0.4773</v>
      </c>
      <c r="L2037">
        <v>0.95689999999999997</v>
      </c>
    </row>
    <row r="2038" spans="1:12" x14ac:dyDescent="0.25">
      <c r="A2038">
        <v>2303</v>
      </c>
      <c r="B2038" t="s">
        <v>10</v>
      </c>
      <c r="C2038" s="1">
        <v>41683</v>
      </c>
      <c r="D2038" s="2">
        <f t="shared" si="62"/>
        <v>4</v>
      </c>
      <c r="E2038" s="2">
        <f t="shared" si="63"/>
        <v>2</v>
      </c>
      <c r="F2038">
        <v>9.6227</v>
      </c>
      <c r="G2038">
        <v>9.6621000000000006</v>
      </c>
      <c r="H2038">
        <v>9.5831999999999997</v>
      </c>
      <c r="I2038">
        <v>9.6227</v>
      </c>
      <c r="J2038">
        <v>12234</v>
      </c>
      <c r="K2038">
        <v>0</v>
      </c>
      <c r="L2038">
        <v>0.82299999999999995</v>
      </c>
    </row>
    <row r="2039" spans="1:12" hidden="1" x14ac:dyDescent="0.25">
      <c r="A2039">
        <v>2330</v>
      </c>
      <c r="B2039" t="s">
        <v>11</v>
      </c>
      <c r="C2039" s="1">
        <v>41683</v>
      </c>
      <c r="D2039" s="2">
        <f t="shared" si="62"/>
        <v>4</v>
      </c>
      <c r="E2039" s="2">
        <f t="shared" si="63"/>
        <v>2</v>
      </c>
      <c r="F2039">
        <v>84.452699999999993</v>
      </c>
      <c r="G2039">
        <v>85.257000000000005</v>
      </c>
      <c r="H2039">
        <v>84.452699999999993</v>
      </c>
      <c r="I2039">
        <v>84.452699999999993</v>
      </c>
      <c r="J2039">
        <v>19625</v>
      </c>
      <c r="K2039">
        <v>0</v>
      </c>
      <c r="L2039">
        <v>0.95240000000000002</v>
      </c>
    </row>
    <row r="2040" spans="1:12" x14ac:dyDescent="0.25">
      <c r="A2040">
        <v>2303</v>
      </c>
      <c r="B2040" t="s">
        <v>10</v>
      </c>
      <c r="C2040" s="1">
        <v>41684</v>
      </c>
      <c r="D2040" s="2">
        <f t="shared" si="62"/>
        <v>5</v>
      </c>
      <c r="E2040" s="2">
        <f t="shared" si="63"/>
        <v>2</v>
      </c>
      <c r="F2040">
        <v>9.6227</v>
      </c>
      <c r="G2040">
        <v>9.7409999999999997</v>
      </c>
      <c r="H2040">
        <v>9.6227</v>
      </c>
      <c r="I2040">
        <v>9.7015999999999991</v>
      </c>
      <c r="J2040">
        <v>41646</v>
      </c>
      <c r="K2040">
        <v>0.81630000000000003</v>
      </c>
      <c r="L2040">
        <v>1.2295</v>
      </c>
    </row>
    <row r="2041" spans="1:12" hidden="1" x14ac:dyDescent="0.25">
      <c r="A2041">
        <v>2330</v>
      </c>
      <c r="B2041" t="s">
        <v>11</v>
      </c>
      <c r="C2041" s="1">
        <v>41684</v>
      </c>
      <c r="D2041" s="2">
        <f t="shared" si="62"/>
        <v>5</v>
      </c>
      <c r="E2041" s="2">
        <f t="shared" si="63"/>
        <v>2</v>
      </c>
      <c r="F2041">
        <v>85.659099999999995</v>
      </c>
      <c r="G2041">
        <v>86.463399999999993</v>
      </c>
      <c r="H2041">
        <v>85.659099999999995</v>
      </c>
      <c r="I2041">
        <v>86.463399999999993</v>
      </c>
      <c r="J2041">
        <v>42737</v>
      </c>
      <c r="K2041">
        <v>2.3530000000000002</v>
      </c>
      <c r="L2041">
        <v>0.93899999999999995</v>
      </c>
    </row>
    <row r="2042" spans="1:12" x14ac:dyDescent="0.25">
      <c r="A2042">
        <v>2303</v>
      </c>
      <c r="B2042" t="s">
        <v>10</v>
      </c>
      <c r="C2042" s="1">
        <v>41687</v>
      </c>
      <c r="D2042" s="2">
        <f t="shared" si="62"/>
        <v>1</v>
      </c>
      <c r="E2042" s="2">
        <f t="shared" si="63"/>
        <v>2</v>
      </c>
      <c r="F2042">
        <v>9.7409999999999997</v>
      </c>
      <c r="G2042">
        <v>9.7804000000000002</v>
      </c>
      <c r="H2042">
        <v>9.6227</v>
      </c>
      <c r="I2042">
        <v>9.6227</v>
      </c>
      <c r="J2042">
        <v>17866</v>
      </c>
      <c r="K2042">
        <v>-0.81630000000000003</v>
      </c>
      <c r="L2042">
        <v>1.6393</v>
      </c>
    </row>
    <row r="2043" spans="1:12" hidden="1" x14ac:dyDescent="0.25">
      <c r="A2043">
        <v>2330</v>
      </c>
      <c r="B2043" t="s">
        <v>11</v>
      </c>
      <c r="C2043" s="1">
        <v>41687</v>
      </c>
      <c r="D2043" s="2">
        <f t="shared" si="62"/>
        <v>1</v>
      </c>
      <c r="E2043" s="2">
        <f t="shared" si="63"/>
        <v>2</v>
      </c>
      <c r="F2043">
        <v>86.865600000000001</v>
      </c>
      <c r="G2043">
        <v>87.267700000000005</v>
      </c>
      <c r="H2043">
        <v>86.463399999999993</v>
      </c>
      <c r="I2043">
        <v>87.267700000000005</v>
      </c>
      <c r="J2043">
        <v>34368</v>
      </c>
      <c r="K2043">
        <v>0.92589999999999995</v>
      </c>
      <c r="L2043">
        <v>0.93020000000000003</v>
      </c>
    </row>
    <row r="2044" spans="1:12" x14ac:dyDescent="0.25">
      <c r="A2044">
        <v>2303</v>
      </c>
      <c r="B2044" t="s">
        <v>10</v>
      </c>
      <c r="C2044" s="1">
        <v>41688</v>
      </c>
      <c r="D2044" s="2">
        <f t="shared" si="62"/>
        <v>2</v>
      </c>
      <c r="E2044" s="2">
        <f t="shared" si="63"/>
        <v>2</v>
      </c>
      <c r="F2044">
        <v>9.6227</v>
      </c>
      <c r="G2044">
        <v>9.6621000000000006</v>
      </c>
      <c r="H2044">
        <v>9.5437999999999992</v>
      </c>
      <c r="I2044">
        <v>9.6227</v>
      </c>
      <c r="J2044">
        <v>26808</v>
      </c>
      <c r="K2044">
        <v>0</v>
      </c>
      <c r="L2044">
        <v>1.2397</v>
      </c>
    </row>
    <row r="2045" spans="1:12" hidden="1" x14ac:dyDescent="0.25">
      <c r="A2045">
        <v>2330</v>
      </c>
      <c r="B2045" t="s">
        <v>11</v>
      </c>
      <c r="C2045" s="1">
        <v>41688</v>
      </c>
      <c r="D2045" s="2">
        <f t="shared" si="62"/>
        <v>2</v>
      </c>
      <c r="E2045" s="2">
        <f t="shared" si="63"/>
        <v>2</v>
      </c>
      <c r="F2045">
        <v>87.267700000000005</v>
      </c>
      <c r="G2045">
        <v>87.267700000000005</v>
      </c>
      <c r="H2045">
        <v>86.463399999999993</v>
      </c>
      <c r="I2045">
        <v>86.865600000000001</v>
      </c>
      <c r="J2045">
        <v>22289</v>
      </c>
      <c r="K2045">
        <v>-0.46189999999999998</v>
      </c>
      <c r="L2045">
        <v>0.93020000000000003</v>
      </c>
    </row>
    <row r="2046" spans="1:12" x14ac:dyDescent="0.25">
      <c r="A2046">
        <v>2303</v>
      </c>
      <c r="B2046" t="s">
        <v>10</v>
      </c>
      <c r="C2046" s="1">
        <v>41689</v>
      </c>
      <c r="D2046" s="2">
        <f t="shared" si="62"/>
        <v>3</v>
      </c>
      <c r="E2046" s="2">
        <f t="shared" si="63"/>
        <v>2</v>
      </c>
      <c r="F2046">
        <v>9.6227</v>
      </c>
      <c r="G2046">
        <v>9.6621000000000006</v>
      </c>
      <c r="H2046">
        <v>9.5831999999999997</v>
      </c>
      <c r="I2046">
        <v>9.6621000000000006</v>
      </c>
      <c r="J2046">
        <v>12993</v>
      </c>
      <c r="K2046">
        <v>0.40899999999999997</v>
      </c>
      <c r="L2046">
        <v>0.82299999999999995</v>
      </c>
    </row>
    <row r="2047" spans="1:12" hidden="1" x14ac:dyDescent="0.25">
      <c r="A2047">
        <v>2330</v>
      </c>
      <c r="B2047" t="s">
        <v>11</v>
      </c>
      <c r="C2047" s="1">
        <v>41689</v>
      </c>
      <c r="D2047" s="2">
        <f t="shared" si="62"/>
        <v>3</v>
      </c>
      <c r="E2047" s="2">
        <f t="shared" si="63"/>
        <v>2</v>
      </c>
      <c r="F2047">
        <v>86.865600000000001</v>
      </c>
      <c r="G2047">
        <v>86.865600000000001</v>
      </c>
      <c r="H2047">
        <v>86.061300000000003</v>
      </c>
      <c r="I2047">
        <v>86.865600000000001</v>
      </c>
      <c r="J2047">
        <v>28886</v>
      </c>
      <c r="K2047">
        <v>0</v>
      </c>
      <c r="L2047">
        <v>0.93459999999999999</v>
      </c>
    </row>
    <row r="2048" spans="1:12" x14ac:dyDescent="0.25">
      <c r="A2048">
        <v>2303</v>
      </c>
      <c r="B2048" t="s">
        <v>10</v>
      </c>
      <c r="C2048" s="1">
        <v>41690</v>
      </c>
      <c r="D2048" s="2">
        <f t="shared" si="62"/>
        <v>4</v>
      </c>
      <c r="E2048" s="2">
        <f t="shared" si="63"/>
        <v>2</v>
      </c>
      <c r="F2048">
        <v>9.6621000000000006</v>
      </c>
      <c r="G2048">
        <v>9.6621000000000006</v>
      </c>
      <c r="H2048">
        <v>9.5831999999999997</v>
      </c>
      <c r="I2048">
        <v>9.6227</v>
      </c>
      <c r="J2048">
        <v>18913</v>
      </c>
      <c r="K2048">
        <v>-0.40899999999999997</v>
      </c>
      <c r="L2048">
        <v>0.82299999999999995</v>
      </c>
    </row>
    <row r="2049" spans="1:12" hidden="1" x14ac:dyDescent="0.25">
      <c r="A2049">
        <v>2330</v>
      </c>
      <c r="B2049" t="s">
        <v>11</v>
      </c>
      <c r="C2049" s="1">
        <v>41690</v>
      </c>
      <c r="D2049" s="2">
        <f t="shared" si="62"/>
        <v>4</v>
      </c>
      <c r="E2049" s="2">
        <f t="shared" si="63"/>
        <v>2</v>
      </c>
      <c r="F2049">
        <v>85.659099999999995</v>
      </c>
      <c r="G2049">
        <v>86.061300000000003</v>
      </c>
      <c r="H2049">
        <v>85.257000000000005</v>
      </c>
      <c r="I2049">
        <v>85.659099999999995</v>
      </c>
      <c r="J2049">
        <v>28469</v>
      </c>
      <c r="K2049">
        <v>-1.3986000000000001</v>
      </c>
      <c r="L2049">
        <v>0.94340000000000002</v>
      </c>
    </row>
    <row r="2050" spans="1:12" x14ac:dyDescent="0.25">
      <c r="A2050">
        <v>2303</v>
      </c>
      <c r="B2050" t="s">
        <v>10</v>
      </c>
      <c r="C2050" s="1">
        <v>41691</v>
      </c>
      <c r="D2050" s="2">
        <f t="shared" si="62"/>
        <v>5</v>
      </c>
      <c r="E2050" s="2">
        <f t="shared" si="63"/>
        <v>2</v>
      </c>
      <c r="F2050">
        <v>9.6621000000000006</v>
      </c>
      <c r="G2050">
        <v>9.7015999999999991</v>
      </c>
      <c r="H2050">
        <v>9.6227</v>
      </c>
      <c r="I2050">
        <v>9.7015999999999991</v>
      </c>
      <c r="J2050">
        <v>23784</v>
      </c>
      <c r="K2050">
        <v>0.81630000000000003</v>
      </c>
      <c r="L2050">
        <v>0.81969999999999998</v>
      </c>
    </row>
    <row r="2051" spans="1:12" hidden="1" x14ac:dyDescent="0.25">
      <c r="A2051">
        <v>2330</v>
      </c>
      <c r="B2051" t="s">
        <v>11</v>
      </c>
      <c r="C2051" s="1">
        <v>41691</v>
      </c>
      <c r="D2051" s="2">
        <f t="shared" ref="D2051:D2114" si="64">WEEKDAY(C2051,2)</f>
        <v>5</v>
      </c>
      <c r="E2051" s="2">
        <f t="shared" ref="E2051:E2114" si="65">MONTH(C2051)</f>
        <v>2</v>
      </c>
      <c r="F2051">
        <v>86.061300000000003</v>
      </c>
      <c r="G2051">
        <v>86.463399999999993</v>
      </c>
      <c r="H2051">
        <v>86.061300000000003</v>
      </c>
      <c r="I2051">
        <v>86.463399999999993</v>
      </c>
      <c r="J2051">
        <v>31505</v>
      </c>
      <c r="K2051">
        <v>0.93459999999999999</v>
      </c>
      <c r="L2051">
        <v>0.46729999999999999</v>
      </c>
    </row>
    <row r="2052" spans="1:12" x14ac:dyDescent="0.25">
      <c r="A2052">
        <v>2303</v>
      </c>
      <c r="B2052" t="s">
        <v>10</v>
      </c>
      <c r="C2052" s="1">
        <v>41694</v>
      </c>
      <c r="D2052" s="2">
        <f t="shared" si="64"/>
        <v>1</v>
      </c>
      <c r="E2052" s="2">
        <f t="shared" si="65"/>
        <v>2</v>
      </c>
      <c r="F2052">
        <v>9.7015999999999991</v>
      </c>
      <c r="G2052">
        <v>9.7409999999999997</v>
      </c>
      <c r="H2052">
        <v>9.6227</v>
      </c>
      <c r="I2052">
        <v>9.6621000000000006</v>
      </c>
      <c r="J2052">
        <v>20860</v>
      </c>
      <c r="K2052">
        <v>-0.4073</v>
      </c>
      <c r="L2052">
        <v>1.2295</v>
      </c>
    </row>
    <row r="2053" spans="1:12" hidden="1" x14ac:dyDescent="0.25">
      <c r="A2053">
        <v>2330</v>
      </c>
      <c r="B2053" t="s">
        <v>11</v>
      </c>
      <c r="C2053" s="1">
        <v>41694</v>
      </c>
      <c r="D2053" s="2">
        <f t="shared" si="64"/>
        <v>1</v>
      </c>
      <c r="E2053" s="2">
        <f t="shared" si="65"/>
        <v>2</v>
      </c>
      <c r="F2053">
        <v>86.463399999999993</v>
      </c>
      <c r="G2053">
        <v>86.865600000000001</v>
      </c>
      <c r="H2053">
        <v>85.257000000000005</v>
      </c>
      <c r="I2053">
        <v>86.061300000000003</v>
      </c>
      <c r="J2053">
        <v>32057</v>
      </c>
      <c r="K2053">
        <v>-0.4662</v>
      </c>
      <c r="L2053">
        <v>1.8868</v>
      </c>
    </row>
    <row r="2054" spans="1:12" x14ac:dyDescent="0.25">
      <c r="A2054">
        <v>2303</v>
      </c>
      <c r="B2054" t="s">
        <v>10</v>
      </c>
      <c r="C2054" s="1">
        <v>41695</v>
      </c>
      <c r="D2054" s="2">
        <f t="shared" si="64"/>
        <v>2</v>
      </c>
      <c r="E2054" s="2">
        <f t="shared" si="65"/>
        <v>2</v>
      </c>
      <c r="F2054">
        <v>9.6621000000000006</v>
      </c>
      <c r="G2054">
        <v>9.7015999999999991</v>
      </c>
      <c r="H2054">
        <v>9.6227</v>
      </c>
      <c r="I2054">
        <v>9.6621000000000006</v>
      </c>
      <c r="J2054">
        <v>20152</v>
      </c>
      <c r="K2054">
        <v>0</v>
      </c>
      <c r="L2054">
        <v>0.81969999999999998</v>
      </c>
    </row>
    <row r="2055" spans="1:12" hidden="1" x14ac:dyDescent="0.25">
      <c r="A2055">
        <v>2330</v>
      </c>
      <c r="B2055" t="s">
        <v>11</v>
      </c>
      <c r="C2055" s="1">
        <v>41695</v>
      </c>
      <c r="D2055" s="2">
        <f t="shared" si="64"/>
        <v>2</v>
      </c>
      <c r="E2055" s="2">
        <f t="shared" si="65"/>
        <v>2</v>
      </c>
      <c r="F2055">
        <v>86.463399999999993</v>
      </c>
      <c r="G2055">
        <v>86.865600000000001</v>
      </c>
      <c r="H2055">
        <v>85.659099999999995</v>
      </c>
      <c r="I2055">
        <v>86.865600000000001</v>
      </c>
      <c r="J2055">
        <v>34350</v>
      </c>
      <c r="K2055">
        <v>0.93020000000000003</v>
      </c>
      <c r="L2055">
        <v>1.4085000000000001</v>
      </c>
    </row>
    <row r="2056" spans="1:12" x14ac:dyDescent="0.25">
      <c r="A2056">
        <v>2303</v>
      </c>
      <c r="B2056" t="s">
        <v>10</v>
      </c>
      <c r="C2056" s="1">
        <v>41696</v>
      </c>
      <c r="D2056" s="2">
        <f t="shared" si="64"/>
        <v>3</v>
      </c>
      <c r="E2056" s="2">
        <f t="shared" si="65"/>
        <v>2</v>
      </c>
      <c r="F2056">
        <v>9.7015999999999991</v>
      </c>
      <c r="G2056">
        <v>9.8986999999999998</v>
      </c>
      <c r="H2056">
        <v>9.6621000000000006</v>
      </c>
      <c r="I2056">
        <v>9.7409999999999997</v>
      </c>
      <c r="J2056">
        <v>62660</v>
      </c>
      <c r="K2056">
        <v>0.81299999999999994</v>
      </c>
      <c r="L2056">
        <v>2.4489999999999998</v>
      </c>
    </row>
    <row r="2057" spans="1:12" hidden="1" x14ac:dyDescent="0.25">
      <c r="A2057">
        <v>2330</v>
      </c>
      <c r="B2057" t="s">
        <v>11</v>
      </c>
      <c r="C2057" s="1">
        <v>41696</v>
      </c>
      <c r="D2057" s="2">
        <f t="shared" si="64"/>
        <v>3</v>
      </c>
      <c r="E2057" s="2">
        <f t="shared" si="65"/>
        <v>2</v>
      </c>
      <c r="F2057">
        <v>86.463399999999993</v>
      </c>
      <c r="G2057">
        <v>86.865600000000001</v>
      </c>
      <c r="H2057">
        <v>86.061300000000003</v>
      </c>
      <c r="I2057">
        <v>86.463399999999993</v>
      </c>
      <c r="J2057">
        <v>34982</v>
      </c>
      <c r="K2057">
        <v>-0.46400000000000002</v>
      </c>
      <c r="L2057">
        <v>0.93459999999999999</v>
      </c>
    </row>
    <row r="2058" spans="1:12" x14ac:dyDescent="0.25">
      <c r="A2058">
        <v>2303</v>
      </c>
      <c r="B2058" t="s">
        <v>10</v>
      </c>
      <c r="C2058" s="1">
        <v>41697</v>
      </c>
      <c r="D2058" s="2">
        <f t="shared" si="64"/>
        <v>4</v>
      </c>
      <c r="E2058" s="2">
        <f t="shared" si="65"/>
        <v>2</v>
      </c>
      <c r="F2058">
        <v>9.8199000000000005</v>
      </c>
      <c r="G2058">
        <v>9.8592999999999993</v>
      </c>
      <c r="H2058">
        <v>9.7015999999999991</v>
      </c>
      <c r="I2058">
        <v>9.7015999999999991</v>
      </c>
      <c r="J2058">
        <v>28507</v>
      </c>
      <c r="K2058">
        <v>-0.40570000000000001</v>
      </c>
      <c r="L2058">
        <v>1.6259999999999999</v>
      </c>
    </row>
    <row r="2059" spans="1:12" hidden="1" x14ac:dyDescent="0.25">
      <c r="A2059">
        <v>2330</v>
      </c>
      <c r="B2059" t="s">
        <v>11</v>
      </c>
      <c r="C2059" s="1">
        <v>41697</v>
      </c>
      <c r="D2059" s="2">
        <f t="shared" si="64"/>
        <v>4</v>
      </c>
      <c r="E2059" s="2">
        <f t="shared" si="65"/>
        <v>2</v>
      </c>
      <c r="F2059">
        <v>86.463399999999993</v>
      </c>
      <c r="G2059">
        <v>86.865600000000001</v>
      </c>
      <c r="H2059">
        <v>86.463399999999993</v>
      </c>
      <c r="I2059">
        <v>86.865600000000001</v>
      </c>
      <c r="J2059">
        <v>49352</v>
      </c>
      <c r="K2059">
        <v>0.46400000000000002</v>
      </c>
      <c r="L2059">
        <v>0.46510000000000001</v>
      </c>
    </row>
    <row r="2060" spans="1:12" x14ac:dyDescent="0.25">
      <c r="A2060">
        <v>2303</v>
      </c>
      <c r="B2060" t="s">
        <v>10</v>
      </c>
      <c r="C2060" s="1">
        <v>41701</v>
      </c>
      <c r="D2060" s="2">
        <f t="shared" si="64"/>
        <v>1</v>
      </c>
      <c r="E2060" s="2">
        <f t="shared" si="65"/>
        <v>3</v>
      </c>
      <c r="F2060">
        <v>9.7409999999999997</v>
      </c>
      <c r="G2060">
        <v>9.9776000000000007</v>
      </c>
      <c r="H2060">
        <v>9.7409999999999997</v>
      </c>
      <c r="I2060">
        <v>9.8592999999999993</v>
      </c>
      <c r="J2060">
        <v>100105</v>
      </c>
      <c r="K2060">
        <v>1.6129</v>
      </c>
      <c r="L2060">
        <v>2.4291</v>
      </c>
    </row>
    <row r="2061" spans="1:12" hidden="1" x14ac:dyDescent="0.25">
      <c r="A2061">
        <v>2330</v>
      </c>
      <c r="B2061" t="s">
        <v>11</v>
      </c>
      <c r="C2061" s="1">
        <v>41701</v>
      </c>
      <c r="D2061" s="2">
        <f t="shared" si="64"/>
        <v>1</v>
      </c>
      <c r="E2061" s="2">
        <f t="shared" si="65"/>
        <v>3</v>
      </c>
      <c r="F2061">
        <v>86.865600000000001</v>
      </c>
      <c r="G2061">
        <v>86.865600000000001</v>
      </c>
      <c r="H2061">
        <v>85.659099999999995</v>
      </c>
      <c r="I2061">
        <v>86.865600000000001</v>
      </c>
      <c r="J2061">
        <v>62467</v>
      </c>
      <c r="K2061">
        <v>0</v>
      </c>
      <c r="L2061">
        <v>1.4085000000000001</v>
      </c>
    </row>
    <row r="2062" spans="1:12" x14ac:dyDescent="0.25">
      <c r="A2062">
        <v>2303</v>
      </c>
      <c r="B2062" t="s">
        <v>10</v>
      </c>
      <c r="C2062" s="1">
        <v>41702</v>
      </c>
      <c r="D2062" s="2">
        <f t="shared" si="64"/>
        <v>2</v>
      </c>
      <c r="E2062" s="2">
        <f t="shared" si="65"/>
        <v>3</v>
      </c>
      <c r="F2062">
        <v>9.8592999999999993</v>
      </c>
      <c r="G2062">
        <v>9.9382000000000001</v>
      </c>
      <c r="H2062">
        <v>9.7409999999999997</v>
      </c>
      <c r="I2062">
        <v>9.7804000000000002</v>
      </c>
      <c r="J2062">
        <v>39180</v>
      </c>
      <c r="K2062">
        <v>-0.80320000000000003</v>
      </c>
      <c r="L2062">
        <v>2.0243000000000002</v>
      </c>
    </row>
    <row r="2063" spans="1:12" hidden="1" x14ac:dyDescent="0.25">
      <c r="A2063">
        <v>2330</v>
      </c>
      <c r="B2063" t="s">
        <v>11</v>
      </c>
      <c r="C2063" s="1">
        <v>41702</v>
      </c>
      <c r="D2063" s="2">
        <f t="shared" si="64"/>
        <v>2</v>
      </c>
      <c r="E2063" s="2">
        <f t="shared" si="65"/>
        <v>3</v>
      </c>
      <c r="F2063">
        <v>86.865600000000001</v>
      </c>
      <c r="G2063">
        <v>86.865600000000001</v>
      </c>
      <c r="H2063">
        <v>86.463399999999993</v>
      </c>
      <c r="I2063">
        <v>86.463399999999993</v>
      </c>
      <c r="J2063">
        <v>48939</v>
      </c>
      <c r="K2063">
        <v>-0.46400000000000002</v>
      </c>
      <c r="L2063">
        <v>0.46510000000000001</v>
      </c>
    </row>
    <row r="2064" spans="1:12" x14ac:dyDescent="0.25">
      <c r="A2064">
        <v>2303</v>
      </c>
      <c r="B2064" t="s">
        <v>10</v>
      </c>
      <c r="C2064" s="1">
        <v>41703</v>
      </c>
      <c r="D2064" s="2">
        <f t="shared" si="64"/>
        <v>3</v>
      </c>
      <c r="E2064" s="2">
        <f t="shared" si="65"/>
        <v>3</v>
      </c>
      <c r="F2064">
        <v>9.8592999999999993</v>
      </c>
      <c r="G2064">
        <v>9.9382000000000001</v>
      </c>
      <c r="H2064">
        <v>9.8199000000000005</v>
      </c>
      <c r="I2064">
        <v>9.8199000000000005</v>
      </c>
      <c r="J2064">
        <v>33560</v>
      </c>
      <c r="K2064">
        <v>0.40239999999999998</v>
      </c>
      <c r="L2064">
        <v>1.2048000000000001</v>
      </c>
    </row>
    <row r="2065" spans="1:12" hidden="1" x14ac:dyDescent="0.25">
      <c r="A2065">
        <v>2330</v>
      </c>
      <c r="B2065" t="s">
        <v>11</v>
      </c>
      <c r="C2065" s="1">
        <v>41703</v>
      </c>
      <c r="D2065" s="2">
        <f t="shared" si="64"/>
        <v>3</v>
      </c>
      <c r="E2065" s="2">
        <f t="shared" si="65"/>
        <v>3</v>
      </c>
      <c r="F2065">
        <v>87.267700000000005</v>
      </c>
      <c r="G2065">
        <v>88.474199999999996</v>
      </c>
      <c r="H2065">
        <v>87.267700000000005</v>
      </c>
      <c r="I2065">
        <v>88.474199999999996</v>
      </c>
      <c r="J2065">
        <v>55447</v>
      </c>
      <c r="K2065">
        <v>2.2989999999999999</v>
      </c>
      <c r="L2065">
        <v>1.3825000000000001</v>
      </c>
    </row>
    <row r="2066" spans="1:12" x14ac:dyDescent="0.25">
      <c r="A2066">
        <v>2303</v>
      </c>
      <c r="B2066" t="s">
        <v>10</v>
      </c>
      <c r="C2066" s="1">
        <v>41704</v>
      </c>
      <c r="D2066" s="2">
        <f t="shared" si="64"/>
        <v>4</v>
      </c>
      <c r="E2066" s="2">
        <f t="shared" si="65"/>
        <v>3</v>
      </c>
      <c r="F2066">
        <v>9.8592999999999993</v>
      </c>
      <c r="G2066">
        <v>10.0959</v>
      </c>
      <c r="H2066">
        <v>9.8592999999999993</v>
      </c>
      <c r="I2066">
        <v>10.016999999999999</v>
      </c>
      <c r="J2066">
        <v>73696</v>
      </c>
      <c r="K2066">
        <v>1.9881</v>
      </c>
      <c r="L2066">
        <v>2.4</v>
      </c>
    </row>
    <row r="2067" spans="1:12" hidden="1" x14ac:dyDescent="0.25">
      <c r="A2067">
        <v>2330</v>
      </c>
      <c r="B2067" t="s">
        <v>11</v>
      </c>
      <c r="C2067" s="1">
        <v>41704</v>
      </c>
      <c r="D2067" s="2">
        <f t="shared" si="64"/>
        <v>4</v>
      </c>
      <c r="E2067" s="2">
        <f t="shared" si="65"/>
        <v>3</v>
      </c>
      <c r="F2067">
        <v>88.474199999999996</v>
      </c>
      <c r="G2067">
        <v>91.289299999999997</v>
      </c>
      <c r="H2067">
        <v>88.474199999999996</v>
      </c>
      <c r="I2067">
        <v>90.887100000000004</v>
      </c>
      <c r="J2067">
        <v>72622</v>
      </c>
      <c r="K2067">
        <v>2.6907000000000001</v>
      </c>
      <c r="L2067">
        <v>3.1818</v>
      </c>
    </row>
    <row r="2068" spans="1:12" x14ac:dyDescent="0.25">
      <c r="A2068">
        <v>2303</v>
      </c>
      <c r="B2068" t="s">
        <v>10</v>
      </c>
      <c r="C2068" s="1">
        <v>41705</v>
      </c>
      <c r="D2068" s="2">
        <f t="shared" si="64"/>
        <v>5</v>
      </c>
      <c r="E2068" s="2">
        <f t="shared" si="65"/>
        <v>3</v>
      </c>
      <c r="F2068">
        <v>10.0959</v>
      </c>
      <c r="G2068">
        <v>10.135400000000001</v>
      </c>
      <c r="H2068">
        <v>9.9382000000000001</v>
      </c>
      <c r="I2068">
        <v>9.9776000000000007</v>
      </c>
      <c r="J2068">
        <v>73753</v>
      </c>
      <c r="K2068">
        <v>-0.39450000000000002</v>
      </c>
      <c r="L2068">
        <v>1.9841</v>
      </c>
    </row>
    <row r="2069" spans="1:12" hidden="1" x14ac:dyDescent="0.25">
      <c r="A2069">
        <v>2330</v>
      </c>
      <c r="B2069" t="s">
        <v>11</v>
      </c>
      <c r="C2069" s="1">
        <v>41705</v>
      </c>
      <c r="D2069" s="2">
        <f t="shared" si="64"/>
        <v>5</v>
      </c>
      <c r="E2069" s="2">
        <f t="shared" si="65"/>
        <v>3</v>
      </c>
      <c r="F2069">
        <v>91.691500000000005</v>
      </c>
      <c r="G2069">
        <v>92.495800000000003</v>
      </c>
      <c r="H2069">
        <v>91.289299999999997</v>
      </c>
      <c r="I2069">
        <v>92.093599999999995</v>
      </c>
      <c r="J2069">
        <v>66916</v>
      </c>
      <c r="K2069">
        <v>1.3187</v>
      </c>
      <c r="L2069">
        <v>1.3216000000000001</v>
      </c>
    </row>
    <row r="2070" spans="1:12" x14ac:dyDescent="0.25">
      <c r="A2070">
        <v>2303</v>
      </c>
      <c r="B2070" t="s">
        <v>10</v>
      </c>
      <c r="C2070" s="1">
        <v>41708</v>
      </c>
      <c r="D2070" s="2">
        <f t="shared" si="64"/>
        <v>1</v>
      </c>
      <c r="E2070" s="2">
        <f t="shared" si="65"/>
        <v>3</v>
      </c>
      <c r="F2070">
        <v>10.016999999999999</v>
      </c>
      <c r="G2070">
        <v>10.016999999999999</v>
      </c>
      <c r="H2070">
        <v>9.8199000000000005</v>
      </c>
      <c r="I2070">
        <v>9.8592999999999993</v>
      </c>
      <c r="J2070">
        <v>45844</v>
      </c>
      <c r="K2070">
        <v>-1.1929000000000001</v>
      </c>
      <c r="L2070">
        <v>2.008</v>
      </c>
    </row>
    <row r="2071" spans="1:12" hidden="1" x14ac:dyDescent="0.25">
      <c r="A2071">
        <v>2330</v>
      </c>
      <c r="B2071" t="s">
        <v>11</v>
      </c>
      <c r="C2071" s="1">
        <v>41708</v>
      </c>
      <c r="D2071" s="2">
        <f t="shared" si="64"/>
        <v>1</v>
      </c>
      <c r="E2071" s="2">
        <f t="shared" si="65"/>
        <v>3</v>
      </c>
      <c r="F2071">
        <v>92.093599999999995</v>
      </c>
      <c r="G2071">
        <v>92.093599999999995</v>
      </c>
      <c r="H2071">
        <v>90.484999999999999</v>
      </c>
      <c r="I2071">
        <v>90.887100000000004</v>
      </c>
      <c r="J2071">
        <v>38430</v>
      </c>
      <c r="K2071">
        <v>-1.3187</v>
      </c>
      <c r="L2071">
        <v>1.7778</v>
      </c>
    </row>
    <row r="2072" spans="1:12" x14ac:dyDescent="0.25">
      <c r="A2072">
        <v>2303</v>
      </c>
      <c r="B2072" t="s">
        <v>10</v>
      </c>
      <c r="C2072" s="1">
        <v>41709</v>
      </c>
      <c r="D2072" s="2">
        <f t="shared" si="64"/>
        <v>2</v>
      </c>
      <c r="E2072" s="2">
        <f t="shared" si="65"/>
        <v>3</v>
      </c>
      <c r="F2072">
        <v>9.9382000000000001</v>
      </c>
      <c r="G2072">
        <v>10.0959</v>
      </c>
      <c r="H2072">
        <v>9.8592999999999993</v>
      </c>
      <c r="I2072">
        <v>10.0565</v>
      </c>
      <c r="J2072">
        <v>58521</v>
      </c>
      <c r="K2072">
        <v>1.9802999999999999</v>
      </c>
      <c r="L2072">
        <v>2.4</v>
      </c>
    </row>
    <row r="2073" spans="1:12" hidden="1" x14ac:dyDescent="0.25">
      <c r="A2073">
        <v>2330</v>
      </c>
      <c r="B2073" t="s">
        <v>11</v>
      </c>
      <c r="C2073" s="1">
        <v>41709</v>
      </c>
      <c r="D2073" s="2">
        <f t="shared" si="64"/>
        <v>2</v>
      </c>
      <c r="E2073" s="2">
        <f t="shared" si="65"/>
        <v>3</v>
      </c>
      <c r="F2073">
        <v>91.289299999999997</v>
      </c>
      <c r="G2073">
        <v>92.093599999999995</v>
      </c>
      <c r="H2073">
        <v>91.289299999999997</v>
      </c>
      <c r="I2073">
        <v>91.691500000000005</v>
      </c>
      <c r="J2073">
        <v>29182</v>
      </c>
      <c r="K2073">
        <v>0.88109999999999999</v>
      </c>
      <c r="L2073">
        <v>0.88109999999999999</v>
      </c>
    </row>
    <row r="2074" spans="1:12" x14ac:dyDescent="0.25">
      <c r="A2074">
        <v>2303</v>
      </c>
      <c r="B2074" t="s">
        <v>10</v>
      </c>
      <c r="C2074" s="1">
        <v>41710</v>
      </c>
      <c r="D2074" s="2">
        <f t="shared" si="64"/>
        <v>3</v>
      </c>
      <c r="E2074" s="2">
        <f t="shared" si="65"/>
        <v>3</v>
      </c>
      <c r="F2074">
        <v>10.016999999999999</v>
      </c>
      <c r="G2074">
        <v>10.174799999999999</v>
      </c>
      <c r="H2074">
        <v>9.9776000000000007</v>
      </c>
      <c r="I2074">
        <v>10.174799999999999</v>
      </c>
      <c r="J2074">
        <v>63535</v>
      </c>
      <c r="K2074">
        <v>1.1696</v>
      </c>
      <c r="L2074">
        <v>1.9762999999999999</v>
      </c>
    </row>
    <row r="2075" spans="1:12" hidden="1" x14ac:dyDescent="0.25">
      <c r="A2075">
        <v>2330</v>
      </c>
      <c r="B2075" t="s">
        <v>11</v>
      </c>
      <c r="C2075" s="1">
        <v>41710</v>
      </c>
      <c r="D2075" s="2">
        <f t="shared" si="64"/>
        <v>3</v>
      </c>
      <c r="E2075" s="2">
        <f t="shared" si="65"/>
        <v>3</v>
      </c>
      <c r="F2075">
        <v>90.484999999999999</v>
      </c>
      <c r="G2075">
        <v>90.887100000000004</v>
      </c>
      <c r="H2075">
        <v>90.082800000000006</v>
      </c>
      <c r="I2075">
        <v>90.887100000000004</v>
      </c>
      <c r="J2075">
        <v>18414</v>
      </c>
      <c r="K2075">
        <v>-0.88109999999999999</v>
      </c>
      <c r="L2075">
        <v>0.89290000000000003</v>
      </c>
    </row>
    <row r="2076" spans="1:12" x14ac:dyDescent="0.25">
      <c r="A2076">
        <v>2303</v>
      </c>
      <c r="B2076" t="s">
        <v>10</v>
      </c>
      <c r="C2076" s="1">
        <v>41711</v>
      </c>
      <c r="D2076" s="2">
        <f t="shared" si="64"/>
        <v>4</v>
      </c>
      <c r="E2076" s="2">
        <f t="shared" si="65"/>
        <v>3</v>
      </c>
      <c r="F2076">
        <v>10.2142</v>
      </c>
      <c r="G2076">
        <v>10.4114</v>
      </c>
      <c r="H2076">
        <v>10.2142</v>
      </c>
      <c r="I2076">
        <v>10.293100000000001</v>
      </c>
      <c r="J2076">
        <v>184285</v>
      </c>
      <c r="K2076">
        <v>1.1560999999999999</v>
      </c>
      <c r="L2076">
        <v>1.9305000000000001</v>
      </c>
    </row>
    <row r="2077" spans="1:12" hidden="1" x14ac:dyDescent="0.25">
      <c r="A2077">
        <v>2330</v>
      </c>
      <c r="B2077" t="s">
        <v>11</v>
      </c>
      <c r="C2077" s="1">
        <v>41711</v>
      </c>
      <c r="D2077" s="2">
        <f t="shared" si="64"/>
        <v>4</v>
      </c>
      <c r="E2077" s="2">
        <f t="shared" si="65"/>
        <v>3</v>
      </c>
      <c r="F2077">
        <v>93.702200000000005</v>
      </c>
      <c r="G2077">
        <v>94.506500000000003</v>
      </c>
      <c r="H2077">
        <v>92.897900000000007</v>
      </c>
      <c r="I2077">
        <v>93.702200000000005</v>
      </c>
      <c r="J2077">
        <v>59080</v>
      </c>
      <c r="K2077">
        <v>3.0503</v>
      </c>
      <c r="L2077">
        <v>1.7316</v>
      </c>
    </row>
    <row r="2078" spans="1:12" x14ac:dyDescent="0.25">
      <c r="A2078">
        <v>2303</v>
      </c>
      <c r="B2078" t="s">
        <v>10</v>
      </c>
      <c r="C2078" s="1">
        <v>41712</v>
      </c>
      <c r="D2078" s="2">
        <f t="shared" si="64"/>
        <v>5</v>
      </c>
      <c r="E2078" s="2">
        <f t="shared" si="65"/>
        <v>3</v>
      </c>
      <c r="F2078">
        <v>10.2142</v>
      </c>
      <c r="G2078">
        <v>10.2537</v>
      </c>
      <c r="H2078">
        <v>10.0959</v>
      </c>
      <c r="I2078">
        <v>10.174799999999999</v>
      </c>
      <c r="J2078">
        <v>66056</v>
      </c>
      <c r="K2078">
        <v>-1.1560999999999999</v>
      </c>
      <c r="L2078">
        <v>1.5625</v>
      </c>
    </row>
    <row r="2079" spans="1:12" hidden="1" x14ac:dyDescent="0.25">
      <c r="A2079">
        <v>2330</v>
      </c>
      <c r="B2079" t="s">
        <v>11</v>
      </c>
      <c r="C2079" s="1">
        <v>41712</v>
      </c>
      <c r="D2079" s="2">
        <f t="shared" si="64"/>
        <v>5</v>
      </c>
      <c r="E2079" s="2">
        <f t="shared" si="65"/>
        <v>3</v>
      </c>
      <c r="F2079">
        <v>92.495800000000003</v>
      </c>
      <c r="G2079">
        <v>92.897900000000007</v>
      </c>
      <c r="H2079">
        <v>91.691500000000005</v>
      </c>
      <c r="I2079">
        <v>92.495800000000003</v>
      </c>
      <c r="J2079">
        <v>47105</v>
      </c>
      <c r="K2079">
        <v>-1.2959000000000001</v>
      </c>
      <c r="L2079">
        <v>1.3158000000000001</v>
      </c>
    </row>
    <row r="2080" spans="1:12" x14ac:dyDescent="0.25">
      <c r="A2080">
        <v>2303</v>
      </c>
      <c r="B2080" t="s">
        <v>10</v>
      </c>
      <c r="C2080" s="1">
        <v>41715</v>
      </c>
      <c r="D2080" s="2">
        <f t="shared" si="64"/>
        <v>1</v>
      </c>
      <c r="E2080" s="2">
        <f t="shared" si="65"/>
        <v>3</v>
      </c>
      <c r="F2080">
        <v>10.2142</v>
      </c>
      <c r="G2080">
        <v>10.293100000000001</v>
      </c>
      <c r="H2080">
        <v>10.174799999999999</v>
      </c>
      <c r="I2080">
        <v>10.2142</v>
      </c>
      <c r="J2080">
        <v>44783</v>
      </c>
      <c r="K2080">
        <v>0.38679999999999998</v>
      </c>
      <c r="L2080">
        <v>1.1628000000000001</v>
      </c>
    </row>
    <row r="2081" spans="1:12" hidden="1" x14ac:dyDescent="0.25">
      <c r="A2081">
        <v>2330</v>
      </c>
      <c r="B2081" t="s">
        <v>11</v>
      </c>
      <c r="C2081" s="1">
        <v>41715</v>
      </c>
      <c r="D2081" s="2">
        <f t="shared" si="64"/>
        <v>1</v>
      </c>
      <c r="E2081" s="2">
        <f t="shared" si="65"/>
        <v>3</v>
      </c>
      <c r="F2081">
        <v>92.093599999999995</v>
      </c>
      <c r="G2081">
        <v>92.495800000000003</v>
      </c>
      <c r="H2081">
        <v>90.887100000000004</v>
      </c>
      <c r="I2081">
        <v>91.691500000000005</v>
      </c>
      <c r="J2081">
        <v>33910</v>
      </c>
      <c r="K2081">
        <v>-0.87339999999999995</v>
      </c>
      <c r="L2081">
        <v>1.7699</v>
      </c>
    </row>
    <row r="2082" spans="1:12" x14ac:dyDescent="0.25">
      <c r="A2082">
        <v>2303</v>
      </c>
      <c r="B2082" t="s">
        <v>10</v>
      </c>
      <c r="C2082" s="1">
        <v>41716</v>
      </c>
      <c r="D2082" s="2">
        <f t="shared" si="64"/>
        <v>2</v>
      </c>
      <c r="E2082" s="2">
        <f t="shared" si="65"/>
        <v>3</v>
      </c>
      <c r="F2082">
        <v>10.293100000000001</v>
      </c>
      <c r="G2082">
        <v>10.3325</v>
      </c>
      <c r="H2082">
        <v>10.2142</v>
      </c>
      <c r="I2082">
        <v>10.293100000000001</v>
      </c>
      <c r="J2082">
        <v>57102</v>
      </c>
      <c r="K2082">
        <v>0.76919999999999999</v>
      </c>
      <c r="L2082">
        <v>1.1583000000000001</v>
      </c>
    </row>
    <row r="2083" spans="1:12" hidden="1" x14ac:dyDescent="0.25">
      <c r="A2083">
        <v>2330</v>
      </c>
      <c r="B2083" t="s">
        <v>11</v>
      </c>
      <c r="C2083" s="1">
        <v>41716</v>
      </c>
      <c r="D2083" s="2">
        <f t="shared" si="64"/>
        <v>2</v>
      </c>
      <c r="E2083" s="2">
        <f t="shared" si="65"/>
        <v>3</v>
      </c>
      <c r="F2083">
        <v>92.093599999999995</v>
      </c>
      <c r="G2083">
        <v>92.495800000000003</v>
      </c>
      <c r="H2083">
        <v>91.289299999999997</v>
      </c>
      <c r="I2083">
        <v>92.093599999999995</v>
      </c>
      <c r="J2083">
        <v>37517</v>
      </c>
      <c r="K2083">
        <v>0.43759999999999999</v>
      </c>
      <c r="L2083">
        <v>1.3216000000000001</v>
      </c>
    </row>
    <row r="2084" spans="1:12" x14ac:dyDescent="0.25">
      <c r="A2084">
        <v>2303</v>
      </c>
      <c r="B2084" t="s">
        <v>10</v>
      </c>
      <c r="C2084" s="1">
        <v>41717</v>
      </c>
      <c r="D2084" s="2">
        <f t="shared" si="64"/>
        <v>3</v>
      </c>
      <c r="E2084" s="2">
        <f t="shared" si="65"/>
        <v>3</v>
      </c>
      <c r="F2084">
        <v>10.293100000000001</v>
      </c>
      <c r="G2084">
        <v>10.293100000000001</v>
      </c>
      <c r="H2084">
        <v>10.135400000000001</v>
      </c>
      <c r="I2084">
        <v>10.135400000000001</v>
      </c>
      <c r="J2084">
        <v>50755</v>
      </c>
      <c r="K2084">
        <v>-1.5444</v>
      </c>
      <c r="L2084">
        <v>1.5564</v>
      </c>
    </row>
    <row r="2085" spans="1:12" hidden="1" x14ac:dyDescent="0.25">
      <c r="A2085">
        <v>2330</v>
      </c>
      <c r="B2085" t="s">
        <v>11</v>
      </c>
      <c r="C2085" s="1">
        <v>41717</v>
      </c>
      <c r="D2085" s="2">
        <f t="shared" si="64"/>
        <v>3</v>
      </c>
      <c r="E2085" s="2">
        <f t="shared" si="65"/>
        <v>3</v>
      </c>
      <c r="F2085">
        <v>92.093599999999995</v>
      </c>
      <c r="G2085">
        <v>92.495800000000003</v>
      </c>
      <c r="H2085">
        <v>91.289299999999997</v>
      </c>
      <c r="I2085">
        <v>92.093599999999995</v>
      </c>
      <c r="J2085">
        <v>35237</v>
      </c>
      <c r="K2085">
        <v>0</v>
      </c>
      <c r="L2085">
        <v>1.3216000000000001</v>
      </c>
    </row>
    <row r="2086" spans="1:12" x14ac:dyDescent="0.25">
      <c r="A2086">
        <v>2303</v>
      </c>
      <c r="B2086" t="s">
        <v>10</v>
      </c>
      <c r="C2086" s="1">
        <v>41718</v>
      </c>
      <c r="D2086" s="2">
        <f t="shared" si="64"/>
        <v>4</v>
      </c>
      <c r="E2086" s="2">
        <f t="shared" si="65"/>
        <v>3</v>
      </c>
      <c r="F2086">
        <v>10.0565</v>
      </c>
      <c r="G2086">
        <v>10.0565</v>
      </c>
      <c r="H2086">
        <v>9.9776000000000007</v>
      </c>
      <c r="I2086">
        <v>9.9776000000000007</v>
      </c>
      <c r="J2086">
        <v>50532</v>
      </c>
      <c r="K2086">
        <v>-1.5687</v>
      </c>
      <c r="L2086">
        <v>0.79049999999999998</v>
      </c>
    </row>
    <row r="2087" spans="1:12" hidden="1" x14ac:dyDescent="0.25">
      <c r="A2087">
        <v>2330</v>
      </c>
      <c r="B2087" t="s">
        <v>11</v>
      </c>
      <c r="C2087" s="1">
        <v>41718</v>
      </c>
      <c r="D2087" s="2">
        <f t="shared" si="64"/>
        <v>4</v>
      </c>
      <c r="E2087" s="2">
        <f t="shared" si="65"/>
        <v>3</v>
      </c>
      <c r="F2087">
        <v>90.887100000000004</v>
      </c>
      <c r="G2087">
        <v>91.289299999999997</v>
      </c>
      <c r="H2087">
        <v>90.082800000000006</v>
      </c>
      <c r="I2087">
        <v>90.082800000000006</v>
      </c>
      <c r="J2087">
        <v>46512</v>
      </c>
      <c r="K2087">
        <v>-2.2075999999999998</v>
      </c>
      <c r="L2087">
        <v>1.3392999999999999</v>
      </c>
    </row>
    <row r="2088" spans="1:12" x14ac:dyDescent="0.25">
      <c r="A2088">
        <v>2303</v>
      </c>
      <c r="B2088" t="s">
        <v>10</v>
      </c>
      <c r="C2088" s="1">
        <v>41719</v>
      </c>
      <c r="D2088" s="2">
        <f t="shared" si="64"/>
        <v>5</v>
      </c>
      <c r="E2088" s="2">
        <f t="shared" si="65"/>
        <v>3</v>
      </c>
      <c r="F2088">
        <v>10.016999999999999</v>
      </c>
      <c r="G2088">
        <v>10.0565</v>
      </c>
      <c r="H2088">
        <v>9.8592999999999993</v>
      </c>
      <c r="I2088">
        <v>9.8592999999999993</v>
      </c>
      <c r="J2088">
        <v>49795</v>
      </c>
      <c r="K2088">
        <v>-1.1929000000000001</v>
      </c>
      <c r="L2088">
        <v>2</v>
      </c>
    </row>
    <row r="2089" spans="1:12" hidden="1" x14ac:dyDescent="0.25">
      <c r="A2089">
        <v>2330</v>
      </c>
      <c r="B2089" t="s">
        <v>11</v>
      </c>
      <c r="C2089" s="1">
        <v>41719</v>
      </c>
      <c r="D2089" s="2">
        <f t="shared" si="64"/>
        <v>5</v>
      </c>
      <c r="E2089" s="2">
        <f t="shared" si="65"/>
        <v>3</v>
      </c>
      <c r="F2089">
        <v>91.691500000000005</v>
      </c>
      <c r="G2089">
        <v>91.691500000000005</v>
      </c>
      <c r="H2089">
        <v>90.082800000000006</v>
      </c>
      <c r="I2089">
        <v>90.484999999999999</v>
      </c>
      <c r="J2089">
        <v>60438</v>
      </c>
      <c r="K2089">
        <v>0.44540000000000002</v>
      </c>
      <c r="L2089">
        <v>1.7857000000000001</v>
      </c>
    </row>
    <row r="2090" spans="1:12" x14ac:dyDescent="0.25">
      <c r="A2090">
        <v>2303</v>
      </c>
      <c r="B2090" t="s">
        <v>10</v>
      </c>
      <c r="C2090" s="1">
        <v>41722</v>
      </c>
      <c r="D2090" s="2">
        <f t="shared" si="64"/>
        <v>1</v>
      </c>
      <c r="E2090" s="2">
        <f t="shared" si="65"/>
        <v>3</v>
      </c>
      <c r="F2090">
        <v>9.8592999999999993</v>
      </c>
      <c r="G2090">
        <v>9.9776000000000007</v>
      </c>
      <c r="H2090">
        <v>9.8199000000000005</v>
      </c>
      <c r="I2090">
        <v>9.9776000000000007</v>
      </c>
      <c r="J2090">
        <v>26421</v>
      </c>
      <c r="K2090">
        <v>1.1929000000000001</v>
      </c>
      <c r="L2090">
        <v>1.6064000000000001</v>
      </c>
    </row>
    <row r="2091" spans="1:12" hidden="1" x14ac:dyDescent="0.25">
      <c r="A2091">
        <v>2330</v>
      </c>
      <c r="B2091" t="s">
        <v>11</v>
      </c>
      <c r="C2091" s="1">
        <v>41722</v>
      </c>
      <c r="D2091" s="2">
        <f t="shared" si="64"/>
        <v>1</v>
      </c>
      <c r="E2091" s="2">
        <f t="shared" si="65"/>
        <v>3</v>
      </c>
      <c r="F2091">
        <v>89.680700000000002</v>
      </c>
      <c r="G2091">
        <v>90.484999999999999</v>
      </c>
      <c r="H2091">
        <v>89.680700000000002</v>
      </c>
      <c r="I2091">
        <v>90.484999999999999</v>
      </c>
      <c r="J2091">
        <v>29607</v>
      </c>
      <c r="K2091">
        <v>0</v>
      </c>
      <c r="L2091">
        <v>0.89690000000000003</v>
      </c>
    </row>
    <row r="2092" spans="1:12" x14ac:dyDescent="0.25">
      <c r="A2092">
        <v>2303</v>
      </c>
      <c r="B2092" t="s">
        <v>10</v>
      </c>
      <c r="C2092" s="1">
        <v>41723</v>
      </c>
      <c r="D2092" s="2">
        <f t="shared" si="64"/>
        <v>2</v>
      </c>
      <c r="E2092" s="2">
        <f t="shared" si="65"/>
        <v>3</v>
      </c>
      <c r="F2092">
        <v>9.9382000000000001</v>
      </c>
      <c r="G2092">
        <v>10.0565</v>
      </c>
      <c r="H2092">
        <v>9.8986999999999998</v>
      </c>
      <c r="I2092">
        <v>10.016999999999999</v>
      </c>
      <c r="J2092">
        <v>23039</v>
      </c>
      <c r="K2092">
        <v>0.39450000000000002</v>
      </c>
      <c r="L2092">
        <v>1.5935999999999999</v>
      </c>
    </row>
    <row r="2093" spans="1:12" hidden="1" x14ac:dyDescent="0.25">
      <c r="A2093">
        <v>2330</v>
      </c>
      <c r="B2093" t="s">
        <v>11</v>
      </c>
      <c r="C2093" s="1">
        <v>41723</v>
      </c>
      <c r="D2093" s="2">
        <f t="shared" si="64"/>
        <v>2</v>
      </c>
      <c r="E2093" s="2">
        <f t="shared" si="65"/>
        <v>3</v>
      </c>
      <c r="F2093">
        <v>89.680700000000002</v>
      </c>
      <c r="G2093">
        <v>91.289299999999997</v>
      </c>
      <c r="H2093">
        <v>89.680700000000002</v>
      </c>
      <c r="I2093">
        <v>91.289299999999997</v>
      </c>
      <c r="J2093">
        <v>38070</v>
      </c>
      <c r="K2093">
        <v>0.88500000000000001</v>
      </c>
      <c r="L2093">
        <v>1.7937000000000001</v>
      </c>
    </row>
    <row r="2094" spans="1:12" x14ac:dyDescent="0.25">
      <c r="A2094">
        <v>2303</v>
      </c>
      <c r="B2094" t="s">
        <v>10</v>
      </c>
      <c r="C2094" s="1">
        <v>41724</v>
      </c>
      <c r="D2094" s="2">
        <f t="shared" si="64"/>
        <v>3</v>
      </c>
      <c r="E2094" s="2">
        <f t="shared" si="65"/>
        <v>3</v>
      </c>
      <c r="F2094">
        <v>10.0959</v>
      </c>
      <c r="G2094">
        <v>10.2142</v>
      </c>
      <c r="H2094">
        <v>10.0565</v>
      </c>
      <c r="I2094">
        <v>10.174799999999999</v>
      </c>
      <c r="J2094">
        <v>50793</v>
      </c>
      <c r="K2094">
        <v>1.5625</v>
      </c>
      <c r="L2094">
        <v>1.5686</v>
      </c>
    </row>
    <row r="2095" spans="1:12" hidden="1" x14ac:dyDescent="0.25">
      <c r="A2095">
        <v>2330</v>
      </c>
      <c r="B2095" t="s">
        <v>11</v>
      </c>
      <c r="C2095" s="1">
        <v>41724</v>
      </c>
      <c r="D2095" s="2">
        <f t="shared" si="64"/>
        <v>3</v>
      </c>
      <c r="E2095" s="2">
        <f t="shared" si="65"/>
        <v>3</v>
      </c>
      <c r="F2095">
        <v>92.897900000000007</v>
      </c>
      <c r="G2095">
        <v>93.3001</v>
      </c>
      <c r="H2095">
        <v>92.093599999999995</v>
      </c>
      <c r="I2095">
        <v>92.897900000000007</v>
      </c>
      <c r="J2095">
        <v>45234</v>
      </c>
      <c r="K2095">
        <v>1.7467999999999999</v>
      </c>
      <c r="L2095">
        <v>1.31</v>
      </c>
    </row>
    <row r="2096" spans="1:12" x14ac:dyDescent="0.25">
      <c r="A2096">
        <v>2303</v>
      </c>
      <c r="B2096" t="s">
        <v>10</v>
      </c>
      <c r="C2096" s="1">
        <v>41725</v>
      </c>
      <c r="D2096" s="2">
        <f t="shared" si="64"/>
        <v>4</v>
      </c>
      <c r="E2096" s="2">
        <f t="shared" si="65"/>
        <v>3</v>
      </c>
      <c r="F2096">
        <v>10.2142</v>
      </c>
      <c r="G2096">
        <v>10.2537</v>
      </c>
      <c r="H2096">
        <v>10.135400000000001</v>
      </c>
      <c r="I2096">
        <v>10.174799999999999</v>
      </c>
      <c r="J2096">
        <v>38463</v>
      </c>
      <c r="K2096">
        <v>0</v>
      </c>
      <c r="L2096">
        <v>1.1673</v>
      </c>
    </row>
    <row r="2097" spans="1:12" hidden="1" x14ac:dyDescent="0.25">
      <c r="A2097">
        <v>2330</v>
      </c>
      <c r="B2097" t="s">
        <v>11</v>
      </c>
      <c r="C2097" s="1">
        <v>41725</v>
      </c>
      <c r="D2097" s="2">
        <f t="shared" si="64"/>
        <v>4</v>
      </c>
      <c r="E2097" s="2">
        <f t="shared" si="65"/>
        <v>3</v>
      </c>
      <c r="F2097">
        <v>92.093599999999995</v>
      </c>
      <c r="G2097">
        <v>93.3001</v>
      </c>
      <c r="H2097">
        <v>91.691500000000005</v>
      </c>
      <c r="I2097">
        <v>93.3001</v>
      </c>
      <c r="J2097">
        <v>31399</v>
      </c>
      <c r="K2097">
        <v>0.432</v>
      </c>
      <c r="L2097">
        <v>1.7544</v>
      </c>
    </row>
    <row r="2098" spans="1:12" x14ac:dyDescent="0.25">
      <c r="A2098">
        <v>2303</v>
      </c>
      <c r="B2098" t="s">
        <v>10</v>
      </c>
      <c r="C2098" s="1">
        <v>41726</v>
      </c>
      <c r="D2098" s="2">
        <f t="shared" si="64"/>
        <v>5</v>
      </c>
      <c r="E2098" s="2">
        <f t="shared" si="65"/>
        <v>3</v>
      </c>
      <c r="F2098">
        <v>10.174799999999999</v>
      </c>
      <c r="G2098">
        <v>10.3325</v>
      </c>
      <c r="H2098">
        <v>10.135400000000001</v>
      </c>
      <c r="I2098">
        <v>10.174799999999999</v>
      </c>
      <c r="J2098">
        <v>56426</v>
      </c>
      <c r="K2098">
        <v>0</v>
      </c>
      <c r="L2098">
        <v>1.9455</v>
      </c>
    </row>
    <row r="2099" spans="1:12" hidden="1" x14ac:dyDescent="0.25">
      <c r="A2099">
        <v>2330</v>
      </c>
      <c r="B2099" t="s">
        <v>11</v>
      </c>
      <c r="C2099" s="1">
        <v>41726</v>
      </c>
      <c r="D2099" s="2">
        <f t="shared" si="64"/>
        <v>5</v>
      </c>
      <c r="E2099" s="2">
        <f t="shared" si="65"/>
        <v>3</v>
      </c>
      <c r="F2099">
        <v>93.3001</v>
      </c>
      <c r="G2099">
        <v>94.506500000000003</v>
      </c>
      <c r="H2099">
        <v>92.897900000000007</v>
      </c>
      <c r="I2099">
        <v>94.506500000000003</v>
      </c>
      <c r="J2099">
        <v>43794</v>
      </c>
      <c r="K2099">
        <v>1.2847999999999999</v>
      </c>
      <c r="L2099">
        <v>1.7316</v>
      </c>
    </row>
    <row r="2100" spans="1:12" x14ac:dyDescent="0.25">
      <c r="A2100">
        <v>2303</v>
      </c>
      <c r="B2100" t="s">
        <v>10</v>
      </c>
      <c r="C2100" s="1">
        <v>41729</v>
      </c>
      <c r="D2100" s="2">
        <f t="shared" si="64"/>
        <v>1</v>
      </c>
      <c r="E2100" s="2">
        <f t="shared" si="65"/>
        <v>3</v>
      </c>
      <c r="F2100">
        <v>10.2142</v>
      </c>
      <c r="G2100">
        <v>10.2537</v>
      </c>
      <c r="H2100">
        <v>10.0959</v>
      </c>
      <c r="I2100">
        <v>10.135400000000001</v>
      </c>
      <c r="J2100">
        <v>41750</v>
      </c>
      <c r="K2100">
        <v>-0.38840000000000002</v>
      </c>
      <c r="L2100">
        <v>1.5625</v>
      </c>
    </row>
    <row r="2101" spans="1:12" hidden="1" x14ac:dyDescent="0.25">
      <c r="A2101">
        <v>2330</v>
      </c>
      <c r="B2101" t="s">
        <v>11</v>
      </c>
      <c r="C2101" s="1">
        <v>41729</v>
      </c>
      <c r="D2101" s="2">
        <f t="shared" si="64"/>
        <v>1</v>
      </c>
      <c r="E2101" s="2">
        <f t="shared" si="65"/>
        <v>3</v>
      </c>
      <c r="F2101">
        <v>94.908699999999996</v>
      </c>
      <c r="G2101">
        <v>95.310900000000004</v>
      </c>
      <c r="H2101">
        <v>93.702200000000005</v>
      </c>
      <c r="I2101">
        <v>95.310900000000004</v>
      </c>
      <c r="J2101">
        <v>47146</v>
      </c>
      <c r="K2101">
        <v>0.84750000000000003</v>
      </c>
      <c r="L2101">
        <v>1.7166999999999999</v>
      </c>
    </row>
    <row r="2102" spans="1:12" x14ac:dyDescent="0.25">
      <c r="A2102">
        <v>2303</v>
      </c>
      <c r="B2102" t="s">
        <v>10</v>
      </c>
      <c r="C2102" s="1">
        <v>41730</v>
      </c>
      <c r="D2102" s="2">
        <f t="shared" si="64"/>
        <v>2</v>
      </c>
      <c r="E2102" s="2">
        <f t="shared" si="65"/>
        <v>4</v>
      </c>
      <c r="F2102">
        <v>10.135400000000001</v>
      </c>
      <c r="G2102">
        <v>10.2537</v>
      </c>
      <c r="H2102">
        <v>10.0959</v>
      </c>
      <c r="I2102">
        <v>10.2537</v>
      </c>
      <c r="J2102">
        <v>34763</v>
      </c>
      <c r="K2102">
        <v>1.1606000000000001</v>
      </c>
      <c r="L2102">
        <v>1.5625</v>
      </c>
    </row>
    <row r="2103" spans="1:12" hidden="1" x14ac:dyDescent="0.25">
      <c r="A2103">
        <v>2330</v>
      </c>
      <c r="B2103" t="s">
        <v>11</v>
      </c>
      <c r="C2103" s="1">
        <v>41730</v>
      </c>
      <c r="D2103" s="2">
        <f t="shared" si="64"/>
        <v>2</v>
      </c>
      <c r="E2103" s="2">
        <f t="shared" si="65"/>
        <v>4</v>
      </c>
      <c r="F2103">
        <v>95.712999999999994</v>
      </c>
      <c r="G2103">
        <v>96.115200000000002</v>
      </c>
      <c r="H2103">
        <v>95.310900000000004</v>
      </c>
      <c r="I2103">
        <v>96.115200000000002</v>
      </c>
      <c r="J2103">
        <v>40636</v>
      </c>
      <c r="K2103">
        <v>0.84030000000000005</v>
      </c>
      <c r="L2103">
        <v>0.84389999999999998</v>
      </c>
    </row>
    <row r="2104" spans="1:12" x14ac:dyDescent="0.25">
      <c r="A2104">
        <v>2303</v>
      </c>
      <c r="B2104" t="s">
        <v>10</v>
      </c>
      <c r="C2104" s="1">
        <v>41731</v>
      </c>
      <c r="D2104" s="2">
        <f t="shared" si="64"/>
        <v>3</v>
      </c>
      <c r="E2104" s="2">
        <f t="shared" si="65"/>
        <v>4</v>
      </c>
      <c r="F2104">
        <v>10.2537</v>
      </c>
      <c r="G2104">
        <v>10.293100000000001</v>
      </c>
      <c r="H2104">
        <v>10.174799999999999</v>
      </c>
      <c r="I2104">
        <v>10.174799999999999</v>
      </c>
      <c r="J2104">
        <v>49091</v>
      </c>
      <c r="K2104">
        <v>-0.7722</v>
      </c>
      <c r="L2104">
        <v>1.1628000000000001</v>
      </c>
    </row>
    <row r="2105" spans="1:12" hidden="1" x14ac:dyDescent="0.25">
      <c r="A2105">
        <v>2330</v>
      </c>
      <c r="B2105" t="s">
        <v>11</v>
      </c>
      <c r="C2105" s="1">
        <v>41731</v>
      </c>
      <c r="D2105" s="2">
        <f t="shared" si="64"/>
        <v>3</v>
      </c>
      <c r="E2105" s="2">
        <f t="shared" si="65"/>
        <v>4</v>
      </c>
      <c r="F2105">
        <v>96.919499999999999</v>
      </c>
      <c r="G2105">
        <v>97.321600000000004</v>
      </c>
      <c r="H2105">
        <v>95.712999999999994</v>
      </c>
      <c r="I2105">
        <v>96.517300000000006</v>
      </c>
      <c r="J2105">
        <v>43684</v>
      </c>
      <c r="K2105">
        <v>0.41749999999999998</v>
      </c>
      <c r="L2105">
        <v>1.6807000000000001</v>
      </c>
    </row>
    <row r="2106" spans="1:12" x14ac:dyDescent="0.25">
      <c r="A2106">
        <v>2303</v>
      </c>
      <c r="B2106" t="s">
        <v>10</v>
      </c>
      <c r="C2106" s="1">
        <v>41732</v>
      </c>
      <c r="D2106" s="2">
        <f t="shared" si="64"/>
        <v>4</v>
      </c>
      <c r="E2106" s="2">
        <f t="shared" si="65"/>
        <v>4</v>
      </c>
      <c r="F2106">
        <v>10.174799999999999</v>
      </c>
      <c r="G2106">
        <v>10.293100000000001</v>
      </c>
      <c r="H2106">
        <v>10.174799999999999</v>
      </c>
      <c r="I2106">
        <v>10.293100000000001</v>
      </c>
      <c r="J2106">
        <v>42502</v>
      </c>
      <c r="K2106">
        <v>1.1560999999999999</v>
      </c>
      <c r="L2106">
        <v>1.1628000000000001</v>
      </c>
    </row>
    <row r="2107" spans="1:12" hidden="1" x14ac:dyDescent="0.25">
      <c r="A2107">
        <v>2330</v>
      </c>
      <c r="B2107" t="s">
        <v>11</v>
      </c>
      <c r="C2107" s="1">
        <v>41732</v>
      </c>
      <c r="D2107" s="2">
        <f t="shared" si="64"/>
        <v>4</v>
      </c>
      <c r="E2107" s="2">
        <f t="shared" si="65"/>
        <v>4</v>
      </c>
      <c r="F2107">
        <v>95.310900000000004</v>
      </c>
      <c r="G2107">
        <v>95.712999999999994</v>
      </c>
      <c r="H2107">
        <v>94.506500000000003</v>
      </c>
      <c r="I2107">
        <v>95.310900000000004</v>
      </c>
      <c r="J2107">
        <v>37000</v>
      </c>
      <c r="K2107">
        <v>-1.2579</v>
      </c>
      <c r="L2107">
        <v>1.2766</v>
      </c>
    </row>
    <row r="2108" spans="1:12" x14ac:dyDescent="0.25">
      <c r="A2108">
        <v>2303</v>
      </c>
      <c r="B2108" t="s">
        <v>10</v>
      </c>
      <c r="C2108" s="1">
        <v>41736</v>
      </c>
      <c r="D2108" s="2">
        <f t="shared" si="64"/>
        <v>1</v>
      </c>
      <c r="E2108" s="2">
        <f t="shared" si="65"/>
        <v>4</v>
      </c>
      <c r="F2108">
        <v>10.2142</v>
      </c>
      <c r="G2108">
        <v>10.293100000000001</v>
      </c>
      <c r="H2108">
        <v>10.174799999999999</v>
      </c>
      <c r="I2108">
        <v>10.2142</v>
      </c>
      <c r="J2108">
        <v>41666</v>
      </c>
      <c r="K2108">
        <v>-0.76919999999999999</v>
      </c>
      <c r="L2108">
        <v>1.1628000000000001</v>
      </c>
    </row>
    <row r="2109" spans="1:12" hidden="1" x14ac:dyDescent="0.25">
      <c r="A2109">
        <v>2330</v>
      </c>
      <c r="B2109" t="s">
        <v>11</v>
      </c>
      <c r="C2109" s="1">
        <v>41736</v>
      </c>
      <c r="D2109" s="2">
        <f t="shared" si="64"/>
        <v>1</v>
      </c>
      <c r="E2109" s="2">
        <f t="shared" si="65"/>
        <v>4</v>
      </c>
      <c r="F2109">
        <v>94.506500000000003</v>
      </c>
      <c r="G2109">
        <v>94.908699999999996</v>
      </c>
      <c r="H2109">
        <v>93.702200000000005</v>
      </c>
      <c r="I2109">
        <v>94.506500000000003</v>
      </c>
      <c r="J2109">
        <v>45254</v>
      </c>
      <c r="K2109">
        <v>-0.84750000000000003</v>
      </c>
      <c r="L2109">
        <v>1.2876000000000001</v>
      </c>
    </row>
    <row r="2110" spans="1:12" x14ac:dyDescent="0.25">
      <c r="A2110">
        <v>2303</v>
      </c>
      <c r="B2110" t="s">
        <v>10</v>
      </c>
      <c r="C2110" s="1">
        <v>41737</v>
      </c>
      <c r="D2110" s="2">
        <f t="shared" si="64"/>
        <v>2</v>
      </c>
      <c r="E2110" s="2">
        <f t="shared" si="65"/>
        <v>4</v>
      </c>
      <c r="F2110">
        <v>10.174799999999999</v>
      </c>
      <c r="G2110">
        <v>10.3325</v>
      </c>
      <c r="H2110">
        <v>10.174799999999999</v>
      </c>
      <c r="I2110">
        <v>10.293100000000001</v>
      </c>
      <c r="J2110">
        <v>34321</v>
      </c>
      <c r="K2110">
        <v>0.76919999999999999</v>
      </c>
      <c r="L2110">
        <v>1.5504</v>
      </c>
    </row>
    <row r="2111" spans="1:12" hidden="1" x14ac:dyDescent="0.25">
      <c r="A2111">
        <v>2330</v>
      </c>
      <c r="B2111" t="s">
        <v>11</v>
      </c>
      <c r="C2111" s="1">
        <v>41737</v>
      </c>
      <c r="D2111" s="2">
        <f t="shared" si="64"/>
        <v>2</v>
      </c>
      <c r="E2111" s="2">
        <f t="shared" si="65"/>
        <v>4</v>
      </c>
      <c r="F2111">
        <v>94.104399999999998</v>
      </c>
      <c r="G2111">
        <v>96.115200000000002</v>
      </c>
      <c r="H2111">
        <v>94.104399999999998</v>
      </c>
      <c r="I2111">
        <v>95.712999999999994</v>
      </c>
      <c r="J2111">
        <v>43894</v>
      </c>
      <c r="K2111">
        <v>1.2685</v>
      </c>
      <c r="L2111">
        <v>2.1368</v>
      </c>
    </row>
    <row r="2112" spans="1:12" x14ac:dyDescent="0.25">
      <c r="A2112">
        <v>2303</v>
      </c>
      <c r="B2112" t="s">
        <v>10</v>
      </c>
      <c r="C2112" s="1">
        <v>41738</v>
      </c>
      <c r="D2112" s="2">
        <f t="shared" si="64"/>
        <v>3</v>
      </c>
      <c r="E2112" s="2">
        <f t="shared" si="65"/>
        <v>4</v>
      </c>
      <c r="F2112">
        <v>10.3325</v>
      </c>
      <c r="G2112">
        <v>10.3325</v>
      </c>
      <c r="H2112">
        <v>10.2142</v>
      </c>
      <c r="I2112">
        <v>10.3325</v>
      </c>
      <c r="J2112">
        <v>47439</v>
      </c>
      <c r="K2112">
        <v>0.38240000000000002</v>
      </c>
      <c r="L2112">
        <v>1.1583000000000001</v>
      </c>
    </row>
    <row r="2113" spans="1:12" hidden="1" x14ac:dyDescent="0.25">
      <c r="A2113">
        <v>2330</v>
      </c>
      <c r="B2113" t="s">
        <v>11</v>
      </c>
      <c r="C2113" s="1">
        <v>41738</v>
      </c>
      <c r="D2113" s="2">
        <f t="shared" si="64"/>
        <v>3</v>
      </c>
      <c r="E2113" s="2">
        <f t="shared" si="65"/>
        <v>4</v>
      </c>
      <c r="F2113">
        <v>96.115200000000002</v>
      </c>
      <c r="G2113">
        <v>96.517300000000006</v>
      </c>
      <c r="H2113">
        <v>95.712999999999994</v>
      </c>
      <c r="I2113">
        <v>95.712999999999994</v>
      </c>
      <c r="J2113">
        <v>29648</v>
      </c>
      <c r="K2113">
        <v>0</v>
      </c>
      <c r="L2113">
        <v>0.84030000000000005</v>
      </c>
    </row>
    <row r="2114" spans="1:12" x14ac:dyDescent="0.25">
      <c r="A2114">
        <v>2303</v>
      </c>
      <c r="B2114" t="s">
        <v>10</v>
      </c>
      <c r="C2114" s="1">
        <v>41739</v>
      </c>
      <c r="D2114" s="2">
        <f t="shared" si="64"/>
        <v>4</v>
      </c>
      <c r="E2114" s="2">
        <f t="shared" si="65"/>
        <v>4</v>
      </c>
      <c r="F2114">
        <v>10.4114</v>
      </c>
      <c r="G2114">
        <v>10.5692</v>
      </c>
      <c r="H2114">
        <v>10.3325</v>
      </c>
      <c r="I2114">
        <v>10.4114</v>
      </c>
      <c r="J2114">
        <v>80959</v>
      </c>
      <c r="K2114">
        <v>0.76049999999999995</v>
      </c>
      <c r="L2114">
        <v>2.2900999999999998</v>
      </c>
    </row>
    <row r="2115" spans="1:12" hidden="1" x14ac:dyDescent="0.25">
      <c r="A2115">
        <v>2330</v>
      </c>
      <c r="B2115" t="s">
        <v>11</v>
      </c>
      <c r="C2115" s="1">
        <v>41739</v>
      </c>
      <c r="D2115" s="2">
        <f t="shared" ref="D2115:D2178" si="66">WEEKDAY(C2115,2)</f>
        <v>4</v>
      </c>
      <c r="E2115" s="2">
        <f t="shared" ref="E2115:E2178" si="67">MONTH(C2115)</f>
        <v>4</v>
      </c>
      <c r="F2115">
        <v>95.712999999999994</v>
      </c>
      <c r="G2115">
        <v>96.115200000000002</v>
      </c>
      <c r="H2115">
        <v>95.310900000000004</v>
      </c>
      <c r="I2115">
        <v>96.115200000000002</v>
      </c>
      <c r="J2115">
        <v>27215</v>
      </c>
      <c r="K2115">
        <v>0.41930000000000001</v>
      </c>
      <c r="L2115">
        <v>0.84389999999999998</v>
      </c>
    </row>
    <row r="2116" spans="1:12" x14ac:dyDescent="0.25">
      <c r="A2116">
        <v>2303</v>
      </c>
      <c r="B2116" t="s">
        <v>10</v>
      </c>
      <c r="C2116" s="1">
        <v>41740</v>
      </c>
      <c r="D2116" s="2">
        <f t="shared" si="66"/>
        <v>5</v>
      </c>
      <c r="E2116" s="2">
        <f t="shared" si="67"/>
        <v>4</v>
      </c>
      <c r="F2116">
        <v>10.3325</v>
      </c>
      <c r="G2116">
        <v>10.372</v>
      </c>
      <c r="H2116">
        <v>10.2537</v>
      </c>
      <c r="I2116">
        <v>10.3325</v>
      </c>
      <c r="J2116">
        <v>32694</v>
      </c>
      <c r="K2116">
        <v>-0.76049999999999995</v>
      </c>
      <c r="L2116">
        <v>1.1537999999999999</v>
      </c>
    </row>
    <row r="2117" spans="1:12" hidden="1" x14ac:dyDescent="0.25">
      <c r="A2117">
        <v>2330</v>
      </c>
      <c r="B2117" t="s">
        <v>11</v>
      </c>
      <c r="C2117" s="1">
        <v>41740</v>
      </c>
      <c r="D2117" s="2">
        <f t="shared" si="66"/>
        <v>5</v>
      </c>
      <c r="E2117" s="2">
        <f t="shared" si="67"/>
        <v>4</v>
      </c>
      <c r="F2117">
        <v>95.310900000000004</v>
      </c>
      <c r="G2117">
        <v>96.517300000000006</v>
      </c>
      <c r="H2117">
        <v>94.908699999999996</v>
      </c>
      <c r="I2117">
        <v>96.517300000000006</v>
      </c>
      <c r="J2117">
        <v>34847</v>
      </c>
      <c r="K2117">
        <v>0.41749999999999998</v>
      </c>
      <c r="L2117">
        <v>1.6949000000000001</v>
      </c>
    </row>
    <row r="2118" spans="1:12" x14ac:dyDescent="0.25">
      <c r="A2118">
        <v>2303</v>
      </c>
      <c r="B2118" t="s">
        <v>10</v>
      </c>
      <c r="C2118" s="1">
        <v>41743</v>
      </c>
      <c r="D2118" s="2">
        <f t="shared" si="66"/>
        <v>1</v>
      </c>
      <c r="E2118" s="2">
        <f t="shared" si="67"/>
        <v>4</v>
      </c>
      <c r="F2118">
        <v>10.293100000000001</v>
      </c>
      <c r="G2118">
        <v>10.293100000000001</v>
      </c>
      <c r="H2118">
        <v>10.174799999999999</v>
      </c>
      <c r="I2118">
        <v>10.2142</v>
      </c>
      <c r="J2118">
        <v>20823</v>
      </c>
      <c r="K2118">
        <v>-1.1516</v>
      </c>
      <c r="L2118">
        <v>1.1628000000000001</v>
      </c>
    </row>
    <row r="2119" spans="1:12" hidden="1" x14ac:dyDescent="0.25">
      <c r="A2119">
        <v>2330</v>
      </c>
      <c r="B2119" t="s">
        <v>11</v>
      </c>
      <c r="C2119" s="1">
        <v>41743</v>
      </c>
      <c r="D2119" s="2">
        <f t="shared" si="66"/>
        <v>1</v>
      </c>
      <c r="E2119" s="2">
        <f t="shared" si="67"/>
        <v>4</v>
      </c>
      <c r="F2119">
        <v>96.517300000000006</v>
      </c>
      <c r="G2119">
        <v>97.321600000000004</v>
      </c>
      <c r="H2119">
        <v>96.517300000000006</v>
      </c>
      <c r="I2119">
        <v>96.919499999999999</v>
      </c>
      <c r="J2119">
        <v>31053</v>
      </c>
      <c r="K2119">
        <v>0.4158</v>
      </c>
      <c r="L2119">
        <v>0.83330000000000004</v>
      </c>
    </row>
    <row r="2120" spans="1:12" x14ac:dyDescent="0.25">
      <c r="A2120">
        <v>2303</v>
      </c>
      <c r="B2120" t="s">
        <v>10</v>
      </c>
      <c r="C2120" s="1">
        <v>41744</v>
      </c>
      <c r="D2120" s="2">
        <f t="shared" si="66"/>
        <v>2</v>
      </c>
      <c r="E2120" s="2">
        <f t="shared" si="67"/>
        <v>4</v>
      </c>
      <c r="F2120">
        <v>10.2537</v>
      </c>
      <c r="G2120">
        <v>10.2537</v>
      </c>
      <c r="H2120">
        <v>10.135400000000001</v>
      </c>
      <c r="I2120">
        <v>10.2142</v>
      </c>
      <c r="J2120">
        <v>28929</v>
      </c>
      <c r="K2120">
        <v>0</v>
      </c>
      <c r="L2120">
        <v>1.1673</v>
      </c>
    </row>
    <row r="2121" spans="1:12" hidden="1" x14ac:dyDescent="0.25">
      <c r="A2121">
        <v>2330</v>
      </c>
      <c r="B2121" t="s">
        <v>11</v>
      </c>
      <c r="C2121" s="1">
        <v>41744</v>
      </c>
      <c r="D2121" s="2">
        <f t="shared" si="66"/>
        <v>2</v>
      </c>
      <c r="E2121" s="2">
        <f t="shared" si="67"/>
        <v>4</v>
      </c>
      <c r="F2121">
        <v>97.723799999999997</v>
      </c>
      <c r="G2121">
        <v>98.528099999999995</v>
      </c>
      <c r="H2121">
        <v>97.321600000000004</v>
      </c>
      <c r="I2121">
        <v>98.528099999999995</v>
      </c>
      <c r="J2121">
        <v>29397</v>
      </c>
      <c r="K2121">
        <v>1.6460999999999999</v>
      </c>
      <c r="L2121">
        <v>1.2397</v>
      </c>
    </row>
    <row r="2122" spans="1:12" x14ac:dyDescent="0.25">
      <c r="A2122">
        <v>2303</v>
      </c>
      <c r="B2122" t="s">
        <v>10</v>
      </c>
      <c r="C2122" s="1">
        <v>41745</v>
      </c>
      <c r="D2122" s="2">
        <f t="shared" si="66"/>
        <v>3</v>
      </c>
      <c r="E2122" s="2">
        <f t="shared" si="67"/>
        <v>4</v>
      </c>
      <c r="F2122">
        <v>10.2537</v>
      </c>
      <c r="G2122">
        <v>10.2537</v>
      </c>
      <c r="H2122">
        <v>10.135400000000001</v>
      </c>
      <c r="I2122">
        <v>10.135400000000001</v>
      </c>
      <c r="J2122">
        <v>35521</v>
      </c>
      <c r="K2122">
        <v>-0.7752</v>
      </c>
      <c r="L2122">
        <v>1.1673</v>
      </c>
    </row>
    <row r="2123" spans="1:12" hidden="1" x14ac:dyDescent="0.25">
      <c r="A2123">
        <v>2330</v>
      </c>
      <c r="B2123" t="s">
        <v>11</v>
      </c>
      <c r="C2123" s="1">
        <v>41745</v>
      </c>
      <c r="D2123" s="2">
        <f t="shared" si="66"/>
        <v>3</v>
      </c>
      <c r="E2123" s="2">
        <f t="shared" si="67"/>
        <v>4</v>
      </c>
      <c r="F2123">
        <v>97.723799999999997</v>
      </c>
      <c r="G2123">
        <v>98.528099999999995</v>
      </c>
      <c r="H2123">
        <v>97.321600000000004</v>
      </c>
      <c r="I2123">
        <v>97.321600000000004</v>
      </c>
      <c r="J2123">
        <v>51075</v>
      </c>
      <c r="K2123">
        <v>-1.232</v>
      </c>
      <c r="L2123">
        <v>1.2397</v>
      </c>
    </row>
    <row r="2124" spans="1:12" x14ac:dyDescent="0.25">
      <c r="A2124">
        <v>2303</v>
      </c>
      <c r="B2124" t="s">
        <v>10</v>
      </c>
      <c r="C2124" s="1">
        <v>41746</v>
      </c>
      <c r="D2124" s="2">
        <f t="shared" si="66"/>
        <v>4</v>
      </c>
      <c r="E2124" s="2">
        <f t="shared" si="67"/>
        <v>4</v>
      </c>
      <c r="F2124">
        <v>10.2142</v>
      </c>
      <c r="G2124">
        <v>10.2142</v>
      </c>
      <c r="H2124">
        <v>10.135400000000001</v>
      </c>
      <c r="I2124">
        <v>10.135400000000001</v>
      </c>
      <c r="J2124">
        <v>27898</v>
      </c>
      <c r="K2124">
        <v>0</v>
      </c>
      <c r="L2124">
        <v>0.7782</v>
      </c>
    </row>
    <row r="2125" spans="1:12" hidden="1" x14ac:dyDescent="0.25">
      <c r="A2125">
        <v>2330</v>
      </c>
      <c r="B2125" t="s">
        <v>11</v>
      </c>
      <c r="C2125" s="1">
        <v>41746</v>
      </c>
      <c r="D2125" s="2">
        <f t="shared" si="66"/>
        <v>4</v>
      </c>
      <c r="E2125" s="2">
        <f t="shared" si="67"/>
        <v>4</v>
      </c>
      <c r="F2125">
        <v>96.919499999999999</v>
      </c>
      <c r="G2125">
        <v>97.723799999999997</v>
      </c>
      <c r="H2125">
        <v>95.712999999999994</v>
      </c>
      <c r="I2125">
        <v>96.517300000000006</v>
      </c>
      <c r="J2125">
        <v>36418</v>
      </c>
      <c r="K2125">
        <v>-0.82989999999999997</v>
      </c>
      <c r="L2125">
        <v>2.1008</v>
      </c>
    </row>
    <row r="2126" spans="1:12" x14ac:dyDescent="0.25">
      <c r="A2126">
        <v>2303</v>
      </c>
      <c r="B2126" t="s">
        <v>10</v>
      </c>
      <c r="C2126" s="1">
        <v>41747</v>
      </c>
      <c r="D2126" s="2">
        <f t="shared" si="66"/>
        <v>5</v>
      </c>
      <c r="E2126" s="2">
        <f t="shared" si="67"/>
        <v>4</v>
      </c>
      <c r="F2126">
        <v>10.2142</v>
      </c>
      <c r="G2126">
        <v>10.2537</v>
      </c>
      <c r="H2126">
        <v>10.135400000000001</v>
      </c>
      <c r="I2126">
        <v>10.2142</v>
      </c>
      <c r="J2126">
        <v>18180</v>
      </c>
      <c r="K2126">
        <v>0.7752</v>
      </c>
      <c r="L2126">
        <v>1.1673</v>
      </c>
    </row>
    <row r="2127" spans="1:12" hidden="1" x14ac:dyDescent="0.25">
      <c r="A2127">
        <v>2330</v>
      </c>
      <c r="B2127" t="s">
        <v>11</v>
      </c>
      <c r="C2127" s="1">
        <v>41747</v>
      </c>
      <c r="D2127" s="2">
        <f t="shared" si="66"/>
        <v>5</v>
      </c>
      <c r="E2127" s="2">
        <f t="shared" si="67"/>
        <v>4</v>
      </c>
      <c r="F2127">
        <v>98.528099999999995</v>
      </c>
      <c r="G2127">
        <v>98.930300000000003</v>
      </c>
      <c r="H2127">
        <v>97.321600000000004</v>
      </c>
      <c r="I2127">
        <v>98.930300000000003</v>
      </c>
      <c r="J2127">
        <v>32921</v>
      </c>
      <c r="K2127">
        <v>2.4693000000000001</v>
      </c>
      <c r="L2127">
        <v>1.6529</v>
      </c>
    </row>
    <row r="2128" spans="1:12" x14ac:dyDescent="0.25">
      <c r="A2128">
        <v>2303</v>
      </c>
      <c r="B2128" t="s">
        <v>10</v>
      </c>
      <c r="C2128" s="1">
        <v>41750</v>
      </c>
      <c r="D2128" s="2">
        <f t="shared" si="66"/>
        <v>1</v>
      </c>
      <c r="E2128" s="2">
        <f t="shared" si="67"/>
        <v>4</v>
      </c>
      <c r="F2128">
        <v>10.2142</v>
      </c>
      <c r="G2128">
        <v>10.2537</v>
      </c>
      <c r="H2128">
        <v>10.135400000000001</v>
      </c>
      <c r="I2128">
        <v>10.174799999999999</v>
      </c>
      <c r="J2128">
        <v>15966</v>
      </c>
      <c r="K2128">
        <v>-0.38679999999999998</v>
      </c>
      <c r="L2128">
        <v>1.1673</v>
      </c>
    </row>
    <row r="2129" spans="1:12" hidden="1" x14ac:dyDescent="0.25">
      <c r="A2129">
        <v>2330</v>
      </c>
      <c r="B2129" t="s">
        <v>11</v>
      </c>
      <c r="C2129" s="1">
        <v>41750</v>
      </c>
      <c r="D2129" s="2">
        <f t="shared" si="66"/>
        <v>1</v>
      </c>
      <c r="E2129" s="2">
        <f t="shared" si="67"/>
        <v>4</v>
      </c>
      <c r="F2129">
        <v>98.125900000000001</v>
      </c>
      <c r="G2129">
        <v>98.125900000000001</v>
      </c>
      <c r="H2129">
        <v>97.321600000000004</v>
      </c>
      <c r="I2129">
        <v>97.723799999999997</v>
      </c>
      <c r="J2129">
        <v>24162</v>
      </c>
      <c r="K2129">
        <v>-1.2270000000000001</v>
      </c>
      <c r="L2129">
        <v>0.82640000000000002</v>
      </c>
    </row>
    <row r="2130" spans="1:12" x14ac:dyDescent="0.25">
      <c r="A2130">
        <v>2303</v>
      </c>
      <c r="B2130" t="s">
        <v>10</v>
      </c>
      <c r="C2130" s="1">
        <v>41751</v>
      </c>
      <c r="D2130" s="2">
        <f t="shared" si="66"/>
        <v>2</v>
      </c>
      <c r="E2130" s="2">
        <f t="shared" si="67"/>
        <v>4</v>
      </c>
      <c r="F2130">
        <v>10.2142</v>
      </c>
      <c r="G2130">
        <v>10.2537</v>
      </c>
      <c r="H2130">
        <v>10.135400000000001</v>
      </c>
      <c r="I2130">
        <v>10.135400000000001</v>
      </c>
      <c r="J2130">
        <v>31960</v>
      </c>
      <c r="K2130">
        <v>-0.38840000000000002</v>
      </c>
      <c r="L2130">
        <v>1.1673</v>
      </c>
    </row>
    <row r="2131" spans="1:12" hidden="1" x14ac:dyDescent="0.25">
      <c r="A2131">
        <v>2330</v>
      </c>
      <c r="B2131" t="s">
        <v>11</v>
      </c>
      <c r="C2131" s="1">
        <v>41751</v>
      </c>
      <c r="D2131" s="2">
        <f t="shared" si="66"/>
        <v>2</v>
      </c>
      <c r="E2131" s="2">
        <f t="shared" si="67"/>
        <v>4</v>
      </c>
      <c r="F2131">
        <v>97.321600000000004</v>
      </c>
      <c r="G2131">
        <v>98.528099999999995</v>
      </c>
      <c r="H2131">
        <v>96.919499999999999</v>
      </c>
      <c r="I2131">
        <v>97.723799999999997</v>
      </c>
      <c r="J2131">
        <v>27034</v>
      </c>
      <c r="K2131">
        <v>0</v>
      </c>
      <c r="L2131">
        <v>1.6597999999999999</v>
      </c>
    </row>
    <row r="2132" spans="1:12" x14ac:dyDescent="0.25">
      <c r="A2132">
        <v>2303</v>
      </c>
      <c r="B2132" t="s">
        <v>10</v>
      </c>
      <c r="C2132" s="1">
        <v>41752</v>
      </c>
      <c r="D2132" s="2">
        <f t="shared" si="66"/>
        <v>3</v>
      </c>
      <c r="E2132" s="2">
        <f t="shared" si="67"/>
        <v>4</v>
      </c>
      <c r="F2132">
        <v>10.2537</v>
      </c>
      <c r="G2132">
        <v>10.4903</v>
      </c>
      <c r="H2132">
        <v>10.2142</v>
      </c>
      <c r="I2132">
        <v>10.4114</v>
      </c>
      <c r="J2132">
        <v>91134</v>
      </c>
      <c r="K2132">
        <v>2.6873</v>
      </c>
      <c r="L2132">
        <v>2.7027000000000001</v>
      </c>
    </row>
    <row r="2133" spans="1:12" hidden="1" x14ac:dyDescent="0.25">
      <c r="A2133">
        <v>2330</v>
      </c>
      <c r="B2133" t="s">
        <v>11</v>
      </c>
      <c r="C2133" s="1">
        <v>41752</v>
      </c>
      <c r="D2133" s="2">
        <f t="shared" si="66"/>
        <v>3</v>
      </c>
      <c r="E2133" s="2">
        <f t="shared" si="67"/>
        <v>4</v>
      </c>
      <c r="F2133">
        <v>98.930300000000003</v>
      </c>
      <c r="G2133">
        <v>98.930300000000003</v>
      </c>
      <c r="H2133">
        <v>96.919499999999999</v>
      </c>
      <c r="I2133">
        <v>97.321600000000004</v>
      </c>
      <c r="J2133">
        <v>34358</v>
      </c>
      <c r="K2133">
        <v>-0.41239999999999999</v>
      </c>
      <c r="L2133">
        <v>2.0747</v>
      </c>
    </row>
    <row r="2134" spans="1:12" x14ac:dyDescent="0.25">
      <c r="A2134">
        <v>2303</v>
      </c>
      <c r="B2134" t="s">
        <v>10</v>
      </c>
      <c r="C2134" s="1">
        <v>41753</v>
      </c>
      <c r="D2134" s="2">
        <f t="shared" si="66"/>
        <v>4</v>
      </c>
      <c r="E2134" s="2">
        <f t="shared" si="67"/>
        <v>4</v>
      </c>
      <c r="F2134">
        <v>10.4114</v>
      </c>
      <c r="G2134">
        <v>10.4114</v>
      </c>
      <c r="H2134">
        <v>10.3325</v>
      </c>
      <c r="I2134">
        <v>10.372</v>
      </c>
      <c r="J2134">
        <v>33473</v>
      </c>
      <c r="K2134">
        <v>-0.3795</v>
      </c>
      <c r="L2134">
        <v>0.76339999999999997</v>
      </c>
    </row>
    <row r="2135" spans="1:12" hidden="1" x14ac:dyDescent="0.25">
      <c r="A2135">
        <v>2330</v>
      </c>
      <c r="B2135" t="s">
        <v>11</v>
      </c>
      <c r="C2135" s="1">
        <v>41753</v>
      </c>
      <c r="D2135" s="2">
        <f t="shared" si="66"/>
        <v>4</v>
      </c>
      <c r="E2135" s="2">
        <f t="shared" si="67"/>
        <v>4</v>
      </c>
      <c r="F2135">
        <v>97.321600000000004</v>
      </c>
      <c r="G2135">
        <v>97.321600000000004</v>
      </c>
      <c r="H2135">
        <v>96.517300000000006</v>
      </c>
      <c r="I2135">
        <v>97.321600000000004</v>
      </c>
      <c r="J2135">
        <v>25524</v>
      </c>
      <c r="K2135">
        <v>0</v>
      </c>
      <c r="L2135">
        <v>0.83330000000000004</v>
      </c>
    </row>
    <row r="2136" spans="1:12" x14ac:dyDescent="0.25">
      <c r="A2136">
        <v>2303</v>
      </c>
      <c r="B2136" t="s">
        <v>10</v>
      </c>
      <c r="C2136" s="1">
        <v>41754</v>
      </c>
      <c r="D2136" s="2">
        <f t="shared" si="66"/>
        <v>5</v>
      </c>
      <c r="E2136" s="2">
        <f t="shared" si="67"/>
        <v>4</v>
      </c>
      <c r="F2136">
        <v>10.293100000000001</v>
      </c>
      <c r="G2136">
        <v>10.372</v>
      </c>
      <c r="H2136">
        <v>9.9382000000000001</v>
      </c>
      <c r="I2136">
        <v>10.0959</v>
      </c>
      <c r="J2136">
        <v>62624</v>
      </c>
      <c r="K2136">
        <v>-2.6977000000000002</v>
      </c>
      <c r="L2136">
        <v>4.3651</v>
      </c>
    </row>
    <row r="2137" spans="1:12" hidden="1" x14ac:dyDescent="0.25">
      <c r="A2137">
        <v>2330</v>
      </c>
      <c r="B2137" t="s">
        <v>11</v>
      </c>
      <c r="C2137" s="1">
        <v>41754</v>
      </c>
      <c r="D2137" s="2">
        <f t="shared" si="66"/>
        <v>5</v>
      </c>
      <c r="E2137" s="2">
        <f t="shared" si="67"/>
        <v>4</v>
      </c>
      <c r="F2137">
        <v>97.321600000000004</v>
      </c>
      <c r="G2137">
        <v>97.321600000000004</v>
      </c>
      <c r="H2137">
        <v>94.908699999999996</v>
      </c>
      <c r="I2137">
        <v>95.310900000000004</v>
      </c>
      <c r="J2137">
        <v>49438</v>
      </c>
      <c r="K2137">
        <v>-2.0878000000000001</v>
      </c>
      <c r="L2137">
        <v>2.5424000000000002</v>
      </c>
    </row>
    <row r="2138" spans="1:12" x14ac:dyDescent="0.25">
      <c r="A2138">
        <v>2303</v>
      </c>
      <c r="B2138" t="s">
        <v>10</v>
      </c>
      <c r="C2138" s="1">
        <v>41757</v>
      </c>
      <c r="D2138" s="2">
        <f t="shared" si="66"/>
        <v>1</v>
      </c>
      <c r="E2138" s="2">
        <f t="shared" si="67"/>
        <v>4</v>
      </c>
      <c r="F2138">
        <v>9.9776000000000007</v>
      </c>
      <c r="G2138">
        <v>10.2142</v>
      </c>
      <c r="H2138">
        <v>9.9776000000000007</v>
      </c>
      <c r="I2138">
        <v>10.0959</v>
      </c>
      <c r="J2138">
        <v>42190</v>
      </c>
      <c r="K2138">
        <v>0</v>
      </c>
      <c r="L2138">
        <v>2.3715000000000002</v>
      </c>
    </row>
    <row r="2139" spans="1:12" hidden="1" x14ac:dyDescent="0.25">
      <c r="A2139">
        <v>2330</v>
      </c>
      <c r="B2139" t="s">
        <v>11</v>
      </c>
      <c r="C2139" s="1">
        <v>41757</v>
      </c>
      <c r="D2139" s="2">
        <f t="shared" si="66"/>
        <v>1</v>
      </c>
      <c r="E2139" s="2">
        <f t="shared" si="67"/>
        <v>4</v>
      </c>
      <c r="F2139">
        <v>95.310900000000004</v>
      </c>
      <c r="G2139">
        <v>96.517300000000006</v>
      </c>
      <c r="H2139">
        <v>94.506500000000003</v>
      </c>
      <c r="I2139">
        <v>95.712999999999994</v>
      </c>
      <c r="J2139">
        <v>28068</v>
      </c>
      <c r="K2139">
        <v>0.42109999999999997</v>
      </c>
      <c r="L2139">
        <v>2.1276999999999999</v>
      </c>
    </row>
    <row r="2140" spans="1:12" x14ac:dyDescent="0.25">
      <c r="A2140">
        <v>2303</v>
      </c>
      <c r="B2140" t="s">
        <v>10</v>
      </c>
      <c r="C2140" s="1">
        <v>41758</v>
      </c>
      <c r="D2140" s="2">
        <f t="shared" si="66"/>
        <v>2</v>
      </c>
      <c r="E2140" s="2">
        <f t="shared" si="67"/>
        <v>4</v>
      </c>
      <c r="F2140">
        <v>10.2142</v>
      </c>
      <c r="G2140">
        <v>10.4114</v>
      </c>
      <c r="H2140">
        <v>10.135400000000001</v>
      </c>
      <c r="I2140">
        <v>10.293100000000001</v>
      </c>
      <c r="J2140">
        <v>64121</v>
      </c>
      <c r="K2140">
        <v>1.9342999999999999</v>
      </c>
      <c r="L2140">
        <v>2.7237</v>
      </c>
    </row>
    <row r="2141" spans="1:12" hidden="1" x14ac:dyDescent="0.25">
      <c r="A2141">
        <v>2330</v>
      </c>
      <c r="B2141" t="s">
        <v>11</v>
      </c>
      <c r="C2141" s="1">
        <v>41758</v>
      </c>
      <c r="D2141" s="2">
        <f t="shared" si="66"/>
        <v>2</v>
      </c>
      <c r="E2141" s="2">
        <f t="shared" si="67"/>
        <v>4</v>
      </c>
      <c r="F2141">
        <v>96.919499999999999</v>
      </c>
      <c r="G2141">
        <v>97.321600000000004</v>
      </c>
      <c r="H2141">
        <v>95.712999999999994</v>
      </c>
      <c r="I2141">
        <v>96.919499999999999</v>
      </c>
      <c r="J2141">
        <v>21811</v>
      </c>
      <c r="K2141">
        <v>1.2525999999999999</v>
      </c>
      <c r="L2141">
        <v>1.6807000000000001</v>
      </c>
    </row>
    <row r="2142" spans="1:12" x14ac:dyDescent="0.25">
      <c r="A2142">
        <v>2303</v>
      </c>
      <c r="B2142" t="s">
        <v>10</v>
      </c>
      <c r="C2142" s="1">
        <v>41759</v>
      </c>
      <c r="D2142" s="2">
        <f t="shared" si="66"/>
        <v>3</v>
      </c>
      <c r="E2142" s="2">
        <f t="shared" si="67"/>
        <v>4</v>
      </c>
      <c r="F2142">
        <v>10.332599999999999</v>
      </c>
      <c r="G2142">
        <v>10.4114</v>
      </c>
      <c r="H2142">
        <v>10.2142</v>
      </c>
      <c r="I2142">
        <v>10.293100000000001</v>
      </c>
      <c r="J2142">
        <v>59851</v>
      </c>
      <c r="K2142">
        <v>0</v>
      </c>
      <c r="L2142">
        <v>1.9305000000000001</v>
      </c>
    </row>
    <row r="2143" spans="1:12" hidden="1" x14ac:dyDescent="0.25">
      <c r="A2143">
        <v>2330</v>
      </c>
      <c r="B2143" t="s">
        <v>11</v>
      </c>
      <c r="C2143" s="1">
        <v>41759</v>
      </c>
      <c r="D2143" s="2">
        <f t="shared" si="66"/>
        <v>3</v>
      </c>
      <c r="E2143" s="2">
        <f t="shared" si="67"/>
        <v>4</v>
      </c>
      <c r="F2143">
        <v>96.517300000000006</v>
      </c>
      <c r="G2143">
        <v>96.919499999999999</v>
      </c>
      <c r="H2143">
        <v>94.104399999999998</v>
      </c>
      <c r="I2143">
        <v>95.310900000000004</v>
      </c>
      <c r="J2143">
        <v>44124</v>
      </c>
      <c r="K2143">
        <v>-1.6737</v>
      </c>
      <c r="L2143">
        <v>2.9914999999999998</v>
      </c>
    </row>
    <row r="2144" spans="1:12" x14ac:dyDescent="0.25">
      <c r="A2144">
        <v>2303</v>
      </c>
      <c r="B2144" t="s">
        <v>10</v>
      </c>
      <c r="C2144" s="1">
        <v>41761</v>
      </c>
      <c r="D2144" s="2">
        <f t="shared" si="66"/>
        <v>5</v>
      </c>
      <c r="E2144" s="2">
        <f t="shared" si="67"/>
        <v>5</v>
      </c>
      <c r="F2144">
        <v>10.332599999999999</v>
      </c>
      <c r="G2144">
        <v>10.4114</v>
      </c>
      <c r="H2144">
        <v>10.2537</v>
      </c>
      <c r="I2144">
        <v>10.372</v>
      </c>
      <c r="J2144">
        <v>93604</v>
      </c>
      <c r="K2144">
        <v>0.76339999999999997</v>
      </c>
      <c r="L2144">
        <v>1.5385</v>
      </c>
    </row>
    <row r="2145" spans="1:12" hidden="1" x14ac:dyDescent="0.25">
      <c r="A2145">
        <v>2330</v>
      </c>
      <c r="B2145" t="s">
        <v>11</v>
      </c>
      <c r="C2145" s="1">
        <v>41761</v>
      </c>
      <c r="D2145" s="2">
        <f t="shared" si="66"/>
        <v>5</v>
      </c>
      <c r="E2145" s="2">
        <f t="shared" si="67"/>
        <v>5</v>
      </c>
      <c r="F2145">
        <v>95.712999999999994</v>
      </c>
      <c r="G2145">
        <v>96.115200000000002</v>
      </c>
      <c r="H2145">
        <v>94.104399999999998</v>
      </c>
      <c r="I2145">
        <v>94.908699999999996</v>
      </c>
      <c r="J2145">
        <v>45030</v>
      </c>
      <c r="K2145">
        <v>-0.42280000000000001</v>
      </c>
      <c r="L2145">
        <v>2.1368</v>
      </c>
    </row>
    <row r="2146" spans="1:12" x14ac:dyDescent="0.25">
      <c r="A2146">
        <v>2303</v>
      </c>
      <c r="B2146" t="s">
        <v>10</v>
      </c>
      <c r="C2146" s="1">
        <v>41764</v>
      </c>
      <c r="D2146" s="2">
        <f t="shared" si="66"/>
        <v>1</v>
      </c>
      <c r="E2146" s="2">
        <f t="shared" si="67"/>
        <v>5</v>
      </c>
      <c r="F2146">
        <v>10.372</v>
      </c>
      <c r="G2146">
        <v>10.4114</v>
      </c>
      <c r="H2146">
        <v>10.2142</v>
      </c>
      <c r="I2146">
        <v>10.2142</v>
      </c>
      <c r="J2146">
        <v>48848</v>
      </c>
      <c r="K2146">
        <v>-1.5326</v>
      </c>
      <c r="L2146">
        <v>1.9305000000000001</v>
      </c>
    </row>
    <row r="2147" spans="1:12" hidden="1" x14ac:dyDescent="0.25">
      <c r="A2147">
        <v>2330</v>
      </c>
      <c r="B2147" t="s">
        <v>11</v>
      </c>
      <c r="C2147" s="1">
        <v>41764</v>
      </c>
      <c r="D2147" s="2">
        <f t="shared" si="66"/>
        <v>1</v>
      </c>
      <c r="E2147" s="2">
        <f t="shared" si="67"/>
        <v>5</v>
      </c>
      <c r="F2147">
        <v>94.506500000000003</v>
      </c>
      <c r="G2147">
        <v>94.908699999999996</v>
      </c>
      <c r="H2147">
        <v>93.3001</v>
      </c>
      <c r="I2147">
        <v>94.104399999999998</v>
      </c>
      <c r="J2147">
        <v>28887</v>
      </c>
      <c r="K2147">
        <v>-0.85109999999999997</v>
      </c>
      <c r="L2147">
        <v>1.7241</v>
      </c>
    </row>
    <row r="2148" spans="1:12" x14ac:dyDescent="0.25">
      <c r="A2148">
        <v>2303</v>
      </c>
      <c r="B2148" t="s">
        <v>10</v>
      </c>
      <c r="C2148" s="1">
        <v>41765</v>
      </c>
      <c r="D2148" s="2">
        <f t="shared" si="66"/>
        <v>2</v>
      </c>
      <c r="E2148" s="2">
        <f t="shared" si="67"/>
        <v>5</v>
      </c>
      <c r="F2148">
        <v>10.2537</v>
      </c>
      <c r="G2148">
        <v>10.293100000000001</v>
      </c>
      <c r="H2148">
        <v>10.174799999999999</v>
      </c>
      <c r="I2148">
        <v>10.293100000000001</v>
      </c>
      <c r="J2148">
        <v>42988</v>
      </c>
      <c r="K2148">
        <v>0.76919999999999999</v>
      </c>
      <c r="L2148">
        <v>1.1628000000000001</v>
      </c>
    </row>
    <row r="2149" spans="1:12" hidden="1" x14ac:dyDescent="0.25">
      <c r="A2149">
        <v>2330</v>
      </c>
      <c r="B2149" t="s">
        <v>11</v>
      </c>
      <c r="C2149" s="1">
        <v>41765</v>
      </c>
      <c r="D2149" s="2">
        <f t="shared" si="66"/>
        <v>2</v>
      </c>
      <c r="E2149" s="2">
        <f t="shared" si="67"/>
        <v>5</v>
      </c>
      <c r="F2149">
        <v>94.104399999999998</v>
      </c>
      <c r="G2149">
        <v>95.712999999999994</v>
      </c>
      <c r="H2149">
        <v>93.702200000000005</v>
      </c>
      <c r="I2149">
        <v>94.908699999999996</v>
      </c>
      <c r="J2149">
        <v>27525</v>
      </c>
      <c r="K2149">
        <v>0.85109999999999997</v>
      </c>
      <c r="L2149">
        <v>2.1459000000000001</v>
      </c>
    </row>
    <row r="2150" spans="1:12" x14ac:dyDescent="0.25">
      <c r="A2150">
        <v>2303</v>
      </c>
      <c r="B2150" t="s">
        <v>10</v>
      </c>
      <c r="C2150" s="1">
        <v>41766</v>
      </c>
      <c r="D2150" s="2">
        <f t="shared" si="66"/>
        <v>3</v>
      </c>
      <c r="E2150" s="2">
        <f t="shared" si="67"/>
        <v>5</v>
      </c>
      <c r="F2150">
        <v>10.293100000000001</v>
      </c>
      <c r="G2150">
        <v>10.372</v>
      </c>
      <c r="H2150">
        <v>10.2537</v>
      </c>
      <c r="I2150">
        <v>10.2537</v>
      </c>
      <c r="J2150">
        <v>47395</v>
      </c>
      <c r="K2150">
        <v>-0.38390000000000002</v>
      </c>
      <c r="L2150">
        <v>1.1537999999999999</v>
      </c>
    </row>
    <row r="2151" spans="1:12" hidden="1" x14ac:dyDescent="0.25">
      <c r="A2151">
        <v>2330</v>
      </c>
      <c r="B2151" t="s">
        <v>11</v>
      </c>
      <c r="C2151" s="1">
        <v>41766</v>
      </c>
      <c r="D2151" s="2">
        <f t="shared" si="66"/>
        <v>3</v>
      </c>
      <c r="E2151" s="2">
        <f t="shared" si="67"/>
        <v>5</v>
      </c>
      <c r="F2151">
        <v>94.908699999999996</v>
      </c>
      <c r="G2151">
        <v>95.712999999999994</v>
      </c>
      <c r="H2151">
        <v>94.506500000000003</v>
      </c>
      <c r="I2151">
        <v>95.310900000000004</v>
      </c>
      <c r="J2151">
        <v>33276</v>
      </c>
      <c r="K2151">
        <v>0.42280000000000001</v>
      </c>
      <c r="L2151">
        <v>1.2766</v>
      </c>
    </row>
    <row r="2152" spans="1:12" x14ac:dyDescent="0.25">
      <c r="A2152">
        <v>2303</v>
      </c>
      <c r="B2152" t="s">
        <v>10</v>
      </c>
      <c r="C2152" s="1">
        <v>41767</v>
      </c>
      <c r="D2152" s="2">
        <f t="shared" si="66"/>
        <v>4</v>
      </c>
      <c r="E2152" s="2">
        <f t="shared" si="67"/>
        <v>5</v>
      </c>
      <c r="F2152">
        <v>10.372</v>
      </c>
      <c r="G2152">
        <v>10.5692</v>
      </c>
      <c r="H2152">
        <v>10.332599999999999</v>
      </c>
      <c r="I2152">
        <v>10.5692</v>
      </c>
      <c r="J2152">
        <v>98618</v>
      </c>
      <c r="K2152">
        <v>3.0305</v>
      </c>
      <c r="L2152">
        <v>2.2900999999999998</v>
      </c>
    </row>
    <row r="2153" spans="1:12" hidden="1" x14ac:dyDescent="0.25">
      <c r="A2153">
        <v>2330</v>
      </c>
      <c r="B2153" t="s">
        <v>11</v>
      </c>
      <c r="C2153" s="1">
        <v>41767</v>
      </c>
      <c r="D2153" s="2">
        <f t="shared" si="66"/>
        <v>4</v>
      </c>
      <c r="E2153" s="2">
        <f t="shared" si="67"/>
        <v>5</v>
      </c>
      <c r="F2153">
        <v>96.115200000000002</v>
      </c>
      <c r="G2153">
        <v>96.517300000000006</v>
      </c>
      <c r="H2153">
        <v>95.712999999999994</v>
      </c>
      <c r="I2153">
        <v>96.115200000000002</v>
      </c>
      <c r="J2153">
        <v>30096</v>
      </c>
      <c r="K2153">
        <v>0.84030000000000005</v>
      </c>
      <c r="L2153">
        <v>0.84030000000000005</v>
      </c>
    </row>
    <row r="2154" spans="1:12" x14ac:dyDescent="0.25">
      <c r="A2154">
        <v>2303</v>
      </c>
      <c r="B2154" t="s">
        <v>10</v>
      </c>
      <c r="C2154" s="1">
        <v>41768</v>
      </c>
      <c r="D2154" s="2">
        <f t="shared" si="66"/>
        <v>5</v>
      </c>
      <c r="E2154" s="2">
        <f t="shared" si="67"/>
        <v>5</v>
      </c>
      <c r="F2154">
        <v>10.5692</v>
      </c>
      <c r="G2154">
        <v>10.608599999999999</v>
      </c>
      <c r="H2154">
        <v>10.4114</v>
      </c>
      <c r="I2154">
        <v>10.450900000000001</v>
      </c>
      <c r="J2154">
        <v>40629</v>
      </c>
      <c r="K2154">
        <v>-1.1256999999999999</v>
      </c>
      <c r="L2154">
        <v>1.8938999999999999</v>
      </c>
    </row>
    <row r="2155" spans="1:12" hidden="1" x14ac:dyDescent="0.25">
      <c r="A2155">
        <v>2330</v>
      </c>
      <c r="B2155" t="s">
        <v>11</v>
      </c>
      <c r="C2155" s="1">
        <v>41768</v>
      </c>
      <c r="D2155" s="2">
        <f t="shared" si="66"/>
        <v>5</v>
      </c>
      <c r="E2155" s="2">
        <f t="shared" si="67"/>
        <v>5</v>
      </c>
      <c r="F2155">
        <v>96.517300000000006</v>
      </c>
      <c r="G2155">
        <v>96.517300000000006</v>
      </c>
      <c r="H2155">
        <v>95.712999999999994</v>
      </c>
      <c r="I2155">
        <v>96.517300000000006</v>
      </c>
      <c r="J2155">
        <v>23287</v>
      </c>
      <c r="K2155">
        <v>0.41749999999999998</v>
      </c>
      <c r="L2155">
        <v>0.84030000000000005</v>
      </c>
    </row>
    <row r="2156" spans="1:12" x14ac:dyDescent="0.25">
      <c r="A2156">
        <v>2303</v>
      </c>
      <c r="B2156" t="s">
        <v>10</v>
      </c>
      <c r="C2156" s="1">
        <v>41771</v>
      </c>
      <c r="D2156" s="2">
        <f t="shared" si="66"/>
        <v>1</v>
      </c>
      <c r="E2156" s="2">
        <f t="shared" si="67"/>
        <v>5</v>
      </c>
      <c r="F2156">
        <v>10.4903</v>
      </c>
      <c r="G2156">
        <v>10.4903</v>
      </c>
      <c r="H2156">
        <v>10.293100000000001</v>
      </c>
      <c r="I2156">
        <v>10.332599999999999</v>
      </c>
      <c r="J2156">
        <v>35341</v>
      </c>
      <c r="K2156">
        <v>-1.1385000000000001</v>
      </c>
      <c r="L2156">
        <v>1.9157</v>
      </c>
    </row>
    <row r="2157" spans="1:12" hidden="1" x14ac:dyDescent="0.25">
      <c r="A2157">
        <v>2330</v>
      </c>
      <c r="B2157" t="s">
        <v>11</v>
      </c>
      <c r="C2157" s="1">
        <v>41771</v>
      </c>
      <c r="D2157" s="2">
        <f t="shared" si="66"/>
        <v>1</v>
      </c>
      <c r="E2157" s="2">
        <f t="shared" si="67"/>
        <v>5</v>
      </c>
      <c r="F2157">
        <v>96.115200000000002</v>
      </c>
      <c r="G2157">
        <v>96.517300000000006</v>
      </c>
      <c r="H2157">
        <v>94.506500000000003</v>
      </c>
      <c r="I2157">
        <v>95.310900000000004</v>
      </c>
      <c r="J2157">
        <v>37048</v>
      </c>
      <c r="K2157">
        <v>-1.2579</v>
      </c>
      <c r="L2157">
        <v>2.1276999999999999</v>
      </c>
    </row>
    <row r="2158" spans="1:12" x14ac:dyDescent="0.25">
      <c r="A2158">
        <v>2303</v>
      </c>
      <c r="B2158" t="s">
        <v>10</v>
      </c>
      <c r="C2158" s="1">
        <v>41772</v>
      </c>
      <c r="D2158" s="2">
        <f t="shared" si="66"/>
        <v>2</v>
      </c>
      <c r="E2158" s="2">
        <f t="shared" si="67"/>
        <v>5</v>
      </c>
      <c r="F2158">
        <v>10.4114</v>
      </c>
      <c r="G2158">
        <v>10.4114</v>
      </c>
      <c r="H2158">
        <v>10.332599999999999</v>
      </c>
      <c r="I2158">
        <v>10.332599999999999</v>
      </c>
      <c r="J2158">
        <v>21175</v>
      </c>
      <c r="K2158">
        <v>0</v>
      </c>
      <c r="L2158">
        <v>0.76339999999999997</v>
      </c>
    </row>
    <row r="2159" spans="1:12" hidden="1" x14ac:dyDescent="0.25">
      <c r="A2159">
        <v>2330</v>
      </c>
      <c r="B2159" t="s">
        <v>11</v>
      </c>
      <c r="C2159" s="1">
        <v>41772</v>
      </c>
      <c r="D2159" s="2">
        <f t="shared" si="66"/>
        <v>2</v>
      </c>
      <c r="E2159" s="2">
        <f t="shared" si="67"/>
        <v>5</v>
      </c>
      <c r="F2159">
        <v>96.517300000000006</v>
      </c>
      <c r="G2159">
        <v>97.321600000000004</v>
      </c>
      <c r="H2159">
        <v>96.115200000000002</v>
      </c>
      <c r="I2159">
        <v>96.919499999999999</v>
      </c>
      <c r="J2159">
        <v>24046</v>
      </c>
      <c r="K2159">
        <v>1.6737</v>
      </c>
      <c r="L2159">
        <v>1.2552000000000001</v>
      </c>
    </row>
    <row r="2160" spans="1:12" x14ac:dyDescent="0.25">
      <c r="A2160">
        <v>2303</v>
      </c>
      <c r="B2160" t="s">
        <v>10</v>
      </c>
      <c r="C2160" s="1">
        <v>41773</v>
      </c>
      <c r="D2160" s="2">
        <f t="shared" si="66"/>
        <v>3</v>
      </c>
      <c r="E2160" s="2">
        <f t="shared" si="67"/>
        <v>5</v>
      </c>
      <c r="F2160">
        <v>10.372</v>
      </c>
      <c r="G2160">
        <v>10.5297</v>
      </c>
      <c r="H2160">
        <v>10.372</v>
      </c>
      <c r="I2160">
        <v>10.5297</v>
      </c>
      <c r="J2160">
        <v>44769</v>
      </c>
      <c r="K2160">
        <v>1.8904000000000001</v>
      </c>
      <c r="L2160">
        <v>1.5208999999999999</v>
      </c>
    </row>
    <row r="2161" spans="1:12" hidden="1" x14ac:dyDescent="0.25">
      <c r="A2161">
        <v>2330</v>
      </c>
      <c r="B2161" t="s">
        <v>11</v>
      </c>
      <c r="C2161" s="1">
        <v>41773</v>
      </c>
      <c r="D2161" s="2">
        <f t="shared" si="66"/>
        <v>3</v>
      </c>
      <c r="E2161" s="2">
        <f t="shared" si="67"/>
        <v>5</v>
      </c>
      <c r="F2161">
        <v>97.321600000000004</v>
      </c>
      <c r="G2161">
        <v>98.125900000000001</v>
      </c>
      <c r="H2161">
        <v>96.919499999999999</v>
      </c>
      <c r="I2161">
        <v>98.125900000000001</v>
      </c>
      <c r="J2161">
        <v>32903</v>
      </c>
      <c r="K2161">
        <v>1.2371000000000001</v>
      </c>
      <c r="L2161">
        <v>1.2447999999999999</v>
      </c>
    </row>
    <row r="2162" spans="1:12" x14ac:dyDescent="0.25">
      <c r="A2162">
        <v>2303</v>
      </c>
      <c r="B2162" t="s">
        <v>10</v>
      </c>
      <c r="C2162" s="1">
        <v>41774</v>
      </c>
      <c r="D2162" s="2">
        <f t="shared" si="66"/>
        <v>4</v>
      </c>
      <c r="E2162" s="2">
        <f t="shared" si="67"/>
        <v>5</v>
      </c>
      <c r="F2162">
        <v>10.4903</v>
      </c>
      <c r="G2162">
        <v>10.5297</v>
      </c>
      <c r="H2162">
        <v>10.372</v>
      </c>
      <c r="I2162">
        <v>10.450900000000001</v>
      </c>
      <c r="J2162">
        <v>14713</v>
      </c>
      <c r="K2162">
        <v>-0.75190000000000001</v>
      </c>
      <c r="L2162">
        <v>1.5208999999999999</v>
      </c>
    </row>
    <row r="2163" spans="1:12" hidden="1" x14ac:dyDescent="0.25">
      <c r="A2163">
        <v>2330</v>
      </c>
      <c r="B2163" t="s">
        <v>11</v>
      </c>
      <c r="C2163" s="1">
        <v>41774</v>
      </c>
      <c r="D2163" s="2">
        <f t="shared" si="66"/>
        <v>4</v>
      </c>
      <c r="E2163" s="2">
        <f t="shared" si="67"/>
        <v>5</v>
      </c>
      <c r="F2163">
        <v>97.321600000000004</v>
      </c>
      <c r="G2163">
        <v>98.125900000000001</v>
      </c>
      <c r="H2163">
        <v>96.919499999999999</v>
      </c>
      <c r="I2163">
        <v>98.125900000000001</v>
      </c>
      <c r="J2163">
        <v>16813</v>
      </c>
      <c r="K2163">
        <v>0</v>
      </c>
      <c r="L2163">
        <v>1.2447999999999999</v>
      </c>
    </row>
    <row r="2164" spans="1:12" x14ac:dyDescent="0.25">
      <c r="A2164">
        <v>2303</v>
      </c>
      <c r="B2164" t="s">
        <v>10</v>
      </c>
      <c r="C2164" s="1">
        <v>41775</v>
      </c>
      <c r="D2164" s="2">
        <f t="shared" si="66"/>
        <v>5</v>
      </c>
      <c r="E2164" s="2">
        <f t="shared" si="67"/>
        <v>5</v>
      </c>
      <c r="F2164">
        <v>10.372</v>
      </c>
      <c r="G2164">
        <v>10.450900000000001</v>
      </c>
      <c r="H2164">
        <v>10.332599999999999</v>
      </c>
      <c r="I2164">
        <v>10.450900000000001</v>
      </c>
      <c r="J2164">
        <v>20742</v>
      </c>
      <c r="K2164">
        <v>0</v>
      </c>
      <c r="L2164">
        <v>1.145</v>
      </c>
    </row>
    <row r="2165" spans="1:12" hidden="1" x14ac:dyDescent="0.25">
      <c r="A2165">
        <v>2330</v>
      </c>
      <c r="B2165" t="s">
        <v>11</v>
      </c>
      <c r="C2165" s="1">
        <v>41775</v>
      </c>
      <c r="D2165" s="2">
        <f t="shared" si="66"/>
        <v>5</v>
      </c>
      <c r="E2165" s="2">
        <f t="shared" si="67"/>
        <v>5</v>
      </c>
      <c r="F2165">
        <v>98.125900000000001</v>
      </c>
      <c r="G2165">
        <v>98.930300000000003</v>
      </c>
      <c r="H2165">
        <v>97.321600000000004</v>
      </c>
      <c r="I2165">
        <v>98.125900000000001</v>
      </c>
      <c r="J2165">
        <v>28679</v>
      </c>
      <c r="K2165">
        <v>0</v>
      </c>
      <c r="L2165">
        <v>1.6529</v>
      </c>
    </row>
    <row r="2166" spans="1:12" x14ac:dyDescent="0.25">
      <c r="A2166">
        <v>2303</v>
      </c>
      <c r="B2166" t="s">
        <v>10</v>
      </c>
      <c r="C2166" s="1">
        <v>41778</v>
      </c>
      <c r="D2166" s="2">
        <f t="shared" si="66"/>
        <v>1</v>
      </c>
      <c r="E2166" s="2">
        <f t="shared" si="67"/>
        <v>5</v>
      </c>
      <c r="F2166">
        <v>10.4903</v>
      </c>
      <c r="G2166">
        <v>10.5297</v>
      </c>
      <c r="H2166">
        <v>10.4114</v>
      </c>
      <c r="I2166">
        <v>10.4903</v>
      </c>
      <c r="J2166">
        <v>19454</v>
      </c>
      <c r="K2166">
        <v>0.37659999999999999</v>
      </c>
      <c r="L2166">
        <v>1.1364000000000001</v>
      </c>
    </row>
    <row r="2167" spans="1:12" hidden="1" x14ac:dyDescent="0.25">
      <c r="A2167">
        <v>2330</v>
      </c>
      <c r="B2167" t="s">
        <v>11</v>
      </c>
      <c r="C2167" s="1">
        <v>41778</v>
      </c>
      <c r="D2167" s="2">
        <f t="shared" si="66"/>
        <v>1</v>
      </c>
      <c r="E2167" s="2">
        <f t="shared" si="67"/>
        <v>5</v>
      </c>
      <c r="F2167">
        <v>98.125900000000001</v>
      </c>
      <c r="G2167">
        <v>98.528099999999995</v>
      </c>
      <c r="H2167">
        <v>97.321600000000004</v>
      </c>
      <c r="I2167">
        <v>97.321600000000004</v>
      </c>
      <c r="J2167">
        <v>20829</v>
      </c>
      <c r="K2167">
        <v>-0.82299999999999995</v>
      </c>
      <c r="L2167">
        <v>1.2397</v>
      </c>
    </row>
    <row r="2168" spans="1:12" x14ac:dyDescent="0.25">
      <c r="A2168">
        <v>2303</v>
      </c>
      <c r="B2168" t="s">
        <v>10</v>
      </c>
      <c r="C2168" s="1">
        <v>41779</v>
      </c>
      <c r="D2168" s="2">
        <f t="shared" si="66"/>
        <v>2</v>
      </c>
      <c r="E2168" s="2">
        <f t="shared" si="67"/>
        <v>5</v>
      </c>
      <c r="F2168">
        <v>10.4903</v>
      </c>
      <c r="G2168">
        <v>10.5297</v>
      </c>
      <c r="H2168">
        <v>10.4114</v>
      </c>
      <c r="I2168">
        <v>10.4903</v>
      </c>
      <c r="J2168">
        <v>23306</v>
      </c>
      <c r="K2168">
        <v>0</v>
      </c>
      <c r="L2168">
        <v>1.1364000000000001</v>
      </c>
    </row>
    <row r="2169" spans="1:12" hidden="1" x14ac:dyDescent="0.25">
      <c r="A2169">
        <v>2330</v>
      </c>
      <c r="B2169" t="s">
        <v>11</v>
      </c>
      <c r="C2169" s="1">
        <v>41779</v>
      </c>
      <c r="D2169" s="2">
        <f t="shared" si="66"/>
        <v>2</v>
      </c>
      <c r="E2169" s="2">
        <f t="shared" si="67"/>
        <v>5</v>
      </c>
      <c r="F2169">
        <v>98.125900000000001</v>
      </c>
      <c r="G2169">
        <v>98.125900000000001</v>
      </c>
      <c r="H2169">
        <v>97.321600000000004</v>
      </c>
      <c r="I2169">
        <v>97.321600000000004</v>
      </c>
      <c r="J2169">
        <v>25402</v>
      </c>
      <c r="K2169">
        <v>0</v>
      </c>
      <c r="L2169">
        <v>0.82640000000000002</v>
      </c>
    </row>
    <row r="2170" spans="1:12" x14ac:dyDescent="0.25">
      <c r="A2170">
        <v>2303</v>
      </c>
      <c r="B2170" t="s">
        <v>10</v>
      </c>
      <c r="C2170" s="1">
        <v>41780</v>
      </c>
      <c r="D2170" s="2">
        <f t="shared" si="66"/>
        <v>3</v>
      </c>
      <c r="E2170" s="2">
        <f t="shared" si="67"/>
        <v>5</v>
      </c>
      <c r="F2170">
        <v>10.450900000000001</v>
      </c>
      <c r="G2170">
        <v>10.4903</v>
      </c>
      <c r="H2170">
        <v>10.372</v>
      </c>
      <c r="I2170">
        <v>10.4114</v>
      </c>
      <c r="J2170">
        <v>17514</v>
      </c>
      <c r="K2170">
        <v>-0.75470000000000004</v>
      </c>
      <c r="L2170">
        <v>1.1407</v>
      </c>
    </row>
    <row r="2171" spans="1:12" hidden="1" x14ac:dyDescent="0.25">
      <c r="A2171">
        <v>2330</v>
      </c>
      <c r="B2171" t="s">
        <v>11</v>
      </c>
      <c r="C2171" s="1">
        <v>41780</v>
      </c>
      <c r="D2171" s="2">
        <f t="shared" si="66"/>
        <v>3</v>
      </c>
      <c r="E2171" s="2">
        <f t="shared" si="67"/>
        <v>5</v>
      </c>
      <c r="F2171">
        <v>98.125900000000001</v>
      </c>
      <c r="G2171">
        <v>98.125900000000001</v>
      </c>
      <c r="H2171">
        <v>96.919499999999999</v>
      </c>
      <c r="I2171">
        <v>96.919499999999999</v>
      </c>
      <c r="J2171">
        <v>24218</v>
      </c>
      <c r="K2171">
        <v>-0.41410000000000002</v>
      </c>
      <c r="L2171">
        <v>1.2447999999999999</v>
      </c>
    </row>
    <row r="2172" spans="1:12" x14ac:dyDescent="0.25">
      <c r="A2172">
        <v>2303</v>
      </c>
      <c r="B2172" t="s">
        <v>10</v>
      </c>
      <c r="C2172" s="1">
        <v>41781</v>
      </c>
      <c r="D2172" s="2">
        <f t="shared" si="66"/>
        <v>4</v>
      </c>
      <c r="E2172" s="2">
        <f t="shared" si="67"/>
        <v>5</v>
      </c>
      <c r="F2172">
        <v>10.4903</v>
      </c>
      <c r="G2172">
        <v>10.5692</v>
      </c>
      <c r="H2172">
        <v>10.450900000000001</v>
      </c>
      <c r="I2172">
        <v>10.5297</v>
      </c>
      <c r="J2172">
        <v>39045</v>
      </c>
      <c r="K2172">
        <v>1.1299999999999999</v>
      </c>
      <c r="L2172">
        <v>1.1321000000000001</v>
      </c>
    </row>
    <row r="2173" spans="1:12" hidden="1" x14ac:dyDescent="0.25">
      <c r="A2173">
        <v>2330</v>
      </c>
      <c r="B2173" t="s">
        <v>11</v>
      </c>
      <c r="C2173" s="1">
        <v>41781</v>
      </c>
      <c r="D2173" s="2">
        <f t="shared" si="66"/>
        <v>4</v>
      </c>
      <c r="E2173" s="2">
        <f t="shared" si="67"/>
        <v>5</v>
      </c>
      <c r="F2173">
        <v>97.723799999999997</v>
      </c>
      <c r="G2173">
        <v>98.125900000000001</v>
      </c>
      <c r="H2173">
        <v>97.321600000000004</v>
      </c>
      <c r="I2173">
        <v>98.125900000000001</v>
      </c>
      <c r="J2173">
        <v>26336</v>
      </c>
      <c r="K2173">
        <v>1.2371000000000001</v>
      </c>
      <c r="L2173">
        <v>0.82640000000000002</v>
      </c>
    </row>
    <row r="2174" spans="1:12" x14ac:dyDescent="0.25">
      <c r="A2174">
        <v>2303</v>
      </c>
      <c r="B2174" t="s">
        <v>10</v>
      </c>
      <c r="C2174" s="1">
        <v>41782</v>
      </c>
      <c r="D2174" s="2">
        <f t="shared" si="66"/>
        <v>5</v>
      </c>
      <c r="E2174" s="2">
        <f t="shared" si="67"/>
        <v>5</v>
      </c>
      <c r="F2174">
        <v>10.5692</v>
      </c>
      <c r="G2174">
        <v>10.608599999999999</v>
      </c>
      <c r="H2174">
        <v>10.450900000000001</v>
      </c>
      <c r="I2174">
        <v>10.5297</v>
      </c>
      <c r="J2174">
        <v>24953</v>
      </c>
      <c r="K2174">
        <v>0</v>
      </c>
      <c r="L2174">
        <v>1.5094000000000001</v>
      </c>
    </row>
    <row r="2175" spans="1:12" hidden="1" x14ac:dyDescent="0.25">
      <c r="A2175">
        <v>2330</v>
      </c>
      <c r="B2175" t="s">
        <v>11</v>
      </c>
      <c r="C2175" s="1">
        <v>41782</v>
      </c>
      <c r="D2175" s="2">
        <f t="shared" si="66"/>
        <v>5</v>
      </c>
      <c r="E2175" s="2">
        <f t="shared" si="67"/>
        <v>5</v>
      </c>
      <c r="F2175">
        <v>97.321600000000004</v>
      </c>
      <c r="G2175">
        <v>98.528099999999995</v>
      </c>
      <c r="H2175">
        <v>97.321600000000004</v>
      </c>
      <c r="I2175">
        <v>98.125900000000001</v>
      </c>
      <c r="J2175">
        <v>31778</v>
      </c>
      <c r="K2175">
        <v>0</v>
      </c>
      <c r="L2175">
        <v>1.2397</v>
      </c>
    </row>
    <row r="2176" spans="1:12" x14ac:dyDescent="0.25">
      <c r="A2176">
        <v>2303</v>
      </c>
      <c r="B2176" t="s">
        <v>10</v>
      </c>
      <c r="C2176" s="1">
        <v>41785</v>
      </c>
      <c r="D2176" s="2">
        <f t="shared" si="66"/>
        <v>1</v>
      </c>
      <c r="E2176" s="2">
        <f t="shared" si="67"/>
        <v>5</v>
      </c>
      <c r="F2176">
        <v>10.5692</v>
      </c>
      <c r="G2176">
        <v>10.5692</v>
      </c>
      <c r="H2176">
        <v>10.4903</v>
      </c>
      <c r="I2176">
        <v>10.5692</v>
      </c>
      <c r="J2176">
        <v>27229</v>
      </c>
      <c r="K2176">
        <v>0.37380000000000002</v>
      </c>
      <c r="L2176">
        <v>0.75190000000000001</v>
      </c>
    </row>
    <row r="2177" spans="1:12" hidden="1" x14ac:dyDescent="0.25">
      <c r="A2177">
        <v>2330</v>
      </c>
      <c r="B2177" t="s">
        <v>11</v>
      </c>
      <c r="C2177" s="1">
        <v>41785</v>
      </c>
      <c r="D2177" s="2">
        <f t="shared" si="66"/>
        <v>1</v>
      </c>
      <c r="E2177" s="2">
        <f t="shared" si="67"/>
        <v>5</v>
      </c>
      <c r="F2177">
        <v>98.930300000000003</v>
      </c>
      <c r="G2177">
        <v>99.332400000000007</v>
      </c>
      <c r="H2177">
        <v>98.125900000000001</v>
      </c>
      <c r="I2177">
        <v>98.930300000000003</v>
      </c>
      <c r="J2177">
        <v>19854</v>
      </c>
      <c r="K2177">
        <v>0.81630000000000003</v>
      </c>
      <c r="L2177">
        <v>1.2295</v>
      </c>
    </row>
    <row r="2178" spans="1:12" x14ac:dyDescent="0.25">
      <c r="A2178">
        <v>2303</v>
      </c>
      <c r="B2178" t="s">
        <v>10</v>
      </c>
      <c r="C2178" s="1">
        <v>41786</v>
      </c>
      <c r="D2178" s="2">
        <f t="shared" si="66"/>
        <v>2</v>
      </c>
      <c r="E2178" s="2">
        <f t="shared" si="67"/>
        <v>5</v>
      </c>
      <c r="F2178">
        <v>10.5692</v>
      </c>
      <c r="G2178">
        <v>10.8058</v>
      </c>
      <c r="H2178">
        <v>10.5297</v>
      </c>
      <c r="I2178">
        <v>10.766400000000001</v>
      </c>
      <c r="J2178">
        <v>72414</v>
      </c>
      <c r="K2178">
        <v>1.8485</v>
      </c>
      <c r="L2178">
        <v>2.6217000000000001</v>
      </c>
    </row>
    <row r="2179" spans="1:12" hidden="1" x14ac:dyDescent="0.25">
      <c r="A2179">
        <v>2330</v>
      </c>
      <c r="B2179" t="s">
        <v>11</v>
      </c>
      <c r="C2179" s="1">
        <v>41786</v>
      </c>
      <c r="D2179" s="2">
        <f t="shared" ref="D2179:D2242" si="68">WEEKDAY(C2179,2)</f>
        <v>2</v>
      </c>
      <c r="E2179" s="2">
        <f t="shared" ref="E2179:E2242" si="69">MONTH(C2179)</f>
        <v>5</v>
      </c>
      <c r="F2179">
        <v>98.528099999999995</v>
      </c>
      <c r="G2179">
        <v>99.7346</v>
      </c>
      <c r="H2179">
        <v>98.528099999999995</v>
      </c>
      <c r="I2179">
        <v>99.332400000000007</v>
      </c>
      <c r="J2179">
        <v>18301</v>
      </c>
      <c r="K2179">
        <v>0.40570000000000001</v>
      </c>
      <c r="L2179">
        <v>1.2244999999999999</v>
      </c>
    </row>
    <row r="2180" spans="1:12" x14ac:dyDescent="0.25">
      <c r="A2180">
        <v>2303</v>
      </c>
      <c r="B2180" t="s">
        <v>10</v>
      </c>
      <c r="C2180" s="1">
        <v>41787</v>
      </c>
      <c r="D2180" s="2">
        <f t="shared" si="68"/>
        <v>3</v>
      </c>
      <c r="E2180" s="2">
        <f t="shared" si="69"/>
        <v>5</v>
      </c>
      <c r="F2180">
        <v>10.8058</v>
      </c>
      <c r="G2180">
        <v>11.200200000000001</v>
      </c>
      <c r="H2180">
        <v>10.8058</v>
      </c>
      <c r="I2180">
        <v>11.1607</v>
      </c>
      <c r="J2180">
        <v>124227</v>
      </c>
      <c r="K2180">
        <v>3.5975000000000001</v>
      </c>
      <c r="L2180">
        <v>3.6496</v>
      </c>
    </row>
    <row r="2181" spans="1:12" hidden="1" x14ac:dyDescent="0.25">
      <c r="A2181">
        <v>2330</v>
      </c>
      <c r="B2181" t="s">
        <v>11</v>
      </c>
      <c r="C2181" s="1">
        <v>41787</v>
      </c>
      <c r="D2181" s="2">
        <f t="shared" si="68"/>
        <v>3</v>
      </c>
      <c r="E2181" s="2">
        <f t="shared" si="69"/>
        <v>5</v>
      </c>
      <c r="F2181">
        <v>99.7346</v>
      </c>
      <c r="G2181">
        <v>99.7346</v>
      </c>
      <c r="H2181">
        <v>98.528099999999995</v>
      </c>
      <c r="I2181">
        <v>99.7346</v>
      </c>
      <c r="J2181">
        <v>37799</v>
      </c>
      <c r="K2181">
        <v>0.40400000000000003</v>
      </c>
      <c r="L2181">
        <v>1.2244999999999999</v>
      </c>
    </row>
    <row r="2182" spans="1:12" x14ac:dyDescent="0.25">
      <c r="A2182">
        <v>2303</v>
      </c>
      <c r="B2182" t="s">
        <v>10</v>
      </c>
      <c r="C2182" s="1">
        <v>41788</v>
      </c>
      <c r="D2182" s="2">
        <f t="shared" si="68"/>
        <v>4</v>
      </c>
      <c r="E2182" s="2">
        <f t="shared" si="69"/>
        <v>5</v>
      </c>
      <c r="F2182">
        <v>11.200200000000001</v>
      </c>
      <c r="G2182">
        <v>11.3185</v>
      </c>
      <c r="H2182">
        <v>10.8847</v>
      </c>
      <c r="I2182">
        <v>10.8847</v>
      </c>
      <c r="J2182">
        <v>116657</v>
      </c>
      <c r="K2182">
        <v>-2.5045999999999999</v>
      </c>
      <c r="L2182">
        <v>3.9855</v>
      </c>
    </row>
    <row r="2183" spans="1:12" hidden="1" x14ac:dyDescent="0.25">
      <c r="A2183">
        <v>2330</v>
      </c>
      <c r="B2183" t="s">
        <v>11</v>
      </c>
      <c r="C2183" s="1">
        <v>41788</v>
      </c>
      <c r="D2183" s="2">
        <f t="shared" si="68"/>
        <v>4</v>
      </c>
      <c r="E2183" s="2">
        <f t="shared" si="69"/>
        <v>5</v>
      </c>
      <c r="F2183">
        <v>99.332400000000007</v>
      </c>
      <c r="G2183">
        <v>99.7346</v>
      </c>
      <c r="H2183">
        <v>97.723799999999997</v>
      </c>
      <c r="I2183">
        <v>98.125900000000001</v>
      </c>
      <c r="J2183">
        <v>43079</v>
      </c>
      <c r="K2183">
        <v>-1.6261000000000001</v>
      </c>
      <c r="L2183">
        <v>2.0575999999999999</v>
      </c>
    </row>
    <row r="2184" spans="1:12" x14ac:dyDescent="0.25">
      <c r="A2184">
        <v>2303</v>
      </c>
      <c r="B2184" t="s">
        <v>10</v>
      </c>
      <c r="C2184" s="1">
        <v>41789</v>
      </c>
      <c r="D2184" s="2">
        <f t="shared" si="68"/>
        <v>5</v>
      </c>
      <c r="E2184" s="2">
        <f t="shared" si="69"/>
        <v>5</v>
      </c>
      <c r="F2184">
        <v>10.9636</v>
      </c>
      <c r="G2184">
        <v>11.200200000000001</v>
      </c>
      <c r="H2184">
        <v>10.8452</v>
      </c>
      <c r="I2184">
        <v>11.081899999999999</v>
      </c>
      <c r="J2184">
        <v>96912</v>
      </c>
      <c r="K2184">
        <v>1.7954000000000001</v>
      </c>
      <c r="L2184">
        <v>3.2726999999999999</v>
      </c>
    </row>
    <row r="2185" spans="1:12" hidden="1" x14ac:dyDescent="0.25">
      <c r="A2185">
        <v>2330</v>
      </c>
      <c r="B2185" t="s">
        <v>11</v>
      </c>
      <c r="C2185" s="1">
        <v>41789</v>
      </c>
      <c r="D2185" s="2">
        <f t="shared" si="68"/>
        <v>5</v>
      </c>
      <c r="E2185" s="2">
        <f t="shared" si="69"/>
        <v>5</v>
      </c>
      <c r="F2185">
        <v>98.125900000000001</v>
      </c>
      <c r="G2185">
        <v>98.528099999999995</v>
      </c>
      <c r="H2185">
        <v>96.115200000000002</v>
      </c>
      <c r="I2185">
        <v>96.115200000000002</v>
      </c>
      <c r="J2185">
        <v>69113</v>
      </c>
      <c r="K2185">
        <v>-2.0705</v>
      </c>
      <c r="L2185">
        <v>2.5105</v>
      </c>
    </row>
    <row r="2186" spans="1:12" x14ac:dyDescent="0.25">
      <c r="A2186">
        <v>2303</v>
      </c>
      <c r="B2186" t="s">
        <v>10</v>
      </c>
      <c r="C2186" s="1">
        <v>41793</v>
      </c>
      <c r="D2186" s="2">
        <f t="shared" si="68"/>
        <v>2</v>
      </c>
      <c r="E2186" s="2">
        <f t="shared" si="69"/>
        <v>6</v>
      </c>
      <c r="F2186">
        <v>11.1607</v>
      </c>
      <c r="G2186">
        <v>11.1607</v>
      </c>
      <c r="H2186">
        <v>11.003</v>
      </c>
      <c r="I2186">
        <v>11.1607</v>
      </c>
      <c r="J2186">
        <v>52613</v>
      </c>
      <c r="K2186">
        <v>0.70920000000000005</v>
      </c>
      <c r="L2186">
        <v>1.4337</v>
      </c>
    </row>
    <row r="2187" spans="1:12" hidden="1" x14ac:dyDescent="0.25">
      <c r="A2187">
        <v>2330</v>
      </c>
      <c r="B2187" t="s">
        <v>11</v>
      </c>
      <c r="C2187" s="1">
        <v>41793</v>
      </c>
      <c r="D2187" s="2">
        <f t="shared" si="68"/>
        <v>2</v>
      </c>
      <c r="E2187" s="2">
        <f t="shared" si="69"/>
        <v>6</v>
      </c>
      <c r="F2187">
        <v>96.517300000000006</v>
      </c>
      <c r="G2187">
        <v>98.528099999999995</v>
      </c>
      <c r="H2187">
        <v>96.517300000000006</v>
      </c>
      <c r="I2187">
        <v>98.528099999999995</v>
      </c>
      <c r="J2187">
        <v>40522</v>
      </c>
      <c r="K2187">
        <v>2.4794999999999998</v>
      </c>
      <c r="L2187">
        <v>2.0832999999999999</v>
      </c>
    </row>
    <row r="2188" spans="1:12" x14ac:dyDescent="0.25">
      <c r="A2188">
        <v>2303</v>
      </c>
      <c r="B2188" t="s">
        <v>10</v>
      </c>
      <c r="C2188" s="1">
        <v>41794</v>
      </c>
      <c r="D2188" s="2">
        <f t="shared" si="68"/>
        <v>3</v>
      </c>
      <c r="E2188" s="2">
        <f t="shared" si="69"/>
        <v>6</v>
      </c>
      <c r="F2188">
        <v>11.239599999999999</v>
      </c>
      <c r="G2188">
        <v>11.2791</v>
      </c>
      <c r="H2188">
        <v>11.1607</v>
      </c>
      <c r="I2188">
        <v>11.2791</v>
      </c>
      <c r="J2188">
        <v>57059</v>
      </c>
      <c r="K2188">
        <v>1.0545</v>
      </c>
      <c r="L2188">
        <v>1.0601</v>
      </c>
    </row>
    <row r="2189" spans="1:12" hidden="1" x14ac:dyDescent="0.25">
      <c r="A2189">
        <v>2330</v>
      </c>
      <c r="B2189" t="s">
        <v>11</v>
      </c>
      <c r="C2189" s="1">
        <v>41794</v>
      </c>
      <c r="D2189" s="2">
        <f t="shared" si="68"/>
        <v>3</v>
      </c>
      <c r="E2189" s="2">
        <f t="shared" si="69"/>
        <v>6</v>
      </c>
      <c r="F2189">
        <v>99.332400000000007</v>
      </c>
      <c r="G2189">
        <v>99.7346</v>
      </c>
      <c r="H2189">
        <v>98.930300000000003</v>
      </c>
      <c r="I2189">
        <v>99.332400000000007</v>
      </c>
      <c r="J2189">
        <v>33486</v>
      </c>
      <c r="K2189">
        <v>0.81299999999999994</v>
      </c>
      <c r="L2189">
        <v>0.81299999999999994</v>
      </c>
    </row>
    <row r="2190" spans="1:12" x14ac:dyDescent="0.25">
      <c r="A2190">
        <v>2303</v>
      </c>
      <c r="B2190" t="s">
        <v>10</v>
      </c>
      <c r="C2190" s="1">
        <v>41795</v>
      </c>
      <c r="D2190" s="2">
        <f t="shared" si="68"/>
        <v>4</v>
      </c>
      <c r="E2190" s="2">
        <f t="shared" si="69"/>
        <v>6</v>
      </c>
      <c r="F2190">
        <v>11.2791</v>
      </c>
      <c r="G2190">
        <v>11.515700000000001</v>
      </c>
      <c r="H2190">
        <v>11.239599999999999</v>
      </c>
      <c r="I2190">
        <v>11.239599999999999</v>
      </c>
      <c r="J2190">
        <v>83329</v>
      </c>
      <c r="K2190">
        <v>-0.3503</v>
      </c>
      <c r="L2190">
        <v>2.4561000000000002</v>
      </c>
    </row>
    <row r="2191" spans="1:12" hidden="1" x14ac:dyDescent="0.25">
      <c r="A2191">
        <v>2330</v>
      </c>
      <c r="B2191" t="s">
        <v>11</v>
      </c>
      <c r="C2191" s="1">
        <v>41795</v>
      </c>
      <c r="D2191" s="2">
        <f t="shared" si="68"/>
        <v>4</v>
      </c>
      <c r="E2191" s="2">
        <f t="shared" si="69"/>
        <v>6</v>
      </c>
      <c r="F2191">
        <v>98.930300000000003</v>
      </c>
      <c r="G2191">
        <v>99.332400000000007</v>
      </c>
      <c r="H2191">
        <v>97.723799999999997</v>
      </c>
      <c r="I2191">
        <v>98.930300000000003</v>
      </c>
      <c r="J2191">
        <v>19558</v>
      </c>
      <c r="K2191">
        <v>-0.40570000000000001</v>
      </c>
      <c r="L2191">
        <v>1.6460999999999999</v>
      </c>
    </row>
    <row r="2192" spans="1:12" x14ac:dyDescent="0.25">
      <c r="A2192">
        <v>2303</v>
      </c>
      <c r="B2192" t="s">
        <v>10</v>
      </c>
      <c r="C2192" s="1">
        <v>41796</v>
      </c>
      <c r="D2192" s="2">
        <f t="shared" si="68"/>
        <v>5</v>
      </c>
      <c r="E2192" s="2">
        <f t="shared" si="69"/>
        <v>6</v>
      </c>
      <c r="F2192">
        <v>11.4368</v>
      </c>
      <c r="G2192">
        <v>11.515700000000001</v>
      </c>
      <c r="H2192">
        <v>11.2791</v>
      </c>
      <c r="I2192">
        <v>11.515700000000001</v>
      </c>
      <c r="J2192">
        <v>53610</v>
      </c>
      <c r="K2192">
        <v>2.4264999999999999</v>
      </c>
      <c r="L2192">
        <v>2.0979000000000001</v>
      </c>
    </row>
    <row r="2193" spans="1:12" hidden="1" x14ac:dyDescent="0.25">
      <c r="A2193">
        <v>2330</v>
      </c>
      <c r="B2193" t="s">
        <v>11</v>
      </c>
      <c r="C2193" s="1">
        <v>41796</v>
      </c>
      <c r="D2193" s="2">
        <f t="shared" si="68"/>
        <v>5</v>
      </c>
      <c r="E2193" s="2">
        <f t="shared" si="69"/>
        <v>6</v>
      </c>
      <c r="F2193">
        <v>99.332400000000007</v>
      </c>
      <c r="G2193">
        <v>99.332400000000007</v>
      </c>
      <c r="H2193">
        <v>98.125900000000001</v>
      </c>
      <c r="I2193">
        <v>98.528099999999995</v>
      </c>
      <c r="J2193">
        <v>19282</v>
      </c>
      <c r="K2193">
        <v>-0.4073</v>
      </c>
      <c r="L2193">
        <v>1.2295</v>
      </c>
    </row>
    <row r="2194" spans="1:12" x14ac:dyDescent="0.25">
      <c r="A2194">
        <v>2303</v>
      </c>
      <c r="B2194" t="s">
        <v>10</v>
      </c>
      <c r="C2194" s="1">
        <v>41799</v>
      </c>
      <c r="D2194" s="2">
        <f t="shared" si="68"/>
        <v>1</v>
      </c>
      <c r="E2194" s="2">
        <f t="shared" si="69"/>
        <v>6</v>
      </c>
      <c r="F2194">
        <v>11.515700000000001</v>
      </c>
      <c r="G2194">
        <v>11.515700000000001</v>
      </c>
      <c r="H2194">
        <v>11.2791</v>
      </c>
      <c r="I2194">
        <v>11.397399999999999</v>
      </c>
      <c r="J2194">
        <v>27993</v>
      </c>
      <c r="K2194">
        <v>-1.0327</v>
      </c>
      <c r="L2194">
        <v>2.0979000000000001</v>
      </c>
    </row>
    <row r="2195" spans="1:12" hidden="1" x14ac:dyDescent="0.25">
      <c r="A2195">
        <v>2330</v>
      </c>
      <c r="B2195" t="s">
        <v>11</v>
      </c>
      <c r="C2195" s="1">
        <v>41799</v>
      </c>
      <c r="D2195" s="2">
        <f t="shared" si="68"/>
        <v>1</v>
      </c>
      <c r="E2195" s="2">
        <f t="shared" si="69"/>
        <v>6</v>
      </c>
      <c r="F2195">
        <v>98.528099999999995</v>
      </c>
      <c r="G2195">
        <v>99.332400000000007</v>
      </c>
      <c r="H2195">
        <v>98.528099999999995</v>
      </c>
      <c r="I2195">
        <v>98.930300000000003</v>
      </c>
      <c r="J2195">
        <v>19730</v>
      </c>
      <c r="K2195">
        <v>0.4073</v>
      </c>
      <c r="L2195">
        <v>0.81630000000000003</v>
      </c>
    </row>
    <row r="2196" spans="1:12" x14ac:dyDescent="0.25">
      <c r="A2196">
        <v>2303</v>
      </c>
      <c r="B2196" t="s">
        <v>10</v>
      </c>
      <c r="C2196" s="1">
        <v>41800</v>
      </c>
      <c r="D2196" s="2">
        <f t="shared" si="68"/>
        <v>2</v>
      </c>
      <c r="E2196" s="2">
        <f t="shared" si="69"/>
        <v>6</v>
      </c>
      <c r="F2196">
        <v>11.4762</v>
      </c>
      <c r="G2196">
        <v>11.515700000000001</v>
      </c>
      <c r="H2196">
        <v>11.239599999999999</v>
      </c>
      <c r="I2196">
        <v>11.3185</v>
      </c>
      <c r="J2196">
        <v>40810</v>
      </c>
      <c r="K2196">
        <v>-0.69440000000000002</v>
      </c>
      <c r="L2196">
        <v>2.4561000000000002</v>
      </c>
    </row>
    <row r="2197" spans="1:12" hidden="1" x14ac:dyDescent="0.25">
      <c r="A2197">
        <v>2330</v>
      </c>
      <c r="B2197" t="s">
        <v>11</v>
      </c>
      <c r="C2197" s="1">
        <v>41800</v>
      </c>
      <c r="D2197" s="2">
        <f t="shared" si="68"/>
        <v>2</v>
      </c>
      <c r="E2197" s="2">
        <f t="shared" si="69"/>
        <v>6</v>
      </c>
      <c r="F2197">
        <v>98.930300000000003</v>
      </c>
      <c r="G2197">
        <v>100.1367</v>
      </c>
      <c r="H2197">
        <v>98.528099999999995</v>
      </c>
      <c r="I2197">
        <v>100.1367</v>
      </c>
      <c r="J2197">
        <v>26661</v>
      </c>
      <c r="K2197">
        <v>1.2121</v>
      </c>
      <c r="L2197">
        <v>1.6327</v>
      </c>
    </row>
    <row r="2198" spans="1:12" x14ac:dyDescent="0.25">
      <c r="A2198">
        <v>2303</v>
      </c>
      <c r="B2198" t="s">
        <v>10</v>
      </c>
      <c r="C2198" s="1">
        <v>41801</v>
      </c>
      <c r="D2198" s="2">
        <f t="shared" si="68"/>
        <v>3</v>
      </c>
      <c r="E2198" s="2">
        <f t="shared" si="69"/>
        <v>6</v>
      </c>
      <c r="F2198">
        <v>11.357900000000001</v>
      </c>
      <c r="G2198">
        <v>11.4368</v>
      </c>
      <c r="H2198">
        <v>11.2791</v>
      </c>
      <c r="I2198">
        <v>11.4368</v>
      </c>
      <c r="J2198">
        <v>34535</v>
      </c>
      <c r="K2198">
        <v>1.0399</v>
      </c>
      <c r="L2198">
        <v>1.3986000000000001</v>
      </c>
    </row>
    <row r="2199" spans="1:12" hidden="1" x14ac:dyDescent="0.25">
      <c r="A2199">
        <v>2330</v>
      </c>
      <c r="B2199" t="s">
        <v>11</v>
      </c>
      <c r="C2199" s="1">
        <v>41801</v>
      </c>
      <c r="D2199" s="2">
        <f t="shared" si="68"/>
        <v>3</v>
      </c>
      <c r="E2199" s="2">
        <f t="shared" si="69"/>
        <v>6</v>
      </c>
      <c r="F2199">
        <v>99.7346</v>
      </c>
      <c r="G2199">
        <v>100.5389</v>
      </c>
      <c r="H2199">
        <v>99.332400000000007</v>
      </c>
      <c r="I2199">
        <v>100.5389</v>
      </c>
      <c r="J2199">
        <v>27990</v>
      </c>
      <c r="K2199">
        <v>0.40079999999999999</v>
      </c>
      <c r="L2199">
        <v>1.2145999999999999</v>
      </c>
    </row>
    <row r="2200" spans="1:12" x14ac:dyDescent="0.25">
      <c r="A2200">
        <v>2303</v>
      </c>
      <c r="B2200" t="s">
        <v>10</v>
      </c>
      <c r="C2200" s="1">
        <v>41802</v>
      </c>
      <c r="D2200" s="2">
        <f t="shared" si="68"/>
        <v>4</v>
      </c>
      <c r="E2200" s="2">
        <f t="shared" si="69"/>
        <v>6</v>
      </c>
      <c r="F2200">
        <v>11.515700000000001</v>
      </c>
      <c r="G2200">
        <v>11.91</v>
      </c>
      <c r="H2200">
        <v>11.515700000000001</v>
      </c>
      <c r="I2200">
        <v>11.8706</v>
      </c>
      <c r="J2200">
        <v>152133</v>
      </c>
      <c r="K2200">
        <v>3.7229000000000001</v>
      </c>
      <c r="L2200">
        <v>3.4247000000000001</v>
      </c>
    </row>
    <row r="2201" spans="1:12" hidden="1" x14ac:dyDescent="0.25">
      <c r="A2201">
        <v>2330</v>
      </c>
      <c r="B2201" t="s">
        <v>11</v>
      </c>
      <c r="C2201" s="1">
        <v>41802</v>
      </c>
      <c r="D2201" s="2">
        <f t="shared" si="68"/>
        <v>4</v>
      </c>
      <c r="E2201" s="2">
        <f t="shared" si="69"/>
        <v>6</v>
      </c>
      <c r="F2201">
        <v>99.7346</v>
      </c>
      <c r="G2201">
        <v>99.7346</v>
      </c>
      <c r="H2201">
        <v>98.930300000000003</v>
      </c>
      <c r="I2201">
        <v>99.332400000000007</v>
      </c>
      <c r="J2201">
        <v>22300</v>
      </c>
      <c r="K2201">
        <v>-1.2073</v>
      </c>
      <c r="L2201">
        <v>0.81299999999999994</v>
      </c>
    </row>
    <row r="2202" spans="1:12" x14ac:dyDescent="0.25">
      <c r="A2202">
        <v>2303</v>
      </c>
      <c r="B2202" t="s">
        <v>10</v>
      </c>
      <c r="C2202" s="1">
        <v>41803</v>
      </c>
      <c r="D2202" s="2">
        <f t="shared" si="68"/>
        <v>5</v>
      </c>
      <c r="E2202" s="2">
        <f t="shared" si="69"/>
        <v>6</v>
      </c>
      <c r="F2202">
        <v>11.8706</v>
      </c>
      <c r="G2202">
        <v>11.91</v>
      </c>
      <c r="H2202">
        <v>11.7523</v>
      </c>
      <c r="I2202">
        <v>11.7523</v>
      </c>
      <c r="J2202">
        <v>108989</v>
      </c>
      <c r="K2202">
        <v>-1.0017</v>
      </c>
      <c r="L2202">
        <v>1.3423</v>
      </c>
    </row>
    <row r="2203" spans="1:12" hidden="1" x14ac:dyDescent="0.25">
      <c r="A2203">
        <v>2330</v>
      </c>
      <c r="B2203" t="s">
        <v>11</v>
      </c>
      <c r="C2203" s="1">
        <v>41803</v>
      </c>
      <c r="D2203" s="2">
        <f t="shared" si="68"/>
        <v>5</v>
      </c>
      <c r="E2203" s="2">
        <f t="shared" si="69"/>
        <v>6</v>
      </c>
      <c r="F2203">
        <v>98.930300000000003</v>
      </c>
      <c r="G2203">
        <v>99.332400000000007</v>
      </c>
      <c r="H2203">
        <v>98.528099999999995</v>
      </c>
      <c r="I2203">
        <v>98.930300000000003</v>
      </c>
      <c r="J2203">
        <v>17197</v>
      </c>
      <c r="K2203">
        <v>-0.40570000000000001</v>
      </c>
      <c r="L2203">
        <v>0.81630000000000003</v>
      </c>
    </row>
    <row r="2204" spans="1:12" x14ac:dyDescent="0.25">
      <c r="A2204">
        <v>2303</v>
      </c>
      <c r="B2204" t="s">
        <v>10</v>
      </c>
      <c r="C2204" s="1">
        <v>41806</v>
      </c>
      <c r="D2204" s="2">
        <f t="shared" si="68"/>
        <v>1</v>
      </c>
      <c r="E2204" s="2">
        <f t="shared" si="69"/>
        <v>6</v>
      </c>
      <c r="F2204">
        <v>11.7523</v>
      </c>
      <c r="G2204">
        <v>11.831200000000001</v>
      </c>
      <c r="H2204">
        <v>11.5946</v>
      </c>
      <c r="I2204">
        <v>11.5946</v>
      </c>
      <c r="J2204">
        <v>68409</v>
      </c>
      <c r="K2204">
        <v>-1.3513999999999999</v>
      </c>
      <c r="L2204">
        <v>2.0407999999999999</v>
      </c>
    </row>
    <row r="2205" spans="1:12" hidden="1" x14ac:dyDescent="0.25">
      <c r="A2205">
        <v>2330</v>
      </c>
      <c r="B2205" t="s">
        <v>11</v>
      </c>
      <c r="C2205" s="1">
        <v>41806</v>
      </c>
      <c r="D2205" s="2">
        <f t="shared" si="68"/>
        <v>1</v>
      </c>
      <c r="E2205" s="2">
        <f t="shared" si="69"/>
        <v>6</v>
      </c>
      <c r="F2205">
        <v>98.528099999999995</v>
      </c>
      <c r="G2205">
        <v>99.7346</v>
      </c>
      <c r="H2205">
        <v>98.528099999999995</v>
      </c>
      <c r="I2205">
        <v>99.7346</v>
      </c>
      <c r="J2205">
        <v>13737</v>
      </c>
      <c r="K2205">
        <v>0.80969999999999998</v>
      </c>
      <c r="L2205">
        <v>1.2244999999999999</v>
      </c>
    </row>
    <row r="2206" spans="1:12" x14ac:dyDescent="0.25">
      <c r="A2206">
        <v>2303</v>
      </c>
      <c r="B2206" t="s">
        <v>10</v>
      </c>
      <c r="C2206" s="1">
        <v>41807</v>
      </c>
      <c r="D2206" s="2">
        <f t="shared" si="68"/>
        <v>2</v>
      </c>
      <c r="E2206" s="2">
        <f t="shared" si="69"/>
        <v>6</v>
      </c>
      <c r="F2206">
        <v>11.7523</v>
      </c>
      <c r="G2206">
        <v>11.791700000000001</v>
      </c>
      <c r="H2206">
        <v>11.5946</v>
      </c>
      <c r="I2206">
        <v>11.5946</v>
      </c>
      <c r="J2206">
        <v>95645</v>
      </c>
      <c r="K2206">
        <v>0</v>
      </c>
      <c r="L2206">
        <v>1.7007000000000001</v>
      </c>
    </row>
    <row r="2207" spans="1:12" hidden="1" x14ac:dyDescent="0.25">
      <c r="A2207">
        <v>2330</v>
      </c>
      <c r="B2207" t="s">
        <v>11</v>
      </c>
      <c r="C2207" s="1">
        <v>41807</v>
      </c>
      <c r="D2207" s="2">
        <f t="shared" si="68"/>
        <v>2</v>
      </c>
      <c r="E2207" s="2">
        <f t="shared" si="69"/>
        <v>6</v>
      </c>
      <c r="F2207">
        <v>99.7346</v>
      </c>
      <c r="G2207">
        <v>100.5389</v>
      </c>
      <c r="H2207">
        <v>98.930300000000003</v>
      </c>
      <c r="I2207">
        <v>100.5389</v>
      </c>
      <c r="J2207">
        <v>20568</v>
      </c>
      <c r="K2207">
        <v>0.80320000000000003</v>
      </c>
      <c r="L2207">
        <v>1.6259999999999999</v>
      </c>
    </row>
    <row r="2208" spans="1:12" x14ac:dyDescent="0.25">
      <c r="A2208">
        <v>2303</v>
      </c>
      <c r="B2208" t="s">
        <v>10</v>
      </c>
      <c r="C2208" s="1">
        <v>41808</v>
      </c>
      <c r="D2208" s="2">
        <f t="shared" si="68"/>
        <v>3</v>
      </c>
      <c r="E2208" s="2">
        <f t="shared" si="69"/>
        <v>6</v>
      </c>
      <c r="F2208">
        <v>11.673400000000001</v>
      </c>
      <c r="G2208">
        <v>11.673400000000001</v>
      </c>
      <c r="H2208">
        <v>11.357900000000001</v>
      </c>
      <c r="I2208">
        <v>11.4368</v>
      </c>
      <c r="J2208">
        <v>91699</v>
      </c>
      <c r="K2208">
        <v>-1.3698999999999999</v>
      </c>
      <c r="L2208">
        <v>2.7778</v>
      </c>
    </row>
    <row r="2209" spans="1:12" hidden="1" x14ac:dyDescent="0.25">
      <c r="A2209">
        <v>2330</v>
      </c>
      <c r="B2209" t="s">
        <v>11</v>
      </c>
      <c r="C2209" s="1">
        <v>41808</v>
      </c>
      <c r="D2209" s="2">
        <f t="shared" si="68"/>
        <v>3</v>
      </c>
      <c r="E2209" s="2">
        <f t="shared" si="69"/>
        <v>6</v>
      </c>
      <c r="F2209">
        <v>100.5389</v>
      </c>
      <c r="G2209">
        <v>101.7453</v>
      </c>
      <c r="H2209">
        <v>99.7346</v>
      </c>
      <c r="I2209">
        <v>100.941</v>
      </c>
      <c r="J2209">
        <v>38103</v>
      </c>
      <c r="K2209">
        <v>0.3992</v>
      </c>
      <c r="L2209">
        <v>2.0160999999999998</v>
      </c>
    </row>
    <row r="2210" spans="1:12" x14ac:dyDescent="0.25">
      <c r="A2210">
        <v>2303</v>
      </c>
      <c r="B2210" t="s">
        <v>10</v>
      </c>
      <c r="C2210" s="1">
        <v>41809</v>
      </c>
      <c r="D2210" s="2">
        <f t="shared" si="68"/>
        <v>4</v>
      </c>
      <c r="E2210" s="2">
        <f t="shared" si="69"/>
        <v>6</v>
      </c>
      <c r="F2210">
        <v>11.4368</v>
      </c>
      <c r="G2210">
        <v>11.7523</v>
      </c>
      <c r="H2210">
        <v>11.397399999999999</v>
      </c>
      <c r="I2210">
        <v>11.7523</v>
      </c>
      <c r="J2210">
        <v>72268</v>
      </c>
      <c r="K2210">
        <v>2.7212999999999998</v>
      </c>
      <c r="L2210">
        <v>3.1141999999999999</v>
      </c>
    </row>
    <row r="2211" spans="1:12" hidden="1" x14ac:dyDescent="0.25">
      <c r="A2211">
        <v>2330</v>
      </c>
      <c r="B2211" t="s">
        <v>11</v>
      </c>
      <c r="C2211" s="1">
        <v>41809</v>
      </c>
      <c r="D2211" s="2">
        <f t="shared" si="68"/>
        <v>4</v>
      </c>
      <c r="E2211" s="2">
        <f t="shared" si="69"/>
        <v>6</v>
      </c>
      <c r="F2211">
        <v>100.1367</v>
      </c>
      <c r="G2211">
        <v>101.3432</v>
      </c>
      <c r="H2211">
        <v>100.1367</v>
      </c>
      <c r="I2211">
        <v>101.3432</v>
      </c>
      <c r="J2211">
        <v>25211</v>
      </c>
      <c r="K2211">
        <v>0.39760000000000001</v>
      </c>
      <c r="L2211">
        <v>1.2048000000000001</v>
      </c>
    </row>
    <row r="2212" spans="1:12" x14ac:dyDescent="0.25">
      <c r="A2212">
        <v>2303</v>
      </c>
      <c r="B2212" t="s">
        <v>10</v>
      </c>
      <c r="C2212" s="1">
        <v>41810</v>
      </c>
      <c r="D2212" s="2">
        <f t="shared" si="68"/>
        <v>5</v>
      </c>
      <c r="E2212" s="2">
        <f t="shared" si="69"/>
        <v>6</v>
      </c>
      <c r="F2212">
        <v>11.831200000000001</v>
      </c>
      <c r="G2212">
        <v>11.831200000000001</v>
      </c>
      <c r="H2212">
        <v>11.4762</v>
      </c>
      <c r="I2212">
        <v>11.4762</v>
      </c>
      <c r="J2212">
        <v>44268</v>
      </c>
      <c r="K2212">
        <v>-2.3769999999999998</v>
      </c>
      <c r="L2212">
        <v>3.0928</v>
      </c>
    </row>
    <row r="2213" spans="1:12" hidden="1" x14ac:dyDescent="0.25">
      <c r="A2213">
        <v>2330</v>
      </c>
      <c r="B2213" t="s">
        <v>11</v>
      </c>
      <c r="C2213" s="1">
        <v>41810</v>
      </c>
      <c r="D2213" s="2">
        <f t="shared" si="68"/>
        <v>5</v>
      </c>
      <c r="E2213" s="2">
        <f t="shared" si="69"/>
        <v>6</v>
      </c>
      <c r="F2213">
        <v>101.7453</v>
      </c>
      <c r="G2213">
        <v>102.14749999999999</v>
      </c>
      <c r="H2213">
        <v>99.7346</v>
      </c>
      <c r="I2213">
        <v>100.1367</v>
      </c>
      <c r="J2213">
        <v>31589</v>
      </c>
      <c r="K2213">
        <v>-1.1976</v>
      </c>
      <c r="L2213">
        <v>2.4194</v>
      </c>
    </row>
    <row r="2214" spans="1:12" x14ac:dyDescent="0.25">
      <c r="A2214">
        <v>2303</v>
      </c>
      <c r="B2214" t="s">
        <v>10</v>
      </c>
      <c r="C2214" s="1">
        <v>41813</v>
      </c>
      <c r="D2214" s="2">
        <f t="shared" si="68"/>
        <v>1</v>
      </c>
      <c r="E2214" s="2">
        <f t="shared" si="69"/>
        <v>6</v>
      </c>
      <c r="F2214">
        <v>11.555099999999999</v>
      </c>
      <c r="G2214">
        <v>11.5946</v>
      </c>
      <c r="H2214">
        <v>11.4368</v>
      </c>
      <c r="I2214">
        <v>11.4368</v>
      </c>
      <c r="J2214">
        <v>45047</v>
      </c>
      <c r="K2214">
        <v>-0.34420000000000001</v>
      </c>
      <c r="L2214">
        <v>1.3793</v>
      </c>
    </row>
    <row r="2215" spans="1:12" hidden="1" x14ac:dyDescent="0.25">
      <c r="A2215">
        <v>2330</v>
      </c>
      <c r="B2215" t="s">
        <v>11</v>
      </c>
      <c r="C2215" s="1">
        <v>41813</v>
      </c>
      <c r="D2215" s="2">
        <f t="shared" si="68"/>
        <v>1</v>
      </c>
      <c r="E2215" s="2">
        <f t="shared" si="69"/>
        <v>6</v>
      </c>
      <c r="F2215">
        <v>100.5389</v>
      </c>
      <c r="G2215">
        <v>100.941</v>
      </c>
      <c r="H2215">
        <v>98.930300000000003</v>
      </c>
      <c r="I2215">
        <v>98.930300000000003</v>
      </c>
      <c r="J2215">
        <v>25147</v>
      </c>
      <c r="K2215">
        <v>-1.2121</v>
      </c>
      <c r="L2215">
        <v>2.0325000000000002</v>
      </c>
    </row>
    <row r="2216" spans="1:12" x14ac:dyDescent="0.25">
      <c r="A2216">
        <v>2303</v>
      </c>
      <c r="B2216" t="s">
        <v>10</v>
      </c>
      <c r="C2216" s="1">
        <v>41814</v>
      </c>
      <c r="D2216" s="2">
        <f t="shared" si="68"/>
        <v>2</v>
      </c>
      <c r="E2216" s="2">
        <f t="shared" si="69"/>
        <v>6</v>
      </c>
      <c r="F2216">
        <v>11.4762</v>
      </c>
      <c r="G2216">
        <v>11.5946</v>
      </c>
      <c r="H2216">
        <v>11.397399999999999</v>
      </c>
      <c r="I2216">
        <v>11.4762</v>
      </c>
      <c r="J2216">
        <v>32699</v>
      </c>
      <c r="K2216">
        <v>0.34420000000000001</v>
      </c>
      <c r="L2216">
        <v>1.7301</v>
      </c>
    </row>
    <row r="2217" spans="1:12" hidden="1" x14ac:dyDescent="0.25">
      <c r="A2217">
        <v>2330</v>
      </c>
      <c r="B2217" t="s">
        <v>11</v>
      </c>
      <c r="C2217" s="1">
        <v>41814</v>
      </c>
      <c r="D2217" s="2">
        <f t="shared" si="68"/>
        <v>2</v>
      </c>
      <c r="E2217" s="2">
        <f t="shared" si="69"/>
        <v>6</v>
      </c>
      <c r="F2217">
        <v>98.930300000000003</v>
      </c>
      <c r="G2217">
        <v>99.332400000000007</v>
      </c>
      <c r="H2217">
        <v>98.125900000000001</v>
      </c>
      <c r="I2217">
        <v>98.930300000000003</v>
      </c>
      <c r="J2217">
        <v>36234</v>
      </c>
      <c r="K2217">
        <v>0</v>
      </c>
      <c r="L2217">
        <v>1.2295</v>
      </c>
    </row>
    <row r="2218" spans="1:12" x14ac:dyDescent="0.25">
      <c r="A2218">
        <v>2303</v>
      </c>
      <c r="B2218" t="s">
        <v>10</v>
      </c>
      <c r="C2218" s="1">
        <v>41815</v>
      </c>
      <c r="D2218" s="2">
        <f t="shared" si="68"/>
        <v>3</v>
      </c>
      <c r="E2218" s="2">
        <f t="shared" si="69"/>
        <v>6</v>
      </c>
      <c r="F2218">
        <v>11.555099999999999</v>
      </c>
      <c r="G2218">
        <v>11.555099999999999</v>
      </c>
      <c r="H2218">
        <v>11.397399999999999</v>
      </c>
      <c r="I2218">
        <v>11.515700000000001</v>
      </c>
      <c r="J2218">
        <v>38509</v>
      </c>
      <c r="K2218">
        <v>0.34310000000000002</v>
      </c>
      <c r="L2218">
        <v>1.3841000000000001</v>
      </c>
    </row>
    <row r="2219" spans="1:12" hidden="1" x14ac:dyDescent="0.25">
      <c r="A2219">
        <v>2330</v>
      </c>
      <c r="B2219" t="s">
        <v>11</v>
      </c>
      <c r="C2219" s="1">
        <v>41815</v>
      </c>
      <c r="D2219" s="2">
        <f t="shared" si="68"/>
        <v>3</v>
      </c>
      <c r="E2219" s="2">
        <f t="shared" si="69"/>
        <v>6</v>
      </c>
      <c r="F2219">
        <v>98.930300000000003</v>
      </c>
      <c r="G2219">
        <v>100.1367</v>
      </c>
      <c r="H2219">
        <v>98.930300000000003</v>
      </c>
      <c r="I2219">
        <v>99.332400000000007</v>
      </c>
      <c r="J2219">
        <v>31028</v>
      </c>
      <c r="K2219">
        <v>0.40570000000000001</v>
      </c>
      <c r="L2219">
        <v>1.2195</v>
      </c>
    </row>
    <row r="2220" spans="1:12" x14ac:dyDescent="0.25">
      <c r="A2220">
        <v>2303</v>
      </c>
      <c r="B2220" t="s">
        <v>10</v>
      </c>
      <c r="C2220" s="1">
        <v>41816</v>
      </c>
      <c r="D2220" s="2">
        <f t="shared" si="68"/>
        <v>4</v>
      </c>
      <c r="E2220" s="2">
        <f t="shared" si="69"/>
        <v>6</v>
      </c>
      <c r="F2220">
        <v>11.5946</v>
      </c>
      <c r="G2220">
        <v>12.107200000000001</v>
      </c>
      <c r="H2220">
        <v>11.555099999999999</v>
      </c>
      <c r="I2220">
        <v>11.91</v>
      </c>
      <c r="J2220">
        <v>139187</v>
      </c>
      <c r="K2220">
        <v>3.3673000000000002</v>
      </c>
      <c r="L2220">
        <v>4.7782</v>
      </c>
    </row>
    <row r="2221" spans="1:12" hidden="1" x14ac:dyDescent="0.25">
      <c r="A2221">
        <v>2330</v>
      </c>
      <c r="B2221" t="s">
        <v>11</v>
      </c>
      <c r="C2221" s="1">
        <v>41816</v>
      </c>
      <c r="D2221" s="2">
        <f t="shared" si="68"/>
        <v>4</v>
      </c>
      <c r="E2221" s="2">
        <f t="shared" si="69"/>
        <v>6</v>
      </c>
      <c r="F2221">
        <v>100.1367</v>
      </c>
      <c r="G2221">
        <v>100.5389</v>
      </c>
      <c r="H2221">
        <v>99.332400000000007</v>
      </c>
      <c r="I2221">
        <v>100.1367</v>
      </c>
      <c r="J2221">
        <v>33938</v>
      </c>
      <c r="K2221">
        <v>0.80649999999999999</v>
      </c>
      <c r="L2221">
        <v>1.2145999999999999</v>
      </c>
    </row>
    <row r="2222" spans="1:12" x14ac:dyDescent="0.25">
      <c r="A2222">
        <v>2303</v>
      </c>
      <c r="B2222" t="s">
        <v>10</v>
      </c>
      <c r="C2222" s="1">
        <v>41817</v>
      </c>
      <c r="D2222" s="2">
        <f t="shared" si="68"/>
        <v>5</v>
      </c>
      <c r="E2222" s="2">
        <f t="shared" si="69"/>
        <v>6</v>
      </c>
      <c r="F2222">
        <v>11.831200000000001</v>
      </c>
      <c r="G2222">
        <v>11.91</v>
      </c>
      <c r="H2222">
        <v>11.712899999999999</v>
      </c>
      <c r="I2222">
        <v>11.712899999999999</v>
      </c>
      <c r="J2222">
        <v>57188</v>
      </c>
      <c r="K2222">
        <v>-1.6695</v>
      </c>
      <c r="L2222">
        <v>1.6835</v>
      </c>
    </row>
    <row r="2223" spans="1:12" hidden="1" x14ac:dyDescent="0.25">
      <c r="A2223">
        <v>2330</v>
      </c>
      <c r="B2223" t="s">
        <v>11</v>
      </c>
      <c r="C2223" s="1">
        <v>41817</v>
      </c>
      <c r="D2223" s="2">
        <f t="shared" si="68"/>
        <v>5</v>
      </c>
      <c r="E2223" s="2">
        <f t="shared" si="69"/>
        <v>6</v>
      </c>
      <c r="F2223">
        <v>100.5389</v>
      </c>
      <c r="G2223">
        <v>101.7453</v>
      </c>
      <c r="H2223">
        <v>99.7346</v>
      </c>
      <c r="I2223">
        <v>100.941</v>
      </c>
      <c r="J2223">
        <v>44450</v>
      </c>
      <c r="K2223">
        <v>0.8</v>
      </c>
      <c r="L2223">
        <v>2.0160999999999998</v>
      </c>
    </row>
    <row r="2224" spans="1:12" x14ac:dyDescent="0.25">
      <c r="A2224">
        <v>2303</v>
      </c>
      <c r="B2224" t="s">
        <v>10</v>
      </c>
      <c r="C2224" s="1">
        <v>41820</v>
      </c>
      <c r="D2224" s="2">
        <f t="shared" si="68"/>
        <v>1</v>
      </c>
      <c r="E2224" s="2">
        <f t="shared" si="69"/>
        <v>6</v>
      </c>
      <c r="F2224">
        <v>11.712899999999999</v>
      </c>
      <c r="G2224">
        <v>11.8706</v>
      </c>
      <c r="H2224">
        <v>11.712899999999999</v>
      </c>
      <c r="I2224">
        <v>11.791700000000001</v>
      </c>
      <c r="J2224">
        <v>72897</v>
      </c>
      <c r="K2224">
        <v>0.67110000000000003</v>
      </c>
      <c r="L2224">
        <v>1.3468</v>
      </c>
    </row>
    <row r="2225" spans="1:12" hidden="1" x14ac:dyDescent="0.25">
      <c r="A2225">
        <v>2330</v>
      </c>
      <c r="B2225" t="s">
        <v>11</v>
      </c>
      <c r="C2225" s="1">
        <v>41820</v>
      </c>
      <c r="D2225" s="2">
        <f t="shared" si="68"/>
        <v>1</v>
      </c>
      <c r="E2225" s="2">
        <f t="shared" si="69"/>
        <v>6</v>
      </c>
      <c r="F2225">
        <v>101.3432</v>
      </c>
      <c r="G2225">
        <v>102.14749999999999</v>
      </c>
      <c r="H2225">
        <v>100.5389</v>
      </c>
      <c r="I2225">
        <v>101.7453</v>
      </c>
      <c r="J2225">
        <v>38191</v>
      </c>
      <c r="K2225">
        <v>0.79369999999999996</v>
      </c>
      <c r="L2225">
        <v>1.6</v>
      </c>
    </row>
    <row r="2226" spans="1:12" x14ac:dyDescent="0.25">
      <c r="A2226">
        <v>2303</v>
      </c>
      <c r="B2226" t="s">
        <v>10</v>
      </c>
      <c r="C2226" s="1">
        <v>41821</v>
      </c>
      <c r="D2226" s="2">
        <f t="shared" si="68"/>
        <v>2</v>
      </c>
      <c r="E2226" s="2">
        <f t="shared" si="69"/>
        <v>7</v>
      </c>
      <c r="F2226">
        <v>11.831200000000001</v>
      </c>
      <c r="G2226">
        <v>12.146699999999999</v>
      </c>
      <c r="H2226">
        <v>11.712899999999999</v>
      </c>
      <c r="I2226">
        <v>12.0284</v>
      </c>
      <c r="J2226">
        <v>126868</v>
      </c>
      <c r="K2226">
        <v>1.9867999999999999</v>
      </c>
      <c r="L2226">
        <v>3.7037</v>
      </c>
    </row>
    <row r="2227" spans="1:12" hidden="1" x14ac:dyDescent="0.25">
      <c r="A2227">
        <v>2330</v>
      </c>
      <c r="B2227" t="s">
        <v>11</v>
      </c>
      <c r="C2227" s="1">
        <v>41821</v>
      </c>
      <c r="D2227" s="2">
        <f t="shared" si="68"/>
        <v>2</v>
      </c>
      <c r="E2227" s="2">
        <f t="shared" si="69"/>
        <v>7</v>
      </c>
      <c r="F2227">
        <v>101.7453</v>
      </c>
      <c r="G2227">
        <v>103.354</v>
      </c>
      <c r="H2227">
        <v>101.3432</v>
      </c>
      <c r="I2227">
        <v>102.95180000000001</v>
      </c>
      <c r="J2227">
        <v>33022</v>
      </c>
      <c r="K2227">
        <v>1.1788000000000001</v>
      </c>
      <c r="L2227">
        <v>1.9841</v>
      </c>
    </row>
    <row r="2228" spans="1:12" x14ac:dyDescent="0.25">
      <c r="A2228">
        <v>2303</v>
      </c>
      <c r="B2228" t="s">
        <v>10</v>
      </c>
      <c r="C2228" s="1">
        <v>41822</v>
      </c>
      <c r="D2228" s="2">
        <f t="shared" si="68"/>
        <v>3</v>
      </c>
      <c r="E2228" s="2">
        <f t="shared" si="69"/>
        <v>7</v>
      </c>
      <c r="F2228">
        <v>12.146699999999999</v>
      </c>
      <c r="G2228">
        <v>12.462199999999999</v>
      </c>
      <c r="H2228">
        <v>12.0284</v>
      </c>
      <c r="I2228">
        <v>12.0678</v>
      </c>
      <c r="J2228">
        <v>167509</v>
      </c>
      <c r="K2228">
        <v>0.32729999999999998</v>
      </c>
      <c r="L2228">
        <v>3.6065999999999998</v>
      </c>
    </row>
    <row r="2229" spans="1:12" hidden="1" x14ac:dyDescent="0.25">
      <c r="A2229">
        <v>2330</v>
      </c>
      <c r="B2229" t="s">
        <v>11</v>
      </c>
      <c r="C2229" s="1">
        <v>41822</v>
      </c>
      <c r="D2229" s="2">
        <f t="shared" si="68"/>
        <v>3</v>
      </c>
      <c r="E2229" s="2">
        <f t="shared" si="69"/>
        <v>7</v>
      </c>
      <c r="F2229">
        <v>104.1583</v>
      </c>
      <c r="G2229">
        <v>106.5712</v>
      </c>
      <c r="H2229">
        <v>103.7561</v>
      </c>
      <c r="I2229">
        <v>106.5712</v>
      </c>
      <c r="J2229">
        <v>51623</v>
      </c>
      <c r="K2229">
        <v>3.4552</v>
      </c>
      <c r="L2229">
        <v>2.7132000000000001</v>
      </c>
    </row>
    <row r="2230" spans="1:12" x14ac:dyDescent="0.25">
      <c r="A2230">
        <v>2303</v>
      </c>
      <c r="B2230" t="s">
        <v>10</v>
      </c>
      <c r="C2230" s="1">
        <v>41823</v>
      </c>
      <c r="D2230" s="2">
        <f t="shared" si="68"/>
        <v>4</v>
      </c>
      <c r="E2230" s="2">
        <f t="shared" si="69"/>
        <v>7</v>
      </c>
      <c r="F2230">
        <v>12.146699999999999</v>
      </c>
      <c r="G2230">
        <v>12.3833</v>
      </c>
      <c r="H2230">
        <v>12.146699999999999</v>
      </c>
      <c r="I2230">
        <v>12.3439</v>
      </c>
      <c r="J2230">
        <v>128150</v>
      </c>
      <c r="K2230">
        <v>2.2618</v>
      </c>
      <c r="L2230">
        <v>1.9480999999999999</v>
      </c>
    </row>
    <row r="2231" spans="1:12" hidden="1" x14ac:dyDescent="0.25">
      <c r="A2231">
        <v>2330</v>
      </c>
      <c r="B2231" t="s">
        <v>11</v>
      </c>
      <c r="C2231" s="1">
        <v>41823</v>
      </c>
      <c r="D2231" s="2">
        <f t="shared" si="68"/>
        <v>4</v>
      </c>
      <c r="E2231" s="2">
        <f t="shared" si="69"/>
        <v>7</v>
      </c>
      <c r="F2231">
        <v>105.76690000000001</v>
      </c>
      <c r="G2231">
        <v>108.58199999999999</v>
      </c>
      <c r="H2231">
        <v>104.96259999999999</v>
      </c>
      <c r="I2231">
        <v>108.1798</v>
      </c>
      <c r="J2231">
        <v>41188</v>
      </c>
      <c r="K2231">
        <v>1.4982</v>
      </c>
      <c r="L2231">
        <v>3.4483000000000001</v>
      </c>
    </row>
    <row r="2232" spans="1:12" x14ac:dyDescent="0.25">
      <c r="A2232">
        <v>2303</v>
      </c>
      <c r="B2232" t="s">
        <v>10</v>
      </c>
      <c r="C2232" s="1">
        <v>41824</v>
      </c>
      <c r="D2232" s="2">
        <f t="shared" si="68"/>
        <v>5</v>
      </c>
      <c r="E2232" s="2">
        <f t="shared" si="69"/>
        <v>7</v>
      </c>
      <c r="F2232">
        <v>12.462199999999999</v>
      </c>
      <c r="G2232">
        <v>13.172000000000001</v>
      </c>
      <c r="H2232">
        <v>12.462199999999999</v>
      </c>
      <c r="I2232">
        <v>13.0143</v>
      </c>
      <c r="J2232">
        <v>204232</v>
      </c>
      <c r="K2232">
        <v>5.2888999999999999</v>
      </c>
      <c r="L2232">
        <v>5.6962000000000002</v>
      </c>
    </row>
    <row r="2233" spans="1:12" hidden="1" x14ac:dyDescent="0.25">
      <c r="A2233">
        <v>2330</v>
      </c>
      <c r="B2233" t="s">
        <v>11</v>
      </c>
      <c r="C2233" s="1">
        <v>41824</v>
      </c>
      <c r="D2233" s="2">
        <f t="shared" si="68"/>
        <v>5</v>
      </c>
      <c r="E2233" s="2">
        <f t="shared" si="69"/>
        <v>7</v>
      </c>
      <c r="F2233">
        <v>107.3755</v>
      </c>
      <c r="G2233">
        <v>109.38630000000001</v>
      </c>
      <c r="H2233">
        <v>106.1691</v>
      </c>
      <c r="I2233">
        <v>108.58199999999999</v>
      </c>
      <c r="J2233">
        <v>44516</v>
      </c>
      <c r="K2233">
        <v>0.37109999999999999</v>
      </c>
      <c r="L2233">
        <v>3.0303</v>
      </c>
    </row>
    <row r="2234" spans="1:12" x14ac:dyDescent="0.25">
      <c r="A2234">
        <v>2303</v>
      </c>
      <c r="B2234" t="s">
        <v>10</v>
      </c>
      <c r="C2234" s="1">
        <v>41827</v>
      </c>
      <c r="D2234" s="2">
        <f t="shared" si="68"/>
        <v>1</v>
      </c>
      <c r="E2234" s="2">
        <f t="shared" si="69"/>
        <v>7</v>
      </c>
      <c r="F2234">
        <v>13.095599999999999</v>
      </c>
      <c r="G2234">
        <v>13.177</v>
      </c>
      <c r="H2234">
        <v>12.851599999999999</v>
      </c>
      <c r="I2234">
        <v>12.973599999999999</v>
      </c>
      <c r="J2234">
        <v>128126</v>
      </c>
      <c r="K2234">
        <v>-0.30349999999999999</v>
      </c>
      <c r="L2234">
        <v>2.5316000000000001</v>
      </c>
    </row>
    <row r="2235" spans="1:12" hidden="1" x14ac:dyDescent="0.25">
      <c r="A2235">
        <v>2330</v>
      </c>
      <c r="B2235" t="s">
        <v>11</v>
      </c>
      <c r="C2235" s="1">
        <v>41827</v>
      </c>
      <c r="D2235" s="2">
        <f t="shared" si="68"/>
        <v>1</v>
      </c>
      <c r="E2235" s="2">
        <f t="shared" si="69"/>
        <v>7</v>
      </c>
      <c r="F2235">
        <v>108.1798</v>
      </c>
      <c r="G2235">
        <v>109.38630000000001</v>
      </c>
      <c r="H2235">
        <v>106.5712</v>
      </c>
      <c r="I2235">
        <v>109.38630000000001</v>
      </c>
      <c r="J2235">
        <v>32207</v>
      </c>
      <c r="K2235">
        <v>0.73799999999999999</v>
      </c>
      <c r="L2235">
        <v>2.6415000000000002</v>
      </c>
    </row>
    <row r="2236" spans="1:12" x14ac:dyDescent="0.25">
      <c r="A2236">
        <v>2303</v>
      </c>
      <c r="B2236" t="s">
        <v>10</v>
      </c>
      <c r="C2236" s="1">
        <v>41828</v>
      </c>
      <c r="D2236" s="2">
        <f t="shared" si="68"/>
        <v>2</v>
      </c>
      <c r="E2236" s="2">
        <f t="shared" si="69"/>
        <v>7</v>
      </c>
      <c r="F2236">
        <v>13.0143</v>
      </c>
      <c r="G2236">
        <v>13.095599999999999</v>
      </c>
      <c r="H2236">
        <v>12.648300000000001</v>
      </c>
      <c r="I2236">
        <v>12.6889</v>
      </c>
      <c r="J2236">
        <v>82485</v>
      </c>
      <c r="K2236">
        <v>-2.2187999999999999</v>
      </c>
      <c r="L2236">
        <v>3.5369999999999999</v>
      </c>
    </row>
    <row r="2237" spans="1:12" hidden="1" x14ac:dyDescent="0.25">
      <c r="A2237">
        <v>2330</v>
      </c>
      <c r="B2237" t="s">
        <v>11</v>
      </c>
      <c r="C2237" s="1">
        <v>41828</v>
      </c>
      <c r="D2237" s="2">
        <f t="shared" si="68"/>
        <v>2</v>
      </c>
      <c r="E2237" s="2">
        <f t="shared" si="69"/>
        <v>7</v>
      </c>
      <c r="F2237">
        <v>108.9841</v>
      </c>
      <c r="G2237">
        <v>109.38630000000001</v>
      </c>
      <c r="H2237">
        <v>107.7777</v>
      </c>
      <c r="I2237">
        <v>108.1798</v>
      </c>
      <c r="J2237">
        <v>36299</v>
      </c>
      <c r="K2237">
        <v>-1.1091</v>
      </c>
      <c r="L2237">
        <v>1.4924999999999999</v>
      </c>
    </row>
    <row r="2238" spans="1:12" x14ac:dyDescent="0.25">
      <c r="A2238">
        <v>2303</v>
      </c>
      <c r="B2238" t="s">
        <v>10</v>
      </c>
      <c r="C2238" s="1">
        <v>41829</v>
      </c>
      <c r="D2238" s="2">
        <f t="shared" si="68"/>
        <v>3</v>
      </c>
      <c r="E2238" s="2">
        <f t="shared" si="69"/>
        <v>7</v>
      </c>
      <c r="F2238">
        <v>12.6889</v>
      </c>
      <c r="G2238">
        <v>12.770300000000001</v>
      </c>
      <c r="H2238">
        <v>12.526300000000001</v>
      </c>
      <c r="I2238">
        <v>12.6076</v>
      </c>
      <c r="J2238">
        <v>61545</v>
      </c>
      <c r="K2238">
        <v>-0.6431</v>
      </c>
      <c r="L2238">
        <v>1.9480999999999999</v>
      </c>
    </row>
    <row r="2239" spans="1:12" hidden="1" x14ac:dyDescent="0.25">
      <c r="A2239">
        <v>2330</v>
      </c>
      <c r="B2239" t="s">
        <v>11</v>
      </c>
      <c r="C2239" s="1">
        <v>41829</v>
      </c>
      <c r="D2239" s="2">
        <f t="shared" si="68"/>
        <v>3</v>
      </c>
      <c r="E2239" s="2">
        <f t="shared" si="69"/>
        <v>7</v>
      </c>
      <c r="F2239">
        <v>107.3755</v>
      </c>
      <c r="G2239">
        <v>108.58199999999999</v>
      </c>
      <c r="H2239">
        <v>107.3755</v>
      </c>
      <c r="I2239">
        <v>107.7777</v>
      </c>
      <c r="J2239">
        <v>39336</v>
      </c>
      <c r="K2239">
        <v>-0.37240000000000001</v>
      </c>
      <c r="L2239">
        <v>1.1235999999999999</v>
      </c>
    </row>
    <row r="2240" spans="1:12" x14ac:dyDescent="0.25">
      <c r="A2240">
        <v>2303</v>
      </c>
      <c r="B2240" t="s">
        <v>10</v>
      </c>
      <c r="C2240" s="1">
        <v>41830</v>
      </c>
      <c r="D2240" s="2">
        <f t="shared" si="68"/>
        <v>4</v>
      </c>
      <c r="E2240" s="2">
        <f t="shared" si="69"/>
        <v>7</v>
      </c>
      <c r="F2240">
        <v>12.892300000000001</v>
      </c>
      <c r="G2240">
        <v>12.9329</v>
      </c>
      <c r="H2240">
        <v>12.648300000000001</v>
      </c>
      <c r="I2240">
        <v>12.770300000000001</v>
      </c>
      <c r="J2240">
        <v>84806</v>
      </c>
      <c r="K2240">
        <v>1.2821</v>
      </c>
      <c r="L2240">
        <v>2.2507999999999999</v>
      </c>
    </row>
    <row r="2241" spans="1:12" hidden="1" x14ac:dyDescent="0.25">
      <c r="A2241">
        <v>2330</v>
      </c>
      <c r="B2241" t="s">
        <v>11</v>
      </c>
      <c r="C2241" s="1">
        <v>41830</v>
      </c>
      <c r="D2241" s="2">
        <f t="shared" si="68"/>
        <v>4</v>
      </c>
      <c r="E2241" s="2">
        <f t="shared" si="69"/>
        <v>7</v>
      </c>
      <c r="F2241">
        <v>108.1798</v>
      </c>
      <c r="G2241">
        <v>109.38630000000001</v>
      </c>
      <c r="H2241">
        <v>108.1798</v>
      </c>
      <c r="I2241">
        <v>108.1798</v>
      </c>
      <c r="J2241">
        <v>51132</v>
      </c>
      <c r="K2241">
        <v>0.37240000000000001</v>
      </c>
      <c r="L2241">
        <v>1.1152</v>
      </c>
    </row>
    <row r="2242" spans="1:12" x14ac:dyDescent="0.25">
      <c r="A2242">
        <v>2303</v>
      </c>
      <c r="B2242" t="s">
        <v>10</v>
      </c>
      <c r="C2242" s="1">
        <v>41831</v>
      </c>
      <c r="D2242" s="2">
        <f t="shared" si="68"/>
        <v>5</v>
      </c>
      <c r="E2242" s="2">
        <f t="shared" si="69"/>
        <v>7</v>
      </c>
      <c r="F2242">
        <v>12.6889</v>
      </c>
      <c r="G2242">
        <v>12.6889</v>
      </c>
      <c r="H2242">
        <v>12.2822</v>
      </c>
      <c r="I2242">
        <v>12.444900000000001</v>
      </c>
      <c r="J2242">
        <v>82346</v>
      </c>
      <c r="K2242">
        <v>-2.5808</v>
      </c>
      <c r="L2242">
        <v>3.3113000000000001</v>
      </c>
    </row>
    <row r="2243" spans="1:12" hidden="1" x14ac:dyDescent="0.25">
      <c r="A2243">
        <v>2330</v>
      </c>
      <c r="B2243" t="s">
        <v>11</v>
      </c>
      <c r="C2243" s="1">
        <v>41831</v>
      </c>
      <c r="D2243" s="2">
        <f t="shared" ref="D2243:D2306" si="70">WEEKDAY(C2243,2)</f>
        <v>5</v>
      </c>
      <c r="E2243" s="2">
        <f t="shared" ref="E2243:E2306" si="71">MONTH(C2243)</f>
        <v>7</v>
      </c>
      <c r="F2243">
        <v>109.38630000000001</v>
      </c>
      <c r="G2243">
        <v>110.9949</v>
      </c>
      <c r="H2243">
        <v>108.9841</v>
      </c>
      <c r="I2243">
        <v>109.7885</v>
      </c>
      <c r="J2243">
        <v>43513</v>
      </c>
      <c r="K2243">
        <v>1.476</v>
      </c>
      <c r="L2243">
        <v>1.845</v>
      </c>
    </row>
    <row r="2244" spans="1:12" x14ac:dyDescent="0.25">
      <c r="A2244">
        <v>2303</v>
      </c>
      <c r="B2244" t="s">
        <v>10</v>
      </c>
      <c r="C2244" s="1">
        <v>41834</v>
      </c>
      <c r="D2244" s="2">
        <f t="shared" si="70"/>
        <v>1</v>
      </c>
      <c r="E2244" s="2">
        <f t="shared" si="71"/>
        <v>7</v>
      </c>
      <c r="F2244">
        <v>12.6076</v>
      </c>
      <c r="G2244">
        <v>13.2583</v>
      </c>
      <c r="H2244">
        <v>12.5669</v>
      </c>
      <c r="I2244">
        <v>12.892300000000001</v>
      </c>
      <c r="J2244">
        <v>99067</v>
      </c>
      <c r="K2244">
        <v>3.5316999999999998</v>
      </c>
      <c r="L2244">
        <v>5.5015999999999998</v>
      </c>
    </row>
    <row r="2245" spans="1:12" hidden="1" x14ac:dyDescent="0.25">
      <c r="A2245">
        <v>2330</v>
      </c>
      <c r="B2245" t="s">
        <v>11</v>
      </c>
      <c r="C2245" s="1">
        <v>41834</v>
      </c>
      <c r="D2245" s="2">
        <f t="shared" si="70"/>
        <v>1</v>
      </c>
      <c r="E2245" s="2">
        <f t="shared" si="71"/>
        <v>7</v>
      </c>
      <c r="F2245">
        <v>110.6108</v>
      </c>
      <c r="G2245">
        <v>110.6108</v>
      </c>
      <c r="H2245">
        <v>108.96599999999999</v>
      </c>
      <c r="I2245">
        <v>108.96599999999999</v>
      </c>
      <c r="J2245">
        <v>46818</v>
      </c>
      <c r="K2245">
        <v>-0.73540000000000005</v>
      </c>
      <c r="L2245">
        <v>1.5094000000000001</v>
      </c>
    </row>
    <row r="2246" spans="1:12" x14ac:dyDescent="0.25">
      <c r="A2246">
        <v>2303</v>
      </c>
      <c r="B2246" t="s">
        <v>10</v>
      </c>
      <c r="C2246" s="1">
        <v>41835</v>
      </c>
      <c r="D2246" s="2">
        <f t="shared" si="70"/>
        <v>2</v>
      </c>
      <c r="E2246" s="2">
        <f t="shared" si="71"/>
        <v>7</v>
      </c>
      <c r="F2246">
        <v>12.9329</v>
      </c>
      <c r="G2246">
        <v>13.0143</v>
      </c>
      <c r="H2246">
        <v>12.7296</v>
      </c>
      <c r="I2246">
        <v>12.770300000000001</v>
      </c>
      <c r="J2246">
        <v>48673</v>
      </c>
      <c r="K2246">
        <v>-0.95089999999999997</v>
      </c>
      <c r="L2246">
        <v>2.2364000000000002</v>
      </c>
    </row>
    <row r="2247" spans="1:12" hidden="1" x14ac:dyDescent="0.25">
      <c r="A2247">
        <v>2330</v>
      </c>
      <c r="B2247" t="s">
        <v>11</v>
      </c>
      <c r="C2247" s="1">
        <v>41835</v>
      </c>
      <c r="D2247" s="2">
        <f t="shared" si="70"/>
        <v>2</v>
      </c>
      <c r="E2247" s="2">
        <f t="shared" si="71"/>
        <v>7</v>
      </c>
      <c r="F2247">
        <v>109.3772</v>
      </c>
      <c r="G2247">
        <v>110.1996</v>
      </c>
      <c r="H2247">
        <v>108.96599999999999</v>
      </c>
      <c r="I2247">
        <v>109.3772</v>
      </c>
      <c r="J2247">
        <v>37976</v>
      </c>
      <c r="K2247">
        <v>0.37659999999999999</v>
      </c>
      <c r="L2247">
        <v>1.1321000000000001</v>
      </c>
    </row>
    <row r="2248" spans="1:12" x14ac:dyDescent="0.25">
      <c r="A2248">
        <v>2303</v>
      </c>
      <c r="B2248" t="s">
        <v>10</v>
      </c>
      <c r="C2248" s="1">
        <v>41836</v>
      </c>
      <c r="D2248" s="2">
        <f t="shared" si="70"/>
        <v>3</v>
      </c>
      <c r="E2248" s="2">
        <f t="shared" si="71"/>
        <v>7</v>
      </c>
      <c r="F2248">
        <v>12.7296</v>
      </c>
      <c r="G2248">
        <v>12.770300000000001</v>
      </c>
      <c r="H2248">
        <v>12.526300000000001</v>
      </c>
      <c r="I2248">
        <v>12.5669</v>
      </c>
      <c r="J2248">
        <v>41895</v>
      </c>
      <c r="K2248">
        <v>-1.6052</v>
      </c>
      <c r="L2248">
        <v>1.9480999999999999</v>
      </c>
    </row>
    <row r="2249" spans="1:12" hidden="1" x14ac:dyDescent="0.25">
      <c r="A2249">
        <v>2330</v>
      </c>
      <c r="B2249" t="s">
        <v>11</v>
      </c>
      <c r="C2249" s="1">
        <v>41836</v>
      </c>
      <c r="D2249" s="2">
        <f t="shared" si="70"/>
        <v>3</v>
      </c>
      <c r="E2249" s="2">
        <f t="shared" si="71"/>
        <v>7</v>
      </c>
      <c r="F2249">
        <v>109.3772</v>
      </c>
      <c r="G2249">
        <v>109.7884</v>
      </c>
      <c r="H2249">
        <v>106.91</v>
      </c>
      <c r="I2249">
        <v>107.3212</v>
      </c>
      <c r="J2249">
        <v>42072</v>
      </c>
      <c r="K2249">
        <v>-1.8976</v>
      </c>
      <c r="L2249">
        <v>2.6922999999999999</v>
      </c>
    </row>
    <row r="2250" spans="1:12" x14ac:dyDescent="0.25">
      <c r="A2250">
        <v>2303</v>
      </c>
      <c r="B2250" t="s">
        <v>10</v>
      </c>
      <c r="C2250" s="1">
        <v>41837</v>
      </c>
      <c r="D2250" s="2">
        <f t="shared" si="70"/>
        <v>4</v>
      </c>
      <c r="E2250" s="2">
        <f t="shared" si="71"/>
        <v>7</v>
      </c>
      <c r="F2250">
        <v>12.444900000000001</v>
      </c>
      <c r="G2250">
        <v>12.444900000000001</v>
      </c>
      <c r="H2250">
        <v>12.2416</v>
      </c>
      <c r="I2250">
        <v>12.2822</v>
      </c>
      <c r="J2250">
        <v>88537</v>
      </c>
      <c r="K2250">
        <v>-2.2913999999999999</v>
      </c>
      <c r="L2250">
        <v>1.6611</v>
      </c>
    </row>
    <row r="2251" spans="1:12" hidden="1" x14ac:dyDescent="0.25">
      <c r="A2251">
        <v>2330</v>
      </c>
      <c r="B2251" t="s">
        <v>11</v>
      </c>
      <c r="C2251" s="1">
        <v>41837</v>
      </c>
      <c r="D2251" s="2">
        <f t="shared" si="70"/>
        <v>4</v>
      </c>
      <c r="E2251" s="2">
        <f t="shared" si="71"/>
        <v>7</v>
      </c>
      <c r="F2251">
        <v>102.79810000000001</v>
      </c>
      <c r="G2251">
        <v>103.2093</v>
      </c>
      <c r="H2251">
        <v>101.1534</v>
      </c>
      <c r="I2251">
        <v>102.3869</v>
      </c>
      <c r="J2251">
        <v>138665</v>
      </c>
      <c r="K2251">
        <v>-4.7068000000000003</v>
      </c>
      <c r="L2251">
        <v>2.0325000000000002</v>
      </c>
    </row>
    <row r="2252" spans="1:12" x14ac:dyDescent="0.25">
      <c r="A2252">
        <v>2303</v>
      </c>
      <c r="B2252" t="s">
        <v>10</v>
      </c>
      <c r="C2252" s="1">
        <v>41838</v>
      </c>
      <c r="D2252" s="2">
        <f t="shared" si="70"/>
        <v>5</v>
      </c>
      <c r="E2252" s="2">
        <f t="shared" si="71"/>
        <v>7</v>
      </c>
      <c r="F2252">
        <v>12.1196</v>
      </c>
      <c r="G2252">
        <v>12.404199999999999</v>
      </c>
      <c r="H2252">
        <v>12.0382</v>
      </c>
      <c r="I2252">
        <v>12.404199999999999</v>
      </c>
      <c r="J2252">
        <v>55755</v>
      </c>
      <c r="K2252">
        <v>0.98850000000000005</v>
      </c>
      <c r="L2252">
        <v>3.0405000000000002</v>
      </c>
    </row>
    <row r="2253" spans="1:12" hidden="1" x14ac:dyDescent="0.25">
      <c r="A2253">
        <v>2330</v>
      </c>
      <c r="B2253" t="s">
        <v>11</v>
      </c>
      <c r="C2253" s="1">
        <v>41838</v>
      </c>
      <c r="D2253" s="2">
        <f t="shared" si="70"/>
        <v>5</v>
      </c>
      <c r="E2253" s="2">
        <f t="shared" si="71"/>
        <v>7</v>
      </c>
      <c r="F2253">
        <v>99.919799999999995</v>
      </c>
      <c r="G2253">
        <v>101.9757</v>
      </c>
      <c r="H2253">
        <v>99.919799999999995</v>
      </c>
      <c r="I2253">
        <v>101.5645</v>
      </c>
      <c r="J2253">
        <v>97366</v>
      </c>
      <c r="K2253">
        <v>-0.80649999999999999</v>
      </c>
      <c r="L2253">
        <v>2.0575999999999999</v>
      </c>
    </row>
    <row r="2254" spans="1:12" x14ac:dyDescent="0.25">
      <c r="A2254">
        <v>2303</v>
      </c>
      <c r="B2254" t="s">
        <v>10</v>
      </c>
      <c r="C2254" s="1">
        <v>41841</v>
      </c>
      <c r="D2254" s="2">
        <f t="shared" si="70"/>
        <v>1</v>
      </c>
      <c r="E2254" s="2">
        <f t="shared" si="71"/>
        <v>7</v>
      </c>
      <c r="F2254">
        <v>12.770300000000001</v>
      </c>
      <c r="G2254">
        <v>13.0143</v>
      </c>
      <c r="H2254">
        <v>12.648300000000001</v>
      </c>
      <c r="I2254">
        <v>12.648300000000001</v>
      </c>
      <c r="J2254">
        <v>117265</v>
      </c>
      <c r="K2254">
        <v>1.9480999999999999</v>
      </c>
      <c r="L2254">
        <v>2.8938999999999999</v>
      </c>
    </row>
    <row r="2255" spans="1:12" hidden="1" x14ac:dyDescent="0.25">
      <c r="A2255">
        <v>2330</v>
      </c>
      <c r="B2255" t="s">
        <v>11</v>
      </c>
      <c r="C2255" s="1">
        <v>41841</v>
      </c>
      <c r="D2255" s="2">
        <f t="shared" si="70"/>
        <v>1</v>
      </c>
      <c r="E2255" s="2">
        <f t="shared" si="71"/>
        <v>7</v>
      </c>
      <c r="F2255">
        <v>101.9757</v>
      </c>
      <c r="G2255">
        <v>102.3869</v>
      </c>
      <c r="H2255">
        <v>100.7422</v>
      </c>
      <c r="I2255">
        <v>101.5645</v>
      </c>
      <c r="J2255">
        <v>58994</v>
      </c>
      <c r="K2255">
        <v>0</v>
      </c>
      <c r="L2255">
        <v>1.6327</v>
      </c>
    </row>
    <row r="2256" spans="1:12" x14ac:dyDescent="0.25">
      <c r="A2256">
        <v>2303</v>
      </c>
      <c r="B2256" t="s">
        <v>10</v>
      </c>
      <c r="C2256" s="1">
        <v>41842</v>
      </c>
      <c r="D2256" s="2">
        <f t="shared" si="70"/>
        <v>2</v>
      </c>
      <c r="E2256" s="2">
        <f t="shared" si="71"/>
        <v>7</v>
      </c>
      <c r="F2256">
        <v>12.6889</v>
      </c>
      <c r="G2256">
        <v>12.851599999999999</v>
      </c>
      <c r="H2256">
        <v>12.6076</v>
      </c>
      <c r="I2256">
        <v>12.770300000000001</v>
      </c>
      <c r="J2256">
        <v>57911</v>
      </c>
      <c r="K2256">
        <v>0.96</v>
      </c>
      <c r="L2256">
        <v>1.9355</v>
      </c>
    </row>
    <row r="2257" spans="1:12" hidden="1" x14ac:dyDescent="0.25">
      <c r="A2257">
        <v>2330</v>
      </c>
      <c r="B2257" t="s">
        <v>11</v>
      </c>
      <c r="C2257" s="1">
        <v>41842</v>
      </c>
      <c r="D2257" s="2">
        <f t="shared" si="70"/>
        <v>2</v>
      </c>
      <c r="E2257" s="2">
        <f t="shared" si="71"/>
        <v>7</v>
      </c>
      <c r="F2257">
        <v>101.5645</v>
      </c>
      <c r="G2257">
        <v>102.79810000000001</v>
      </c>
      <c r="H2257">
        <v>100.7422</v>
      </c>
      <c r="I2257">
        <v>102.3869</v>
      </c>
      <c r="J2257">
        <v>53307</v>
      </c>
      <c r="K2257">
        <v>0.80649999999999999</v>
      </c>
      <c r="L2257">
        <v>2.0407999999999999</v>
      </c>
    </row>
    <row r="2258" spans="1:12" x14ac:dyDescent="0.25">
      <c r="A2258">
        <v>2303</v>
      </c>
      <c r="B2258" t="s">
        <v>10</v>
      </c>
      <c r="C2258" s="1">
        <v>41844</v>
      </c>
      <c r="D2258" s="2">
        <f t="shared" si="70"/>
        <v>4</v>
      </c>
      <c r="E2258" s="2">
        <f t="shared" si="71"/>
        <v>7</v>
      </c>
      <c r="F2258">
        <v>12.7296</v>
      </c>
      <c r="G2258">
        <v>12.8109</v>
      </c>
      <c r="H2258">
        <v>12.648300000000001</v>
      </c>
      <c r="I2258">
        <v>12.7296</v>
      </c>
      <c r="J2258">
        <v>42941</v>
      </c>
      <c r="K2258">
        <v>-0.31900000000000001</v>
      </c>
      <c r="L2258">
        <v>1.2862</v>
      </c>
    </row>
    <row r="2259" spans="1:12" hidden="1" x14ac:dyDescent="0.25">
      <c r="A2259">
        <v>2330</v>
      </c>
      <c r="B2259" t="s">
        <v>11</v>
      </c>
      <c r="C2259" s="1">
        <v>41844</v>
      </c>
      <c r="D2259" s="2">
        <f t="shared" si="70"/>
        <v>4</v>
      </c>
      <c r="E2259" s="2">
        <f t="shared" si="71"/>
        <v>7</v>
      </c>
      <c r="F2259">
        <v>102.3869</v>
      </c>
      <c r="G2259">
        <v>102.79810000000001</v>
      </c>
      <c r="H2259">
        <v>101.9757</v>
      </c>
      <c r="I2259">
        <v>102.79810000000001</v>
      </c>
      <c r="J2259">
        <v>66041</v>
      </c>
      <c r="K2259">
        <v>0.40079999999999999</v>
      </c>
      <c r="L2259">
        <v>0.80649999999999999</v>
      </c>
    </row>
    <row r="2260" spans="1:12" x14ac:dyDescent="0.25">
      <c r="A2260">
        <v>2303</v>
      </c>
      <c r="B2260" t="s">
        <v>10</v>
      </c>
      <c r="C2260" s="1">
        <v>41845</v>
      </c>
      <c r="D2260" s="2">
        <f t="shared" si="70"/>
        <v>5</v>
      </c>
      <c r="E2260" s="2">
        <f t="shared" si="71"/>
        <v>7</v>
      </c>
      <c r="F2260">
        <v>12.6889</v>
      </c>
      <c r="G2260">
        <v>12.6889</v>
      </c>
      <c r="H2260">
        <v>12.3636</v>
      </c>
      <c r="I2260">
        <v>12.404199999999999</v>
      </c>
      <c r="J2260">
        <v>53287</v>
      </c>
      <c r="K2260">
        <v>-2.5891000000000002</v>
      </c>
      <c r="L2260">
        <v>2.6316000000000002</v>
      </c>
    </row>
    <row r="2261" spans="1:12" hidden="1" x14ac:dyDescent="0.25">
      <c r="A2261">
        <v>2330</v>
      </c>
      <c r="B2261" t="s">
        <v>11</v>
      </c>
      <c r="C2261" s="1">
        <v>41845</v>
      </c>
      <c r="D2261" s="2">
        <f t="shared" si="70"/>
        <v>5</v>
      </c>
      <c r="E2261" s="2">
        <f t="shared" si="71"/>
        <v>7</v>
      </c>
      <c r="F2261">
        <v>102.3869</v>
      </c>
      <c r="G2261">
        <v>102.79810000000001</v>
      </c>
      <c r="H2261">
        <v>100.7422</v>
      </c>
      <c r="I2261">
        <v>101.1534</v>
      </c>
      <c r="J2261">
        <v>31609</v>
      </c>
      <c r="K2261">
        <v>-1.6129</v>
      </c>
      <c r="L2261">
        <v>2.0407999999999999</v>
      </c>
    </row>
    <row r="2262" spans="1:12" x14ac:dyDescent="0.25">
      <c r="A2262">
        <v>2303</v>
      </c>
      <c r="B2262" t="s">
        <v>10</v>
      </c>
      <c r="C2262" s="1">
        <v>41848</v>
      </c>
      <c r="D2262" s="2">
        <f t="shared" si="70"/>
        <v>1</v>
      </c>
      <c r="E2262" s="2">
        <f t="shared" si="71"/>
        <v>7</v>
      </c>
      <c r="F2262">
        <v>12.2822</v>
      </c>
      <c r="G2262">
        <v>12.322900000000001</v>
      </c>
      <c r="H2262">
        <v>12.078900000000001</v>
      </c>
      <c r="I2262">
        <v>12.078900000000001</v>
      </c>
      <c r="J2262">
        <v>78038</v>
      </c>
      <c r="K2262">
        <v>-2.6579999999999999</v>
      </c>
      <c r="L2262">
        <v>2.0202</v>
      </c>
    </row>
    <row r="2263" spans="1:12" hidden="1" x14ac:dyDescent="0.25">
      <c r="A2263">
        <v>2330</v>
      </c>
      <c r="B2263" t="s">
        <v>11</v>
      </c>
      <c r="C2263" s="1">
        <v>41848</v>
      </c>
      <c r="D2263" s="2">
        <f t="shared" si="70"/>
        <v>1</v>
      </c>
      <c r="E2263" s="2">
        <f t="shared" si="71"/>
        <v>7</v>
      </c>
      <c r="F2263">
        <v>100.331</v>
      </c>
      <c r="G2263">
        <v>100.7422</v>
      </c>
      <c r="H2263">
        <v>99.508600000000001</v>
      </c>
      <c r="I2263">
        <v>99.919799999999995</v>
      </c>
      <c r="J2263">
        <v>43514</v>
      </c>
      <c r="K2263">
        <v>-1.2270000000000001</v>
      </c>
      <c r="L2263">
        <v>1.2397</v>
      </c>
    </row>
    <row r="2264" spans="1:12" x14ac:dyDescent="0.25">
      <c r="A2264">
        <v>2303</v>
      </c>
      <c r="B2264" t="s">
        <v>10</v>
      </c>
      <c r="C2264" s="1">
        <v>41849</v>
      </c>
      <c r="D2264" s="2">
        <f t="shared" si="70"/>
        <v>2</v>
      </c>
      <c r="E2264" s="2">
        <f t="shared" si="71"/>
        <v>7</v>
      </c>
      <c r="F2264">
        <v>12.078900000000001</v>
      </c>
      <c r="G2264">
        <v>12.200900000000001</v>
      </c>
      <c r="H2264">
        <v>11.875500000000001</v>
      </c>
      <c r="I2264">
        <v>11.9162</v>
      </c>
      <c r="J2264">
        <v>67935</v>
      </c>
      <c r="K2264">
        <v>-1.3560000000000001</v>
      </c>
      <c r="L2264">
        <v>2.7397</v>
      </c>
    </row>
    <row r="2265" spans="1:12" hidden="1" x14ac:dyDescent="0.25">
      <c r="A2265">
        <v>2330</v>
      </c>
      <c r="B2265" t="s">
        <v>11</v>
      </c>
      <c r="C2265" s="1">
        <v>41849</v>
      </c>
      <c r="D2265" s="2">
        <f t="shared" si="70"/>
        <v>2</v>
      </c>
      <c r="E2265" s="2">
        <f t="shared" si="71"/>
        <v>7</v>
      </c>
      <c r="F2265">
        <v>100.7422</v>
      </c>
      <c r="G2265">
        <v>101.9757</v>
      </c>
      <c r="H2265">
        <v>100.331</v>
      </c>
      <c r="I2265">
        <v>101.9757</v>
      </c>
      <c r="J2265">
        <v>40749</v>
      </c>
      <c r="K2265">
        <v>2.0367000000000002</v>
      </c>
      <c r="L2265">
        <v>1.6393</v>
      </c>
    </row>
    <row r="2266" spans="1:12" x14ac:dyDescent="0.25">
      <c r="A2266">
        <v>2303</v>
      </c>
      <c r="B2266" t="s">
        <v>10</v>
      </c>
      <c r="C2266" s="1">
        <v>41850</v>
      </c>
      <c r="D2266" s="2">
        <f t="shared" si="70"/>
        <v>3</v>
      </c>
      <c r="E2266" s="2">
        <f t="shared" si="71"/>
        <v>7</v>
      </c>
      <c r="F2266">
        <v>11.956899999999999</v>
      </c>
      <c r="G2266">
        <v>12.1602</v>
      </c>
      <c r="H2266">
        <v>11.956899999999999</v>
      </c>
      <c r="I2266">
        <v>12.1196</v>
      </c>
      <c r="J2266">
        <v>53713</v>
      </c>
      <c r="K2266">
        <v>1.6920999999999999</v>
      </c>
      <c r="L2266">
        <v>1.7007000000000001</v>
      </c>
    </row>
    <row r="2267" spans="1:12" hidden="1" x14ac:dyDescent="0.25">
      <c r="A2267">
        <v>2330</v>
      </c>
      <c r="B2267" t="s">
        <v>11</v>
      </c>
      <c r="C2267" s="1">
        <v>41850</v>
      </c>
      <c r="D2267" s="2">
        <f t="shared" si="70"/>
        <v>3</v>
      </c>
      <c r="E2267" s="2">
        <f t="shared" si="71"/>
        <v>7</v>
      </c>
      <c r="F2267">
        <v>101.5645</v>
      </c>
      <c r="G2267">
        <v>102.79810000000001</v>
      </c>
      <c r="H2267">
        <v>101.1534</v>
      </c>
      <c r="I2267">
        <v>102.3869</v>
      </c>
      <c r="J2267">
        <v>32428</v>
      </c>
      <c r="K2267">
        <v>0.40239999999999998</v>
      </c>
      <c r="L2267">
        <v>1.6259999999999999</v>
      </c>
    </row>
    <row r="2268" spans="1:12" x14ac:dyDescent="0.25">
      <c r="A2268">
        <v>2303</v>
      </c>
      <c r="B2268" t="s">
        <v>10</v>
      </c>
      <c r="C2268" s="1">
        <v>41851</v>
      </c>
      <c r="D2268" s="2">
        <f t="shared" si="70"/>
        <v>4</v>
      </c>
      <c r="E2268" s="2">
        <f t="shared" si="71"/>
        <v>7</v>
      </c>
      <c r="F2268">
        <v>11.7942</v>
      </c>
      <c r="G2268">
        <v>11.7942</v>
      </c>
      <c r="H2268">
        <v>11.3062</v>
      </c>
      <c r="I2268">
        <v>11.4282</v>
      </c>
      <c r="J2268">
        <v>184181</v>
      </c>
      <c r="K2268">
        <v>-5.8738999999999999</v>
      </c>
      <c r="L2268">
        <v>4.3164999999999996</v>
      </c>
    </row>
    <row r="2269" spans="1:12" hidden="1" x14ac:dyDescent="0.25">
      <c r="A2269">
        <v>2330</v>
      </c>
      <c r="B2269" t="s">
        <v>11</v>
      </c>
      <c r="C2269" s="1">
        <v>41851</v>
      </c>
      <c r="D2269" s="2">
        <f t="shared" si="70"/>
        <v>4</v>
      </c>
      <c r="E2269" s="2">
        <f t="shared" si="71"/>
        <v>7</v>
      </c>
      <c r="F2269">
        <v>101.9757</v>
      </c>
      <c r="G2269">
        <v>101.9757</v>
      </c>
      <c r="H2269">
        <v>99.508600000000001</v>
      </c>
      <c r="I2269">
        <v>99.508600000000001</v>
      </c>
      <c r="J2269">
        <v>44806</v>
      </c>
      <c r="K2269">
        <v>-2.8515000000000001</v>
      </c>
      <c r="L2269">
        <v>2.4792999999999998</v>
      </c>
    </row>
    <row r="2270" spans="1:12" x14ac:dyDescent="0.25">
      <c r="A2270">
        <v>2303</v>
      </c>
      <c r="B2270" t="s">
        <v>10</v>
      </c>
      <c r="C2270" s="1">
        <v>41852</v>
      </c>
      <c r="D2270" s="2">
        <f t="shared" si="70"/>
        <v>5</v>
      </c>
      <c r="E2270" s="2">
        <f t="shared" si="71"/>
        <v>8</v>
      </c>
      <c r="F2270">
        <v>11.0215</v>
      </c>
      <c r="G2270">
        <v>11.1028</v>
      </c>
      <c r="H2270">
        <v>10.9808</v>
      </c>
      <c r="I2270">
        <v>11.0215</v>
      </c>
      <c r="J2270">
        <v>145074</v>
      </c>
      <c r="K2270">
        <v>-3.6236000000000002</v>
      </c>
      <c r="L2270">
        <v>1.1111</v>
      </c>
    </row>
    <row r="2271" spans="1:12" hidden="1" x14ac:dyDescent="0.25">
      <c r="A2271">
        <v>2330</v>
      </c>
      <c r="B2271" t="s">
        <v>11</v>
      </c>
      <c r="C2271" s="1">
        <v>41852</v>
      </c>
      <c r="D2271" s="2">
        <f t="shared" si="70"/>
        <v>5</v>
      </c>
      <c r="E2271" s="2">
        <f t="shared" si="71"/>
        <v>8</v>
      </c>
      <c r="F2271">
        <v>98.686199999999999</v>
      </c>
      <c r="G2271">
        <v>99.508600000000001</v>
      </c>
      <c r="H2271">
        <v>98.275000000000006</v>
      </c>
      <c r="I2271">
        <v>98.686199999999999</v>
      </c>
      <c r="J2271">
        <v>61873</v>
      </c>
      <c r="K2271">
        <v>-0.82989999999999997</v>
      </c>
      <c r="L2271">
        <v>1.2552000000000001</v>
      </c>
    </row>
    <row r="2272" spans="1:12" x14ac:dyDescent="0.25">
      <c r="A2272">
        <v>2303</v>
      </c>
      <c r="B2272" t="s">
        <v>10</v>
      </c>
      <c r="C2272" s="1">
        <v>41855</v>
      </c>
      <c r="D2272" s="2">
        <f t="shared" si="70"/>
        <v>1</v>
      </c>
      <c r="E2272" s="2">
        <f t="shared" si="71"/>
        <v>8</v>
      </c>
      <c r="F2272">
        <v>10.8995</v>
      </c>
      <c r="G2272">
        <v>11.062099999999999</v>
      </c>
      <c r="H2272">
        <v>10.8588</v>
      </c>
      <c r="I2272">
        <v>11.062099999999999</v>
      </c>
      <c r="J2272">
        <v>112176</v>
      </c>
      <c r="K2272">
        <v>0.36830000000000002</v>
      </c>
      <c r="L2272">
        <v>1.8727</v>
      </c>
    </row>
    <row r="2273" spans="1:12" hidden="1" x14ac:dyDescent="0.25">
      <c r="A2273">
        <v>2330</v>
      </c>
      <c r="B2273" t="s">
        <v>11</v>
      </c>
      <c r="C2273" s="1">
        <v>41855</v>
      </c>
      <c r="D2273" s="2">
        <f t="shared" si="70"/>
        <v>1</v>
      </c>
      <c r="E2273" s="2">
        <f t="shared" si="71"/>
        <v>8</v>
      </c>
      <c r="F2273">
        <v>98.686199999999999</v>
      </c>
      <c r="G2273">
        <v>101.5645</v>
      </c>
      <c r="H2273">
        <v>98.686199999999999</v>
      </c>
      <c r="I2273">
        <v>101.5645</v>
      </c>
      <c r="J2273">
        <v>39730</v>
      </c>
      <c r="K2273">
        <v>2.8748999999999998</v>
      </c>
      <c r="L2273">
        <v>2.9167000000000001</v>
      </c>
    </row>
    <row r="2274" spans="1:12" x14ac:dyDescent="0.25">
      <c r="A2274">
        <v>2303</v>
      </c>
      <c r="B2274" t="s">
        <v>10</v>
      </c>
      <c r="C2274" s="1">
        <v>41856</v>
      </c>
      <c r="D2274" s="2">
        <f t="shared" si="70"/>
        <v>2</v>
      </c>
      <c r="E2274" s="2">
        <f t="shared" si="71"/>
        <v>8</v>
      </c>
      <c r="F2274">
        <v>10.940099999999999</v>
      </c>
      <c r="G2274">
        <v>10.9808</v>
      </c>
      <c r="H2274">
        <v>10.736800000000001</v>
      </c>
      <c r="I2274">
        <v>10.736800000000001</v>
      </c>
      <c r="J2274">
        <v>109286</v>
      </c>
      <c r="K2274">
        <v>-2.9853000000000001</v>
      </c>
      <c r="L2274">
        <v>2.2726999999999999</v>
      </c>
    </row>
    <row r="2275" spans="1:12" hidden="1" x14ac:dyDescent="0.25">
      <c r="A2275">
        <v>2330</v>
      </c>
      <c r="B2275" t="s">
        <v>11</v>
      </c>
      <c r="C2275" s="1">
        <v>41856</v>
      </c>
      <c r="D2275" s="2">
        <f t="shared" si="70"/>
        <v>2</v>
      </c>
      <c r="E2275" s="2">
        <f t="shared" si="71"/>
        <v>8</v>
      </c>
      <c r="F2275">
        <v>100.7422</v>
      </c>
      <c r="G2275">
        <v>100.7422</v>
      </c>
      <c r="H2275">
        <v>98.275000000000006</v>
      </c>
      <c r="I2275">
        <v>98.275000000000006</v>
      </c>
      <c r="J2275">
        <v>61536</v>
      </c>
      <c r="K2275">
        <v>-3.2925</v>
      </c>
      <c r="L2275">
        <v>2.5105</v>
      </c>
    </row>
    <row r="2276" spans="1:12" x14ac:dyDescent="0.25">
      <c r="A2276">
        <v>2303</v>
      </c>
      <c r="B2276" t="s">
        <v>10</v>
      </c>
      <c r="C2276" s="1">
        <v>41857</v>
      </c>
      <c r="D2276" s="2">
        <f t="shared" si="70"/>
        <v>3</v>
      </c>
      <c r="E2276" s="2">
        <f t="shared" si="71"/>
        <v>8</v>
      </c>
      <c r="F2276">
        <v>10.736800000000001</v>
      </c>
      <c r="G2276">
        <v>10.940099999999999</v>
      </c>
      <c r="H2276">
        <v>10.696099999999999</v>
      </c>
      <c r="I2276">
        <v>10.8588</v>
      </c>
      <c r="J2276">
        <v>67487</v>
      </c>
      <c r="K2276">
        <v>1.1299999999999999</v>
      </c>
      <c r="L2276">
        <v>2.2814000000000001</v>
      </c>
    </row>
    <row r="2277" spans="1:12" hidden="1" x14ac:dyDescent="0.25">
      <c r="A2277">
        <v>2330</v>
      </c>
      <c r="B2277" t="s">
        <v>11</v>
      </c>
      <c r="C2277" s="1">
        <v>41857</v>
      </c>
      <c r="D2277" s="2">
        <f t="shared" si="70"/>
        <v>3</v>
      </c>
      <c r="E2277" s="2">
        <f t="shared" si="71"/>
        <v>8</v>
      </c>
      <c r="F2277">
        <v>97.863799999999998</v>
      </c>
      <c r="G2277">
        <v>99.919799999999995</v>
      </c>
      <c r="H2277">
        <v>97.863799999999998</v>
      </c>
      <c r="I2277">
        <v>99.097399999999993</v>
      </c>
      <c r="J2277">
        <v>38043</v>
      </c>
      <c r="K2277">
        <v>0.83330000000000004</v>
      </c>
      <c r="L2277">
        <v>2.1008</v>
      </c>
    </row>
    <row r="2278" spans="1:12" x14ac:dyDescent="0.25">
      <c r="A2278">
        <v>2303</v>
      </c>
      <c r="B2278" t="s">
        <v>10</v>
      </c>
      <c r="C2278" s="1">
        <v>41858</v>
      </c>
      <c r="D2278" s="2">
        <f t="shared" si="70"/>
        <v>4</v>
      </c>
      <c r="E2278" s="2">
        <f t="shared" si="71"/>
        <v>8</v>
      </c>
      <c r="F2278">
        <v>10.940099999999999</v>
      </c>
      <c r="G2278">
        <v>11.062099999999999</v>
      </c>
      <c r="H2278">
        <v>10.818099999999999</v>
      </c>
      <c r="I2278">
        <v>10.818099999999999</v>
      </c>
      <c r="J2278">
        <v>63973</v>
      </c>
      <c r="K2278">
        <v>-0.37519999999999998</v>
      </c>
      <c r="L2278">
        <v>2.2555999999999998</v>
      </c>
    </row>
    <row r="2279" spans="1:12" hidden="1" x14ac:dyDescent="0.25">
      <c r="A2279">
        <v>2330</v>
      </c>
      <c r="B2279" t="s">
        <v>11</v>
      </c>
      <c r="C2279" s="1">
        <v>41858</v>
      </c>
      <c r="D2279" s="2">
        <f t="shared" si="70"/>
        <v>4</v>
      </c>
      <c r="E2279" s="2">
        <f t="shared" si="71"/>
        <v>8</v>
      </c>
      <c r="F2279">
        <v>99.097399999999993</v>
      </c>
      <c r="G2279">
        <v>99.919799999999995</v>
      </c>
      <c r="H2279">
        <v>98.275000000000006</v>
      </c>
      <c r="I2279">
        <v>99.919799999999995</v>
      </c>
      <c r="J2279">
        <v>30079</v>
      </c>
      <c r="K2279">
        <v>0.82650000000000001</v>
      </c>
      <c r="L2279">
        <v>1.6736</v>
      </c>
    </row>
    <row r="2280" spans="1:12" x14ac:dyDescent="0.25">
      <c r="A2280">
        <v>2303</v>
      </c>
      <c r="B2280" t="s">
        <v>10</v>
      </c>
      <c r="C2280" s="1">
        <v>41859</v>
      </c>
      <c r="D2280" s="2">
        <f t="shared" si="70"/>
        <v>5</v>
      </c>
      <c r="E2280" s="2">
        <f t="shared" si="71"/>
        <v>8</v>
      </c>
      <c r="F2280">
        <v>10.736800000000001</v>
      </c>
      <c r="G2280">
        <v>10.818099999999999</v>
      </c>
      <c r="H2280">
        <v>10.5741</v>
      </c>
      <c r="I2280">
        <v>10.6554</v>
      </c>
      <c r="J2280">
        <v>88420</v>
      </c>
      <c r="K2280">
        <v>-1.5152000000000001</v>
      </c>
      <c r="L2280">
        <v>2.3077000000000001</v>
      </c>
    </row>
    <row r="2281" spans="1:12" hidden="1" x14ac:dyDescent="0.25">
      <c r="A2281">
        <v>2330</v>
      </c>
      <c r="B2281" t="s">
        <v>11</v>
      </c>
      <c r="C2281" s="1">
        <v>41859</v>
      </c>
      <c r="D2281" s="2">
        <f t="shared" si="70"/>
        <v>5</v>
      </c>
      <c r="E2281" s="2">
        <f t="shared" si="71"/>
        <v>8</v>
      </c>
      <c r="F2281">
        <v>99.097399999999993</v>
      </c>
      <c r="G2281">
        <v>99.508600000000001</v>
      </c>
      <c r="H2281">
        <v>98.275000000000006</v>
      </c>
      <c r="I2281">
        <v>99.097399999999993</v>
      </c>
      <c r="J2281">
        <v>35170</v>
      </c>
      <c r="K2281">
        <v>-0.82650000000000001</v>
      </c>
      <c r="L2281">
        <v>1.2552000000000001</v>
      </c>
    </row>
    <row r="2282" spans="1:12" x14ac:dyDescent="0.25">
      <c r="A2282">
        <v>2303</v>
      </c>
      <c r="B2282" t="s">
        <v>10</v>
      </c>
      <c r="C2282" s="1">
        <v>41862</v>
      </c>
      <c r="D2282" s="2">
        <f t="shared" si="70"/>
        <v>1</v>
      </c>
      <c r="E2282" s="2">
        <f t="shared" si="71"/>
        <v>8</v>
      </c>
      <c r="F2282">
        <v>10.5741</v>
      </c>
      <c r="G2282">
        <v>10.818099999999999</v>
      </c>
      <c r="H2282">
        <v>10.5741</v>
      </c>
      <c r="I2282">
        <v>10.7775</v>
      </c>
      <c r="J2282">
        <v>54649</v>
      </c>
      <c r="K2282">
        <v>1.1385000000000001</v>
      </c>
      <c r="L2282">
        <v>2.3077000000000001</v>
      </c>
    </row>
    <row r="2283" spans="1:12" hidden="1" x14ac:dyDescent="0.25">
      <c r="A2283">
        <v>2330</v>
      </c>
      <c r="B2283" t="s">
        <v>11</v>
      </c>
      <c r="C2283" s="1">
        <v>41862</v>
      </c>
      <c r="D2283" s="2">
        <f t="shared" si="70"/>
        <v>1</v>
      </c>
      <c r="E2283" s="2">
        <f t="shared" si="71"/>
        <v>8</v>
      </c>
      <c r="F2283">
        <v>98.686199999999999</v>
      </c>
      <c r="G2283">
        <v>99.508600000000001</v>
      </c>
      <c r="H2283">
        <v>98.275000000000006</v>
      </c>
      <c r="I2283">
        <v>99.097399999999993</v>
      </c>
      <c r="J2283">
        <v>42993</v>
      </c>
      <c r="K2283">
        <v>0</v>
      </c>
      <c r="L2283">
        <v>1.2552000000000001</v>
      </c>
    </row>
    <row r="2284" spans="1:12" x14ac:dyDescent="0.25">
      <c r="A2284">
        <v>2303</v>
      </c>
      <c r="B2284" t="s">
        <v>10</v>
      </c>
      <c r="C2284" s="1">
        <v>41863</v>
      </c>
      <c r="D2284" s="2">
        <f t="shared" si="70"/>
        <v>2</v>
      </c>
      <c r="E2284" s="2">
        <f t="shared" si="71"/>
        <v>8</v>
      </c>
      <c r="F2284">
        <v>10.7775</v>
      </c>
      <c r="G2284">
        <v>10.7775</v>
      </c>
      <c r="H2284">
        <v>10.614800000000001</v>
      </c>
      <c r="I2284">
        <v>10.614800000000001</v>
      </c>
      <c r="J2284">
        <v>39401</v>
      </c>
      <c r="K2284">
        <v>-1.5208999999999999</v>
      </c>
      <c r="L2284">
        <v>1.5326</v>
      </c>
    </row>
    <row r="2285" spans="1:12" hidden="1" x14ac:dyDescent="0.25">
      <c r="A2285">
        <v>2330</v>
      </c>
      <c r="B2285" t="s">
        <v>11</v>
      </c>
      <c r="C2285" s="1">
        <v>41863</v>
      </c>
      <c r="D2285" s="2">
        <f t="shared" si="70"/>
        <v>2</v>
      </c>
      <c r="E2285" s="2">
        <f t="shared" si="71"/>
        <v>8</v>
      </c>
      <c r="F2285">
        <v>99.508600000000001</v>
      </c>
      <c r="G2285">
        <v>100.331</v>
      </c>
      <c r="H2285">
        <v>99.097399999999993</v>
      </c>
      <c r="I2285">
        <v>99.919799999999995</v>
      </c>
      <c r="J2285">
        <v>32278</v>
      </c>
      <c r="K2285">
        <v>0.82650000000000001</v>
      </c>
      <c r="L2285">
        <v>1.2447999999999999</v>
      </c>
    </row>
    <row r="2286" spans="1:12" x14ac:dyDescent="0.25">
      <c r="A2286">
        <v>2303</v>
      </c>
      <c r="B2286" t="s">
        <v>10</v>
      </c>
      <c r="C2286" s="1">
        <v>41864</v>
      </c>
      <c r="D2286" s="2">
        <f t="shared" si="70"/>
        <v>3</v>
      </c>
      <c r="E2286" s="2">
        <f t="shared" si="71"/>
        <v>8</v>
      </c>
      <c r="F2286">
        <v>10.6554</v>
      </c>
      <c r="G2286">
        <v>10.736800000000001</v>
      </c>
      <c r="H2286">
        <v>10.614800000000001</v>
      </c>
      <c r="I2286">
        <v>10.696099999999999</v>
      </c>
      <c r="J2286">
        <v>25800</v>
      </c>
      <c r="K2286">
        <v>0.76339999999999997</v>
      </c>
      <c r="L2286">
        <v>1.1494</v>
      </c>
    </row>
    <row r="2287" spans="1:12" hidden="1" x14ac:dyDescent="0.25">
      <c r="A2287">
        <v>2330</v>
      </c>
      <c r="B2287" t="s">
        <v>11</v>
      </c>
      <c r="C2287" s="1">
        <v>41864</v>
      </c>
      <c r="D2287" s="2">
        <f t="shared" si="70"/>
        <v>3</v>
      </c>
      <c r="E2287" s="2">
        <f t="shared" si="71"/>
        <v>8</v>
      </c>
      <c r="F2287">
        <v>99.508600000000001</v>
      </c>
      <c r="G2287">
        <v>101.5645</v>
      </c>
      <c r="H2287">
        <v>99.097399999999993</v>
      </c>
      <c r="I2287">
        <v>100.7422</v>
      </c>
      <c r="J2287">
        <v>39837</v>
      </c>
      <c r="K2287">
        <v>0.81969999999999998</v>
      </c>
      <c r="L2287">
        <v>2.4895999999999998</v>
      </c>
    </row>
    <row r="2288" spans="1:12" x14ac:dyDescent="0.25">
      <c r="A2288">
        <v>2303</v>
      </c>
      <c r="B2288" t="s">
        <v>10</v>
      </c>
      <c r="C2288" s="1">
        <v>41865</v>
      </c>
      <c r="D2288" s="2">
        <f t="shared" si="70"/>
        <v>4</v>
      </c>
      <c r="E2288" s="2">
        <f t="shared" si="71"/>
        <v>8</v>
      </c>
      <c r="F2288">
        <v>10.736800000000001</v>
      </c>
      <c r="G2288">
        <v>10.9808</v>
      </c>
      <c r="H2288">
        <v>10.736800000000001</v>
      </c>
      <c r="I2288">
        <v>10.818099999999999</v>
      </c>
      <c r="J2288">
        <v>59872</v>
      </c>
      <c r="K2288">
        <v>1.1342000000000001</v>
      </c>
      <c r="L2288">
        <v>2.2726999999999999</v>
      </c>
    </row>
    <row r="2289" spans="1:12" hidden="1" x14ac:dyDescent="0.25">
      <c r="A2289">
        <v>2330</v>
      </c>
      <c r="B2289" t="s">
        <v>11</v>
      </c>
      <c r="C2289" s="1">
        <v>41865</v>
      </c>
      <c r="D2289" s="2">
        <f t="shared" si="70"/>
        <v>4</v>
      </c>
      <c r="E2289" s="2">
        <f t="shared" si="71"/>
        <v>8</v>
      </c>
      <c r="F2289">
        <v>101.5645</v>
      </c>
      <c r="G2289">
        <v>101.9757</v>
      </c>
      <c r="H2289">
        <v>101.1534</v>
      </c>
      <c r="I2289">
        <v>101.9757</v>
      </c>
      <c r="J2289">
        <v>32955</v>
      </c>
      <c r="K2289">
        <v>1.2171000000000001</v>
      </c>
      <c r="L2289">
        <v>0.81299999999999994</v>
      </c>
    </row>
    <row r="2290" spans="1:12" x14ac:dyDescent="0.25">
      <c r="A2290">
        <v>2303</v>
      </c>
      <c r="B2290" t="s">
        <v>10</v>
      </c>
      <c r="C2290" s="1">
        <v>41866</v>
      </c>
      <c r="D2290" s="2">
        <f t="shared" si="70"/>
        <v>5</v>
      </c>
      <c r="E2290" s="2">
        <f t="shared" si="71"/>
        <v>8</v>
      </c>
      <c r="F2290">
        <v>10.818099999999999</v>
      </c>
      <c r="G2290">
        <v>10.8588</v>
      </c>
      <c r="H2290">
        <v>10.736800000000001</v>
      </c>
      <c r="I2290">
        <v>10.736800000000001</v>
      </c>
      <c r="J2290">
        <v>23249</v>
      </c>
      <c r="K2290">
        <v>-0.75470000000000004</v>
      </c>
      <c r="L2290">
        <v>1.1364000000000001</v>
      </c>
    </row>
    <row r="2291" spans="1:12" hidden="1" x14ac:dyDescent="0.25">
      <c r="A2291">
        <v>2330</v>
      </c>
      <c r="B2291" t="s">
        <v>11</v>
      </c>
      <c r="C2291" s="1">
        <v>41866</v>
      </c>
      <c r="D2291" s="2">
        <f t="shared" si="70"/>
        <v>5</v>
      </c>
      <c r="E2291" s="2">
        <f t="shared" si="71"/>
        <v>8</v>
      </c>
      <c r="F2291">
        <v>102.3869</v>
      </c>
      <c r="G2291">
        <v>102.79810000000001</v>
      </c>
      <c r="H2291">
        <v>101.1534</v>
      </c>
      <c r="I2291">
        <v>101.9757</v>
      </c>
      <c r="J2291">
        <v>19189</v>
      </c>
      <c r="K2291">
        <v>0</v>
      </c>
      <c r="L2291">
        <v>1.6259999999999999</v>
      </c>
    </row>
    <row r="2292" spans="1:12" x14ac:dyDescent="0.25">
      <c r="A2292">
        <v>2303</v>
      </c>
      <c r="B2292" t="s">
        <v>10</v>
      </c>
      <c r="C2292" s="1">
        <v>41869</v>
      </c>
      <c r="D2292" s="2">
        <f t="shared" si="70"/>
        <v>1</v>
      </c>
      <c r="E2292" s="2">
        <f t="shared" si="71"/>
        <v>8</v>
      </c>
      <c r="F2292">
        <v>10.736800000000001</v>
      </c>
      <c r="G2292">
        <v>10.818099999999999</v>
      </c>
      <c r="H2292">
        <v>10.6554</v>
      </c>
      <c r="I2292">
        <v>10.6554</v>
      </c>
      <c r="J2292">
        <v>24188</v>
      </c>
      <c r="K2292">
        <v>-0.76049999999999995</v>
      </c>
      <c r="L2292">
        <v>1.5266999999999999</v>
      </c>
    </row>
    <row r="2293" spans="1:12" hidden="1" x14ac:dyDescent="0.25">
      <c r="A2293">
        <v>2330</v>
      </c>
      <c r="B2293" t="s">
        <v>11</v>
      </c>
      <c r="C2293" s="1">
        <v>41869</v>
      </c>
      <c r="D2293" s="2">
        <f t="shared" si="70"/>
        <v>1</v>
      </c>
      <c r="E2293" s="2">
        <f t="shared" si="71"/>
        <v>8</v>
      </c>
      <c r="F2293">
        <v>101.9757</v>
      </c>
      <c r="G2293">
        <v>101.9757</v>
      </c>
      <c r="H2293">
        <v>100.7422</v>
      </c>
      <c r="I2293">
        <v>101.1534</v>
      </c>
      <c r="J2293">
        <v>14766</v>
      </c>
      <c r="K2293">
        <v>-0.80969999999999998</v>
      </c>
      <c r="L2293">
        <v>1.2244999999999999</v>
      </c>
    </row>
    <row r="2294" spans="1:12" x14ac:dyDescent="0.25">
      <c r="A2294">
        <v>2303</v>
      </c>
      <c r="B2294" t="s">
        <v>10</v>
      </c>
      <c r="C2294" s="1">
        <v>41870</v>
      </c>
      <c r="D2294" s="2">
        <f t="shared" si="70"/>
        <v>2</v>
      </c>
      <c r="E2294" s="2">
        <f t="shared" si="71"/>
        <v>8</v>
      </c>
      <c r="F2294">
        <v>10.7775</v>
      </c>
      <c r="G2294">
        <v>10.818099999999999</v>
      </c>
      <c r="H2294">
        <v>10.6554</v>
      </c>
      <c r="I2294">
        <v>10.736800000000001</v>
      </c>
      <c r="J2294">
        <v>23182</v>
      </c>
      <c r="K2294">
        <v>0.76049999999999995</v>
      </c>
      <c r="L2294">
        <v>1.5266999999999999</v>
      </c>
    </row>
    <row r="2295" spans="1:12" hidden="1" x14ac:dyDescent="0.25">
      <c r="A2295">
        <v>2330</v>
      </c>
      <c r="B2295" t="s">
        <v>11</v>
      </c>
      <c r="C2295" s="1">
        <v>41870</v>
      </c>
      <c r="D2295" s="2">
        <f t="shared" si="70"/>
        <v>2</v>
      </c>
      <c r="E2295" s="2">
        <f t="shared" si="71"/>
        <v>8</v>
      </c>
      <c r="F2295">
        <v>101.9757</v>
      </c>
      <c r="G2295">
        <v>102.79810000000001</v>
      </c>
      <c r="H2295">
        <v>101.5645</v>
      </c>
      <c r="I2295">
        <v>101.9757</v>
      </c>
      <c r="J2295">
        <v>31922</v>
      </c>
      <c r="K2295">
        <v>0.80969999999999998</v>
      </c>
      <c r="L2295">
        <v>1.2145999999999999</v>
      </c>
    </row>
    <row r="2296" spans="1:12" x14ac:dyDescent="0.25">
      <c r="A2296">
        <v>2303</v>
      </c>
      <c r="B2296" t="s">
        <v>10</v>
      </c>
      <c r="C2296" s="1">
        <v>41871</v>
      </c>
      <c r="D2296" s="2">
        <f t="shared" si="70"/>
        <v>3</v>
      </c>
      <c r="E2296" s="2">
        <f t="shared" si="71"/>
        <v>8</v>
      </c>
      <c r="F2296">
        <v>10.818099999999999</v>
      </c>
      <c r="G2296">
        <v>10.8995</v>
      </c>
      <c r="H2296">
        <v>10.7775</v>
      </c>
      <c r="I2296">
        <v>10.7775</v>
      </c>
      <c r="J2296">
        <v>39321</v>
      </c>
      <c r="K2296">
        <v>0.37809999999999999</v>
      </c>
      <c r="L2296">
        <v>1.1321000000000001</v>
      </c>
    </row>
    <row r="2297" spans="1:12" hidden="1" x14ac:dyDescent="0.25">
      <c r="A2297">
        <v>2330</v>
      </c>
      <c r="B2297" t="s">
        <v>11</v>
      </c>
      <c r="C2297" s="1">
        <v>41871</v>
      </c>
      <c r="D2297" s="2">
        <f t="shared" si="70"/>
        <v>3</v>
      </c>
      <c r="E2297" s="2">
        <f t="shared" si="71"/>
        <v>8</v>
      </c>
      <c r="F2297">
        <v>102.79810000000001</v>
      </c>
      <c r="G2297">
        <v>103.2093</v>
      </c>
      <c r="H2297">
        <v>102.3869</v>
      </c>
      <c r="I2297">
        <v>103.2093</v>
      </c>
      <c r="J2297">
        <v>28975</v>
      </c>
      <c r="K2297">
        <v>1.2023999999999999</v>
      </c>
      <c r="L2297">
        <v>0.80320000000000003</v>
      </c>
    </row>
    <row r="2298" spans="1:12" x14ac:dyDescent="0.25">
      <c r="A2298">
        <v>2303</v>
      </c>
      <c r="B2298" t="s">
        <v>10</v>
      </c>
      <c r="C2298" s="1">
        <v>41872</v>
      </c>
      <c r="D2298" s="2">
        <f t="shared" si="70"/>
        <v>4</v>
      </c>
      <c r="E2298" s="2">
        <f t="shared" si="71"/>
        <v>8</v>
      </c>
      <c r="F2298">
        <v>10.818099999999999</v>
      </c>
      <c r="G2298">
        <v>10.8588</v>
      </c>
      <c r="H2298">
        <v>10.736800000000001</v>
      </c>
      <c r="I2298">
        <v>10.736800000000001</v>
      </c>
      <c r="J2298">
        <v>22989</v>
      </c>
      <c r="K2298">
        <v>-0.37809999999999999</v>
      </c>
      <c r="L2298">
        <v>1.1364000000000001</v>
      </c>
    </row>
    <row r="2299" spans="1:12" hidden="1" x14ac:dyDescent="0.25">
      <c r="A2299">
        <v>2330</v>
      </c>
      <c r="B2299" t="s">
        <v>11</v>
      </c>
      <c r="C2299" s="1">
        <v>41872</v>
      </c>
      <c r="D2299" s="2">
        <f t="shared" si="70"/>
        <v>4</v>
      </c>
      <c r="E2299" s="2">
        <f t="shared" si="71"/>
        <v>8</v>
      </c>
      <c r="F2299">
        <v>103.62050000000001</v>
      </c>
      <c r="G2299">
        <v>103.62050000000001</v>
      </c>
      <c r="H2299">
        <v>101.9757</v>
      </c>
      <c r="I2299">
        <v>102.3869</v>
      </c>
      <c r="J2299">
        <v>23089</v>
      </c>
      <c r="K2299">
        <v>-0.8</v>
      </c>
      <c r="L2299">
        <v>1.6129</v>
      </c>
    </row>
    <row r="2300" spans="1:12" x14ac:dyDescent="0.25">
      <c r="A2300">
        <v>2303</v>
      </c>
      <c r="B2300" t="s">
        <v>10</v>
      </c>
      <c r="C2300" s="1">
        <v>41873</v>
      </c>
      <c r="D2300" s="2">
        <f t="shared" si="70"/>
        <v>5</v>
      </c>
      <c r="E2300" s="2">
        <f t="shared" si="71"/>
        <v>8</v>
      </c>
      <c r="F2300">
        <v>10.736800000000001</v>
      </c>
      <c r="G2300">
        <v>11.1435</v>
      </c>
      <c r="H2300">
        <v>10.736800000000001</v>
      </c>
      <c r="I2300">
        <v>10.9808</v>
      </c>
      <c r="J2300">
        <v>91030</v>
      </c>
      <c r="K2300">
        <v>2.2473000000000001</v>
      </c>
      <c r="L2300">
        <v>3.7879</v>
      </c>
    </row>
    <row r="2301" spans="1:12" hidden="1" x14ac:dyDescent="0.25">
      <c r="A2301">
        <v>2330</v>
      </c>
      <c r="B2301" t="s">
        <v>11</v>
      </c>
      <c r="C2301" s="1">
        <v>41873</v>
      </c>
      <c r="D2301" s="2">
        <f t="shared" si="70"/>
        <v>5</v>
      </c>
      <c r="E2301" s="2">
        <f t="shared" si="71"/>
        <v>8</v>
      </c>
      <c r="F2301">
        <v>102.3869</v>
      </c>
      <c r="G2301">
        <v>103.62050000000001</v>
      </c>
      <c r="H2301">
        <v>101.5645</v>
      </c>
      <c r="I2301">
        <v>103.2093</v>
      </c>
      <c r="J2301">
        <v>42775</v>
      </c>
      <c r="K2301">
        <v>0.8</v>
      </c>
      <c r="L2301">
        <v>2.0243000000000002</v>
      </c>
    </row>
    <row r="2302" spans="1:12" x14ac:dyDescent="0.25">
      <c r="A2302">
        <v>2303</v>
      </c>
      <c r="B2302" t="s">
        <v>10</v>
      </c>
      <c r="C2302" s="1">
        <v>41876</v>
      </c>
      <c r="D2302" s="2">
        <f t="shared" si="70"/>
        <v>1</v>
      </c>
      <c r="E2302" s="2">
        <f t="shared" si="71"/>
        <v>8</v>
      </c>
      <c r="F2302">
        <v>10.9808</v>
      </c>
      <c r="G2302">
        <v>10.9808</v>
      </c>
      <c r="H2302">
        <v>10.8995</v>
      </c>
      <c r="I2302">
        <v>10.940099999999999</v>
      </c>
      <c r="J2302">
        <v>25947</v>
      </c>
      <c r="K2302">
        <v>-0.37109999999999999</v>
      </c>
      <c r="L2302">
        <v>0.74629999999999996</v>
      </c>
    </row>
    <row r="2303" spans="1:12" hidden="1" x14ac:dyDescent="0.25">
      <c r="A2303">
        <v>2330</v>
      </c>
      <c r="B2303" t="s">
        <v>11</v>
      </c>
      <c r="C2303" s="1">
        <v>41876</v>
      </c>
      <c r="D2303" s="2">
        <f t="shared" si="70"/>
        <v>1</v>
      </c>
      <c r="E2303" s="2">
        <f t="shared" si="71"/>
        <v>8</v>
      </c>
      <c r="F2303">
        <v>103.2093</v>
      </c>
      <c r="G2303">
        <v>103.62050000000001</v>
      </c>
      <c r="H2303">
        <v>102.79810000000001</v>
      </c>
      <c r="I2303">
        <v>102.79810000000001</v>
      </c>
      <c r="J2303">
        <v>21107</v>
      </c>
      <c r="K2303">
        <v>-0.3992</v>
      </c>
      <c r="L2303">
        <v>0.8</v>
      </c>
    </row>
    <row r="2304" spans="1:12" x14ac:dyDescent="0.25">
      <c r="A2304">
        <v>2303</v>
      </c>
      <c r="B2304" t="s">
        <v>10</v>
      </c>
      <c r="C2304" s="1">
        <v>41877</v>
      </c>
      <c r="D2304" s="2">
        <f t="shared" si="70"/>
        <v>2</v>
      </c>
      <c r="E2304" s="2">
        <f t="shared" si="71"/>
        <v>8</v>
      </c>
      <c r="F2304">
        <v>10.940099999999999</v>
      </c>
      <c r="G2304">
        <v>11.1028</v>
      </c>
      <c r="H2304">
        <v>10.8995</v>
      </c>
      <c r="I2304">
        <v>11.0215</v>
      </c>
      <c r="J2304">
        <v>50653</v>
      </c>
      <c r="K2304">
        <v>0.74070000000000003</v>
      </c>
      <c r="L2304">
        <v>1.8656999999999999</v>
      </c>
    </row>
    <row r="2305" spans="1:12" hidden="1" x14ac:dyDescent="0.25">
      <c r="A2305">
        <v>2330</v>
      </c>
      <c r="B2305" t="s">
        <v>11</v>
      </c>
      <c r="C2305" s="1">
        <v>41877</v>
      </c>
      <c r="D2305" s="2">
        <f t="shared" si="70"/>
        <v>2</v>
      </c>
      <c r="E2305" s="2">
        <f t="shared" si="71"/>
        <v>8</v>
      </c>
      <c r="F2305">
        <v>102.79810000000001</v>
      </c>
      <c r="G2305">
        <v>103.2093</v>
      </c>
      <c r="H2305">
        <v>101.9757</v>
      </c>
      <c r="I2305">
        <v>102.3869</v>
      </c>
      <c r="J2305">
        <v>30428</v>
      </c>
      <c r="K2305">
        <v>-0.40079999999999999</v>
      </c>
      <c r="L2305">
        <v>1.2097</v>
      </c>
    </row>
    <row r="2306" spans="1:12" x14ac:dyDescent="0.25">
      <c r="A2306">
        <v>2303</v>
      </c>
      <c r="B2306" t="s">
        <v>10</v>
      </c>
      <c r="C2306" s="1">
        <v>41878</v>
      </c>
      <c r="D2306" s="2">
        <f t="shared" si="70"/>
        <v>3</v>
      </c>
      <c r="E2306" s="2">
        <f t="shared" si="71"/>
        <v>8</v>
      </c>
      <c r="F2306">
        <v>11.062099999999999</v>
      </c>
      <c r="G2306">
        <v>11.2248</v>
      </c>
      <c r="H2306">
        <v>11.062099999999999</v>
      </c>
      <c r="I2306">
        <v>11.062099999999999</v>
      </c>
      <c r="J2306">
        <v>67851</v>
      </c>
      <c r="K2306">
        <v>0.36830000000000002</v>
      </c>
      <c r="L2306">
        <v>1.4705999999999999</v>
      </c>
    </row>
    <row r="2307" spans="1:12" hidden="1" x14ac:dyDescent="0.25">
      <c r="A2307">
        <v>2330</v>
      </c>
      <c r="B2307" t="s">
        <v>11</v>
      </c>
      <c r="C2307" s="1">
        <v>41878</v>
      </c>
      <c r="D2307" s="2">
        <f t="shared" ref="D2307:D2370" si="72">WEEKDAY(C2307,2)</f>
        <v>3</v>
      </c>
      <c r="E2307" s="2">
        <f t="shared" ref="E2307:E2370" si="73">MONTH(C2307)</f>
        <v>8</v>
      </c>
      <c r="F2307">
        <v>103.2093</v>
      </c>
      <c r="G2307">
        <v>103.62050000000001</v>
      </c>
      <c r="H2307">
        <v>102.3869</v>
      </c>
      <c r="I2307">
        <v>103.2093</v>
      </c>
      <c r="J2307">
        <v>36839</v>
      </c>
      <c r="K2307">
        <v>0.8</v>
      </c>
      <c r="L2307">
        <v>1.2048000000000001</v>
      </c>
    </row>
    <row r="2308" spans="1:12" x14ac:dyDescent="0.25">
      <c r="A2308">
        <v>2303</v>
      </c>
      <c r="B2308" t="s">
        <v>10</v>
      </c>
      <c r="C2308" s="1">
        <v>41879</v>
      </c>
      <c r="D2308" s="2">
        <f t="shared" si="72"/>
        <v>4</v>
      </c>
      <c r="E2308" s="2">
        <f t="shared" si="73"/>
        <v>8</v>
      </c>
      <c r="F2308">
        <v>11.062099999999999</v>
      </c>
      <c r="G2308">
        <v>11.1435</v>
      </c>
      <c r="H2308">
        <v>10.9808</v>
      </c>
      <c r="I2308">
        <v>11.1028</v>
      </c>
      <c r="J2308">
        <v>48200</v>
      </c>
      <c r="K2308">
        <v>0.36699999999999999</v>
      </c>
      <c r="L2308">
        <v>1.4815</v>
      </c>
    </row>
    <row r="2309" spans="1:12" hidden="1" x14ac:dyDescent="0.25">
      <c r="A2309">
        <v>2330</v>
      </c>
      <c r="B2309" t="s">
        <v>11</v>
      </c>
      <c r="C2309" s="1">
        <v>41879</v>
      </c>
      <c r="D2309" s="2">
        <f t="shared" si="72"/>
        <v>4</v>
      </c>
      <c r="E2309" s="2">
        <f t="shared" si="73"/>
        <v>8</v>
      </c>
      <c r="F2309">
        <v>103.62050000000001</v>
      </c>
      <c r="G2309">
        <v>103.62050000000001</v>
      </c>
      <c r="H2309">
        <v>102.3869</v>
      </c>
      <c r="I2309">
        <v>102.79810000000001</v>
      </c>
      <c r="J2309">
        <v>21759</v>
      </c>
      <c r="K2309">
        <v>-0.3992</v>
      </c>
      <c r="L2309">
        <v>1.2048000000000001</v>
      </c>
    </row>
    <row r="2310" spans="1:12" x14ac:dyDescent="0.25">
      <c r="A2310">
        <v>2303</v>
      </c>
      <c r="B2310" t="s">
        <v>10</v>
      </c>
      <c r="C2310" s="1">
        <v>41880</v>
      </c>
      <c r="D2310" s="2">
        <f t="shared" si="72"/>
        <v>5</v>
      </c>
      <c r="E2310" s="2">
        <f t="shared" si="73"/>
        <v>8</v>
      </c>
      <c r="F2310">
        <v>11.062099999999999</v>
      </c>
      <c r="G2310">
        <v>11.265499999999999</v>
      </c>
      <c r="H2310">
        <v>11.0215</v>
      </c>
      <c r="I2310">
        <v>11.1028</v>
      </c>
      <c r="J2310">
        <v>44254</v>
      </c>
      <c r="K2310">
        <v>0</v>
      </c>
      <c r="L2310">
        <v>2.214</v>
      </c>
    </row>
    <row r="2311" spans="1:12" hidden="1" x14ac:dyDescent="0.25">
      <c r="A2311">
        <v>2330</v>
      </c>
      <c r="B2311" t="s">
        <v>11</v>
      </c>
      <c r="C2311" s="1">
        <v>41880</v>
      </c>
      <c r="D2311" s="2">
        <f t="shared" si="72"/>
        <v>5</v>
      </c>
      <c r="E2311" s="2">
        <f t="shared" si="73"/>
        <v>8</v>
      </c>
      <c r="F2311">
        <v>102.3869</v>
      </c>
      <c r="G2311">
        <v>102.79810000000001</v>
      </c>
      <c r="H2311">
        <v>101.9757</v>
      </c>
      <c r="I2311">
        <v>101.9757</v>
      </c>
      <c r="J2311">
        <v>28358</v>
      </c>
      <c r="K2311">
        <v>-0.80320000000000003</v>
      </c>
      <c r="L2311">
        <v>0.80649999999999999</v>
      </c>
    </row>
    <row r="2312" spans="1:12" x14ac:dyDescent="0.25">
      <c r="A2312">
        <v>2303</v>
      </c>
      <c r="B2312" t="s">
        <v>10</v>
      </c>
      <c r="C2312" s="1">
        <v>41883</v>
      </c>
      <c r="D2312" s="2">
        <f t="shared" si="72"/>
        <v>1</v>
      </c>
      <c r="E2312" s="2">
        <f t="shared" si="73"/>
        <v>9</v>
      </c>
      <c r="F2312">
        <v>11.184200000000001</v>
      </c>
      <c r="G2312">
        <v>11.265499999999999</v>
      </c>
      <c r="H2312">
        <v>11.1435</v>
      </c>
      <c r="I2312">
        <v>11.184200000000001</v>
      </c>
      <c r="J2312">
        <v>43327</v>
      </c>
      <c r="K2312">
        <v>0.72989999999999999</v>
      </c>
      <c r="L2312">
        <v>1.0949</v>
      </c>
    </row>
    <row r="2313" spans="1:12" hidden="1" x14ac:dyDescent="0.25">
      <c r="A2313">
        <v>2330</v>
      </c>
      <c r="B2313" t="s">
        <v>11</v>
      </c>
      <c r="C2313" s="1">
        <v>41883</v>
      </c>
      <c r="D2313" s="2">
        <f t="shared" si="72"/>
        <v>1</v>
      </c>
      <c r="E2313" s="2">
        <f t="shared" si="73"/>
        <v>9</v>
      </c>
      <c r="F2313">
        <v>102.79810000000001</v>
      </c>
      <c r="G2313">
        <v>105.6765</v>
      </c>
      <c r="H2313">
        <v>102.79810000000001</v>
      </c>
      <c r="I2313">
        <v>105.6765</v>
      </c>
      <c r="J2313">
        <v>37523</v>
      </c>
      <c r="K2313">
        <v>3.5647000000000002</v>
      </c>
      <c r="L2313">
        <v>2.8</v>
      </c>
    </row>
    <row r="2314" spans="1:12" x14ac:dyDescent="0.25">
      <c r="A2314">
        <v>2303</v>
      </c>
      <c r="B2314" t="s">
        <v>10</v>
      </c>
      <c r="C2314" s="1">
        <v>41884</v>
      </c>
      <c r="D2314" s="2">
        <f t="shared" si="72"/>
        <v>2</v>
      </c>
      <c r="E2314" s="2">
        <f t="shared" si="73"/>
        <v>9</v>
      </c>
      <c r="F2314">
        <v>11.184200000000001</v>
      </c>
      <c r="G2314">
        <v>11.184200000000001</v>
      </c>
      <c r="H2314">
        <v>10.8995</v>
      </c>
      <c r="I2314">
        <v>10.8995</v>
      </c>
      <c r="J2314">
        <v>50331</v>
      </c>
      <c r="K2314">
        <v>-2.5783999999999998</v>
      </c>
      <c r="L2314">
        <v>2.6118999999999999</v>
      </c>
    </row>
    <row r="2315" spans="1:12" hidden="1" x14ac:dyDescent="0.25">
      <c r="A2315">
        <v>2330</v>
      </c>
      <c r="B2315" t="s">
        <v>11</v>
      </c>
      <c r="C2315" s="1">
        <v>41884</v>
      </c>
      <c r="D2315" s="2">
        <f t="shared" si="72"/>
        <v>2</v>
      </c>
      <c r="E2315" s="2">
        <f t="shared" si="73"/>
        <v>9</v>
      </c>
      <c r="F2315">
        <v>105.2653</v>
      </c>
      <c r="G2315">
        <v>105.2653</v>
      </c>
      <c r="H2315">
        <v>103.2093</v>
      </c>
      <c r="I2315">
        <v>103.62050000000001</v>
      </c>
      <c r="J2315">
        <v>20057</v>
      </c>
      <c r="K2315">
        <v>-1.9646999999999999</v>
      </c>
      <c r="L2315">
        <v>1.992</v>
      </c>
    </row>
    <row r="2316" spans="1:12" x14ac:dyDescent="0.25">
      <c r="A2316">
        <v>2303</v>
      </c>
      <c r="B2316" t="s">
        <v>10</v>
      </c>
      <c r="C2316" s="1">
        <v>41885</v>
      </c>
      <c r="D2316" s="2">
        <f t="shared" si="72"/>
        <v>3</v>
      </c>
      <c r="E2316" s="2">
        <f t="shared" si="73"/>
        <v>9</v>
      </c>
      <c r="F2316">
        <v>10.9808</v>
      </c>
      <c r="G2316">
        <v>10.9808</v>
      </c>
      <c r="H2316">
        <v>10.8588</v>
      </c>
      <c r="I2316">
        <v>10.940099999999999</v>
      </c>
      <c r="J2316">
        <v>48315</v>
      </c>
      <c r="K2316">
        <v>0.37240000000000001</v>
      </c>
      <c r="L2316">
        <v>1.1235999999999999</v>
      </c>
    </row>
    <row r="2317" spans="1:12" hidden="1" x14ac:dyDescent="0.25">
      <c r="A2317">
        <v>2330</v>
      </c>
      <c r="B2317" t="s">
        <v>11</v>
      </c>
      <c r="C2317" s="1">
        <v>41885</v>
      </c>
      <c r="D2317" s="2">
        <f t="shared" si="72"/>
        <v>3</v>
      </c>
      <c r="E2317" s="2">
        <f t="shared" si="73"/>
        <v>9</v>
      </c>
      <c r="F2317">
        <v>104.44289999999999</v>
      </c>
      <c r="G2317">
        <v>105.2653</v>
      </c>
      <c r="H2317">
        <v>103.2093</v>
      </c>
      <c r="I2317">
        <v>105.2653</v>
      </c>
      <c r="J2317">
        <v>24642</v>
      </c>
      <c r="K2317">
        <v>1.5748</v>
      </c>
      <c r="L2317">
        <v>1.992</v>
      </c>
    </row>
    <row r="2318" spans="1:12" x14ac:dyDescent="0.25">
      <c r="A2318">
        <v>2303</v>
      </c>
      <c r="B2318" t="s">
        <v>10</v>
      </c>
      <c r="C2318" s="1">
        <v>41886</v>
      </c>
      <c r="D2318" s="2">
        <f t="shared" si="72"/>
        <v>4</v>
      </c>
      <c r="E2318" s="2">
        <f t="shared" si="73"/>
        <v>9</v>
      </c>
      <c r="F2318">
        <v>10.9808</v>
      </c>
      <c r="G2318">
        <v>10.9808</v>
      </c>
      <c r="H2318">
        <v>10.8588</v>
      </c>
      <c r="I2318">
        <v>10.8995</v>
      </c>
      <c r="J2318">
        <v>21636</v>
      </c>
      <c r="K2318">
        <v>-0.37240000000000001</v>
      </c>
      <c r="L2318">
        <v>1.1235999999999999</v>
      </c>
    </row>
    <row r="2319" spans="1:12" hidden="1" x14ac:dyDescent="0.25">
      <c r="A2319">
        <v>2330</v>
      </c>
      <c r="B2319" t="s">
        <v>11</v>
      </c>
      <c r="C2319" s="1">
        <v>41886</v>
      </c>
      <c r="D2319" s="2">
        <f t="shared" si="72"/>
        <v>4</v>
      </c>
      <c r="E2319" s="2">
        <f t="shared" si="73"/>
        <v>9</v>
      </c>
      <c r="F2319">
        <v>105.2653</v>
      </c>
      <c r="G2319">
        <v>105.2653</v>
      </c>
      <c r="H2319">
        <v>103.62050000000001</v>
      </c>
      <c r="I2319">
        <v>104.8541</v>
      </c>
      <c r="J2319">
        <v>22110</v>
      </c>
      <c r="K2319">
        <v>-0.39140000000000003</v>
      </c>
      <c r="L2319">
        <v>1.5872999999999999</v>
      </c>
    </row>
    <row r="2320" spans="1:12" x14ac:dyDescent="0.25">
      <c r="A2320">
        <v>2303</v>
      </c>
      <c r="B2320" t="s">
        <v>10</v>
      </c>
      <c r="C2320" s="1">
        <v>41887</v>
      </c>
      <c r="D2320" s="2">
        <f t="shared" si="72"/>
        <v>5</v>
      </c>
      <c r="E2320" s="2">
        <f t="shared" si="73"/>
        <v>9</v>
      </c>
      <c r="F2320">
        <v>10.9808</v>
      </c>
      <c r="G2320">
        <v>10.9808</v>
      </c>
      <c r="H2320">
        <v>10.818099999999999</v>
      </c>
      <c r="I2320">
        <v>10.818099999999999</v>
      </c>
      <c r="J2320">
        <v>32946</v>
      </c>
      <c r="K2320">
        <v>-0.74909999999999999</v>
      </c>
      <c r="L2320">
        <v>1.5038</v>
      </c>
    </row>
    <row r="2321" spans="1:12" hidden="1" x14ac:dyDescent="0.25">
      <c r="A2321">
        <v>2330</v>
      </c>
      <c r="B2321" t="s">
        <v>11</v>
      </c>
      <c r="C2321" s="1">
        <v>41887</v>
      </c>
      <c r="D2321" s="2">
        <f t="shared" si="72"/>
        <v>5</v>
      </c>
      <c r="E2321" s="2">
        <f t="shared" si="73"/>
        <v>9</v>
      </c>
      <c r="F2321">
        <v>105.6765</v>
      </c>
      <c r="G2321">
        <v>105.6765</v>
      </c>
      <c r="H2321">
        <v>103.2093</v>
      </c>
      <c r="I2321">
        <v>104.44289999999999</v>
      </c>
      <c r="J2321">
        <v>20128</v>
      </c>
      <c r="K2321">
        <v>-0.39290000000000003</v>
      </c>
      <c r="L2321">
        <v>2.3904000000000001</v>
      </c>
    </row>
    <row r="2322" spans="1:12" x14ac:dyDescent="0.25">
      <c r="A2322">
        <v>2303</v>
      </c>
      <c r="B2322" t="s">
        <v>10</v>
      </c>
      <c r="C2322" s="1">
        <v>41891</v>
      </c>
      <c r="D2322" s="2">
        <f t="shared" si="72"/>
        <v>2</v>
      </c>
      <c r="E2322" s="2">
        <f t="shared" si="73"/>
        <v>9</v>
      </c>
      <c r="F2322">
        <v>10.8995</v>
      </c>
      <c r="G2322">
        <v>10.940099999999999</v>
      </c>
      <c r="H2322">
        <v>10.8588</v>
      </c>
      <c r="I2322">
        <v>10.8588</v>
      </c>
      <c r="J2322">
        <v>21272</v>
      </c>
      <c r="K2322">
        <v>0.37519999999999998</v>
      </c>
      <c r="L2322">
        <v>0.74909999999999999</v>
      </c>
    </row>
    <row r="2323" spans="1:12" hidden="1" x14ac:dyDescent="0.25">
      <c r="A2323">
        <v>2330</v>
      </c>
      <c r="B2323" t="s">
        <v>11</v>
      </c>
      <c r="C2323" s="1">
        <v>41891</v>
      </c>
      <c r="D2323" s="2">
        <f t="shared" si="72"/>
        <v>2</v>
      </c>
      <c r="E2323" s="2">
        <f t="shared" si="73"/>
        <v>9</v>
      </c>
      <c r="F2323">
        <v>104.8541</v>
      </c>
      <c r="G2323">
        <v>104.8541</v>
      </c>
      <c r="H2323">
        <v>104.0317</v>
      </c>
      <c r="I2323">
        <v>104.44289999999999</v>
      </c>
      <c r="J2323">
        <v>24359</v>
      </c>
      <c r="K2323">
        <v>0</v>
      </c>
      <c r="L2323">
        <v>0.79049999999999998</v>
      </c>
    </row>
    <row r="2324" spans="1:12" x14ac:dyDescent="0.25">
      <c r="A2324">
        <v>2303</v>
      </c>
      <c r="B2324" t="s">
        <v>10</v>
      </c>
      <c r="C2324" s="1">
        <v>41892</v>
      </c>
      <c r="D2324" s="2">
        <f t="shared" si="72"/>
        <v>3</v>
      </c>
      <c r="E2324" s="2">
        <f t="shared" si="73"/>
        <v>9</v>
      </c>
      <c r="F2324">
        <v>10.818099999999999</v>
      </c>
      <c r="G2324">
        <v>10.8588</v>
      </c>
      <c r="H2324">
        <v>10.736800000000001</v>
      </c>
      <c r="I2324">
        <v>10.7775</v>
      </c>
      <c r="J2324">
        <v>29141</v>
      </c>
      <c r="K2324">
        <v>-0.75190000000000001</v>
      </c>
      <c r="L2324">
        <v>1.1364000000000001</v>
      </c>
    </row>
    <row r="2325" spans="1:12" hidden="1" x14ac:dyDescent="0.25">
      <c r="A2325">
        <v>2330</v>
      </c>
      <c r="B2325" t="s">
        <v>11</v>
      </c>
      <c r="C2325" s="1">
        <v>41892</v>
      </c>
      <c r="D2325" s="2">
        <f t="shared" si="72"/>
        <v>3</v>
      </c>
      <c r="E2325" s="2">
        <f t="shared" si="73"/>
        <v>9</v>
      </c>
      <c r="F2325">
        <v>103.62050000000001</v>
      </c>
      <c r="G2325">
        <v>103.62050000000001</v>
      </c>
      <c r="H2325">
        <v>101.9757</v>
      </c>
      <c r="I2325">
        <v>102.79810000000001</v>
      </c>
      <c r="J2325">
        <v>29718</v>
      </c>
      <c r="K2325">
        <v>-1.5872999999999999</v>
      </c>
      <c r="L2325">
        <v>1.6129</v>
      </c>
    </row>
    <row r="2326" spans="1:12" x14ac:dyDescent="0.25">
      <c r="A2326">
        <v>2303</v>
      </c>
      <c r="B2326" t="s">
        <v>10</v>
      </c>
      <c r="C2326" s="1">
        <v>41893</v>
      </c>
      <c r="D2326" s="2">
        <f t="shared" si="72"/>
        <v>4</v>
      </c>
      <c r="E2326" s="2">
        <f t="shared" si="73"/>
        <v>9</v>
      </c>
      <c r="F2326">
        <v>10.7775</v>
      </c>
      <c r="G2326">
        <v>10.818099999999999</v>
      </c>
      <c r="H2326">
        <v>10.696099999999999</v>
      </c>
      <c r="I2326">
        <v>10.736800000000001</v>
      </c>
      <c r="J2326">
        <v>19685</v>
      </c>
      <c r="K2326">
        <v>-0.37809999999999999</v>
      </c>
      <c r="L2326">
        <v>1.1407</v>
      </c>
    </row>
    <row r="2327" spans="1:12" hidden="1" x14ac:dyDescent="0.25">
      <c r="A2327">
        <v>2330</v>
      </c>
      <c r="B2327" t="s">
        <v>11</v>
      </c>
      <c r="C2327" s="1">
        <v>41893</v>
      </c>
      <c r="D2327" s="2">
        <f t="shared" si="72"/>
        <v>4</v>
      </c>
      <c r="E2327" s="2">
        <f t="shared" si="73"/>
        <v>9</v>
      </c>
      <c r="F2327">
        <v>103.62050000000001</v>
      </c>
      <c r="G2327">
        <v>103.62050000000001</v>
      </c>
      <c r="H2327">
        <v>102.79810000000001</v>
      </c>
      <c r="I2327">
        <v>102.79810000000001</v>
      </c>
      <c r="J2327">
        <v>24328</v>
      </c>
      <c r="K2327">
        <v>0</v>
      </c>
      <c r="L2327">
        <v>0.8</v>
      </c>
    </row>
    <row r="2328" spans="1:12" x14ac:dyDescent="0.25">
      <c r="A2328">
        <v>2303</v>
      </c>
      <c r="B2328" t="s">
        <v>10</v>
      </c>
      <c r="C2328" s="1">
        <v>41894</v>
      </c>
      <c r="D2328" s="2">
        <f t="shared" si="72"/>
        <v>5</v>
      </c>
      <c r="E2328" s="2">
        <f t="shared" si="73"/>
        <v>9</v>
      </c>
      <c r="F2328">
        <v>10.736800000000001</v>
      </c>
      <c r="G2328">
        <v>10.7775</v>
      </c>
      <c r="H2328">
        <v>10.492800000000001</v>
      </c>
      <c r="I2328">
        <v>10.5334</v>
      </c>
      <c r="J2328">
        <v>55536</v>
      </c>
      <c r="K2328">
        <v>-1.9120999999999999</v>
      </c>
      <c r="L2328">
        <v>2.7132000000000001</v>
      </c>
    </row>
    <row r="2329" spans="1:12" hidden="1" x14ac:dyDescent="0.25">
      <c r="A2329">
        <v>2330</v>
      </c>
      <c r="B2329" t="s">
        <v>11</v>
      </c>
      <c r="C2329" s="1">
        <v>41894</v>
      </c>
      <c r="D2329" s="2">
        <f t="shared" si="72"/>
        <v>5</v>
      </c>
      <c r="E2329" s="2">
        <f t="shared" si="73"/>
        <v>9</v>
      </c>
      <c r="F2329">
        <v>102.3869</v>
      </c>
      <c r="G2329">
        <v>102.79810000000001</v>
      </c>
      <c r="H2329">
        <v>101.1534</v>
      </c>
      <c r="I2329">
        <v>101.1534</v>
      </c>
      <c r="J2329">
        <v>20299</v>
      </c>
      <c r="K2329">
        <v>-1.6129</v>
      </c>
      <c r="L2329">
        <v>1.6259999999999999</v>
      </c>
    </row>
    <row r="2330" spans="1:12" x14ac:dyDescent="0.25">
      <c r="A2330">
        <v>2303</v>
      </c>
      <c r="B2330" t="s">
        <v>10</v>
      </c>
      <c r="C2330" s="1">
        <v>41897</v>
      </c>
      <c r="D2330" s="2">
        <f t="shared" si="72"/>
        <v>1</v>
      </c>
      <c r="E2330" s="2">
        <f t="shared" si="73"/>
        <v>9</v>
      </c>
      <c r="F2330">
        <v>10.492800000000001</v>
      </c>
      <c r="G2330">
        <v>10.5334</v>
      </c>
      <c r="H2330">
        <v>10.370799999999999</v>
      </c>
      <c r="I2330">
        <v>10.492800000000001</v>
      </c>
      <c r="J2330">
        <v>35156</v>
      </c>
      <c r="K2330">
        <v>-0.38679999999999998</v>
      </c>
      <c r="L2330">
        <v>1.5686</v>
      </c>
    </row>
    <row r="2331" spans="1:12" hidden="1" x14ac:dyDescent="0.25">
      <c r="A2331">
        <v>2330</v>
      </c>
      <c r="B2331" t="s">
        <v>11</v>
      </c>
      <c r="C2331" s="1">
        <v>41897</v>
      </c>
      <c r="D2331" s="2">
        <f t="shared" si="72"/>
        <v>1</v>
      </c>
      <c r="E2331" s="2">
        <f t="shared" si="73"/>
        <v>9</v>
      </c>
      <c r="F2331">
        <v>100.7422</v>
      </c>
      <c r="G2331">
        <v>101.5645</v>
      </c>
      <c r="H2331">
        <v>100.331</v>
      </c>
      <c r="I2331">
        <v>101.5645</v>
      </c>
      <c r="J2331">
        <v>19643</v>
      </c>
      <c r="K2331">
        <v>0.40570000000000001</v>
      </c>
      <c r="L2331">
        <v>1.2295</v>
      </c>
    </row>
    <row r="2332" spans="1:12" x14ac:dyDescent="0.25">
      <c r="A2332">
        <v>2303</v>
      </c>
      <c r="B2332" t="s">
        <v>10</v>
      </c>
      <c r="C2332" s="1">
        <v>41898</v>
      </c>
      <c r="D2332" s="2">
        <f t="shared" si="72"/>
        <v>2</v>
      </c>
      <c r="E2332" s="2">
        <f t="shared" si="73"/>
        <v>9</v>
      </c>
      <c r="F2332">
        <v>10.492800000000001</v>
      </c>
      <c r="G2332">
        <v>10.492800000000001</v>
      </c>
      <c r="H2332">
        <v>10.248799999999999</v>
      </c>
      <c r="I2332">
        <v>10.248799999999999</v>
      </c>
      <c r="J2332">
        <v>38861</v>
      </c>
      <c r="K2332">
        <v>-2.3530000000000002</v>
      </c>
      <c r="L2332">
        <v>2.3809999999999998</v>
      </c>
    </row>
    <row r="2333" spans="1:12" hidden="1" x14ac:dyDescent="0.25">
      <c r="A2333">
        <v>2330</v>
      </c>
      <c r="B2333" t="s">
        <v>11</v>
      </c>
      <c r="C2333" s="1">
        <v>41898</v>
      </c>
      <c r="D2333" s="2">
        <f t="shared" si="72"/>
        <v>2</v>
      </c>
      <c r="E2333" s="2">
        <f t="shared" si="73"/>
        <v>9</v>
      </c>
      <c r="F2333">
        <v>101.1534</v>
      </c>
      <c r="G2333">
        <v>101.1534</v>
      </c>
      <c r="H2333">
        <v>100.331</v>
      </c>
      <c r="I2333">
        <v>100.7422</v>
      </c>
      <c r="J2333">
        <v>19248</v>
      </c>
      <c r="K2333">
        <v>-0.81299999999999994</v>
      </c>
      <c r="L2333">
        <v>0.81969999999999998</v>
      </c>
    </row>
    <row r="2334" spans="1:12" x14ac:dyDescent="0.25">
      <c r="A2334">
        <v>2303</v>
      </c>
      <c r="B2334" t="s">
        <v>10</v>
      </c>
      <c r="C2334" s="1">
        <v>41899</v>
      </c>
      <c r="D2334" s="2">
        <f t="shared" si="72"/>
        <v>3</v>
      </c>
      <c r="E2334" s="2">
        <f t="shared" si="73"/>
        <v>9</v>
      </c>
      <c r="F2334">
        <v>10.4114</v>
      </c>
      <c r="G2334">
        <v>10.614800000000001</v>
      </c>
      <c r="H2334">
        <v>10.3301</v>
      </c>
      <c r="I2334">
        <v>10.492800000000001</v>
      </c>
      <c r="J2334">
        <v>46923</v>
      </c>
      <c r="K2334">
        <v>2.3530000000000002</v>
      </c>
      <c r="L2334">
        <v>2.7559</v>
      </c>
    </row>
    <row r="2335" spans="1:12" hidden="1" x14ac:dyDescent="0.25">
      <c r="A2335">
        <v>2330</v>
      </c>
      <c r="B2335" t="s">
        <v>11</v>
      </c>
      <c r="C2335" s="1">
        <v>41899</v>
      </c>
      <c r="D2335" s="2">
        <f t="shared" si="72"/>
        <v>3</v>
      </c>
      <c r="E2335" s="2">
        <f t="shared" si="73"/>
        <v>9</v>
      </c>
      <c r="F2335">
        <v>101.5645</v>
      </c>
      <c r="G2335">
        <v>102.79810000000001</v>
      </c>
      <c r="H2335">
        <v>101.1534</v>
      </c>
      <c r="I2335">
        <v>102.3869</v>
      </c>
      <c r="J2335">
        <v>24018</v>
      </c>
      <c r="K2335">
        <v>1.6194999999999999</v>
      </c>
      <c r="L2335">
        <v>1.6259999999999999</v>
      </c>
    </row>
    <row r="2336" spans="1:12" x14ac:dyDescent="0.25">
      <c r="A2336">
        <v>2303</v>
      </c>
      <c r="B2336" t="s">
        <v>10</v>
      </c>
      <c r="C2336" s="1">
        <v>41900</v>
      </c>
      <c r="D2336" s="2">
        <f t="shared" si="72"/>
        <v>4</v>
      </c>
      <c r="E2336" s="2">
        <f t="shared" si="73"/>
        <v>9</v>
      </c>
      <c r="F2336">
        <v>10.5741</v>
      </c>
      <c r="G2336">
        <v>10.5741</v>
      </c>
      <c r="H2336">
        <v>10.4114</v>
      </c>
      <c r="I2336">
        <v>10.4521</v>
      </c>
      <c r="J2336">
        <v>17026</v>
      </c>
      <c r="K2336">
        <v>-0.38840000000000002</v>
      </c>
      <c r="L2336">
        <v>1.5625</v>
      </c>
    </row>
    <row r="2337" spans="1:12" hidden="1" x14ac:dyDescent="0.25">
      <c r="A2337">
        <v>2330</v>
      </c>
      <c r="B2337" t="s">
        <v>11</v>
      </c>
      <c r="C2337" s="1">
        <v>41900</v>
      </c>
      <c r="D2337" s="2">
        <f t="shared" si="72"/>
        <v>4</v>
      </c>
      <c r="E2337" s="2">
        <f t="shared" si="73"/>
        <v>9</v>
      </c>
      <c r="F2337">
        <v>102.3869</v>
      </c>
      <c r="G2337">
        <v>102.79810000000001</v>
      </c>
      <c r="H2337">
        <v>101.5645</v>
      </c>
      <c r="I2337">
        <v>102.79810000000001</v>
      </c>
      <c r="J2337">
        <v>14791</v>
      </c>
      <c r="K2337">
        <v>0.40079999999999999</v>
      </c>
      <c r="L2337">
        <v>1.2145999999999999</v>
      </c>
    </row>
    <row r="2338" spans="1:12" x14ac:dyDescent="0.25">
      <c r="A2338">
        <v>2303</v>
      </c>
      <c r="B2338" t="s">
        <v>10</v>
      </c>
      <c r="C2338" s="1">
        <v>41901</v>
      </c>
      <c r="D2338" s="2">
        <f t="shared" si="72"/>
        <v>5</v>
      </c>
      <c r="E2338" s="2">
        <f t="shared" si="73"/>
        <v>9</v>
      </c>
      <c r="F2338">
        <v>10.5334</v>
      </c>
      <c r="G2338">
        <v>10.614800000000001</v>
      </c>
      <c r="H2338">
        <v>10.492800000000001</v>
      </c>
      <c r="I2338">
        <v>10.5334</v>
      </c>
      <c r="J2338">
        <v>32242</v>
      </c>
      <c r="K2338">
        <v>0.7752</v>
      </c>
      <c r="L2338">
        <v>1.1628000000000001</v>
      </c>
    </row>
    <row r="2339" spans="1:12" hidden="1" x14ac:dyDescent="0.25">
      <c r="A2339">
        <v>2330</v>
      </c>
      <c r="B2339" t="s">
        <v>11</v>
      </c>
      <c r="C2339" s="1">
        <v>41901</v>
      </c>
      <c r="D2339" s="2">
        <f t="shared" si="72"/>
        <v>5</v>
      </c>
      <c r="E2339" s="2">
        <f t="shared" si="73"/>
        <v>9</v>
      </c>
      <c r="F2339">
        <v>103.2093</v>
      </c>
      <c r="G2339">
        <v>103.62050000000001</v>
      </c>
      <c r="H2339">
        <v>102.79810000000001</v>
      </c>
      <c r="I2339">
        <v>102.79810000000001</v>
      </c>
      <c r="J2339">
        <v>30781</v>
      </c>
      <c r="K2339">
        <v>0</v>
      </c>
      <c r="L2339">
        <v>0.8</v>
      </c>
    </row>
    <row r="2340" spans="1:12" x14ac:dyDescent="0.25">
      <c r="A2340">
        <v>2303</v>
      </c>
      <c r="B2340" t="s">
        <v>10</v>
      </c>
      <c r="C2340" s="1">
        <v>41904</v>
      </c>
      <c r="D2340" s="2">
        <f t="shared" si="72"/>
        <v>1</v>
      </c>
      <c r="E2340" s="2">
        <f t="shared" si="73"/>
        <v>9</v>
      </c>
      <c r="F2340">
        <v>10.5334</v>
      </c>
      <c r="G2340">
        <v>10.5334</v>
      </c>
      <c r="H2340">
        <v>10.3301</v>
      </c>
      <c r="I2340">
        <v>10.370799999999999</v>
      </c>
      <c r="J2340">
        <v>30448</v>
      </c>
      <c r="K2340">
        <v>-1.5565</v>
      </c>
      <c r="L2340">
        <v>1.9684999999999999</v>
      </c>
    </row>
    <row r="2341" spans="1:12" hidden="1" x14ac:dyDescent="0.25">
      <c r="A2341">
        <v>2330</v>
      </c>
      <c r="B2341" t="s">
        <v>11</v>
      </c>
      <c r="C2341" s="1">
        <v>41904</v>
      </c>
      <c r="D2341" s="2">
        <f t="shared" si="72"/>
        <v>1</v>
      </c>
      <c r="E2341" s="2">
        <f t="shared" si="73"/>
        <v>9</v>
      </c>
      <c r="F2341">
        <v>101.9757</v>
      </c>
      <c r="G2341">
        <v>101.9757</v>
      </c>
      <c r="H2341">
        <v>100.331</v>
      </c>
      <c r="I2341">
        <v>100.331</v>
      </c>
      <c r="J2341">
        <v>40658</v>
      </c>
      <c r="K2341">
        <v>-2.4293</v>
      </c>
      <c r="L2341">
        <v>1.6393</v>
      </c>
    </row>
    <row r="2342" spans="1:12" x14ac:dyDescent="0.25">
      <c r="A2342">
        <v>2303</v>
      </c>
      <c r="B2342" t="s">
        <v>10</v>
      </c>
      <c r="C2342" s="1">
        <v>41905</v>
      </c>
      <c r="D2342" s="2">
        <f t="shared" si="72"/>
        <v>2</v>
      </c>
      <c r="E2342" s="2">
        <f t="shared" si="73"/>
        <v>9</v>
      </c>
      <c r="F2342">
        <v>10.370799999999999</v>
      </c>
      <c r="G2342">
        <v>10.4521</v>
      </c>
      <c r="H2342">
        <v>10.3301</v>
      </c>
      <c r="I2342">
        <v>10.370799999999999</v>
      </c>
      <c r="J2342">
        <v>23256</v>
      </c>
      <c r="K2342">
        <v>0</v>
      </c>
      <c r="L2342">
        <v>1.1811</v>
      </c>
    </row>
    <row r="2343" spans="1:12" hidden="1" x14ac:dyDescent="0.25">
      <c r="A2343">
        <v>2330</v>
      </c>
      <c r="B2343" t="s">
        <v>11</v>
      </c>
      <c r="C2343" s="1">
        <v>41905</v>
      </c>
      <c r="D2343" s="2">
        <f t="shared" si="72"/>
        <v>2</v>
      </c>
      <c r="E2343" s="2">
        <f t="shared" si="73"/>
        <v>9</v>
      </c>
      <c r="F2343">
        <v>101.1534</v>
      </c>
      <c r="G2343">
        <v>101.5645</v>
      </c>
      <c r="H2343">
        <v>100.331</v>
      </c>
      <c r="I2343">
        <v>100.7422</v>
      </c>
      <c r="J2343">
        <v>16208</v>
      </c>
      <c r="K2343">
        <v>0.40899999999999997</v>
      </c>
      <c r="L2343">
        <v>1.2295</v>
      </c>
    </row>
    <row r="2344" spans="1:12" x14ac:dyDescent="0.25">
      <c r="A2344">
        <v>2303</v>
      </c>
      <c r="B2344" t="s">
        <v>10</v>
      </c>
      <c r="C2344" s="1">
        <v>41906</v>
      </c>
      <c r="D2344" s="2">
        <f t="shared" si="72"/>
        <v>3</v>
      </c>
      <c r="E2344" s="2">
        <f t="shared" si="73"/>
        <v>9</v>
      </c>
      <c r="F2344">
        <v>10.370799999999999</v>
      </c>
      <c r="G2344">
        <v>10.4521</v>
      </c>
      <c r="H2344">
        <v>10.370799999999999</v>
      </c>
      <c r="I2344">
        <v>10.4114</v>
      </c>
      <c r="J2344">
        <v>23181</v>
      </c>
      <c r="K2344">
        <v>0.39140000000000003</v>
      </c>
      <c r="L2344">
        <v>0.7843</v>
      </c>
    </row>
    <row r="2345" spans="1:12" hidden="1" x14ac:dyDescent="0.25">
      <c r="A2345">
        <v>2330</v>
      </c>
      <c r="B2345" t="s">
        <v>11</v>
      </c>
      <c r="C2345" s="1">
        <v>41906</v>
      </c>
      <c r="D2345" s="2">
        <f t="shared" si="72"/>
        <v>3</v>
      </c>
      <c r="E2345" s="2">
        <f t="shared" si="73"/>
        <v>9</v>
      </c>
      <c r="F2345">
        <v>100.331</v>
      </c>
      <c r="G2345">
        <v>101.9757</v>
      </c>
      <c r="H2345">
        <v>100.331</v>
      </c>
      <c r="I2345">
        <v>101.1534</v>
      </c>
      <c r="J2345">
        <v>28552</v>
      </c>
      <c r="K2345">
        <v>0.4073</v>
      </c>
      <c r="L2345">
        <v>1.6393</v>
      </c>
    </row>
    <row r="2346" spans="1:12" x14ac:dyDescent="0.25">
      <c r="A2346">
        <v>2303</v>
      </c>
      <c r="B2346" t="s">
        <v>10</v>
      </c>
      <c r="C2346" s="1">
        <v>41907</v>
      </c>
      <c r="D2346" s="2">
        <f t="shared" si="72"/>
        <v>4</v>
      </c>
      <c r="E2346" s="2">
        <f t="shared" si="73"/>
        <v>9</v>
      </c>
      <c r="F2346">
        <v>10.4521</v>
      </c>
      <c r="G2346">
        <v>10.492800000000001</v>
      </c>
      <c r="H2346">
        <v>10.248799999999999</v>
      </c>
      <c r="I2346">
        <v>10.3301</v>
      </c>
      <c r="J2346">
        <v>43694</v>
      </c>
      <c r="K2346">
        <v>-0.7843</v>
      </c>
      <c r="L2346">
        <v>2.3809999999999998</v>
      </c>
    </row>
    <row r="2347" spans="1:12" hidden="1" x14ac:dyDescent="0.25">
      <c r="A2347">
        <v>2330</v>
      </c>
      <c r="B2347" t="s">
        <v>11</v>
      </c>
      <c r="C2347" s="1">
        <v>41907</v>
      </c>
      <c r="D2347" s="2">
        <f t="shared" si="72"/>
        <v>4</v>
      </c>
      <c r="E2347" s="2">
        <f t="shared" si="73"/>
        <v>9</v>
      </c>
      <c r="F2347">
        <v>101.1534</v>
      </c>
      <c r="G2347">
        <v>101.9757</v>
      </c>
      <c r="H2347">
        <v>99.919799999999995</v>
      </c>
      <c r="I2347">
        <v>100.331</v>
      </c>
      <c r="J2347">
        <v>23840</v>
      </c>
      <c r="K2347">
        <v>-0.81630000000000003</v>
      </c>
      <c r="L2347">
        <v>2.0575999999999999</v>
      </c>
    </row>
    <row r="2348" spans="1:12" x14ac:dyDescent="0.25">
      <c r="A2348">
        <v>2303</v>
      </c>
      <c r="B2348" t="s">
        <v>10</v>
      </c>
      <c r="C2348" s="1">
        <v>41908</v>
      </c>
      <c r="D2348" s="2">
        <f t="shared" si="72"/>
        <v>5</v>
      </c>
      <c r="E2348" s="2">
        <f t="shared" si="73"/>
        <v>9</v>
      </c>
      <c r="F2348">
        <v>10.248799999999999</v>
      </c>
      <c r="G2348">
        <v>10.4114</v>
      </c>
      <c r="H2348">
        <v>10.167400000000001</v>
      </c>
      <c r="I2348">
        <v>10.289400000000001</v>
      </c>
      <c r="J2348">
        <v>27513</v>
      </c>
      <c r="K2348">
        <v>-0.39450000000000002</v>
      </c>
      <c r="L2348">
        <v>2.4</v>
      </c>
    </row>
    <row r="2349" spans="1:12" hidden="1" x14ac:dyDescent="0.25">
      <c r="A2349">
        <v>2330</v>
      </c>
      <c r="B2349" t="s">
        <v>11</v>
      </c>
      <c r="C2349" s="1">
        <v>41908</v>
      </c>
      <c r="D2349" s="2">
        <f t="shared" si="72"/>
        <v>5</v>
      </c>
      <c r="E2349" s="2">
        <f t="shared" si="73"/>
        <v>9</v>
      </c>
      <c r="F2349">
        <v>99.508600000000001</v>
      </c>
      <c r="G2349">
        <v>99.919799999999995</v>
      </c>
      <c r="H2349">
        <v>99.097399999999993</v>
      </c>
      <c r="I2349">
        <v>99.508600000000001</v>
      </c>
      <c r="J2349">
        <v>25408</v>
      </c>
      <c r="K2349">
        <v>-0.82299999999999995</v>
      </c>
      <c r="L2349">
        <v>0.82989999999999997</v>
      </c>
    </row>
    <row r="2350" spans="1:12" x14ac:dyDescent="0.25">
      <c r="A2350">
        <v>2303</v>
      </c>
      <c r="B2350" t="s">
        <v>10</v>
      </c>
      <c r="C2350" s="1">
        <v>41911</v>
      </c>
      <c r="D2350" s="2">
        <f t="shared" si="72"/>
        <v>1</v>
      </c>
      <c r="E2350" s="2">
        <f t="shared" si="73"/>
        <v>9</v>
      </c>
      <c r="F2350">
        <v>10.3301</v>
      </c>
      <c r="G2350">
        <v>10.370799999999999</v>
      </c>
      <c r="H2350">
        <v>10.248799999999999</v>
      </c>
      <c r="I2350">
        <v>10.248799999999999</v>
      </c>
      <c r="J2350">
        <v>32428</v>
      </c>
      <c r="K2350">
        <v>-0.39600000000000002</v>
      </c>
      <c r="L2350">
        <v>1.1904999999999999</v>
      </c>
    </row>
    <row r="2351" spans="1:12" hidden="1" x14ac:dyDescent="0.25">
      <c r="A2351">
        <v>2330</v>
      </c>
      <c r="B2351" t="s">
        <v>11</v>
      </c>
      <c r="C2351" s="1">
        <v>41911</v>
      </c>
      <c r="D2351" s="2">
        <f t="shared" si="72"/>
        <v>1</v>
      </c>
      <c r="E2351" s="2">
        <f t="shared" si="73"/>
        <v>9</v>
      </c>
      <c r="F2351">
        <v>100.331</v>
      </c>
      <c r="G2351">
        <v>100.331</v>
      </c>
      <c r="H2351">
        <v>98.686199999999999</v>
      </c>
      <c r="I2351">
        <v>99.097399999999993</v>
      </c>
      <c r="J2351">
        <v>55071</v>
      </c>
      <c r="K2351">
        <v>-0.41410000000000002</v>
      </c>
      <c r="L2351">
        <v>1.6667000000000001</v>
      </c>
    </row>
    <row r="2352" spans="1:12" x14ac:dyDescent="0.25">
      <c r="A2352">
        <v>2303</v>
      </c>
      <c r="B2352" t="s">
        <v>10</v>
      </c>
      <c r="C2352" s="1">
        <v>41912</v>
      </c>
      <c r="D2352" s="2">
        <f t="shared" si="72"/>
        <v>2</v>
      </c>
      <c r="E2352" s="2">
        <f t="shared" si="73"/>
        <v>9</v>
      </c>
      <c r="F2352">
        <v>10.289400000000001</v>
      </c>
      <c r="G2352">
        <v>10.3301</v>
      </c>
      <c r="H2352">
        <v>10.045400000000001</v>
      </c>
      <c r="I2352">
        <v>10.248799999999999</v>
      </c>
      <c r="J2352">
        <v>56844</v>
      </c>
      <c r="K2352">
        <v>0</v>
      </c>
      <c r="L2352">
        <v>2.8340000000000001</v>
      </c>
    </row>
    <row r="2353" spans="1:12" hidden="1" x14ac:dyDescent="0.25">
      <c r="A2353">
        <v>2330</v>
      </c>
      <c r="B2353" t="s">
        <v>11</v>
      </c>
      <c r="C2353" s="1">
        <v>41912</v>
      </c>
      <c r="D2353" s="2">
        <f t="shared" si="72"/>
        <v>2</v>
      </c>
      <c r="E2353" s="2">
        <f t="shared" si="73"/>
        <v>9</v>
      </c>
      <c r="F2353">
        <v>98.686199999999999</v>
      </c>
      <c r="G2353">
        <v>99.508600000000001</v>
      </c>
      <c r="H2353">
        <v>97.863799999999998</v>
      </c>
      <c r="I2353">
        <v>98.686199999999999</v>
      </c>
      <c r="J2353">
        <v>52027</v>
      </c>
      <c r="K2353">
        <v>-0.4158</v>
      </c>
      <c r="L2353">
        <v>1.6807000000000001</v>
      </c>
    </row>
    <row r="2354" spans="1:12" x14ac:dyDescent="0.25">
      <c r="A2354">
        <v>2303</v>
      </c>
      <c r="B2354" t="s">
        <v>10</v>
      </c>
      <c r="C2354" s="1">
        <v>41913</v>
      </c>
      <c r="D2354" s="2">
        <f t="shared" si="72"/>
        <v>3</v>
      </c>
      <c r="E2354" s="2">
        <f t="shared" si="73"/>
        <v>10</v>
      </c>
      <c r="F2354">
        <v>10.2081</v>
      </c>
      <c r="G2354">
        <v>10.3301</v>
      </c>
      <c r="H2354">
        <v>10.167400000000001</v>
      </c>
      <c r="I2354">
        <v>10.2081</v>
      </c>
      <c r="J2354">
        <v>30059</v>
      </c>
      <c r="K2354">
        <v>-0.39760000000000001</v>
      </c>
      <c r="L2354">
        <v>1.6</v>
      </c>
    </row>
    <row r="2355" spans="1:12" hidden="1" x14ac:dyDescent="0.25">
      <c r="A2355">
        <v>2330</v>
      </c>
      <c r="B2355" t="s">
        <v>11</v>
      </c>
      <c r="C2355" s="1">
        <v>41913</v>
      </c>
      <c r="D2355" s="2">
        <f t="shared" si="72"/>
        <v>3</v>
      </c>
      <c r="E2355" s="2">
        <f t="shared" si="73"/>
        <v>10</v>
      </c>
      <c r="F2355">
        <v>98.686199999999999</v>
      </c>
      <c r="G2355">
        <v>100.331</v>
      </c>
      <c r="H2355">
        <v>98.686199999999999</v>
      </c>
      <c r="I2355">
        <v>99.919799999999995</v>
      </c>
      <c r="J2355">
        <v>42581</v>
      </c>
      <c r="K2355">
        <v>1.2423</v>
      </c>
      <c r="L2355">
        <v>1.6667000000000001</v>
      </c>
    </row>
    <row r="2356" spans="1:12" x14ac:dyDescent="0.25">
      <c r="A2356">
        <v>2303</v>
      </c>
      <c r="B2356" t="s">
        <v>10</v>
      </c>
      <c r="C2356" s="1">
        <v>41914</v>
      </c>
      <c r="D2356" s="2">
        <f t="shared" si="72"/>
        <v>4</v>
      </c>
      <c r="E2356" s="2">
        <f t="shared" si="73"/>
        <v>10</v>
      </c>
      <c r="F2356">
        <v>10.167400000000001</v>
      </c>
      <c r="G2356">
        <v>10.3301</v>
      </c>
      <c r="H2356">
        <v>10.1267</v>
      </c>
      <c r="I2356">
        <v>10.3301</v>
      </c>
      <c r="J2356">
        <v>26981</v>
      </c>
      <c r="K2356">
        <v>1.1880999999999999</v>
      </c>
      <c r="L2356">
        <v>2.008</v>
      </c>
    </row>
    <row r="2357" spans="1:12" hidden="1" x14ac:dyDescent="0.25">
      <c r="A2357">
        <v>2330</v>
      </c>
      <c r="B2357" t="s">
        <v>11</v>
      </c>
      <c r="C2357" s="1">
        <v>41914</v>
      </c>
      <c r="D2357" s="2">
        <f t="shared" si="72"/>
        <v>4</v>
      </c>
      <c r="E2357" s="2">
        <f t="shared" si="73"/>
        <v>10</v>
      </c>
      <c r="F2357">
        <v>99.508600000000001</v>
      </c>
      <c r="G2357">
        <v>100.7422</v>
      </c>
      <c r="H2357">
        <v>99.097399999999993</v>
      </c>
      <c r="I2357">
        <v>99.508600000000001</v>
      </c>
      <c r="J2357">
        <v>30795</v>
      </c>
      <c r="K2357">
        <v>-0.41239999999999999</v>
      </c>
      <c r="L2357">
        <v>1.6597999999999999</v>
      </c>
    </row>
    <row r="2358" spans="1:12" x14ac:dyDescent="0.25">
      <c r="A2358">
        <v>2303</v>
      </c>
      <c r="B2358" t="s">
        <v>10</v>
      </c>
      <c r="C2358" s="1">
        <v>41915</v>
      </c>
      <c r="D2358" s="2">
        <f t="shared" si="72"/>
        <v>5</v>
      </c>
      <c r="E2358" s="2">
        <f t="shared" si="73"/>
        <v>10</v>
      </c>
      <c r="F2358">
        <v>10.289400000000001</v>
      </c>
      <c r="G2358">
        <v>10.5741</v>
      </c>
      <c r="H2358">
        <v>10.289400000000001</v>
      </c>
      <c r="I2358">
        <v>10.492800000000001</v>
      </c>
      <c r="J2358">
        <v>51080</v>
      </c>
      <c r="K2358">
        <v>1.5625</v>
      </c>
      <c r="L2358">
        <v>2.7667999999999999</v>
      </c>
    </row>
    <row r="2359" spans="1:12" hidden="1" x14ac:dyDescent="0.25">
      <c r="A2359">
        <v>2330</v>
      </c>
      <c r="B2359" t="s">
        <v>11</v>
      </c>
      <c r="C2359" s="1">
        <v>41915</v>
      </c>
      <c r="D2359" s="2">
        <f t="shared" si="72"/>
        <v>5</v>
      </c>
      <c r="E2359" s="2">
        <f t="shared" si="73"/>
        <v>10</v>
      </c>
      <c r="F2359">
        <v>100.7422</v>
      </c>
      <c r="G2359">
        <v>102.79810000000001</v>
      </c>
      <c r="H2359">
        <v>100.331</v>
      </c>
      <c r="I2359">
        <v>102.3869</v>
      </c>
      <c r="J2359">
        <v>52042</v>
      </c>
      <c r="K2359">
        <v>2.8515000000000001</v>
      </c>
      <c r="L2359">
        <v>2.4590000000000001</v>
      </c>
    </row>
    <row r="2360" spans="1:12" x14ac:dyDescent="0.25">
      <c r="A2360">
        <v>2303</v>
      </c>
      <c r="B2360" t="s">
        <v>10</v>
      </c>
      <c r="C2360" s="1">
        <v>41918</v>
      </c>
      <c r="D2360" s="2">
        <f t="shared" si="72"/>
        <v>1</v>
      </c>
      <c r="E2360" s="2">
        <f t="shared" si="73"/>
        <v>10</v>
      </c>
      <c r="F2360">
        <v>10.492800000000001</v>
      </c>
      <c r="G2360">
        <v>10.5741</v>
      </c>
      <c r="H2360">
        <v>10.4114</v>
      </c>
      <c r="I2360">
        <v>10.492800000000001</v>
      </c>
      <c r="J2360">
        <v>27737</v>
      </c>
      <c r="K2360">
        <v>0</v>
      </c>
      <c r="L2360">
        <v>1.5625</v>
      </c>
    </row>
    <row r="2361" spans="1:12" hidden="1" x14ac:dyDescent="0.25">
      <c r="A2361">
        <v>2330</v>
      </c>
      <c r="B2361" t="s">
        <v>11</v>
      </c>
      <c r="C2361" s="1">
        <v>41918</v>
      </c>
      <c r="D2361" s="2">
        <f t="shared" si="72"/>
        <v>1</v>
      </c>
      <c r="E2361" s="2">
        <f t="shared" si="73"/>
        <v>10</v>
      </c>
      <c r="F2361">
        <v>102.79810000000001</v>
      </c>
      <c r="G2361">
        <v>103.62050000000001</v>
      </c>
      <c r="H2361">
        <v>101.9757</v>
      </c>
      <c r="I2361">
        <v>103.62050000000001</v>
      </c>
      <c r="J2361">
        <v>39292</v>
      </c>
      <c r="K2361">
        <v>1.1976</v>
      </c>
      <c r="L2361">
        <v>1.6129</v>
      </c>
    </row>
    <row r="2362" spans="1:12" x14ac:dyDescent="0.25">
      <c r="A2362">
        <v>2303</v>
      </c>
      <c r="B2362" t="s">
        <v>10</v>
      </c>
      <c r="C2362" s="1">
        <v>41919</v>
      </c>
      <c r="D2362" s="2">
        <f t="shared" si="72"/>
        <v>2</v>
      </c>
      <c r="E2362" s="2">
        <f t="shared" si="73"/>
        <v>10</v>
      </c>
      <c r="F2362">
        <v>10.4114</v>
      </c>
      <c r="G2362">
        <v>10.492800000000001</v>
      </c>
      <c r="H2362">
        <v>10.3301</v>
      </c>
      <c r="I2362">
        <v>10.4114</v>
      </c>
      <c r="J2362">
        <v>24595</v>
      </c>
      <c r="K2362">
        <v>-0.7782</v>
      </c>
      <c r="L2362">
        <v>1.5748</v>
      </c>
    </row>
    <row r="2363" spans="1:12" hidden="1" x14ac:dyDescent="0.25">
      <c r="A2363">
        <v>2330</v>
      </c>
      <c r="B2363" t="s">
        <v>11</v>
      </c>
      <c r="C2363" s="1">
        <v>41919</v>
      </c>
      <c r="D2363" s="2">
        <f t="shared" si="72"/>
        <v>2</v>
      </c>
      <c r="E2363" s="2">
        <f t="shared" si="73"/>
        <v>10</v>
      </c>
      <c r="F2363">
        <v>102.79810000000001</v>
      </c>
      <c r="G2363">
        <v>103.2093</v>
      </c>
      <c r="H2363">
        <v>101.5645</v>
      </c>
      <c r="I2363">
        <v>102.79810000000001</v>
      </c>
      <c r="J2363">
        <v>40188</v>
      </c>
      <c r="K2363">
        <v>-0.79679999999999995</v>
      </c>
      <c r="L2363">
        <v>1.6194</v>
      </c>
    </row>
    <row r="2364" spans="1:12" x14ac:dyDescent="0.25">
      <c r="A2364">
        <v>2303</v>
      </c>
      <c r="B2364" t="s">
        <v>10</v>
      </c>
      <c r="C2364" s="1">
        <v>41920</v>
      </c>
      <c r="D2364" s="2">
        <f t="shared" si="72"/>
        <v>3</v>
      </c>
      <c r="E2364" s="2">
        <f t="shared" si="73"/>
        <v>10</v>
      </c>
      <c r="F2364">
        <v>10.3301</v>
      </c>
      <c r="G2364">
        <v>10.614800000000001</v>
      </c>
      <c r="H2364">
        <v>10.289400000000001</v>
      </c>
      <c r="I2364">
        <v>10.492800000000001</v>
      </c>
      <c r="J2364">
        <v>38846</v>
      </c>
      <c r="K2364">
        <v>0.7782</v>
      </c>
      <c r="L2364">
        <v>3.1621000000000001</v>
      </c>
    </row>
    <row r="2365" spans="1:12" hidden="1" x14ac:dyDescent="0.25">
      <c r="A2365">
        <v>2330</v>
      </c>
      <c r="B2365" t="s">
        <v>11</v>
      </c>
      <c r="C2365" s="1">
        <v>41920</v>
      </c>
      <c r="D2365" s="2">
        <f t="shared" si="72"/>
        <v>3</v>
      </c>
      <c r="E2365" s="2">
        <f t="shared" si="73"/>
        <v>10</v>
      </c>
      <c r="F2365">
        <v>101.5645</v>
      </c>
      <c r="G2365">
        <v>102.79810000000001</v>
      </c>
      <c r="H2365">
        <v>100.7422</v>
      </c>
      <c r="I2365">
        <v>100.7422</v>
      </c>
      <c r="J2365">
        <v>30938</v>
      </c>
      <c r="K2365">
        <v>-2.0203000000000002</v>
      </c>
      <c r="L2365">
        <v>2.0407999999999999</v>
      </c>
    </row>
    <row r="2366" spans="1:12" x14ac:dyDescent="0.25">
      <c r="A2366">
        <v>2303</v>
      </c>
      <c r="B2366" t="s">
        <v>10</v>
      </c>
      <c r="C2366" s="1">
        <v>41921</v>
      </c>
      <c r="D2366" s="2">
        <f t="shared" si="72"/>
        <v>4</v>
      </c>
      <c r="E2366" s="2">
        <f t="shared" si="73"/>
        <v>10</v>
      </c>
      <c r="F2366">
        <v>10.5741</v>
      </c>
      <c r="G2366">
        <v>10.6554</v>
      </c>
      <c r="H2366">
        <v>10.492800000000001</v>
      </c>
      <c r="I2366">
        <v>10.492800000000001</v>
      </c>
      <c r="J2366">
        <v>55119</v>
      </c>
      <c r="K2366">
        <v>0</v>
      </c>
      <c r="L2366">
        <v>1.5504</v>
      </c>
    </row>
    <row r="2367" spans="1:12" hidden="1" x14ac:dyDescent="0.25">
      <c r="A2367">
        <v>2330</v>
      </c>
      <c r="B2367" t="s">
        <v>11</v>
      </c>
      <c r="C2367" s="1">
        <v>41921</v>
      </c>
      <c r="D2367" s="2">
        <f t="shared" si="72"/>
        <v>4</v>
      </c>
      <c r="E2367" s="2">
        <f t="shared" si="73"/>
        <v>10</v>
      </c>
      <c r="F2367">
        <v>101.9757</v>
      </c>
      <c r="G2367">
        <v>102.79810000000001</v>
      </c>
      <c r="H2367">
        <v>101.5645</v>
      </c>
      <c r="I2367">
        <v>102.79810000000001</v>
      </c>
      <c r="J2367">
        <v>37115</v>
      </c>
      <c r="K2367">
        <v>2.0203000000000002</v>
      </c>
      <c r="L2367">
        <v>1.2145999999999999</v>
      </c>
    </row>
    <row r="2368" spans="1:12" x14ac:dyDescent="0.25">
      <c r="A2368">
        <v>2303</v>
      </c>
      <c r="B2368" t="s">
        <v>10</v>
      </c>
      <c r="C2368" s="1">
        <v>41925</v>
      </c>
      <c r="D2368" s="2">
        <f t="shared" si="72"/>
        <v>1</v>
      </c>
      <c r="E2368" s="2">
        <f t="shared" si="73"/>
        <v>10</v>
      </c>
      <c r="F2368">
        <v>10.167400000000001</v>
      </c>
      <c r="G2368">
        <v>10.167400000000001</v>
      </c>
      <c r="H2368">
        <v>9.9641000000000002</v>
      </c>
      <c r="I2368">
        <v>10.0047</v>
      </c>
      <c r="J2368">
        <v>66429</v>
      </c>
      <c r="K2368">
        <v>-4.7628000000000004</v>
      </c>
      <c r="L2368">
        <v>2.0407999999999999</v>
      </c>
    </row>
    <row r="2369" spans="1:12" hidden="1" x14ac:dyDescent="0.25">
      <c r="A2369">
        <v>2330</v>
      </c>
      <c r="B2369" t="s">
        <v>11</v>
      </c>
      <c r="C2369" s="1">
        <v>41925</v>
      </c>
      <c r="D2369" s="2">
        <f t="shared" si="72"/>
        <v>1</v>
      </c>
      <c r="E2369" s="2">
        <f t="shared" si="73"/>
        <v>10</v>
      </c>
      <c r="F2369">
        <v>97.863799999999998</v>
      </c>
      <c r="G2369">
        <v>99.919799999999995</v>
      </c>
      <c r="H2369">
        <v>97.041399999999996</v>
      </c>
      <c r="I2369">
        <v>99.097399999999993</v>
      </c>
      <c r="J2369">
        <v>77985</v>
      </c>
      <c r="K2369">
        <v>-3.6663999999999999</v>
      </c>
      <c r="L2369">
        <v>2.9661</v>
      </c>
    </row>
    <row r="2370" spans="1:12" x14ac:dyDescent="0.25">
      <c r="A2370">
        <v>2303</v>
      </c>
      <c r="B2370" t="s">
        <v>10</v>
      </c>
      <c r="C2370" s="1">
        <v>41926</v>
      </c>
      <c r="D2370" s="2">
        <f t="shared" si="72"/>
        <v>2</v>
      </c>
      <c r="E2370" s="2">
        <f t="shared" si="73"/>
        <v>10</v>
      </c>
      <c r="F2370">
        <v>10.0861</v>
      </c>
      <c r="G2370">
        <v>10.289400000000001</v>
      </c>
      <c r="H2370">
        <v>10.045400000000001</v>
      </c>
      <c r="I2370">
        <v>10.2081</v>
      </c>
      <c r="J2370">
        <v>52565</v>
      </c>
      <c r="K2370">
        <v>2.0121000000000002</v>
      </c>
      <c r="L2370">
        <v>2.4291</v>
      </c>
    </row>
    <row r="2371" spans="1:12" hidden="1" x14ac:dyDescent="0.25">
      <c r="A2371">
        <v>2330</v>
      </c>
      <c r="B2371" t="s">
        <v>11</v>
      </c>
      <c r="C2371" s="1">
        <v>41926</v>
      </c>
      <c r="D2371" s="2">
        <f t="shared" ref="D2371:D2434" si="74">WEEKDAY(C2371,2)</f>
        <v>2</v>
      </c>
      <c r="E2371" s="2">
        <f t="shared" ref="E2371:E2434" si="75">MONTH(C2371)</f>
        <v>10</v>
      </c>
      <c r="F2371">
        <v>98.686199999999999</v>
      </c>
      <c r="G2371">
        <v>99.919799999999995</v>
      </c>
      <c r="H2371">
        <v>98.275000000000006</v>
      </c>
      <c r="I2371">
        <v>99.508600000000001</v>
      </c>
      <c r="J2371">
        <v>31887</v>
      </c>
      <c r="K2371">
        <v>0.41410000000000002</v>
      </c>
      <c r="L2371">
        <v>1.6736</v>
      </c>
    </row>
    <row r="2372" spans="1:12" x14ac:dyDescent="0.25">
      <c r="A2372">
        <v>2303</v>
      </c>
      <c r="B2372" t="s">
        <v>10</v>
      </c>
      <c r="C2372" s="1">
        <v>41927</v>
      </c>
      <c r="D2372" s="2">
        <f t="shared" si="74"/>
        <v>3</v>
      </c>
      <c r="E2372" s="2">
        <f t="shared" si="75"/>
        <v>10</v>
      </c>
      <c r="F2372">
        <v>10.167400000000001</v>
      </c>
      <c r="G2372">
        <v>10.2081</v>
      </c>
      <c r="H2372">
        <v>10.0047</v>
      </c>
      <c r="I2372">
        <v>10.0861</v>
      </c>
      <c r="J2372">
        <v>57239</v>
      </c>
      <c r="K2372">
        <v>-1.2023999999999999</v>
      </c>
      <c r="L2372">
        <v>2.0325000000000002</v>
      </c>
    </row>
    <row r="2373" spans="1:12" hidden="1" x14ac:dyDescent="0.25">
      <c r="A2373">
        <v>2330</v>
      </c>
      <c r="B2373" t="s">
        <v>11</v>
      </c>
      <c r="C2373" s="1">
        <v>41927</v>
      </c>
      <c r="D2373" s="2">
        <f t="shared" si="74"/>
        <v>3</v>
      </c>
      <c r="E2373" s="2">
        <f t="shared" si="75"/>
        <v>10</v>
      </c>
      <c r="F2373">
        <v>99.919799999999995</v>
      </c>
      <c r="G2373">
        <v>101.1534</v>
      </c>
      <c r="H2373">
        <v>99.508600000000001</v>
      </c>
      <c r="I2373">
        <v>99.919799999999995</v>
      </c>
      <c r="J2373">
        <v>50496</v>
      </c>
      <c r="K2373">
        <v>0.41239999999999999</v>
      </c>
      <c r="L2373">
        <v>1.6529</v>
      </c>
    </row>
    <row r="2374" spans="1:12" x14ac:dyDescent="0.25">
      <c r="A2374">
        <v>2303</v>
      </c>
      <c r="B2374" t="s">
        <v>10</v>
      </c>
      <c r="C2374" s="1">
        <v>41928</v>
      </c>
      <c r="D2374" s="2">
        <f t="shared" si="74"/>
        <v>4</v>
      </c>
      <c r="E2374" s="2">
        <f t="shared" si="75"/>
        <v>10</v>
      </c>
      <c r="F2374">
        <v>10.0047</v>
      </c>
      <c r="G2374">
        <v>10.1267</v>
      </c>
      <c r="H2374">
        <v>9.8826999999999998</v>
      </c>
      <c r="I2374">
        <v>10.0047</v>
      </c>
      <c r="J2374">
        <v>45654</v>
      </c>
      <c r="K2374">
        <v>-0.80969999999999998</v>
      </c>
      <c r="L2374">
        <v>2.4691000000000001</v>
      </c>
    </row>
    <row r="2375" spans="1:12" hidden="1" x14ac:dyDescent="0.25">
      <c r="A2375">
        <v>2330</v>
      </c>
      <c r="B2375" t="s">
        <v>11</v>
      </c>
      <c r="C2375" s="1">
        <v>41928</v>
      </c>
      <c r="D2375" s="2">
        <f t="shared" si="74"/>
        <v>4</v>
      </c>
      <c r="E2375" s="2">
        <f t="shared" si="75"/>
        <v>10</v>
      </c>
      <c r="F2375">
        <v>99.919799999999995</v>
      </c>
      <c r="G2375">
        <v>101.9757</v>
      </c>
      <c r="H2375">
        <v>98.686199999999999</v>
      </c>
      <c r="I2375">
        <v>99.919799999999995</v>
      </c>
      <c r="J2375">
        <v>46431</v>
      </c>
      <c r="K2375">
        <v>0</v>
      </c>
      <c r="L2375">
        <v>3.3332999999999999</v>
      </c>
    </row>
    <row r="2376" spans="1:12" x14ac:dyDescent="0.25">
      <c r="A2376">
        <v>2303</v>
      </c>
      <c r="B2376" t="s">
        <v>10</v>
      </c>
      <c r="C2376" s="1">
        <v>41929</v>
      </c>
      <c r="D2376" s="2">
        <f t="shared" si="74"/>
        <v>5</v>
      </c>
      <c r="E2376" s="2">
        <f t="shared" si="75"/>
        <v>10</v>
      </c>
      <c r="F2376">
        <v>10.1267</v>
      </c>
      <c r="G2376">
        <v>10.1267</v>
      </c>
      <c r="H2376">
        <v>9.8013999999999992</v>
      </c>
      <c r="I2376">
        <v>9.8013999999999992</v>
      </c>
      <c r="J2376">
        <v>55922</v>
      </c>
      <c r="K2376">
        <v>-2.0535000000000001</v>
      </c>
      <c r="L2376">
        <v>3.3195000000000001</v>
      </c>
    </row>
    <row r="2377" spans="1:12" hidden="1" x14ac:dyDescent="0.25">
      <c r="A2377">
        <v>2330</v>
      </c>
      <c r="B2377" t="s">
        <v>11</v>
      </c>
      <c r="C2377" s="1">
        <v>41929</v>
      </c>
      <c r="D2377" s="2">
        <f t="shared" si="74"/>
        <v>5</v>
      </c>
      <c r="E2377" s="2">
        <f t="shared" si="75"/>
        <v>10</v>
      </c>
      <c r="F2377">
        <v>102.79810000000001</v>
      </c>
      <c r="G2377">
        <v>103.2093</v>
      </c>
      <c r="H2377">
        <v>101.5645</v>
      </c>
      <c r="I2377">
        <v>101.5645</v>
      </c>
      <c r="J2377">
        <v>92077</v>
      </c>
      <c r="K2377">
        <v>1.6327</v>
      </c>
      <c r="L2377">
        <v>1.6194</v>
      </c>
    </row>
    <row r="2378" spans="1:12" x14ac:dyDescent="0.25">
      <c r="A2378">
        <v>2303</v>
      </c>
      <c r="B2378" t="s">
        <v>10</v>
      </c>
      <c r="C2378" s="1">
        <v>41932</v>
      </c>
      <c r="D2378" s="2">
        <f t="shared" si="74"/>
        <v>1</v>
      </c>
      <c r="E2378" s="2">
        <f t="shared" si="75"/>
        <v>10</v>
      </c>
      <c r="F2378">
        <v>9.9641000000000002</v>
      </c>
      <c r="G2378">
        <v>10.0861</v>
      </c>
      <c r="H2378">
        <v>9.9234000000000009</v>
      </c>
      <c r="I2378">
        <v>10.045400000000001</v>
      </c>
      <c r="J2378">
        <v>40040</v>
      </c>
      <c r="K2378">
        <v>2.4590999999999998</v>
      </c>
      <c r="L2378">
        <v>1.6393</v>
      </c>
    </row>
    <row r="2379" spans="1:12" hidden="1" x14ac:dyDescent="0.25">
      <c r="A2379">
        <v>2330</v>
      </c>
      <c r="B2379" t="s">
        <v>11</v>
      </c>
      <c r="C2379" s="1">
        <v>41932</v>
      </c>
      <c r="D2379" s="2">
        <f t="shared" si="74"/>
        <v>1</v>
      </c>
      <c r="E2379" s="2">
        <f t="shared" si="75"/>
        <v>10</v>
      </c>
      <c r="F2379">
        <v>102.79810000000001</v>
      </c>
      <c r="G2379">
        <v>103.62050000000001</v>
      </c>
      <c r="H2379">
        <v>102.3869</v>
      </c>
      <c r="I2379">
        <v>103.62050000000001</v>
      </c>
      <c r="J2379">
        <v>38619</v>
      </c>
      <c r="K2379">
        <v>2.0041000000000002</v>
      </c>
      <c r="L2379">
        <v>1.2048000000000001</v>
      </c>
    </row>
    <row r="2380" spans="1:12" x14ac:dyDescent="0.25">
      <c r="A2380">
        <v>2303</v>
      </c>
      <c r="B2380" t="s">
        <v>10</v>
      </c>
      <c r="C2380" s="1">
        <v>41933</v>
      </c>
      <c r="D2380" s="2">
        <f t="shared" si="74"/>
        <v>2</v>
      </c>
      <c r="E2380" s="2">
        <f t="shared" si="75"/>
        <v>10</v>
      </c>
      <c r="F2380">
        <v>10.045400000000001</v>
      </c>
      <c r="G2380">
        <v>10.0861</v>
      </c>
      <c r="H2380">
        <v>9.9641000000000002</v>
      </c>
      <c r="I2380">
        <v>10.0047</v>
      </c>
      <c r="J2380">
        <v>13021</v>
      </c>
      <c r="K2380">
        <v>-0.40570000000000001</v>
      </c>
      <c r="L2380">
        <v>1.2244999999999999</v>
      </c>
    </row>
    <row r="2381" spans="1:12" hidden="1" x14ac:dyDescent="0.25">
      <c r="A2381">
        <v>2330</v>
      </c>
      <c r="B2381" t="s">
        <v>11</v>
      </c>
      <c r="C2381" s="1">
        <v>41933</v>
      </c>
      <c r="D2381" s="2">
        <f t="shared" si="74"/>
        <v>2</v>
      </c>
      <c r="E2381" s="2">
        <f t="shared" si="75"/>
        <v>10</v>
      </c>
      <c r="F2381">
        <v>103.62050000000001</v>
      </c>
      <c r="G2381">
        <v>103.62050000000001</v>
      </c>
      <c r="H2381">
        <v>102.3869</v>
      </c>
      <c r="I2381">
        <v>102.79810000000001</v>
      </c>
      <c r="J2381">
        <v>25647</v>
      </c>
      <c r="K2381">
        <v>-0.79679999999999995</v>
      </c>
      <c r="L2381">
        <v>1.2048000000000001</v>
      </c>
    </row>
    <row r="2382" spans="1:12" x14ac:dyDescent="0.25">
      <c r="A2382">
        <v>2303</v>
      </c>
      <c r="B2382" t="s">
        <v>10</v>
      </c>
      <c r="C2382" s="1">
        <v>41934</v>
      </c>
      <c r="D2382" s="2">
        <f t="shared" si="74"/>
        <v>3</v>
      </c>
      <c r="E2382" s="2">
        <f t="shared" si="75"/>
        <v>10</v>
      </c>
      <c r="F2382">
        <v>10.0861</v>
      </c>
      <c r="G2382">
        <v>10.2081</v>
      </c>
      <c r="H2382">
        <v>10.0861</v>
      </c>
      <c r="I2382">
        <v>10.1267</v>
      </c>
      <c r="J2382">
        <v>43141</v>
      </c>
      <c r="K2382">
        <v>1.2121</v>
      </c>
      <c r="L2382">
        <v>1.2097</v>
      </c>
    </row>
    <row r="2383" spans="1:12" hidden="1" x14ac:dyDescent="0.25">
      <c r="A2383">
        <v>2330</v>
      </c>
      <c r="B2383" t="s">
        <v>11</v>
      </c>
      <c r="C2383" s="1">
        <v>41934</v>
      </c>
      <c r="D2383" s="2">
        <f t="shared" si="74"/>
        <v>3</v>
      </c>
      <c r="E2383" s="2">
        <f t="shared" si="75"/>
        <v>10</v>
      </c>
      <c r="F2383">
        <v>104.8541</v>
      </c>
      <c r="G2383">
        <v>106.0877</v>
      </c>
      <c r="H2383">
        <v>104.8541</v>
      </c>
      <c r="I2383">
        <v>106.0877</v>
      </c>
      <c r="J2383">
        <v>65855</v>
      </c>
      <c r="K2383">
        <v>3.1499000000000001</v>
      </c>
      <c r="L2383">
        <v>1.1765000000000001</v>
      </c>
    </row>
    <row r="2384" spans="1:12" x14ac:dyDescent="0.25">
      <c r="A2384">
        <v>2303</v>
      </c>
      <c r="B2384" t="s">
        <v>10</v>
      </c>
      <c r="C2384" s="1">
        <v>41935</v>
      </c>
      <c r="D2384" s="2">
        <f t="shared" si="74"/>
        <v>4</v>
      </c>
      <c r="E2384" s="2">
        <f t="shared" si="75"/>
        <v>10</v>
      </c>
      <c r="F2384">
        <v>10.0861</v>
      </c>
      <c r="G2384">
        <v>10.2081</v>
      </c>
      <c r="H2384">
        <v>10.045400000000001</v>
      </c>
      <c r="I2384">
        <v>10.167400000000001</v>
      </c>
      <c r="J2384">
        <v>22487</v>
      </c>
      <c r="K2384">
        <v>0.40079999999999999</v>
      </c>
      <c r="L2384">
        <v>1.6194</v>
      </c>
    </row>
    <row r="2385" spans="1:12" hidden="1" x14ac:dyDescent="0.25">
      <c r="A2385">
        <v>2330</v>
      </c>
      <c r="B2385" t="s">
        <v>11</v>
      </c>
      <c r="C2385" s="1">
        <v>41935</v>
      </c>
      <c r="D2385" s="2">
        <f t="shared" si="74"/>
        <v>4</v>
      </c>
      <c r="E2385" s="2">
        <f t="shared" si="75"/>
        <v>10</v>
      </c>
      <c r="F2385">
        <v>105.2653</v>
      </c>
      <c r="G2385">
        <v>105.6765</v>
      </c>
      <c r="H2385">
        <v>104.8541</v>
      </c>
      <c r="I2385">
        <v>104.8541</v>
      </c>
      <c r="J2385">
        <v>28085</v>
      </c>
      <c r="K2385">
        <v>-1.1696</v>
      </c>
      <c r="L2385">
        <v>0.7843</v>
      </c>
    </row>
    <row r="2386" spans="1:12" x14ac:dyDescent="0.25">
      <c r="A2386">
        <v>2303</v>
      </c>
      <c r="B2386" t="s">
        <v>10</v>
      </c>
      <c r="C2386" s="1">
        <v>41936</v>
      </c>
      <c r="D2386" s="2">
        <f t="shared" si="74"/>
        <v>5</v>
      </c>
      <c r="E2386" s="2">
        <f t="shared" si="75"/>
        <v>10</v>
      </c>
      <c r="F2386">
        <v>10.167400000000001</v>
      </c>
      <c r="G2386">
        <v>10.2081</v>
      </c>
      <c r="H2386">
        <v>10.045400000000001</v>
      </c>
      <c r="I2386">
        <v>10.045400000000001</v>
      </c>
      <c r="J2386">
        <v>19761</v>
      </c>
      <c r="K2386">
        <v>-1.2073</v>
      </c>
      <c r="L2386">
        <v>1.6194</v>
      </c>
    </row>
    <row r="2387" spans="1:12" hidden="1" x14ac:dyDescent="0.25">
      <c r="A2387">
        <v>2330</v>
      </c>
      <c r="B2387" t="s">
        <v>11</v>
      </c>
      <c r="C2387" s="1">
        <v>41936</v>
      </c>
      <c r="D2387" s="2">
        <f t="shared" si="74"/>
        <v>5</v>
      </c>
      <c r="E2387" s="2">
        <f t="shared" si="75"/>
        <v>10</v>
      </c>
      <c r="F2387">
        <v>104.44289999999999</v>
      </c>
      <c r="G2387">
        <v>104.8541</v>
      </c>
      <c r="H2387">
        <v>102.79810000000001</v>
      </c>
      <c r="I2387">
        <v>103.2093</v>
      </c>
      <c r="J2387">
        <v>42161</v>
      </c>
      <c r="K2387">
        <v>-1.5810999999999999</v>
      </c>
      <c r="L2387">
        <v>2</v>
      </c>
    </row>
    <row r="2388" spans="1:12" x14ac:dyDescent="0.25">
      <c r="A2388">
        <v>2303</v>
      </c>
      <c r="B2388" t="s">
        <v>10</v>
      </c>
      <c r="C2388" s="1">
        <v>41939</v>
      </c>
      <c r="D2388" s="2">
        <f t="shared" si="74"/>
        <v>1</v>
      </c>
      <c r="E2388" s="2">
        <f t="shared" si="75"/>
        <v>10</v>
      </c>
      <c r="F2388">
        <v>10.167400000000001</v>
      </c>
      <c r="G2388">
        <v>10.167400000000001</v>
      </c>
      <c r="H2388">
        <v>10.045400000000001</v>
      </c>
      <c r="I2388">
        <v>10.045400000000001</v>
      </c>
      <c r="J2388">
        <v>16606</v>
      </c>
      <c r="K2388">
        <v>0</v>
      </c>
      <c r="L2388">
        <v>1.2145999999999999</v>
      </c>
    </row>
    <row r="2389" spans="1:12" hidden="1" x14ac:dyDescent="0.25">
      <c r="A2389">
        <v>2330</v>
      </c>
      <c r="B2389" t="s">
        <v>11</v>
      </c>
      <c r="C2389" s="1">
        <v>41939</v>
      </c>
      <c r="D2389" s="2">
        <f t="shared" si="74"/>
        <v>1</v>
      </c>
      <c r="E2389" s="2">
        <f t="shared" si="75"/>
        <v>10</v>
      </c>
      <c r="F2389">
        <v>104.0317</v>
      </c>
      <c r="G2389">
        <v>105.2653</v>
      </c>
      <c r="H2389">
        <v>104.0317</v>
      </c>
      <c r="I2389">
        <v>105.2653</v>
      </c>
      <c r="J2389">
        <v>25145</v>
      </c>
      <c r="K2389">
        <v>1.9724999999999999</v>
      </c>
      <c r="L2389">
        <v>1.1858</v>
      </c>
    </row>
    <row r="2390" spans="1:12" x14ac:dyDescent="0.25">
      <c r="A2390">
        <v>2303</v>
      </c>
      <c r="B2390" t="s">
        <v>10</v>
      </c>
      <c r="C2390" s="1">
        <v>41940</v>
      </c>
      <c r="D2390" s="2">
        <f t="shared" si="74"/>
        <v>2</v>
      </c>
      <c r="E2390" s="2">
        <f t="shared" si="75"/>
        <v>10</v>
      </c>
      <c r="F2390">
        <v>10.1267</v>
      </c>
      <c r="G2390">
        <v>10.167400000000001</v>
      </c>
      <c r="H2390">
        <v>10.0861</v>
      </c>
      <c r="I2390">
        <v>10.1267</v>
      </c>
      <c r="J2390">
        <v>21241</v>
      </c>
      <c r="K2390">
        <v>0.80649999999999999</v>
      </c>
      <c r="L2390">
        <v>0.80649999999999999</v>
      </c>
    </row>
    <row r="2391" spans="1:12" hidden="1" x14ac:dyDescent="0.25">
      <c r="A2391">
        <v>2330</v>
      </c>
      <c r="B2391" t="s">
        <v>11</v>
      </c>
      <c r="C2391" s="1">
        <v>41940</v>
      </c>
      <c r="D2391" s="2">
        <f t="shared" si="74"/>
        <v>2</v>
      </c>
      <c r="E2391" s="2">
        <f t="shared" si="75"/>
        <v>10</v>
      </c>
      <c r="F2391">
        <v>106.0877</v>
      </c>
      <c r="G2391">
        <v>106.49890000000001</v>
      </c>
      <c r="H2391">
        <v>104.8541</v>
      </c>
      <c r="I2391">
        <v>105.2653</v>
      </c>
      <c r="J2391">
        <v>35018</v>
      </c>
      <c r="K2391">
        <v>0</v>
      </c>
      <c r="L2391">
        <v>1.5686</v>
      </c>
    </row>
    <row r="2392" spans="1:12" x14ac:dyDescent="0.25">
      <c r="A2392">
        <v>2303</v>
      </c>
      <c r="B2392" t="s">
        <v>10</v>
      </c>
      <c r="C2392" s="1">
        <v>41941</v>
      </c>
      <c r="D2392" s="2">
        <f t="shared" si="74"/>
        <v>3</v>
      </c>
      <c r="E2392" s="2">
        <f t="shared" si="75"/>
        <v>10</v>
      </c>
      <c r="F2392">
        <v>10.2081</v>
      </c>
      <c r="G2392">
        <v>10.370799999999999</v>
      </c>
      <c r="H2392">
        <v>10.167400000000001</v>
      </c>
      <c r="I2392">
        <v>10.289400000000001</v>
      </c>
      <c r="J2392">
        <v>47324</v>
      </c>
      <c r="K2392">
        <v>1.5936999999999999</v>
      </c>
      <c r="L2392">
        <v>2</v>
      </c>
    </row>
    <row r="2393" spans="1:12" hidden="1" x14ac:dyDescent="0.25">
      <c r="A2393">
        <v>2330</v>
      </c>
      <c r="B2393" t="s">
        <v>11</v>
      </c>
      <c r="C2393" s="1">
        <v>41941</v>
      </c>
      <c r="D2393" s="2">
        <f t="shared" si="74"/>
        <v>3</v>
      </c>
      <c r="E2393" s="2">
        <f t="shared" si="75"/>
        <v>10</v>
      </c>
      <c r="F2393">
        <v>106.0877</v>
      </c>
      <c r="G2393">
        <v>106.49890000000001</v>
      </c>
      <c r="H2393">
        <v>105.2653</v>
      </c>
      <c r="I2393">
        <v>106.0877</v>
      </c>
      <c r="J2393">
        <v>34860</v>
      </c>
      <c r="K2393">
        <v>0.7782</v>
      </c>
      <c r="L2393">
        <v>1.1718999999999999</v>
      </c>
    </row>
    <row r="2394" spans="1:12" x14ac:dyDescent="0.25">
      <c r="A2394">
        <v>2303</v>
      </c>
      <c r="B2394" t="s">
        <v>10</v>
      </c>
      <c r="C2394" s="1">
        <v>41942</v>
      </c>
      <c r="D2394" s="2">
        <f t="shared" si="74"/>
        <v>4</v>
      </c>
      <c r="E2394" s="2">
        <f t="shared" si="75"/>
        <v>10</v>
      </c>
      <c r="F2394">
        <v>10.5741</v>
      </c>
      <c r="G2394">
        <v>10.736800000000001</v>
      </c>
      <c r="H2394">
        <v>10.492800000000001</v>
      </c>
      <c r="I2394">
        <v>10.736800000000001</v>
      </c>
      <c r="J2394">
        <v>123729</v>
      </c>
      <c r="K2394">
        <v>4.2560000000000002</v>
      </c>
      <c r="L2394">
        <v>2.3256000000000001</v>
      </c>
    </row>
    <row r="2395" spans="1:12" hidden="1" x14ac:dyDescent="0.25">
      <c r="A2395">
        <v>2330</v>
      </c>
      <c r="B2395" t="s">
        <v>11</v>
      </c>
      <c r="C2395" s="1">
        <v>41942</v>
      </c>
      <c r="D2395" s="2">
        <f t="shared" si="74"/>
        <v>4</v>
      </c>
      <c r="E2395" s="2">
        <f t="shared" si="75"/>
        <v>10</v>
      </c>
      <c r="F2395">
        <v>105.6765</v>
      </c>
      <c r="G2395">
        <v>106.0877</v>
      </c>
      <c r="H2395">
        <v>104.44289999999999</v>
      </c>
      <c r="I2395">
        <v>105.6765</v>
      </c>
      <c r="J2395">
        <v>35723</v>
      </c>
      <c r="K2395">
        <v>-0.38840000000000002</v>
      </c>
      <c r="L2395">
        <v>1.5748</v>
      </c>
    </row>
    <row r="2396" spans="1:12" x14ac:dyDescent="0.25">
      <c r="A2396">
        <v>2303</v>
      </c>
      <c r="B2396" t="s">
        <v>10</v>
      </c>
      <c r="C2396" s="1">
        <v>41943</v>
      </c>
      <c r="D2396" s="2">
        <f t="shared" si="74"/>
        <v>5</v>
      </c>
      <c r="E2396" s="2">
        <f t="shared" si="75"/>
        <v>10</v>
      </c>
      <c r="F2396">
        <v>10.818099999999999</v>
      </c>
      <c r="G2396">
        <v>10.8995</v>
      </c>
      <c r="H2396">
        <v>10.6554</v>
      </c>
      <c r="I2396">
        <v>10.8995</v>
      </c>
      <c r="J2396">
        <v>53404</v>
      </c>
      <c r="K2396">
        <v>1.5038</v>
      </c>
      <c r="L2396">
        <v>2.2900999999999998</v>
      </c>
    </row>
    <row r="2397" spans="1:12" hidden="1" x14ac:dyDescent="0.25">
      <c r="A2397">
        <v>2330</v>
      </c>
      <c r="B2397" t="s">
        <v>11</v>
      </c>
      <c r="C2397" s="1">
        <v>41943</v>
      </c>
      <c r="D2397" s="2">
        <f t="shared" si="74"/>
        <v>5</v>
      </c>
      <c r="E2397" s="2">
        <f t="shared" si="75"/>
        <v>10</v>
      </c>
      <c r="F2397">
        <v>105.2653</v>
      </c>
      <c r="G2397">
        <v>107.3212</v>
      </c>
      <c r="H2397">
        <v>104.8541</v>
      </c>
      <c r="I2397">
        <v>107.3212</v>
      </c>
      <c r="J2397">
        <v>42413</v>
      </c>
      <c r="K2397">
        <v>1.5444</v>
      </c>
      <c r="L2397">
        <v>2.3529</v>
      </c>
    </row>
    <row r="2398" spans="1:12" x14ac:dyDescent="0.25">
      <c r="A2398">
        <v>2303</v>
      </c>
      <c r="B2398" t="s">
        <v>10</v>
      </c>
      <c r="C2398" s="1">
        <v>41946</v>
      </c>
      <c r="D2398" s="2">
        <f t="shared" si="74"/>
        <v>1</v>
      </c>
      <c r="E2398" s="2">
        <f t="shared" si="75"/>
        <v>11</v>
      </c>
      <c r="F2398">
        <v>10.9808</v>
      </c>
      <c r="G2398">
        <v>10.9808</v>
      </c>
      <c r="H2398">
        <v>10.7775</v>
      </c>
      <c r="I2398">
        <v>10.8588</v>
      </c>
      <c r="J2398">
        <v>49839</v>
      </c>
      <c r="K2398">
        <v>-0.37380000000000002</v>
      </c>
      <c r="L2398">
        <v>1.8868</v>
      </c>
    </row>
    <row r="2399" spans="1:12" hidden="1" x14ac:dyDescent="0.25">
      <c r="A2399">
        <v>2330</v>
      </c>
      <c r="B2399" t="s">
        <v>11</v>
      </c>
      <c r="C2399" s="1">
        <v>41946</v>
      </c>
      <c r="D2399" s="2">
        <f t="shared" si="74"/>
        <v>1</v>
      </c>
      <c r="E2399" s="2">
        <f t="shared" si="75"/>
        <v>11</v>
      </c>
      <c r="F2399">
        <v>108.5548</v>
      </c>
      <c r="G2399">
        <v>108.96599999999999</v>
      </c>
      <c r="H2399">
        <v>107.3212</v>
      </c>
      <c r="I2399">
        <v>107.7324</v>
      </c>
      <c r="J2399">
        <v>45307</v>
      </c>
      <c r="K2399">
        <v>0.38240000000000002</v>
      </c>
      <c r="L2399">
        <v>1.5326</v>
      </c>
    </row>
    <row r="2400" spans="1:12" x14ac:dyDescent="0.25">
      <c r="A2400">
        <v>2303</v>
      </c>
      <c r="B2400" t="s">
        <v>10</v>
      </c>
      <c r="C2400" s="1">
        <v>41947</v>
      </c>
      <c r="D2400" s="2">
        <f t="shared" si="74"/>
        <v>2</v>
      </c>
      <c r="E2400" s="2">
        <f t="shared" si="75"/>
        <v>11</v>
      </c>
      <c r="F2400">
        <v>10.8588</v>
      </c>
      <c r="G2400">
        <v>10.940099999999999</v>
      </c>
      <c r="H2400">
        <v>10.736800000000001</v>
      </c>
      <c r="I2400">
        <v>10.8588</v>
      </c>
      <c r="J2400">
        <v>35369</v>
      </c>
      <c r="K2400">
        <v>0</v>
      </c>
      <c r="L2400">
        <v>1.8938999999999999</v>
      </c>
    </row>
    <row r="2401" spans="1:12" hidden="1" x14ac:dyDescent="0.25">
      <c r="A2401">
        <v>2330</v>
      </c>
      <c r="B2401" t="s">
        <v>11</v>
      </c>
      <c r="C2401" s="1">
        <v>41947</v>
      </c>
      <c r="D2401" s="2">
        <f t="shared" si="74"/>
        <v>2</v>
      </c>
      <c r="E2401" s="2">
        <f t="shared" si="75"/>
        <v>11</v>
      </c>
      <c r="F2401">
        <v>108.5548</v>
      </c>
      <c r="G2401">
        <v>108.5548</v>
      </c>
      <c r="H2401">
        <v>107.7324</v>
      </c>
      <c r="I2401">
        <v>108.5548</v>
      </c>
      <c r="J2401">
        <v>32566</v>
      </c>
      <c r="K2401">
        <v>0.76049999999999995</v>
      </c>
      <c r="L2401">
        <v>0.76339999999999997</v>
      </c>
    </row>
    <row r="2402" spans="1:12" x14ac:dyDescent="0.25">
      <c r="A2402">
        <v>2303</v>
      </c>
      <c r="B2402" t="s">
        <v>10</v>
      </c>
      <c r="C2402" s="1">
        <v>41948</v>
      </c>
      <c r="D2402" s="2">
        <f t="shared" si="74"/>
        <v>3</v>
      </c>
      <c r="E2402" s="2">
        <f t="shared" si="75"/>
        <v>11</v>
      </c>
      <c r="F2402">
        <v>10.8995</v>
      </c>
      <c r="G2402">
        <v>10.8995</v>
      </c>
      <c r="H2402">
        <v>10.736800000000001</v>
      </c>
      <c r="I2402">
        <v>10.8995</v>
      </c>
      <c r="J2402">
        <v>31673</v>
      </c>
      <c r="K2402">
        <v>0.37380000000000002</v>
      </c>
      <c r="L2402">
        <v>1.5152000000000001</v>
      </c>
    </row>
    <row r="2403" spans="1:12" hidden="1" x14ac:dyDescent="0.25">
      <c r="A2403">
        <v>2330</v>
      </c>
      <c r="B2403" t="s">
        <v>11</v>
      </c>
      <c r="C2403" s="1">
        <v>41948</v>
      </c>
      <c r="D2403" s="2">
        <f t="shared" si="74"/>
        <v>3</v>
      </c>
      <c r="E2403" s="2">
        <f t="shared" si="75"/>
        <v>11</v>
      </c>
      <c r="F2403">
        <v>108.14360000000001</v>
      </c>
      <c r="G2403">
        <v>108.5548</v>
      </c>
      <c r="H2403">
        <v>107.7324</v>
      </c>
      <c r="I2403">
        <v>108.5548</v>
      </c>
      <c r="J2403">
        <v>22638</v>
      </c>
      <c r="K2403">
        <v>0</v>
      </c>
      <c r="L2403">
        <v>0.76339999999999997</v>
      </c>
    </row>
    <row r="2404" spans="1:12" x14ac:dyDescent="0.25">
      <c r="A2404">
        <v>2303</v>
      </c>
      <c r="B2404" t="s">
        <v>10</v>
      </c>
      <c r="C2404" s="1">
        <v>41949</v>
      </c>
      <c r="D2404" s="2">
        <f t="shared" si="74"/>
        <v>4</v>
      </c>
      <c r="E2404" s="2">
        <f t="shared" si="75"/>
        <v>11</v>
      </c>
      <c r="F2404">
        <v>10.8588</v>
      </c>
      <c r="G2404">
        <v>10.8995</v>
      </c>
      <c r="H2404">
        <v>10.736800000000001</v>
      </c>
      <c r="I2404">
        <v>10.818099999999999</v>
      </c>
      <c r="J2404">
        <v>31203</v>
      </c>
      <c r="K2404">
        <v>-0.74909999999999999</v>
      </c>
      <c r="L2404">
        <v>1.5152000000000001</v>
      </c>
    </row>
    <row r="2405" spans="1:12" hidden="1" x14ac:dyDescent="0.25">
      <c r="A2405">
        <v>2330</v>
      </c>
      <c r="B2405" t="s">
        <v>11</v>
      </c>
      <c r="C2405" s="1">
        <v>41949</v>
      </c>
      <c r="D2405" s="2">
        <f t="shared" si="74"/>
        <v>4</v>
      </c>
      <c r="E2405" s="2">
        <f t="shared" si="75"/>
        <v>11</v>
      </c>
      <c r="F2405">
        <v>108.96599999999999</v>
      </c>
      <c r="G2405">
        <v>108.96599999999999</v>
      </c>
      <c r="H2405">
        <v>108.14360000000001</v>
      </c>
      <c r="I2405">
        <v>108.5548</v>
      </c>
      <c r="J2405">
        <v>28559</v>
      </c>
      <c r="K2405">
        <v>0</v>
      </c>
      <c r="L2405">
        <v>0.76049999999999995</v>
      </c>
    </row>
    <row r="2406" spans="1:12" x14ac:dyDescent="0.25">
      <c r="A2406">
        <v>2303</v>
      </c>
      <c r="B2406" t="s">
        <v>10</v>
      </c>
      <c r="C2406" s="1">
        <v>41950</v>
      </c>
      <c r="D2406" s="2">
        <f t="shared" si="74"/>
        <v>5</v>
      </c>
      <c r="E2406" s="2">
        <f t="shared" si="75"/>
        <v>11</v>
      </c>
      <c r="F2406">
        <v>10.736800000000001</v>
      </c>
      <c r="G2406">
        <v>10.8588</v>
      </c>
      <c r="H2406">
        <v>10.736800000000001</v>
      </c>
      <c r="I2406">
        <v>10.7775</v>
      </c>
      <c r="J2406">
        <v>17439</v>
      </c>
      <c r="K2406">
        <v>-0.37659999999999999</v>
      </c>
      <c r="L2406">
        <v>1.1364000000000001</v>
      </c>
    </row>
    <row r="2407" spans="1:12" hidden="1" x14ac:dyDescent="0.25">
      <c r="A2407">
        <v>2330</v>
      </c>
      <c r="B2407" t="s">
        <v>11</v>
      </c>
      <c r="C2407" s="1">
        <v>41950</v>
      </c>
      <c r="D2407" s="2">
        <f t="shared" si="74"/>
        <v>5</v>
      </c>
      <c r="E2407" s="2">
        <f t="shared" si="75"/>
        <v>11</v>
      </c>
      <c r="F2407">
        <v>108.14360000000001</v>
      </c>
      <c r="G2407">
        <v>108.14360000000001</v>
      </c>
      <c r="H2407">
        <v>107.3212</v>
      </c>
      <c r="I2407">
        <v>107.7324</v>
      </c>
      <c r="J2407">
        <v>17385</v>
      </c>
      <c r="K2407">
        <v>-0.76049999999999995</v>
      </c>
      <c r="L2407">
        <v>0.76629999999999998</v>
      </c>
    </row>
    <row r="2408" spans="1:12" x14ac:dyDescent="0.25">
      <c r="A2408">
        <v>2303</v>
      </c>
      <c r="B2408" t="s">
        <v>10</v>
      </c>
      <c r="C2408" s="1">
        <v>41953</v>
      </c>
      <c r="D2408" s="2">
        <f t="shared" si="74"/>
        <v>1</v>
      </c>
      <c r="E2408" s="2">
        <f t="shared" si="75"/>
        <v>11</v>
      </c>
      <c r="F2408">
        <v>10.8588</v>
      </c>
      <c r="G2408">
        <v>11.2248</v>
      </c>
      <c r="H2408">
        <v>10.818099999999999</v>
      </c>
      <c r="I2408">
        <v>11.062099999999999</v>
      </c>
      <c r="J2408">
        <v>99611</v>
      </c>
      <c r="K2408">
        <v>2.6072000000000002</v>
      </c>
      <c r="L2408">
        <v>3.7593999999999999</v>
      </c>
    </row>
    <row r="2409" spans="1:12" hidden="1" x14ac:dyDescent="0.25">
      <c r="A2409">
        <v>2330</v>
      </c>
      <c r="B2409" t="s">
        <v>11</v>
      </c>
      <c r="C2409" s="1">
        <v>41953</v>
      </c>
      <c r="D2409" s="2">
        <f t="shared" si="74"/>
        <v>1</v>
      </c>
      <c r="E2409" s="2">
        <f t="shared" si="75"/>
        <v>11</v>
      </c>
      <c r="F2409">
        <v>108.96599999999999</v>
      </c>
      <c r="G2409">
        <v>110.6108</v>
      </c>
      <c r="H2409">
        <v>108.5548</v>
      </c>
      <c r="I2409">
        <v>110.6108</v>
      </c>
      <c r="J2409">
        <v>43174</v>
      </c>
      <c r="K2409">
        <v>2.6366999999999998</v>
      </c>
      <c r="L2409">
        <v>1.8938999999999999</v>
      </c>
    </row>
    <row r="2410" spans="1:12" x14ac:dyDescent="0.25">
      <c r="A2410">
        <v>2303</v>
      </c>
      <c r="B2410" t="s">
        <v>10</v>
      </c>
      <c r="C2410" s="1">
        <v>41954</v>
      </c>
      <c r="D2410" s="2">
        <f t="shared" si="74"/>
        <v>2</v>
      </c>
      <c r="E2410" s="2">
        <f t="shared" si="75"/>
        <v>11</v>
      </c>
      <c r="F2410">
        <v>11.1028</v>
      </c>
      <c r="G2410">
        <v>11.1435</v>
      </c>
      <c r="H2410">
        <v>10.940099999999999</v>
      </c>
      <c r="I2410">
        <v>11.062099999999999</v>
      </c>
      <c r="J2410">
        <v>50161</v>
      </c>
      <c r="K2410">
        <v>0</v>
      </c>
      <c r="L2410">
        <v>1.8587</v>
      </c>
    </row>
    <row r="2411" spans="1:12" hidden="1" x14ac:dyDescent="0.25">
      <c r="A2411">
        <v>2330</v>
      </c>
      <c r="B2411" t="s">
        <v>11</v>
      </c>
      <c r="C2411" s="1">
        <v>41954</v>
      </c>
      <c r="D2411" s="2">
        <f t="shared" si="74"/>
        <v>2</v>
      </c>
      <c r="E2411" s="2">
        <f t="shared" si="75"/>
        <v>11</v>
      </c>
      <c r="F2411">
        <v>111.02200000000001</v>
      </c>
      <c r="G2411">
        <v>111.02200000000001</v>
      </c>
      <c r="H2411">
        <v>109.3772</v>
      </c>
      <c r="I2411">
        <v>110.1996</v>
      </c>
      <c r="J2411">
        <v>20484</v>
      </c>
      <c r="K2411">
        <v>-0.37240000000000001</v>
      </c>
      <c r="L2411">
        <v>1.5038</v>
      </c>
    </row>
    <row r="2412" spans="1:12" x14ac:dyDescent="0.25">
      <c r="A2412">
        <v>2303</v>
      </c>
      <c r="B2412" t="s">
        <v>10</v>
      </c>
      <c r="C2412" s="1">
        <v>41955</v>
      </c>
      <c r="D2412" s="2">
        <f t="shared" si="74"/>
        <v>3</v>
      </c>
      <c r="E2412" s="2">
        <f t="shared" si="75"/>
        <v>11</v>
      </c>
      <c r="F2412">
        <v>10.9808</v>
      </c>
      <c r="G2412">
        <v>11.1028</v>
      </c>
      <c r="H2412">
        <v>10.940099999999999</v>
      </c>
      <c r="I2412">
        <v>10.940099999999999</v>
      </c>
      <c r="J2412">
        <v>31673</v>
      </c>
      <c r="K2412">
        <v>-1.1091</v>
      </c>
      <c r="L2412">
        <v>1.4870000000000001</v>
      </c>
    </row>
    <row r="2413" spans="1:12" hidden="1" x14ac:dyDescent="0.25">
      <c r="A2413">
        <v>2330</v>
      </c>
      <c r="B2413" t="s">
        <v>11</v>
      </c>
      <c r="C2413" s="1">
        <v>41955</v>
      </c>
      <c r="D2413" s="2">
        <f t="shared" si="74"/>
        <v>3</v>
      </c>
      <c r="E2413" s="2">
        <f t="shared" si="75"/>
        <v>11</v>
      </c>
      <c r="F2413">
        <v>110.6108</v>
      </c>
      <c r="G2413">
        <v>110.6108</v>
      </c>
      <c r="H2413">
        <v>108.14360000000001</v>
      </c>
      <c r="I2413">
        <v>108.5548</v>
      </c>
      <c r="J2413">
        <v>27434</v>
      </c>
      <c r="K2413">
        <v>-1.5038</v>
      </c>
      <c r="L2413">
        <v>2.2814000000000001</v>
      </c>
    </row>
    <row r="2414" spans="1:12" x14ac:dyDescent="0.25">
      <c r="A2414">
        <v>2303</v>
      </c>
      <c r="B2414" t="s">
        <v>10</v>
      </c>
      <c r="C2414" s="1">
        <v>41956</v>
      </c>
      <c r="D2414" s="2">
        <f t="shared" si="74"/>
        <v>4</v>
      </c>
      <c r="E2414" s="2">
        <f t="shared" si="75"/>
        <v>11</v>
      </c>
      <c r="F2414">
        <v>10.9808</v>
      </c>
      <c r="G2414">
        <v>11.0215</v>
      </c>
      <c r="H2414">
        <v>10.8995</v>
      </c>
      <c r="I2414">
        <v>10.9808</v>
      </c>
      <c r="J2414">
        <v>22072</v>
      </c>
      <c r="K2414">
        <v>0.37109999999999999</v>
      </c>
      <c r="L2414">
        <v>1.1194</v>
      </c>
    </row>
    <row r="2415" spans="1:12" hidden="1" x14ac:dyDescent="0.25">
      <c r="A2415">
        <v>2330</v>
      </c>
      <c r="B2415" t="s">
        <v>11</v>
      </c>
      <c r="C2415" s="1">
        <v>41956</v>
      </c>
      <c r="D2415" s="2">
        <f t="shared" si="74"/>
        <v>4</v>
      </c>
      <c r="E2415" s="2">
        <f t="shared" si="75"/>
        <v>11</v>
      </c>
      <c r="F2415">
        <v>109.7884</v>
      </c>
      <c r="G2415">
        <v>110.6108</v>
      </c>
      <c r="H2415">
        <v>108.96599999999999</v>
      </c>
      <c r="I2415">
        <v>110.1996</v>
      </c>
      <c r="J2415">
        <v>25055</v>
      </c>
      <c r="K2415">
        <v>1.5038</v>
      </c>
      <c r="L2415">
        <v>1.5094000000000001</v>
      </c>
    </row>
    <row r="2416" spans="1:12" x14ac:dyDescent="0.25">
      <c r="A2416">
        <v>2303</v>
      </c>
      <c r="B2416" t="s">
        <v>10</v>
      </c>
      <c r="C2416" s="1">
        <v>41957</v>
      </c>
      <c r="D2416" s="2">
        <f t="shared" si="74"/>
        <v>5</v>
      </c>
      <c r="E2416" s="2">
        <f t="shared" si="75"/>
        <v>11</v>
      </c>
      <c r="F2416">
        <v>10.9808</v>
      </c>
      <c r="G2416">
        <v>11.1435</v>
      </c>
      <c r="H2416">
        <v>10.940099999999999</v>
      </c>
      <c r="I2416">
        <v>11.1028</v>
      </c>
      <c r="J2416">
        <v>49080</v>
      </c>
      <c r="K2416">
        <v>1.105</v>
      </c>
      <c r="L2416">
        <v>1.8587</v>
      </c>
    </row>
    <row r="2417" spans="1:12" hidden="1" x14ac:dyDescent="0.25">
      <c r="A2417">
        <v>2330</v>
      </c>
      <c r="B2417" t="s">
        <v>11</v>
      </c>
      <c r="C2417" s="1">
        <v>41957</v>
      </c>
      <c r="D2417" s="2">
        <f t="shared" si="74"/>
        <v>5</v>
      </c>
      <c r="E2417" s="2">
        <f t="shared" si="75"/>
        <v>11</v>
      </c>
      <c r="F2417">
        <v>110.1996</v>
      </c>
      <c r="G2417">
        <v>111.02200000000001</v>
      </c>
      <c r="H2417">
        <v>109.7884</v>
      </c>
      <c r="I2417">
        <v>111.02200000000001</v>
      </c>
      <c r="J2417">
        <v>24361</v>
      </c>
      <c r="K2417">
        <v>0.74350000000000005</v>
      </c>
      <c r="L2417">
        <v>1.1235999999999999</v>
      </c>
    </row>
    <row r="2418" spans="1:12" x14ac:dyDescent="0.25">
      <c r="A2418">
        <v>2303</v>
      </c>
      <c r="B2418" t="s">
        <v>10</v>
      </c>
      <c r="C2418" s="1">
        <v>41960</v>
      </c>
      <c r="D2418" s="2">
        <f t="shared" si="74"/>
        <v>1</v>
      </c>
      <c r="E2418" s="2">
        <f t="shared" si="75"/>
        <v>11</v>
      </c>
      <c r="F2418">
        <v>11.1435</v>
      </c>
      <c r="G2418">
        <v>11.1435</v>
      </c>
      <c r="H2418">
        <v>10.818099999999999</v>
      </c>
      <c r="I2418">
        <v>10.8588</v>
      </c>
      <c r="J2418">
        <v>36202</v>
      </c>
      <c r="K2418">
        <v>-2.2223000000000002</v>
      </c>
      <c r="L2418">
        <v>3.0074999999999998</v>
      </c>
    </row>
    <row r="2419" spans="1:12" hidden="1" x14ac:dyDescent="0.25">
      <c r="A2419">
        <v>2330</v>
      </c>
      <c r="B2419" t="s">
        <v>11</v>
      </c>
      <c r="C2419" s="1">
        <v>41960</v>
      </c>
      <c r="D2419" s="2">
        <f t="shared" si="74"/>
        <v>1</v>
      </c>
      <c r="E2419" s="2">
        <f t="shared" si="75"/>
        <v>11</v>
      </c>
      <c r="F2419">
        <v>111.02200000000001</v>
      </c>
      <c r="G2419">
        <v>111.4332</v>
      </c>
      <c r="H2419">
        <v>108.96599999999999</v>
      </c>
      <c r="I2419">
        <v>109.3772</v>
      </c>
      <c r="J2419">
        <v>24772</v>
      </c>
      <c r="K2419">
        <v>-1.4925999999999999</v>
      </c>
      <c r="L2419">
        <v>2.2642000000000002</v>
      </c>
    </row>
    <row r="2420" spans="1:12" x14ac:dyDescent="0.25">
      <c r="A2420">
        <v>2303</v>
      </c>
      <c r="B2420" t="s">
        <v>10</v>
      </c>
      <c r="C2420" s="1">
        <v>41961</v>
      </c>
      <c r="D2420" s="2">
        <f t="shared" si="74"/>
        <v>2</v>
      </c>
      <c r="E2420" s="2">
        <f t="shared" si="75"/>
        <v>11</v>
      </c>
      <c r="F2420">
        <v>10.8995</v>
      </c>
      <c r="G2420">
        <v>10.940099999999999</v>
      </c>
      <c r="H2420">
        <v>10.614800000000001</v>
      </c>
      <c r="I2420">
        <v>10.736800000000001</v>
      </c>
      <c r="J2420">
        <v>39791</v>
      </c>
      <c r="K2420">
        <v>-1.1299999999999999</v>
      </c>
      <c r="L2420">
        <v>3.0651000000000002</v>
      </c>
    </row>
    <row r="2421" spans="1:12" hidden="1" x14ac:dyDescent="0.25">
      <c r="A2421">
        <v>2330</v>
      </c>
      <c r="B2421" t="s">
        <v>11</v>
      </c>
      <c r="C2421" s="1">
        <v>41961</v>
      </c>
      <c r="D2421" s="2">
        <f t="shared" si="74"/>
        <v>2</v>
      </c>
      <c r="E2421" s="2">
        <f t="shared" si="75"/>
        <v>11</v>
      </c>
      <c r="F2421">
        <v>110.1996</v>
      </c>
      <c r="G2421">
        <v>110.6108</v>
      </c>
      <c r="H2421">
        <v>107.7324</v>
      </c>
      <c r="I2421">
        <v>108.14360000000001</v>
      </c>
      <c r="J2421">
        <v>43227</v>
      </c>
      <c r="K2421">
        <v>-1.1342000000000001</v>
      </c>
      <c r="L2421">
        <v>2.6718000000000002</v>
      </c>
    </row>
    <row r="2422" spans="1:12" x14ac:dyDescent="0.25">
      <c r="A2422">
        <v>2303</v>
      </c>
      <c r="B2422" t="s">
        <v>10</v>
      </c>
      <c r="C2422" s="1">
        <v>41962</v>
      </c>
      <c r="D2422" s="2">
        <f t="shared" si="74"/>
        <v>3</v>
      </c>
      <c r="E2422" s="2">
        <f t="shared" si="75"/>
        <v>11</v>
      </c>
      <c r="F2422">
        <v>10.736800000000001</v>
      </c>
      <c r="G2422">
        <v>10.940099999999999</v>
      </c>
      <c r="H2422">
        <v>10.696099999999999</v>
      </c>
      <c r="I2422">
        <v>10.940099999999999</v>
      </c>
      <c r="J2422">
        <v>48416</v>
      </c>
      <c r="K2422">
        <v>1.8762000000000001</v>
      </c>
      <c r="L2422">
        <v>2.2814000000000001</v>
      </c>
    </row>
    <row r="2423" spans="1:12" hidden="1" x14ac:dyDescent="0.25">
      <c r="A2423">
        <v>2330</v>
      </c>
      <c r="B2423" t="s">
        <v>11</v>
      </c>
      <c r="C2423" s="1">
        <v>41962</v>
      </c>
      <c r="D2423" s="2">
        <f t="shared" si="74"/>
        <v>3</v>
      </c>
      <c r="E2423" s="2">
        <f t="shared" si="75"/>
        <v>11</v>
      </c>
      <c r="F2423">
        <v>109.3772</v>
      </c>
      <c r="G2423">
        <v>112.2556</v>
      </c>
      <c r="H2423">
        <v>108.96599999999999</v>
      </c>
      <c r="I2423">
        <v>111.84439999999999</v>
      </c>
      <c r="J2423">
        <v>71400</v>
      </c>
      <c r="K2423">
        <v>3.3647999999999998</v>
      </c>
      <c r="L2423">
        <v>3.0188999999999999</v>
      </c>
    </row>
    <row r="2424" spans="1:12" x14ac:dyDescent="0.25">
      <c r="A2424">
        <v>2303</v>
      </c>
      <c r="B2424" t="s">
        <v>10</v>
      </c>
      <c r="C2424" s="1">
        <v>41963</v>
      </c>
      <c r="D2424" s="2">
        <f t="shared" si="74"/>
        <v>4</v>
      </c>
      <c r="E2424" s="2">
        <f t="shared" si="75"/>
        <v>11</v>
      </c>
      <c r="F2424">
        <v>10.9808</v>
      </c>
      <c r="G2424">
        <v>11.4688</v>
      </c>
      <c r="H2424">
        <v>10.940099999999999</v>
      </c>
      <c r="I2424">
        <v>11.4282</v>
      </c>
      <c r="J2424">
        <v>179661</v>
      </c>
      <c r="K2424">
        <v>4.3643000000000001</v>
      </c>
      <c r="L2424">
        <v>4.8327</v>
      </c>
    </row>
    <row r="2425" spans="1:12" hidden="1" x14ac:dyDescent="0.25">
      <c r="A2425">
        <v>2330</v>
      </c>
      <c r="B2425" t="s">
        <v>11</v>
      </c>
      <c r="C2425" s="1">
        <v>41963</v>
      </c>
      <c r="D2425" s="2">
        <f t="shared" si="74"/>
        <v>4</v>
      </c>
      <c r="E2425" s="2">
        <f t="shared" si="75"/>
        <v>11</v>
      </c>
      <c r="F2425">
        <v>113.0779</v>
      </c>
      <c r="G2425">
        <v>114.3115</v>
      </c>
      <c r="H2425">
        <v>112.66670000000001</v>
      </c>
      <c r="I2425">
        <v>114.3115</v>
      </c>
      <c r="J2425">
        <v>44216</v>
      </c>
      <c r="K2425">
        <v>2.1819000000000002</v>
      </c>
      <c r="L2425">
        <v>1.4599</v>
      </c>
    </row>
    <row r="2426" spans="1:12" x14ac:dyDescent="0.25">
      <c r="A2426">
        <v>2303</v>
      </c>
      <c r="B2426" t="s">
        <v>10</v>
      </c>
      <c r="C2426" s="1">
        <v>41964</v>
      </c>
      <c r="D2426" s="2">
        <f t="shared" si="74"/>
        <v>5</v>
      </c>
      <c r="E2426" s="2">
        <f t="shared" si="75"/>
        <v>11</v>
      </c>
      <c r="F2426">
        <v>11.4688</v>
      </c>
      <c r="G2426">
        <v>11.509499999999999</v>
      </c>
      <c r="H2426">
        <v>11.3062</v>
      </c>
      <c r="I2426">
        <v>11.4282</v>
      </c>
      <c r="J2426">
        <v>77321</v>
      </c>
      <c r="K2426">
        <v>0</v>
      </c>
      <c r="L2426">
        <v>1.7986</v>
      </c>
    </row>
    <row r="2427" spans="1:12" hidden="1" x14ac:dyDescent="0.25">
      <c r="A2427">
        <v>2330</v>
      </c>
      <c r="B2427" t="s">
        <v>11</v>
      </c>
      <c r="C2427" s="1">
        <v>41964</v>
      </c>
      <c r="D2427" s="2">
        <f t="shared" si="74"/>
        <v>5</v>
      </c>
      <c r="E2427" s="2">
        <f t="shared" si="75"/>
        <v>11</v>
      </c>
      <c r="F2427">
        <v>114.7227</v>
      </c>
      <c r="G2427">
        <v>114.7227</v>
      </c>
      <c r="H2427">
        <v>113.0779</v>
      </c>
      <c r="I2427">
        <v>113.9003</v>
      </c>
      <c r="J2427">
        <v>30621</v>
      </c>
      <c r="K2427">
        <v>-0.3604</v>
      </c>
      <c r="L2427">
        <v>1.4544999999999999</v>
      </c>
    </row>
    <row r="2428" spans="1:12" x14ac:dyDescent="0.25">
      <c r="A2428">
        <v>2303</v>
      </c>
      <c r="B2428" t="s">
        <v>10</v>
      </c>
      <c r="C2428" s="1">
        <v>41967</v>
      </c>
      <c r="D2428" s="2">
        <f t="shared" si="74"/>
        <v>1</v>
      </c>
      <c r="E2428" s="2">
        <f t="shared" si="75"/>
        <v>11</v>
      </c>
      <c r="F2428">
        <v>11.4688</v>
      </c>
      <c r="G2428">
        <v>11.509499999999999</v>
      </c>
      <c r="H2428">
        <v>11.3062</v>
      </c>
      <c r="I2428">
        <v>11.3062</v>
      </c>
      <c r="J2428">
        <v>39376</v>
      </c>
      <c r="K2428">
        <v>-1.0733999999999999</v>
      </c>
      <c r="L2428">
        <v>1.7986</v>
      </c>
    </row>
    <row r="2429" spans="1:12" hidden="1" x14ac:dyDescent="0.25">
      <c r="A2429">
        <v>2330</v>
      </c>
      <c r="B2429" t="s">
        <v>11</v>
      </c>
      <c r="C2429" s="1">
        <v>41967</v>
      </c>
      <c r="D2429" s="2">
        <f t="shared" si="74"/>
        <v>1</v>
      </c>
      <c r="E2429" s="2">
        <f t="shared" si="75"/>
        <v>11</v>
      </c>
      <c r="F2429">
        <v>115.1339</v>
      </c>
      <c r="G2429">
        <v>115.54510000000001</v>
      </c>
      <c r="H2429">
        <v>113.48909999999999</v>
      </c>
      <c r="I2429">
        <v>113.9003</v>
      </c>
      <c r="J2429">
        <v>33408</v>
      </c>
      <c r="K2429">
        <v>0</v>
      </c>
      <c r="L2429">
        <v>1.8116000000000001</v>
      </c>
    </row>
    <row r="2430" spans="1:12" x14ac:dyDescent="0.25">
      <c r="A2430">
        <v>2303</v>
      </c>
      <c r="B2430" t="s">
        <v>10</v>
      </c>
      <c r="C2430" s="1">
        <v>41968</v>
      </c>
      <c r="D2430" s="2">
        <f t="shared" si="74"/>
        <v>2</v>
      </c>
      <c r="E2430" s="2">
        <f t="shared" si="75"/>
        <v>11</v>
      </c>
      <c r="F2430">
        <v>11.387499999999999</v>
      </c>
      <c r="G2430">
        <v>11.387499999999999</v>
      </c>
      <c r="H2430">
        <v>11.265499999999999</v>
      </c>
      <c r="I2430">
        <v>11.387499999999999</v>
      </c>
      <c r="J2430">
        <v>28460</v>
      </c>
      <c r="K2430">
        <v>0.71679999999999999</v>
      </c>
      <c r="L2430">
        <v>1.083</v>
      </c>
    </row>
    <row r="2431" spans="1:12" hidden="1" x14ac:dyDescent="0.25">
      <c r="A2431">
        <v>2330</v>
      </c>
      <c r="B2431" t="s">
        <v>11</v>
      </c>
      <c r="C2431" s="1">
        <v>41968</v>
      </c>
      <c r="D2431" s="2">
        <f t="shared" si="74"/>
        <v>2</v>
      </c>
      <c r="E2431" s="2">
        <f t="shared" si="75"/>
        <v>11</v>
      </c>
      <c r="F2431">
        <v>113.9003</v>
      </c>
      <c r="G2431">
        <v>115.1339</v>
      </c>
      <c r="H2431">
        <v>113.9003</v>
      </c>
      <c r="I2431">
        <v>114.3115</v>
      </c>
      <c r="J2431">
        <v>42940</v>
      </c>
      <c r="K2431">
        <v>0.3604</v>
      </c>
      <c r="L2431">
        <v>1.083</v>
      </c>
    </row>
    <row r="2432" spans="1:12" x14ac:dyDescent="0.25">
      <c r="A2432">
        <v>2303</v>
      </c>
      <c r="B2432" t="s">
        <v>10</v>
      </c>
      <c r="C2432" s="1">
        <v>41969</v>
      </c>
      <c r="D2432" s="2">
        <f t="shared" si="74"/>
        <v>3</v>
      </c>
      <c r="E2432" s="2">
        <f t="shared" si="75"/>
        <v>11</v>
      </c>
      <c r="F2432">
        <v>11.3468</v>
      </c>
      <c r="G2432">
        <v>11.387499999999999</v>
      </c>
      <c r="H2432">
        <v>11.265499999999999</v>
      </c>
      <c r="I2432">
        <v>11.265499999999999</v>
      </c>
      <c r="J2432">
        <v>28077</v>
      </c>
      <c r="K2432">
        <v>-1.0771999999999999</v>
      </c>
      <c r="L2432">
        <v>1.083</v>
      </c>
    </row>
    <row r="2433" spans="1:12" hidden="1" x14ac:dyDescent="0.25">
      <c r="A2433">
        <v>2330</v>
      </c>
      <c r="B2433" t="s">
        <v>11</v>
      </c>
      <c r="C2433" s="1">
        <v>41969</v>
      </c>
      <c r="D2433" s="2">
        <f t="shared" si="74"/>
        <v>3</v>
      </c>
      <c r="E2433" s="2">
        <f t="shared" si="75"/>
        <v>11</v>
      </c>
      <c r="F2433">
        <v>113.9003</v>
      </c>
      <c r="G2433">
        <v>114.3115</v>
      </c>
      <c r="H2433">
        <v>113.48909999999999</v>
      </c>
      <c r="I2433">
        <v>114.3115</v>
      </c>
      <c r="J2433">
        <v>23201</v>
      </c>
      <c r="K2433">
        <v>0</v>
      </c>
      <c r="L2433">
        <v>0.72460000000000002</v>
      </c>
    </row>
    <row r="2434" spans="1:12" x14ac:dyDescent="0.25">
      <c r="A2434">
        <v>2303</v>
      </c>
      <c r="B2434" t="s">
        <v>10</v>
      </c>
      <c r="C2434" s="1">
        <v>41970</v>
      </c>
      <c r="D2434" s="2">
        <f t="shared" si="74"/>
        <v>4</v>
      </c>
      <c r="E2434" s="2">
        <f t="shared" si="75"/>
        <v>11</v>
      </c>
      <c r="F2434">
        <v>11.387499999999999</v>
      </c>
      <c r="G2434">
        <v>11.5909</v>
      </c>
      <c r="H2434">
        <v>11.3062</v>
      </c>
      <c r="I2434">
        <v>11.3468</v>
      </c>
      <c r="J2434">
        <v>85677</v>
      </c>
      <c r="K2434">
        <v>0.71940000000000004</v>
      </c>
      <c r="L2434">
        <v>2.5179999999999998</v>
      </c>
    </row>
    <row r="2435" spans="1:12" hidden="1" x14ac:dyDescent="0.25">
      <c r="A2435">
        <v>2330</v>
      </c>
      <c r="B2435" t="s">
        <v>11</v>
      </c>
      <c r="C2435" s="1">
        <v>41970</v>
      </c>
      <c r="D2435" s="2">
        <f t="shared" ref="D2435:D2498" si="76">WEEKDAY(C2435,2)</f>
        <v>4</v>
      </c>
      <c r="E2435" s="2">
        <f t="shared" ref="E2435:E2498" si="77">MONTH(C2435)</f>
        <v>11</v>
      </c>
      <c r="F2435">
        <v>115.1339</v>
      </c>
      <c r="G2435">
        <v>116.7787</v>
      </c>
      <c r="H2435">
        <v>115.1339</v>
      </c>
      <c r="I2435">
        <v>115.1339</v>
      </c>
      <c r="J2435">
        <v>26580</v>
      </c>
      <c r="K2435">
        <v>0.71679999999999999</v>
      </c>
      <c r="L2435">
        <v>1.4286000000000001</v>
      </c>
    </row>
    <row r="2436" spans="1:12" x14ac:dyDescent="0.25">
      <c r="A2436">
        <v>2303</v>
      </c>
      <c r="B2436" t="s">
        <v>10</v>
      </c>
      <c r="C2436" s="1">
        <v>41971</v>
      </c>
      <c r="D2436" s="2">
        <f t="shared" si="76"/>
        <v>5</v>
      </c>
      <c r="E2436" s="2">
        <f t="shared" si="77"/>
        <v>11</v>
      </c>
      <c r="F2436">
        <v>11.387499999999999</v>
      </c>
      <c r="G2436">
        <v>11.387499999999999</v>
      </c>
      <c r="H2436">
        <v>11.184200000000001</v>
      </c>
      <c r="I2436">
        <v>11.184200000000001</v>
      </c>
      <c r="J2436">
        <v>55378</v>
      </c>
      <c r="K2436">
        <v>-1.4440999999999999</v>
      </c>
      <c r="L2436">
        <v>1.8182</v>
      </c>
    </row>
    <row r="2437" spans="1:12" hidden="1" x14ac:dyDescent="0.25">
      <c r="A2437">
        <v>2330</v>
      </c>
      <c r="B2437" t="s">
        <v>11</v>
      </c>
      <c r="C2437" s="1">
        <v>41971</v>
      </c>
      <c r="D2437" s="2">
        <f t="shared" si="76"/>
        <v>5</v>
      </c>
      <c r="E2437" s="2">
        <f t="shared" si="77"/>
        <v>11</v>
      </c>
      <c r="F2437">
        <v>114.3115</v>
      </c>
      <c r="G2437">
        <v>116.36750000000001</v>
      </c>
      <c r="H2437">
        <v>114.3115</v>
      </c>
      <c r="I2437">
        <v>116.36750000000001</v>
      </c>
      <c r="J2437">
        <v>36077</v>
      </c>
      <c r="K2437">
        <v>1.0657000000000001</v>
      </c>
      <c r="L2437">
        <v>1.7986</v>
      </c>
    </row>
    <row r="2438" spans="1:12" x14ac:dyDescent="0.25">
      <c r="A2438">
        <v>2303</v>
      </c>
      <c r="B2438" t="s">
        <v>10</v>
      </c>
      <c r="C2438" s="1">
        <v>41974</v>
      </c>
      <c r="D2438" s="2">
        <f t="shared" si="76"/>
        <v>1</v>
      </c>
      <c r="E2438" s="2">
        <f t="shared" si="77"/>
        <v>12</v>
      </c>
      <c r="F2438">
        <v>10.940099999999999</v>
      </c>
      <c r="G2438">
        <v>11.265499999999999</v>
      </c>
      <c r="H2438">
        <v>10.8995</v>
      </c>
      <c r="I2438">
        <v>11.1028</v>
      </c>
      <c r="J2438">
        <v>51390</v>
      </c>
      <c r="K2438">
        <v>-0.72989999999999999</v>
      </c>
      <c r="L2438">
        <v>3.3582000000000001</v>
      </c>
    </row>
    <row r="2439" spans="1:12" hidden="1" x14ac:dyDescent="0.25">
      <c r="A2439">
        <v>2330</v>
      </c>
      <c r="B2439" t="s">
        <v>11</v>
      </c>
      <c r="C2439" s="1">
        <v>41974</v>
      </c>
      <c r="D2439" s="2">
        <f t="shared" si="76"/>
        <v>1</v>
      </c>
      <c r="E2439" s="2">
        <f t="shared" si="77"/>
        <v>12</v>
      </c>
      <c r="F2439">
        <v>114.3115</v>
      </c>
      <c r="G2439">
        <v>116.7787</v>
      </c>
      <c r="H2439">
        <v>113.9003</v>
      </c>
      <c r="I2439">
        <v>115.1339</v>
      </c>
      <c r="J2439">
        <v>50115</v>
      </c>
      <c r="K2439">
        <v>-1.0657000000000001</v>
      </c>
      <c r="L2439">
        <v>2.5270999999999999</v>
      </c>
    </row>
    <row r="2440" spans="1:12" x14ac:dyDescent="0.25">
      <c r="A2440">
        <v>2303</v>
      </c>
      <c r="B2440" t="s">
        <v>10</v>
      </c>
      <c r="C2440" s="1">
        <v>41975</v>
      </c>
      <c r="D2440" s="2">
        <f t="shared" si="76"/>
        <v>2</v>
      </c>
      <c r="E2440" s="2">
        <f t="shared" si="77"/>
        <v>12</v>
      </c>
      <c r="F2440">
        <v>11.1028</v>
      </c>
      <c r="G2440">
        <v>11.1435</v>
      </c>
      <c r="H2440">
        <v>10.940099999999999</v>
      </c>
      <c r="I2440">
        <v>11.0215</v>
      </c>
      <c r="J2440">
        <v>43585</v>
      </c>
      <c r="K2440">
        <v>-0.73529999999999995</v>
      </c>
      <c r="L2440">
        <v>1.8587</v>
      </c>
    </row>
    <row r="2441" spans="1:12" hidden="1" x14ac:dyDescent="0.25">
      <c r="A2441">
        <v>2330</v>
      </c>
      <c r="B2441" t="s">
        <v>11</v>
      </c>
      <c r="C2441" s="1">
        <v>41975</v>
      </c>
      <c r="D2441" s="2">
        <f t="shared" si="76"/>
        <v>2</v>
      </c>
      <c r="E2441" s="2">
        <f t="shared" si="77"/>
        <v>12</v>
      </c>
      <c r="F2441">
        <v>114.7227</v>
      </c>
      <c r="G2441">
        <v>114.7227</v>
      </c>
      <c r="H2441">
        <v>113.0779</v>
      </c>
      <c r="I2441">
        <v>113.0779</v>
      </c>
      <c r="J2441">
        <v>54781</v>
      </c>
      <c r="K2441">
        <v>-1.8019000000000001</v>
      </c>
      <c r="L2441">
        <v>1.4544999999999999</v>
      </c>
    </row>
    <row r="2442" spans="1:12" x14ac:dyDescent="0.25">
      <c r="A2442">
        <v>2303</v>
      </c>
      <c r="B2442" t="s">
        <v>10</v>
      </c>
      <c r="C2442" s="1">
        <v>41976</v>
      </c>
      <c r="D2442" s="2">
        <f t="shared" si="76"/>
        <v>3</v>
      </c>
      <c r="E2442" s="2">
        <f t="shared" si="77"/>
        <v>12</v>
      </c>
      <c r="F2442">
        <v>11.1435</v>
      </c>
      <c r="G2442">
        <v>11.3062</v>
      </c>
      <c r="H2442">
        <v>11.062099999999999</v>
      </c>
      <c r="I2442">
        <v>11.3062</v>
      </c>
      <c r="J2442">
        <v>35896</v>
      </c>
      <c r="K2442">
        <v>2.5501999999999998</v>
      </c>
      <c r="L2442">
        <v>2.2059000000000002</v>
      </c>
    </row>
    <row r="2443" spans="1:12" hidden="1" x14ac:dyDescent="0.25">
      <c r="A2443">
        <v>2330</v>
      </c>
      <c r="B2443" t="s">
        <v>11</v>
      </c>
      <c r="C2443" s="1">
        <v>41976</v>
      </c>
      <c r="D2443" s="2">
        <f t="shared" si="76"/>
        <v>3</v>
      </c>
      <c r="E2443" s="2">
        <f t="shared" si="77"/>
        <v>12</v>
      </c>
      <c r="F2443">
        <v>113.0779</v>
      </c>
      <c r="G2443">
        <v>114.3115</v>
      </c>
      <c r="H2443">
        <v>112.2556</v>
      </c>
      <c r="I2443">
        <v>113.48909999999999</v>
      </c>
      <c r="J2443">
        <v>40184</v>
      </c>
      <c r="K2443">
        <v>0.36299999999999999</v>
      </c>
      <c r="L2443">
        <v>1.8314999999999999</v>
      </c>
    </row>
    <row r="2444" spans="1:12" x14ac:dyDescent="0.25">
      <c r="A2444">
        <v>2303</v>
      </c>
      <c r="B2444" t="s">
        <v>10</v>
      </c>
      <c r="C2444" s="1">
        <v>41977</v>
      </c>
      <c r="D2444" s="2">
        <f t="shared" si="76"/>
        <v>4</v>
      </c>
      <c r="E2444" s="2">
        <f t="shared" si="77"/>
        <v>12</v>
      </c>
      <c r="F2444">
        <v>11.387499999999999</v>
      </c>
      <c r="G2444">
        <v>11.9162</v>
      </c>
      <c r="H2444">
        <v>11.387499999999999</v>
      </c>
      <c r="I2444">
        <v>11.712899999999999</v>
      </c>
      <c r="J2444">
        <v>168260</v>
      </c>
      <c r="K2444">
        <v>3.5339</v>
      </c>
      <c r="L2444">
        <v>4.6429</v>
      </c>
    </row>
    <row r="2445" spans="1:12" hidden="1" x14ac:dyDescent="0.25">
      <c r="A2445">
        <v>2330</v>
      </c>
      <c r="B2445" t="s">
        <v>11</v>
      </c>
      <c r="C2445" s="1">
        <v>41977</v>
      </c>
      <c r="D2445" s="2">
        <f t="shared" si="76"/>
        <v>4</v>
      </c>
      <c r="E2445" s="2">
        <f t="shared" si="77"/>
        <v>12</v>
      </c>
      <c r="F2445">
        <v>114.3115</v>
      </c>
      <c r="G2445">
        <v>115.1339</v>
      </c>
      <c r="H2445">
        <v>113.9003</v>
      </c>
      <c r="I2445">
        <v>114.3115</v>
      </c>
      <c r="J2445">
        <v>28276</v>
      </c>
      <c r="K2445">
        <v>0.72199999999999998</v>
      </c>
      <c r="L2445">
        <v>1.083</v>
      </c>
    </row>
    <row r="2446" spans="1:12" x14ac:dyDescent="0.25">
      <c r="A2446">
        <v>2303</v>
      </c>
      <c r="B2446" t="s">
        <v>10</v>
      </c>
      <c r="C2446" s="1">
        <v>41978</v>
      </c>
      <c r="D2446" s="2">
        <f t="shared" si="76"/>
        <v>5</v>
      </c>
      <c r="E2446" s="2">
        <f t="shared" si="77"/>
        <v>12</v>
      </c>
      <c r="F2446">
        <v>11.6722</v>
      </c>
      <c r="G2446">
        <v>11.7942</v>
      </c>
      <c r="H2446">
        <v>11.5909</v>
      </c>
      <c r="I2446">
        <v>11.5909</v>
      </c>
      <c r="J2446">
        <v>64758</v>
      </c>
      <c r="K2446">
        <v>-1.0470999999999999</v>
      </c>
      <c r="L2446">
        <v>1.7544</v>
      </c>
    </row>
    <row r="2447" spans="1:12" hidden="1" x14ac:dyDescent="0.25">
      <c r="A2447">
        <v>2330</v>
      </c>
      <c r="B2447" t="s">
        <v>11</v>
      </c>
      <c r="C2447" s="1">
        <v>41978</v>
      </c>
      <c r="D2447" s="2">
        <f t="shared" si="76"/>
        <v>5</v>
      </c>
      <c r="E2447" s="2">
        <f t="shared" si="77"/>
        <v>12</v>
      </c>
      <c r="F2447">
        <v>113.9003</v>
      </c>
      <c r="G2447">
        <v>114.7227</v>
      </c>
      <c r="H2447">
        <v>112.66670000000001</v>
      </c>
      <c r="I2447">
        <v>113.0779</v>
      </c>
      <c r="J2447">
        <v>29431</v>
      </c>
      <c r="K2447">
        <v>-1.085</v>
      </c>
      <c r="L2447">
        <v>1.8248</v>
      </c>
    </row>
    <row r="2448" spans="1:12" x14ac:dyDescent="0.25">
      <c r="A2448">
        <v>2303</v>
      </c>
      <c r="B2448" t="s">
        <v>10</v>
      </c>
      <c r="C2448" s="1">
        <v>41981</v>
      </c>
      <c r="D2448" s="2">
        <f t="shared" si="76"/>
        <v>1</v>
      </c>
      <c r="E2448" s="2">
        <f t="shared" si="77"/>
        <v>12</v>
      </c>
      <c r="F2448">
        <v>11.712899999999999</v>
      </c>
      <c r="G2448">
        <v>11.9162</v>
      </c>
      <c r="H2448">
        <v>11.5909</v>
      </c>
      <c r="I2448">
        <v>11.5909</v>
      </c>
      <c r="J2448">
        <v>78218</v>
      </c>
      <c r="K2448">
        <v>0</v>
      </c>
      <c r="L2448">
        <v>2.8069999999999999</v>
      </c>
    </row>
    <row r="2449" spans="1:12" hidden="1" x14ac:dyDescent="0.25">
      <c r="A2449">
        <v>2330</v>
      </c>
      <c r="B2449" t="s">
        <v>11</v>
      </c>
      <c r="C2449" s="1">
        <v>41981</v>
      </c>
      <c r="D2449" s="2">
        <f t="shared" si="76"/>
        <v>1</v>
      </c>
      <c r="E2449" s="2">
        <f t="shared" si="77"/>
        <v>12</v>
      </c>
      <c r="F2449">
        <v>113.48909999999999</v>
      </c>
      <c r="G2449">
        <v>113.9003</v>
      </c>
      <c r="H2449">
        <v>112.66670000000001</v>
      </c>
      <c r="I2449">
        <v>113.48909999999999</v>
      </c>
      <c r="J2449">
        <v>19854</v>
      </c>
      <c r="K2449">
        <v>0.36299999999999999</v>
      </c>
      <c r="L2449">
        <v>1.0949</v>
      </c>
    </row>
    <row r="2450" spans="1:12" x14ac:dyDescent="0.25">
      <c r="A2450">
        <v>2303</v>
      </c>
      <c r="B2450" t="s">
        <v>10</v>
      </c>
      <c r="C2450" s="1">
        <v>41982</v>
      </c>
      <c r="D2450" s="2">
        <f t="shared" si="76"/>
        <v>2</v>
      </c>
      <c r="E2450" s="2">
        <f t="shared" si="77"/>
        <v>12</v>
      </c>
      <c r="F2450">
        <v>11.509499999999999</v>
      </c>
      <c r="G2450">
        <v>11.6722</v>
      </c>
      <c r="H2450">
        <v>11.509499999999999</v>
      </c>
      <c r="I2450">
        <v>11.5909</v>
      </c>
      <c r="J2450">
        <v>40160</v>
      </c>
      <c r="K2450">
        <v>0</v>
      </c>
      <c r="L2450">
        <v>1.4134</v>
      </c>
    </row>
    <row r="2451" spans="1:12" hidden="1" x14ac:dyDescent="0.25">
      <c r="A2451">
        <v>2330</v>
      </c>
      <c r="B2451" t="s">
        <v>11</v>
      </c>
      <c r="C2451" s="1">
        <v>41982</v>
      </c>
      <c r="D2451" s="2">
        <f t="shared" si="76"/>
        <v>2</v>
      </c>
      <c r="E2451" s="2">
        <f t="shared" si="77"/>
        <v>12</v>
      </c>
      <c r="F2451">
        <v>113.48909999999999</v>
      </c>
      <c r="G2451">
        <v>114.3115</v>
      </c>
      <c r="H2451">
        <v>113.0779</v>
      </c>
      <c r="I2451">
        <v>113.48909999999999</v>
      </c>
      <c r="J2451">
        <v>31926</v>
      </c>
      <c r="K2451">
        <v>0</v>
      </c>
      <c r="L2451">
        <v>1.0909</v>
      </c>
    </row>
    <row r="2452" spans="1:12" x14ac:dyDescent="0.25">
      <c r="A2452">
        <v>2303</v>
      </c>
      <c r="B2452" t="s">
        <v>10</v>
      </c>
      <c r="C2452" s="1">
        <v>41983</v>
      </c>
      <c r="D2452" s="2">
        <f t="shared" si="76"/>
        <v>3</v>
      </c>
      <c r="E2452" s="2">
        <f t="shared" si="77"/>
        <v>12</v>
      </c>
      <c r="F2452">
        <v>11.509499999999999</v>
      </c>
      <c r="G2452">
        <v>11.5502</v>
      </c>
      <c r="H2452">
        <v>11.265499999999999</v>
      </c>
      <c r="I2452">
        <v>11.265499999999999</v>
      </c>
      <c r="J2452">
        <v>52186</v>
      </c>
      <c r="K2452">
        <v>-2.8472</v>
      </c>
      <c r="L2452">
        <v>2.5270999999999999</v>
      </c>
    </row>
    <row r="2453" spans="1:12" hidden="1" x14ac:dyDescent="0.25">
      <c r="A2453">
        <v>2330</v>
      </c>
      <c r="B2453" t="s">
        <v>11</v>
      </c>
      <c r="C2453" s="1">
        <v>41983</v>
      </c>
      <c r="D2453" s="2">
        <f t="shared" si="76"/>
        <v>3</v>
      </c>
      <c r="E2453" s="2">
        <f t="shared" si="77"/>
        <v>12</v>
      </c>
      <c r="F2453">
        <v>113.48909999999999</v>
      </c>
      <c r="G2453">
        <v>114.3115</v>
      </c>
      <c r="H2453">
        <v>111.84439999999999</v>
      </c>
      <c r="I2453">
        <v>111.84439999999999</v>
      </c>
      <c r="J2453">
        <v>39845</v>
      </c>
      <c r="K2453">
        <v>-1.4599</v>
      </c>
      <c r="L2453">
        <v>2.2059000000000002</v>
      </c>
    </row>
    <row r="2454" spans="1:12" x14ac:dyDescent="0.25">
      <c r="A2454">
        <v>2303</v>
      </c>
      <c r="B2454" t="s">
        <v>10</v>
      </c>
      <c r="C2454" s="1">
        <v>41984</v>
      </c>
      <c r="D2454" s="2">
        <f t="shared" si="76"/>
        <v>4</v>
      </c>
      <c r="E2454" s="2">
        <f t="shared" si="77"/>
        <v>12</v>
      </c>
      <c r="F2454">
        <v>11.2248</v>
      </c>
      <c r="G2454">
        <v>11.387499999999999</v>
      </c>
      <c r="H2454">
        <v>11.1028</v>
      </c>
      <c r="I2454">
        <v>11.265499999999999</v>
      </c>
      <c r="J2454">
        <v>36991</v>
      </c>
      <c r="K2454">
        <v>0</v>
      </c>
      <c r="L2454">
        <v>2.5640999999999998</v>
      </c>
    </row>
    <row r="2455" spans="1:12" hidden="1" x14ac:dyDescent="0.25">
      <c r="A2455">
        <v>2330</v>
      </c>
      <c r="B2455" t="s">
        <v>11</v>
      </c>
      <c r="C2455" s="1">
        <v>41984</v>
      </c>
      <c r="D2455" s="2">
        <f t="shared" si="76"/>
        <v>4</v>
      </c>
      <c r="E2455" s="2">
        <f t="shared" si="77"/>
        <v>12</v>
      </c>
      <c r="F2455">
        <v>111.02200000000001</v>
      </c>
      <c r="G2455">
        <v>111.84439999999999</v>
      </c>
      <c r="H2455">
        <v>110.6108</v>
      </c>
      <c r="I2455">
        <v>110.6108</v>
      </c>
      <c r="J2455">
        <v>41669</v>
      </c>
      <c r="K2455">
        <v>-1.1091</v>
      </c>
      <c r="L2455">
        <v>1.1152</v>
      </c>
    </row>
    <row r="2456" spans="1:12" x14ac:dyDescent="0.25">
      <c r="A2456">
        <v>2303</v>
      </c>
      <c r="B2456" t="s">
        <v>10</v>
      </c>
      <c r="C2456" s="1">
        <v>41985</v>
      </c>
      <c r="D2456" s="2">
        <f t="shared" si="76"/>
        <v>5</v>
      </c>
      <c r="E2456" s="2">
        <f t="shared" si="77"/>
        <v>12</v>
      </c>
      <c r="F2456">
        <v>11.387499999999999</v>
      </c>
      <c r="G2456">
        <v>11.4282</v>
      </c>
      <c r="H2456">
        <v>11.2248</v>
      </c>
      <c r="I2456">
        <v>11.2248</v>
      </c>
      <c r="J2456">
        <v>27721</v>
      </c>
      <c r="K2456">
        <v>-0.36170000000000002</v>
      </c>
      <c r="L2456">
        <v>1.8116000000000001</v>
      </c>
    </row>
    <row r="2457" spans="1:12" hidden="1" x14ac:dyDescent="0.25">
      <c r="A2457">
        <v>2330</v>
      </c>
      <c r="B2457" t="s">
        <v>11</v>
      </c>
      <c r="C2457" s="1">
        <v>41985</v>
      </c>
      <c r="D2457" s="2">
        <f t="shared" si="76"/>
        <v>5</v>
      </c>
      <c r="E2457" s="2">
        <f t="shared" si="77"/>
        <v>12</v>
      </c>
      <c r="F2457">
        <v>111.02200000000001</v>
      </c>
      <c r="G2457">
        <v>111.84439999999999</v>
      </c>
      <c r="H2457">
        <v>110.6108</v>
      </c>
      <c r="I2457">
        <v>111.02200000000001</v>
      </c>
      <c r="J2457">
        <v>31504</v>
      </c>
      <c r="K2457">
        <v>0.37109999999999999</v>
      </c>
      <c r="L2457">
        <v>1.1152</v>
      </c>
    </row>
    <row r="2458" spans="1:12" x14ac:dyDescent="0.25">
      <c r="A2458">
        <v>2303</v>
      </c>
      <c r="B2458" t="s">
        <v>10</v>
      </c>
      <c r="C2458" s="1">
        <v>41988</v>
      </c>
      <c r="D2458" s="2">
        <f t="shared" si="76"/>
        <v>1</v>
      </c>
      <c r="E2458" s="2">
        <f t="shared" si="77"/>
        <v>12</v>
      </c>
      <c r="F2458">
        <v>11.2248</v>
      </c>
      <c r="G2458">
        <v>11.753500000000001</v>
      </c>
      <c r="H2458">
        <v>11.2248</v>
      </c>
      <c r="I2458">
        <v>11.6722</v>
      </c>
      <c r="J2458">
        <v>67756</v>
      </c>
      <c r="K2458">
        <v>3.9081000000000001</v>
      </c>
      <c r="L2458">
        <v>4.7100999999999997</v>
      </c>
    </row>
    <row r="2459" spans="1:12" hidden="1" x14ac:dyDescent="0.25">
      <c r="A2459">
        <v>2330</v>
      </c>
      <c r="B2459" t="s">
        <v>11</v>
      </c>
      <c r="C2459" s="1">
        <v>41988</v>
      </c>
      <c r="D2459" s="2">
        <f t="shared" si="76"/>
        <v>1</v>
      </c>
      <c r="E2459" s="2">
        <f t="shared" si="77"/>
        <v>12</v>
      </c>
      <c r="F2459">
        <v>110.6108</v>
      </c>
      <c r="G2459">
        <v>112.2556</v>
      </c>
      <c r="H2459">
        <v>110.6108</v>
      </c>
      <c r="I2459">
        <v>111.84439999999999</v>
      </c>
      <c r="J2459">
        <v>45196</v>
      </c>
      <c r="K2459">
        <v>0.73799999999999999</v>
      </c>
      <c r="L2459">
        <v>1.4870000000000001</v>
      </c>
    </row>
    <row r="2460" spans="1:12" x14ac:dyDescent="0.25">
      <c r="A2460">
        <v>2303</v>
      </c>
      <c r="B2460" t="s">
        <v>10</v>
      </c>
      <c r="C2460" s="1">
        <v>41989</v>
      </c>
      <c r="D2460" s="2">
        <f t="shared" si="76"/>
        <v>2</v>
      </c>
      <c r="E2460" s="2">
        <f t="shared" si="77"/>
        <v>12</v>
      </c>
      <c r="F2460">
        <v>11.631500000000001</v>
      </c>
      <c r="G2460">
        <v>11.6722</v>
      </c>
      <c r="H2460">
        <v>11.3468</v>
      </c>
      <c r="I2460">
        <v>11.3468</v>
      </c>
      <c r="J2460">
        <v>86968</v>
      </c>
      <c r="K2460">
        <v>-2.827</v>
      </c>
      <c r="L2460">
        <v>2.8673999999999999</v>
      </c>
    </row>
    <row r="2461" spans="1:12" hidden="1" x14ac:dyDescent="0.25">
      <c r="A2461">
        <v>2330</v>
      </c>
      <c r="B2461" t="s">
        <v>11</v>
      </c>
      <c r="C2461" s="1">
        <v>41989</v>
      </c>
      <c r="D2461" s="2">
        <f t="shared" si="76"/>
        <v>2</v>
      </c>
      <c r="E2461" s="2">
        <f t="shared" si="77"/>
        <v>12</v>
      </c>
      <c r="F2461">
        <v>110.6108</v>
      </c>
      <c r="G2461">
        <v>111.4332</v>
      </c>
      <c r="H2461">
        <v>109.3772</v>
      </c>
      <c r="I2461">
        <v>109.3772</v>
      </c>
      <c r="J2461">
        <v>41273</v>
      </c>
      <c r="K2461">
        <v>-2.2305999999999999</v>
      </c>
      <c r="L2461">
        <v>1.8796999999999999</v>
      </c>
    </row>
    <row r="2462" spans="1:12" x14ac:dyDescent="0.25">
      <c r="A2462">
        <v>2303</v>
      </c>
      <c r="B2462" t="s">
        <v>10</v>
      </c>
      <c r="C2462" s="1">
        <v>41990</v>
      </c>
      <c r="D2462" s="2">
        <f t="shared" si="76"/>
        <v>3</v>
      </c>
      <c r="E2462" s="2">
        <f t="shared" si="77"/>
        <v>12</v>
      </c>
      <c r="F2462">
        <v>11.265499999999999</v>
      </c>
      <c r="G2462">
        <v>11.3468</v>
      </c>
      <c r="H2462">
        <v>11.062099999999999</v>
      </c>
      <c r="I2462">
        <v>11.062099999999999</v>
      </c>
      <c r="J2462">
        <v>79596</v>
      </c>
      <c r="K2462">
        <v>-2.5409999999999999</v>
      </c>
      <c r="L2462">
        <v>2.5735000000000001</v>
      </c>
    </row>
    <row r="2463" spans="1:12" hidden="1" x14ac:dyDescent="0.25">
      <c r="A2463">
        <v>2330</v>
      </c>
      <c r="B2463" t="s">
        <v>11</v>
      </c>
      <c r="C2463" s="1">
        <v>41990</v>
      </c>
      <c r="D2463" s="2">
        <f t="shared" si="76"/>
        <v>3</v>
      </c>
      <c r="E2463" s="2">
        <f t="shared" si="77"/>
        <v>12</v>
      </c>
      <c r="F2463">
        <v>109.3772</v>
      </c>
      <c r="G2463">
        <v>109.3772</v>
      </c>
      <c r="H2463">
        <v>106.91</v>
      </c>
      <c r="I2463">
        <v>107.3212</v>
      </c>
      <c r="J2463">
        <v>84670</v>
      </c>
      <c r="K2463">
        <v>-1.8976</v>
      </c>
      <c r="L2463">
        <v>2.3077000000000001</v>
      </c>
    </row>
    <row r="2464" spans="1:12" x14ac:dyDescent="0.25">
      <c r="A2464">
        <v>2303</v>
      </c>
      <c r="B2464" t="s">
        <v>10</v>
      </c>
      <c r="C2464" s="1">
        <v>41991</v>
      </c>
      <c r="D2464" s="2">
        <f t="shared" si="76"/>
        <v>4</v>
      </c>
      <c r="E2464" s="2">
        <f t="shared" si="77"/>
        <v>12</v>
      </c>
      <c r="F2464">
        <v>11.265499999999999</v>
      </c>
      <c r="G2464">
        <v>11.4282</v>
      </c>
      <c r="H2464">
        <v>11.2248</v>
      </c>
      <c r="I2464">
        <v>11.3468</v>
      </c>
      <c r="J2464">
        <v>60520</v>
      </c>
      <c r="K2464">
        <v>2.5409999999999999</v>
      </c>
      <c r="L2464">
        <v>1.8116000000000001</v>
      </c>
    </row>
    <row r="2465" spans="1:12" hidden="1" x14ac:dyDescent="0.25">
      <c r="A2465">
        <v>2330</v>
      </c>
      <c r="B2465" t="s">
        <v>11</v>
      </c>
      <c r="C2465" s="1">
        <v>41991</v>
      </c>
      <c r="D2465" s="2">
        <f t="shared" si="76"/>
        <v>4</v>
      </c>
      <c r="E2465" s="2">
        <f t="shared" si="77"/>
        <v>12</v>
      </c>
      <c r="F2465">
        <v>108.5548</v>
      </c>
      <c r="G2465">
        <v>109.3772</v>
      </c>
      <c r="H2465">
        <v>107.7324</v>
      </c>
      <c r="I2465">
        <v>108.14360000000001</v>
      </c>
      <c r="J2465">
        <v>51896</v>
      </c>
      <c r="K2465">
        <v>0.76339999999999997</v>
      </c>
      <c r="L2465">
        <v>1.5266999999999999</v>
      </c>
    </row>
    <row r="2466" spans="1:12" x14ac:dyDescent="0.25">
      <c r="A2466">
        <v>2303</v>
      </c>
      <c r="B2466" t="s">
        <v>10</v>
      </c>
      <c r="C2466" s="1">
        <v>41992</v>
      </c>
      <c r="D2466" s="2">
        <f t="shared" si="76"/>
        <v>5</v>
      </c>
      <c r="E2466" s="2">
        <f t="shared" si="77"/>
        <v>12</v>
      </c>
      <c r="F2466">
        <v>11.4688</v>
      </c>
      <c r="G2466">
        <v>11.712899999999999</v>
      </c>
      <c r="H2466">
        <v>11.4282</v>
      </c>
      <c r="I2466">
        <v>11.5909</v>
      </c>
      <c r="J2466">
        <v>104127</v>
      </c>
      <c r="K2466">
        <v>2.1276999999999999</v>
      </c>
      <c r="L2466">
        <v>2.4910999999999999</v>
      </c>
    </row>
    <row r="2467" spans="1:12" hidden="1" x14ac:dyDescent="0.25">
      <c r="A2467">
        <v>2330</v>
      </c>
      <c r="B2467" t="s">
        <v>11</v>
      </c>
      <c r="C2467" s="1">
        <v>41992</v>
      </c>
      <c r="D2467" s="2">
        <f t="shared" si="76"/>
        <v>5</v>
      </c>
      <c r="E2467" s="2">
        <f t="shared" si="77"/>
        <v>12</v>
      </c>
      <c r="F2467">
        <v>110.6108</v>
      </c>
      <c r="G2467">
        <v>113.48909999999999</v>
      </c>
      <c r="H2467">
        <v>110.1996</v>
      </c>
      <c r="I2467">
        <v>113.48909999999999</v>
      </c>
      <c r="J2467">
        <v>44591</v>
      </c>
      <c r="K2467">
        <v>4.8247</v>
      </c>
      <c r="L2467">
        <v>2.9851000000000001</v>
      </c>
    </row>
    <row r="2468" spans="1:12" x14ac:dyDescent="0.25">
      <c r="A2468">
        <v>2303</v>
      </c>
      <c r="B2468" t="s">
        <v>10</v>
      </c>
      <c r="C2468" s="1">
        <v>41995</v>
      </c>
      <c r="D2468" s="2">
        <f t="shared" si="76"/>
        <v>1</v>
      </c>
      <c r="E2468" s="2">
        <f t="shared" si="77"/>
        <v>12</v>
      </c>
      <c r="F2468">
        <v>11.712899999999999</v>
      </c>
      <c r="G2468">
        <v>11.875500000000001</v>
      </c>
      <c r="H2468">
        <v>11.631500000000001</v>
      </c>
      <c r="I2468">
        <v>11.753500000000001</v>
      </c>
      <c r="J2468">
        <v>73811</v>
      </c>
      <c r="K2468">
        <v>1.3937999999999999</v>
      </c>
      <c r="L2468">
        <v>2.0979000000000001</v>
      </c>
    </row>
    <row r="2469" spans="1:12" hidden="1" x14ac:dyDescent="0.25">
      <c r="A2469">
        <v>2330</v>
      </c>
      <c r="B2469" t="s">
        <v>11</v>
      </c>
      <c r="C2469" s="1">
        <v>41995</v>
      </c>
      <c r="D2469" s="2">
        <f t="shared" si="76"/>
        <v>1</v>
      </c>
      <c r="E2469" s="2">
        <f t="shared" si="77"/>
        <v>12</v>
      </c>
      <c r="F2469">
        <v>113.0779</v>
      </c>
      <c r="G2469">
        <v>115.1339</v>
      </c>
      <c r="H2469">
        <v>112.66670000000001</v>
      </c>
      <c r="I2469">
        <v>113.9003</v>
      </c>
      <c r="J2469">
        <v>34995</v>
      </c>
      <c r="K2469">
        <v>0.36170000000000002</v>
      </c>
      <c r="L2469">
        <v>2.1898</v>
      </c>
    </row>
    <row r="2470" spans="1:12" x14ac:dyDescent="0.25">
      <c r="A2470">
        <v>2303</v>
      </c>
      <c r="B2470" t="s">
        <v>10</v>
      </c>
      <c r="C2470" s="1">
        <v>41996</v>
      </c>
      <c r="D2470" s="2">
        <f t="shared" si="76"/>
        <v>2</v>
      </c>
      <c r="E2470" s="2">
        <f t="shared" si="77"/>
        <v>12</v>
      </c>
      <c r="F2470">
        <v>11.834899999999999</v>
      </c>
      <c r="G2470">
        <v>12.0382</v>
      </c>
      <c r="H2470">
        <v>11.834899999999999</v>
      </c>
      <c r="I2470">
        <v>11.9975</v>
      </c>
      <c r="J2470">
        <v>102307</v>
      </c>
      <c r="K2470">
        <v>2.0548999999999999</v>
      </c>
      <c r="L2470">
        <v>1.7181999999999999</v>
      </c>
    </row>
    <row r="2471" spans="1:12" hidden="1" x14ac:dyDescent="0.25">
      <c r="A2471">
        <v>2330</v>
      </c>
      <c r="B2471" t="s">
        <v>11</v>
      </c>
      <c r="C2471" s="1">
        <v>41996</v>
      </c>
      <c r="D2471" s="2">
        <f t="shared" si="76"/>
        <v>2</v>
      </c>
      <c r="E2471" s="2">
        <f t="shared" si="77"/>
        <v>12</v>
      </c>
      <c r="F2471">
        <v>114.3115</v>
      </c>
      <c r="G2471">
        <v>115.1339</v>
      </c>
      <c r="H2471">
        <v>112.66670000000001</v>
      </c>
      <c r="I2471">
        <v>113.0779</v>
      </c>
      <c r="J2471">
        <v>19157</v>
      </c>
      <c r="K2471">
        <v>-0.72460000000000002</v>
      </c>
      <c r="L2471">
        <v>2.1898</v>
      </c>
    </row>
    <row r="2472" spans="1:12" x14ac:dyDescent="0.25">
      <c r="A2472">
        <v>2303</v>
      </c>
      <c r="B2472" t="s">
        <v>10</v>
      </c>
      <c r="C2472" s="1">
        <v>41997</v>
      </c>
      <c r="D2472" s="2">
        <f t="shared" si="76"/>
        <v>3</v>
      </c>
      <c r="E2472" s="2">
        <f t="shared" si="77"/>
        <v>12</v>
      </c>
      <c r="F2472">
        <v>12.0382</v>
      </c>
      <c r="G2472">
        <v>12.200900000000001</v>
      </c>
      <c r="H2472">
        <v>11.9975</v>
      </c>
      <c r="I2472">
        <v>12.078900000000001</v>
      </c>
      <c r="J2472">
        <v>71379</v>
      </c>
      <c r="K2472">
        <v>0.67569999999999997</v>
      </c>
      <c r="L2472">
        <v>1.6949000000000001</v>
      </c>
    </row>
    <row r="2473" spans="1:12" hidden="1" x14ac:dyDescent="0.25">
      <c r="A2473">
        <v>2330</v>
      </c>
      <c r="B2473" t="s">
        <v>11</v>
      </c>
      <c r="C2473" s="1">
        <v>41997</v>
      </c>
      <c r="D2473" s="2">
        <f t="shared" si="76"/>
        <v>3</v>
      </c>
      <c r="E2473" s="2">
        <f t="shared" si="77"/>
        <v>12</v>
      </c>
      <c r="F2473">
        <v>111.84439999999999</v>
      </c>
      <c r="G2473">
        <v>113.48909999999999</v>
      </c>
      <c r="H2473">
        <v>111.84439999999999</v>
      </c>
      <c r="I2473">
        <v>113.48909999999999</v>
      </c>
      <c r="J2473">
        <v>16722</v>
      </c>
      <c r="K2473">
        <v>0.36299999999999999</v>
      </c>
      <c r="L2473">
        <v>1.4705999999999999</v>
      </c>
    </row>
    <row r="2474" spans="1:12" x14ac:dyDescent="0.25">
      <c r="A2474">
        <v>2303</v>
      </c>
      <c r="B2474" t="s">
        <v>10</v>
      </c>
      <c r="C2474" s="1">
        <v>41998</v>
      </c>
      <c r="D2474" s="2">
        <f t="shared" si="76"/>
        <v>4</v>
      </c>
      <c r="E2474" s="2">
        <f t="shared" si="77"/>
        <v>12</v>
      </c>
      <c r="F2474">
        <v>12.1196</v>
      </c>
      <c r="G2474">
        <v>12.200900000000001</v>
      </c>
      <c r="H2474">
        <v>11.9162</v>
      </c>
      <c r="I2474">
        <v>11.956899999999999</v>
      </c>
      <c r="J2474">
        <v>27262</v>
      </c>
      <c r="K2474">
        <v>-1.0152000000000001</v>
      </c>
      <c r="L2474">
        <v>2.3891</v>
      </c>
    </row>
    <row r="2475" spans="1:12" hidden="1" x14ac:dyDescent="0.25">
      <c r="A2475">
        <v>2330</v>
      </c>
      <c r="B2475" t="s">
        <v>11</v>
      </c>
      <c r="C2475" s="1">
        <v>41998</v>
      </c>
      <c r="D2475" s="2">
        <f t="shared" si="76"/>
        <v>4</v>
      </c>
      <c r="E2475" s="2">
        <f t="shared" si="77"/>
        <v>12</v>
      </c>
      <c r="F2475">
        <v>112.66670000000001</v>
      </c>
      <c r="G2475">
        <v>113.48909999999999</v>
      </c>
      <c r="H2475">
        <v>112.66670000000001</v>
      </c>
      <c r="I2475">
        <v>113.0779</v>
      </c>
      <c r="J2475">
        <v>7392</v>
      </c>
      <c r="K2475">
        <v>-0.36299999999999999</v>
      </c>
      <c r="L2475">
        <v>0.72989999999999999</v>
      </c>
    </row>
    <row r="2476" spans="1:12" x14ac:dyDescent="0.25">
      <c r="A2476">
        <v>2303</v>
      </c>
      <c r="B2476" t="s">
        <v>10</v>
      </c>
      <c r="C2476" s="1">
        <v>41999</v>
      </c>
      <c r="D2476" s="2">
        <f t="shared" si="76"/>
        <v>5</v>
      </c>
      <c r="E2476" s="2">
        <f t="shared" si="77"/>
        <v>12</v>
      </c>
      <c r="F2476">
        <v>11.956899999999999</v>
      </c>
      <c r="G2476">
        <v>12.0382</v>
      </c>
      <c r="H2476">
        <v>11.834899999999999</v>
      </c>
      <c r="I2476">
        <v>12.0382</v>
      </c>
      <c r="J2476">
        <v>28045</v>
      </c>
      <c r="K2476">
        <v>0.67800000000000005</v>
      </c>
      <c r="L2476">
        <v>1.7181999999999999</v>
      </c>
    </row>
    <row r="2477" spans="1:12" hidden="1" x14ac:dyDescent="0.25">
      <c r="A2477">
        <v>2330</v>
      </c>
      <c r="B2477" t="s">
        <v>11</v>
      </c>
      <c r="C2477" s="1">
        <v>41999</v>
      </c>
      <c r="D2477" s="2">
        <f t="shared" si="76"/>
        <v>5</v>
      </c>
      <c r="E2477" s="2">
        <f t="shared" si="77"/>
        <v>12</v>
      </c>
      <c r="F2477">
        <v>113.48909999999999</v>
      </c>
      <c r="G2477">
        <v>114.3115</v>
      </c>
      <c r="H2477">
        <v>112.66670000000001</v>
      </c>
      <c r="I2477">
        <v>114.3115</v>
      </c>
      <c r="J2477">
        <v>13183</v>
      </c>
      <c r="K2477">
        <v>1.085</v>
      </c>
      <c r="L2477">
        <v>1.4599</v>
      </c>
    </row>
    <row r="2478" spans="1:12" x14ac:dyDescent="0.25">
      <c r="A2478">
        <v>2303</v>
      </c>
      <c r="B2478" t="s">
        <v>10</v>
      </c>
      <c r="C2478" s="1">
        <v>42000</v>
      </c>
      <c r="D2478" s="2">
        <f t="shared" si="76"/>
        <v>6</v>
      </c>
      <c r="E2478" s="2">
        <f t="shared" si="77"/>
        <v>12</v>
      </c>
      <c r="F2478">
        <v>12.0382</v>
      </c>
      <c r="G2478">
        <v>12.078900000000001</v>
      </c>
      <c r="H2478">
        <v>11.9162</v>
      </c>
      <c r="I2478">
        <v>11.9975</v>
      </c>
      <c r="J2478">
        <v>23231</v>
      </c>
      <c r="K2478">
        <v>-0.33839999999999998</v>
      </c>
      <c r="L2478">
        <v>1.3652</v>
      </c>
    </row>
    <row r="2479" spans="1:12" hidden="1" x14ac:dyDescent="0.25">
      <c r="A2479">
        <v>2330</v>
      </c>
      <c r="B2479" t="s">
        <v>11</v>
      </c>
      <c r="C2479" s="1">
        <v>42000</v>
      </c>
      <c r="D2479" s="2">
        <f t="shared" si="76"/>
        <v>6</v>
      </c>
      <c r="E2479" s="2">
        <f t="shared" si="77"/>
        <v>12</v>
      </c>
      <c r="F2479">
        <v>114.3115</v>
      </c>
      <c r="G2479">
        <v>114.3115</v>
      </c>
      <c r="H2479">
        <v>113.0779</v>
      </c>
      <c r="I2479">
        <v>113.9003</v>
      </c>
      <c r="J2479">
        <v>4823</v>
      </c>
      <c r="K2479">
        <v>-0.3604</v>
      </c>
      <c r="L2479">
        <v>1.0909</v>
      </c>
    </row>
    <row r="2480" spans="1:12" x14ac:dyDescent="0.25">
      <c r="A2480">
        <v>2303</v>
      </c>
      <c r="B2480" t="s">
        <v>10</v>
      </c>
      <c r="C2480" s="1">
        <v>42002</v>
      </c>
      <c r="D2480" s="2">
        <f t="shared" si="76"/>
        <v>1</v>
      </c>
      <c r="E2480" s="2">
        <f t="shared" si="77"/>
        <v>12</v>
      </c>
      <c r="F2480">
        <v>12.0382</v>
      </c>
      <c r="G2480">
        <v>12.200900000000001</v>
      </c>
      <c r="H2480">
        <v>11.956899999999999</v>
      </c>
      <c r="I2480">
        <v>11.956899999999999</v>
      </c>
      <c r="J2480">
        <v>64416</v>
      </c>
      <c r="K2480">
        <v>-0.33960000000000001</v>
      </c>
      <c r="L2480">
        <v>2.0407999999999999</v>
      </c>
    </row>
    <row r="2481" spans="1:12" hidden="1" x14ac:dyDescent="0.25">
      <c r="A2481">
        <v>2330</v>
      </c>
      <c r="B2481" t="s">
        <v>11</v>
      </c>
      <c r="C2481" s="1">
        <v>42002</v>
      </c>
      <c r="D2481" s="2">
        <f t="shared" si="76"/>
        <v>1</v>
      </c>
      <c r="E2481" s="2">
        <f t="shared" si="77"/>
        <v>12</v>
      </c>
      <c r="F2481">
        <v>113.48909999999999</v>
      </c>
      <c r="G2481">
        <v>115.9563</v>
      </c>
      <c r="H2481">
        <v>113.48909999999999</v>
      </c>
      <c r="I2481">
        <v>115.9563</v>
      </c>
      <c r="J2481">
        <v>35075</v>
      </c>
      <c r="K2481">
        <v>1.7889999999999999</v>
      </c>
      <c r="L2481">
        <v>2.1739000000000002</v>
      </c>
    </row>
    <row r="2482" spans="1:12" x14ac:dyDescent="0.25">
      <c r="A2482">
        <v>2303</v>
      </c>
      <c r="B2482" t="s">
        <v>10</v>
      </c>
      <c r="C2482" s="1">
        <v>42003</v>
      </c>
      <c r="D2482" s="2">
        <f t="shared" si="76"/>
        <v>2</v>
      </c>
      <c r="E2482" s="2">
        <f t="shared" si="77"/>
        <v>12</v>
      </c>
      <c r="F2482">
        <v>12.078900000000001</v>
      </c>
      <c r="G2482">
        <v>12.1602</v>
      </c>
      <c r="H2482">
        <v>11.6722</v>
      </c>
      <c r="I2482">
        <v>11.7942</v>
      </c>
      <c r="J2482">
        <v>60751</v>
      </c>
      <c r="K2482">
        <v>-1.3698999999999999</v>
      </c>
      <c r="L2482">
        <v>4.1811999999999996</v>
      </c>
    </row>
    <row r="2483" spans="1:12" hidden="1" x14ac:dyDescent="0.25">
      <c r="A2483">
        <v>2330</v>
      </c>
      <c r="B2483" t="s">
        <v>11</v>
      </c>
      <c r="C2483" s="1">
        <v>42003</v>
      </c>
      <c r="D2483" s="2">
        <f t="shared" si="76"/>
        <v>2</v>
      </c>
      <c r="E2483" s="2">
        <f t="shared" si="77"/>
        <v>12</v>
      </c>
      <c r="F2483">
        <v>115.9563</v>
      </c>
      <c r="G2483">
        <v>116.36750000000001</v>
      </c>
      <c r="H2483">
        <v>114.3115</v>
      </c>
      <c r="I2483">
        <v>115.1339</v>
      </c>
      <c r="J2483">
        <v>23590</v>
      </c>
      <c r="K2483">
        <v>-0.7117</v>
      </c>
      <c r="L2483">
        <v>1.7986</v>
      </c>
    </row>
    <row r="2484" spans="1:12" x14ac:dyDescent="0.25">
      <c r="A2484">
        <v>2303</v>
      </c>
      <c r="B2484" t="s">
        <v>10</v>
      </c>
      <c r="C2484" s="1">
        <v>42004</v>
      </c>
      <c r="D2484" s="2">
        <f t="shared" si="76"/>
        <v>3</v>
      </c>
      <c r="E2484" s="2">
        <f t="shared" si="77"/>
        <v>12</v>
      </c>
      <c r="F2484">
        <v>11.834899999999999</v>
      </c>
      <c r="G2484">
        <v>12.0382</v>
      </c>
      <c r="H2484">
        <v>11.7942</v>
      </c>
      <c r="I2484">
        <v>11.9975</v>
      </c>
      <c r="J2484">
        <v>46383</v>
      </c>
      <c r="K2484">
        <v>1.7094</v>
      </c>
      <c r="L2484">
        <v>2.069</v>
      </c>
    </row>
    <row r="2485" spans="1:12" hidden="1" x14ac:dyDescent="0.25">
      <c r="A2485">
        <v>2330</v>
      </c>
      <c r="B2485" t="s">
        <v>11</v>
      </c>
      <c r="C2485" s="1">
        <v>42004</v>
      </c>
      <c r="D2485" s="2">
        <f t="shared" si="76"/>
        <v>3</v>
      </c>
      <c r="E2485" s="2">
        <f t="shared" si="77"/>
        <v>12</v>
      </c>
      <c r="F2485">
        <v>114.3115</v>
      </c>
      <c r="G2485">
        <v>115.9563</v>
      </c>
      <c r="H2485">
        <v>114.3115</v>
      </c>
      <c r="I2485">
        <v>115.9563</v>
      </c>
      <c r="J2485">
        <v>18351</v>
      </c>
      <c r="K2485">
        <v>0.7117</v>
      </c>
      <c r="L2485">
        <v>1.4388000000000001</v>
      </c>
    </row>
    <row r="2486" spans="1:12" x14ac:dyDescent="0.25">
      <c r="A2486">
        <v>2303</v>
      </c>
      <c r="B2486" t="s">
        <v>10</v>
      </c>
      <c r="C2486" s="1">
        <v>42009</v>
      </c>
      <c r="D2486" s="2">
        <f t="shared" si="76"/>
        <v>1</v>
      </c>
      <c r="E2486" s="2">
        <f t="shared" si="77"/>
        <v>1</v>
      </c>
      <c r="F2486">
        <v>11.9975</v>
      </c>
      <c r="G2486">
        <v>12.5669</v>
      </c>
      <c r="H2486">
        <v>11.9162</v>
      </c>
      <c r="I2486">
        <v>12.404199999999999</v>
      </c>
      <c r="J2486">
        <v>116195</v>
      </c>
      <c r="K2486">
        <v>3.3336000000000001</v>
      </c>
      <c r="L2486">
        <v>5.4607999999999999</v>
      </c>
    </row>
    <row r="2487" spans="1:12" hidden="1" x14ac:dyDescent="0.25">
      <c r="A2487">
        <v>2330</v>
      </c>
      <c r="B2487" t="s">
        <v>11</v>
      </c>
      <c r="C2487" s="1">
        <v>42009</v>
      </c>
      <c r="D2487" s="2">
        <f t="shared" si="76"/>
        <v>1</v>
      </c>
      <c r="E2487" s="2">
        <f t="shared" si="77"/>
        <v>1</v>
      </c>
      <c r="F2487">
        <v>115.54510000000001</v>
      </c>
      <c r="G2487">
        <v>115.54510000000001</v>
      </c>
      <c r="H2487">
        <v>113.0779</v>
      </c>
      <c r="I2487">
        <v>114.7227</v>
      </c>
      <c r="J2487">
        <v>32214</v>
      </c>
      <c r="K2487">
        <v>-1.0694999999999999</v>
      </c>
      <c r="L2487">
        <v>2.1818</v>
      </c>
    </row>
    <row r="2488" spans="1:12" x14ac:dyDescent="0.25">
      <c r="A2488">
        <v>2303</v>
      </c>
      <c r="B2488" t="s">
        <v>10</v>
      </c>
      <c r="C2488" s="1">
        <v>42010</v>
      </c>
      <c r="D2488" s="2">
        <f t="shared" si="76"/>
        <v>2</v>
      </c>
      <c r="E2488" s="2">
        <f t="shared" si="77"/>
        <v>1</v>
      </c>
      <c r="F2488">
        <v>12.200900000000001</v>
      </c>
      <c r="G2488">
        <v>12.2822</v>
      </c>
      <c r="H2488">
        <v>11.9975</v>
      </c>
      <c r="I2488">
        <v>11.9975</v>
      </c>
      <c r="J2488">
        <v>73981</v>
      </c>
      <c r="K2488">
        <v>-3.3336000000000001</v>
      </c>
      <c r="L2488">
        <v>2.3729</v>
      </c>
    </row>
    <row r="2489" spans="1:12" hidden="1" x14ac:dyDescent="0.25">
      <c r="A2489">
        <v>2330</v>
      </c>
      <c r="B2489" t="s">
        <v>11</v>
      </c>
      <c r="C2489" s="1">
        <v>42010</v>
      </c>
      <c r="D2489" s="2">
        <f t="shared" si="76"/>
        <v>2</v>
      </c>
      <c r="E2489" s="2">
        <f t="shared" si="77"/>
        <v>1</v>
      </c>
      <c r="F2489">
        <v>113.0779</v>
      </c>
      <c r="G2489">
        <v>113.0779</v>
      </c>
      <c r="H2489">
        <v>109.3772</v>
      </c>
      <c r="I2489">
        <v>109.7884</v>
      </c>
      <c r="J2489">
        <v>67649</v>
      </c>
      <c r="K2489">
        <v>-4.3963000000000001</v>
      </c>
      <c r="L2489">
        <v>3.3835000000000002</v>
      </c>
    </row>
    <row r="2490" spans="1:12" x14ac:dyDescent="0.25">
      <c r="A2490">
        <v>2303</v>
      </c>
      <c r="B2490" t="s">
        <v>10</v>
      </c>
      <c r="C2490" s="1">
        <v>42011</v>
      </c>
      <c r="D2490" s="2">
        <f t="shared" si="76"/>
        <v>3</v>
      </c>
      <c r="E2490" s="2">
        <f t="shared" si="77"/>
        <v>1</v>
      </c>
      <c r="F2490">
        <v>11.9975</v>
      </c>
      <c r="G2490">
        <v>12.1602</v>
      </c>
      <c r="H2490">
        <v>11.9162</v>
      </c>
      <c r="I2490">
        <v>12.0382</v>
      </c>
      <c r="J2490">
        <v>47114</v>
      </c>
      <c r="K2490">
        <v>0.33839999999999998</v>
      </c>
      <c r="L2490">
        <v>2.0478000000000001</v>
      </c>
    </row>
    <row r="2491" spans="1:12" hidden="1" x14ac:dyDescent="0.25">
      <c r="A2491">
        <v>2330</v>
      </c>
      <c r="B2491" t="s">
        <v>11</v>
      </c>
      <c r="C2491" s="1">
        <v>42011</v>
      </c>
      <c r="D2491" s="2">
        <f t="shared" si="76"/>
        <v>3</v>
      </c>
      <c r="E2491" s="2">
        <f t="shared" si="77"/>
        <v>1</v>
      </c>
      <c r="F2491">
        <v>109.7884</v>
      </c>
      <c r="G2491">
        <v>111.02200000000001</v>
      </c>
      <c r="H2491">
        <v>109.7884</v>
      </c>
      <c r="I2491">
        <v>110.1996</v>
      </c>
      <c r="J2491">
        <v>43886</v>
      </c>
      <c r="K2491">
        <v>0.37380000000000002</v>
      </c>
      <c r="L2491">
        <v>1.1235999999999999</v>
      </c>
    </row>
    <row r="2492" spans="1:12" x14ac:dyDescent="0.25">
      <c r="A2492">
        <v>2303</v>
      </c>
      <c r="B2492" t="s">
        <v>10</v>
      </c>
      <c r="C2492" s="1">
        <v>42012</v>
      </c>
      <c r="D2492" s="2">
        <f t="shared" si="76"/>
        <v>4</v>
      </c>
      <c r="E2492" s="2">
        <f t="shared" si="77"/>
        <v>1</v>
      </c>
      <c r="F2492">
        <v>12.200900000000001</v>
      </c>
      <c r="G2492">
        <v>12.2822</v>
      </c>
      <c r="H2492">
        <v>12.1196</v>
      </c>
      <c r="I2492">
        <v>12.1196</v>
      </c>
      <c r="J2492">
        <v>65851</v>
      </c>
      <c r="K2492">
        <v>0.6734</v>
      </c>
      <c r="L2492">
        <v>1.3423</v>
      </c>
    </row>
    <row r="2493" spans="1:12" hidden="1" x14ac:dyDescent="0.25">
      <c r="A2493">
        <v>2330</v>
      </c>
      <c r="B2493" t="s">
        <v>11</v>
      </c>
      <c r="C2493" s="1">
        <v>42012</v>
      </c>
      <c r="D2493" s="2">
        <f t="shared" si="76"/>
        <v>4</v>
      </c>
      <c r="E2493" s="2">
        <f t="shared" si="77"/>
        <v>1</v>
      </c>
      <c r="F2493">
        <v>112.2556</v>
      </c>
      <c r="G2493">
        <v>113.48909999999999</v>
      </c>
      <c r="H2493">
        <v>111.84439999999999</v>
      </c>
      <c r="I2493">
        <v>113.48909999999999</v>
      </c>
      <c r="J2493">
        <v>42551</v>
      </c>
      <c r="K2493">
        <v>2.9413999999999998</v>
      </c>
      <c r="L2493">
        <v>1.4705999999999999</v>
      </c>
    </row>
    <row r="2494" spans="1:12" x14ac:dyDescent="0.25">
      <c r="A2494">
        <v>2303</v>
      </c>
      <c r="B2494" t="s">
        <v>10</v>
      </c>
      <c r="C2494" s="1">
        <v>42013</v>
      </c>
      <c r="D2494" s="2">
        <f t="shared" si="76"/>
        <v>5</v>
      </c>
      <c r="E2494" s="2">
        <f t="shared" si="77"/>
        <v>1</v>
      </c>
      <c r="F2494">
        <v>12.3636</v>
      </c>
      <c r="G2494">
        <v>12.444900000000001</v>
      </c>
      <c r="H2494">
        <v>12.200900000000001</v>
      </c>
      <c r="I2494">
        <v>12.2822</v>
      </c>
      <c r="J2494">
        <v>93825</v>
      </c>
      <c r="K2494">
        <v>1.3333999999999999</v>
      </c>
      <c r="L2494">
        <v>2</v>
      </c>
    </row>
    <row r="2495" spans="1:12" hidden="1" x14ac:dyDescent="0.25">
      <c r="A2495">
        <v>2330</v>
      </c>
      <c r="B2495" t="s">
        <v>11</v>
      </c>
      <c r="C2495" s="1">
        <v>42013</v>
      </c>
      <c r="D2495" s="2">
        <f t="shared" si="76"/>
        <v>5</v>
      </c>
      <c r="E2495" s="2">
        <f t="shared" si="77"/>
        <v>1</v>
      </c>
      <c r="F2495">
        <v>111.02200000000001</v>
      </c>
      <c r="G2495">
        <v>111.4332</v>
      </c>
      <c r="H2495">
        <v>109.3772</v>
      </c>
      <c r="I2495">
        <v>110.1996</v>
      </c>
      <c r="J2495">
        <v>61920</v>
      </c>
      <c r="K2495">
        <v>-2.9413999999999998</v>
      </c>
      <c r="L2495">
        <v>1.8796999999999999</v>
      </c>
    </row>
    <row r="2496" spans="1:12" x14ac:dyDescent="0.25">
      <c r="A2496">
        <v>2303</v>
      </c>
      <c r="B2496" t="s">
        <v>10</v>
      </c>
      <c r="C2496" s="1">
        <v>42016</v>
      </c>
      <c r="D2496" s="2">
        <f t="shared" si="76"/>
        <v>1</v>
      </c>
      <c r="E2496" s="2">
        <f t="shared" si="77"/>
        <v>1</v>
      </c>
      <c r="F2496">
        <v>12.404199999999999</v>
      </c>
      <c r="G2496">
        <v>13.095599999999999</v>
      </c>
      <c r="H2496">
        <v>12.404199999999999</v>
      </c>
      <c r="I2496">
        <v>12.8109</v>
      </c>
      <c r="J2496">
        <v>233428</v>
      </c>
      <c r="K2496">
        <v>4.2145999999999999</v>
      </c>
      <c r="L2496">
        <v>5.5738000000000003</v>
      </c>
    </row>
    <row r="2497" spans="1:12" hidden="1" x14ac:dyDescent="0.25">
      <c r="A2497">
        <v>2330</v>
      </c>
      <c r="B2497" t="s">
        <v>11</v>
      </c>
      <c r="C2497" s="1">
        <v>42016</v>
      </c>
      <c r="D2497" s="2">
        <f t="shared" si="76"/>
        <v>1</v>
      </c>
      <c r="E2497" s="2">
        <f t="shared" si="77"/>
        <v>1</v>
      </c>
      <c r="F2497">
        <v>108.96599999999999</v>
      </c>
      <c r="G2497">
        <v>109.7884</v>
      </c>
      <c r="H2497">
        <v>108.5548</v>
      </c>
      <c r="I2497">
        <v>108.5548</v>
      </c>
      <c r="J2497">
        <v>30402</v>
      </c>
      <c r="K2497">
        <v>-1.5038</v>
      </c>
      <c r="L2497">
        <v>1.1364000000000001</v>
      </c>
    </row>
    <row r="2498" spans="1:12" x14ac:dyDescent="0.25">
      <c r="A2498">
        <v>2303</v>
      </c>
      <c r="B2498" t="s">
        <v>10</v>
      </c>
      <c r="C2498" s="1">
        <v>42017</v>
      </c>
      <c r="D2498" s="2">
        <f t="shared" si="76"/>
        <v>2</v>
      </c>
      <c r="E2498" s="2">
        <f t="shared" si="77"/>
        <v>1</v>
      </c>
      <c r="F2498">
        <v>12.851599999999999</v>
      </c>
      <c r="G2498">
        <v>12.973599999999999</v>
      </c>
      <c r="H2498">
        <v>12.6076</v>
      </c>
      <c r="I2498">
        <v>12.648300000000001</v>
      </c>
      <c r="J2498">
        <v>102732</v>
      </c>
      <c r="K2498">
        <v>-1.278</v>
      </c>
      <c r="L2498">
        <v>2.9032</v>
      </c>
    </row>
    <row r="2499" spans="1:12" hidden="1" x14ac:dyDescent="0.25">
      <c r="A2499">
        <v>2330</v>
      </c>
      <c r="B2499" t="s">
        <v>11</v>
      </c>
      <c r="C2499" s="1">
        <v>42017</v>
      </c>
      <c r="D2499" s="2">
        <f t="shared" ref="D2499:D2562" si="78">WEEKDAY(C2499,2)</f>
        <v>2</v>
      </c>
      <c r="E2499" s="2">
        <f t="shared" ref="E2499:E2562" si="79">MONTH(C2499)</f>
        <v>1</v>
      </c>
      <c r="F2499">
        <v>107.7324</v>
      </c>
      <c r="G2499">
        <v>109.3772</v>
      </c>
      <c r="H2499">
        <v>107.3212</v>
      </c>
      <c r="I2499">
        <v>108.96599999999999</v>
      </c>
      <c r="J2499">
        <v>38093</v>
      </c>
      <c r="K2499">
        <v>0.37809999999999999</v>
      </c>
      <c r="L2499">
        <v>1.9157</v>
      </c>
    </row>
    <row r="2500" spans="1:12" x14ac:dyDescent="0.25">
      <c r="A2500">
        <v>2303</v>
      </c>
      <c r="B2500" t="s">
        <v>10</v>
      </c>
      <c r="C2500" s="1">
        <v>42018</v>
      </c>
      <c r="D2500" s="2">
        <f t="shared" si="78"/>
        <v>3</v>
      </c>
      <c r="E2500" s="2">
        <f t="shared" si="79"/>
        <v>1</v>
      </c>
      <c r="F2500">
        <v>12.5669</v>
      </c>
      <c r="G2500">
        <v>12.6076</v>
      </c>
      <c r="H2500">
        <v>12.322900000000001</v>
      </c>
      <c r="I2500">
        <v>12.404199999999999</v>
      </c>
      <c r="J2500">
        <v>106739</v>
      </c>
      <c r="K2500">
        <v>-1.9480999999999999</v>
      </c>
      <c r="L2500">
        <v>2.3102</v>
      </c>
    </row>
    <row r="2501" spans="1:12" hidden="1" x14ac:dyDescent="0.25">
      <c r="A2501">
        <v>2330</v>
      </c>
      <c r="B2501" t="s">
        <v>11</v>
      </c>
      <c r="C2501" s="1">
        <v>42018</v>
      </c>
      <c r="D2501" s="2">
        <f t="shared" si="78"/>
        <v>3</v>
      </c>
      <c r="E2501" s="2">
        <f t="shared" si="79"/>
        <v>1</v>
      </c>
      <c r="F2501">
        <v>108.96599999999999</v>
      </c>
      <c r="G2501">
        <v>109.3772</v>
      </c>
      <c r="H2501">
        <v>106.91</v>
      </c>
      <c r="I2501">
        <v>106.91</v>
      </c>
      <c r="J2501">
        <v>49447</v>
      </c>
      <c r="K2501">
        <v>-1.9048</v>
      </c>
      <c r="L2501">
        <v>2.3077000000000001</v>
      </c>
    </row>
    <row r="2502" spans="1:12" x14ac:dyDescent="0.25">
      <c r="A2502">
        <v>2303</v>
      </c>
      <c r="B2502" t="s">
        <v>10</v>
      </c>
      <c r="C2502" s="1">
        <v>42019</v>
      </c>
      <c r="D2502" s="2">
        <f t="shared" si="78"/>
        <v>4</v>
      </c>
      <c r="E2502" s="2">
        <f t="shared" si="79"/>
        <v>1</v>
      </c>
      <c r="F2502">
        <v>12.404199999999999</v>
      </c>
      <c r="G2502">
        <v>12.5669</v>
      </c>
      <c r="H2502">
        <v>12.2416</v>
      </c>
      <c r="I2502">
        <v>12.2416</v>
      </c>
      <c r="J2502">
        <v>96404</v>
      </c>
      <c r="K2502">
        <v>-1.3202</v>
      </c>
      <c r="L2502">
        <v>2.6577999999999999</v>
      </c>
    </row>
    <row r="2503" spans="1:12" hidden="1" x14ac:dyDescent="0.25">
      <c r="A2503">
        <v>2330</v>
      </c>
      <c r="B2503" t="s">
        <v>11</v>
      </c>
      <c r="C2503" s="1">
        <v>42019</v>
      </c>
      <c r="D2503" s="2">
        <f t="shared" si="78"/>
        <v>4</v>
      </c>
      <c r="E2503" s="2">
        <f t="shared" si="79"/>
        <v>1</v>
      </c>
      <c r="F2503">
        <v>108.14360000000001</v>
      </c>
      <c r="G2503">
        <v>109.3772</v>
      </c>
      <c r="H2503">
        <v>108.14360000000001</v>
      </c>
      <c r="I2503">
        <v>108.14360000000001</v>
      </c>
      <c r="J2503">
        <v>40996</v>
      </c>
      <c r="K2503">
        <v>1.1472</v>
      </c>
      <c r="L2503">
        <v>1.1407</v>
      </c>
    </row>
    <row r="2504" spans="1:12" x14ac:dyDescent="0.25">
      <c r="A2504">
        <v>2303</v>
      </c>
      <c r="B2504" t="s">
        <v>10</v>
      </c>
      <c r="C2504" s="1">
        <v>42020</v>
      </c>
      <c r="D2504" s="2">
        <f t="shared" si="78"/>
        <v>5</v>
      </c>
      <c r="E2504" s="2">
        <f t="shared" si="79"/>
        <v>1</v>
      </c>
      <c r="F2504">
        <v>12.2822</v>
      </c>
      <c r="G2504">
        <v>12.5669</v>
      </c>
      <c r="H2504">
        <v>11.956899999999999</v>
      </c>
      <c r="I2504">
        <v>11.956899999999999</v>
      </c>
      <c r="J2504">
        <v>161745</v>
      </c>
      <c r="K2504">
        <v>-2.3530000000000002</v>
      </c>
      <c r="L2504">
        <v>5.1020000000000003</v>
      </c>
    </row>
    <row r="2505" spans="1:12" hidden="1" x14ac:dyDescent="0.25">
      <c r="A2505">
        <v>2330</v>
      </c>
      <c r="B2505" t="s">
        <v>11</v>
      </c>
      <c r="C2505" s="1">
        <v>42020</v>
      </c>
      <c r="D2505" s="2">
        <f t="shared" si="78"/>
        <v>5</v>
      </c>
      <c r="E2505" s="2">
        <f t="shared" si="79"/>
        <v>1</v>
      </c>
      <c r="F2505">
        <v>115.1339</v>
      </c>
      <c r="G2505">
        <v>115.1339</v>
      </c>
      <c r="H2505">
        <v>111.84439999999999</v>
      </c>
      <c r="I2505">
        <v>112.66670000000001</v>
      </c>
      <c r="J2505">
        <v>129035</v>
      </c>
      <c r="K2505">
        <v>4.0974000000000004</v>
      </c>
      <c r="L2505">
        <v>2.9411999999999998</v>
      </c>
    </row>
    <row r="2506" spans="1:12" x14ac:dyDescent="0.25">
      <c r="A2506">
        <v>2303</v>
      </c>
      <c r="B2506" t="s">
        <v>10</v>
      </c>
      <c r="C2506" s="1">
        <v>42023</v>
      </c>
      <c r="D2506" s="2">
        <f t="shared" si="78"/>
        <v>1</v>
      </c>
      <c r="E2506" s="2">
        <f t="shared" si="79"/>
        <v>1</v>
      </c>
      <c r="F2506">
        <v>12.1602</v>
      </c>
      <c r="G2506">
        <v>12.322900000000001</v>
      </c>
      <c r="H2506">
        <v>12.1196</v>
      </c>
      <c r="I2506">
        <v>12.2416</v>
      </c>
      <c r="J2506">
        <v>79977</v>
      </c>
      <c r="K2506">
        <v>2.3530000000000002</v>
      </c>
      <c r="L2506">
        <v>1.6778999999999999</v>
      </c>
    </row>
    <row r="2507" spans="1:12" hidden="1" x14ac:dyDescent="0.25">
      <c r="A2507">
        <v>2330</v>
      </c>
      <c r="B2507" t="s">
        <v>11</v>
      </c>
      <c r="C2507" s="1">
        <v>42023</v>
      </c>
      <c r="D2507" s="2">
        <f t="shared" si="78"/>
        <v>1</v>
      </c>
      <c r="E2507" s="2">
        <f t="shared" si="79"/>
        <v>1</v>
      </c>
      <c r="F2507">
        <v>113.9003</v>
      </c>
      <c r="G2507">
        <v>114.7227</v>
      </c>
      <c r="H2507">
        <v>113.0779</v>
      </c>
      <c r="I2507">
        <v>114.3115</v>
      </c>
      <c r="J2507">
        <v>50175</v>
      </c>
      <c r="K2507">
        <v>1.4493</v>
      </c>
      <c r="L2507">
        <v>1.4544999999999999</v>
      </c>
    </row>
    <row r="2508" spans="1:12" x14ac:dyDescent="0.25">
      <c r="A2508">
        <v>2303</v>
      </c>
      <c r="B2508" t="s">
        <v>10</v>
      </c>
      <c r="C2508" s="1">
        <v>42024</v>
      </c>
      <c r="D2508" s="2">
        <f t="shared" si="78"/>
        <v>2</v>
      </c>
      <c r="E2508" s="2">
        <f t="shared" si="79"/>
        <v>1</v>
      </c>
      <c r="F2508">
        <v>12.404199999999999</v>
      </c>
      <c r="G2508">
        <v>12.444900000000001</v>
      </c>
      <c r="H2508">
        <v>12.322900000000001</v>
      </c>
      <c r="I2508">
        <v>12.3636</v>
      </c>
      <c r="J2508">
        <v>45476</v>
      </c>
      <c r="K2508">
        <v>0.99170000000000003</v>
      </c>
      <c r="L2508">
        <v>0.99009999999999998</v>
      </c>
    </row>
    <row r="2509" spans="1:12" hidden="1" x14ac:dyDescent="0.25">
      <c r="A2509">
        <v>2330</v>
      </c>
      <c r="B2509" t="s">
        <v>11</v>
      </c>
      <c r="C2509" s="1">
        <v>42024</v>
      </c>
      <c r="D2509" s="2">
        <f t="shared" si="78"/>
        <v>2</v>
      </c>
      <c r="E2509" s="2">
        <f t="shared" si="79"/>
        <v>1</v>
      </c>
      <c r="F2509">
        <v>114.3115</v>
      </c>
      <c r="G2509">
        <v>114.3115</v>
      </c>
      <c r="H2509">
        <v>113.0779</v>
      </c>
      <c r="I2509">
        <v>113.48909999999999</v>
      </c>
      <c r="J2509">
        <v>33795</v>
      </c>
      <c r="K2509">
        <v>-0.72199999999999998</v>
      </c>
      <c r="L2509">
        <v>1.0909</v>
      </c>
    </row>
    <row r="2510" spans="1:12" x14ac:dyDescent="0.25">
      <c r="A2510">
        <v>2303</v>
      </c>
      <c r="B2510" t="s">
        <v>10</v>
      </c>
      <c r="C2510" s="1">
        <v>42025</v>
      </c>
      <c r="D2510" s="2">
        <f t="shared" si="78"/>
        <v>3</v>
      </c>
      <c r="E2510" s="2">
        <f t="shared" si="79"/>
        <v>1</v>
      </c>
      <c r="F2510">
        <v>12.444900000000001</v>
      </c>
      <c r="G2510">
        <v>12.4856</v>
      </c>
      <c r="H2510">
        <v>12.2416</v>
      </c>
      <c r="I2510">
        <v>12.322900000000001</v>
      </c>
      <c r="J2510">
        <v>47841</v>
      </c>
      <c r="K2510">
        <v>-0.32950000000000002</v>
      </c>
      <c r="L2510">
        <v>1.9934000000000001</v>
      </c>
    </row>
    <row r="2511" spans="1:12" hidden="1" x14ac:dyDescent="0.25">
      <c r="A2511">
        <v>2330</v>
      </c>
      <c r="B2511" t="s">
        <v>11</v>
      </c>
      <c r="C2511" s="1">
        <v>42025</v>
      </c>
      <c r="D2511" s="2">
        <f t="shared" si="78"/>
        <v>3</v>
      </c>
      <c r="E2511" s="2">
        <f t="shared" si="79"/>
        <v>1</v>
      </c>
      <c r="F2511">
        <v>114.7227</v>
      </c>
      <c r="G2511">
        <v>115.9563</v>
      </c>
      <c r="H2511">
        <v>114.7227</v>
      </c>
      <c r="I2511">
        <v>115.9563</v>
      </c>
      <c r="J2511">
        <v>77292</v>
      </c>
      <c r="K2511">
        <v>2.1505999999999998</v>
      </c>
      <c r="L2511">
        <v>1.0752999999999999</v>
      </c>
    </row>
    <row r="2512" spans="1:12" x14ac:dyDescent="0.25">
      <c r="A2512">
        <v>2303</v>
      </c>
      <c r="B2512" t="s">
        <v>10</v>
      </c>
      <c r="C2512" s="1">
        <v>42026</v>
      </c>
      <c r="D2512" s="2">
        <f t="shared" si="78"/>
        <v>4</v>
      </c>
      <c r="E2512" s="2">
        <f t="shared" si="79"/>
        <v>1</v>
      </c>
      <c r="F2512">
        <v>12.444900000000001</v>
      </c>
      <c r="G2512">
        <v>12.648300000000001</v>
      </c>
      <c r="H2512">
        <v>12.404199999999999</v>
      </c>
      <c r="I2512">
        <v>12.5669</v>
      </c>
      <c r="J2512">
        <v>85750</v>
      </c>
      <c r="K2512">
        <v>1.9608000000000001</v>
      </c>
      <c r="L2512">
        <v>1.9672000000000001</v>
      </c>
    </row>
    <row r="2513" spans="1:12" hidden="1" x14ac:dyDescent="0.25">
      <c r="A2513">
        <v>2330</v>
      </c>
      <c r="B2513" t="s">
        <v>11</v>
      </c>
      <c r="C2513" s="1">
        <v>42026</v>
      </c>
      <c r="D2513" s="2">
        <f t="shared" si="78"/>
        <v>4</v>
      </c>
      <c r="E2513" s="2">
        <f t="shared" si="79"/>
        <v>1</v>
      </c>
      <c r="F2513">
        <v>116.36750000000001</v>
      </c>
      <c r="G2513">
        <v>116.7787</v>
      </c>
      <c r="H2513">
        <v>114.7227</v>
      </c>
      <c r="I2513">
        <v>115.1339</v>
      </c>
      <c r="J2513">
        <v>45654</v>
      </c>
      <c r="K2513">
        <v>-0.7117</v>
      </c>
      <c r="L2513">
        <v>1.7921</v>
      </c>
    </row>
    <row r="2514" spans="1:12" x14ac:dyDescent="0.25">
      <c r="A2514">
        <v>2303</v>
      </c>
      <c r="B2514" t="s">
        <v>10</v>
      </c>
      <c r="C2514" s="1">
        <v>42027</v>
      </c>
      <c r="D2514" s="2">
        <f t="shared" si="78"/>
        <v>5</v>
      </c>
      <c r="E2514" s="2">
        <f t="shared" si="79"/>
        <v>1</v>
      </c>
      <c r="F2514">
        <v>12.7296</v>
      </c>
      <c r="G2514">
        <v>12.770300000000001</v>
      </c>
      <c r="H2514">
        <v>12.6076</v>
      </c>
      <c r="I2514">
        <v>12.6889</v>
      </c>
      <c r="J2514">
        <v>95654</v>
      </c>
      <c r="K2514">
        <v>0.96619999999999995</v>
      </c>
      <c r="L2514">
        <v>1.2903</v>
      </c>
    </row>
    <row r="2515" spans="1:12" hidden="1" x14ac:dyDescent="0.25">
      <c r="A2515">
        <v>2330</v>
      </c>
      <c r="B2515" t="s">
        <v>11</v>
      </c>
      <c r="C2515" s="1">
        <v>42027</v>
      </c>
      <c r="D2515" s="2">
        <f t="shared" si="78"/>
        <v>5</v>
      </c>
      <c r="E2515" s="2">
        <f t="shared" si="79"/>
        <v>1</v>
      </c>
      <c r="F2515">
        <v>117.18989999999999</v>
      </c>
      <c r="G2515">
        <v>119.2458</v>
      </c>
      <c r="H2515">
        <v>117.18989999999999</v>
      </c>
      <c r="I2515">
        <v>119.2458</v>
      </c>
      <c r="J2515">
        <v>82359</v>
      </c>
      <c r="K2515">
        <v>3.5091000000000001</v>
      </c>
      <c r="L2515">
        <v>1.7544</v>
      </c>
    </row>
    <row r="2516" spans="1:12" x14ac:dyDescent="0.25">
      <c r="A2516">
        <v>2303</v>
      </c>
      <c r="B2516" t="s">
        <v>10</v>
      </c>
      <c r="C2516" s="1">
        <v>42030</v>
      </c>
      <c r="D2516" s="2">
        <f t="shared" si="78"/>
        <v>1</v>
      </c>
      <c r="E2516" s="2">
        <f t="shared" si="79"/>
        <v>1</v>
      </c>
      <c r="F2516">
        <v>12.6076</v>
      </c>
      <c r="G2516">
        <v>12.770300000000001</v>
      </c>
      <c r="H2516">
        <v>12.526300000000001</v>
      </c>
      <c r="I2516">
        <v>12.6076</v>
      </c>
      <c r="J2516">
        <v>56122</v>
      </c>
      <c r="K2516">
        <v>-0.6431</v>
      </c>
      <c r="L2516">
        <v>1.9480999999999999</v>
      </c>
    </row>
    <row r="2517" spans="1:12" hidden="1" x14ac:dyDescent="0.25">
      <c r="A2517">
        <v>2330</v>
      </c>
      <c r="B2517" t="s">
        <v>11</v>
      </c>
      <c r="C2517" s="1">
        <v>42030</v>
      </c>
      <c r="D2517" s="2">
        <f t="shared" si="78"/>
        <v>1</v>
      </c>
      <c r="E2517" s="2">
        <f t="shared" si="79"/>
        <v>1</v>
      </c>
      <c r="F2517">
        <v>119.657</v>
      </c>
      <c r="G2517">
        <v>119.657</v>
      </c>
      <c r="H2517">
        <v>118.01220000000001</v>
      </c>
      <c r="I2517">
        <v>119.2458</v>
      </c>
      <c r="J2517">
        <v>46941</v>
      </c>
      <c r="K2517">
        <v>0</v>
      </c>
      <c r="L2517">
        <v>1.3936999999999999</v>
      </c>
    </row>
    <row r="2518" spans="1:12" x14ac:dyDescent="0.25">
      <c r="A2518">
        <v>2303</v>
      </c>
      <c r="B2518" t="s">
        <v>10</v>
      </c>
      <c r="C2518" s="1">
        <v>42031</v>
      </c>
      <c r="D2518" s="2">
        <f t="shared" si="78"/>
        <v>2</v>
      </c>
      <c r="E2518" s="2">
        <f t="shared" si="79"/>
        <v>1</v>
      </c>
      <c r="F2518">
        <v>12.6889</v>
      </c>
      <c r="G2518">
        <v>12.6889</v>
      </c>
      <c r="H2518">
        <v>12.444900000000001</v>
      </c>
      <c r="I2518">
        <v>12.5669</v>
      </c>
      <c r="J2518">
        <v>58730</v>
      </c>
      <c r="K2518">
        <v>-0.3231</v>
      </c>
      <c r="L2518">
        <v>1.9608000000000001</v>
      </c>
    </row>
    <row r="2519" spans="1:12" hidden="1" x14ac:dyDescent="0.25">
      <c r="A2519">
        <v>2330</v>
      </c>
      <c r="B2519" t="s">
        <v>11</v>
      </c>
      <c r="C2519" s="1">
        <v>42031</v>
      </c>
      <c r="D2519" s="2">
        <f t="shared" si="78"/>
        <v>2</v>
      </c>
      <c r="E2519" s="2">
        <f t="shared" si="79"/>
        <v>1</v>
      </c>
      <c r="F2519">
        <v>119.657</v>
      </c>
      <c r="G2519">
        <v>120.89060000000001</v>
      </c>
      <c r="H2519">
        <v>118.83459999999999</v>
      </c>
      <c r="I2519">
        <v>120.89060000000001</v>
      </c>
      <c r="J2519">
        <v>53362</v>
      </c>
      <c r="K2519">
        <v>1.3698999999999999</v>
      </c>
      <c r="L2519">
        <v>1.7301</v>
      </c>
    </row>
    <row r="2520" spans="1:12" x14ac:dyDescent="0.25">
      <c r="A2520">
        <v>2303</v>
      </c>
      <c r="B2520" t="s">
        <v>10</v>
      </c>
      <c r="C2520" s="1">
        <v>42032</v>
      </c>
      <c r="D2520" s="2">
        <f t="shared" si="78"/>
        <v>3</v>
      </c>
      <c r="E2520" s="2">
        <f t="shared" si="79"/>
        <v>1</v>
      </c>
      <c r="F2520">
        <v>12.526300000000001</v>
      </c>
      <c r="G2520">
        <v>12.7296</v>
      </c>
      <c r="H2520">
        <v>12.444900000000001</v>
      </c>
      <c r="I2520">
        <v>12.7296</v>
      </c>
      <c r="J2520">
        <v>91034</v>
      </c>
      <c r="K2520">
        <v>1.2862</v>
      </c>
      <c r="L2520">
        <v>2.2875999999999999</v>
      </c>
    </row>
    <row r="2521" spans="1:12" hidden="1" x14ac:dyDescent="0.25">
      <c r="A2521">
        <v>2330</v>
      </c>
      <c r="B2521" t="s">
        <v>11</v>
      </c>
      <c r="C2521" s="1">
        <v>42032</v>
      </c>
      <c r="D2521" s="2">
        <f t="shared" si="78"/>
        <v>3</v>
      </c>
      <c r="E2521" s="2">
        <f t="shared" si="79"/>
        <v>1</v>
      </c>
      <c r="F2521">
        <v>120.4794</v>
      </c>
      <c r="G2521">
        <v>120.89060000000001</v>
      </c>
      <c r="H2521">
        <v>119.657</v>
      </c>
      <c r="I2521">
        <v>120.4794</v>
      </c>
      <c r="J2521">
        <v>48373</v>
      </c>
      <c r="K2521">
        <v>-0.3407</v>
      </c>
      <c r="L2521">
        <v>1.0308999999999999</v>
      </c>
    </row>
    <row r="2522" spans="1:12" x14ac:dyDescent="0.25">
      <c r="A2522">
        <v>2303</v>
      </c>
      <c r="B2522" t="s">
        <v>10</v>
      </c>
      <c r="C2522" s="1">
        <v>42033</v>
      </c>
      <c r="D2522" s="2">
        <f t="shared" si="78"/>
        <v>4</v>
      </c>
      <c r="E2522" s="2">
        <f t="shared" si="79"/>
        <v>1</v>
      </c>
      <c r="F2522">
        <v>12.7296</v>
      </c>
      <c r="G2522">
        <v>12.770300000000001</v>
      </c>
      <c r="H2522">
        <v>12.404199999999999</v>
      </c>
      <c r="I2522">
        <v>12.4856</v>
      </c>
      <c r="J2522">
        <v>102347</v>
      </c>
      <c r="K2522">
        <v>-1.9355</v>
      </c>
      <c r="L2522">
        <v>2.9508000000000001</v>
      </c>
    </row>
    <row r="2523" spans="1:12" hidden="1" x14ac:dyDescent="0.25">
      <c r="A2523">
        <v>2330</v>
      </c>
      <c r="B2523" t="s">
        <v>11</v>
      </c>
      <c r="C2523" s="1">
        <v>42033</v>
      </c>
      <c r="D2523" s="2">
        <f t="shared" si="78"/>
        <v>4</v>
      </c>
      <c r="E2523" s="2">
        <f t="shared" si="79"/>
        <v>1</v>
      </c>
      <c r="F2523">
        <v>118.4234</v>
      </c>
      <c r="G2523">
        <v>119.2458</v>
      </c>
      <c r="H2523">
        <v>117.6011</v>
      </c>
      <c r="I2523">
        <v>118.01220000000001</v>
      </c>
      <c r="J2523">
        <v>36887</v>
      </c>
      <c r="K2523">
        <v>-2.069</v>
      </c>
      <c r="L2523">
        <v>1.3986000000000001</v>
      </c>
    </row>
    <row r="2524" spans="1:12" x14ac:dyDescent="0.25">
      <c r="A2524">
        <v>2303</v>
      </c>
      <c r="B2524" t="s">
        <v>10</v>
      </c>
      <c r="C2524" s="1">
        <v>42034</v>
      </c>
      <c r="D2524" s="2">
        <f t="shared" si="78"/>
        <v>5</v>
      </c>
      <c r="E2524" s="2">
        <f t="shared" si="79"/>
        <v>1</v>
      </c>
      <c r="F2524">
        <v>12.6076</v>
      </c>
      <c r="G2524">
        <v>12.6889</v>
      </c>
      <c r="H2524">
        <v>12.4856</v>
      </c>
      <c r="I2524">
        <v>12.526300000000001</v>
      </c>
      <c r="J2524">
        <v>86191</v>
      </c>
      <c r="K2524">
        <v>0.32519999999999999</v>
      </c>
      <c r="L2524">
        <v>1.6287</v>
      </c>
    </row>
    <row r="2525" spans="1:12" hidden="1" x14ac:dyDescent="0.25">
      <c r="A2525">
        <v>2330</v>
      </c>
      <c r="B2525" t="s">
        <v>11</v>
      </c>
      <c r="C2525" s="1">
        <v>42034</v>
      </c>
      <c r="D2525" s="2">
        <f t="shared" si="78"/>
        <v>5</v>
      </c>
      <c r="E2525" s="2">
        <f t="shared" si="79"/>
        <v>1</v>
      </c>
      <c r="F2525">
        <v>119.2458</v>
      </c>
      <c r="G2525">
        <v>119.657</v>
      </c>
      <c r="H2525">
        <v>115.9563</v>
      </c>
      <c r="I2525">
        <v>115.9563</v>
      </c>
      <c r="J2525">
        <v>44413</v>
      </c>
      <c r="K2525">
        <v>-1.7575000000000001</v>
      </c>
      <c r="L2525">
        <v>3.1915</v>
      </c>
    </row>
    <row r="2526" spans="1:12" x14ac:dyDescent="0.25">
      <c r="A2526">
        <v>2303</v>
      </c>
      <c r="B2526" t="s">
        <v>10</v>
      </c>
      <c r="C2526" s="1">
        <v>42037</v>
      </c>
      <c r="D2526" s="2">
        <f t="shared" si="78"/>
        <v>1</v>
      </c>
      <c r="E2526" s="2">
        <f t="shared" si="79"/>
        <v>2</v>
      </c>
      <c r="F2526">
        <v>12.5669</v>
      </c>
      <c r="G2526">
        <v>12.648300000000001</v>
      </c>
      <c r="H2526">
        <v>12.4856</v>
      </c>
      <c r="I2526">
        <v>12.5669</v>
      </c>
      <c r="J2526">
        <v>55917</v>
      </c>
      <c r="K2526">
        <v>0.3241</v>
      </c>
      <c r="L2526">
        <v>1.3028999999999999</v>
      </c>
    </row>
    <row r="2527" spans="1:12" hidden="1" x14ac:dyDescent="0.25">
      <c r="A2527">
        <v>2330</v>
      </c>
      <c r="B2527" t="s">
        <v>11</v>
      </c>
      <c r="C2527" s="1">
        <v>42037</v>
      </c>
      <c r="D2527" s="2">
        <f t="shared" si="78"/>
        <v>1</v>
      </c>
      <c r="E2527" s="2">
        <f t="shared" si="79"/>
        <v>2</v>
      </c>
      <c r="F2527">
        <v>115.54510000000001</v>
      </c>
      <c r="G2527">
        <v>117.6011</v>
      </c>
      <c r="H2527">
        <v>115.54510000000001</v>
      </c>
      <c r="I2527">
        <v>117.18989999999999</v>
      </c>
      <c r="J2527">
        <v>30382</v>
      </c>
      <c r="K2527">
        <v>1.0582</v>
      </c>
      <c r="L2527">
        <v>1.7794000000000001</v>
      </c>
    </row>
    <row r="2528" spans="1:12" x14ac:dyDescent="0.25">
      <c r="A2528">
        <v>2303</v>
      </c>
      <c r="B2528" t="s">
        <v>10</v>
      </c>
      <c r="C2528" s="1">
        <v>42038</v>
      </c>
      <c r="D2528" s="2">
        <f t="shared" si="78"/>
        <v>2</v>
      </c>
      <c r="E2528" s="2">
        <f t="shared" si="79"/>
        <v>2</v>
      </c>
      <c r="F2528">
        <v>12.648300000000001</v>
      </c>
      <c r="G2528">
        <v>12.8109</v>
      </c>
      <c r="H2528">
        <v>12.648300000000001</v>
      </c>
      <c r="I2528">
        <v>12.7296</v>
      </c>
      <c r="J2528">
        <v>100320</v>
      </c>
      <c r="K2528">
        <v>1.2862</v>
      </c>
      <c r="L2528">
        <v>1.2862</v>
      </c>
    </row>
    <row r="2529" spans="1:12" hidden="1" x14ac:dyDescent="0.25">
      <c r="A2529">
        <v>2330</v>
      </c>
      <c r="B2529" t="s">
        <v>11</v>
      </c>
      <c r="C2529" s="1">
        <v>42038</v>
      </c>
      <c r="D2529" s="2">
        <f t="shared" si="78"/>
        <v>2</v>
      </c>
      <c r="E2529" s="2">
        <f t="shared" si="79"/>
        <v>2</v>
      </c>
      <c r="F2529">
        <v>117.6011</v>
      </c>
      <c r="G2529">
        <v>118.83459999999999</v>
      </c>
      <c r="H2529">
        <v>116.7787</v>
      </c>
      <c r="I2529">
        <v>118.83459999999999</v>
      </c>
      <c r="J2529">
        <v>27234</v>
      </c>
      <c r="K2529">
        <v>1.3937999999999999</v>
      </c>
      <c r="L2529">
        <v>1.7605999999999999</v>
      </c>
    </row>
    <row r="2530" spans="1:12" x14ac:dyDescent="0.25">
      <c r="A2530">
        <v>2303</v>
      </c>
      <c r="B2530" t="s">
        <v>10</v>
      </c>
      <c r="C2530" s="1">
        <v>42039</v>
      </c>
      <c r="D2530" s="2">
        <f t="shared" si="78"/>
        <v>3</v>
      </c>
      <c r="E2530" s="2">
        <f t="shared" si="79"/>
        <v>2</v>
      </c>
      <c r="F2530">
        <v>12.892300000000001</v>
      </c>
      <c r="G2530">
        <v>12.9329</v>
      </c>
      <c r="H2530">
        <v>12.7296</v>
      </c>
      <c r="I2530">
        <v>12.7296</v>
      </c>
      <c r="J2530">
        <v>106899</v>
      </c>
      <c r="K2530">
        <v>0</v>
      </c>
      <c r="L2530">
        <v>1.5973999999999999</v>
      </c>
    </row>
    <row r="2531" spans="1:12" hidden="1" x14ac:dyDescent="0.25">
      <c r="A2531">
        <v>2330</v>
      </c>
      <c r="B2531" t="s">
        <v>11</v>
      </c>
      <c r="C2531" s="1">
        <v>42039</v>
      </c>
      <c r="D2531" s="2">
        <f t="shared" si="78"/>
        <v>3</v>
      </c>
      <c r="E2531" s="2">
        <f t="shared" si="79"/>
        <v>2</v>
      </c>
      <c r="F2531">
        <v>118.83459999999999</v>
      </c>
      <c r="G2531">
        <v>120.4794</v>
      </c>
      <c r="H2531">
        <v>118.4234</v>
      </c>
      <c r="I2531">
        <v>120.0682</v>
      </c>
      <c r="J2531">
        <v>43152</v>
      </c>
      <c r="K2531">
        <v>1.0327</v>
      </c>
      <c r="L2531">
        <v>1.7361</v>
      </c>
    </row>
    <row r="2532" spans="1:12" x14ac:dyDescent="0.25">
      <c r="A2532">
        <v>2303</v>
      </c>
      <c r="B2532" t="s">
        <v>10</v>
      </c>
      <c r="C2532" s="1">
        <v>42040</v>
      </c>
      <c r="D2532" s="2">
        <f t="shared" si="78"/>
        <v>4</v>
      </c>
      <c r="E2532" s="2">
        <f t="shared" si="79"/>
        <v>2</v>
      </c>
      <c r="F2532">
        <v>12.851599999999999</v>
      </c>
      <c r="G2532">
        <v>12.851599999999999</v>
      </c>
      <c r="H2532">
        <v>12.6889</v>
      </c>
      <c r="I2532">
        <v>12.8109</v>
      </c>
      <c r="J2532">
        <v>54108</v>
      </c>
      <c r="K2532">
        <v>0.63690000000000002</v>
      </c>
      <c r="L2532">
        <v>1.2821</v>
      </c>
    </row>
    <row r="2533" spans="1:12" hidden="1" x14ac:dyDescent="0.25">
      <c r="A2533">
        <v>2330</v>
      </c>
      <c r="B2533" t="s">
        <v>11</v>
      </c>
      <c r="C2533" s="1">
        <v>42040</v>
      </c>
      <c r="D2533" s="2">
        <f t="shared" si="78"/>
        <v>4</v>
      </c>
      <c r="E2533" s="2">
        <f t="shared" si="79"/>
        <v>2</v>
      </c>
      <c r="F2533">
        <v>119.657</v>
      </c>
      <c r="G2533">
        <v>120.0682</v>
      </c>
      <c r="H2533">
        <v>118.01220000000001</v>
      </c>
      <c r="I2533">
        <v>119.657</v>
      </c>
      <c r="J2533">
        <v>25327</v>
      </c>
      <c r="K2533">
        <v>-0.34310000000000002</v>
      </c>
      <c r="L2533">
        <v>1.7422</v>
      </c>
    </row>
    <row r="2534" spans="1:12" x14ac:dyDescent="0.25">
      <c r="A2534">
        <v>2303</v>
      </c>
      <c r="B2534" t="s">
        <v>10</v>
      </c>
      <c r="C2534" s="1">
        <v>42041</v>
      </c>
      <c r="D2534" s="2">
        <f t="shared" si="78"/>
        <v>5</v>
      </c>
      <c r="E2534" s="2">
        <f t="shared" si="79"/>
        <v>2</v>
      </c>
      <c r="F2534">
        <v>12.851599999999999</v>
      </c>
      <c r="G2534">
        <v>12.851599999999999</v>
      </c>
      <c r="H2534">
        <v>12.7296</v>
      </c>
      <c r="I2534">
        <v>12.7296</v>
      </c>
      <c r="J2534">
        <v>43650</v>
      </c>
      <c r="K2534">
        <v>-0.63690000000000002</v>
      </c>
      <c r="L2534">
        <v>0.95850000000000002</v>
      </c>
    </row>
    <row r="2535" spans="1:12" hidden="1" x14ac:dyDescent="0.25">
      <c r="A2535">
        <v>2330</v>
      </c>
      <c r="B2535" t="s">
        <v>11</v>
      </c>
      <c r="C2535" s="1">
        <v>42041</v>
      </c>
      <c r="D2535" s="2">
        <f t="shared" si="78"/>
        <v>5</v>
      </c>
      <c r="E2535" s="2">
        <f t="shared" si="79"/>
        <v>2</v>
      </c>
      <c r="F2535">
        <v>119.657</v>
      </c>
      <c r="G2535">
        <v>119.657</v>
      </c>
      <c r="H2535">
        <v>117.6011</v>
      </c>
      <c r="I2535">
        <v>117.6011</v>
      </c>
      <c r="J2535">
        <v>28668</v>
      </c>
      <c r="K2535">
        <v>-1.7331000000000001</v>
      </c>
      <c r="L2535">
        <v>1.7483</v>
      </c>
    </row>
    <row r="2536" spans="1:12" x14ac:dyDescent="0.25">
      <c r="A2536">
        <v>2303</v>
      </c>
      <c r="B2536" t="s">
        <v>10</v>
      </c>
      <c r="C2536" s="1">
        <v>42044</v>
      </c>
      <c r="D2536" s="2">
        <f t="shared" si="78"/>
        <v>1</v>
      </c>
      <c r="E2536" s="2">
        <f t="shared" si="79"/>
        <v>2</v>
      </c>
      <c r="F2536">
        <v>12.7296</v>
      </c>
      <c r="G2536">
        <v>12.8109</v>
      </c>
      <c r="H2536">
        <v>12.648300000000001</v>
      </c>
      <c r="I2536">
        <v>12.7296</v>
      </c>
      <c r="J2536">
        <v>39186</v>
      </c>
      <c r="K2536">
        <v>0</v>
      </c>
      <c r="L2536">
        <v>1.2862</v>
      </c>
    </row>
    <row r="2537" spans="1:12" hidden="1" x14ac:dyDescent="0.25">
      <c r="A2537">
        <v>2330</v>
      </c>
      <c r="B2537" t="s">
        <v>11</v>
      </c>
      <c r="C2537" s="1">
        <v>42044</v>
      </c>
      <c r="D2537" s="2">
        <f t="shared" si="78"/>
        <v>1</v>
      </c>
      <c r="E2537" s="2">
        <f t="shared" si="79"/>
        <v>2</v>
      </c>
      <c r="F2537">
        <v>117.6011</v>
      </c>
      <c r="G2537">
        <v>118.01220000000001</v>
      </c>
      <c r="H2537">
        <v>116.36750000000001</v>
      </c>
      <c r="I2537">
        <v>116.7787</v>
      </c>
      <c r="J2537">
        <v>26650</v>
      </c>
      <c r="K2537">
        <v>-0.70179999999999998</v>
      </c>
      <c r="L2537">
        <v>1.4134</v>
      </c>
    </row>
    <row r="2538" spans="1:12" x14ac:dyDescent="0.25">
      <c r="A2538">
        <v>2303</v>
      </c>
      <c r="B2538" t="s">
        <v>10</v>
      </c>
      <c r="C2538" s="1">
        <v>42045</v>
      </c>
      <c r="D2538" s="2">
        <f t="shared" si="78"/>
        <v>2</v>
      </c>
      <c r="E2538" s="2">
        <f t="shared" si="79"/>
        <v>2</v>
      </c>
      <c r="F2538">
        <v>12.8109</v>
      </c>
      <c r="G2538">
        <v>12.851599999999999</v>
      </c>
      <c r="H2538">
        <v>12.526300000000001</v>
      </c>
      <c r="I2538">
        <v>12.526300000000001</v>
      </c>
      <c r="J2538">
        <v>43062</v>
      </c>
      <c r="K2538">
        <v>-1.6103000000000001</v>
      </c>
      <c r="L2538">
        <v>2.5973999999999999</v>
      </c>
    </row>
    <row r="2539" spans="1:12" hidden="1" x14ac:dyDescent="0.25">
      <c r="A2539">
        <v>2330</v>
      </c>
      <c r="B2539" t="s">
        <v>11</v>
      </c>
      <c r="C2539" s="1">
        <v>42045</v>
      </c>
      <c r="D2539" s="2">
        <f t="shared" si="78"/>
        <v>2</v>
      </c>
      <c r="E2539" s="2">
        <f t="shared" si="79"/>
        <v>2</v>
      </c>
      <c r="F2539">
        <v>116.7787</v>
      </c>
      <c r="G2539">
        <v>117.6011</v>
      </c>
      <c r="H2539">
        <v>116.36750000000001</v>
      </c>
      <c r="I2539">
        <v>117.18989999999999</v>
      </c>
      <c r="J2539">
        <v>33452</v>
      </c>
      <c r="K2539">
        <v>0.35149999999999998</v>
      </c>
      <c r="L2539">
        <v>1.0601</v>
      </c>
    </row>
    <row r="2540" spans="1:12" x14ac:dyDescent="0.25">
      <c r="A2540">
        <v>2303</v>
      </c>
      <c r="B2540" t="s">
        <v>10</v>
      </c>
      <c r="C2540" s="1">
        <v>42046</v>
      </c>
      <c r="D2540" s="2">
        <f t="shared" si="78"/>
        <v>3</v>
      </c>
      <c r="E2540" s="2">
        <f t="shared" si="79"/>
        <v>2</v>
      </c>
      <c r="F2540">
        <v>12.6889</v>
      </c>
      <c r="G2540">
        <v>12.851599999999999</v>
      </c>
      <c r="H2540">
        <v>12.6076</v>
      </c>
      <c r="I2540">
        <v>12.8109</v>
      </c>
      <c r="J2540">
        <v>74043</v>
      </c>
      <c r="K2540">
        <v>2.2473000000000001</v>
      </c>
      <c r="L2540">
        <v>1.9355</v>
      </c>
    </row>
    <row r="2541" spans="1:12" hidden="1" x14ac:dyDescent="0.25">
      <c r="A2541">
        <v>2330</v>
      </c>
      <c r="B2541" t="s">
        <v>11</v>
      </c>
      <c r="C2541" s="1">
        <v>42046</v>
      </c>
      <c r="D2541" s="2">
        <f t="shared" si="78"/>
        <v>3</v>
      </c>
      <c r="E2541" s="2">
        <f t="shared" si="79"/>
        <v>2</v>
      </c>
      <c r="F2541">
        <v>120.0682</v>
      </c>
      <c r="G2541">
        <v>122.5354</v>
      </c>
      <c r="H2541">
        <v>120.0682</v>
      </c>
      <c r="I2541">
        <v>121.71299999999999</v>
      </c>
      <c r="J2541">
        <v>71429</v>
      </c>
      <c r="K2541">
        <v>3.7869999999999999</v>
      </c>
      <c r="L2541">
        <v>2.0548000000000002</v>
      </c>
    </row>
    <row r="2542" spans="1:12" x14ac:dyDescent="0.25">
      <c r="A2542">
        <v>2303</v>
      </c>
      <c r="B2542" t="s">
        <v>10</v>
      </c>
      <c r="C2542" s="1">
        <v>42047</v>
      </c>
      <c r="D2542" s="2">
        <f t="shared" si="78"/>
        <v>4</v>
      </c>
      <c r="E2542" s="2">
        <f t="shared" si="79"/>
        <v>2</v>
      </c>
      <c r="F2542">
        <v>12.892300000000001</v>
      </c>
      <c r="G2542">
        <v>12.892300000000001</v>
      </c>
      <c r="H2542">
        <v>12.6889</v>
      </c>
      <c r="I2542">
        <v>12.7296</v>
      </c>
      <c r="J2542">
        <v>40472</v>
      </c>
      <c r="K2542">
        <v>-0.63690000000000002</v>
      </c>
      <c r="L2542">
        <v>1.6026</v>
      </c>
    </row>
    <row r="2543" spans="1:12" hidden="1" x14ac:dyDescent="0.25">
      <c r="A2543">
        <v>2330</v>
      </c>
      <c r="B2543" t="s">
        <v>11</v>
      </c>
      <c r="C2543" s="1">
        <v>42047</v>
      </c>
      <c r="D2543" s="2">
        <f t="shared" si="78"/>
        <v>4</v>
      </c>
      <c r="E2543" s="2">
        <f t="shared" si="79"/>
        <v>2</v>
      </c>
      <c r="F2543">
        <v>122.9466</v>
      </c>
      <c r="G2543">
        <v>122.9466</v>
      </c>
      <c r="H2543">
        <v>121.3018</v>
      </c>
      <c r="I2543">
        <v>122.1242</v>
      </c>
      <c r="J2543">
        <v>35027</v>
      </c>
      <c r="K2543">
        <v>0.33729999999999999</v>
      </c>
      <c r="L2543">
        <v>1.3559000000000001</v>
      </c>
    </row>
    <row r="2544" spans="1:12" x14ac:dyDescent="0.25">
      <c r="A2544">
        <v>2303</v>
      </c>
      <c r="B2544" t="s">
        <v>10</v>
      </c>
      <c r="C2544" s="1">
        <v>42048</v>
      </c>
      <c r="D2544" s="2">
        <f t="shared" si="78"/>
        <v>5</v>
      </c>
      <c r="E2544" s="2">
        <f t="shared" si="79"/>
        <v>2</v>
      </c>
      <c r="F2544">
        <v>12.770300000000001</v>
      </c>
      <c r="G2544">
        <v>12.8109</v>
      </c>
      <c r="H2544">
        <v>12.6076</v>
      </c>
      <c r="I2544">
        <v>12.6889</v>
      </c>
      <c r="J2544">
        <v>45907</v>
      </c>
      <c r="K2544">
        <v>-0.32</v>
      </c>
      <c r="L2544">
        <v>1.6129</v>
      </c>
    </row>
    <row r="2545" spans="1:12" hidden="1" x14ac:dyDescent="0.25">
      <c r="A2545">
        <v>2330</v>
      </c>
      <c r="B2545" t="s">
        <v>11</v>
      </c>
      <c r="C2545" s="1">
        <v>42048</v>
      </c>
      <c r="D2545" s="2">
        <f t="shared" si="78"/>
        <v>5</v>
      </c>
      <c r="E2545" s="2">
        <f t="shared" si="79"/>
        <v>2</v>
      </c>
      <c r="F2545">
        <v>122.1242</v>
      </c>
      <c r="G2545">
        <v>123.3578</v>
      </c>
      <c r="H2545">
        <v>121.71299999999999</v>
      </c>
      <c r="I2545">
        <v>122.1242</v>
      </c>
      <c r="J2545">
        <v>38571</v>
      </c>
      <c r="K2545">
        <v>0</v>
      </c>
      <c r="L2545">
        <v>1.3513999999999999</v>
      </c>
    </row>
    <row r="2546" spans="1:12" x14ac:dyDescent="0.25">
      <c r="A2546">
        <v>2303</v>
      </c>
      <c r="B2546" t="s">
        <v>10</v>
      </c>
      <c r="C2546" s="1">
        <v>42059</v>
      </c>
      <c r="D2546" s="2">
        <f t="shared" si="78"/>
        <v>2</v>
      </c>
      <c r="E2546" s="2">
        <f t="shared" si="79"/>
        <v>2</v>
      </c>
      <c r="F2546">
        <v>12.851599999999999</v>
      </c>
      <c r="G2546">
        <v>12.892300000000001</v>
      </c>
      <c r="H2546">
        <v>12.6889</v>
      </c>
      <c r="I2546">
        <v>12.892300000000001</v>
      </c>
      <c r="J2546">
        <v>71058</v>
      </c>
      <c r="K2546">
        <v>1.5899000000000001</v>
      </c>
      <c r="L2546">
        <v>1.6026</v>
      </c>
    </row>
    <row r="2547" spans="1:12" hidden="1" x14ac:dyDescent="0.25">
      <c r="A2547">
        <v>2330</v>
      </c>
      <c r="B2547" t="s">
        <v>11</v>
      </c>
      <c r="C2547" s="1">
        <v>42059</v>
      </c>
      <c r="D2547" s="2">
        <f t="shared" si="78"/>
        <v>2</v>
      </c>
      <c r="E2547" s="2">
        <f t="shared" si="79"/>
        <v>2</v>
      </c>
      <c r="F2547">
        <v>122.5354</v>
      </c>
      <c r="G2547">
        <v>125.0025</v>
      </c>
      <c r="H2547">
        <v>122.1242</v>
      </c>
      <c r="I2547">
        <v>124.1801</v>
      </c>
      <c r="J2547">
        <v>74443</v>
      </c>
      <c r="K2547">
        <v>1.6695</v>
      </c>
      <c r="L2547">
        <v>2.3569</v>
      </c>
    </row>
    <row r="2548" spans="1:12" x14ac:dyDescent="0.25">
      <c r="A2548">
        <v>2303</v>
      </c>
      <c r="B2548" t="s">
        <v>10</v>
      </c>
      <c r="C2548" s="1">
        <v>42060</v>
      </c>
      <c r="D2548" s="2">
        <f t="shared" si="78"/>
        <v>3</v>
      </c>
      <c r="E2548" s="2">
        <f t="shared" si="79"/>
        <v>2</v>
      </c>
      <c r="F2548">
        <v>12.892300000000001</v>
      </c>
      <c r="G2548">
        <v>13.055</v>
      </c>
      <c r="H2548">
        <v>12.851599999999999</v>
      </c>
      <c r="I2548">
        <v>13.055</v>
      </c>
      <c r="J2548">
        <v>88365</v>
      </c>
      <c r="K2548">
        <v>1.2539</v>
      </c>
      <c r="L2548">
        <v>1.5823</v>
      </c>
    </row>
    <row r="2549" spans="1:12" hidden="1" x14ac:dyDescent="0.25">
      <c r="A2549">
        <v>2330</v>
      </c>
      <c r="B2549" t="s">
        <v>11</v>
      </c>
      <c r="C2549" s="1">
        <v>42060</v>
      </c>
      <c r="D2549" s="2">
        <f t="shared" si="78"/>
        <v>3</v>
      </c>
      <c r="E2549" s="2">
        <f t="shared" si="79"/>
        <v>2</v>
      </c>
      <c r="F2549">
        <v>125.41370000000001</v>
      </c>
      <c r="G2549">
        <v>127.0585</v>
      </c>
      <c r="H2549">
        <v>125.41370000000001</v>
      </c>
      <c r="I2549">
        <v>127.0585</v>
      </c>
      <c r="J2549">
        <v>48326</v>
      </c>
      <c r="K2549">
        <v>2.2913999999999999</v>
      </c>
      <c r="L2549">
        <v>1.3115000000000001</v>
      </c>
    </row>
    <row r="2550" spans="1:12" x14ac:dyDescent="0.25">
      <c r="A2550">
        <v>2303</v>
      </c>
      <c r="B2550" t="s">
        <v>10</v>
      </c>
      <c r="C2550" s="1">
        <v>42061</v>
      </c>
      <c r="D2550" s="2">
        <f t="shared" si="78"/>
        <v>4</v>
      </c>
      <c r="E2550" s="2">
        <f t="shared" si="79"/>
        <v>2</v>
      </c>
      <c r="F2550">
        <v>13.0143</v>
      </c>
      <c r="G2550">
        <v>13.055</v>
      </c>
      <c r="H2550">
        <v>12.851599999999999</v>
      </c>
      <c r="I2550">
        <v>13.0143</v>
      </c>
      <c r="J2550">
        <v>67714</v>
      </c>
      <c r="K2550">
        <v>-0.312</v>
      </c>
      <c r="L2550">
        <v>1.5823</v>
      </c>
    </row>
    <row r="2551" spans="1:12" hidden="1" x14ac:dyDescent="0.25">
      <c r="A2551">
        <v>2330</v>
      </c>
      <c r="B2551" t="s">
        <v>11</v>
      </c>
      <c r="C2551" s="1">
        <v>42061</v>
      </c>
      <c r="D2551" s="2">
        <f t="shared" si="78"/>
        <v>4</v>
      </c>
      <c r="E2551" s="2">
        <f t="shared" si="79"/>
        <v>2</v>
      </c>
      <c r="F2551">
        <v>126.23609999999999</v>
      </c>
      <c r="G2551">
        <v>126.6473</v>
      </c>
      <c r="H2551">
        <v>123.7689</v>
      </c>
      <c r="I2551">
        <v>123.7689</v>
      </c>
      <c r="J2551">
        <v>58406</v>
      </c>
      <c r="K2551">
        <v>-2.6231</v>
      </c>
      <c r="L2551">
        <v>2.3256000000000001</v>
      </c>
    </row>
    <row r="2552" spans="1:12" x14ac:dyDescent="0.25">
      <c r="A2552">
        <v>2303</v>
      </c>
      <c r="B2552" t="s">
        <v>10</v>
      </c>
      <c r="C2552" s="1">
        <v>42065</v>
      </c>
      <c r="D2552" s="2">
        <f t="shared" si="78"/>
        <v>1</v>
      </c>
      <c r="E2552" s="2">
        <f t="shared" si="79"/>
        <v>3</v>
      </c>
      <c r="F2552">
        <v>13.055</v>
      </c>
      <c r="G2552">
        <v>13.095599999999999</v>
      </c>
      <c r="H2552">
        <v>12.8109</v>
      </c>
      <c r="I2552">
        <v>12.892300000000001</v>
      </c>
      <c r="J2552">
        <v>60350</v>
      </c>
      <c r="K2552">
        <v>-0.94189999999999996</v>
      </c>
      <c r="L2552">
        <v>2.2222</v>
      </c>
    </row>
    <row r="2553" spans="1:12" hidden="1" x14ac:dyDescent="0.25">
      <c r="A2553">
        <v>2330</v>
      </c>
      <c r="B2553" t="s">
        <v>11</v>
      </c>
      <c r="C2553" s="1">
        <v>42065</v>
      </c>
      <c r="D2553" s="2">
        <f t="shared" si="78"/>
        <v>1</v>
      </c>
      <c r="E2553" s="2">
        <f t="shared" si="79"/>
        <v>3</v>
      </c>
      <c r="F2553">
        <v>124.5913</v>
      </c>
      <c r="G2553">
        <v>125.8249</v>
      </c>
      <c r="H2553">
        <v>122.1242</v>
      </c>
      <c r="I2553">
        <v>122.5354</v>
      </c>
      <c r="J2553">
        <v>41706</v>
      </c>
      <c r="K2553">
        <v>-1.0017</v>
      </c>
      <c r="L2553">
        <v>3.0303</v>
      </c>
    </row>
    <row r="2554" spans="1:12" x14ac:dyDescent="0.25">
      <c r="A2554">
        <v>2303</v>
      </c>
      <c r="B2554" t="s">
        <v>10</v>
      </c>
      <c r="C2554" s="1">
        <v>42066</v>
      </c>
      <c r="D2554" s="2">
        <f t="shared" si="78"/>
        <v>2</v>
      </c>
      <c r="E2554" s="2">
        <f t="shared" si="79"/>
        <v>3</v>
      </c>
      <c r="F2554">
        <v>12.9329</v>
      </c>
      <c r="G2554">
        <v>12.973599999999999</v>
      </c>
      <c r="H2554">
        <v>12.770300000000001</v>
      </c>
      <c r="I2554">
        <v>12.892300000000001</v>
      </c>
      <c r="J2554">
        <v>47908</v>
      </c>
      <c r="K2554">
        <v>0</v>
      </c>
      <c r="L2554">
        <v>1.5924</v>
      </c>
    </row>
    <row r="2555" spans="1:12" hidden="1" x14ac:dyDescent="0.25">
      <c r="A2555">
        <v>2330</v>
      </c>
      <c r="B2555" t="s">
        <v>11</v>
      </c>
      <c r="C2555" s="1">
        <v>42066</v>
      </c>
      <c r="D2555" s="2">
        <f t="shared" si="78"/>
        <v>2</v>
      </c>
      <c r="E2555" s="2">
        <f t="shared" si="79"/>
        <v>3</v>
      </c>
      <c r="F2555">
        <v>123.3578</v>
      </c>
      <c r="G2555">
        <v>124.1801</v>
      </c>
      <c r="H2555">
        <v>122.1242</v>
      </c>
      <c r="I2555">
        <v>123.7689</v>
      </c>
      <c r="J2555">
        <v>29205</v>
      </c>
      <c r="K2555">
        <v>1.0017</v>
      </c>
      <c r="L2555">
        <v>1.6835</v>
      </c>
    </row>
    <row r="2556" spans="1:12" x14ac:dyDescent="0.25">
      <c r="A2556">
        <v>2303</v>
      </c>
      <c r="B2556" t="s">
        <v>10</v>
      </c>
      <c r="C2556" s="1">
        <v>42067</v>
      </c>
      <c r="D2556" s="2">
        <f t="shared" si="78"/>
        <v>3</v>
      </c>
      <c r="E2556" s="2">
        <f t="shared" si="79"/>
        <v>3</v>
      </c>
      <c r="F2556">
        <v>12.851599999999999</v>
      </c>
      <c r="G2556">
        <v>12.973599999999999</v>
      </c>
      <c r="H2556">
        <v>12.8109</v>
      </c>
      <c r="I2556">
        <v>12.8109</v>
      </c>
      <c r="J2556">
        <v>50862</v>
      </c>
      <c r="K2556">
        <v>-0.63290000000000002</v>
      </c>
      <c r="L2556">
        <v>1.2698</v>
      </c>
    </row>
    <row r="2557" spans="1:12" hidden="1" x14ac:dyDescent="0.25">
      <c r="A2557">
        <v>2330</v>
      </c>
      <c r="B2557" t="s">
        <v>11</v>
      </c>
      <c r="C2557" s="1">
        <v>42067</v>
      </c>
      <c r="D2557" s="2">
        <f t="shared" si="78"/>
        <v>3</v>
      </c>
      <c r="E2557" s="2">
        <f t="shared" si="79"/>
        <v>3</v>
      </c>
      <c r="F2557">
        <v>123.3578</v>
      </c>
      <c r="G2557">
        <v>124.5913</v>
      </c>
      <c r="H2557">
        <v>122.5354</v>
      </c>
      <c r="I2557">
        <v>123.7689</v>
      </c>
      <c r="J2557">
        <v>32781</v>
      </c>
      <c r="K2557">
        <v>0</v>
      </c>
      <c r="L2557">
        <v>1.6778999999999999</v>
      </c>
    </row>
    <row r="2558" spans="1:12" x14ac:dyDescent="0.25">
      <c r="A2558">
        <v>2303</v>
      </c>
      <c r="B2558" t="s">
        <v>10</v>
      </c>
      <c r="C2558" s="1">
        <v>42068</v>
      </c>
      <c r="D2558" s="2">
        <f t="shared" si="78"/>
        <v>4</v>
      </c>
      <c r="E2558" s="2">
        <f t="shared" si="79"/>
        <v>3</v>
      </c>
      <c r="F2558">
        <v>12.770300000000001</v>
      </c>
      <c r="G2558">
        <v>12.892300000000001</v>
      </c>
      <c r="H2558">
        <v>12.7296</v>
      </c>
      <c r="I2558">
        <v>12.7296</v>
      </c>
      <c r="J2558">
        <v>51219</v>
      </c>
      <c r="K2558">
        <v>-0.63690000000000002</v>
      </c>
      <c r="L2558">
        <v>1.278</v>
      </c>
    </row>
    <row r="2559" spans="1:12" hidden="1" x14ac:dyDescent="0.25">
      <c r="A2559">
        <v>2330</v>
      </c>
      <c r="B2559" t="s">
        <v>11</v>
      </c>
      <c r="C2559" s="1">
        <v>42068</v>
      </c>
      <c r="D2559" s="2">
        <f t="shared" si="78"/>
        <v>4</v>
      </c>
      <c r="E2559" s="2">
        <f t="shared" si="79"/>
        <v>3</v>
      </c>
      <c r="F2559">
        <v>123.3578</v>
      </c>
      <c r="G2559">
        <v>124.1801</v>
      </c>
      <c r="H2559">
        <v>122.1242</v>
      </c>
      <c r="I2559">
        <v>123.3578</v>
      </c>
      <c r="J2559">
        <v>29851</v>
      </c>
      <c r="K2559">
        <v>-0.33279999999999998</v>
      </c>
      <c r="L2559">
        <v>1.6835</v>
      </c>
    </row>
    <row r="2560" spans="1:12" x14ac:dyDescent="0.25">
      <c r="A2560">
        <v>2303</v>
      </c>
      <c r="B2560" t="s">
        <v>10</v>
      </c>
      <c r="C2560" s="1">
        <v>42069</v>
      </c>
      <c r="D2560" s="2">
        <f t="shared" si="78"/>
        <v>5</v>
      </c>
      <c r="E2560" s="2">
        <f t="shared" si="79"/>
        <v>3</v>
      </c>
      <c r="F2560">
        <v>12.7296</v>
      </c>
      <c r="G2560">
        <v>12.8109</v>
      </c>
      <c r="H2560">
        <v>12.648300000000001</v>
      </c>
      <c r="I2560">
        <v>12.7296</v>
      </c>
      <c r="J2560">
        <v>55362</v>
      </c>
      <c r="K2560">
        <v>0</v>
      </c>
      <c r="L2560">
        <v>1.2862</v>
      </c>
    </row>
    <row r="2561" spans="1:12" hidden="1" x14ac:dyDescent="0.25">
      <c r="A2561">
        <v>2330</v>
      </c>
      <c r="B2561" t="s">
        <v>11</v>
      </c>
      <c r="C2561" s="1">
        <v>42069</v>
      </c>
      <c r="D2561" s="2">
        <f t="shared" si="78"/>
        <v>5</v>
      </c>
      <c r="E2561" s="2">
        <f t="shared" si="79"/>
        <v>3</v>
      </c>
      <c r="F2561">
        <v>122.5354</v>
      </c>
      <c r="G2561">
        <v>122.9466</v>
      </c>
      <c r="H2561">
        <v>122.1242</v>
      </c>
      <c r="I2561">
        <v>122.5354</v>
      </c>
      <c r="J2561">
        <v>33211</v>
      </c>
      <c r="K2561">
        <v>-0.66890000000000005</v>
      </c>
      <c r="L2561">
        <v>0.6734</v>
      </c>
    </row>
    <row r="2562" spans="1:12" x14ac:dyDescent="0.25">
      <c r="A2562">
        <v>2303</v>
      </c>
      <c r="B2562" t="s">
        <v>10</v>
      </c>
      <c r="C2562" s="1">
        <v>42072</v>
      </c>
      <c r="D2562" s="2">
        <f t="shared" si="78"/>
        <v>1</v>
      </c>
      <c r="E2562" s="2">
        <f t="shared" si="79"/>
        <v>3</v>
      </c>
      <c r="F2562">
        <v>12.6889</v>
      </c>
      <c r="G2562">
        <v>12.770300000000001</v>
      </c>
      <c r="H2562">
        <v>12.6076</v>
      </c>
      <c r="I2562">
        <v>12.770300000000001</v>
      </c>
      <c r="J2562">
        <v>59064</v>
      </c>
      <c r="K2562">
        <v>0.31900000000000001</v>
      </c>
      <c r="L2562">
        <v>1.2903</v>
      </c>
    </row>
    <row r="2563" spans="1:12" hidden="1" x14ac:dyDescent="0.25">
      <c r="A2563">
        <v>2330</v>
      </c>
      <c r="B2563" t="s">
        <v>11</v>
      </c>
      <c r="C2563" s="1">
        <v>42072</v>
      </c>
      <c r="D2563" s="2">
        <f t="shared" ref="D2563:D2626" si="80">WEEKDAY(C2563,2)</f>
        <v>1</v>
      </c>
      <c r="E2563" s="2">
        <f t="shared" ref="E2563:E2626" si="81">MONTH(C2563)</f>
        <v>3</v>
      </c>
      <c r="F2563">
        <v>121.3018</v>
      </c>
      <c r="G2563">
        <v>121.3018</v>
      </c>
      <c r="H2563">
        <v>119.2458</v>
      </c>
      <c r="I2563">
        <v>119.657</v>
      </c>
      <c r="J2563">
        <v>67545</v>
      </c>
      <c r="K2563">
        <v>-2.3769999999999998</v>
      </c>
      <c r="L2563">
        <v>1.7241</v>
      </c>
    </row>
    <row r="2564" spans="1:12" x14ac:dyDescent="0.25">
      <c r="A2564">
        <v>2303</v>
      </c>
      <c r="B2564" t="s">
        <v>10</v>
      </c>
      <c r="C2564" s="1">
        <v>42073</v>
      </c>
      <c r="D2564" s="2">
        <f t="shared" si="80"/>
        <v>2</v>
      </c>
      <c r="E2564" s="2">
        <f t="shared" si="81"/>
        <v>3</v>
      </c>
      <c r="F2564">
        <v>12.8109</v>
      </c>
      <c r="G2564">
        <v>12.9329</v>
      </c>
      <c r="H2564">
        <v>12.770300000000001</v>
      </c>
      <c r="I2564">
        <v>12.770300000000001</v>
      </c>
      <c r="J2564">
        <v>61473</v>
      </c>
      <c r="K2564">
        <v>0</v>
      </c>
      <c r="L2564">
        <v>1.2739</v>
      </c>
    </row>
    <row r="2565" spans="1:12" hidden="1" x14ac:dyDescent="0.25">
      <c r="A2565">
        <v>2330</v>
      </c>
      <c r="B2565" t="s">
        <v>11</v>
      </c>
      <c r="C2565" s="1">
        <v>42073</v>
      </c>
      <c r="D2565" s="2">
        <f t="shared" si="80"/>
        <v>2</v>
      </c>
      <c r="E2565" s="2">
        <f t="shared" si="81"/>
        <v>3</v>
      </c>
      <c r="F2565">
        <v>119.2458</v>
      </c>
      <c r="G2565">
        <v>119.2458</v>
      </c>
      <c r="H2565">
        <v>118.4234</v>
      </c>
      <c r="I2565">
        <v>118.4234</v>
      </c>
      <c r="J2565">
        <v>46859</v>
      </c>
      <c r="K2565">
        <v>-1.0363</v>
      </c>
      <c r="L2565">
        <v>0.69440000000000002</v>
      </c>
    </row>
    <row r="2566" spans="1:12" x14ac:dyDescent="0.25">
      <c r="A2566">
        <v>2303</v>
      </c>
      <c r="B2566" t="s">
        <v>10</v>
      </c>
      <c r="C2566" s="1">
        <v>42074</v>
      </c>
      <c r="D2566" s="2">
        <f t="shared" si="80"/>
        <v>3</v>
      </c>
      <c r="E2566" s="2">
        <f t="shared" si="81"/>
        <v>3</v>
      </c>
      <c r="F2566">
        <v>12.6889</v>
      </c>
      <c r="G2566">
        <v>12.9329</v>
      </c>
      <c r="H2566">
        <v>12.648300000000001</v>
      </c>
      <c r="I2566">
        <v>12.7296</v>
      </c>
      <c r="J2566">
        <v>56752</v>
      </c>
      <c r="K2566">
        <v>-0.31900000000000001</v>
      </c>
      <c r="L2566">
        <v>2.2507999999999999</v>
      </c>
    </row>
    <row r="2567" spans="1:12" hidden="1" x14ac:dyDescent="0.25">
      <c r="A2567">
        <v>2330</v>
      </c>
      <c r="B2567" t="s">
        <v>11</v>
      </c>
      <c r="C2567" s="1">
        <v>42074</v>
      </c>
      <c r="D2567" s="2">
        <f t="shared" si="80"/>
        <v>3</v>
      </c>
      <c r="E2567" s="2">
        <f t="shared" si="81"/>
        <v>3</v>
      </c>
      <c r="F2567">
        <v>118.01220000000001</v>
      </c>
      <c r="G2567">
        <v>121.71299999999999</v>
      </c>
      <c r="H2567">
        <v>117.6011</v>
      </c>
      <c r="I2567">
        <v>120.0682</v>
      </c>
      <c r="J2567">
        <v>51828</v>
      </c>
      <c r="K2567">
        <v>1.3793</v>
      </c>
      <c r="L2567">
        <v>3.4965000000000002</v>
      </c>
    </row>
    <row r="2568" spans="1:12" x14ac:dyDescent="0.25">
      <c r="A2568">
        <v>2303</v>
      </c>
      <c r="B2568" t="s">
        <v>10</v>
      </c>
      <c r="C2568" s="1">
        <v>42075</v>
      </c>
      <c r="D2568" s="2">
        <f t="shared" si="80"/>
        <v>4</v>
      </c>
      <c r="E2568" s="2">
        <f t="shared" si="81"/>
        <v>3</v>
      </c>
      <c r="F2568">
        <v>12.7296</v>
      </c>
      <c r="G2568">
        <v>12.9329</v>
      </c>
      <c r="H2568">
        <v>12.7296</v>
      </c>
      <c r="I2568">
        <v>12.851599999999999</v>
      </c>
      <c r="J2568">
        <v>43986</v>
      </c>
      <c r="K2568">
        <v>0.95389999999999997</v>
      </c>
      <c r="L2568">
        <v>1.5973999999999999</v>
      </c>
    </row>
    <row r="2569" spans="1:12" hidden="1" x14ac:dyDescent="0.25">
      <c r="A2569">
        <v>2330</v>
      </c>
      <c r="B2569" t="s">
        <v>11</v>
      </c>
      <c r="C2569" s="1">
        <v>42075</v>
      </c>
      <c r="D2569" s="2">
        <f t="shared" si="80"/>
        <v>4</v>
      </c>
      <c r="E2569" s="2">
        <f t="shared" si="81"/>
        <v>3</v>
      </c>
      <c r="F2569">
        <v>120.89060000000001</v>
      </c>
      <c r="G2569">
        <v>122.1242</v>
      </c>
      <c r="H2569">
        <v>120.4794</v>
      </c>
      <c r="I2569">
        <v>121.71299999999999</v>
      </c>
      <c r="J2569">
        <v>32364</v>
      </c>
      <c r="K2569">
        <v>1.3606</v>
      </c>
      <c r="L2569">
        <v>1.3652</v>
      </c>
    </row>
    <row r="2570" spans="1:12" x14ac:dyDescent="0.25">
      <c r="A2570">
        <v>2303</v>
      </c>
      <c r="B2570" t="s">
        <v>10</v>
      </c>
      <c r="C2570" s="1">
        <v>42076</v>
      </c>
      <c r="D2570" s="2">
        <f t="shared" si="80"/>
        <v>5</v>
      </c>
      <c r="E2570" s="2">
        <f t="shared" si="81"/>
        <v>3</v>
      </c>
      <c r="F2570">
        <v>12.892300000000001</v>
      </c>
      <c r="G2570">
        <v>12.9329</v>
      </c>
      <c r="H2570">
        <v>12.770300000000001</v>
      </c>
      <c r="I2570">
        <v>12.770300000000001</v>
      </c>
      <c r="J2570">
        <v>22191</v>
      </c>
      <c r="K2570">
        <v>-0.63490000000000002</v>
      </c>
      <c r="L2570">
        <v>1.2739</v>
      </c>
    </row>
    <row r="2571" spans="1:12" hidden="1" x14ac:dyDescent="0.25">
      <c r="A2571">
        <v>2330</v>
      </c>
      <c r="B2571" t="s">
        <v>11</v>
      </c>
      <c r="C2571" s="1">
        <v>42076</v>
      </c>
      <c r="D2571" s="2">
        <f t="shared" si="80"/>
        <v>5</v>
      </c>
      <c r="E2571" s="2">
        <f t="shared" si="81"/>
        <v>3</v>
      </c>
      <c r="F2571">
        <v>121.71299999999999</v>
      </c>
      <c r="G2571">
        <v>122.9466</v>
      </c>
      <c r="H2571">
        <v>120.89060000000001</v>
      </c>
      <c r="I2571">
        <v>122.5354</v>
      </c>
      <c r="J2571">
        <v>46407</v>
      </c>
      <c r="K2571">
        <v>0.6734</v>
      </c>
      <c r="L2571">
        <v>1.7007000000000001</v>
      </c>
    </row>
    <row r="2572" spans="1:12" x14ac:dyDescent="0.25">
      <c r="A2572">
        <v>2303</v>
      </c>
      <c r="B2572" t="s">
        <v>10</v>
      </c>
      <c r="C2572" s="1">
        <v>42079</v>
      </c>
      <c r="D2572" s="2">
        <f t="shared" si="80"/>
        <v>1</v>
      </c>
      <c r="E2572" s="2">
        <f t="shared" si="81"/>
        <v>3</v>
      </c>
      <c r="F2572">
        <v>12.8109</v>
      </c>
      <c r="G2572">
        <v>12.8109</v>
      </c>
      <c r="H2572">
        <v>12.6889</v>
      </c>
      <c r="I2572">
        <v>12.7296</v>
      </c>
      <c r="J2572">
        <v>29764</v>
      </c>
      <c r="K2572">
        <v>-0.31900000000000001</v>
      </c>
      <c r="L2572">
        <v>0.96150000000000002</v>
      </c>
    </row>
    <row r="2573" spans="1:12" hidden="1" x14ac:dyDescent="0.25">
      <c r="A2573">
        <v>2330</v>
      </c>
      <c r="B2573" t="s">
        <v>11</v>
      </c>
      <c r="C2573" s="1">
        <v>42079</v>
      </c>
      <c r="D2573" s="2">
        <f t="shared" si="80"/>
        <v>1</v>
      </c>
      <c r="E2573" s="2">
        <f t="shared" si="81"/>
        <v>3</v>
      </c>
      <c r="F2573">
        <v>122.5354</v>
      </c>
      <c r="G2573">
        <v>122.9466</v>
      </c>
      <c r="H2573">
        <v>120.0682</v>
      </c>
      <c r="I2573">
        <v>120.0682</v>
      </c>
      <c r="J2573">
        <v>37462</v>
      </c>
      <c r="K2573">
        <v>-2.0339999999999998</v>
      </c>
      <c r="L2573">
        <v>2.3973</v>
      </c>
    </row>
    <row r="2574" spans="1:12" x14ac:dyDescent="0.25">
      <c r="A2574">
        <v>2303</v>
      </c>
      <c r="B2574" t="s">
        <v>10</v>
      </c>
      <c r="C2574" s="1">
        <v>42080</v>
      </c>
      <c r="D2574" s="2">
        <f t="shared" si="80"/>
        <v>2</v>
      </c>
      <c r="E2574" s="2">
        <f t="shared" si="81"/>
        <v>3</v>
      </c>
      <c r="F2574">
        <v>12.770300000000001</v>
      </c>
      <c r="G2574">
        <v>12.851599999999999</v>
      </c>
      <c r="H2574">
        <v>12.7296</v>
      </c>
      <c r="I2574">
        <v>12.7296</v>
      </c>
      <c r="J2574">
        <v>26301</v>
      </c>
      <c r="K2574">
        <v>0</v>
      </c>
      <c r="L2574">
        <v>0.95850000000000002</v>
      </c>
    </row>
    <row r="2575" spans="1:12" hidden="1" x14ac:dyDescent="0.25">
      <c r="A2575">
        <v>2330</v>
      </c>
      <c r="B2575" t="s">
        <v>11</v>
      </c>
      <c r="C2575" s="1">
        <v>42080</v>
      </c>
      <c r="D2575" s="2">
        <f t="shared" si="80"/>
        <v>2</v>
      </c>
      <c r="E2575" s="2">
        <f t="shared" si="81"/>
        <v>3</v>
      </c>
      <c r="F2575">
        <v>122.1242</v>
      </c>
      <c r="G2575">
        <v>123.3578</v>
      </c>
      <c r="H2575">
        <v>122.1242</v>
      </c>
      <c r="I2575">
        <v>122.5354</v>
      </c>
      <c r="J2575">
        <v>55770</v>
      </c>
      <c r="K2575">
        <v>2.0339999999999998</v>
      </c>
      <c r="L2575">
        <v>1.0101</v>
      </c>
    </row>
    <row r="2576" spans="1:12" x14ac:dyDescent="0.25">
      <c r="A2576">
        <v>2303</v>
      </c>
      <c r="B2576" t="s">
        <v>10</v>
      </c>
      <c r="C2576" s="1">
        <v>42081</v>
      </c>
      <c r="D2576" s="2">
        <f t="shared" si="80"/>
        <v>3</v>
      </c>
      <c r="E2576" s="2">
        <f t="shared" si="81"/>
        <v>3</v>
      </c>
      <c r="F2576">
        <v>12.7296</v>
      </c>
      <c r="G2576">
        <v>12.851599999999999</v>
      </c>
      <c r="H2576">
        <v>12.648300000000001</v>
      </c>
      <c r="I2576">
        <v>12.8109</v>
      </c>
      <c r="J2576">
        <v>51303</v>
      </c>
      <c r="K2576">
        <v>0.63690000000000002</v>
      </c>
      <c r="L2576">
        <v>1.6076999999999999</v>
      </c>
    </row>
    <row r="2577" spans="1:12" hidden="1" x14ac:dyDescent="0.25">
      <c r="A2577">
        <v>2330</v>
      </c>
      <c r="B2577" t="s">
        <v>11</v>
      </c>
      <c r="C2577" s="1">
        <v>42081</v>
      </c>
      <c r="D2577" s="2">
        <f t="shared" si="80"/>
        <v>3</v>
      </c>
      <c r="E2577" s="2">
        <f t="shared" si="81"/>
        <v>3</v>
      </c>
      <c r="F2577">
        <v>124.1801</v>
      </c>
      <c r="G2577">
        <v>126.6473</v>
      </c>
      <c r="H2577">
        <v>123.3578</v>
      </c>
      <c r="I2577">
        <v>126.23609999999999</v>
      </c>
      <c r="J2577">
        <v>71220</v>
      </c>
      <c r="K2577">
        <v>2.9754</v>
      </c>
      <c r="L2577">
        <v>2.6667000000000001</v>
      </c>
    </row>
    <row r="2578" spans="1:12" x14ac:dyDescent="0.25">
      <c r="A2578">
        <v>2303</v>
      </c>
      <c r="B2578" t="s">
        <v>10</v>
      </c>
      <c r="C2578" s="1">
        <v>42082</v>
      </c>
      <c r="D2578" s="2">
        <f t="shared" si="80"/>
        <v>4</v>
      </c>
      <c r="E2578" s="2">
        <f t="shared" si="81"/>
        <v>3</v>
      </c>
      <c r="F2578">
        <v>12.9329</v>
      </c>
      <c r="G2578">
        <v>12.973599999999999</v>
      </c>
      <c r="H2578">
        <v>12.8109</v>
      </c>
      <c r="I2578">
        <v>12.892300000000001</v>
      </c>
      <c r="J2578">
        <v>46629</v>
      </c>
      <c r="K2578">
        <v>0.63290000000000002</v>
      </c>
      <c r="L2578">
        <v>1.2698</v>
      </c>
    </row>
    <row r="2579" spans="1:12" hidden="1" x14ac:dyDescent="0.25">
      <c r="A2579">
        <v>2330</v>
      </c>
      <c r="B2579" t="s">
        <v>11</v>
      </c>
      <c r="C2579" s="1">
        <v>42082</v>
      </c>
      <c r="D2579" s="2">
        <f t="shared" si="80"/>
        <v>4</v>
      </c>
      <c r="E2579" s="2">
        <f t="shared" si="81"/>
        <v>3</v>
      </c>
      <c r="F2579">
        <v>125.41370000000001</v>
      </c>
      <c r="G2579">
        <v>127.4697</v>
      </c>
      <c r="H2579">
        <v>125.41370000000001</v>
      </c>
      <c r="I2579">
        <v>126.6473</v>
      </c>
      <c r="J2579">
        <v>43512</v>
      </c>
      <c r="K2579">
        <v>0.32519999999999999</v>
      </c>
      <c r="L2579">
        <v>1.6393</v>
      </c>
    </row>
    <row r="2580" spans="1:12" x14ac:dyDescent="0.25">
      <c r="A2580">
        <v>2303</v>
      </c>
      <c r="B2580" t="s">
        <v>10</v>
      </c>
      <c r="C2580" s="1">
        <v>42083</v>
      </c>
      <c r="D2580" s="2">
        <f t="shared" si="80"/>
        <v>5</v>
      </c>
      <c r="E2580" s="2">
        <f t="shared" si="81"/>
        <v>3</v>
      </c>
      <c r="F2580">
        <v>12.8109</v>
      </c>
      <c r="G2580">
        <v>12.892300000000001</v>
      </c>
      <c r="H2580">
        <v>12.6889</v>
      </c>
      <c r="I2580">
        <v>12.7296</v>
      </c>
      <c r="J2580">
        <v>38546</v>
      </c>
      <c r="K2580">
        <v>-1.2699</v>
      </c>
      <c r="L2580">
        <v>1.6026</v>
      </c>
    </row>
    <row r="2581" spans="1:12" hidden="1" x14ac:dyDescent="0.25">
      <c r="A2581">
        <v>2330</v>
      </c>
      <c r="B2581" t="s">
        <v>11</v>
      </c>
      <c r="C2581" s="1">
        <v>42083</v>
      </c>
      <c r="D2581" s="2">
        <f t="shared" si="80"/>
        <v>5</v>
      </c>
      <c r="E2581" s="2">
        <f t="shared" si="81"/>
        <v>3</v>
      </c>
      <c r="F2581">
        <v>124.5913</v>
      </c>
      <c r="G2581">
        <v>126.6473</v>
      </c>
      <c r="H2581">
        <v>124.5913</v>
      </c>
      <c r="I2581">
        <v>126.6473</v>
      </c>
      <c r="J2581">
        <v>38594</v>
      </c>
      <c r="K2581">
        <v>0</v>
      </c>
      <c r="L2581">
        <v>1.6501999999999999</v>
      </c>
    </row>
    <row r="2582" spans="1:12" x14ac:dyDescent="0.25">
      <c r="A2582">
        <v>2303</v>
      </c>
      <c r="B2582" t="s">
        <v>10</v>
      </c>
      <c r="C2582" s="1">
        <v>42086</v>
      </c>
      <c r="D2582" s="2">
        <f t="shared" si="80"/>
        <v>1</v>
      </c>
      <c r="E2582" s="2">
        <f t="shared" si="81"/>
        <v>3</v>
      </c>
      <c r="F2582">
        <v>12.8109</v>
      </c>
      <c r="G2582">
        <v>12.851599999999999</v>
      </c>
      <c r="H2582">
        <v>12.7296</v>
      </c>
      <c r="I2582">
        <v>12.8109</v>
      </c>
      <c r="J2582">
        <v>30135</v>
      </c>
      <c r="K2582">
        <v>0.63690000000000002</v>
      </c>
      <c r="L2582">
        <v>0.95850000000000002</v>
      </c>
    </row>
    <row r="2583" spans="1:12" hidden="1" x14ac:dyDescent="0.25">
      <c r="A2583">
        <v>2330</v>
      </c>
      <c r="B2583" t="s">
        <v>11</v>
      </c>
      <c r="C2583" s="1">
        <v>42086</v>
      </c>
      <c r="D2583" s="2">
        <f t="shared" si="80"/>
        <v>1</v>
      </c>
      <c r="E2583" s="2">
        <f t="shared" si="81"/>
        <v>3</v>
      </c>
      <c r="F2583">
        <v>126.6473</v>
      </c>
      <c r="G2583">
        <v>126.6473</v>
      </c>
      <c r="H2583">
        <v>125.41370000000001</v>
      </c>
      <c r="I2583">
        <v>126.23609999999999</v>
      </c>
      <c r="J2583">
        <v>26369</v>
      </c>
      <c r="K2583">
        <v>-0.32519999999999999</v>
      </c>
      <c r="L2583">
        <v>0.98360000000000003</v>
      </c>
    </row>
    <row r="2584" spans="1:12" x14ac:dyDescent="0.25">
      <c r="A2584">
        <v>2303</v>
      </c>
      <c r="B2584" t="s">
        <v>10</v>
      </c>
      <c r="C2584" s="1">
        <v>42087</v>
      </c>
      <c r="D2584" s="2">
        <f t="shared" si="80"/>
        <v>2</v>
      </c>
      <c r="E2584" s="2">
        <f t="shared" si="81"/>
        <v>3</v>
      </c>
      <c r="F2584">
        <v>12.8109</v>
      </c>
      <c r="G2584">
        <v>12.851599999999999</v>
      </c>
      <c r="H2584">
        <v>12.6889</v>
      </c>
      <c r="I2584">
        <v>12.770300000000001</v>
      </c>
      <c r="J2584">
        <v>28134</v>
      </c>
      <c r="K2584">
        <v>-0.318</v>
      </c>
      <c r="L2584">
        <v>1.2821</v>
      </c>
    </row>
    <row r="2585" spans="1:12" hidden="1" x14ac:dyDescent="0.25">
      <c r="A2585">
        <v>2330</v>
      </c>
      <c r="B2585" t="s">
        <v>11</v>
      </c>
      <c r="C2585" s="1">
        <v>42087</v>
      </c>
      <c r="D2585" s="2">
        <f t="shared" si="80"/>
        <v>2</v>
      </c>
      <c r="E2585" s="2">
        <f t="shared" si="81"/>
        <v>3</v>
      </c>
      <c r="F2585">
        <v>126.23609999999999</v>
      </c>
      <c r="G2585">
        <v>126.23609999999999</v>
      </c>
      <c r="H2585">
        <v>124.5913</v>
      </c>
      <c r="I2585">
        <v>124.5913</v>
      </c>
      <c r="J2585">
        <v>38207</v>
      </c>
      <c r="K2585">
        <v>-1.3115000000000001</v>
      </c>
      <c r="L2585">
        <v>1.3201000000000001</v>
      </c>
    </row>
    <row r="2586" spans="1:12" x14ac:dyDescent="0.25">
      <c r="A2586">
        <v>2303</v>
      </c>
      <c r="B2586" t="s">
        <v>10</v>
      </c>
      <c r="C2586" s="1">
        <v>42088</v>
      </c>
      <c r="D2586" s="2">
        <f t="shared" si="80"/>
        <v>3</v>
      </c>
      <c r="E2586" s="2">
        <f t="shared" si="81"/>
        <v>3</v>
      </c>
      <c r="F2586">
        <v>12.8109</v>
      </c>
      <c r="G2586">
        <v>12.851599999999999</v>
      </c>
      <c r="H2586">
        <v>12.6889</v>
      </c>
      <c r="I2586">
        <v>12.6889</v>
      </c>
      <c r="J2586">
        <v>30326</v>
      </c>
      <c r="K2586">
        <v>-0.63900000000000001</v>
      </c>
      <c r="L2586">
        <v>1.2821</v>
      </c>
    </row>
    <row r="2587" spans="1:12" hidden="1" x14ac:dyDescent="0.25">
      <c r="A2587">
        <v>2330</v>
      </c>
      <c r="B2587" t="s">
        <v>11</v>
      </c>
      <c r="C2587" s="1">
        <v>42088</v>
      </c>
      <c r="D2587" s="2">
        <f t="shared" si="80"/>
        <v>3</v>
      </c>
      <c r="E2587" s="2">
        <f t="shared" si="81"/>
        <v>3</v>
      </c>
      <c r="F2587">
        <v>125.0025</v>
      </c>
      <c r="G2587">
        <v>125.41370000000001</v>
      </c>
      <c r="H2587">
        <v>123.7689</v>
      </c>
      <c r="I2587">
        <v>124.1801</v>
      </c>
      <c r="J2587">
        <v>50140</v>
      </c>
      <c r="K2587">
        <v>-0.3306</v>
      </c>
      <c r="L2587">
        <v>1.3289</v>
      </c>
    </row>
    <row r="2588" spans="1:12" x14ac:dyDescent="0.25">
      <c r="A2588">
        <v>2303</v>
      </c>
      <c r="B2588" t="s">
        <v>10</v>
      </c>
      <c r="C2588" s="1">
        <v>42089</v>
      </c>
      <c r="D2588" s="2">
        <f t="shared" si="80"/>
        <v>4</v>
      </c>
      <c r="E2588" s="2">
        <f t="shared" si="81"/>
        <v>3</v>
      </c>
      <c r="F2588">
        <v>12.444900000000001</v>
      </c>
      <c r="G2588">
        <v>12.4856</v>
      </c>
      <c r="H2588">
        <v>12.2416</v>
      </c>
      <c r="I2588">
        <v>12.404199999999999</v>
      </c>
      <c r="J2588">
        <v>77016</v>
      </c>
      <c r="K2588">
        <v>-2.2690999999999999</v>
      </c>
      <c r="L2588">
        <v>1.9934000000000001</v>
      </c>
    </row>
    <row r="2589" spans="1:12" hidden="1" x14ac:dyDescent="0.25">
      <c r="A2589">
        <v>2330</v>
      </c>
      <c r="B2589" t="s">
        <v>11</v>
      </c>
      <c r="C2589" s="1">
        <v>42089</v>
      </c>
      <c r="D2589" s="2">
        <f t="shared" si="80"/>
        <v>4</v>
      </c>
      <c r="E2589" s="2">
        <f t="shared" si="81"/>
        <v>3</v>
      </c>
      <c r="F2589">
        <v>119.657</v>
      </c>
      <c r="G2589">
        <v>120.89060000000001</v>
      </c>
      <c r="H2589">
        <v>118.83459999999999</v>
      </c>
      <c r="I2589">
        <v>119.657</v>
      </c>
      <c r="J2589">
        <v>162835</v>
      </c>
      <c r="K2589">
        <v>-3.7103999999999999</v>
      </c>
      <c r="L2589">
        <v>1.7301</v>
      </c>
    </row>
    <row r="2590" spans="1:12" x14ac:dyDescent="0.25">
      <c r="A2590">
        <v>2303</v>
      </c>
      <c r="B2590" t="s">
        <v>10</v>
      </c>
      <c r="C2590" s="1">
        <v>42090</v>
      </c>
      <c r="D2590" s="2">
        <f t="shared" si="80"/>
        <v>5</v>
      </c>
      <c r="E2590" s="2">
        <f t="shared" si="81"/>
        <v>3</v>
      </c>
      <c r="F2590">
        <v>12.444900000000001</v>
      </c>
      <c r="G2590">
        <v>12.5669</v>
      </c>
      <c r="H2590">
        <v>12.3636</v>
      </c>
      <c r="I2590">
        <v>12.3636</v>
      </c>
      <c r="J2590">
        <v>59569</v>
      </c>
      <c r="K2590">
        <v>-0.32840000000000003</v>
      </c>
      <c r="L2590">
        <v>1.6447000000000001</v>
      </c>
    </row>
    <row r="2591" spans="1:12" hidden="1" x14ac:dyDescent="0.25">
      <c r="A2591">
        <v>2330</v>
      </c>
      <c r="B2591" t="s">
        <v>11</v>
      </c>
      <c r="C2591" s="1">
        <v>42090</v>
      </c>
      <c r="D2591" s="2">
        <f t="shared" si="80"/>
        <v>5</v>
      </c>
      <c r="E2591" s="2">
        <f t="shared" si="81"/>
        <v>3</v>
      </c>
      <c r="F2591">
        <v>118.4234</v>
      </c>
      <c r="G2591">
        <v>119.657</v>
      </c>
      <c r="H2591">
        <v>117.18989999999999</v>
      </c>
      <c r="I2591">
        <v>117.18989999999999</v>
      </c>
      <c r="J2591">
        <v>112919</v>
      </c>
      <c r="K2591">
        <v>-2.0834000000000001</v>
      </c>
      <c r="L2591">
        <v>2.1053000000000002</v>
      </c>
    </row>
    <row r="2592" spans="1:12" x14ac:dyDescent="0.25">
      <c r="A2592">
        <v>2303</v>
      </c>
      <c r="B2592" t="s">
        <v>10</v>
      </c>
      <c r="C2592" s="1">
        <v>42093</v>
      </c>
      <c r="D2592" s="2">
        <f t="shared" si="80"/>
        <v>1</v>
      </c>
      <c r="E2592" s="2">
        <f t="shared" si="81"/>
        <v>3</v>
      </c>
      <c r="F2592">
        <v>12.444900000000001</v>
      </c>
      <c r="G2592">
        <v>12.5669</v>
      </c>
      <c r="H2592">
        <v>12.3636</v>
      </c>
      <c r="I2592">
        <v>12.444900000000001</v>
      </c>
      <c r="J2592">
        <v>35544</v>
      </c>
      <c r="K2592">
        <v>0.65569999999999995</v>
      </c>
      <c r="L2592">
        <v>1.6447000000000001</v>
      </c>
    </row>
    <row r="2593" spans="1:12" hidden="1" x14ac:dyDescent="0.25">
      <c r="A2593">
        <v>2330</v>
      </c>
      <c r="B2593" t="s">
        <v>11</v>
      </c>
      <c r="C2593" s="1">
        <v>42093</v>
      </c>
      <c r="D2593" s="2">
        <f t="shared" si="80"/>
        <v>1</v>
      </c>
      <c r="E2593" s="2">
        <f t="shared" si="81"/>
        <v>3</v>
      </c>
      <c r="F2593">
        <v>117.18989999999999</v>
      </c>
      <c r="G2593">
        <v>118.4234</v>
      </c>
      <c r="H2593">
        <v>116.7787</v>
      </c>
      <c r="I2593">
        <v>117.18989999999999</v>
      </c>
      <c r="J2593">
        <v>64898</v>
      </c>
      <c r="K2593">
        <v>0</v>
      </c>
      <c r="L2593">
        <v>1.4085000000000001</v>
      </c>
    </row>
    <row r="2594" spans="1:12" x14ac:dyDescent="0.25">
      <c r="A2594">
        <v>2303</v>
      </c>
      <c r="B2594" t="s">
        <v>10</v>
      </c>
      <c r="C2594" s="1">
        <v>42094</v>
      </c>
      <c r="D2594" s="2">
        <f t="shared" si="80"/>
        <v>2</v>
      </c>
      <c r="E2594" s="2">
        <f t="shared" si="81"/>
        <v>3</v>
      </c>
      <c r="F2594">
        <v>12.5669</v>
      </c>
      <c r="G2594">
        <v>12.6076</v>
      </c>
      <c r="H2594">
        <v>12.444900000000001</v>
      </c>
      <c r="I2594">
        <v>12.6076</v>
      </c>
      <c r="J2594">
        <v>43396</v>
      </c>
      <c r="K2594">
        <v>1.2987</v>
      </c>
      <c r="L2594">
        <v>1.3071999999999999</v>
      </c>
    </row>
    <row r="2595" spans="1:12" hidden="1" x14ac:dyDescent="0.25">
      <c r="A2595">
        <v>2330</v>
      </c>
      <c r="B2595" t="s">
        <v>11</v>
      </c>
      <c r="C2595" s="1">
        <v>42094</v>
      </c>
      <c r="D2595" s="2">
        <f t="shared" si="80"/>
        <v>2</v>
      </c>
      <c r="E2595" s="2">
        <f t="shared" si="81"/>
        <v>3</v>
      </c>
      <c r="F2595">
        <v>118.4234</v>
      </c>
      <c r="G2595">
        <v>119.657</v>
      </c>
      <c r="H2595">
        <v>117.6011</v>
      </c>
      <c r="I2595">
        <v>119.657</v>
      </c>
      <c r="J2595">
        <v>56918</v>
      </c>
      <c r="K2595">
        <v>2.0834000000000001</v>
      </c>
      <c r="L2595">
        <v>1.7483</v>
      </c>
    </row>
    <row r="2596" spans="1:12" x14ac:dyDescent="0.25">
      <c r="A2596">
        <v>2303</v>
      </c>
      <c r="B2596" t="s">
        <v>10</v>
      </c>
      <c r="C2596" s="1">
        <v>42095</v>
      </c>
      <c r="D2596" s="2">
        <f t="shared" si="80"/>
        <v>3</v>
      </c>
      <c r="E2596" s="2">
        <f t="shared" si="81"/>
        <v>4</v>
      </c>
      <c r="F2596">
        <v>12.5669</v>
      </c>
      <c r="G2596">
        <v>12.5669</v>
      </c>
      <c r="H2596">
        <v>12.404199999999999</v>
      </c>
      <c r="I2596">
        <v>12.404199999999999</v>
      </c>
      <c r="J2596">
        <v>23081</v>
      </c>
      <c r="K2596">
        <v>-1.6261000000000001</v>
      </c>
      <c r="L2596">
        <v>1.3115000000000001</v>
      </c>
    </row>
    <row r="2597" spans="1:12" hidden="1" x14ac:dyDescent="0.25">
      <c r="A2597">
        <v>2330</v>
      </c>
      <c r="B2597" t="s">
        <v>11</v>
      </c>
      <c r="C2597" s="1">
        <v>42095</v>
      </c>
      <c r="D2597" s="2">
        <f t="shared" si="80"/>
        <v>3</v>
      </c>
      <c r="E2597" s="2">
        <f t="shared" si="81"/>
        <v>4</v>
      </c>
      <c r="F2597">
        <v>119.2458</v>
      </c>
      <c r="G2597">
        <v>119.2458</v>
      </c>
      <c r="H2597">
        <v>118.01220000000001</v>
      </c>
      <c r="I2597">
        <v>118.4234</v>
      </c>
      <c r="J2597">
        <v>39056</v>
      </c>
      <c r="K2597">
        <v>-1.0363</v>
      </c>
      <c r="L2597">
        <v>1.0452999999999999</v>
      </c>
    </row>
    <row r="2598" spans="1:12" x14ac:dyDescent="0.25">
      <c r="A2598">
        <v>2303</v>
      </c>
      <c r="B2598" t="s">
        <v>10</v>
      </c>
      <c r="C2598" s="1">
        <v>42096</v>
      </c>
      <c r="D2598" s="2">
        <f t="shared" si="80"/>
        <v>4</v>
      </c>
      <c r="E2598" s="2">
        <f t="shared" si="81"/>
        <v>4</v>
      </c>
      <c r="F2598">
        <v>12.4856</v>
      </c>
      <c r="G2598">
        <v>12.6076</v>
      </c>
      <c r="H2598">
        <v>12.444900000000001</v>
      </c>
      <c r="I2598">
        <v>12.6076</v>
      </c>
      <c r="J2598">
        <v>32937</v>
      </c>
      <c r="K2598">
        <v>1.6261000000000001</v>
      </c>
      <c r="L2598">
        <v>1.3071999999999999</v>
      </c>
    </row>
    <row r="2599" spans="1:12" hidden="1" x14ac:dyDescent="0.25">
      <c r="A2599">
        <v>2330</v>
      </c>
      <c r="B2599" t="s">
        <v>11</v>
      </c>
      <c r="C2599" s="1">
        <v>42096</v>
      </c>
      <c r="D2599" s="2">
        <f t="shared" si="80"/>
        <v>4</v>
      </c>
      <c r="E2599" s="2">
        <f t="shared" si="81"/>
        <v>4</v>
      </c>
      <c r="F2599">
        <v>119.2458</v>
      </c>
      <c r="G2599">
        <v>121.71299999999999</v>
      </c>
      <c r="H2599">
        <v>118.83459999999999</v>
      </c>
      <c r="I2599">
        <v>120.89060000000001</v>
      </c>
      <c r="J2599">
        <v>52174</v>
      </c>
      <c r="K2599">
        <v>2.0619000000000001</v>
      </c>
      <c r="L2599">
        <v>2.4220999999999999</v>
      </c>
    </row>
    <row r="2600" spans="1:12" x14ac:dyDescent="0.25">
      <c r="A2600">
        <v>2303</v>
      </c>
      <c r="B2600" t="s">
        <v>10</v>
      </c>
      <c r="C2600" s="1">
        <v>42101</v>
      </c>
      <c r="D2600" s="2">
        <f t="shared" si="80"/>
        <v>2</v>
      </c>
      <c r="E2600" s="2">
        <f t="shared" si="81"/>
        <v>4</v>
      </c>
      <c r="F2600">
        <v>12.770300000000001</v>
      </c>
      <c r="G2600">
        <v>12.851599999999999</v>
      </c>
      <c r="H2600">
        <v>12.7296</v>
      </c>
      <c r="I2600">
        <v>12.851599999999999</v>
      </c>
      <c r="J2600">
        <v>44161</v>
      </c>
      <c r="K2600">
        <v>1.917</v>
      </c>
      <c r="L2600">
        <v>0.95850000000000002</v>
      </c>
    </row>
    <row r="2601" spans="1:12" hidden="1" x14ac:dyDescent="0.25">
      <c r="A2601">
        <v>2330</v>
      </c>
      <c r="B2601" t="s">
        <v>11</v>
      </c>
      <c r="C2601" s="1">
        <v>42101</v>
      </c>
      <c r="D2601" s="2">
        <f t="shared" si="80"/>
        <v>2</v>
      </c>
      <c r="E2601" s="2">
        <f t="shared" si="81"/>
        <v>4</v>
      </c>
      <c r="F2601">
        <v>120.4794</v>
      </c>
      <c r="G2601">
        <v>121.3018</v>
      </c>
      <c r="H2601">
        <v>119.2458</v>
      </c>
      <c r="I2601">
        <v>120.0682</v>
      </c>
      <c r="J2601">
        <v>34901</v>
      </c>
      <c r="K2601">
        <v>-0.68259999999999998</v>
      </c>
      <c r="L2601">
        <v>1.7241</v>
      </c>
    </row>
    <row r="2602" spans="1:12" x14ac:dyDescent="0.25">
      <c r="A2602">
        <v>2303</v>
      </c>
      <c r="B2602" t="s">
        <v>10</v>
      </c>
      <c r="C2602" s="1">
        <v>42102</v>
      </c>
      <c r="D2602" s="2">
        <f t="shared" si="80"/>
        <v>3</v>
      </c>
      <c r="E2602" s="2">
        <f t="shared" si="81"/>
        <v>4</v>
      </c>
      <c r="F2602">
        <v>12.770300000000001</v>
      </c>
      <c r="G2602">
        <v>12.8109</v>
      </c>
      <c r="H2602">
        <v>12.6889</v>
      </c>
      <c r="I2602">
        <v>12.7296</v>
      </c>
      <c r="J2602">
        <v>34483</v>
      </c>
      <c r="K2602">
        <v>-0.95389999999999997</v>
      </c>
      <c r="L2602">
        <v>0.96150000000000002</v>
      </c>
    </row>
    <row r="2603" spans="1:12" hidden="1" x14ac:dyDescent="0.25">
      <c r="A2603">
        <v>2330</v>
      </c>
      <c r="B2603" t="s">
        <v>11</v>
      </c>
      <c r="C2603" s="1">
        <v>42102</v>
      </c>
      <c r="D2603" s="2">
        <f t="shared" si="80"/>
        <v>3</v>
      </c>
      <c r="E2603" s="2">
        <f t="shared" si="81"/>
        <v>4</v>
      </c>
      <c r="F2603">
        <v>119.657</v>
      </c>
      <c r="G2603">
        <v>120.0682</v>
      </c>
      <c r="H2603">
        <v>117.6011</v>
      </c>
      <c r="I2603">
        <v>117.6011</v>
      </c>
      <c r="J2603">
        <v>49474</v>
      </c>
      <c r="K2603">
        <v>-2.0762</v>
      </c>
      <c r="L2603">
        <v>2.0979000000000001</v>
      </c>
    </row>
    <row r="2604" spans="1:12" x14ac:dyDescent="0.25">
      <c r="A2604">
        <v>2303</v>
      </c>
      <c r="B2604" t="s">
        <v>10</v>
      </c>
      <c r="C2604" s="1">
        <v>42103</v>
      </c>
      <c r="D2604" s="2">
        <f t="shared" si="80"/>
        <v>4</v>
      </c>
      <c r="E2604" s="2">
        <f t="shared" si="81"/>
        <v>4</v>
      </c>
      <c r="F2604">
        <v>12.6889</v>
      </c>
      <c r="G2604">
        <v>12.7296</v>
      </c>
      <c r="H2604">
        <v>12.526300000000001</v>
      </c>
      <c r="I2604">
        <v>12.526300000000001</v>
      </c>
      <c r="J2604">
        <v>42432</v>
      </c>
      <c r="K2604">
        <v>-1.6103000000000001</v>
      </c>
      <c r="L2604">
        <v>1.6234</v>
      </c>
    </row>
    <row r="2605" spans="1:12" hidden="1" x14ac:dyDescent="0.25">
      <c r="A2605">
        <v>2330</v>
      </c>
      <c r="B2605" t="s">
        <v>11</v>
      </c>
      <c r="C2605" s="1">
        <v>42103</v>
      </c>
      <c r="D2605" s="2">
        <f t="shared" si="80"/>
        <v>4</v>
      </c>
      <c r="E2605" s="2">
        <f t="shared" si="81"/>
        <v>4</v>
      </c>
      <c r="F2605">
        <v>118.4234</v>
      </c>
      <c r="G2605">
        <v>119.657</v>
      </c>
      <c r="H2605">
        <v>117.6011</v>
      </c>
      <c r="I2605">
        <v>117.6011</v>
      </c>
      <c r="J2605">
        <v>47243</v>
      </c>
      <c r="K2605">
        <v>0</v>
      </c>
      <c r="L2605">
        <v>1.7483</v>
      </c>
    </row>
    <row r="2606" spans="1:12" x14ac:dyDescent="0.25">
      <c r="A2606">
        <v>2303</v>
      </c>
      <c r="B2606" t="s">
        <v>10</v>
      </c>
      <c r="C2606" s="1">
        <v>42104</v>
      </c>
      <c r="D2606" s="2">
        <f t="shared" si="80"/>
        <v>5</v>
      </c>
      <c r="E2606" s="2">
        <f t="shared" si="81"/>
        <v>4</v>
      </c>
      <c r="F2606">
        <v>12.5669</v>
      </c>
      <c r="G2606">
        <v>12.648300000000001</v>
      </c>
      <c r="H2606">
        <v>12.3636</v>
      </c>
      <c r="I2606">
        <v>12.404199999999999</v>
      </c>
      <c r="J2606">
        <v>37585</v>
      </c>
      <c r="K2606">
        <v>-0.9788</v>
      </c>
      <c r="L2606">
        <v>2.3026</v>
      </c>
    </row>
    <row r="2607" spans="1:12" hidden="1" x14ac:dyDescent="0.25">
      <c r="A2607">
        <v>2330</v>
      </c>
      <c r="B2607" t="s">
        <v>11</v>
      </c>
      <c r="C2607" s="1">
        <v>42104</v>
      </c>
      <c r="D2607" s="2">
        <f t="shared" si="80"/>
        <v>5</v>
      </c>
      <c r="E2607" s="2">
        <f t="shared" si="81"/>
        <v>4</v>
      </c>
      <c r="F2607">
        <v>120.0682</v>
      </c>
      <c r="G2607">
        <v>120.89060000000001</v>
      </c>
      <c r="H2607">
        <v>119.2458</v>
      </c>
      <c r="I2607">
        <v>120.89060000000001</v>
      </c>
      <c r="J2607">
        <v>33908</v>
      </c>
      <c r="K2607">
        <v>2.7587999999999999</v>
      </c>
      <c r="L2607">
        <v>1.3793</v>
      </c>
    </row>
    <row r="2608" spans="1:12" x14ac:dyDescent="0.25">
      <c r="A2608">
        <v>2303</v>
      </c>
      <c r="B2608" t="s">
        <v>10</v>
      </c>
      <c r="C2608" s="1">
        <v>42107</v>
      </c>
      <c r="D2608" s="2">
        <f t="shared" si="80"/>
        <v>1</v>
      </c>
      <c r="E2608" s="2">
        <f t="shared" si="81"/>
        <v>4</v>
      </c>
      <c r="F2608">
        <v>12.444900000000001</v>
      </c>
      <c r="G2608">
        <v>12.5669</v>
      </c>
      <c r="H2608">
        <v>12.3636</v>
      </c>
      <c r="I2608">
        <v>12.404199999999999</v>
      </c>
      <c r="J2608">
        <v>50604</v>
      </c>
      <c r="K2608">
        <v>0</v>
      </c>
      <c r="L2608">
        <v>1.6447000000000001</v>
      </c>
    </row>
    <row r="2609" spans="1:12" hidden="1" x14ac:dyDescent="0.25">
      <c r="A2609">
        <v>2330</v>
      </c>
      <c r="B2609" t="s">
        <v>11</v>
      </c>
      <c r="C2609" s="1">
        <v>42107</v>
      </c>
      <c r="D2609" s="2">
        <f t="shared" si="80"/>
        <v>1</v>
      </c>
      <c r="E2609" s="2">
        <f t="shared" si="81"/>
        <v>4</v>
      </c>
      <c r="F2609">
        <v>120.4794</v>
      </c>
      <c r="G2609">
        <v>121.3018</v>
      </c>
      <c r="H2609">
        <v>120.0682</v>
      </c>
      <c r="I2609">
        <v>120.89060000000001</v>
      </c>
      <c r="J2609">
        <v>26427</v>
      </c>
      <c r="K2609">
        <v>0</v>
      </c>
      <c r="L2609">
        <v>1.0274000000000001</v>
      </c>
    </row>
    <row r="2610" spans="1:12" x14ac:dyDescent="0.25">
      <c r="A2610">
        <v>2303</v>
      </c>
      <c r="B2610" t="s">
        <v>10</v>
      </c>
      <c r="C2610" s="1">
        <v>42108</v>
      </c>
      <c r="D2610" s="2">
        <f t="shared" si="80"/>
        <v>2</v>
      </c>
      <c r="E2610" s="2">
        <f t="shared" si="81"/>
        <v>4</v>
      </c>
      <c r="F2610">
        <v>12.404199999999999</v>
      </c>
      <c r="G2610">
        <v>12.4856</v>
      </c>
      <c r="H2610">
        <v>12.2416</v>
      </c>
      <c r="I2610">
        <v>12.2822</v>
      </c>
      <c r="J2610">
        <v>50596</v>
      </c>
      <c r="K2610">
        <v>-0.98850000000000005</v>
      </c>
      <c r="L2610">
        <v>1.9934000000000001</v>
      </c>
    </row>
    <row r="2611" spans="1:12" hidden="1" x14ac:dyDescent="0.25">
      <c r="A2611">
        <v>2330</v>
      </c>
      <c r="B2611" t="s">
        <v>11</v>
      </c>
      <c r="C2611" s="1">
        <v>42108</v>
      </c>
      <c r="D2611" s="2">
        <f t="shared" si="80"/>
        <v>2</v>
      </c>
      <c r="E2611" s="2">
        <f t="shared" si="81"/>
        <v>4</v>
      </c>
      <c r="F2611">
        <v>119.2458</v>
      </c>
      <c r="G2611">
        <v>119.657</v>
      </c>
      <c r="H2611">
        <v>118.01220000000001</v>
      </c>
      <c r="I2611">
        <v>118.4234</v>
      </c>
      <c r="J2611">
        <v>41702</v>
      </c>
      <c r="K2611">
        <v>-2.0619000000000001</v>
      </c>
      <c r="L2611">
        <v>1.3936999999999999</v>
      </c>
    </row>
    <row r="2612" spans="1:12" x14ac:dyDescent="0.25">
      <c r="A2612">
        <v>2303</v>
      </c>
      <c r="B2612" t="s">
        <v>10</v>
      </c>
      <c r="C2612" s="1">
        <v>42109</v>
      </c>
      <c r="D2612" s="2">
        <f t="shared" si="80"/>
        <v>3</v>
      </c>
      <c r="E2612" s="2">
        <f t="shared" si="81"/>
        <v>4</v>
      </c>
      <c r="F2612">
        <v>12.1602</v>
      </c>
      <c r="G2612">
        <v>12.1602</v>
      </c>
      <c r="H2612">
        <v>11.7942</v>
      </c>
      <c r="I2612">
        <v>11.834899999999999</v>
      </c>
      <c r="J2612">
        <v>117183</v>
      </c>
      <c r="K2612">
        <v>-3.7103999999999999</v>
      </c>
      <c r="L2612">
        <v>3.1034000000000002</v>
      </c>
    </row>
    <row r="2613" spans="1:12" hidden="1" x14ac:dyDescent="0.25">
      <c r="A2613">
        <v>2330</v>
      </c>
      <c r="B2613" t="s">
        <v>11</v>
      </c>
      <c r="C2613" s="1">
        <v>42109</v>
      </c>
      <c r="D2613" s="2">
        <f t="shared" si="80"/>
        <v>3</v>
      </c>
      <c r="E2613" s="2">
        <f t="shared" si="81"/>
        <v>4</v>
      </c>
      <c r="F2613">
        <v>118.01220000000001</v>
      </c>
      <c r="G2613">
        <v>118.83459999999999</v>
      </c>
      <c r="H2613">
        <v>116.36750000000001</v>
      </c>
      <c r="I2613">
        <v>117.6011</v>
      </c>
      <c r="J2613">
        <v>71626</v>
      </c>
      <c r="K2613">
        <v>-0.69689999999999996</v>
      </c>
      <c r="L2613">
        <v>2.1200999999999999</v>
      </c>
    </row>
    <row r="2614" spans="1:12" x14ac:dyDescent="0.25">
      <c r="A2614">
        <v>2303</v>
      </c>
      <c r="B2614" t="s">
        <v>10</v>
      </c>
      <c r="C2614" s="1">
        <v>42110</v>
      </c>
      <c r="D2614" s="2">
        <f t="shared" si="80"/>
        <v>4</v>
      </c>
      <c r="E2614" s="2">
        <f t="shared" si="81"/>
        <v>4</v>
      </c>
      <c r="F2614">
        <v>11.9162</v>
      </c>
      <c r="G2614">
        <v>11.956899999999999</v>
      </c>
      <c r="H2614">
        <v>11.834899999999999</v>
      </c>
      <c r="I2614">
        <v>11.956899999999999</v>
      </c>
      <c r="J2614">
        <v>50543</v>
      </c>
      <c r="K2614">
        <v>1.0257000000000001</v>
      </c>
      <c r="L2614">
        <v>1.0308999999999999</v>
      </c>
    </row>
    <row r="2615" spans="1:12" hidden="1" x14ac:dyDescent="0.25">
      <c r="A2615">
        <v>2330</v>
      </c>
      <c r="B2615" t="s">
        <v>11</v>
      </c>
      <c r="C2615" s="1">
        <v>42110</v>
      </c>
      <c r="D2615" s="2">
        <f t="shared" si="80"/>
        <v>4</v>
      </c>
      <c r="E2615" s="2">
        <f t="shared" si="81"/>
        <v>4</v>
      </c>
      <c r="F2615">
        <v>119.2458</v>
      </c>
      <c r="G2615">
        <v>120.89060000000001</v>
      </c>
      <c r="H2615">
        <v>118.83459999999999</v>
      </c>
      <c r="I2615">
        <v>120.89060000000001</v>
      </c>
      <c r="J2615">
        <v>55563</v>
      </c>
      <c r="K2615">
        <v>2.7587999999999999</v>
      </c>
      <c r="L2615">
        <v>1.7301</v>
      </c>
    </row>
    <row r="2616" spans="1:12" x14ac:dyDescent="0.25">
      <c r="A2616">
        <v>2303</v>
      </c>
      <c r="B2616" t="s">
        <v>10</v>
      </c>
      <c r="C2616" s="1">
        <v>42111</v>
      </c>
      <c r="D2616" s="2">
        <f t="shared" si="80"/>
        <v>5</v>
      </c>
      <c r="E2616" s="2">
        <f t="shared" si="81"/>
        <v>4</v>
      </c>
      <c r="F2616">
        <v>11.753500000000001</v>
      </c>
      <c r="G2616">
        <v>11.753500000000001</v>
      </c>
      <c r="H2616">
        <v>11.5909</v>
      </c>
      <c r="I2616">
        <v>11.631500000000001</v>
      </c>
      <c r="J2616">
        <v>67361</v>
      </c>
      <c r="K2616">
        <v>-2.7587999999999999</v>
      </c>
      <c r="L2616">
        <v>1.4035</v>
      </c>
    </row>
    <row r="2617" spans="1:12" hidden="1" x14ac:dyDescent="0.25">
      <c r="A2617">
        <v>2330</v>
      </c>
      <c r="B2617" t="s">
        <v>11</v>
      </c>
      <c r="C2617" s="1">
        <v>42111</v>
      </c>
      <c r="D2617" s="2">
        <f t="shared" si="80"/>
        <v>5</v>
      </c>
      <c r="E2617" s="2">
        <f t="shared" si="81"/>
        <v>4</v>
      </c>
      <c r="F2617">
        <v>117.6011</v>
      </c>
      <c r="G2617">
        <v>118.4234</v>
      </c>
      <c r="H2617">
        <v>117.18989999999999</v>
      </c>
      <c r="I2617">
        <v>117.18989999999999</v>
      </c>
      <c r="J2617">
        <v>79007</v>
      </c>
      <c r="K2617">
        <v>-3.1091000000000002</v>
      </c>
      <c r="L2617">
        <v>1.0526</v>
      </c>
    </row>
    <row r="2618" spans="1:12" x14ac:dyDescent="0.25">
      <c r="A2618">
        <v>2303</v>
      </c>
      <c r="B2618" t="s">
        <v>10</v>
      </c>
      <c r="C2618" s="1">
        <v>42114</v>
      </c>
      <c r="D2618" s="2">
        <f t="shared" si="80"/>
        <v>1</v>
      </c>
      <c r="E2618" s="2">
        <f t="shared" si="81"/>
        <v>4</v>
      </c>
      <c r="F2618">
        <v>11.4282</v>
      </c>
      <c r="G2618">
        <v>11.509499999999999</v>
      </c>
      <c r="H2618">
        <v>11.2248</v>
      </c>
      <c r="I2618">
        <v>11.387499999999999</v>
      </c>
      <c r="J2618">
        <v>86233</v>
      </c>
      <c r="K2618">
        <v>-2.1202000000000001</v>
      </c>
      <c r="L2618">
        <v>2.5362</v>
      </c>
    </row>
    <row r="2619" spans="1:12" hidden="1" x14ac:dyDescent="0.25">
      <c r="A2619">
        <v>2330</v>
      </c>
      <c r="B2619" t="s">
        <v>11</v>
      </c>
      <c r="C2619" s="1">
        <v>42114</v>
      </c>
      <c r="D2619" s="2">
        <f t="shared" si="80"/>
        <v>1</v>
      </c>
      <c r="E2619" s="2">
        <f t="shared" si="81"/>
        <v>4</v>
      </c>
      <c r="F2619">
        <v>116.7787</v>
      </c>
      <c r="G2619">
        <v>118.4234</v>
      </c>
      <c r="H2619">
        <v>116.36750000000001</v>
      </c>
      <c r="I2619">
        <v>117.6011</v>
      </c>
      <c r="J2619">
        <v>43593</v>
      </c>
      <c r="K2619">
        <v>0.3503</v>
      </c>
      <c r="L2619">
        <v>1.7667999999999999</v>
      </c>
    </row>
    <row r="2620" spans="1:12" x14ac:dyDescent="0.25">
      <c r="A2620">
        <v>2303</v>
      </c>
      <c r="B2620" t="s">
        <v>10</v>
      </c>
      <c r="C2620" s="1">
        <v>42115</v>
      </c>
      <c r="D2620" s="2">
        <f t="shared" si="80"/>
        <v>2</v>
      </c>
      <c r="E2620" s="2">
        <f t="shared" si="81"/>
        <v>4</v>
      </c>
      <c r="F2620">
        <v>11.387499999999999</v>
      </c>
      <c r="G2620">
        <v>11.509499999999999</v>
      </c>
      <c r="H2620">
        <v>11.3062</v>
      </c>
      <c r="I2620">
        <v>11.4282</v>
      </c>
      <c r="J2620">
        <v>51863</v>
      </c>
      <c r="K2620">
        <v>0.35649999999999998</v>
      </c>
      <c r="L2620">
        <v>1.7986</v>
      </c>
    </row>
    <row r="2621" spans="1:12" hidden="1" x14ac:dyDescent="0.25">
      <c r="A2621">
        <v>2330</v>
      </c>
      <c r="B2621" t="s">
        <v>11</v>
      </c>
      <c r="C2621" s="1">
        <v>42115</v>
      </c>
      <c r="D2621" s="2">
        <f t="shared" si="80"/>
        <v>2</v>
      </c>
      <c r="E2621" s="2">
        <f t="shared" si="81"/>
        <v>4</v>
      </c>
      <c r="F2621">
        <v>116.7787</v>
      </c>
      <c r="G2621">
        <v>118.01220000000001</v>
      </c>
      <c r="H2621">
        <v>116.36750000000001</v>
      </c>
      <c r="I2621">
        <v>117.18989999999999</v>
      </c>
      <c r="J2621">
        <v>40892</v>
      </c>
      <c r="K2621">
        <v>-0.3503</v>
      </c>
      <c r="L2621">
        <v>1.4134</v>
      </c>
    </row>
    <row r="2622" spans="1:12" x14ac:dyDescent="0.25">
      <c r="A2622">
        <v>2303</v>
      </c>
      <c r="B2622" t="s">
        <v>10</v>
      </c>
      <c r="C2622" s="1">
        <v>42116</v>
      </c>
      <c r="D2622" s="2">
        <f t="shared" si="80"/>
        <v>3</v>
      </c>
      <c r="E2622" s="2">
        <f t="shared" si="81"/>
        <v>4</v>
      </c>
      <c r="F2622">
        <v>11.4688</v>
      </c>
      <c r="G2622">
        <v>11.5909</v>
      </c>
      <c r="H2622">
        <v>11.4282</v>
      </c>
      <c r="I2622">
        <v>11.4688</v>
      </c>
      <c r="J2622">
        <v>45490</v>
      </c>
      <c r="K2622">
        <v>0.35520000000000002</v>
      </c>
      <c r="L2622">
        <v>1.4235</v>
      </c>
    </row>
    <row r="2623" spans="1:12" hidden="1" x14ac:dyDescent="0.25">
      <c r="A2623">
        <v>2330</v>
      </c>
      <c r="B2623" t="s">
        <v>11</v>
      </c>
      <c r="C2623" s="1">
        <v>42116</v>
      </c>
      <c r="D2623" s="2">
        <f t="shared" si="80"/>
        <v>3</v>
      </c>
      <c r="E2623" s="2">
        <f t="shared" si="81"/>
        <v>4</v>
      </c>
      <c r="F2623">
        <v>118.01220000000001</v>
      </c>
      <c r="G2623">
        <v>119.2458</v>
      </c>
      <c r="H2623">
        <v>117.6011</v>
      </c>
      <c r="I2623">
        <v>118.01220000000001</v>
      </c>
      <c r="J2623">
        <v>40631</v>
      </c>
      <c r="K2623">
        <v>0.69930000000000003</v>
      </c>
      <c r="L2623">
        <v>1.3986000000000001</v>
      </c>
    </row>
    <row r="2624" spans="1:12" x14ac:dyDescent="0.25">
      <c r="A2624">
        <v>2303</v>
      </c>
      <c r="B2624" t="s">
        <v>10</v>
      </c>
      <c r="C2624" s="1">
        <v>42117</v>
      </c>
      <c r="D2624" s="2">
        <f t="shared" si="80"/>
        <v>4</v>
      </c>
      <c r="E2624" s="2">
        <f t="shared" si="81"/>
        <v>4</v>
      </c>
      <c r="F2624">
        <v>11.5909</v>
      </c>
      <c r="G2624">
        <v>11.875500000000001</v>
      </c>
      <c r="H2624">
        <v>11.5502</v>
      </c>
      <c r="I2624">
        <v>11.875500000000001</v>
      </c>
      <c r="J2624">
        <v>78698</v>
      </c>
      <c r="K2624">
        <v>3.4847000000000001</v>
      </c>
      <c r="L2624">
        <v>2.8169</v>
      </c>
    </row>
    <row r="2625" spans="1:12" hidden="1" x14ac:dyDescent="0.25">
      <c r="A2625">
        <v>2330</v>
      </c>
      <c r="B2625" t="s">
        <v>11</v>
      </c>
      <c r="C2625" s="1">
        <v>42117</v>
      </c>
      <c r="D2625" s="2">
        <f t="shared" si="80"/>
        <v>4</v>
      </c>
      <c r="E2625" s="2">
        <f t="shared" si="81"/>
        <v>4</v>
      </c>
      <c r="F2625">
        <v>119.657</v>
      </c>
      <c r="G2625">
        <v>120.89060000000001</v>
      </c>
      <c r="H2625">
        <v>119.2458</v>
      </c>
      <c r="I2625">
        <v>120.89060000000001</v>
      </c>
      <c r="J2625">
        <v>47851</v>
      </c>
      <c r="K2625">
        <v>2.4098000000000002</v>
      </c>
      <c r="L2625">
        <v>1.3793</v>
      </c>
    </row>
    <row r="2626" spans="1:12" x14ac:dyDescent="0.25">
      <c r="A2626">
        <v>2303</v>
      </c>
      <c r="B2626" t="s">
        <v>10</v>
      </c>
      <c r="C2626" s="1">
        <v>42118</v>
      </c>
      <c r="D2626" s="2">
        <f t="shared" si="80"/>
        <v>5</v>
      </c>
      <c r="E2626" s="2">
        <f t="shared" si="81"/>
        <v>4</v>
      </c>
      <c r="F2626">
        <v>11.956899999999999</v>
      </c>
      <c r="G2626">
        <v>12.1196</v>
      </c>
      <c r="H2626">
        <v>11.875500000000001</v>
      </c>
      <c r="I2626">
        <v>11.9162</v>
      </c>
      <c r="J2626">
        <v>101452</v>
      </c>
      <c r="K2626">
        <v>0.34189999999999998</v>
      </c>
      <c r="L2626">
        <v>2.0548000000000002</v>
      </c>
    </row>
    <row r="2627" spans="1:12" hidden="1" x14ac:dyDescent="0.25">
      <c r="A2627">
        <v>2330</v>
      </c>
      <c r="B2627" t="s">
        <v>11</v>
      </c>
      <c r="C2627" s="1">
        <v>42118</v>
      </c>
      <c r="D2627" s="2">
        <f t="shared" ref="D2627:D2690" si="82">WEEKDAY(C2627,2)</f>
        <v>5</v>
      </c>
      <c r="E2627" s="2">
        <f t="shared" ref="E2627:E2690" si="83">MONTH(C2627)</f>
        <v>4</v>
      </c>
      <c r="F2627">
        <v>122.5354</v>
      </c>
      <c r="G2627">
        <v>125.41370000000001</v>
      </c>
      <c r="H2627">
        <v>122.1242</v>
      </c>
      <c r="I2627">
        <v>125.41370000000001</v>
      </c>
      <c r="J2627">
        <v>135458</v>
      </c>
      <c r="K2627">
        <v>3.6732</v>
      </c>
      <c r="L2627">
        <v>2.6936</v>
      </c>
    </row>
    <row r="2628" spans="1:12" x14ac:dyDescent="0.25">
      <c r="A2628">
        <v>2303</v>
      </c>
      <c r="B2628" t="s">
        <v>10</v>
      </c>
      <c r="C2628" s="1">
        <v>42121</v>
      </c>
      <c r="D2628" s="2">
        <f t="shared" si="82"/>
        <v>1</v>
      </c>
      <c r="E2628" s="2">
        <f t="shared" si="83"/>
        <v>4</v>
      </c>
      <c r="F2628">
        <v>11.956899999999999</v>
      </c>
      <c r="G2628">
        <v>12.200900000000001</v>
      </c>
      <c r="H2628">
        <v>11.956899999999999</v>
      </c>
      <c r="I2628">
        <v>12.1196</v>
      </c>
      <c r="J2628">
        <v>79005</v>
      </c>
      <c r="K2628">
        <v>1.6920999999999999</v>
      </c>
      <c r="L2628">
        <v>2.0407999999999999</v>
      </c>
    </row>
    <row r="2629" spans="1:12" hidden="1" x14ac:dyDescent="0.25">
      <c r="A2629">
        <v>2330</v>
      </c>
      <c r="B2629" t="s">
        <v>11</v>
      </c>
      <c r="C2629" s="1">
        <v>42121</v>
      </c>
      <c r="D2629" s="2">
        <f t="shared" si="82"/>
        <v>1</v>
      </c>
      <c r="E2629" s="2">
        <f t="shared" si="83"/>
        <v>4</v>
      </c>
      <c r="F2629">
        <v>125.8249</v>
      </c>
      <c r="G2629">
        <v>125.8249</v>
      </c>
      <c r="H2629">
        <v>123.3578</v>
      </c>
      <c r="I2629">
        <v>124.5913</v>
      </c>
      <c r="J2629">
        <v>58112</v>
      </c>
      <c r="K2629">
        <v>-0.65790000000000004</v>
      </c>
      <c r="L2629">
        <v>2</v>
      </c>
    </row>
    <row r="2630" spans="1:12" x14ac:dyDescent="0.25">
      <c r="A2630">
        <v>2303</v>
      </c>
      <c r="B2630" t="s">
        <v>10</v>
      </c>
      <c r="C2630" s="1">
        <v>42122</v>
      </c>
      <c r="D2630" s="2">
        <f t="shared" si="82"/>
        <v>2</v>
      </c>
      <c r="E2630" s="2">
        <f t="shared" si="83"/>
        <v>4</v>
      </c>
      <c r="F2630">
        <v>12.2416</v>
      </c>
      <c r="G2630">
        <v>12.2822</v>
      </c>
      <c r="H2630">
        <v>12.078900000000001</v>
      </c>
      <c r="I2630">
        <v>12.078900000000001</v>
      </c>
      <c r="J2630">
        <v>46175</v>
      </c>
      <c r="K2630">
        <v>-0.33610000000000001</v>
      </c>
      <c r="L2630">
        <v>1.6835</v>
      </c>
    </row>
    <row r="2631" spans="1:12" hidden="1" x14ac:dyDescent="0.25">
      <c r="A2631">
        <v>2330</v>
      </c>
      <c r="B2631" t="s">
        <v>11</v>
      </c>
      <c r="C2631" s="1">
        <v>42122</v>
      </c>
      <c r="D2631" s="2">
        <f t="shared" si="82"/>
        <v>2</v>
      </c>
      <c r="E2631" s="2">
        <f t="shared" si="83"/>
        <v>4</v>
      </c>
      <c r="F2631">
        <v>126.23609999999999</v>
      </c>
      <c r="G2631">
        <v>126.23609999999999</v>
      </c>
      <c r="H2631">
        <v>123.7689</v>
      </c>
      <c r="I2631">
        <v>124.5913</v>
      </c>
      <c r="J2631">
        <v>43295</v>
      </c>
      <c r="K2631">
        <v>0</v>
      </c>
      <c r="L2631">
        <v>1.9934000000000001</v>
      </c>
    </row>
    <row r="2632" spans="1:12" x14ac:dyDescent="0.25">
      <c r="A2632">
        <v>2303</v>
      </c>
      <c r="B2632" t="s">
        <v>10</v>
      </c>
      <c r="C2632" s="1">
        <v>42123</v>
      </c>
      <c r="D2632" s="2">
        <f t="shared" si="82"/>
        <v>3</v>
      </c>
      <c r="E2632" s="2">
        <f t="shared" si="83"/>
        <v>4</v>
      </c>
      <c r="F2632">
        <v>12.078900000000001</v>
      </c>
      <c r="G2632">
        <v>12.1602</v>
      </c>
      <c r="H2632">
        <v>11.875500000000001</v>
      </c>
      <c r="I2632">
        <v>11.9162</v>
      </c>
      <c r="J2632">
        <v>44213</v>
      </c>
      <c r="K2632">
        <v>-1.3560000000000001</v>
      </c>
      <c r="L2632">
        <v>2.3973</v>
      </c>
    </row>
    <row r="2633" spans="1:12" hidden="1" x14ac:dyDescent="0.25">
      <c r="A2633">
        <v>2330</v>
      </c>
      <c r="B2633" t="s">
        <v>11</v>
      </c>
      <c r="C2633" s="1">
        <v>42123</v>
      </c>
      <c r="D2633" s="2">
        <f t="shared" si="82"/>
        <v>3</v>
      </c>
      <c r="E2633" s="2">
        <f t="shared" si="83"/>
        <v>4</v>
      </c>
      <c r="F2633">
        <v>123.3578</v>
      </c>
      <c r="G2633">
        <v>124.1801</v>
      </c>
      <c r="H2633">
        <v>121.71299999999999</v>
      </c>
      <c r="I2633">
        <v>122.1242</v>
      </c>
      <c r="J2633">
        <v>37440</v>
      </c>
      <c r="K2633">
        <v>-2.0001000000000002</v>
      </c>
      <c r="L2633">
        <v>2.0270000000000001</v>
      </c>
    </row>
    <row r="2634" spans="1:12" x14ac:dyDescent="0.25">
      <c r="A2634">
        <v>2303</v>
      </c>
      <c r="B2634" t="s">
        <v>10</v>
      </c>
      <c r="C2634" s="1">
        <v>42124</v>
      </c>
      <c r="D2634" s="2">
        <f t="shared" si="82"/>
        <v>4</v>
      </c>
      <c r="E2634" s="2">
        <f t="shared" si="83"/>
        <v>4</v>
      </c>
      <c r="F2634">
        <v>12.078900000000001</v>
      </c>
      <c r="G2634">
        <v>12.078900000000001</v>
      </c>
      <c r="H2634">
        <v>11.712899999999999</v>
      </c>
      <c r="I2634">
        <v>11.875500000000001</v>
      </c>
      <c r="J2634">
        <v>78488</v>
      </c>
      <c r="K2634">
        <v>-0.34189999999999998</v>
      </c>
      <c r="L2634">
        <v>3.125</v>
      </c>
    </row>
    <row r="2635" spans="1:12" hidden="1" x14ac:dyDescent="0.25">
      <c r="A2635">
        <v>2330</v>
      </c>
      <c r="B2635" t="s">
        <v>11</v>
      </c>
      <c r="C2635" s="1">
        <v>42124</v>
      </c>
      <c r="D2635" s="2">
        <f t="shared" si="82"/>
        <v>4</v>
      </c>
      <c r="E2635" s="2">
        <f t="shared" si="83"/>
        <v>4</v>
      </c>
      <c r="F2635">
        <v>120.89060000000001</v>
      </c>
      <c r="G2635">
        <v>122.1242</v>
      </c>
      <c r="H2635">
        <v>120.4794</v>
      </c>
      <c r="I2635">
        <v>120.89060000000001</v>
      </c>
      <c r="J2635">
        <v>48982</v>
      </c>
      <c r="K2635">
        <v>-1.0152000000000001</v>
      </c>
      <c r="L2635">
        <v>1.3652</v>
      </c>
    </row>
    <row r="2636" spans="1:12" x14ac:dyDescent="0.25">
      <c r="A2636">
        <v>2303</v>
      </c>
      <c r="B2636" t="s">
        <v>10</v>
      </c>
      <c r="C2636" s="1">
        <v>42128</v>
      </c>
      <c r="D2636" s="2">
        <f t="shared" si="82"/>
        <v>1</v>
      </c>
      <c r="E2636" s="2">
        <f t="shared" si="83"/>
        <v>5</v>
      </c>
      <c r="F2636">
        <v>11.9162</v>
      </c>
      <c r="G2636">
        <v>11.956899999999999</v>
      </c>
      <c r="H2636">
        <v>11.631500000000001</v>
      </c>
      <c r="I2636">
        <v>11.631500000000001</v>
      </c>
      <c r="J2636">
        <v>54158</v>
      </c>
      <c r="K2636">
        <v>-2.0762</v>
      </c>
      <c r="L2636">
        <v>2.7972000000000001</v>
      </c>
    </row>
    <row r="2637" spans="1:12" hidden="1" x14ac:dyDescent="0.25">
      <c r="A2637">
        <v>2330</v>
      </c>
      <c r="B2637" t="s">
        <v>11</v>
      </c>
      <c r="C2637" s="1">
        <v>42128</v>
      </c>
      <c r="D2637" s="2">
        <f t="shared" si="82"/>
        <v>1</v>
      </c>
      <c r="E2637" s="2">
        <f t="shared" si="83"/>
        <v>5</v>
      </c>
      <c r="F2637">
        <v>122.1242</v>
      </c>
      <c r="G2637">
        <v>122.1242</v>
      </c>
      <c r="H2637">
        <v>120.0682</v>
      </c>
      <c r="I2637">
        <v>121.3018</v>
      </c>
      <c r="J2637">
        <v>30868</v>
      </c>
      <c r="K2637">
        <v>0.33960000000000001</v>
      </c>
      <c r="L2637">
        <v>1.7122999999999999</v>
      </c>
    </row>
    <row r="2638" spans="1:12" x14ac:dyDescent="0.25">
      <c r="A2638">
        <v>2303</v>
      </c>
      <c r="B2638" t="s">
        <v>10</v>
      </c>
      <c r="C2638" s="1">
        <v>42129</v>
      </c>
      <c r="D2638" s="2">
        <f t="shared" si="82"/>
        <v>2</v>
      </c>
      <c r="E2638" s="2">
        <f t="shared" si="83"/>
        <v>5</v>
      </c>
      <c r="F2638">
        <v>11.5909</v>
      </c>
      <c r="G2638">
        <v>11.6722</v>
      </c>
      <c r="H2638">
        <v>11.5502</v>
      </c>
      <c r="I2638">
        <v>11.631500000000001</v>
      </c>
      <c r="J2638">
        <v>33905</v>
      </c>
      <c r="K2638">
        <v>0</v>
      </c>
      <c r="L2638">
        <v>1.0563</v>
      </c>
    </row>
    <row r="2639" spans="1:12" hidden="1" x14ac:dyDescent="0.25">
      <c r="A2639">
        <v>2330</v>
      </c>
      <c r="B2639" t="s">
        <v>11</v>
      </c>
      <c r="C2639" s="1">
        <v>42129</v>
      </c>
      <c r="D2639" s="2">
        <f t="shared" si="82"/>
        <v>2</v>
      </c>
      <c r="E2639" s="2">
        <f t="shared" si="83"/>
        <v>5</v>
      </c>
      <c r="F2639">
        <v>121.3018</v>
      </c>
      <c r="G2639">
        <v>121.71299999999999</v>
      </c>
      <c r="H2639">
        <v>120.0682</v>
      </c>
      <c r="I2639">
        <v>120.89060000000001</v>
      </c>
      <c r="J2639">
        <v>27789</v>
      </c>
      <c r="K2639">
        <v>-0.33960000000000001</v>
      </c>
      <c r="L2639">
        <v>1.3698999999999999</v>
      </c>
    </row>
    <row r="2640" spans="1:12" x14ac:dyDescent="0.25">
      <c r="A2640">
        <v>2303</v>
      </c>
      <c r="B2640" t="s">
        <v>10</v>
      </c>
      <c r="C2640" s="1">
        <v>42130</v>
      </c>
      <c r="D2640" s="2">
        <f t="shared" si="82"/>
        <v>3</v>
      </c>
      <c r="E2640" s="2">
        <f t="shared" si="83"/>
        <v>5</v>
      </c>
      <c r="F2640">
        <v>11.5909</v>
      </c>
      <c r="G2640">
        <v>11.7942</v>
      </c>
      <c r="H2640">
        <v>11.5502</v>
      </c>
      <c r="I2640">
        <v>11.6722</v>
      </c>
      <c r="J2640">
        <v>28568</v>
      </c>
      <c r="K2640">
        <v>0.34899999999999998</v>
      </c>
      <c r="L2640">
        <v>2.1126999999999998</v>
      </c>
    </row>
    <row r="2641" spans="1:12" hidden="1" x14ac:dyDescent="0.25">
      <c r="A2641">
        <v>2330</v>
      </c>
      <c r="B2641" t="s">
        <v>11</v>
      </c>
      <c r="C2641" s="1">
        <v>42130</v>
      </c>
      <c r="D2641" s="2">
        <f t="shared" si="82"/>
        <v>3</v>
      </c>
      <c r="E2641" s="2">
        <f t="shared" si="83"/>
        <v>5</v>
      </c>
      <c r="F2641">
        <v>119.657</v>
      </c>
      <c r="G2641">
        <v>121.71299999999999</v>
      </c>
      <c r="H2641">
        <v>119.657</v>
      </c>
      <c r="I2641">
        <v>121.3018</v>
      </c>
      <c r="J2641">
        <v>18824</v>
      </c>
      <c r="K2641">
        <v>0.33960000000000001</v>
      </c>
      <c r="L2641">
        <v>1.7181999999999999</v>
      </c>
    </row>
    <row r="2642" spans="1:12" x14ac:dyDescent="0.25">
      <c r="A2642">
        <v>2303</v>
      </c>
      <c r="B2642" t="s">
        <v>10</v>
      </c>
      <c r="C2642" s="1">
        <v>42131</v>
      </c>
      <c r="D2642" s="2">
        <f t="shared" si="82"/>
        <v>4</v>
      </c>
      <c r="E2642" s="2">
        <f t="shared" si="83"/>
        <v>5</v>
      </c>
      <c r="F2642">
        <v>11.5909</v>
      </c>
      <c r="G2642">
        <v>11.5909</v>
      </c>
      <c r="H2642">
        <v>11.387499999999999</v>
      </c>
      <c r="I2642">
        <v>11.4282</v>
      </c>
      <c r="J2642">
        <v>61661</v>
      </c>
      <c r="K2642">
        <v>-2.1128</v>
      </c>
      <c r="L2642">
        <v>1.7857000000000001</v>
      </c>
    </row>
    <row r="2643" spans="1:12" hidden="1" x14ac:dyDescent="0.25">
      <c r="A2643">
        <v>2330</v>
      </c>
      <c r="B2643" t="s">
        <v>11</v>
      </c>
      <c r="C2643" s="1">
        <v>42131</v>
      </c>
      <c r="D2643" s="2">
        <f t="shared" si="82"/>
        <v>4</v>
      </c>
      <c r="E2643" s="2">
        <f t="shared" si="83"/>
        <v>5</v>
      </c>
      <c r="F2643">
        <v>120.0682</v>
      </c>
      <c r="G2643">
        <v>121.3018</v>
      </c>
      <c r="H2643">
        <v>120.0682</v>
      </c>
      <c r="I2643">
        <v>120.4794</v>
      </c>
      <c r="J2643">
        <v>21908</v>
      </c>
      <c r="K2643">
        <v>-0.68030000000000002</v>
      </c>
      <c r="L2643">
        <v>1.0274000000000001</v>
      </c>
    </row>
    <row r="2644" spans="1:12" x14ac:dyDescent="0.25">
      <c r="A2644">
        <v>2303</v>
      </c>
      <c r="B2644" t="s">
        <v>10</v>
      </c>
      <c r="C2644" s="1">
        <v>42132</v>
      </c>
      <c r="D2644" s="2">
        <f t="shared" si="82"/>
        <v>5</v>
      </c>
      <c r="E2644" s="2">
        <f t="shared" si="83"/>
        <v>5</v>
      </c>
      <c r="F2644">
        <v>11.4282</v>
      </c>
      <c r="G2644">
        <v>11.509499999999999</v>
      </c>
      <c r="H2644">
        <v>11.265499999999999</v>
      </c>
      <c r="I2644">
        <v>11.265499999999999</v>
      </c>
      <c r="J2644">
        <v>60537</v>
      </c>
      <c r="K2644">
        <v>-1.4337</v>
      </c>
      <c r="L2644">
        <v>2.1661000000000001</v>
      </c>
    </row>
    <row r="2645" spans="1:12" hidden="1" x14ac:dyDescent="0.25">
      <c r="A2645">
        <v>2330</v>
      </c>
      <c r="B2645" t="s">
        <v>11</v>
      </c>
      <c r="C2645" s="1">
        <v>42132</v>
      </c>
      <c r="D2645" s="2">
        <f t="shared" si="82"/>
        <v>5</v>
      </c>
      <c r="E2645" s="2">
        <f t="shared" si="83"/>
        <v>5</v>
      </c>
      <c r="F2645">
        <v>120.0682</v>
      </c>
      <c r="G2645">
        <v>121.3018</v>
      </c>
      <c r="H2645">
        <v>120.0682</v>
      </c>
      <c r="I2645">
        <v>120.4794</v>
      </c>
      <c r="J2645">
        <v>20035</v>
      </c>
      <c r="K2645">
        <v>0</v>
      </c>
      <c r="L2645">
        <v>1.0274000000000001</v>
      </c>
    </row>
    <row r="2646" spans="1:12" x14ac:dyDescent="0.25">
      <c r="A2646">
        <v>2303</v>
      </c>
      <c r="B2646" t="s">
        <v>10</v>
      </c>
      <c r="C2646" s="1">
        <v>42135</v>
      </c>
      <c r="D2646" s="2">
        <f t="shared" si="82"/>
        <v>1</v>
      </c>
      <c r="E2646" s="2">
        <f t="shared" si="83"/>
        <v>5</v>
      </c>
      <c r="F2646">
        <v>11.4282</v>
      </c>
      <c r="G2646">
        <v>11.509499999999999</v>
      </c>
      <c r="H2646">
        <v>11.3468</v>
      </c>
      <c r="I2646">
        <v>11.387499999999999</v>
      </c>
      <c r="J2646">
        <v>57175</v>
      </c>
      <c r="K2646">
        <v>1.0771999999999999</v>
      </c>
      <c r="L2646">
        <v>1.4337</v>
      </c>
    </row>
    <row r="2647" spans="1:12" hidden="1" x14ac:dyDescent="0.25">
      <c r="A2647">
        <v>2330</v>
      </c>
      <c r="B2647" t="s">
        <v>11</v>
      </c>
      <c r="C2647" s="1">
        <v>42135</v>
      </c>
      <c r="D2647" s="2">
        <f t="shared" si="82"/>
        <v>1</v>
      </c>
      <c r="E2647" s="2">
        <f t="shared" si="83"/>
        <v>5</v>
      </c>
      <c r="F2647">
        <v>122.5354</v>
      </c>
      <c r="G2647">
        <v>122.5354</v>
      </c>
      <c r="H2647">
        <v>120.89060000000001</v>
      </c>
      <c r="I2647">
        <v>122.1242</v>
      </c>
      <c r="J2647">
        <v>20402</v>
      </c>
      <c r="K2647">
        <v>1.3560000000000001</v>
      </c>
      <c r="L2647">
        <v>1.3605</v>
      </c>
    </row>
    <row r="2648" spans="1:12" x14ac:dyDescent="0.25">
      <c r="A2648">
        <v>2303</v>
      </c>
      <c r="B2648" t="s">
        <v>10</v>
      </c>
      <c r="C2648" s="1">
        <v>42136</v>
      </c>
      <c r="D2648" s="2">
        <f t="shared" si="82"/>
        <v>2</v>
      </c>
      <c r="E2648" s="2">
        <f t="shared" si="83"/>
        <v>5</v>
      </c>
      <c r="F2648">
        <v>10.9808</v>
      </c>
      <c r="G2648">
        <v>11.265499999999999</v>
      </c>
      <c r="H2648">
        <v>10.818099999999999</v>
      </c>
      <c r="I2648">
        <v>11.184200000000001</v>
      </c>
      <c r="J2648">
        <v>149274</v>
      </c>
      <c r="K2648">
        <v>-1.8019000000000001</v>
      </c>
      <c r="L2648">
        <v>4.1353</v>
      </c>
    </row>
    <row r="2649" spans="1:12" hidden="1" x14ac:dyDescent="0.25">
      <c r="A2649">
        <v>2330</v>
      </c>
      <c r="B2649" t="s">
        <v>11</v>
      </c>
      <c r="C2649" s="1">
        <v>42136</v>
      </c>
      <c r="D2649" s="2">
        <f t="shared" si="82"/>
        <v>2</v>
      </c>
      <c r="E2649" s="2">
        <f t="shared" si="83"/>
        <v>5</v>
      </c>
      <c r="F2649">
        <v>120.89060000000001</v>
      </c>
      <c r="G2649">
        <v>122.1242</v>
      </c>
      <c r="H2649">
        <v>120.89060000000001</v>
      </c>
      <c r="I2649">
        <v>121.3018</v>
      </c>
      <c r="J2649">
        <v>24956</v>
      </c>
      <c r="K2649">
        <v>-0.67569999999999997</v>
      </c>
      <c r="L2649">
        <v>1.0204</v>
      </c>
    </row>
    <row r="2650" spans="1:12" x14ac:dyDescent="0.25">
      <c r="A2650">
        <v>2303</v>
      </c>
      <c r="B2650" t="s">
        <v>10</v>
      </c>
      <c r="C2650" s="1">
        <v>42137</v>
      </c>
      <c r="D2650" s="2">
        <f t="shared" si="82"/>
        <v>3</v>
      </c>
      <c r="E2650" s="2">
        <f t="shared" si="83"/>
        <v>5</v>
      </c>
      <c r="F2650">
        <v>11.184200000000001</v>
      </c>
      <c r="G2650">
        <v>11.4282</v>
      </c>
      <c r="H2650">
        <v>11.1028</v>
      </c>
      <c r="I2650">
        <v>11.3468</v>
      </c>
      <c r="J2650">
        <v>63740</v>
      </c>
      <c r="K2650">
        <v>1.4440999999999999</v>
      </c>
      <c r="L2650">
        <v>2.9304000000000001</v>
      </c>
    </row>
    <row r="2651" spans="1:12" hidden="1" x14ac:dyDescent="0.25">
      <c r="A2651">
        <v>2330</v>
      </c>
      <c r="B2651" t="s">
        <v>11</v>
      </c>
      <c r="C2651" s="1">
        <v>42137</v>
      </c>
      <c r="D2651" s="2">
        <f t="shared" si="82"/>
        <v>3</v>
      </c>
      <c r="E2651" s="2">
        <f t="shared" si="83"/>
        <v>5</v>
      </c>
      <c r="F2651">
        <v>121.3018</v>
      </c>
      <c r="G2651">
        <v>122.5354</v>
      </c>
      <c r="H2651">
        <v>120.89060000000001</v>
      </c>
      <c r="I2651">
        <v>121.71299999999999</v>
      </c>
      <c r="J2651">
        <v>19437</v>
      </c>
      <c r="K2651">
        <v>0.33839999999999998</v>
      </c>
      <c r="L2651">
        <v>1.3605</v>
      </c>
    </row>
    <row r="2652" spans="1:12" x14ac:dyDescent="0.25">
      <c r="A2652">
        <v>2303</v>
      </c>
      <c r="B2652" t="s">
        <v>10</v>
      </c>
      <c r="C2652" s="1">
        <v>42138</v>
      </c>
      <c r="D2652" s="2">
        <f t="shared" si="82"/>
        <v>4</v>
      </c>
      <c r="E2652" s="2">
        <f t="shared" si="83"/>
        <v>5</v>
      </c>
      <c r="F2652">
        <v>11.3468</v>
      </c>
      <c r="G2652">
        <v>11.387499999999999</v>
      </c>
      <c r="H2652">
        <v>11.184200000000001</v>
      </c>
      <c r="I2652">
        <v>11.184200000000001</v>
      </c>
      <c r="J2652">
        <v>52111</v>
      </c>
      <c r="K2652">
        <v>-1.4440999999999999</v>
      </c>
      <c r="L2652">
        <v>1.8182</v>
      </c>
    </row>
    <row r="2653" spans="1:12" hidden="1" x14ac:dyDescent="0.25">
      <c r="A2653">
        <v>2330</v>
      </c>
      <c r="B2653" t="s">
        <v>11</v>
      </c>
      <c r="C2653" s="1">
        <v>42138</v>
      </c>
      <c r="D2653" s="2">
        <f t="shared" si="82"/>
        <v>4</v>
      </c>
      <c r="E2653" s="2">
        <f t="shared" si="83"/>
        <v>5</v>
      </c>
      <c r="F2653">
        <v>121.71299999999999</v>
      </c>
      <c r="G2653">
        <v>122.1242</v>
      </c>
      <c r="H2653">
        <v>120.0682</v>
      </c>
      <c r="I2653">
        <v>120.0682</v>
      </c>
      <c r="J2653">
        <v>39888</v>
      </c>
      <c r="K2653">
        <v>-1.3606</v>
      </c>
      <c r="L2653">
        <v>1.7122999999999999</v>
      </c>
    </row>
    <row r="2654" spans="1:12" x14ac:dyDescent="0.25">
      <c r="A2654">
        <v>2303</v>
      </c>
      <c r="B2654" t="s">
        <v>10</v>
      </c>
      <c r="C2654" s="1">
        <v>42139</v>
      </c>
      <c r="D2654" s="2">
        <f t="shared" si="82"/>
        <v>5</v>
      </c>
      <c r="E2654" s="2">
        <f t="shared" si="83"/>
        <v>5</v>
      </c>
      <c r="F2654">
        <v>11.184200000000001</v>
      </c>
      <c r="G2654">
        <v>11.3062</v>
      </c>
      <c r="H2654">
        <v>11.1435</v>
      </c>
      <c r="I2654">
        <v>11.184200000000001</v>
      </c>
      <c r="J2654">
        <v>32507</v>
      </c>
      <c r="K2654">
        <v>0</v>
      </c>
      <c r="L2654">
        <v>1.4599</v>
      </c>
    </row>
    <row r="2655" spans="1:12" hidden="1" x14ac:dyDescent="0.25">
      <c r="A2655">
        <v>2330</v>
      </c>
      <c r="B2655" t="s">
        <v>11</v>
      </c>
      <c r="C2655" s="1">
        <v>42139</v>
      </c>
      <c r="D2655" s="2">
        <f t="shared" si="82"/>
        <v>5</v>
      </c>
      <c r="E2655" s="2">
        <f t="shared" si="83"/>
        <v>5</v>
      </c>
      <c r="F2655">
        <v>120.89060000000001</v>
      </c>
      <c r="G2655">
        <v>120.89060000000001</v>
      </c>
      <c r="H2655">
        <v>119.2458</v>
      </c>
      <c r="I2655">
        <v>120.4794</v>
      </c>
      <c r="J2655">
        <v>24831</v>
      </c>
      <c r="K2655">
        <v>0.34189999999999998</v>
      </c>
      <c r="L2655">
        <v>1.3793</v>
      </c>
    </row>
    <row r="2656" spans="1:12" x14ac:dyDescent="0.25">
      <c r="A2656">
        <v>2303</v>
      </c>
      <c r="B2656" t="s">
        <v>10</v>
      </c>
      <c r="C2656" s="1">
        <v>42142</v>
      </c>
      <c r="D2656" s="2">
        <f t="shared" si="82"/>
        <v>1</v>
      </c>
      <c r="E2656" s="2">
        <f t="shared" si="83"/>
        <v>5</v>
      </c>
      <c r="F2656">
        <v>11.184200000000001</v>
      </c>
      <c r="G2656">
        <v>11.2248</v>
      </c>
      <c r="H2656">
        <v>11.062099999999999</v>
      </c>
      <c r="I2656">
        <v>11.062099999999999</v>
      </c>
      <c r="J2656">
        <v>34008</v>
      </c>
      <c r="K2656">
        <v>-1.0969</v>
      </c>
      <c r="L2656">
        <v>1.4705999999999999</v>
      </c>
    </row>
    <row r="2657" spans="1:12" hidden="1" x14ac:dyDescent="0.25">
      <c r="A2657">
        <v>2330</v>
      </c>
      <c r="B2657" t="s">
        <v>11</v>
      </c>
      <c r="C2657" s="1">
        <v>42142</v>
      </c>
      <c r="D2657" s="2">
        <f t="shared" si="82"/>
        <v>1</v>
      </c>
      <c r="E2657" s="2">
        <f t="shared" si="83"/>
        <v>5</v>
      </c>
      <c r="F2657">
        <v>120.89060000000001</v>
      </c>
      <c r="G2657">
        <v>120.89060000000001</v>
      </c>
      <c r="H2657">
        <v>119.2458</v>
      </c>
      <c r="I2657">
        <v>120.4794</v>
      </c>
      <c r="J2657">
        <v>26212</v>
      </c>
      <c r="K2657">
        <v>0</v>
      </c>
      <c r="L2657">
        <v>1.3793</v>
      </c>
    </row>
    <row r="2658" spans="1:12" x14ac:dyDescent="0.25">
      <c r="A2658">
        <v>2303</v>
      </c>
      <c r="B2658" t="s">
        <v>10</v>
      </c>
      <c r="C2658" s="1">
        <v>42143</v>
      </c>
      <c r="D2658" s="2">
        <f t="shared" si="82"/>
        <v>2</v>
      </c>
      <c r="E2658" s="2">
        <f t="shared" si="83"/>
        <v>5</v>
      </c>
      <c r="F2658">
        <v>11.184200000000001</v>
      </c>
      <c r="G2658">
        <v>11.4688</v>
      </c>
      <c r="H2658">
        <v>11.1435</v>
      </c>
      <c r="I2658">
        <v>11.3468</v>
      </c>
      <c r="J2658">
        <v>53316</v>
      </c>
      <c r="K2658">
        <v>2.5409999999999999</v>
      </c>
      <c r="L2658">
        <v>2.9197000000000002</v>
      </c>
    </row>
    <row r="2659" spans="1:12" hidden="1" x14ac:dyDescent="0.25">
      <c r="A2659">
        <v>2330</v>
      </c>
      <c r="B2659" t="s">
        <v>11</v>
      </c>
      <c r="C2659" s="1">
        <v>42143</v>
      </c>
      <c r="D2659" s="2">
        <f t="shared" si="82"/>
        <v>2</v>
      </c>
      <c r="E2659" s="2">
        <f t="shared" si="83"/>
        <v>5</v>
      </c>
      <c r="F2659">
        <v>119.657</v>
      </c>
      <c r="G2659">
        <v>121.3018</v>
      </c>
      <c r="H2659">
        <v>119.2458</v>
      </c>
      <c r="I2659">
        <v>120.4794</v>
      </c>
      <c r="J2659">
        <v>26321</v>
      </c>
      <c r="K2659">
        <v>0</v>
      </c>
      <c r="L2659">
        <v>1.7241</v>
      </c>
    </row>
    <row r="2660" spans="1:12" x14ac:dyDescent="0.25">
      <c r="A2660">
        <v>2303</v>
      </c>
      <c r="B2660" t="s">
        <v>10</v>
      </c>
      <c r="C2660" s="1">
        <v>42144</v>
      </c>
      <c r="D2660" s="2">
        <f t="shared" si="82"/>
        <v>3</v>
      </c>
      <c r="E2660" s="2">
        <f t="shared" si="83"/>
        <v>5</v>
      </c>
      <c r="F2660">
        <v>11.3468</v>
      </c>
      <c r="G2660">
        <v>11.4688</v>
      </c>
      <c r="H2660">
        <v>11.265499999999999</v>
      </c>
      <c r="I2660">
        <v>11.3062</v>
      </c>
      <c r="J2660">
        <v>32392</v>
      </c>
      <c r="K2660">
        <v>-0.35909999999999997</v>
      </c>
      <c r="L2660">
        <v>1.8050999999999999</v>
      </c>
    </row>
    <row r="2661" spans="1:12" hidden="1" x14ac:dyDescent="0.25">
      <c r="A2661">
        <v>2330</v>
      </c>
      <c r="B2661" t="s">
        <v>11</v>
      </c>
      <c r="C2661" s="1">
        <v>42144</v>
      </c>
      <c r="D2661" s="2">
        <f t="shared" si="82"/>
        <v>3</v>
      </c>
      <c r="E2661" s="2">
        <f t="shared" si="83"/>
        <v>5</v>
      </c>
      <c r="F2661">
        <v>120.4794</v>
      </c>
      <c r="G2661">
        <v>120.89060000000001</v>
      </c>
      <c r="H2661">
        <v>120.0682</v>
      </c>
      <c r="I2661">
        <v>120.4794</v>
      </c>
      <c r="J2661">
        <v>26984</v>
      </c>
      <c r="K2661">
        <v>0</v>
      </c>
      <c r="L2661">
        <v>0.68489999999999995</v>
      </c>
    </row>
    <row r="2662" spans="1:12" x14ac:dyDescent="0.25">
      <c r="A2662">
        <v>2303</v>
      </c>
      <c r="B2662" t="s">
        <v>10</v>
      </c>
      <c r="C2662" s="1">
        <v>42145</v>
      </c>
      <c r="D2662" s="2">
        <f t="shared" si="82"/>
        <v>4</v>
      </c>
      <c r="E2662" s="2">
        <f t="shared" si="83"/>
        <v>5</v>
      </c>
      <c r="F2662">
        <v>11.265499999999999</v>
      </c>
      <c r="G2662">
        <v>11.3062</v>
      </c>
      <c r="H2662">
        <v>11.1028</v>
      </c>
      <c r="I2662">
        <v>11.2248</v>
      </c>
      <c r="J2662">
        <v>34256</v>
      </c>
      <c r="K2662">
        <v>-0.72199999999999998</v>
      </c>
      <c r="L2662">
        <v>1.8314999999999999</v>
      </c>
    </row>
    <row r="2663" spans="1:12" hidden="1" x14ac:dyDescent="0.25">
      <c r="A2663">
        <v>2330</v>
      </c>
      <c r="B2663" t="s">
        <v>11</v>
      </c>
      <c r="C2663" s="1">
        <v>42145</v>
      </c>
      <c r="D2663" s="2">
        <f t="shared" si="82"/>
        <v>4</v>
      </c>
      <c r="E2663" s="2">
        <f t="shared" si="83"/>
        <v>5</v>
      </c>
      <c r="F2663">
        <v>120.0682</v>
      </c>
      <c r="G2663">
        <v>120.4794</v>
      </c>
      <c r="H2663">
        <v>118.83459999999999</v>
      </c>
      <c r="I2663">
        <v>119.657</v>
      </c>
      <c r="J2663">
        <v>41286</v>
      </c>
      <c r="K2663">
        <v>-0.68489999999999995</v>
      </c>
      <c r="L2663">
        <v>1.3841000000000001</v>
      </c>
    </row>
    <row r="2664" spans="1:12" x14ac:dyDescent="0.25">
      <c r="A2664">
        <v>2303</v>
      </c>
      <c r="B2664" t="s">
        <v>10</v>
      </c>
      <c r="C2664" s="1">
        <v>42146</v>
      </c>
      <c r="D2664" s="2">
        <f t="shared" si="82"/>
        <v>5</v>
      </c>
      <c r="E2664" s="2">
        <f t="shared" si="83"/>
        <v>5</v>
      </c>
      <c r="F2664">
        <v>11.3062</v>
      </c>
      <c r="G2664">
        <v>11.3468</v>
      </c>
      <c r="H2664">
        <v>11.2248</v>
      </c>
      <c r="I2664">
        <v>11.3062</v>
      </c>
      <c r="J2664">
        <v>37428</v>
      </c>
      <c r="K2664">
        <v>0.72199999999999998</v>
      </c>
      <c r="L2664">
        <v>1.087</v>
      </c>
    </row>
    <row r="2665" spans="1:12" hidden="1" x14ac:dyDescent="0.25">
      <c r="A2665">
        <v>2330</v>
      </c>
      <c r="B2665" t="s">
        <v>11</v>
      </c>
      <c r="C2665" s="1">
        <v>42146</v>
      </c>
      <c r="D2665" s="2">
        <f t="shared" si="82"/>
        <v>5</v>
      </c>
      <c r="E2665" s="2">
        <f t="shared" si="83"/>
        <v>5</v>
      </c>
      <c r="F2665">
        <v>120.0682</v>
      </c>
      <c r="G2665">
        <v>120.89060000000001</v>
      </c>
      <c r="H2665">
        <v>119.2458</v>
      </c>
      <c r="I2665">
        <v>119.657</v>
      </c>
      <c r="J2665">
        <v>22103</v>
      </c>
      <c r="K2665">
        <v>0</v>
      </c>
      <c r="L2665">
        <v>1.3793</v>
      </c>
    </row>
    <row r="2666" spans="1:12" x14ac:dyDescent="0.25">
      <c r="A2666">
        <v>2303</v>
      </c>
      <c r="B2666" t="s">
        <v>10</v>
      </c>
      <c r="C2666" s="1">
        <v>42149</v>
      </c>
      <c r="D2666" s="2">
        <f t="shared" si="82"/>
        <v>1</v>
      </c>
      <c r="E2666" s="2">
        <f t="shared" si="83"/>
        <v>5</v>
      </c>
      <c r="F2666">
        <v>11.387499999999999</v>
      </c>
      <c r="G2666">
        <v>11.387499999999999</v>
      </c>
      <c r="H2666">
        <v>11.2248</v>
      </c>
      <c r="I2666">
        <v>11.2248</v>
      </c>
      <c r="J2666">
        <v>17940</v>
      </c>
      <c r="K2666">
        <v>-0.72199999999999998</v>
      </c>
      <c r="L2666">
        <v>1.4493</v>
      </c>
    </row>
    <row r="2667" spans="1:12" hidden="1" x14ac:dyDescent="0.25">
      <c r="A2667">
        <v>2330</v>
      </c>
      <c r="B2667" t="s">
        <v>11</v>
      </c>
      <c r="C2667" s="1">
        <v>42149</v>
      </c>
      <c r="D2667" s="2">
        <f t="shared" si="82"/>
        <v>1</v>
      </c>
      <c r="E2667" s="2">
        <f t="shared" si="83"/>
        <v>5</v>
      </c>
      <c r="F2667">
        <v>120.4794</v>
      </c>
      <c r="G2667">
        <v>121.3018</v>
      </c>
      <c r="H2667">
        <v>119.657</v>
      </c>
      <c r="I2667">
        <v>121.3018</v>
      </c>
      <c r="J2667">
        <v>16323</v>
      </c>
      <c r="K2667">
        <v>1.3652</v>
      </c>
      <c r="L2667">
        <v>1.3746</v>
      </c>
    </row>
    <row r="2668" spans="1:12" x14ac:dyDescent="0.25">
      <c r="A2668">
        <v>2303</v>
      </c>
      <c r="B2668" t="s">
        <v>10</v>
      </c>
      <c r="C2668" s="1">
        <v>42150</v>
      </c>
      <c r="D2668" s="2">
        <f t="shared" si="82"/>
        <v>2</v>
      </c>
      <c r="E2668" s="2">
        <f t="shared" si="83"/>
        <v>5</v>
      </c>
      <c r="F2668">
        <v>11.3468</v>
      </c>
      <c r="G2668">
        <v>11.387499999999999</v>
      </c>
      <c r="H2668">
        <v>11.265499999999999</v>
      </c>
      <c r="I2668">
        <v>11.3062</v>
      </c>
      <c r="J2668">
        <v>20221</v>
      </c>
      <c r="K2668">
        <v>0.72199999999999998</v>
      </c>
      <c r="L2668">
        <v>1.083</v>
      </c>
    </row>
    <row r="2669" spans="1:12" hidden="1" x14ac:dyDescent="0.25">
      <c r="A2669">
        <v>2330</v>
      </c>
      <c r="B2669" t="s">
        <v>11</v>
      </c>
      <c r="C2669" s="1">
        <v>42150</v>
      </c>
      <c r="D2669" s="2">
        <f t="shared" si="82"/>
        <v>2</v>
      </c>
      <c r="E2669" s="2">
        <f t="shared" si="83"/>
        <v>5</v>
      </c>
      <c r="F2669">
        <v>122.1242</v>
      </c>
      <c r="G2669">
        <v>122.1242</v>
      </c>
      <c r="H2669">
        <v>120.4794</v>
      </c>
      <c r="I2669">
        <v>120.4794</v>
      </c>
      <c r="J2669">
        <v>16069</v>
      </c>
      <c r="K2669">
        <v>-0.68030000000000002</v>
      </c>
      <c r="L2669">
        <v>1.3652</v>
      </c>
    </row>
    <row r="2670" spans="1:12" x14ac:dyDescent="0.25">
      <c r="A2670">
        <v>2303</v>
      </c>
      <c r="B2670" t="s">
        <v>10</v>
      </c>
      <c r="C2670" s="1">
        <v>42151</v>
      </c>
      <c r="D2670" s="2">
        <f t="shared" si="82"/>
        <v>3</v>
      </c>
      <c r="E2670" s="2">
        <f t="shared" si="83"/>
        <v>5</v>
      </c>
      <c r="F2670">
        <v>11.3468</v>
      </c>
      <c r="G2670">
        <v>11.387499999999999</v>
      </c>
      <c r="H2670">
        <v>11.2248</v>
      </c>
      <c r="I2670">
        <v>11.3468</v>
      </c>
      <c r="J2670">
        <v>22913</v>
      </c>
      <c r="K2670">
        <v>0.35909999999999997</v>
      </c>
      <c r="L2670">
        <v>1.4493</v>
      </c>
    </row>
    <row r="2671" spans="1:12" hidden="1" x14ac:dyDescent="0.25">
      <c r="A2671">
        <v>2330</v>
      </c>
      <c r="B2671" t="s">
        <v>11</v>
      </c>
      <c r="C2671" s="1">
        <v>42151</v>
      </c>
      <c r="D2671" s="2">
        <f t="shared" si="82"/>
        <v>3</v>
      </c>
      <c r="E2671" s="2">
        <f t="shared" si="83"/>
        <v>5</v>
      </c>
      <c r="F2671">
        <v>119.657</v>
      </c>
      <c r="G2671">
        <v>120.89060000000001</v>
      </c>
      <c r="H2671">
        <v>119.2458</v>
      </c>
      <c r="I2671">
        <v>119.2458</v>
      </c>
      <c r="J2671">
        <v>24257</v>
      </c>
      <c r="K2671">
        <v>-1.0291999999999999</v>
      </c>
      <c r="L2671">
        <v>1.3793</v>
      </c>
    </row>
    <row r="2672" spans="1:12" x14ac:dyDescent="0.25">
      <c r="A2672">
        <v>2303</v>
      </c>
      <c r="B2672" t="s">
        <v>10</v>
      </c>
      <c r="C2672" s="1">
        <v>42152</v>
      </c>
      <c r="D2672" s="2">
        <f t="shared" si="82"/>
        <v>4</v>
      </c>
      <c r="E2672" s="2">
        <f t="shared" si="83"/>
        <v>5</v>
      </c>
      <c r="F2672">
        <v>11.4688</v>
      </c>
      <c r="G2672">
        <v>11.509499999999999</v>
      </c>
      <c r="H2672">
        <v>11.387499999999999</v>
      </c>
      <c r="I2672">
        <v>11.4688</v>
      </c>
      <c r="J2672">
        <v>42520</v>
      </c>
      <c r="K2672">
        <v>1.0694999999999999</v>
      </c>
      <c r="L2672">
        <v>1.0713999999999999</v>
      </c>
    </row>
    <row r="2673" spans="1:12" hidden="1" x14ac:dyDescent="0.25">
      <c r="A2673">
        <v>2330</v>
      </c>
      <c r="B2673" t="s">
        <v>11</v>
      </c>
      <c r="C2673" s="1">
        <v>42152</v>
      </c>
      <c r="D2673" s="2">
        <f t="shared" si="82"/>
        <v>4</v>
      </c>
      <c r="E2673" s="2">
        <f t="shared" si="83"/>
        <v>5</v>
      </c>
      <c r="F2673">
        <v>120.89060000000001</v>
      </c>
      <c r="G2673">
        <v>121.3018</v>
      </c>
      <c r="H2673">
        <v>120.0682</v>
      </c>
      <c r="I2673">
        <v>120.89060000000001</v>
      </c>
      <c r="J2673">
        <v>36704</v>
      </c>
      <c r="K2673">
        <v>1.3698999999999999</v>
      </c>
      <c r="L2673">
        <v>1.0274000000000001</v>
      </c>
    </row>
    <row r="2674" spans="1:12" x14ac:dyDescent="0.25">
      <c r="A2674">
        <v>2303</v>
      </c>
      <c r="B2674" t="s">
        <v>10</v>
      </c>
      <c r="C2674" s="1">
        <v>42153</v>
      </c>
      <c r="D2674" s="2">
        <f t="shared" si="82"/>
        <v>5</v>
      </c>
      <c r="E2674" s="2">
        <f t="shared" si="83"/>
        <v>5</v>
      </c>
      <c r="F2674">
        <v>11.4688</v>
      </c>
      <c r="G2674">
        <v>11.509499999999999</v>
      </c>
      <c r="H2674">
        <v>11.3062</v>
      </c>
      <c r="I2674">
        <v>11.3062</v>
      </c>
      <c r="J2674">
        <v>47003</v>
      </c>
      <c r="K2674">
        <v>-1.4286000000000001</v>
      </c>
      <c r="L2674">
        <v>1.7986</v>
      </c>
    </row>
    <row r="2675" spans="1:12" hidden="1" x14ac:dyDescent="0.25">
      <c r="A2675">
        <v>2330</v>
      </c>
      <c r="B2675" t="s">
        <v>11</v>
      </c>
      <c r="C2675" s="1">
        <v>42153</v>
      </c>
      <c r="D2675" s="2">
        <f t="shared" si="82"/>
        <v>5</v>
      </c>
      <c r="E2675" s="2">
        <f t="shared" si="83"/>
        <v>5</v>
      </c>
      <c r="F2675">
        <v>120.89060000000001</v>
      </c>
      <c r="G2675">
        <v>121.3018</v>
      </c>
      <c r="H2675">
        <v>119.657</v>
      </c>
      <c r="I2675">
        <v>120.0682</v>
      </c>
      <c r="J2675">
        <v>61983</v>
      </c>
      <c r="K2675">
        <v>-0.68259999999999998</v>
      </c>
      <c r="L2675">
        <v>1.3746</v>
      </c>
    </row>
    <row r="2676" spans="1:12" x14ac:dyDescent="0.25">
      <c r="A2676">
        <v>2303</v>
      </c>
      <c r="B2676" t="s">
        <v>10</v>
      </c>
      <c r="C2676" s="1">
        <v>42156</v>
      </c>
      <c r="D2676" s="2">
        <f t="shared" si="82"/>
        <v>1</v>
      </c>
      <c r="E2676" s="2">
        <f t="shared" si="83"/>
        <v>6</v>
      </c>
      <c r="F2676">
        <v>11.265499999999999</v>
      </c>
      <c r="G2676">
        <v>11.3062</v>
      </c>
      <c r="H2676">
        <v>11.1028</v>
      </c>
      <c r="I2676">
        <v>11.184200000000001</v>
      </c>
      <c r="J2676">
        <v>45654</v>
      </c>
      <c r="K2676">
        <v>-1.085</v>
      </c>
      <c r="L2676">
        <v>1.8314999999999999</v>
      </c>
    </row>
    <row r="2677" spans="1:12" hidden="1" x14ac:dyDescent="0.25">
      <c r="A2677">
        <v>2330</v>
      </c>
      <c r="B2677" t="s">
        <v>11</v>
      </c>
      <c r="C2677" s="1">
        <v>42156</v>
      </c>
      <c r="D2677" s="2">
        <f t="shared" si="82"/>
        <v>1</v>
      </c>
      <c r="E2677" s="2">
        <f t="shared" si="83"/>
        <v>6</v>
      </c>
      <c r="F2677">
        <v>119.657</v>
      </c>
      <c r="G2677">
        <v>120.0682</v>
      </c>
      <c r="H2677">
        <v>118.4234</v>
      </c>
      <c r="I2677">
        <v>119.2458</v>
      </c>
      <c r="J2677">
        <v>31646</v>
      </c>
      <c r="K2677">
        <v>-0.68730000000000002</v>
      </c>
      <c r="L2677">
        <v>1.3889</v>
      </c>
    </row>
    <row r="2678" spans="1:12" x14ac:dyDescent="0.25">
      <c r="A2678">
        <v>2303</v>
      </c>
      <c r="B2678" t="s">
        <v>10</v>
      </c>
      <c r="C2678" s="1">
        <v>42157</v>
      </c>
      <c r="D2678" s="2">
        <f t="shared" si="82"/>
        <v>2</v>
      </c>
      <c r="E2678" s="2">
        <f t="shared" si="83"/>
        <v>6</v>
      </c>
      <c r="F2678">
        <v>11.184200000000001</v>
      </c>
      <c r="G2678">
        <v>11.3468</v>
      </c>
      <c r="H2678">
        <v>11.1028</v>
      </c>
      <c r="I2678">
        <v>11.1435</v>
      </c>
      <c r="J2678">
        <v>50359</v>
      </c>
      <c r="K2678">
        <v>-0.36430000000000001</v>
      </c>
      <c r="L2678">
        <v>2.1978</v>
      </c>
    </row>
    <row r="2679" spans="1:12" hidden="1" x14ac:dyDescent="0.25">
      <c r="A2679">
        <v>2330</v>
      </c>
      <c r="B2679" t="s">
        <v>11</v>
      </c>
      <c r="C2679" s="1">
        <v>42157</v>
      </c>
      <c r="D2679" s="2">
        <f t="shared" si="82"/>
        <v>2</v>
      </c>
      <c r="E2679" s="2">
        <f t="shared" si="83"/>
        <v>6</v>
      </c>
      <c r="F2679">
        <v>118.83459999999999</v>
      </c>
      <c r="G2679">
        <v>118.83459999999999</v>
      </c>
      <c r="H2679">
        <v>118.01220000000001</v>
      </c>
      <c r="I2679">
        <v>118.4234</v>
      </c>
      <c r="J2679">
        <v>33433</v>
      </c>
      <c r="K2679">
        <v>-0.69199999999999995</v>
      </c>
      <c r="L2679">
        <v>0.69689999999999996</v>
      </c>
    </row>
    <row r="2680" spans="1:12" x14ac:dyDescent="0.25">
      <c r="A2680">
        <v>2303</v>
      </c>
      <c r="B2680" t="s">
        <v>10</v>
      </c>
      <c r="C2680" s="1">
        <v>42158</v>
      </c>
      <c r="D2680" s="2">
        <f t="shared" si="82"/>
        <v>3</v>
      </c>
      <c r="E2680" s="2">
        <f t="shared" si="83"/>
        <v>6</v>
      </c>
      <c r="F2680">
        <v>11.184200000000001</v>
      </c>
      <c r="G2680">
        <v>11.3062</v>
      </c>
      <c r="H2680">
        <v>11.1435</v>
      </c>
      <c r="I2680">
        <v>11.2248</v>
      </c>
      <c r="J2680">
        <v>34671</v>
      </c>
      <c r="K2680">
        <v>0.72729999999999995</v>
      </c>
      <c r="L2680">
        <v>1.4599</v>
      </c>
    </row>
    <row r="2681" spans="1:12" hidden="1" x14ac:dyDescent="0.25">
      <c r="A2681">
        <v>2330</v>
      </c>
      <c r="B2681" t="s">
        <v>11</v>
      </c>
      <c r="C2681" s="1">
        <v>42158</v>
      </c>
      <c r="D2681" s="2">
        <f t="shared" si="82"/>
        <v>3</v>
      </c>
      <c r="E2681" s="2">
        <f t="shared" si="83"/>
        <v>6</v>
      </c>
      <c r="F2681">
        <v>118.01220000000001</v>
      </c>
      <c r="G2681">
        <v>118.83459999999999</v>
      </c>
      <c r="H2681">
        <v>117.6011</v>
      </c>
      <c r="I2681">
        <v>117.6011</v>
      </c>
      <c r="J2681">
        <v>30174</v>
      </c>
      <c r="K2681">
        <v>-0.69689999999999996</v>
      </c>
      <c r="L2681">
        <v>1.0489999999999999</v>
      </c>
    </row>
    <row r="2682" spans="1:12" x14ac:dyDescent="0.25">
      <c r="A2682">
        <v>2303</v>
      </c>
      <c r="B2682" t="s">
        <v>10</v>
      </c>
      <c r="C2682" s="1">
        <v>42159</v>
      </c>
      <c r="D2682" s="2">
        <f t="shared" si="82"/>
        <v>4</v>
      </c>
      <c r="E2682" s="2">
        <f t="shared" si="83"/>
        <v>6</v>
      </c>
      <c r="F2682">
        <v>11.1435</v>
      </c>
      <c r="G2682">
        <v>11.184200000000001</v>
      </c>
      <c r="H2682">
        <v>10.8995</v>
      </c>
      <c r="I2682">
        <v>10.940099999999999</v>
      </c>
      <c r="J2682">
        <v>67962</v>
      </c>
      <c r="K2682">
        <v>-2.5689000000000002</v>
      </c>
      <c r="L2682">
        <v>2.6118999999999999</v>
      </c>
    </row>
    <row r="2683" spans="1:12" hidden="1" x14ac:dyDescent="0.25">
      <c r="A2683">
        <v>2330</v>
      </c>
      <c r="B2683" t="s">
        <v>11</v>
      </c>
      <c r="C2683" s="1">
        <v>42159</v>
      </c>
      <c r="D2683" s="2">
        <f t="shared" si="82"/>
        <v>4</v>
      </c>
      <c r="E2683" s="2">
        <f t="shared" si="83"/>
        <v>6</v>
      </c>
      <c r="F2683">
        <v>116.7787</v>
      </c>
      <c r="G2683">
        <v>117.18989999999999</v>
      </c>
      <c r="H2683">
        <v>115.1339</v>
      </c>
      <c r="I2683">
        <v>115.9563</v>
      </c>
      <c r="J2683">
        <v>62313</v>
      </c>
      <c r="K2683">
        <v>-1.4085000000000001</v>
      </c>
      <c r="L2683">
        <v>1.7857000000000001</v>
      </c>
    </row>
    <row r="2684" spans="1:12" x14ac:dyDescent="0.25">
      <c r="A2684">
        <v>2303</v>
      </c>
      <c r="B2684" t="s">
        <v>10</v>
      </c>
      <c r="C2684" s="1">
        <v>42160</v>
      </c>
      <c r="D2684" s="2">
        <f t="shared" si="82"/>
        <v>5</v>
      </c>
      <c r="E2684" s="2">
        <f t="shared" si="83"/>
        <v>6</v>
      </c>
      <c r="F2684">
        <v>10.8995</v>
      </c>
      <c r="G2684">
        <v>11.062099999999999</v>
      </c>
      <c r="H2684">
        <v>10.8588</v>
      </c>
      <c r="I2684">
        <v>10.8588</v>
      </c>
      <c r="J2684">
        <v>46354</v>
      </c>
      <c r="K2684">
        <v>-0.74629999999999996</v>
      </c>
      <c r="L2684">
        <v>1.8727</v>
      </c>
    </row>
    <row r="2685" spans="1:12" hidden="1" x14ac:dyDescent="0.25">
      <c r="A2685">
        <v>2330</v>
      </c>
      <c r="B2685" t="s">
        <v>11</v>
      </c>
      <c r="C2685" s="1">
        <v>42160</v>
      </c>
      <c r="D2685" s="2">
        <f t="shared" si="82"/>
        <v>5</v>
      </c>
      <c r="E2685" s="2">
        <f t="shared" si="83"/>
        <v>6</v>
      </c>
      <c r="F2685">
        <v>114.7227</v>
      </c>
      <c r="G2685">
        <v>115.54510000000001</v>
      </c>
      <c r="H2685">
        <v>114.3115</v>
      </c>
      <c r="I2685">
        <v>115.1339</v>
      </c>
      <c r="J2685">
        <v>42846</v>
      </c>
      <c r="K2685">
        <v>-0.7117</v>
      </c>
      <c r="L2685">
        <v>1.0790999999999999</v>
      </c>
    </row>
    <row r="2686" spans="1:12" x14ac:dyDescent="0.25">
      <c r="A2686">
        <v>2303</v>
      </c>
      <c r="B2686" t="s">
        <v>10</v>
      </c>
      <c r="C2686" s="1">
        <v>42163</v>
      </c>
      <c r="D2686" s="2">
        <f t="shared" si="82"/>
        <v>1</v>
      </c>
      <c r="E2686" s="2">
        <f t="shared" si="83"/>
        <v>6</v>
      </c>
      <c r="F2686">
        <v>10.818099999999999</v>
      </c>
      <c r="G2686">
        <v>10.8995</v>
      </c>
      <c r="H2686">
        <v>10.696099999999999</v>
      </c>
      <c r="I2686">
        <v>10.736800000000001</v>
      </c>
      <c r="J2686">
        <v>53361</v>
      </c>
      <c r="K2686">
        <v>-1.1299999999999999</v>
      </c>
      <c r="L2686">
        <v>1.9011</v>
      </c>
    </row>
    <row r="2687" spans="1:12" hidden="1" x14ac:dyDescent="0.25">
      <c r="A2687">
        <v>2330</v>
      </c>
      <c r="B2687" t="s">
        <v>11</v>
      </c>
      <c r="C2687" s="1">
        <v>42163</v>
      </c>
      <c r="D2687" s="2">
        <f t="shared" si="82"/>
        <v>1</v>
      </c>
      <c r="E2687" s="2">
        <f t="shared" si="83"/>
        <v>6</v>
      </c>
      <c r="F2687">
        <v>114.7227</v>
      </c>
      <c r="G2687">
        <v>115.1339</v>
      </c>
      <c r="H2687">
        <v>113.9003</v>
      </c>
      <c r="I2687">
        <v>113.9003</v>
      </c>
      <c r="J2687">
        <v>45637</v>
      </c>
      <c r="K2687">
        <v>-1.0771999999999999</v>
      </c>
      <c r="L2687">
        <v>1.083</v>
      </c>
    </row>
    <row r="2688" spans="1:12" x14ac:dyDescent="0.25">
      <c r="A2688">
        <v>2303</v>
      </c>
      <c r="B2688" t="s">
        <v>10</v>
      </c>
      <c r="C2688" s="1">
        <v>42164</v>
      </c>
      <c r="D2688" s="2">
        <f t="shared" si="82"/>
        <v>2</v>
      </c>
      <c r="E2688" s="2">
        <f t="shared" si="83"/>
        <v>6</v>
      </c>
      <c r="F2688">
        <v>10.736800000000001</v>
      </c>
      <c r="G2688">
        <v>10.8995</v>
      </c>
      <c r="H2688">
        <v>10.5334</v>
      </c>
      <c r="I2688">
        <v>10.614800000000001</v>
      </c>
      <c r="J2688">
        <v>63214</v>
      </c>
      <c r="K2688">
        <v>-1.1429</v>
      </c>
      <c r="L2688">
        <v>3.4748999999999999</v>
      </c>
    </row>
    <row r="2689" spans="1:12" hidden="1" x14ac:dyDescent="0.25">
      <c r="A2689">
        <v>2330</v>
      </c>
      <c r="B2689" t="s">
        <v>11</v>
      </c>
      <c r="C2689" s="1">
        <v>42164</v>
      </c>
      <c r="D2689" s="2">
        <f t="shared" si="82"/>
        <v>2</v>
      </c>
      <c r="E2689" s="2">
        <f t="shared" si="83"/>
        <v>6</v>
      </c>
      <c r="F2689">
        <v>113.9003</v>
      </c>
      <c r="G2689">
        <v>115.1339</v>
      </c>
      <c r="H2689">
        <v>113.48909999999999</v>
      </c>
      <c r="I2689">
        <v>114.3115</v>
      </c>
      <c r="J2689">
        <v>31663</v>
      </c>
      <c r="K2689">
        <v>0.3604</v>
      </c>
      <c r="L2689">
        <v>1.4493</v>
      </c>
    </row>
    <row r="2690" spans="1:12" x14ac:dyDescent="0.25">
      <c r="A2690">
        <v>2303</v>
      </c>
      <c r="B2690" t="s">
        <v>10</v>
      </c>
      <c r="C2690" s="1">
        <v>42165</v>
      </c>
      <c r="D2690" s="2">
        <f t="shared" si="82"/>
        <v>3</v>
      </c>
      <c r="E2690" s="2">
        <f t="shared" si="83"/>
        <v>6</v>
      </c>
      <c r="F2690">
        <v>10.6554</v>
      </c>
      <c r="G2690">
        <v>10.7775</v>
      </c>
      <c r="H2690">
        <v>10.5741</v>
      </c>
      <c r="I2690">
        <v>10.7775</v>
      </c>
      <c r="J2690">
        <v>63506</v>
      </c>
      <c r="K2690">
        <v>1.5208999999999999</v>
      </c>
      <c r="L2690">
        <v>1.9231</v>
      </c>
    </row>
    <row r="2691" spans="1:12" hidden="1" x14ac:dyDescent="0.25">
      <c r="A2691">
        <v>2330</v>
      </c>
      <c r="B2691" t="s">
        <v>11</v>
      </c>
      <c r="C2691" s="1">
        <v>42165</v>
      </c>
      <c r="D2691" s="2">
        <f t="shared" ref="D2691:D2754" si="84">WEEKDAY(C2691,2)</f>
        <v>3</v>
      </c>
      <c r="E2691" s="2">
        <f t="shared" ref="E2691:E2754" si="85">MONTH(C2691)</f>
        <v>6</v>
      </c>
      <c r="F2691">
        <v>115.9563</v>
      </c>
      <c r="G2691">
        <v>116.36750000000001</v>
      </c>
      <c r="H2691">
        <v>114.7227</v>
      </c>
      <c r="I2691">
        <v>114.7227</v>
      </c>
      <c r="J2691">
        <v>37243</v>
      </c>
      <c r="K2691">
        <v>0.35909999999999997</v>
      </c>
      <c r="L2691">
        <v>1.4337</v>
      </c>
    </row>
    <row r="2692" spans="1:12" x14ac:dyDescent="0.25">
      <c r="A2692">
        <v>2303</v>
      </c>
      <c r="B2692" t="s">
        <v>10</v>
      </c>
      <c r="C2692" s="1">
        <v>42166</v>
      </c>
      <c r="D2692" s="2">
        <f t="shared" si="84"/>
        <v>4</v>
      </c>
      <c r="E2692" s="2">
        <f t="shared" si="85"/>
        <v>6</v>
      </c>
      <c r="F2692">
        <v>10.818099999999999</v>
      </c>
      <c r="G2692">
        <v>10.8588</v>
      </c>
      <c r="H2692">
        <v>10.614800000000001</v>
      </c>
      <c r="I2692">
        <v>10.6554</v>
      </c>
      <c r="J2692">
        <v>42714</v>
      </c>
      <c r="K2692">
        <v>-1.1385000000000001</v>
      </c>
      <c r="L2692">
        <v>2.2989000000000002</v>
      </c>
    </row>
    <row r="2693" spans="1:12" hidden="1" x14ac:dyDescent="0.25">
      <c r="A2693">
        <v>2330</v>
      </c>
      <c r="B2693" t="s">
        <v>11</v>
      </c>
      <c r="C2693" s="1">
        <v>42166</v>
      </c>
      <c r="D2693" s="2">
        <f t="shared" si="84"/>
        <v>4</v>
      </c>
      <c r="E2693" s="2">
        <f t="shared" si="85"/>
        <v>6</v>
      </c>
      <c r="F2693">
        <v>115.9563</v>
      </c>
      <c r="G2693">
        <v>118.4234</v>
      </c>
      <c r="H2693">
        <v>115.9563</v>
      </c>
      <c r="I2693">
        <v>118.01220000000001</v>
      </c>
      <c r="J2693">
        <v>46455</v>
      </c>
      <c r="K2693">
        <v>2.827</v>
      </c>
      <c r="L2693">
        <v>2.1276999999999999</v>
      </c>
    </row>
    <row r="2694" spans="1:12" x14ac:dyDescent="0.25">
      <c r="A2694">
        <v>2303</v>
      </c>
      <c r="B2694" t="s">
        <v>10</v>
      </c>
      <c r="C2694" s="1">
        <v>42167</v>
      </c>
      <c r="D2694" s="2">
        <f t="shared" si="84"/>
        <v>5</v>
      </c>
      <c r="E2694" s="2">
        <f t="shared" si="85"/>
        <v>6</v>
      </c>
      <c r="F2694">
        <v>10.6554</v>
      </c>
      <c r="G2694">
        <v>10.696099999999999</v>
      </c>
      <c r="H2694">
        <v>10.5741</v>
      </c>
      <c r="I2694">
        <v>10.6554</v>
      </c>
      <c r="J2694">
        <v>29999</v>
      </c>
      <c r="K2694">
        <v>0</v>
      </c>
      <c r="L2694">
        <v>1.1537999999999999</v>
      </c>
    </row>
    <row r="2695" spans="1:12" hidden="1" x14ac:dyDescent="0.25">
      <c r="A2695">
        <v>2330</v>
      </c>
      <c r="B2695" t="s">
        <v>11</v>
      </c>
      <c r="C2695" s="1">
        <v>42167</v>
      </c>
      <c r="D2695" s="2">
        <f t="shared" si="84"/>
        <v>5</v>
      </c>
      <c r="E2695" s="2">
        <f t="shared" si="85"/>
        <v>6</v>
      </c>
      <c r="F2695">
        <v>118.4234</v>
      </c>
      <c r="G2695">
        <v>118.83459999999999</v>
      </c>
      <c r="H2695">
        <v>117.18989999999999</v>
      </c>
      <c r="I2695">
        <v>118.83459999999999</v>
      </c>
      <c r="J2695">
        <v>35243</v>
      </c>
      <c r="K2695">
        <v>0.69440000000000002</v>
      </c>
      <c r="L2695">
        <v>1.4035</v>
      </c>
    </row>
    <row r="2696" spans="1:12" x14ac:dyDescent="0.25">
      <c r="A2696">
        <v>2303</v>
      </c>
      <c r="B2696" t="s">
        <v>10</v>
      </c>
      <c r="C2696" s="1">
        <v>42170</v>
      </c>
      <c r="D2696" s="2">
        <f t="shared" si="84"/>
        <v>1</v>
      </c>
      <c r="E2696" s="2">
        <f t="shared" si="85"/>
        <v>6</v>
      </c>
      <c r="F2696">
        <v>10.6554</v>
      </c>
      <c r="G2696">
        <v>10.736800000000001</v>
      </c>
      <c r="H2696">
        <v>10.614800000000001</v>
      </c>
      <c r="I2696">
        <v>10.736800000000001</v>
      </c>
      <c r="J2696">
        <v>34810</v>
      </c>
      <c r="K2696">
        <v>0.76049999999999995</v>
      </c>
      <c r="L2696">
        <v>1.1494</v>
      </c>
    </row>
    <row r="2697" spans="1:12" hidden="1" x14ac:dyDescent="0.25">
      <c r="A2697">
        <v>2330</v>
      </c>
      <c r="B2697" t="s">
        <v>11</v>
      </c>
      <c r="C2697" s="1">
        <v>42170</v>
      </c>
      <c r="D2697" s="2">
        <f t="shared" si="84"/>
        <v>1</v>
      </c>
      <c r="E2697" s="2">
        <f t="shared" si="85"/>
        <v>6</v>
      </c>
      <c r="F2697">
        <v>118.83459999999999</v>
      </c>
      <c r="G2697">
        <v>118.83459999999999</v>
      </c>
      <c r="H2697">
        <v>117.18989999999999</v>
      </c>
      <c r="I2697">
        <v>117.6011</v>
      </c>
      <c r="J2697">
        <v>23775</v>
      </c>
      <c r="K2697">
        <v>-1.0435000000000001</v>
      </c>
      <c r="L2697">
        <v>1.4035</v>
      </c>
    </row>
    <row r="2698" spans="1:12" x14ac:dyDescent="0.25">
      <c r="A2698">
        <v>2303</v>
      </c>
      <c r="B2698" t="s">
        <v>10</v>
      </c>
      <c r="C2698" s="1">
        <v>42171</v>
      </c>
      <c r="D2698" s="2">
        <f t="shared" si="84"/>
        <v>2</v>
      </c>
      <c r="E2698" s="2">
        <f t="shared" si="85"/>
        <v>6</v>
      </c>
      <c r="F2698">
        <v>10.6554</v>
      </c>
      <c r="G2698">
        <v>10.736800000000001</v>
      </c>
      <c r="H2698">
        <v>10.5741</v>
      </c>
      <c r="I2698">
        <v>10.5741</v>
      </c>
      <c r="J2698">
        <v>30732</v>
      </c>
      <c r="K2698">
        <v>-1.5266999999999999</v>
      </c>
      <c r="L2698">
        <v>1.5385</v>
      </c>
    </row>
    <row r="2699" spans="1:12" hidden="1" x14ac:dyDescent="0.25">
      <c r="A2699">
        <v>2330</v>
      </c>
      <c r="B2699" t="s">
        <v>11</v>
      </c>
      <c r="C2699" s="1">
        <v>42171</v>
      </c>
      <c r="D2699" s="2">
        <f t="shared" si="84"/>
        <v>2</v>
      </c>
      <c r="E2699" s="2">
        <f t="shared" si="85"/>
        <v>6</v>
      </c>
      <c r="F2699">
        <v>117.6011</v>
      </c>
      <c r="G2699">
        <v>117.6011</v>
      </c>
      <c r="H2699">
        <v>115.9563</v>
      </c>
      <c r="I2699">
        <v>116.7787</v>
      </c>
      <c r="J2699">
        <v>28696</v>
      </c>
      <c r="K2699">
        <v>-0.70179999999999998</v>
      </c>
      <c r="L2699">
        <v>1.4184000000000001</v>
      </c>
    </row>
    <row r="2700" spans="1:12" x14ac:dyDescent="0.25">
      <c r="A2700">
        <v>2303</v>
      </c>
      <c r="B2700" t="s">
        <v>10</v>
      </c>
      <c r="C2700" s="1">
        <v>42172</v>
      </c>
      <c r="D2700" s="2">
        <f t="shared" si="84"/>
        <v>3</v>
      </c>
      <c r="E2700" s="2">
        <f t="shared" si="85"/>
        <v>6</v>
      </c>
      <c r="F2700">
        <v>10.5741</v>
      </c>
      <c r="G2700">
        <v>10.6554</v>
      </c>
      <c r="H2700">
        <v>10.5334</v>
      </c>
      <c r="I2700">
        <v>10.5334</v>
      </c>
      <c r="J2700">
        <v>35422</v>
      </c>
      <c r="K2700">
        <v>-0.38540000000000002</v>
      </c>
      <c r="L2700">
        <v>1.1583000000000001</v>
      </c>
    </row>
    <row r="2701" spans="1:12" hidden="1" x14ac:dyDescent="0.25">
      <c r="A2701">
        <v>2330</v>
      </c>
      <c r="B2701" t="s">
        <v>11</v>
      </c>
      <c r="C2701" s="1">
        <v>42172</v>
      </c>
      <c r="D2701" s="2">
        <f t="shared" si="84"/>
        <v>3</v>
      </c>
      <c r="E2701" s="2">
        <f t="shared" si="85"/>
        <v>6</v>
      </c>
      <c r="F2701">
        <v>117.6011</v>
      </c>
      <c r="G2701">
        <v>118.01220000000001</v>
      </c>
      <c r="H2701">
        <v>116.7787</v>
      </c>
      <c r="I2701">
        <v>117.18989999999999</v>
      </c>
      <c r="J2701">
        <v>31675</v>
      </c>
      <c r="K2701">
        <v>0.35149999999999998</v>
      </c>
      <c r="L2701">
        <v>1.0563</v>
      </c>
    </row>
    <row r="2702" spans="1:12" x14ac:dyDescent="0.25">
      <c r="A2702">
        <v>2303</v>
      </c>
      <c r="B2702" t="s">
        <v>10</v>
      </c>
      <c r="C2702" s="1">
        <v>42173</v>
      </c>
      <c r="D2702" s="2">
        <f t="shared" si="84"/>
        <v>4</v>
      </c>
      <c r="E2702" s="2">
        <f t="shared" si="85"/>
        <v>6</v>
      </c>
      <c r="F2702">
        <v>10.5741</v>
      </c>
      <c r="G2702">
        <v>10.6554</v>
      </c>
      <c r="H2702">
        <v>10.5741</v>
      </c>
      <c r="I2702">
        <v>10.5741</v>
      </c>
      <c r="J2702">
        <v>32766</v>
      </c>
      <c r="K2702">
        <v>0.38540000000000002</v>
      </c>
      <c r="L2702">
        <v>0.76919999999999999</v>
      </c>
    </row>
    <row r="2703" spans="1:12" hidden="1" x14ac:dyDescent="0.25">
      <c r="A2703">
        <v>2330</v>
      </c>
      <c r="B2703" t="s">
        <v>11</v>
      </c>
      <c r="C2703" s="1">
        <v>42173</v>
      </c>
      <c r="D2703" s="2">
        <f t="shared" si="84"/>
        <v>4</v>
      </c>
      <c r="E2703" s="2">
        <f t="shared" si="85"/>
        <v>6</v>
      </c>
      <c r="F2703">
        <v>116.7787</v>
      </c>
      <c r="G2703">
        <v>117.6011</v>
      </c>
      <c r="H2703">
        <v>116.7787</v>
      </c>
      <c r="I2703">
        <v>116.7787</v>
      </c>
      <c r="J2703">
        <v>28627</v>
      </c>
      <c r="K2703">
        <v>-0.35149999999999998</v>
      </c>
      <c r="L2703">
        <v>0.70420000000000005</v>
      </c>
    </row>
    <row r="2704" spans="1:12" x14ac:dyDescent="0.25">
      <c r="A2704">
        <v>2303</v>
      </c>
      <c r="B2704" t="s">
        <v>10</v>
      </c>
      <c r="C2704" s="1">
        <v>42177</v>
      </c>
      <c r="D2704" s="2">
        <f t="shared" si="84"/>
        <v>1</v>
      </c>
      <c r="E2704" s="2">
        <f t="shared" si="85"/>
        <v>6</v>
      </c>
      <c r="F2704">
        <v>10.5741</v>
      </c>
      <c r="G2704">
        <v>10.7775</v>
      </c>
      <c r="H2704">
        <v>10.5741</v>
      </c>
      <c r="I2704">
        <v>10.696099999999999</v>
      </c>
      <c r="J2704">
        <v>50929</v>
      </c>
      <c r="K2704">
        <v>1.1472</v>
      </c>
      <c r="L2704">
        <v>1.9231</v>
      </c>
    </row>
    <row r="2705" spans="1:12" hidden="1" x14ac:dyDescent="0.25">
      <c r="A2705">
        <v>2330</v>
      </c>
      <c r="B2705" t="s">
        <v>11</v>
      </c>
      <c r="C2705" s="1">
        <v>42177</v>
      </c>
      <c r="D2705" s="2">
        <f t="shared" si="84"/>
        <v>1</v>
      </c>
      <c r="E2705" s="2">
        <f t="shared" si="85"/>
        <v>6</v>
      </c>
      <c r="F2705">
        <v>116.7787</v>
      </c>
      <c r="G2705">
        <v>118.01220000000001</v>
      </c>
      <c r="H2705">
        <v>116.7787</v>
      </c>
      <c r="I2705">
        <v>116.7787</v>
      </c>
      <c r="J2705">
        <v>29598</v>
      </c>
      <c r="K2705">
        <v>0</v>
      </c>
      <c r="L2705">
        <v>1.0563</v>
      </c>
    </row>
    <row r="2706" spans="1:12" x14ac:dyDescent="0.25">
      <c r="A2706">
        <v>2303</v>
      </c>
      <c r="B2706" t="s">
        <v>10</v>
      </c>
      <c r="C2706" s="1">
        <v>42178</v>
      </c>
      <c r="D2706" s="2">
        <f t="shared" si="84"/>
        <v>2</v>
      </c>
      <c r="E2706" s="2">
        <f t="shared" si="85"/>
        <v>6</v>
      </c>
      <c r="F2706">
        <v>10.7775</v>
      </c>
      <c r="G2706">
        <v>10.8588</v>
      </c>
      <c r="H2706">
        <v>10.736800000000001</v>
      </c>
      <c r="I2706">
        <v>10.818099999999999</v>
      </c>
      <c r="J2706">
        <v>39622</v>
      </c>
      <c r="K2706">
        <v>1.1342000000000001</v>
      </c>
      <c r="L2706">
        <v>1.1364000000000001</v>
      </c>
    </row>
    <row r="2707" spans="1:12" hidden="1" x14ac:dyDescent="0.25">
      <c r="A2707">
        <v>2330</v>
      </c>
      <c r="B2707" t="s">
        <v>11</v>
      </c>
      <c r="C2707" s="1">
        <v>42178</v>
      </c>
      <c r="D2707" s="2">
        <f t="shared" si="84"/>
        <v>2</v>
      </c>
      <c r="E2707" s="2">
        <f t="shared" si="85"/>
        <v>6</v>
      </c>
      <c r="F2707">
        <v>117.6011</v>
      </c>
      <c r="G2707">
        <v>119.2458</v>
      </c>
      <c r="H2707">
        <v>117.18989999999999</v>
      </c>
      <c r="I2707">
        <v>118.83459999999999</v>
      </c>
      <c r="J2707">
        <v>37809</v>
      </c>
      <c r="K2707">
        <v>1.7452000000000001</v>
      </c>
      <c r="L2707">
        <v>1.7544</v>
      </c>
    </row>
    <row r="2708" spans="1:12" x14ac:dyDescent="0.25">
      <c r="A2708">
        <v>2303</v>
      </c>
      <c r="B2708" t="s">
        <v>10</v>
      </c>
      <c r="C2708" s="1">
        <v>42179</v>
      </c>
      <c r="D2708" s="2">
        <f t="shared" si="84"/>
        <v>3</v>
      </c>
      <c r="E2708" s="2">
        <f t="shared" si="85"/>
        <v>6</v>
      </c>
      <c r="F2708">
        <v>10.818099999999999</v>
      </c>
      <c r="G2708">
        <v>10.8588</v>
      </c>
      <c r="H2708">
        <v>10.696099999999999</v>
      </c>
      <c r="I2708">
        <v>10.7775</v>
      </c>
      <c r="J2708">
        <v>24119</v>
      </c>
      <c r="K2708">
        <v>-0.37659999999999999</v>
      </c>
      <c r="L2708">
        <v>1.5208999999999999</v>
      </c>
    </row>
    <row r="2709" spans="1:12" hidden="1" x14ac:dyDescent="0.25">
      <c r="A2709">
        <v>2330</v>
      </c>
      <c r="B2709" t="s">
        <v>11</v>
      </c>
      <c r="C2709" s="1">
        <v>42179</v>
      </c>
      <c r="D2709" s="2">
        <f t="shared" si="84"/>
        <v>3</v>
      </c>
      <c r="E2709" s="2">
        <f t="shared" si="85"/>
        <v>6</v>
      </c>
      <c r="F2709">
        <v>118.83459999999999</v>
      </c>
      <c r="G2709">
        <v>119.2458</v>
      </c>
      <c r="H2709">
        <v>118.01220000000001</v>
      </c>
      <c r="I2709">
        <v>119.2458</v>
      </c>
      <c r="J2709">
        <v>21134</v>
      </c>
      <c r="K2709">
        <v>0.34539999999999998</v>
      </c>
      <c r="L2709">
        <v>1.0452999999999999</v>
      </c>
    </row>
    <row r="2710" spans="1:12" x14ac:dyDescent="0.25">
      <c r="A2710">
        <v>2303</v>
      </c>
      <c r="B2710" t="s">
        <v>10</v>
      </c>
      <c r="C2710" s="1">
        <v>42180</v>
      </c>
      <c r="D2710" s="2">
        <f t="shared" si="84"/>
        <v>4</v>
      </c>
      <c r="E2710" s="2">
        <f t="shared" si="85"/>
        <v>6</v>
      </c>
      <c r="F2710">
        <v>10.8588</v>
      </c>
      <c r="G2710">
        <v>11.0215</v>
      </c>
      <c r="H2710">
        <v>10.7775</v>
      </c>
      <c r="I2710">
        <v>11.0215</v>
      </c>
      <c r="J2710">
        <v>59134</v>
      </c>
      <c r="K2710">
        <v>2.2389000000000001</v>
      </c>
      <c r="L2710">
        <v>2.2642000000000002</v>
      </c>
    </row>
    <row r="2711" spans="1:12" hidden="1" x14ac:dyDescent="0.25">
      <c r="A2711">
        <v>2330</v>
      </c>
      <c r="B2711" t="s">
        <v>11</v>
      </c>
      <c r="C2711" s="1">
        <v>42180</v>
      </c>
      <c r="D2711" s="2">
        <f t="shared" si="84"/>
        <v>4</v>
      </c>
      <c r="E2711" s="2">
        <f t="shared" si="85"/>
        <v>6</v>
      </c>
      <c r="F2711">
        <v>119.2458</v>
      </c>
      <c r="G2711">
        <v>120.89060000000001</v>
      </c>
      <c r="H2711">
        <v>119.2458</v>
      </c>
      <c r="I2711">
        <v>120.4794</v>
      </c>
      <c r="J2711">
        <v>45571</v>
      </c>
      <c r="K2711">
        <v>1.0291999999999999</v>
      </c>
      <c r="L2711">
        <v>1.3793</v>
      </c>
    </row>
    <row r="2712" spans="1:12" x14ac:dyDescent="0.25">
      <c r="A2712">
        <v>2303</v>
      </c>
      <c r="B2712" t="s">
        <v>10</v>
      </c>
      <c r="C2712" s="1">
        <v>42181</v>
      </c>
      <c r="D2712" s="2">
        <f t="shared" si="84"/>
        <v>5</v>
      </c>
      <c r="E2712" s="2">
        <f t="shared" si="85"/>
        <v>6</v>
      </c>
      <c r="F2712">
        <v>10.9808</v>
      </c>
      <c r="G2712">
        <v>11.0215</v>
      </c>
      <c r="H2712">
        <v>10.7775</v>
      </c>
      <c r="I2712">
        <v>10.7775</v>
      </c>
      <c r="J2712">
        <v>48728</v>
      </c>
      <c r="K2712">
        <v>-2.2389000000000001</v>
      </c>
      <c r="L2712">
        <v>2.2642000000000002</v>
      </c>
    </row>
    <row r="2713" spans="1:12" hidden="1" x14ac:dyDescent="0.25">
      <c r="A2713">
        <v>2330</v>
      </c>
      <c r="B2713" t="s">
        <v>11</v>
      </c>
      <c r="C2713" s="1">
        <v>42181</v>
      </c>
      <c r="D2713" s="2">
        <f t="shared" si="84"/>
        <v>5</v>
      </c>
      <c r="E2713" s="2">
        <f t="shared" si="85"/>
        <v>6</v>
      </c>
      <c r="F2713">
        <v>120.89060000000001</v>
      </c>
      <c r="G2713">
        <v>121.3018</v>
      </c>
      <c r="H2713">
        <v>119.657</v>
      </c>
      <c r="I2713">
        <v>120.0682</v>
      </c>
      <c r="J2713">
        <v>34170</v>
      </c>
      <c r="K2713">
        <v>-0.34189999999999998</v>
      </c>
      <c r="L2713">
        <v>1.3746</v>
      </c>
    </row>
    <row r="2714" spans="1:12" x14ac:dyDescent="0.25">
      <c r="A2714">
        <v>2303</v>
      </c>
      <c r="B2714" t="s">
        <v>10</v>
      </c>
      <c r="C2714" s="1">
        <v>42184</v>
      </c>
      <c r="D2714" s="2">
        <f t="shared" si="84"/>
        <v>1</v>
      </c>
      <c r="E2714" s="2">
        <f t="shared" si="85"/>
        <v>6</v>
      </c>
      <c r="F2714">
        <v>10.614800000000001</v>
      </c>
      <c r="G2714">
        <v>10.6554</v>
      </c>
      <c r="H2714">
        <v>10.4114</v>
      </c>
      <c r="I2714">
        <v>10.4521</v>
      </c>
      <c r="J2714">
        <v>66205</v>
      </c>
      <c r="K2714">
        <v>-3.0653999999999999</v>
      </c>
      <c r="L2714">
        <v>2.3437999999999999</v>
      </c>
    </row>
    <row r="2715" spans="1:12" hidden="1" x14ac:dyDescent="0.25">
      <c r="A2715">
        <v>2330</v>
      </c>
      <c r="B2715" t="s">
        <v>11</v>
      </c>
      <c r="C2715" s="1">
        <v>42184</v>
      </c>
      <c r="D2715" s="2">
        <f t="shared" si="84"/>
        <v>1</v>
      </c>
      <c r="E2715" s="2">
        <f t="shared" si="85"/>
        <v>6</v>
      </c>
      <c r="F2715">
        <v>119.2196</v>
      </c>
      <c r="G2715">
        <v>119.6439</v>
      </c>
      <c r="H2715">
        <v>117.52249999999999</v>
      </c>
      <c r="I2715">
        <v>117.52249999999999</v>
      </c>
      <c r="J2715">
        <v>53096</v>
      </c>
      <c r="K2715">
        <v>-2.0762999999999998</v>
      </c>
      <c r="L2715">
        <v>1.8050999999999999</v>
      </c>
    </row>
    <row r="2716" spans="1:12" x14ac:dyDescent="0.25">
      <c r="A2716">
        <v>2303</v>
      </c>
      <c r="B2716" t="s">
        <v>10</v>
      </c>
      <c r="C2716" s="1">
        <v>42185</v>
      </c>
      <c r="D2716" s="2">
        <f t="shared" si="84"/>
        <v>2</v>
      </c>
      <c r="E2716" s="2">
        <f t="shared" si="85"/>
        <v>6</v>
      </c>
      <c r="F2716">
        <v>10.4521</v>
      </c>
      <c r="G2716">
        <v>10.6554</v>
      </c>
      <c r="H2716">
        <v>10.4114</v>
      </c>
      <c r="I2716">
        <v>10.614800000000001</v>
      </c>
      <c r="J2716">
        <v>52214</v>
      </c>
      <c r="K2716">
        <v>1.5444</v>
      </c>
      <c r="L2716">
        <v>2.3437999999999999</v>
      </c>
    </row>
    <row r="2717" spans="1:12" hidden="1" x14ac:dyDescent="0.25">
      <c r="A2717">
        <v>2330</v>
      </c>
      <c r="B2717" t="s">
        <v>11</v>
      </c>
      <c r="C2717" s="1">
        <v>42185</v>
      </c>
      <c r="D2717" s="2">
        <f t="shared" si="84"/>
        <v>2</v>
      </c>
      <c r="E2717" s="2">
        <f t="shared" si="85"/>
        <v>6</v>
      </c>
      <c r="F2717">
        <v>117.9468</v>
      </c>
      <c r="G2717">
        <v>119.2196</v>
      </c>
      <c r="H2717">
        <v>117.52249999999999</v>
      </c>
      <c r="I2717">
        <v>119.2196</v>
      </c>
      <c r="J2717">
        <v>45375</v>
      </c>
      <c r="K2717">
        <v>1.4337</v>
      </c>
      <c r="L2717">
        <v>1.444</v>
      </c>
    </row>
    <row r="2718" spans="1:12" x14ac:dyDescent="0.25">
      <c r="A2718">
        <v>2303</v>
      </c>
      <c r="B2718" t="s">
        <v>10</v>
      </c>
      <c r="C2718" s="1">
        <v>42186</v>
      </c>
      <c r="D2718" s="2">
        <f t="shared" si="84"/>
        <v>3</v>
      </c>
      <c r="E2718" s="2">
        <f t="shared" si="85"/>
        <v>7</v>
      </c>
      <c r="F2718">
        <v>10.6554</v>
      </c>
      <c r="G2718">
        <v>10.818099999999999</v>
      </c>
      <c r="H2718">
        <v>10.614800000000001</v>
      </c>
      <c r="I2718">
        <v>10.7775</v>
      </c>
      <c r="J2718">
        <v>38562</v>
      </c>
      <c r="K2718">
        <v>1.5208999999999999</v>
      </c>
      <c r="L2718">
        <v>1.9157</v>
      </c>
    </row>
    <row r="2719" spans="1:12" hidden="1" x14ac:dyDescent="0.25">
      <c r="A2719">
        <v>2330</v>
      </c>
      <c r="B2719" t="s">
        <v>11</v>
      </c>
      <c r="C2719" s="1">
        <v>42186</v>
      </c>
      <c r="D2719" s="2">
        <f t="shared" si="84"/>
        <v>3</v>
      </c>
      <c r="E2719" s="2">
        <f t="shared" si="85"/>
        <v>7</v>
      </c>
      <c r="F2719">
        <v>118.7953</v>
      </c>
      <c r="G2719">
        <v>120.91670000000001</v>
      </c>
      <c r="H2719">
        <v>117.9468</v>
      </c>
      <c r="I2719">
        <v>119.6439</v>
      </c>
      <c r="J2719">
        <v>33330</v>
      </c>
      <c r="K2719">
        <v>0.35520000000000002</v>
      </c>
      <c r="L2719">
        <v>2.5179999999999998</v>
      </c>
    </row>
    <row r="2720" spans="1:12" x14ac:dyDescent="0.25">
      <c r="A2720">
        <v>2303</v>
      </c>
      <c r="B2720" t="s">
        <v>10</v>
      </c>
      <c r="C2720" s="1">
        <v>42187</v>
      </c>
      <c r="D2720" s="2">
        <f t="shared" si="84"/>
        <v>4</v>
      </c>
      <c r="E2720" s="2">
        <f t="shared" si="85"/>
        <v>7</v>
      </c>
      <c r="F2720">
        <v>10.696099999999999</v>
      </c>
      <c r="G2720">
        <v>10.818099999999999</v>
      </c>
      <c r="H2720">
        <v>10.696099999999999</v>
      </c>
      <c r="I2720">
        <v>10.696099999999999</v>
      </c>
      <c r="J2720">
        <v>43922</v>
      </c>
      <c r="K2720">
        <v>-0.75760000000000005</v>
      </c>
      <c r="L2720">
        <v>1.1407</v>
      </c>
    </row>
    <row r="2721" spans="1:12" hidden="1" x14ac:dyDescent="0.25">
      <c r="A2721">
        <v>2330</v>
      </c>
      <c r="B2721" t="s">
        <v>11</v>
      </c>
      <c r="C2721" s="1">
        <v>42187</v>
      </c>
      <c r="D2721" s="2">
        <f t="shared" si="84"/>
        <v>4</v>
      </c>
      <c r="E2721" s="2">
        <f t="shared" si="85"/>
        <v>7</v>
      </c>
      <c r="F2721">
        <v>119.2196</v>
      </c>
      <c r="G2721">
        <v>120.4924</v>
      </c>
      <c r="H2721">
        <v>119.2196</v>
      </c>
      <c r="I2721">
        <v>120.0681</v>
      </c>
      <c r="J2721">
        <v>24309</v>
      </c>
      <c r="K2721">
        <v>0.35399999999999998</v>
      </c>
      <c r="L2721">
        <v>1.0676000000000001</v>
      </c>
    </row>
    <row r="2722" spans="1:12" x14ac:dyDescent="0.25">
      <c r="A2722">
        <v>2303</v>
      </c>
      <c r="B2722" t="s">
        <v>10</v>
      </c>
      <c r="C2722" s="1">
        <v>42188</v>
      </c>
      <c r="D2722" s="2">
        <f t="shared" si="84"/>
        <v>5</v>
      </c>
      <c r="E2722" s="2">
        <f t="shared" si="85"/>
        <v>7</v>
      </c>
      <c r="F2722">
        <v>10.736800000000001</v>
      </c>
      <c r="G2722">
        <v>10.818099999999999</v>
      </c>
      <c r="H2722">
        <v>10.696099999999999</v>
      </c>
      <c r="I2722">
        <v>10.818099999999999</v>
      </c>
      <c r="J2722">
        <v>25399</v>
      </c>
      <c r="K2722">
        <v>1.1342000000000001</v>
      </c>
      <c r="L2722">
        <v>1.1407</v>
      </c>
    </row>
    <row r="2723" spans="1:12" hidden="1" x14ac:dyDescent="0.25">
      <c r="A2723">
        <v>2330</v>
      </c>
      <c r="B2723" t="s">
        <v>11</v>
      </c>
      <c r="C2723" s="1">
        <v>42188</v>
      </c>
      <c r="D2723" s="2">
        <f t="shared" si="84"/>
        <v>5</v>
      </c>
      <c r="E2723" s="2">
        <f t="shared" si="85"/>
        <v>7</v>
      </c>
      <c r="F2723">
        <v>120.0681</v>
      </c>
      <c r="G2723">
        <v>120.91670000000001</v>
      </c>
      <c r="H2723">
        <v>118.7953</v>
      </c>
      <c r="I2723">
        <v>120.91670000000001</v>
      </c>
      <c r="J2723">
        <v>17091</v>
      </c>
      <c r="K2723">
        <v>0.70420000000000005</v>
      </c>
      <c r="L2723">
        <v>1.7857000000000001</v>
      </c>
    </row>
    <row r="2724" spans="1:12" x14ac:dyDescent="0.25">
      <c r="A2724">
        <v>2303</v>
      </c>
      <c r="B2724" t="s">
        <v>10</v>
      </c>
      <c r="C2724" s="1">
        <v>42191</v>
      </c>
      <c r="D2724" s="2">
        <f t="shared" si="84"/>
        <v>1</v>
      </c>
      <c r="E2724" s="2">
        <f t="shared" si="85"/>
        <v>7</v>
      </c>
      <c r="F2724">
        <v>10.736800000000001</v>
      </c>
      <c r="G2724">
        <v>10.818099999999999</v>
      </c>
      <c r="H2724">
        <v>10.5741</v>
      </c>
      <c r="I2724">
        <v>10.614800000000001</v>
      </c>
      <c r="J2724">
        <v>39231</v>
      </c>
      <c r="K2724">
        <v>-1.8976</v>
      </c>
      <c r="L2724">
        <v>2.3077000000000001</v>
      </c>
    </row>
    <row r="2725" spans="1:12" hidden="1" x14ac:dyDescent="0.25">
      <c r="A2725">
        <v>2330</v>
      </c>
      <c r="B2725" t="s">
        <v>11</v>
      </c>
      <c r="C2725" s="1">
        <v>42191</v>
      </c>
      <c r="D2725" s="2">
        <f t="shared" si="84"/>
        <v>1</v>
      </c>
      <c r="E2725" s="2">
        <f t="shared" si="85"/>
        <v>7</v>
      </c>
      <c r="F2725">
        <v>119.6439</v>
      </c>
      <c r="G2725">
        <v>120.0681</v>
      </c>
      <c r="H2725">
        <v>119.2196</v>
      </c>
      <c r="I2725">
        <v>119.2196</v>
      </c>
      <c r="J2725">
        <v>20683</v>
      </c>
      <c r="K2725">
        <v>-1.4135</v>
      </c>
      <c r="L2725">
        <v>0.7117</v>
      </c>
    </row>
    <row r="2726" spans="1:12" x14ac:dyDescent="0.25">
      <c r="A2726">
        <v>2303</v>
      </c>
      <c r="B2726" t="s">
        <v>10</v>
      </c>
      <c r="C2726" s="1">
        <v>42192</v>
      </c>
      <c r="D2726" s="2">
        <f t="shared" si="84"/>
        <v>2</v>
      </c>
      <c r="E2726" s="2">
        <f t="shared" si="85"/>
        <v>7</v>
      </c>
      <c r="F2726">
        <v>10.614800000000001</v>
      </c>
      <c r="G2726">
        <v>10.736800000000001</v>
      </c>
      <c r="H2726">
        <v>10.492800000000001</v>
      </c>
      <c r="I2726">
        <v>10.492800000000001</v>
      </c>
      <c r="J2726">
        <v>51268</v>
      </c>
      <c r="K2726">
        <v>-1.1560999999999999</v>
      </c>
      <c r="L2726">
        <v>2.3256000000000001</v>
      </c>
    </row>
    <row r="2727" spans="1:12" hidden="1" x14ac:dyDescent="0.25">
      <c r="A2727">
        <v>2330</v>
      </c>
      <c r="B2727" t="s">
        <v>11</v>
      </c>
      <c r="C2727" s="1">
        <v>42192</v>
      </c>
      <c r="D2727" s="2">
        <f t="shared" si="84"/>
        <v>2</v>
      </c>
      <c r="E2727" s="2">
        <f t="shared" si="85"/>
        <v>7</v>
      </c>
      <c r="F2727">
        <v>119.6439</v>
      </c>
      <c r="G2727">
        <v>120.4924</v>
      </c>
      <c r="H2727">
        <v>119.2196</v>
      </c>
      <c r="I2727">
        <v>119.2196</v>
      </c>
      <c r="J2727">
        <v>26545</v>
      </c>
      <c r="K2727">
        <v>0</v>
      </c>
      <c r="L2727">
        <v>1.0676000000000001</v>
      </c>
    </row>
    <row r="2728" spans="1:12" x14ac:dyDescent="0.25">
      <c r="A2728">
        <v>2303</v>
      </c>
      <c r="B2728" t="s">
        <v>10</v>
      </c>
      <c r="C2728" s="1">
        <v>42193</v>
      </c>
      <c r="D2728" s="2">
        <f t="shared" si="84"/>
        <v>3</v>
      </c>
      <c r="E2728" s="2">
        <f t="shared" si="85"/>
        <v>7</v>
      </c>
      <c r="F2728">
        <v>10.4521</v>
      </c>
      <c r="G2728">
        <v>10.492800000000001</v>
      </c>
      <c r="H2728">
        <v>10.0047</v>
      </c>
      <c r="I2728">
        <v>10.0861</v>
      </c>
      <c r="J2728">
        <v>102642</v>
      </c>
      <c r="K2728">
        <v>-3.9531000000000001</v>
      </c>
      <c r="L2728">
        <v>4.8780000000000001</v>
      </c>
    </row>
    <row r="2729" spans="1:12" hidden="1" x14ac:dyDescent="0.25">
      <c r="A2729">
        <v>2330</v>
      </c>
      <c r="B2729" t="s">
        <v>11</v>
      </c>
      <c r="C2729" s="1">
        <v>42193</v>
      </c>
      <c r="D2729" s="2">
        <f t="shared" si="84"/>
        <v>3</v>
      </c>
      <c r="E2729" s="2">
        <f t="shared" si="85"/>
        <v>7</v>
      </c>
      <c r="F2729">
        <v>119.2196</v>
      </c>
      <c r="G2729">
        <v>119.6439</v>
      </c>
      <c r="H2729">
        <v>117.09820000000001</v>
      </c>
      <c r="I2729">
        <v>117.09820000000001</v>
      </c>
      <c r="J2729">
        <v>52066</v>
      </c>
      <c r="K2729">
        <v>-1.7954000000000001</v>
      </c>
      <c r="L2729">
        <v>2.1739000000000002</v>
      </c>
    </row>
    <row r="2730" spans="1:12" x14ac:dyDescent="0.25">
      <c r="A2730">
        <v>2303</v>
      </c>
      <c r="B2730" t="s">
        <v>10</v>
      </c>
      <c r="C2730" s="1">
        <v>42194</v>
      </c>
      <c r="D2730" s="2">
        <f t="shared" si="84"/>
        <v>4</v>
      </c>
      <c r="E2730" s="2">
        <f t="shared" si="85"/>
        <v>7</v>
      </c>
      <c r="F2730">
        <v>9.9641000000000002</v>
      </c>
      <c r="G2730">
        <v>10.167400000000001</v>
      </c>
      <c r="H2730">
        <v>9.8013999999999992</v>
      </c>
      <c r="I2730">
        <v>10.1267</v>
      </c>
      <c r="J2730">
        <v>57784</v>
      </c>
      <c r="K2730">
        <v>0.40239999999999998</v>
      </c>
      <c r="L2730">
        <v>3.7343999999999999</v>
      </c>
    </row>
    <row r="2731" spans="1:12" hidden="1" x14ac:dyDescent="0.25">
      <c r="A2731">
        <v>2330</v>
      </c>
      <c r="B2731" t="s">
        <v>11</v>
      </c>
      <c r="C2731" s="1">
        <v>42194</v>
      </c>
      <c r="D2731" s="2">
        <f t="shared" si="84"/>
        <v>4</v>
      </c>
      <c r="E2731" s="2">
        <f t="shared" si="85"/>
        <v>7</v>
      </c>
      <c r="F2731">
        <v>113.7041</v>
      </c>
      <c r="G2731">
        <v>117.09820000000001</v>
      </c>
      <c r="H2731">
        <v>113.7041</v>
      </c>
      <c r="I2731">
        <v>115.8254</v>
      </c>
      <c r="J2731">
        <v>53784</v>
      </c>
      <c r="K2731">
        <v>-1.0929</v>
      </c>
      <c r="L2731">
        <v>2.9851000000000001</v>
      </c>
    </row>
    <row r="2732" spans="1:12" x14ac:dyDescent="0.25">
      <c r="A2732">
        <v>2303</v>
      </c>
      <c r="B2732" t="s">
        <v>10</v>
      </c>
      <c r="C2732" s="1">
        <v>42198</v>
      </c>
      <c r="D2732" s="2">
        <f t="shared" si="84"/>
        <v>1</v>
      </c>
      <c r="E2732" s="2">
        <f t="shared" si="85"/>
        <v>7</v>
      </c>
      <c r="F2732">
        <v>10.167400000000001</v>
      </c>
      <c r="G2732">
        <v>10.248799999999999</v>
      </c>
      <c r="H2732">
        <v>10.167400000000001</v>
      </c>
      <c r="I2732">
        <v>10.2081</v>
      </c>
      <c r="J2732">
        <v>100128</v>
      </c>
      <c r="K2732">
        <v>0.8</v>
      </c>
      <c r="L2732">
        <v>0.8</v>
      </c>
    </row>
    <row r="2733" spans="1:12" hidden="1" x14ac:dyDescent="0.25">
      <c r="A2733">
        <v>2330</v>
      </c>
      <c r="B2733" t="s">
        <v>11</v>
      </c>
      <c r="C2733" s="1">
        <v>42198</v>
      </c>
      <c r="D2733" s="2">
        <f t="shared" si="84"/>
        <v>1</v>
      </c>
      <c r="E2733" s="2">
        <f t="shared" si="85"/>
        <v>7</v>
      </c>
      <c r="F2733">
        <v>116.2497</v>
      </c>
      <c r="G2733">
        <v>118.3711</v>
      </c>
      <c r="H2733">
        <v>116.2497</v>
      </c>
      <c r="I2733">
        <v>117.52249999999999</v>
      </c>
      <c r="J2733">
        <v>35404</v>
      </c>
      <c r="K2733">
        <v>1.4545999999999999</v>
      </c>
      <c r="L2733">
        <v>1.8248</v>
      </c>
    </row>
    <row r="2734" spans="1:12" x14ac:dyDescent="0.25">
      <c r="A2734">
        <v>2303</v>
      </c>
      <c r="B2734" t="s">
        <v>10</v>
      </c>
      <c r="C2734" s="1">
        <v>42199</v>
      </c>
      <c r="D2734" s="2">
        <f t="shared" si="84"/>
        <v>2</v>
      </c>
      <c r="E2734" s="2">
        <f t="shared" si="85"/>
        <v>7</v>
      </c>
      <c r="F2734">
        <v>10.378</v>
      </c>
      <c r="G2734">
        <v>10.505599999999999</v>
      </c>
      <c r="H2734">
        <v>10.3354</v>
      </c>
      <c r="I2734">
        <v>10.3354</v>
      </c>
      <c r="J2734">
        <v>56661</v>
      </c>
      <c r="K2734">
        <v>1.1857</v>
      </c>
      <c r="L2734">
        <v>1.6460999999999999</v>
      </c>
    </row>
    <row r="2735" spans="1:12" hidden="1" x14ac:dyDescent="0.25">
      <c r="A2735">
        <v>2330</v>
      </c>
      <c r="B2735" t="s">
        <v>11</v>
      </c>
      <c r="C2735" s="1">
        <v>42199</v>
      </c>
      <c r="D2735" s="2">
        <f t="shared" si="84"/>
        <v>2</v>
      </c>
      <c r="E2735" s="2">
        <f t="shared" si="85"/>
        <v>7</v>
      </c>
      <c r="F2735">
        <v>118.3711</v>
      </c>
      <c r="G2735">
        <v>119.2196</v>
      </c>
      <c r="H2735">
        <v>117.09820000000001</v>
      </c>
      <c r="I2735">
        <v>117.52249999999999</v>
      </c>
      <c r="J2735">
        <v>27574</v>
      </c>
      <c r="K2735">
        <v>0</v>
      </c>
      <c r="L2735">
        <v>1.8116000000000001</v>
      </c>
    </row>
    <row r="2736" spans="1:12" x14ac:dyDescent="0.25">
      <c r="A2736">
        <v>2303</v>
      </c>
      <c r="B2736" t="s">
        <v>10</v>
      </c>
      <c r="C2736" s="1">
        <v>42200</v>
      </c>
      <c r="D2736" s="2">
        <f t="shared" si="84"/>
        <v>3</v>
      </c>
      <c r="E2736" s="2">
        <f t="shared" si="85"/>
        <v>7</v>
      </c>
      <c r="F2736">
        <v>10.462999999999999</v>
      </c>
      <c r="G2736">
        <v>10.462999999999999</v>
      </c>
      <c r="H2736">
        <v>10.292899999999999</v>
      </c>
      <c r="I2736">
        <v>10.378</v>
      </c>
      <c r="J2736">
        <v>54716</v>
      </c>
      <c r="K2736">
        <v>0.41070000000000001</v>
      </c>
      <c r="L2736">
        <v>1.6529</v>
      </c>
    </row>
    <row r="2737" spans="1:12" hidden="1" x14ac:dyDescent="0.25">
      <c r="A2737">
        <v>2330</v>
      </c>
      <c r="B2737" t="s">
        <v>11</v>
      </c>
      <c r="C2737" s="1">
        <v>42200</v>
      </c>
      <c r="D2737" s="2">
        <f t="shared" si="84"/>
        <v>3</v>
      </c>
      <c r="E2737" s="2">
        <f t="shared" si="85"/>
        <v>7</v>
      </c>
      <c r="F2737">
        <v>117.9468</v>
      </c>
      <c r="G2737">
        <v>118.3711</v>
      </c>
      <c r="H2737">
        <v>117.09820000000001</v>
      </c>
      <c r="I2737">
        <v>117.52249999999999</v>
      </c>
      <c r="J2737">
        <v>23485</v>
      </c>
      <c r="K2737">
        <v>0</v>
      </c>
      <c r="L2737">
        <v>1.087</v>
      </c>
    </row>
    <row r="2738" spans="1:12" x14ac:dyDescent="0.25">
      <c r="A2738">
        <v>2303</v>
      </c>
      <c r="B2738" t="s">
        <v>10</v>
      </c>
      <c r="C2738" s="1">
        <v>42201</v>
      </c>
      <c r="D2738" s="2">
        <f t="shared" si="84"/>
        <v>4</v>
      </c>
      <c r="E2738" s="2">
        <f t="shared" si="85"/>
        <v>7</v>
      </c>
      <c r="F2738">
        <v>10.462999999999999</v>
      </c>
      <c r="G2738">
        <v>10.505599999999999</v>
      </c>
      <c r="H2738">
        <v>10.3354</v>
      </c>
      <c r="I2738">
        <v>10.378</v>
      </c>
      <c r="J2738">
        <v>28888</v>
      </c>
      <c r="K2738">
        <v>0</v>
      </c>
      <c r="L2738">
        <v>1.6460999999999999</v>
      </c>
    </row>
    <row r="2739" spans="1:12" hidden="1" x14ac:dyDescent="0.25">
      <c r="A2739">
        <v>2330</v>
      </c>
      <c r="B2739" t="s">
        <v>11</v>
      </c>
      <c r="C2739" s="1">
        <v>42201</v>
      </c>
      <c r="D2739" s="2">
        <f t="shared" si="84"/>
        <v>4</v>
      </c>
      <c r="E2739" s="2">
        <f t="shared" si="85"/>
        <v>7</v>
      </c>
      <c r="F2739">
        <v>118.7953</v>
      </c>
      <c r="G2739">
        <v>118.7953</v>
      </c>
      <c r="H2739">
        <v>114.9769</v>
      </c>
      <c r="I2739">
        <v>115.8254</v>
      </c>
      <c r="J2739">
        <v>37250</v>
      </c>
      <c r="K2739">
        <v>-1.4545999999999999</v>
      </c>
      <c r="L2739">
        <v>3.3210000000000002</v>
      </c>
    </row>
    <row r="2740" spans="1:12" x14ac:dyDescent="0.25">
      <c r="A2740">
        <v>2303</v>
      </c>
      <c r="B2740" t="s">
        <v>10</v>
      </c>
      <c r="C2740" s="1">
        <v>42202</v>
      </c>
      <c r="D2740" s="2">
        <f t="shared" si="84"/>
        <v>5</v>
      </c>
      <c r="E2740" s="2">
        <f t="shared" si="85"/>
        <v>7</v>
      </c>
      <c r="F2740">
        <v>10.292899999999999</v>
      </c>
      <c r="G2740">
        <v>10.378</v>
      </c>
      <c r="H2740">
        <v>10.1653</v>
      </c>
      <c r="I2740">
        <v>10.207800000000001</v>
      </c>
      <c r="J2740">
        <v>72978</v>
      </c>
      <c r="K2740">
        <v>-1.6529</v>
      </c>
      <c r="L2740">
        <v>2.0920999999999998</v>
      </c>
    </row>
    <row r="2741" spans="1:12" hidden="1" x14ac:dyDescent="0.25">
      <c r="A2741">
        <v>2330</v>
      </c>
      <c r="B2741" t="s">
        <v>11</v>
      </c>
      <c r="C2741" s="1">
        <v>42202</v>
      </c>
      <c r="D2741" s="2">
        <f t="shared" si="84"/>
        <v>5</v>
      </c>
      <c r="E2741" s="2">
        <f t="shared" si="85"/>
        <v>7</v>
      </c>
      <c r="F2741">
        <v>117.09820000000001</v>
      </c>
      <c r="G2741">
        <v>118.7953</v>
      </c>
      <c r="H2741">
        <v>117.09820000000001</v>
      </c>
      <c r="I2741">
        <v>118.7953</v>
      </c>
      <c r="J2741">
        <v>55848</v>
      </c>
      <c r="K2741">
        <v>2.5318000000000001</v>
      </c>
      <c r="L2741">
        <v>1.4493</v>
      </c>
    </row>
    <row r="2742" spans="1:12" x14ac:dyDescent="0.25">
      <c r="A2742">
        <v>2303</v>
      </c>
      <c r="B2742" t="s">
        <v>10</v>
      </c>
      <c r="C2742" s="1">
        <v>42205</v>
      </c>
      <c r="D2742" s="2">
        <f t="shared" si="84"/>
        <v>1</v>
      </c>
      <c r="E2742" s="2">
        <f t="shared" si="85"/>
        <v>7</v>
      </c>
      <c r="F2742">
        <v>10.292899999999999</v>
      </c>
      <c r="G2742">
        <v>10.292899999999999</v>
      </c>
      <c r="H2742">
        <v>10.1228</v>
      </c>
      <c r="I2742">
        <v>10.1653</v>
      </c>
      <c r="J2742">
        <v>49382</v>
      </c>
      <c r="K2742">
        <v>-0.41749999999999998</v>
      </c>
      <c r="L2742">
        <v>1.6807000000000001</v>
      </c>
    </row>
    <row r="2743" spans="1:12" hidden="1" x14ac:dyDescent="0.25">
      <c r="A2743">
        <v>2330</v>
      </c>
      <c r="B2743" t="s">
        <v>11</v>
      </c>
      <c r="C2743" s="1">
        <v>42205</v>
      </c>
      <c r="D2743" s="2">
        <f t="shared" si="84"/>
        <v>1</v>
      </c>
      <c r="E2743" s="2">
        <f t="shared" si="85"/>
        <v>7</v>
      </c>
      <c r="F2743">
        <v>120.0681</v>
      </c>
      <c r="G2743">
        <v>120.4924</v>
      </c>
      <c r="H2743">
        <v>117.52249999999999</v>
      </c>
      <c r="I2743">
        <v>117.9468</v>
      </c>
      <c r="J2743">
        <v>27906</v>
      </c>
      <c r="K2743">
        <v>-0.71679999999999999</v>
      </c>
      <c r="L2743">
        <v>2.5270999999999999</v>
      </c>
    </row>
    <row r="2744" spans="1:12" x14ac:dyDescent="0.25">
      <c r="A2744">
        <v>2303</v>
      </c>
      <c r="B2744" t="s">
        <v>10</v>
      </c>
      <c r="C2744" s="1">
        <v>42206</v>
      </c>
      <c r="D2744" s="2">
        <f t="shared" si="84"/>
        <v>2</v>
      </c>
      <c r="E2744" s="2">
        <f t="shared" si="85"/>
        <v>7</v>
      </c>
      <c r="F2744">
        <v>10.207800000000001</v>
      </c>
      <c r="G2744">
        <v>10.250400000000001</v>
      </c>
      <c r="H2744">
        <v>10.1228</v>
      </c>
      <c r="I2744">
        <v>10.250400000000001</v>
      </c>
      <c r="J2744">
        <v>50251</v>
      </c>
      <c r="K2744">
        <v>0.83330000000000004</v>
      </c>
      <c r="L2744">
        <v>1.2605</v>
      </c>
    </row>
    <row r="2745" spans="1:12" hidden="1" x14ac:dyDescent="0.25">
      <c r="A2745">
        <v>2330</v>
      </c>
      <c r="B2745" t="s">
        <v>11</v>
      </c>
      <c r="C2745" s="1">
        <v>42206</v>
      </c>
      <c r="D2745" s="2">
        <f t="shared" si="84"/>
        <v>2</v>
      </c>
      <c r="E2745" s="2">
        <f t="shared" si="85"/>
        <v>7</v>
      </c>
      <c r="F2745">
        <v>119.6439</v>
      </c>
      <c r="G2745">
        <v>120.0681</v>
      </c>
      <c r="H2745">
        <v>118.3711</v>
      </c>
      <c r="I2745">
        <v>119.2196</v>
      </c>
      <c r="J2745">
        <v>21857</v>
      </c>
      <c r="K2745">
        <v>1.0733999999999999</v>
      </c>
      <c r="L2745">
        <v>1.4337</v>
      </c>
    </row>
    <row r="2746" spans="1:12" x14ac:dyDescent="0.25">
      <c r="A2746">
        <v>2303</v>
      </c>
      <c r="B2746" t="s">
        <v>10</v>
      </c>
      <c r="C2746" s="1">
        <v>42207</v>
      </c>
      <c r="D2746" s="2">
        <f t="shared" si="84"/>
        <v>3</v>
      </c>
      <c r="E2746" s="2">
        <f t="shared" si="85"/>
        <v>7</v>
      </c>
      <c r="F2746">
        <v>10.1653</v>
      </c>
      <c r="G2746">
        <v>10.207800000000001</v>
      </c>
      <c r="H2746">
        <v>9.74</v>
      </c>
      <c r="I2746">
        <v>9.7825000000000006</v>
      </c>
      <c r="J2746">
        <v>126055</v>
      </c>
      <c r="K2746">
        <v>-4.6718000000000002</v>
      </c>
      <c r="L2746">
        <v>4.8034999999999997</v>
      </c>
    </row>
    <row r="2747" spans="1:12" hidden="1" x14ac:dyDescent="0.25">
      <c r="A2747">
        <v>2330</v>
      </c>
      <c r="B2747" t="s">
        <v>11</v>
      </c>
      <c r="C2747" s="1">
        <v>42207</v>
      </c>
      <c r="D2747" s="2">
        <f t="shared" si="84"/>
        <v>3</v>
      </c>
      <c r="E2747" s="2">
        <f t="shared" si="85"/>
        <v>7</v>
      </c>
      <c r="F2747">
        <v>117.9468</v>
      </c>
      <c r="G2747">
        <v>118.3711</v>
      </c>
      <c r="H2747">
        <v>117.09820000000001</v>
      </c>
      <c r="I2747">
        <v>117.9468</v>
      </c>
      <c r="J2747">
        <v>27408</v>
      </c>
      <c r="K2747">
        <v>-1.0733999999999999</v>
      </c>
      <c r="L2747">
        <v>1.087</v>
      </c>
    </row>
    <row r="2748" spans="1:12" x14ac:dyDescent="0.25">
      <c r="A2748">
        <v>2303</v>
      </c>
      <c r="B2748" t="s">
        <v>10</v>
      </c>
      <c r="C2748" s="1">
        <v>42208</v>
      </c>
      <c r="D2748" s="2">
        <f t="shared" si="84"/>
        <v>4</v>
      </c>
      <c r="E2748" s="2">
        <f t="shared" si="85"/>
        <v>7</v>
      </c>
      <c r="F2748">
        <v>9.7825000000000006</v>
      </c>
      <c r="G2748">
        <v>9.8675999999999995</v>
      </c>
      <c r="H2748">
        <v>9.4421999999999997</v>
      </c>
      <c r="I2748">
        <v>9.4847999999999999</v>
      </c>
      <c r="J2748">
        <v>86693</v>
      </c>
      <c r="K2748">
        <v>-3.0908000000000002</v>
      </c>
      <c r="L2748">
        <v>4.5045000000000002</v>
      </c>
    </row>
    <row r="2749" spans="1:12" hidden="1" x14ac:dyDescent="0.25">
      <c r="A2749">
        <v>2330</v>
      </c>
      <c r="B2749" t="s">
        <v>11</v>
      </c>
      <c r="C2749" s="1">
        <v>42208</v>
      </c>
      <c r="D2749" s="2">
        <f t="shared" si="84"/>
        <v>4</v>
      </c>
      <c r="E2749" s="2">
        <f t="shared" si="85"/>
        <v>7</v>
      </c>
      <c r="F2749">
        <v>116.2497</v>
      </c>
      <c r="G2749">
        <v>116.67400000000001</v>
      </c>
      <c r="H2749">
        <v>115.4012</v>
      </c>
      <c r="I2749">
        <v>115.4012</v>
      </c>
      <c r="J2749">
        <v>38176</v>
      </c>
      <c r="K2749">
        <v>-2.1819000000000002</v>
      </c>
      <c r="L2749">
        <v>1.1029</v>
      </c>
    </row>
    <row r="2750" spans="1:12" x14ac:dyDescent="0.25">
      <c r="A2750">
        <v>2303</v>
      </c>
      <c r="B2750" t="s">
        <v>10</v>
      </c>
      <c r="C2750" s="1">
        <v>42209</v>
      </c>
      <c r="D2750" s="2">
        <f t="shared" si="84"/>
        <v>5</v>
      </c>
      <c r="E2750" s="2">
        <f t="shared" si="85"/>
        <v>7</v>
      </c>
      <c r="F2750">
        <v>9.5273000000000003</v>
      </c>
      <c r="G2750">
        <v>9.6123999999999992</v>
      </c>
      <c r="H2750">
        <v>9.4847999999999999</v>
      </c>
      <c r="I2750">
        <v>9.6123999999999992</v>
      </c>
      <c r="J2750">
        <v>38064</v>
      </c>
      <c r="K2750">
        <v>1.3363</v>
      </c>
      <c r="L2750">
        <v>1.3452999999999999</v>
      </c>
    </row>
    <row r="2751" spans="1:12" hidden="1" x14ac:dyDescent="0.25">
      <c r="A2751">
        <v>2330</v>
      </c>
      <c r="B2751" t="s">
        <v>11</v>
      </c>
      <c r="C2751" s="1">
        <v>42209</v>
      </c>
      <c r="D2751" s="2">
        <f t="shared" si="84"/>
        <v>5</v>
      </c>
      <c r="E2751" s="2">
        <f t="shared" si="85"/>
        <v>7</v>
      </c>
      <c r="F2751">
        <v>117.09820000000001</v>
      </c>
      <c r="G2751">
        <v>117.09820000000001</v>
      </c>
      <c r="H2751">
        <v>115.4012</v>
      </c>
      <c r="I2751">
        <v>116.2497</v>
      </c>
      <c r="J2751">
        <v>39062</v>
      </c>
      <c r="K2751">
        <v>0.73260000000000003</v>
      </c>
      <c r="L2751">
        <v>1.4705999999999999</v>
      </c>
    </row>
    <row r="2752" spans="1:12" x14ac:dyDescent="0.25">
      <c r="A2752">
        <v>2303</v>
      </c>
      <c r="B2752" t="s">
        <v>10</v>
      </c>
      <c r="C2752" s="1">
        <v>42212</v>
      </c>
      <c r="D2752" s="2">
        <f t="shared" si="84"/>
        <v>1</v>
      </c>
      <c r="E2752" s="2">
        <f t="shared" si="85"/>
        <v>7</v>
      </c>
      <c r="F2752">
        <v>9.6123999999999992</v>
      </c>
      <c r="G2752">
        <v>9.6548999999999996</v>
      </c>
      <c r="H2752">
        <v>9.4421999999999997</v>
      </c>
      <c r="I2752">
        <v>9.4421999999999997</v>
      </c>
      <c r="J2752">
        <v>41483</v>
      </c>
      <c r="K2752">
        <v>-1.7858000000000001</v>
      </c>
      <c r="L2752">
        <v>2.2523</v>
      </c>
    </row>
    <row r="2753" spans="1:12" hidden="1" x14ac:dyDescent="0.25">
      <c r="A2753">
        <v>2330</v>
      </c>
      <c r="B2753" t="s">
        <v>11</v>
      </c>
      <c r="C2753" s="1">
        <v>42212</v>
      </c>
      <c r="D2753" s="2">
        <f t="shared" si="84"/>
        <v>1</v>
      </c>
      <c r="E2753" s="2">
        <f t="shared" si="85"/>
        <v>7</v>
      </c>
      <c r="F2753">
        <v>114.5526</v>
      </c>
      <c r="G2753">
        <v>114.9769</v>
      </c>
      <c r="H2753">
        <v>113.7041</v>
      </c>
      <c r="I2753">
        <v>113.7041</v>
      </c>
      <c r="J2753">
        <v>45080</v>
      </c>
      <c r="K2753">
        <v>-2.2141000000000002</v>
      </c>
      <c r="L2753">
        <v>1.1194</v>
      </c>
    </row>
    <row r="2754" spans="1:12" x14ac:dyDescent="0.25">
      <c r="A2754">
        <v>2303</v>
      </c>
      <c r="B2754" t="s">
        <v>10</v>
      </c>
      <c r="C2754" s="1">
        <v>42213</v>
      </c>
      <c r="D2754" s="2">
        <f t="shared" si="84"/>
        <v>2</v>
      </c>
      <c r="E2754" s="2">
        <f t="shared" si="85"/>
        <v>7</v>
      </c>
      <c r="F2754">
        <v>9.3572000000000006</v>
      </c>
      <c r="G2754">
        <v>9.4847999999999999</v>
      </c>
      <c r="H2754">
        <v>9.2721</v>
      </c>
      <c r="I2754">
        <v>9.2721</v>
      </c>
      <c r="J2754">
        <v>77569</v>
      </c>
      <c r="K2754">
        <v>-1.8182</v>
      </c>
      <c r="L2754">
        <v>2.2936000000000001</v>
      </c>
    </row>
    <row r="2755" spans="1:12" hidden="1" x14ac:dyDescent="0.25">
      <c r="A2755">
        <v>2330</v>
      </c>
      <c r="B2755" t="s">
        <v>11</v>
      </c>
      <c r="C2755" s="1">
        <v>42213</v>
      </c>
      <c r="D2755" s="2">
        <f t="shared" ref="D2755:D2818" si="86">WEEKDAY(C2755,2)</f>
        <v>2</v>
      </c>
      <c r="E2755" s="2">
        <f t="shared" ref="E2755:E2818" si="87">MONTH(C2755)</f>
        <v>7</v>
      </c>
      <c r="F2755">
        <v>114.5526</v>
      </c>
      <c r="G2755">
        <v>115.8254</v>
      </c>
      <c r="H2755">
        <v>113.7041</v>
      </c>
      <c r="I2755">
        <v>113.7041</v>
      </c>
      <c r="J2755">
        <v>35777</v>
      </c>
      <c r="K2755">
        <v>0</v>
      </c>
      <c r="L2755">
        <v>1.8656999999999999</v>
      </c>
    </row>
    <row r="2756" spans="1:12" x14ac:dyDescent="0.25">
      <c r="A2756">
        <v>2303</v>
      </c>
      <c r="B2756" t="s">
        <v>10</v>
      </c>
      <c r="C2756" s="1">
        <v>42214</v>
      </c>
      <c r="D2756" s="2">
        <f t="shared" si="86"/>
        <v>3</v>
      </c>
      <c r="E2756" s="2">
        <f t="shared" si="87"/>
        <v>7</v>
      </c>
      <c r="F2756">
        <v>9.3572000000000006</v>
      </c>
      <c r="G2756">
        <v>9.3572000000000006</v>
      </c>
      <c r="H2756">
        <v>9.1445000000000007</v>
      </c>
      <c r="I2756">
        <v>9.1445000000000007</v>
      </c>
      <c r="J2756">
        <v>48726</v>
      </c>
      <c r="K2756">
        <v>-1.3856999999999999</v>
      </c>
      <c r="L2756">
        <v>2.3256000000000001</v>
      </c>
    </row>
    <row r="2757" spans="1:12" hidden="1" x14ac:dyDescent="0.25">
      <c r="A2757">
        <v>2330</v>
      </c>
      <c r="B2757" t="s">
        <v>11</v>
      </c>
      <c r="C2757" s="1">
        <v>42214</v>
      </c>
      <c r="D2757" s="2">
        <f t="shared" si="86"/>
        <v>3</v>
      </c>
      <c r="E2757" s="2">
        <f t="shared" si="87"/>
        <v>7</v>
      </c>
      <c r="F2757">
        <v>114.5526</v>
      </c>
      <c r="G2757">
        <v>115.4012</v>
      </c>
      <c r="H2757">
        <v>114.1284</v>
      </c>
      <c r="I2757">
        <v>114.9769</v>
      </c>
      <c r="J2757">
        <v>30500</v>
      </c>
      <c r="K2757">
        <v>1.1132</v>
      </c>
      <c r="L2757">
        <v>1.1152</v>
      </c>
    </row>
    <row r="2758" spans="1:12" x14ac:dyDescent="0.25">
      <c r="A2758">
        <v>2303</v>
      </c>
      <c r="B2758" t="s">
        <v>10</v>
      </c>
      <c r="C2758" s="1">
        <v>42215</v>
      </c>
      <c r="D2758" s="2">
        <f t="shared" si="86"/>
        <v>4</v>
      </c>
      <c r="E2758" s="2">
        <f t="shared" si="87"/>
        <v>7</v>
      </c>
      <c r="F2758">
        <v>9.4421999999999997</v>
      </c>
      <c r="G2758">
        <v>9.6974</v>
      </c>
      <c r="H2758">
        <v>9.4421999999999997</v>
      </c>
      <c r="I2758">
        <v>9.6548999999999996</v>
      </c>
      <c r="J2758">
        <v>83112</v>
      </c>
      <c r="K2758">
        <v>5.4311999999999996</v>
      </c>
      <c r="L2758">
        <v>2.7027000000000001</v>
      </c>
    </row>
    <row r="2759" spans="1:12" hidden="1" x14ac:dyDescent="0.25">
      <c r="A2759">
        <v>2330</v>
      </c>
      <c r="B2759" t="s">
        <v>11</v>
      </c>
      <c r="C2759" s="1">
        <v>42215</v>
      </c>
      <c r="D2759" s="2">
        <f t="shared" si="86"/>
        <v>4</v>
      </c>
      <c r="E2759" s="2">
        <f t="shared" si="87"/>
        <v>7</v>
      </c>
      <c r="F2759">
        <v>115.4012</v>
      </c>
      <c r="G2759">
        <v>117.9468</v>
      </c>
      <c r="H2759">
        <v>115.4012</v>
      </c>
      <c r="I2759">
        <v>117.52249999999999</v>
      </c>
      <c r="J2759">
        <v>37085</v>
      </c>
      <c r="K2759">
        <v>2.1899000000000002</v>
      </c>
      <c r="L2759">
        <v>2.2059000000000002</v>
      </c>
    </row>
    <row r="2760" spans="1:12" x14ac:dyDescent="0.25">
      <c r="A2760">
        <v>2303</v>
      </c>
      <c r="B2760" t="s">
        <v>10</v>
      </c>
      <c r="C2760" s="1">
        <v>42216</v>
      </c>
      <c r="D2760" s="2">
        <f t="shared" si="86"/>
        <v>5</v>
      </c>
      <c r="E2760" s="2">
        <f t="shared" si="87"/>
        <v>7</v>
      </c>
      <c r="F2760">
        <v>9.6974</v>
      </c>
      <c r="G2760">
        <v>9.74</v>
      </c>
      <c r="H2760">
        <v>9.4421999999999997</v>
      </c>
      <c r="I2760">
        <v>9.5698000000000008</v>
      </c>
      <c r="J2760">
        <v>55173</v>
      </c>
      <c r="K2760">
        <v>-0.88500000000000001</v>
      </c>
      <c r="L2760">
        <v>3.1532</v>
      </c>
    </row>
    <row r="2761" spans="1:12" hidden="1" x14ac:dyDescent="0.25">
      <c r="A2761">
        <v>2330</v>
      </c>
      <c r="B2761" t="s">
        <v>11</v>
      </c>
      <c r="C2761" s="1">
        <v>42216</v>
      </c>
      <c r="D2761" s="2">
        <f t="shared" si="86"/>
        <v>5</v>
      </c>
      <c r="E2761" s="2">
        <f t="shared" si="87"/>
        <v>7</v>
      </c>
      <c r="F2761">
        <v>119.2196</v>
      </c>
      <c r="G2761">
        <v>119.2196</v>
      </c>
      <c r="H2761">
        <v>116.67400000000001</v>
      </c>
      <c r="I2761">
        <v>118.3711</v>
      </c>
      <c r="J2761">
        <v>40479</v>
      </c>
      <c r="K2761">
        <v>0.71940000000000004</v>
      </c>
      <c r="L2761">
        <v>2.1818</v>
      </c>
    </row>
    <row r="2762" spans="1:12" x14ac:dyDescent="0.25">
      <c r="A2762">
        <v>2303</v>
      </c>
      <c r="B2762" t="s">
        <v>10</v>
      </c>
      <c r="C2762" s="1">
        <v>42219</v>
      </c>
      <c r="D2762" s="2">
        <f t="shared" si="86"/>
        <v>1</v>
      </c>
      <c r="E2762" s="2">
        <f t="shared" si="87"/>
        <v>8</v>
      </c>
      <c r="F2762">
        <v>9.6548999999999996</v>
      </c>
      <c r="G2762">
        <v>9.6974</v>
      </c>
      <c r="H2762">
        <v>9.4421999999999997</v>
      </c>
      <c r="I2762">
        <v>9.5273000000000003</v>
      </c>
      <c r="J2762">
        <v>58428</v>
      </c>
      <c r="K2762">
        <v>-0.44540000000000002</v>
      </c>
      <c r="L2762">
        <v>2.7027000000000001</v>
      </c>
    </row>
    <row r="2763" spans="1:12" hidden="1" x14ac:dyDescent="0.25">
      <c r="A2763">
        <v>2330</v>
      </c>
      <c r="B2763" t="s">
        <v>11</v>
      </c>
      <c r="C2763" s="1">
        <v>42219</v>
      </c>
      <c r="D2763" s="2">
        <f t="shared" si="86"/>
        <v>1</v>
      </c>
      <c r="E2763" s="2">
        <f t="shared" si="87"/>
        <v>8</v>
      </c>
      <c r="F2763">
        <v>117.52249999999999</v>
      </c>
      <c r="G2763">
        <v>117.52249999999999</v>
      </c>
      <c r="H2763">
        <v>114.1284</v>
      </c>
      <c r="I2763">
        <v>114.1284</v>
      </c>
      <c r="J2763">
        <v>33815</v>
      </c>
      <c r="K2763">
        <v>-3.65</v>
      </c>
      <c r="L2763">
        <v>2.9740000000000002</v>
      </c>
    </row>
    <row r="2764" spans="1:12" x14ac:dyDescent="0.25">
      <c r="A2764">
        <v>2303</v>
      </c>
      <c r="B2764" t="s">
        <v>10</v>
      </c>
      <c r="C2764" s="1">
        <v>42220</v>
      </c>
      <c r="D2764" s="2">
        <f t="shared" si="86"/>
        <v>2</v>
      </c>
      <c r="E2764" s="2">
        <f t="shared" si="87"/>
        <v>8</v>
      </c>
      <c r="F2764">
        <v>9.5273000000000003</v>
      </c>
      <c r="G2764">
        <v>9.5698000000000008</v>
      </c>
      <c r="H2764">
        <v>9.3572000000000006</v>
      </c>
      <c r="I2764">
        <v>9.4847999999999999</v>
      </c>
      <c r="J2764">
        <v>55688</v>
      </c>
      <c r="K2764">
        <v>-0.44740000000000002</v>
      </c>
      <c r="L2764">
        <v>2.2726999999999999</v>
      </c>
    </row>
    <row r="2765" spans="1:12" hidden="1" x14ac:dyDescent="0.25">
      <c r="A2765">
        <v>2330</v>
      </c>
      <c r="B2765" t="s">
        <v>11</v>
      </c>
      <c r="C2765" s="1">
        <v>42220</v>
      </c>
      <c r="D2765" s="2">
        <f t="shared" si="86"/>
        <v>2</v>
      </c>
      <c r="E2765" s="2">
        <f t="shared" si="87"/>
        <v>8</v>
      </c>
      <c r="F2765">
        <v>114.5526</v>
      </c>
      <c r="G2765">
        <v>115.8254</v>
      </c>
      <c r="H2765">
        <v>114.1284</v>
      </c>
      <c r="I2765">
        <v>115.8254</v>
      </c>
      <c r="J2765">
        <v>27514</v>
      </c>
      <c r="K2765">
        <v>1.476</v>
      </c>
      <c r="L2765">
        <v>1.4870000000000001</v>
      </c>
    </row>
    <row r="2766" spans="1:12" x14ac:dyDescent="0.25">
      <c r="A2766">
        <v>2303</v>
      </c>
      <c r="B2766" t="s">
        <v>10</v>
      </c>
      <c r="C2766" s="1">
        <v>42221</v>
      </c>
      <c r="D2766" s="2">
        <f t="shared" si="86"/>
        <v>3</v>
      </c>
      <c r="E2766" s="2">
        <f t="shared" si="87"/>
        <v>8</v>
      </c>
      <c r="F2766">
        <v>9.3572000000000006</v>
      </c>
      <c r="G2766">
        <v>9.5698000000000008</v>
      </c>
      <c r="H2766">
        <v>9.3572000000000006</v>
      </c>
      <c r="I2766">
        <v>9.5698000000000008</v>
      </c>
      <c r="J2766">
        <v>39007</v>
      </c>
      <c r="K2766">
        <v>0.89290000000000003</v>
      </c>
      <c r="L2766">
        <v>2.2726999999999999</v>
      </c>
    </row>
    <row r="2767" spans="1:12" hidden="1" x14ac:dyDescent="0.25">
      <c r="A2767">
        <v>2330</v>
      </c>
      <c r="B2767" t="s">
        <v>11</v>
      </c>
      <c r="C2767" s="1">
        <v>42221</v>
      </c>
      <c r="D2767" s="2">
        <f t="shared" si="86"/>
        <v>3</v>
      </c>
      <c r="E2767" s="2">
        <f t="shared" si="87"/>
        <v>8</v>
      </c>
      <c r="F2767">
        <v>114.9769</v>
      </c>
      <c r="G2767">
        <v>114.9769</v>
      </c>
      <c r="H2767">
        <v>113.7041</v>
      </c>
      <c r="I2767">
        <v>113.7041</v>
      </c>
      <c r="J2767">
        <v>28577</v>
      </c>
      <c r="K2767">
        <v>-1.8485</v>
      </c>
      <c r="L2767">
        <v>1.1194</v>
      </c>
    </row>
    <row r="2768" spans="1:12" x14ac:dyDescent="0.25">
      <c r="A2768">
        <v>2303</v>
      </c>
      <c r="B2768" t="s">
        <v>10</v>
      </c>
      <c r="C2768" s="1">
        <v>42222</v>
      </c>
      <c r="D2768" s="2">
        <f t="shared" si="86"/>
        <v>4</v>
      </c>
      <c r="E2768" s="2">
        <f t="shared" si="87"/>
        <v>8</v>
      </c>
      <c r="F2768">
        <v>9.5698000000000008</v>
      </c>
      <c r="G2768">
        <v>9.6123999999999992</v>
      </c>
      <c r="H2768">
        <v>9.4421999999999997</v>
      </c>
      <c r="I2768">
        <v>9.5698000000000008</v>
      </c>
      <c r="J2768">
        <v>40342</v>
      </c>
      <c r="K2768">
        <v>0</v>
      </c>
      <c r="L2768">
        <v>1.8018000000000001</v>
      </c>
    </row>
    <row r="2769" spans="1:12" hidden="1" x14ac:dyDescent="0.25">
      <c r="A2769">
        <v>2330</v>
      </c>
      <c r="B2769" t="s">
        <v>11</v>
      </c>
      <c r="C2769" s="1">
        <v>42222</v>
      </c>
      <c r="D2769" s="2">
        <f t="shared" si="86"/>
        <v>4</v>
      </c>
      <c r="E2769" s="2">
        <f t="shared" si="87"/>
        <v>8</v>
      </c>
      <c r="F2769">
        <v>115.4012</v>
      </c>
      <c r="G2769">
        <v>115.4012</v>
      </c>
      <c r="H2769">
        <v>112.00700000000001</v>
      </c>
      <c r="I2769">
        <v>113.7041</v>
      </c>
      <c r="J2769">
        <v>39658</v>
      </c>
      <c r="K2769">
        <v>0</v>
      </c>
      <c r="L2769">
        <v>3.0303</v>
      </c>
    </row>
    <row r="2770" spans="1:12" x14ac:dyDescent="0.25">
      <c r="A2770">
        <v>2303</v>
      </c>
      <c r="B2770" t="s">
        <v>10</v>
      </c>
      <c r="C2770" s="1">
        <v>42223</v>
      </c>
      <c r="D2770" s="2">
        <f t="shared" si="86"/>
        <v>5</v>
      </c>
      <c r="E2770" s="2">
        <f t="shared" si="87"/>
        <v>8</v>
      </c>
      <c r="F2770">
        <v>9.5273000000000003</v>
      </c>
      <c r="G2770">
        <v>9.5698000000000008</v>
      </c>
      <c r="H2770">
        <v>9.4421999999999997</v>
      </c>
      <c r="I2770">
        <v>9.5273000000000003</v>
      </c>
      <c r="J2770">
        <v>37234</v>
      </c>
      <c r="K2770">
        <v>-0.44540000000000002</v>
      </c>
      <c r="L2770">
        <v>1.3513999999999999</v>
      </c>
    </row>
    <row r="2771" spans="1:12" hidden="1" x14ac:dyDescent="0.25">
      <c r="A2771">
        <v>2330</v>
      </c>
      <c r="B2771" t="s">
        <v>11</v>
      </c>
      <c r="C2771" s="1">
        <v>42223</v>
      </c>
      <c r="D2771" s="2">
        <f t="shared" si="86"/>
        <v>5</v>
      </c>
      <c r="E2771" s="2">
        <f t="shared" si="87"/>
        <v>8</v>
      </c>
      <c r="F2771">
        <v>112.8556</v>
      </c>
      <c r="G2771">
        <v>113.27979999999999</v>
      </c>
      <c r="H2771">
        <v>111.5827</v>
      </c>
      <c r="I2771">
        <v>112.8556</v>
      </c>
      <c r="J2771">
        <v>30591</v>
      </c>
      <c r="K2771">
        <v>-0.74909999999999999</v>
      </c>
      <c r="L2771">
        <v>1.5208999999999999</v>
      </c>
    </row>
    <row r="2772" spans="1:12" x14ac:dyDescent="0.25">
      <c r="A2772">
        <v>2303</v>
      </c>
      <c r="B2772" t="s">
        <v>10</v>
      </c>
      <c r="C2772" s="1">
        <v>42226</v>
      </c>
      <c r="D2772" s="2">
        <f t="shared" si="86"/>
        <v>1</v>
      </c>
      <c r="E2772" s="2">
        <f t="shared" si="87"/>
        <v>8</v>
      </c>
      <c r="F2772">
        <v>9.4421999999999997</v>
      </c>
      <c r="G2772">
        <v>9.5273000000000003</v>
      </c>
      <c r="H2772">
        <v>9.4421999999999997</v>
      </c>
      <c r="I2772">
        <v>9.5273000000000003</v>
      </c>
      <c r="J2772">
        <v>35431</v>
      </c>
      <c r="K2772">
        <v>0</v>
      </c>
      <c r="L2772">
        <v>0.90090000000000003</v>
      </c>
    </row>
    <row r="2773" spans="1:12" hidden="1" x14ac:dyDescent="0.25">
      <c r="A2773">
        <v>2330</v>
      </c>
      <c r="B2773" t="s">
        <v>11</v>
      </c>
      <c r="C2773" s="1">
        <v>42226</v>
      </c>
      <c r="D2773" s="2">
        <f t="shared" si="86"/>
        <v>1</v>
      </c>
      <c r="E2773" s="2">
        <f t="shared" si="87"/>
        <v>8</v>
      </c>
      <c r="F2773">
        <v>111.1585</v>
      </c>
      <c r="G2773">
        <v>111.1585</v>
      </c>
      <c r="H2773">
        <v>106.4915</v>
      </c>
      <c r="I2773">
        <v>109.4614</v>
      </c>
      <c r="J2773">
        <v>65582</v>
      </c>
      <c r="K2773">
        <v>-3.0537000000000001</v>
      </c>
      <c r="L2773">
        <v>4.3825000000000003</v>
      </c>
    </row>
    <row r="2774" spans="1:12" x14ac:dyDescent="0.25">
      <c r="A2774">
        <v>2303</v>
      </c>
      <c r="B2774" t="s">
        <v>10</v>
      </c>
      <c r="C2774" s="1">
        <v>42227</v>
      </c>
      <c r="D2774" s="2">
        <f t="shared" si="86"/>
        <v>2</v>
      </c>
      <c r="E2774" s="2">
        <f t="shared" si="87"/>
        <v>8</v>
      </c>
      <c r="F2774">
        <v>9.6123999999999992</v>
      </c>
      <c r="G2774">
        <v>9.6548999999999996</v>
      </c>
      <c r="H2774">
        <v>9.5273000000000003</v>
      </c>
      <c r="I2774">
        <v>9.5273000000000003</v>
      </c>
      <c r="J2774">
        <v>41626</v>
      </c>
      <c r="K2774">
        <v>0</v>
      </c>
      <c r="L2774">
        <v>1.3392999999999999</v>
      </c>
    </row>
    <row r="2775" spans="1:12" hidden="1" x14ac:dyDescent="0.25">
      <c r="A2775">
        <v>2330</v>
      </c>
      <c r="B2775" t="s">
        <v>11</v>
      </c>
      <c r="C2775" s="1">
        <v>42227</v>
      </c>
      <c r="D2775" s="2">
        <f t="shared" si="86"/>
        <v>2</v>
      </c>
      <c r="E2775" s="2">
        <f t="shared" si="87"/>
        <v>8</v>
      </c>
      <c r="F2775">
        <v>113.27979999999999</v>
      </c>
      <c r="G2775">
        <v>113.27979999999999</v>
      </c>
      <c r="H2775">
        <v>110.7342</v>
      </c>
      <c r="I2775">
        <v>110.7342</v>
      </c>
      <c r="J2775">
        <v>65988</v>
      </c>
      <c r="K2775">
        <v>1.1560999999999999</v>
      </c>
      <c r="L2775">
        <v>2.2989000000000002</v>
      </c>
    </row>
    <row r="2776" spans="1:12" x14ac:dyDescent="0.25">
      <c r="A2776">
        <v>2303</v>
      </c>
      <c r="B2776" t="s">
        <v>10</v>
      </c>
      <c r="C2776" s="1">
        <v>42228</v>
      </c>
      <c r="D2776" s="2">
        <f t="shared" si="86"/>
        <v>3</v>
      </c>
      <c r="E2776" s="2">
        <f t="shared" si="87"/>
        <v>8</v>
      </c>
      <c r="F2776">
        <v>9.5273000000000003</v>
      </c>
      <c r="G2776">
        <v>9.6123999999999992</v>
      </c>
      <c r="H2776">
        <v>9.4421999999999997</v>
      </c>
      <c r="I2776">
        <v>9.5698000000000008</v>
      </c>
      <c r="J2776">
        <v>39506</v>
      </c>
      <c r="K2776">
        <v>0.44540000000000002</v>
      </c>
      <c r="L2776">
        <v>1.8018000000000001</v>
      </c>
    </row>
    <row r="2777" spans="1:12" hidden="1" x14ac:dyDescent="0.25">
      <c r="A2777">
        <v>2330</v>
      </c>
      <c r="B2777" t="s">
        <v>11</v>
      </c>
      <c r="C2777" s="1">
        <v>42228</v>
      </c>
      <c r="D2777" s="2">
        <f t="shared" si="86"/>
        <v>3</v>
      </c>
      <c r="E2777" s="2">
        <f t="shared" si="87"/>
        <v>8</v>
      </c>
      <c r="F2777">
        <v>109.8857</v>
      </c>
      <c r="G2777">
        <v>110.3099</v>
      </c>
      <c r="H2777">
        <v>108.18859999999999</v>
      </c>
      <c r="I2777">
        <v>109.0371</v>
      </c>
      <c r="J2777">
        <v>45838</v>
      </c>
      <c r="K2777">
        <v>-1.5444</v>
      </c>
      <c r="L2777">
        <v>1.9608000000000001</v>
      </c>
    </row>
    <row r="2778" spans="1:12" x14ac:dyDescent="0.25">
      <c r="A2778">
        <v>2303</v>
      </c>
      <c r="B2778" t="s">
        <v>10</v>
      </c>
      <c r="C2778" s="1">
        <v>42229</v>
      </c>
      <c r="D2778" s="2">
        <f t="shared" si="86"/>
        <v>4</v>
      </c>
      <c r="E2778" s="2">
        <f t="shared" si="87"/>
        <v>8</v>
      </c>
      <c r="F2778">
        <v>9.6123999999999992</v>
      </c>
      <c r="G2778">
        <v>9.6123999999999992</v>
      </c>
      <c r="H2778">
        <v>9.5273000000000003</v>
      </c>
      <c r="I2778">
        <v>9.5273000000000003</v>
      </c>
      <c r="J2778">
        <v>37414</v>
      </c>
      <c r="K2778">
        <v>-0.44540000000000002</v>
      </c>
      <c r="L2778">
        <v>0.89290000000000003</v>
      </c>
    </row>
    <row r="2779" spans="1:12" hidden="1" x14ac:dyDescent="0.25">
      <c r="A2779">
        <v>2330</v>
      </c>
      <c r="B2779" t="s">
        <v>11</v>
      </c>
      <c r="C2779" s="1">
        <v>42229</v>
      </c>
      <c r="D2779" s="2">
        <f t="shared" si="86"/>
        <v>4</v>
      </c>
      <c r="E2779" s="2">
        <f t="shared" si="87"/>
        <v>8</v>
      </c>
      <c r="F2779">
        <v>109.4614</v>
      </c>
      <c r="G2779">
        <v>110.3099</v>
      </c>
      <c r="H2779">
        <v>108.18859999999999</v>
      </c>
      <c r="I2779">
        <v>108.6129</v>
      </c>
      <c r="J2779">
        <v>43697</v>
      </c>
      <c r="K2779">
        <v>-0.38990000000000002</v>
      </c>
      <c r="L2779">
        <v>1.9608000000000001</v>
      </c>
    </row>
    <row r="2780" spans="1:12" x14ac:dyDescent="0.25">
      <c r="A2780">
        <v>2303</v>
      </c>
      <c r="B2780" t="s">
        <v>10</v>
      </c>
      <c r="C2780" s="1">
        <v>42230</v>
      </c>
      <c r="D2780" s="2">
        <f t="shared" si="86"/>
        <v>5</v>
      </c>
      <c r="E2780" s="2">
        <f t="shared" si="87"/>
        <v>8</v>
      </c>
      <c r="F2780">
        <v>9.5698000000000008</v>
      </c>
      <c r="G2780">
        <v>9.5698000000000008</v>
      </c>
      <c r="H2780">
        <v>9.5273000000000003</v>
      </c>
      <c r="I2780">
        <v>9.5273000000000003</v>
      </c>
      <c r="J2780">
        <v>26082</v>
      </c>
      <c r="K2780">
        <v>0</v>
      </c>
      <c r="L2780">
        <v>0.44640000000000002</v>
      </c>
    </row>
    <row r="2781" spans="1:12" hidden="1" x14ac:dyDescent="0.25">
      <c r="A2781">
        <v>2330</v>
      </c>
      <c r="B2781" t="s">
        <v>11</v>
      </c>
      <c r="C2781" s="1">
        <v>42230</v>
      </c>
      <c r="D2781" s="2">
        <f t="shared" si="86"/>
        <v>5</v>
      </c>
      <c r="E2781" s="2">
        <f t="shared" si="87"/>
        <v>8</v>
      </c>
      <c r="F2781">
        <v>108.6129</v>
      </c>
      <c r="G2781">
        <v>109.0371</v>
      </c>
      <c r="H2781">
        <v>106.0673</v>
      </c>
      <c r="I2781">
        <v>106.9158</v>
      </c>
      <c r="J2781">
        <v>40366</v>
      </c>
      <c r="K2781">
        <v>-1.5748</v>
      </c>
      <c r="L2781">
        <v>2.8</v>
      </c>
    </row>
    <row r="2782" spans="1:12" x14ac:dyDescent="0.25">
      <c r="A2782">
        <v>2303</v>
      </c>
      <c r="B2782" t="s">
        <v>10</v>
      </c>
      <c r="C2782" s="1">
        <v>42233</v>
      </c>
      <c r="D2782" s="2">
        <f t="shared" si="86"/>
        <v>1</v>
      </c>
      <c r="E2782" s="2">
        <f t="shared" si="87"/>
        <v>8</v>
      </c>
      <c r="F2782">
        <v>9.5698000000000008</v>
      </c>
      <c r="G2782">
        <v>9.5698000000000008</v>
      </c>
      <c r="H2782">
        <v>9.4421999999999997</v>
      </c>
      <c r="I2782">
        <v>9.4421999999999997</v>
      </c>
      <c r="J2782">
        <v>19377</v>
      </c>
      <c r="K2782">
        <v>-0.89690000000000003</v>
      </c>
      <c r="L2782">
        <v>1.3513999999999999</v>
      </c>
    </row>
    <row r="2783" spans="1:12" hidden="1" x14ac:dyDescent="0.25">
      <c r="A2783">
        <v>2330</v>
      </c>
      <c r="B2783" t="s">
        <v>11</v>
      </c>
      <c r="C2783" s="1">
        <v>42233</v>
      </c>
      <c r="D2783" s="2">
        <f t="shared" si="86"/>
        <v>1</v>
      </c>
      <c r="E2783" s="2">
        <f t="shared" si="87"/>
        <v>8</v>
      </c>
      <c r="F2783">
        <v>106.4915</v>
      </c>
      <c r="G2783">
        <v>106.4915</v>
      </c>
      <c r="H2783">
        <v>104.3702</v>
      </c>
      <c r="I2783">
        <v>105.2187</v>
      </c>
      <c r="J2783">
        <v>38956</v>
      </c>
      <c r="K2783">
        <v>-1.6</v>
      </c>
      <c r="L2783">
        <v>2.0325000000000002</v>
      </c>
    </row>
    <row r="2784" spans="1:12" x14ac:dyDescent="0.25">
      <c r="A2784">
        <v>2303</v>
      </c>
      <c r="B2784" t="s">
        <v>10</v>
      </c>
      <c r="C2784" s="1">
        <v>42234</v>
      </c>
      <c r="D2784" s="2">
        <f t="shared" si="86"/>
        <v>2</v>
      </c>
      <c r="E2784" s="2">
        <f t="shared" si="87"/>
        <v>8</v>
      </c>
      <c r="F2784">
        <v>9.4421999999999997</v>
      </c>
      <c r="G2784">
        <v>9.5273000000000003</v>
      </c>
      <c r="H2784">
        <v>9.4421999999999997</v>
      </c>
      <c r="I2784">
        <v>9.4847999999999999</v>
      </c>
      <c r="J2784">
        <v>25374</v>
      </c>
      <c r="K2784">
        <v>0.44940000000000002</v>
      </c>
      <c r="L2784">
        <v>0.90090000000000003</v>
      </c>
    </row>
    <row r="2785" spans="1:12" hidden="1" x14ac:dyDescent="0.25">
      <c r="A2785">
        <v>2330</v>
      </c>
      <c r="B2785" t="s">
        <v>11</v>
      </c>
      <c r="C2785" s="1">
        <v>42234</v>
      </c>
      <c r="D2785" s="2">
        <f t="shared" si="86"/>
        <v>2</v>
      </c>
      <c r="E2785" s="2">
        <f t="shared" si="87"/>
        <v>8</v>
      </c>
      <c r="F2785">
        <v>106.0673</v>
      </c>
      <c r="G2785">
        <v>107.34010000000001</v>
      </c>
      <c r="H2785">
        <v>106.0673</v>
      </c>
      <c r="I2785">
        <v>106.9158</v>
      </c>
      <c r="J2785">
        <v>41823</v>
      </c>
      <c r="K2785">
        <v>1.6</v>
      </c>
      <c r="L2785">
        <v>1.2</v>
      </c>
    </row>
    <row r="2786" spans="1:12" x14ac:dyDescent="0.25">
      <c r="A2786">
        <v>2303</v>
      </c>
      <c r="B2786" t="s">
        <v>10</v>
      </c>
      <c r="C2786" s="1">
        <v>42235</v>
      </c>
      <c r="D2786" s="2">
        <f t="shared" si="86"/>
        <v>3</v>
      </c>
      <c r="E2786" s="2">
        <f t="shared" si="87"/>
        <v>8</v>
      </c>
      <c r="F2786">
        <v>9.4421999999999997</v>
      </c>
      <c r="G2786">
        <v>9.4421999999999997</v>
      </c>
      <c r="H2786">
        <v>9.1020000000000003</v>
      </c>
      <c r="I2786">
        <v>9.2721</v>
      </c>
      <c r="J2786">
        <v>71130</v>
      </c>
      <c r="K2786">
        <v>-2.2677</v>
      </c>
      <c r="L2786">
        <v>3.7383000000000002</v>
      </c>
    </row>
    <row r="2787" spans="1:12" hidden="1" x14ac:dyDescent="0.25">
      <c r="A2787">
        <v>2330</v>
      </c>
      <c r="B2787" t="s">
        <v>11</v>
      </c>
      <c r="C2787" s="1">
        <v>42235</v>
      </c>
      <c r="D2787" s="2">
        <f t="shared" si="86"/>
        <v>3</v>
      </c>
      <c r="E2787" s="2">
        <f t="shared" si="87"/>
        <v>8</v>
      </c>
      <c r="F2787">
        <v>108.18859999999999</v>
      </c>
      <c r="G2787">
        <v>108.18859999999999</v>
      </c>
      <c r="H2787">
        <v>105.2187</v>
      </c>
      <c r="I2787">
        <v>106.0673</v>
      </c>
      <c r="J2787">
        <v>47213</v>
      </c>
      <c r="K2787">
        <v>-0.79679999999999995</v>
      </c>
      <c r="L2787">
        <v>2.8226</v>
      </c>
    </row>
    <row r="2788" spans="1:12" x14ac:dyDescent="0.25">
      <c r="A2788">
        <v>2303</v>
      </c>
      <c r="B2788" t="s">
        <v>10</v>
      </c>
      <c r="C2788" s="1">
        <v>42236</v>
      </c>
      <c r="D2788" s="2">
        <f t="shared" si="86"/>
        <v>4</v>
      </c>
      <c r="E2788" s="2">
        <f t="shared" si="87"/>
        <v>8</v>
      </c>
      <c r="F2788">
        <v>9.1869999999999994</v>
      </c>
      <c r="G2788">
        <v>9.3572000000000006</v>
      </c>
      <c r="H2788">
        <v>9.1445000000000007</v>
      </c>
      <c r="I2788">
        <v>9.2295999999999996</v>
      </c>
      <c r="J2788">
        <v>32063</v>
      </c>
      <c r="K2788">
        <v>-0.45979999999999999</v>
      </c>
      <c r="L2788">
        <v>2.3256000000000001</v>
      </c>
    </row>
    <row r="2789" spans="1:12" hidden="1" x14ac:dyDescent="0.25">
      <c r="A2789">
        <v>2330</v>
      </c>
      <c r="B2789" t="s">
        <v>11</v>
      </c>
      <c r="C2789" s="1">
        <v>42236</v>
      </c>
      <c r="D2789" s="2">
        <f t="shared" si="86"/>
        <v>4</v>
      </c>
      <c r="E2789" s="2">
        <f t="shared" si="87"/>
        <v>8</v>
      </c>
      <c r="F2789">
        <v>105.643</v>
      </c>
      <c r="G2789">
        <v>106.9158</v>
      </c>
      <c r="H2789">
        <v>104.7944</v>
      </c>
      <c r="I2789">
        <v>106.9158</v>
      </c>
      <c r="J2789">
        <v>38767</v>
      </c>
      <c r="K2789">
        <v>0.79679999999999995</v>
      </c>
      <c r="L2789">
        <v>2.0243000000000002</v>
      </c>
    </row>
    <row r="2790" spans="1:12" x14ac:dyDescent="0.25">
      <c r="A2790">
        <v>2303</v>
      </c>
      <c r="B2790" t="s">
        <v>10</v>
      </c>
      <c r="C2790" s="1">
        <v>42237</v>
      </c>
      <c r="D2790" s="2">
        <f t="shared" si="86"/>
        <v>5</v>
      </c>
      <c r="E2790" s="2">
        <f t="shared" si="87"/>
        <v>8</v>
      </c>
      <c r="F2790">
        <v>9.1020000000000003</v>
      </c>
      <c r="G2790">
        <v>9.1445000000000007</v>
      </c>
      <c r="H2790">
        <v>8.8468</v>
      </c>
      <c r="I2790">
        <v>8.8468</v>
      </c>
      <c r="J2790">
        <v>71699</v>
      </c>
      <c r="K2790">
        <v>-4.2359</v>
      </c>
      <c r="L2790">
        <v>3.3654000000000002</v>
      </c>
    </row>
    <row r="2791" spans="1:12" hidden="1" x14ac:dyDescent="0.25">
      <c r="A2791">
        <v>2330</v>
      </c>
      <c r="B2791" t="s">
        <v>11</v>
      </c>
      <c r="C2791" s="1">
        <v>42237</v>
      </c>
      <c r="D2791" s="2">
        <f t="shared" si="86"/>
        <v>5</v>
      </c>
      <c r="E2791" s="2">
        <f t="shared" si="87"/>
        <v>8</v>
      </c>
      <c r="F2791">
        <v>104.3702</v>
      </c>
      <c r="G2791">
        <v>105.643</v>
      </c>
      <c r="H2791">
        <v>102.67310000000001</v>
      </c>
      <c r="I2791">
        <v>102.67310000000001</v>
      </c>
      <c r="J2791">
        <v>67341</v>
      </c>
      <c r="K2791">
        <v>-4.0491000000000001</v>
      </c>
      <c r="L2791">
        <v>2.8925999999999998</v>
      </c>
    </row>
    <row r="2792" spans="1:12" x14ac:dyDescent="0.25">
      <c r="A2792">
        <v>2303</v>
      </c>
      <c r="B2792" t="s">
        <v>10</v>
      </c>
      <c r="C2792" s="1">
        <v>42240</v>
      </c>
      <c r="D2792" s="2">
        <f t="shared" si="86"/>
        <v>1</v>
      </c>
      <c r="E2792" s="2">
        <f t="shared" si="87"/>
        <v>8</v>
      </c>
      <c r="F2792">
        <v>8.6767000000000003</v>
      </c>
      <c r="G2792">
        <v>8.7616999999999994</v>
      </c>
      <c r="H2792">
        <v>8.4384999999999994</v>
      </c>
      <c r="I2792">
        <v>8.5490999999999993</v>
      </c>
      <c r="J2792">
        <v>86095</v>
      </c>
      <c r="K2792">
        <v>-3.4232999999999998</v>
      </c>
      <c r="L2792">
        <v>3.8306</v>
      </c>
    </row>
    <row r="2793" spans="1:12" hidden="1" x14ac:dyDescent="0.25">
      <c r="A2793">
        <v>2330</v>
      </c>
      <c r="B2793" t="s">
        <v>11</v>
      </c>
      <c r="C2793" s="1">
        <v>42240</v>
      </c>
      <c r="D2793" s="2">
        <f t="shared" si="86"/>
        <v>1</v>
      </c>
      <c r="E2793" s="2">
        <f t="shared" si="87"/>
        <v>8</v>
      </c>
      <c r="F2793">
        <v>101.8246</v>
      </c>
      <c r="G2793">
        <v>102.67310000000001</v>
      </c>
      <c r="H2793">
        <v>95.460499999999996</v>
      </c>
      <c r="I2793">
        <v>97.581900000000005</v>
      </c>
      <c r="J2793">
        <v>118882</v>
      </c>
      <c r="K2793">
        <v>-5.0857999999999999</v>
      </c>
      <c r="L2793">
        <v>7.5556000000000001</v>
      </c>
    </row>
    <row r="2794" spans="1:12" x14ac:dyDescent="0.25">
      <c r="A2794">
        <v>2303</v>
      </c>
      <c r="B2794" t="s">
        <v>10</v>
      </c>
      <c r="C2794" s="1">
        <v>42241</v>
      </c>
      <c r="D2794" s="2">
        <f t="shared" si="86"/>
        <v>2</v>
      </c>
      <c r="E2794" s="2">
        <f t="shared" si="87"/>
        <v>8</v>
      </c>
      <c r="F2794">
        <v>8.5915999999999997</v>
      </c>
      <c r="G2794">
        <v>9.0168999999999997</v>
      </c>
      <c r="H2794">
        <v>8.5915999999999997</v>
      </c>
      <c r="I2794">
        <v>8.8893000000000004</v>
      </c>
      <c r="J2794">
        <v>58326</v>
      </c>
      <c r="K2794">
        <v>3.9028999999999998</v>
      </c>
      <c r="L2794">
        <v>4.9504999999999999</v>
      </c>
    </row>
    <row r="2795" spans="1:12" hidden="1" x14ac:dyDescent="0.25">
      <c r="A2795">
        <v>2330</v>
      </c>
      <c r="B2795" t="s">
        <v>11</v>
      </c>
      <c r="C2795" s="1">
        <v>42241</v>
      </c>
      <c r="D2795" s="2">
        <f t="shared" si="86"/>
        <v>2</v>
      </c>
      <c r="E2795" s="2">
        <f t="shared" si="87"/>
        <v>8</v>
      </c>
      <c r="F2795">
        <v>100.1275</v>
      </c>
      <c r="G2795">
        <v>105.2187</v>
      </c>
      <c r="H2795">
        <v>99.703199999999995</v>
      </c>
      <c r="I2795">
        <v>104.7944</v>
      </c>
      <c r="J2795">
        <v>99479</v>
      </c>
      <c r="K2795">
        <v>7.1308999999999996</v>
      </c>
      <c r="L2795">
        <v>5.5319000000000003</v>
      </c>
    </row>
    <row r="2796" spans="1:12" x14ac:dyDescent="0.25">
      <c r="A2796">
        <v>2303</v>
      </c>
      <c r="B2796" t="s">
        <v>10</v>
      </c>
      <c r="C2796" s="1">
        <v>42242</v>
      </c>
      <c r="D2796" s="2">
        <f t="shared" si="86"/>
        <v>3</v>
      </c>
      <c r="E2796" s="2">
        <f t="shared" si="87"/>
        <v>8</v>
      </c>
      <c r="F2796">
        <v>8.8041999999999998</v>
      </c>
      <c r="G2796">
        <v>8.9318000000000008</v>
      </c>
      <c r="H2796">
        <v>8.6767000000000003</v>
      </c>
      <c r="I2796">
        <v>8.8468</v>
      </c>
      <c r="J2796">
        <v>45277</v>
      </c>
      <c r="K2796">
        <v>-0.47960000000000003</v>
      </c>
      <c r="L2796">
        <v>2.9411999999999998</v>
      </c>
    </row>
    <row r="2797" spans="1:12" hidden="1" x14ac:dyDescent="0.25">
      <c r="A2797">
        <v>2330</v>
      </c>
      <c r="B2797" t="s">
        <v>11</v>
      </c>
      <c r="C2797" s="1">
        <v>42242</v>
      </c>
      <c r="D2797" s="2">
        <f t="shared" si="86"/>
        <v>3</v>
      </c>
      <c r="E2797" s="2">
        <f t="shared" si="87"/>
        <v>8</v>
      </c>
      <c r="F2797">
        <v>102.67310000000001</v>
      </c>
      <c r="G2797">
        <v>105.643</v>
      </c>
      <c r="H2797">
        <v>101.4003</v>
      </c>
      <c r="I2797">
        <v>103.94589999999999</v>
      </c>
      <c r="J2797">
        <v>65899</v>
      </c>
      <c r="K2797">
        <v>-0.81299999999999994</v>
      </c>
      <c r="L2797">
        <v>4.1840999999999999</v>
      </c>
    </row>
    <row r="2798" spans="1:12" x14ac:dyDescent="0.25">
      <c r="A2798">
        <v>2303</v>
      </c>
      <c r="B2798" t="s">
        <v>10</v>
      </c>
      <c r="C2798" s="1">
        <v>42243</v>
      </c>
      <c r="D2798" s="2">
        <f t="shared" si="86"/>
        <v>4</v>
      </c>
      <c r="E2798" s="2">
        <f t="shared" si="87"/>
        <v>8</v>
      </c>
      <c r="F2798">
        <v>8.9743999999999993</v>
      </c>
      <c r="G2798">
        <v>9.0594000000000001</v>
      </c>
      <c r="H2798">
        <v>8.9318000000000008</v>
      </c>
      <c r="I2798">
        <v>8.9743999999999993</v>
      </c>
      <c r="J2798">
        <v>37225</v>
      </c>
      <c r="K2798">
        <v>1.4319999999999999</v>
      </c>
      <c r="L2798">
        <v>1.4286000000000001</v>
      </c>
    </row>
    <row r="2799" spans="1:12" hidden="1" x14ac:dyDescent="0.25">
      <c r="A2799">
        <v>2330</v>
      </c>
      <c r="B2799" t="s">
        <v>11</v>
      </c>
      <c r="C2799" s="1">
        <v>42243</v>
      </c>
      <c r="D2799" s="2">
        <f t="shared" si="86"/>
        <v>4</v>
      </c>
      <c r="E2799" s="2">
        <f t="shared" si="87"/>
        <v>8</v>
      </c>
      <c r="F2799">
        <v>106.0673</v>
      </c>
      <c r="G2799">
        <v>106.0673</v>
      </c>
      <c r="H2799">
        <v>103.52160000000001</v>
      </c>
      <c r="I2799">
        <v>105.2187</v>
      </c>
      <c r="J2799">
        <v>53549</v>
      </c>
      <c r="K2799">
        <v>1.2171000000000001</v>
      </c>
      <c r="L2799">
        <v>2.4590000000000001</v>
      </c>
    </row>
    <row r="2800" spans="1:12" x14ac:dyDescent="0.25">
      <c r="A2800">
        <v>2303</v>
      </c>
      <c r="B2800" t="s">
        <v>10</v>
      </c>
      <c r="C2800" s="1">
        <v>42244</v>
      </c>
      <c r="D2800" s="2">
        <f t="shared" si="86"/>
        <v>5</v>
      </c>
      <c r="E2800" s="2">
        <f t="shared" si="87"/>
        <v>8</v>
      </c>
      <c r="F2800">
        <v>9.1020000000000003</v>
      </c>
      <c r="G2800">
        <v>9.2295999999999996</v>
      </c>
      <c r="H2800">
        <v>9.0168999999999997</v>
      </c>
      <c r="I2800">
        <v>9.1869999999999994</v>
      </c>
      <c r="J2800">
        <v>40703</v>
      </c>
      <c r="K2800">
        <v>2.3420000000000001</v>
      </c>
      <c r="L2800">
        <v>2.3584999999999998</v>
      </c>
    </row>
    <row r="2801" spans="1:12" hidden="1" x14ac:dyDescent="0.25">
      <c r="A2801">
        <v>2330</v>
      </c>
      <c r="B2801" t="s">
        <v>11</v>
      </c>
      <c r="C2801" s="1">
        <v>42244</v>
      </c>
      <c r="D2801" s="2">
        <f t="shared" si="86"/>
        <v>5</v>
      </c>
      <c r="E2801" s="2">
        <f t="shared" si="87"/>
        <v>8</v>
      </c>
      <c r="F2801">
        <v>107.76430000000001</v>
      </c>
      <c r="G2801">
        <v>107.76430000000001</v>
      </c>
      <c r="H2801">
        <v>105.643</v>
      </c>
      <c r="I2801">
        <v>106.0673</v>
      </c>
      <c r="J2801">
        <v>41879</v>
      </c>
      <c r="K2801">
        <v>0.80320000000000003</v>
      </c>
      <c r="L2801">
        <v>2.008</v>
      </c>
    </row>
    <row r="2802" spans="1:12" x14ac:dyDescent="0.25">
      <c r="A2802">
        <v>2303</v>
      </c>
      <c r="B2802" t="s">
        <v>10</v>
      </c>
      <c r="C2802" s="1">
        <v>42247</v>
      </c>
      <c r="D2802" s="2">
        <f t="shared" si="86"/>
        <v>1</v>
      </c>
      <c r="E2802" s="2">
        <f t="shared" si="87"/>
        <v>8</v>
      </c>
      <c r="F2802">
        <v>9.2295999999999996</v>
      </c>
      <c r="G2802">
        <v>9.2295999999999996</v>
      </c>
      <c r="H2802">
        <v>9.0168999999999997</v>
      </c>
      <c r="I2802">
        <v>9.1445000000000007</v>
      </c>
      <c r="J2802">
        <v>50032</v>
      </c>
      <c r="K2802">
        <v>-0.46400000000000002</v>
      </c>
      <c r="L2802">
        <v>2.3584999999999998</v>
      </c>
    </row>
    <row r="2803" spans="1:12" hidden="1" x14ac:dyDescent="0.25">
      <c r="A2803">
        <v>2330</v>
      </c>
      <c r="B2803" t="s">
        <v>11</v>
      </c>
      <c r="C2803" s="1">
        <v>42247</v>
      </c>
      <c r="D2803" s="2">
        <f t="shared" si="86"/>
        <v>1</v>
      </c>
      <c r="E2803" s="2">
        <f t="shared" si="87"/>
        <v>8</v>
      </c>
      <c r="F2803">
        <v>106.9158</v>
      </c>
      <c r="G2803">
        <v>109.4614</v>
      </c>
      <c r="H2803">
        <v>104.7944</v>
      </c>
      <c r="I2803">
        <v>109.4614</v>
      </c>
      <c r="J2803">
        <v>57088</v>
      </c>
      <c r="K2803">
        <v>3.1499000000000001</v>
      </c>
      <c r="L2803">
        <v>4.4534000000000002</v>
      </c>
    </row>
    <row r="2804" spans="1:12" x14ac:dyDescent="0.25">
      <c r="A2804">
        <v>2303</v>
      </c>
      <c r="B2804" t="s">
        <v>10</v>
      </c>
      <c r="C2804" s="1">
        <v>42248</v>
      </c>
      <c r="D2804" s="2">
        <f t="shared" si="86"/>
        <v>2</v>
      </c>
      <c r="E2804" s="2">
        <f t="shared" si="87"/>
        <v>9</v>
      </c>
      <c r="F2804">
        <v>9.0168999999999997</v>
      </c>
      <c r="G2804">
        <v>9.1869999999999994</v>
      </c>
      <c r="H2804">
        <v>8.9743999999999993</v>
      </c>
      <c r="I2804">
        <v>9.1445000000000007</v>
      </c>
      <c r="J2804">
        <v>36579</v>
      </c>
      <c r="K2804">
        <v>0</v>
      </c>
      <c r="L2804">
        <v>2.3696999999999999</v>
      </c>
    </row>
    <row r="2805" spans="1:12" hidden="1" x14ac:dyDescent="0.25">
      <c r="A2805">
        <v>2330</v>
      </c>
      <c r="B2805" t="s">
        <v>11</v>
      </c>
      <c r="C2805" s="1">
        <v>42248</v>
      </c>
      <c r="D2805" s="2">
        <f t="shared" si="86"/>
        <v>2</v>
      </c>
      <c r="E2805" s="2">
        <f t="shared" si="87"/>
        <v>9</v>
      </c>
      <c r="F2805">
        <v>108.18859999999999</v>
      </c>
      <c r="G2805">
        <v>108.18859999999999</v>
      </c>
      <c r="H2805">
        <v>105.2187</v>
      </c>
      <c r="I2805">
        <v>105.2187</v>
      </c>
      <c r="J2805">
        <v>42394</v>
      </c>
      <c r="K2805">
        <v>-3.9531000000000001</v>
      </c>
      <c r="L2805">
        <v>2.8226</v>
      </c>
    </row>
    <row r="2806" spans="1:12" x14ac:dyDescent="0.25">
      <c r="A2806">
        <v>2303</v>
      </c>
      <c r="B2806" t="s">
        <v>10</v>
      </c>
      <c r="C2806" s="1">
        <v>42249</v>
      </c>
      <c r="D2806" s="2">
        <f t="shared" si="86"/>
        <v>3</v>
      </c>
      <c r="E2806" s="2">
        <f t="shared" si="87"/>
        <v>9</v>
      </c>
      <c r="F2806">
        <v>9.0594000000000001</v>
      </c>
      <c r="G2806">
        <v>9.2295999999999996</v>
      </c>
      <c r="H2806">
        <v>9.0168999999999997</v>
      </c>
      <c r="I2806">
        <v>9.1869999999999994</v>
      </c>
      <c r="J2806">
        <v>27751</v>
      </c>
      <c r="K2806">
        <v>0.46400000000000002</v>
      </c>
      <c r="L2806">
        <v>2.3584999999999998</v>
      </c>
    </row>
    <row r="2807" spans="1:12" hidden="1" x14ac:dyDescent="0.25">
      <c r="A2807">
        <v>2330</v>
      </c>
      <c r="B2807" t="s">
        <v>11</v>
      </c>
      <c r="C2807" s="1">
        <v>42249</v>
      </c>
      <c r="D2807" s="2">
        <f t="shared" si="86"/>
        <v>3</v>
      </c>
      <c r="E2807" s="2">
        <f t="shared" si="87"/>
        <v>9</v>
      </c>
      <c r="F2807">
        <v>104.3702</v>
      </c>
      <c r="G2807">
        <v>107.76430000000001</v>
      </c>
      <c r="H2807">
        <v>104.3702</v>
      </c>
      <c r="I2807">
        <v>106.4915</v>
      </c>
      <c r="J2807">
        <v>37232</v>
      </c>
      <c r="K2807">
        <v>1.2023999999999999</v>
      </c>
      <c r="L2807">
        <v>3.2519999999999998</v>
      </c>
    </row>
    <row r="2808" spans="1:12" x14ac:dyDescent="0.25">
      <c r="A2808">
        <v>2303</v>
      </c>
      <c r="B2808" t="s">
        <v>10</v>
      </c>
      <c r="C2808" s="1">
        <v>42250</v>
      </c>
      <c r="D2808" s="2">
        <f t="shared" si="86"/>
        <v>4</v>
      </c>
      <c r="E2808" s="2">
        <f t="shared" si="87"/>
        <v>9</v>
      </c>
      <c r="F2808">
        <v>9.2721</v>
      </c>
      <c r="G2808">
        <v>9.6548999999999996</v>
      </c>
      <c r="H2808">
        <v>9.1869999999999994</v>
      </c>
      <c r="I2808">
        <v>9.6548999999999996</v>
      </c>
      <c r="J2808">
        <v>66696</v>
      </c>
      <c r="K2808">
        <v>4.9672000000000001</v>
      </c>
      <c r="L2808">
        <v>5.0926</v>
      </c>
    </row>
    <row r="2809" spans="1:12" hidden="1" x14ac:dyDescent="0.25">
      <c r="A2809">
        <v>2330</v>
      </c>
      <c r="B2809" t="s">
        <v>11</v>
      </c>
      <c r="C2809" s="1">
        <v>42250</v>
      </c>
      <c r="D2809" s="2">
        <f t="shared" si="86"/>
        <v>4</v>
      </c>
      <c r="E2809" s="2">
        <f t="shared" si="87"/>
        <v>9</v>
      </c>
      <c r="F2809">
        <v>108.18859999999999</v>
      </c>
      <c r="G2809">
        <v>108.18859999999999</v>
      </c>
      <c r="H2809">
        <v>106.0673</v>
      </c>
      <c r="I2809">
        <v>107.76430000000001</v>
      </c>
      <c r="J2809">
        <v>24054</v>
      </c>
      <c r="K2809">
        <v>1.1880999999999999</v>
      </c>
      <c r="L2809">
        <v>2</v>
      </c>
    </row>
    <row r="2810" spans="1:12" x14ac:dyDescent="0.25">
      <c r="A2810">
        <v>2303</v>
      </c>
      <c r="B2810" t="s">
        <v>10</v>
      </c>
      <c r="C2810" s="1">
        <v>42251</v>
      </c>
      <c r="D2810" s="2">
        <f t="shared" si="86"/>
        <v>5</v>
      </c>
      <c r="E2810" s="2">
        <f t="shared" si="87"/>
        <v>9</v>
      </c>
      <c r="F2810">
        <v>9.6123999999999992</v>
      </c>
      <c r="G2810">
        <v>9.6548999999999996</v>
      </c>
      <c r="H2810">
        <v>9.3572000000000006</v>
      </c>
      <c r="I2810">
        <v>9.3996999999999993</v>
      </c>
      <c r="J2810">
        <v>36470</v>
      </c>
      <c r="K2810">
        <v>-2.6787000000000001</v>
      </c>
      <c r="L2810">
        <v>3.1818</v>
      </c>
    </row>
    <row r="2811" spans="1:12" hidden="1" x14ac:dyDescent="0.25">
      <c r="A2811">
        <v>2330</v>
      </c>
      <c r="B2811" t="s">
        <v>11</v>
      </c>
      <c r="C2811" s="1">
        <v>42251</v>
      </c>
      <c r="D2811" s="2">
        <f t="shared" si="86"/>
        <v>5</v>
      </c>
      <c r="E2811" s="2">
        <f t="shared" si="87"/>
        <v>9</v>
      </c>
      <c r="F2811">
        <v>107.34010000000001</v>
      </c>
      <c r="G2811">
        <v>107.76430000000001</v>
      </c>
      <c r="H2811">
        <v>104.7944</v>
      </c>
      <c r="I2811">
        <v>106.0673</v>
      </c>
      <c r="J2811">
        <v>23047</v>
      </c>
      <c r="K2811">
        <v>-1.5872999999999999</v>
      </c>
      <c r="L2811">
        <v>2.8340000000000001</v>
      </c>
    </row>
    <row r="2812" spans="1:12" x14ac:dyDescent="0.25">
      <c r="A2812">
        <v>2303</v>
      </c>
      <c r="B2812" t="s">
        <v>10</v>
      </c>
      <c r="C2812" s="1">
        <v>42254</v>
      </c>
      <c r="D2812" s="2">
        <f t="shared" si="86"/>
        <v>1</v>
      </c>
      <c r="E2812" s="2">
        <f t="shared" si="87"/>
        <v>9</v>
      </c>
      <c r="F2812">
        <v>9.3146000000000004</v>
      </c>
      <c r="G2812">
        <v>9.4847999999999999</v>
      </c>
      <c r="H2812">
        <v>9.2295999999999996</v>
      </c>
      <c r="I2812">
        <v>9.3572000000000006</v>
      </c>
      <c r="J2812">
        <v>28819</v>
      </c>
      <c r="K2812">
        <v>-0.45350000000000001</v>
      </c>
      <c r="L2812">
        <v>2.7650000000000001</v>
      </c>
    </row>
    <row r="2813" spans="1:12" hidden="1" x14ac:dyDescent="0.25">
      <c r="A2813">
        <v>2330</v>
      </c>
      <c r="B2813" t="s">
        <v>11</v>
      </c>
      <c r="C2813" s="1">
        <v>42254</v>
      </c>
      <c r="D2813" s="2">
        <f t="shared" si="86"/>
        <v>1</v>
      </c>
      <c r="E2813" s="2">
        <f t="shared" si="87"/>
        <v>9</v>
      </c>
      <c r="F2813">
        <v>105.643</v>
      </c>
      <c r="G2813">
        <v>106.9158</v>
      </c>
      <c r="H2813">
        <v>103.52160000000001</v>
      </c>
      <c r="I2813">
        <v>103.94589999999999</v>
      </c>
      <c r="J2813">
        <v>26152</v>
      </c>
      <c r="K2813">
        <v>-2.0203000000000002</v>
      </c>
      <c r="L2813">
        <v>3.2787000000000002</v>
      </c>
    </row>
    <row r="2814" spans="1:12" x14ac:dyDescent="0.25">
      <c r="A2814">
        <v>2303</v>
      </c>
      <c r="B2814" t="s">
        <v>10</v>
      </c>
      <c r="C2814" s="1">
        <v>42255</v>
      </c>
      <c r="D2814" s="2">
        <f t="shared" si="86"/>
        <v>2</v>
      </c>
      <c r="E2814" s="2">
        <f t="shared" si="87"/>
        <v>9</v>
      </c>
      <c r="F2814">
        <v>9.3572000000000006</v>
      </c>
      <c r="G2814">
        <v>9.4421999999999997</v>
      </c>
      <c r="H2814">
        <v>9.2721</v>
      </c>
      <c r="I2814">
        <v>9.4421999999999997</v>
      </c>
      <c r="J2814">
        <v>20028</v>
      </c>
      <c r="K2814">
        <v>0.90500000000000003</v>
      </c>
      <c r="L2814">
        <v>1.8349</v>
      </c>
    </row>
    <row r="2815" spans="1:12" hidden="1" x14ac:dyDescent="0.25">
      <c r="A2815">
        <v>2330</v>
      </c>
      <c r="B2815" t="s">
        <v>11</v>
      </c>
      <c r="C2815" s="1">
        <v>42255</v>
      </c>
      <c r="D2815" s="2">
        <f t="shared" si="86"/>
        <v>2</v>
      </c>
      <c r="E2815" s="2">
        <f t="shared" si="87"/>
        <v>9</v>
      </c>
      <c r="F2815">
        <v>103.94589999999999</v>
      </c>
      <c r="G2815">
        <v>104.7944</v>
      </c>
      <c r="H2815">
        <v>103.52160000000001</v>
      </c>
      <c r="I2815">
        <v>104.3702</v>
      </c>
      <c r="J2815">
        <v>15112</v>
      </c>
      <c r="K2815">
        <v>0.4073</v>
      </c>
      <c r="L2815">
        <v>1.2295</v>
      </c>
    </row>
    <row r="2816" spans="1:12" x14ac:dyDescent="0.25">
      <c r="A2816">
        <v>2303</v>
      </c>
      <c r="B2816" t="s">
        <v>10</v>
      </c>
      <c r="C2816" s="1">
        <v>42256</v>
      </c>
      <c r="D2816" s="2">
        <f t="shared" si="86"/>
        <v>3</v>
      </c>
      <c r="E2816" s="2">
        <f t="shared" si="87"/>
        <v>9</v>
      </c>
      <c r="F2816">
        <v>9.6548999999999996</v>
      </c>
      <c r="G2816">
        <v>9.8249999999999993</v>
      </c>
      <c r="H2816">
        <v>9.5698000000000008</v>
      </c>
      <c r="I2816">
        <v>9.6974</v>
      </c>
      <c r="J2816">
        <v>72389</v>
      </c>
      <c r="K2816">
        <v>2.6667999999999998</v>
      </c>
      <c r="L2816">
        <v>2.6667000000000001</v>
      </c>
    </row>
    <row r="2817" spans="1:12" hidden="1" x14ac:dyDescent="0.25">
      <c r="A2817">
        <v>2330</v>
      </c>
      <c r="B2817" t="s">
        <v>11</v>
      </c>
      <c r="C2817" s="1">
        <v>42256</v>
      </c>
      <c r="D2817" s="2">
        <f t="shared" si="86"/>
        <v>3</v>
      </c>
      <c r="E2817" s="2">
        <f t="shared" si="87"/>
        <v>9</v>
      </c>
      <c r="F2817">
        <v>107.34010000000001</v>
      </c>
      <c r="G2817">
        <v>109.4614</v>
      </c>
      <c r="H2817">
        <v>107.34010000000001</v>
      </c>
      <c r="I2817">
        <v>109.4614</v>
      </c>
      <c r="J2817">
        <v>53969</v>
      </c>
      <c r="K2817">
        <v>4.7628000000000004</v>
      </c>
      <c r="L2817">
        <v>1.9762999999999999</v>
      </c>
    </row>
    <row r="2818" spans="1:12" x14ac:dyDescent="0.25">
      <c r="A2818">
        <v>2303</v>
      </c>
      <c r="B2818" t="s">
        <v>10</v>
      </c>
      <c r="C2818" s="1">
        <v>42257</v>
      </c>
      <c r="D2818" s="2">
        <f t="shared" si="86"/>
        <v>4</v>
      </c>
      <c r="E2818" s="2">
        <f t="shared" si="87"/>
        <v>9</v>
      </c>
      <c r="F2818">
        <v>9.6123999999999992</v>
      </c>
      <c r="G2818">
        <v>9.7825000000000006</v>
      </c>
      <c r="H2818">
        <v>9.4847999999999999</v>
      </c>
      <c r="I2818">
        <v>9.7825000000000006</v>
      </c>
      <c r="J2818">
        <v>45010</v>
      </c>
      <c r="K2818">
        <v>0.87339999999999995</v>
      </c>
      <c r="L2818">
        <v>3.1389999999999998</v>
      </c>
    </row>
    <row r="2819" spans="1:12" hidden="1" x14ac:dyDescent="0.25">
      <c r="A2819">
        <v>2330</v>
      </c>
      <c r="B2819" t="s">
        <v>11</v>
      </c>
      <c r="C2819" s="1">
        <v>42257</v>
      </c>
      <c r="D2819" s="2">
        <f t="shared" ref="D2819:D2882" si="88">WEEKDAY(C2819,2)</f>
        <v>4</v>
      </c>
      <c r="E2819" s="2">
        <f t="shared" ref="E2819:E2882" si="89">MONTH(C2819)</f>
        <v>9</v>
      </c>
      <c r="F2819">
        <v>107.76430000000001</v>
      </c>
      <c r="G2819">
        <v>108.6129</v>
      </c>
      <c r="H2819">
        <v>106.0673</v>
      </c>
      <c r="I2819">
        <v>106.0673</v>
      </c>
      <c r="J2819">
        <v>34029</v>
      </c>
      <c r="K2819">
        <v>-3.1499000000000001</v>
      </c>
      <c r="L2819">
        <v>2.4</v>
      </c>
    </row>
    <row r="2820" spans="1:12" x14ac:dyDescent="0.25">
      <c r="A2820">
        <v>2303</v>
      </c>
      <c r="B2820" t="s">
        <v>10</v>
      </c>
      <c r="C2820" s="1">
        <v>42258</v>
      </c>
      <c r="D2820" s="2">
        <f t="shared" si="88"/>
        <v>5</v>
      </c>
      <c r="E2820" s="2">
        <f t="shared" si="89"/>
        <v>9</v>
      </c>
      <c r="F2820">
        <v>9.6974</v>
      </c>
      <c r="G2820">
        <v>9.8249999999999993</v>
      </c>
      <c r="H2820">
        <v>9.6548999999999996</v>
      </c>
      <c r="I2820">
        <v>9.7825000000000006</v>
      </c>
      <c r="J2820">
        <v>24281</v>
      </c>
      <c r="K2820">
        <v>0</v>
      </c>
      <c r="L2820">
        <v>1.7621</v>
      </c>
    </row>
    <row r="2821" spans="1:12" hidden="1" x14ac:dyDescent="0.25">
      <c r="A2821">
        <v>2330</v>
      </c>
      <c r="B2821" t="s">
        <v>11</v>
      </c>
      <c r="C2821" s="1">
        <v>42258</v>
      </c>
      <c r="D2821" s="2">
        <f t="shared" si="88"/>
        <v>5</v>
      </c>
      <c r="E2821" s="2">
        <f t="shared" si="89"/>
        <v>9</v>
      </c>
      <c r="F2821">
        <v>106.4915</v>
      </c>
      <c r="G2821">
        <v>108.18859999999999</v>
      </c>
      <c r="H2821">
        <v>105.2187</v>
      </c>
      <c r="I2821">
        <v>108.18859999999999</v>
      </c>
      <c r="J2821">
        <v>24548</v>
      </c>
      <c r="K2821">
        <v>1.9802999999999999</v>
      </c>
      <c r="L2821">
        <v>2.8226</v>
      </c>
    </row>
    <row r="2822" spans="1:12" x14ac:dyDescent="0.25">
      <c r="A2822">
        <v>2303</v>
      </c>
      <c r="B2822" t="s">
        <v>10</v>
      </c>
      <c r="C2822" s="1">
        <v>42261</v>
      </c>
      <c r="D2822" s="2">
        <f t="shared" si="88"/>
        <v>1</v>
      </c>
      <c r="E2822" s="2">
        <f t="shared" si="89"/>
        <v>9</v>
      </c>
      <c r="F2822">
        <v>9.7825000000000006</v>
      </c>
      <c r="G2822">
        <v>9.8675999999999995</v>
      </c>
      <c r="H2822">
        <v>9.6974</v>
      </c>
      <c r="I2822">
        <v>9.7825000000000006</v>
      </c>
      <c r="J2822">
        <v>26126</v>
      </c>
      <c r="K2822">
        <v>0</v>
      </c>
      <c r="L2822">
        <v>1.7544</v>
      </c>
    </row>
    <row r="2823" spans="1:12" hidden="1" x14ac:dyDescent="0.25">
      <c r="A2823">
        <v>2330</v>
      </c>
      <c r="B2823" t="s">
        <v>11</v>
      </c>
      <c r="C2823" s="1">
        <v>42261</v>
      </c>
      <c r="D2823" s="2">
        <f t="shared" si="88"/>
        <v>1</v>
      </c>
      <c r="E2823" s="2">
        <f t="shared" si="89"/>
        <v>9</v>
      </c>
      <c r="F2823">
        <v>108.6129</v>
      </c>
      <c r="G2823">
        <v>109.4614</v>
      </c>
      <c r="H2823">
        <v>106.9158</v>
      </c>
      <c r="I2823">
        <v>108.18859999999999</v>
      </c>
      <c r="J2823">
        <v>25582</v>
      </c>
      <c r="K2823">
        <v>0</v>
      </c>
      <c r="L2823">
        <v>2.3809999999999998</v>
      </c>
    </row>
    <row r="2824" spans="1:12" x14ac:dyDescent="0.25">
      <c r="A2824">
        <v>2303</v>
      </c>
      <c r="B2824" t="s">
        <v>10</v>
      </c>
      <c r="C2824" s="1">
        <v>42262</v>
      </c>
      <c r="D2824" s="2">
        <f t="shared" si="88"/>
        <v>2</v>
      </c>
      <c r="E2824" s="2">
        <f t="shared" si="89"/>
        <v>9</v>
      </c>
      <c r="F2824">
        <v>9.7825000000000006</v>
      </c>
      <c r="G2824">
        <v>9.8249999999999993</v>
      </c>
      <c r="H2824">
        <v>9.6974</v>
      </c>
      <c r="I2824">
        <v>9.74</v>
      </c>
      <c r="J2824">
        <v>26565</v>
      </c>
      <c r="K2824">
        <v>-0.43569999999999998</v>
      </c>
      <c r="L2824">
        <v>1.3158000000000001</v>
      </c>
    </row>
    <row r="2825" spans="1:12" hidden="1" x14ac:dyDescent="0.25">
      <c r="A2825">
        <v>2330</v>
      </c>
      <c r="B2825" t="s">
        <v>11</v>
      </c>
      <c r="C2825" s="1">
        <v>42262</v>
      </c>
      <c r="D2825" s="2">
        <f t="shared" si="88"/>
        <v>2</v>
      </c>
      <c r="E2825" s="2">
        <f t="shared" si="89"/>
        <v>9</v>
      </c>
      <c r="F2825">
        <v>108.18859999999999</v>
      </c>
      <c r="G2825">
        <v>108.6129</v>
      </c>
      <c r="H2825">
        <v>106.4915</v>
      </c>
      <c r="I2825">
        <v>106.9158</v>
      </c>
      <c r="J2825">
        <v>22223</v>
      </c>
      <c r="K2825">
        <v>-1.1834</v>
      </c>
      <c r="L2825">
        <v>1.992</v>
      </c>
    </row>
    <row r="2826" spans="1:12" x14ac:dyDescent="0.25">
      <c r="A2826">
        <v>2303</v>
      </c>
      <c r="B2826" t="s">
        <v>10</v>
      </c>
      <c r="C2826" s="1">
        <v>42263</v>
      </c>
      <c r="D2826" s="2">
        <f t="shared" si="88"/>
        <v>3</v>
      </c>
      <c r="E2826" s="2">
        <f t="shared" si="89"/>
        <v>9</v>
      </c>
      <c r="F2826">
        <v>9.8249999999999993</v>
      </c>
      <c r="G2826">
        <v>9.8675999999999995</v>
      </c>
      <c r="H2826">
        <v>9.6548999999999996</v>
      </c>
      <c r="I2826">
        <v>9.6974</v>
      </c>
      <c r="J2826">
        <v>29432</v>
      </c>
      <c r="K2826">
        <v>-0.43759999999999999</v>
      </c>
      <c r="L2826">
        <v>2.2025999999999999</v>
      </c>
    </row>
    <row r="2827" spans="1:12" hidden="1" x14ac:dyDescent="0.25">
      <c r="A2827">
        <v>2330</v>
      </c>
      <c r="B2827" t="s">
        <v>11</v>
      </c>
      <c r="C2827" s="1">
        <v>42263</v>
      </c>
      <c r="D2827" s="2">
        <f t="shared" si="88"/>
        <v>3</v>
      </c>
      <c r="E2827" s="2">
        <f t="shared" si="89"/>
        <v>9</v>
      </c>
      <c r="F2827">
        <v>108.6129</v>
      </c>
      <c r="G2827">
        <v>110.3099</v>
      </c>
      <c r="H2827">
        <v>108.18859999999999</v>
      </c>
      <c r="I2827">
        <v>109.8857</v>
      </c>
      <c r="J2827">
        <v>44137</v>
      </c>
      <c r="K2827">
        <v>2.7399</v>
      </c>
      <c r="L2827">
        <v>1.9608000000000001</v>
      </c>
    </row>
    <row r="2828" spans="1:12" x14ac:dyDescent="0.25">
      <c r="A2828">
        <v>2303</v>
      </c>
      <c r="B2828" t="s">
        <v>10</v>
      </c>
      <c r="C2828" s="1">
        <v>42264</v>
      </c>
      <c r="D2828" s="2">
        <f t="shared" si="88"/>
        <v>4</v>
      </c>
      <c r="E2828" s="2">
        <f t="shared" si="89"/>
        <v>9</v>
      </c>
      <c r="F2828">
        <v>9.8249999999999993</v>
      </c>
      <c r="G2828">
        <v>9.8675999999999995</v>
      </c>
      <c r="H2828">
        <v>9.74</v>
      </c>
      <c r="I2828">
        <v>9.8249999999999993</v>
      </c>
      <c r="J2828">
        <v>41811</v>
      </c>
      <c r="K2828">
        <v>1.3071999999999999</v>
      </c>
      <c r="L2828">
        <v>1.31</v>
      </c>
    </row>
    <row r="2829" spans="1:12" hidden="1" x14ac:dyDescent="0.25">
      <c r="A2829">
        <v>2330</v>
      </c>
      <c r="B2829" t="s">
        <v>11</v>
      </c>
      <c r="C2829" s="1">
        <v>42264</v>
      </c>
      <c r="D2829" s="2">
        <f t="shared" si="88"/>
        <v>4</v>
      </c>
      <c r="E2829" s="2">
        <f t="shared" si="89"/>
        <v>9</v>
      </c>
      <c r="F2829">
        <v>110.7342</v>
      </c>
      <c r="G2829">
        <v>111.5827</v>
      </c>
      <c r="H2829">
        <v>110.3099</v>
      </c>
      <c r="I2829">
        <v>111.1585</v>
      </c>
      <c r="J2829">
        <v>52529</v>
      </c>
      <c r="K2829">
        <v>1.1516</v>
      </c>
      <c r="L2829">
        <v>1.1537999999999999</v>
      </c>
    </row>
    <row r="2830" spans="1:12" x14ac:dyDescent="0.25">
      <c r="A2830">
        <v>2303</v>
      </c>
      <c r="B2830" t="s">
        <v>10</v>
      </c>
      <c r="C2830" s="1">
        <v>42265</v>
      </c>
      <c r="D2830" s="2">
        <f t="shared" si="88"/>
        <v>5</v>
      </c>
      <c r="E2830" s="2">
        <f t="shared" si="89"/>
        <v>9</v>
      </c>
      <c r="F2830">
        <v>9.8249999999999993</v>
      </c>
      <c r="G2830">
        <v>9.8675999999999995</v>
      </c>
      <c r="H2830">
        <v>9.74</v>
      </c>
      <c r="I2830">
        <v>9.8675999999999995</v>
      </c>
      <c r="J2830">
        <v>30325</v>
      </c>
      <c r="K2830">
        <v>0.432</v>
      </c>
      <c r="L2830">
        <v>1.31</v>
      </c>
    </row>
    <row r="2831" spans="1:12" hidden="1" x14ac:dyDescent="0.25">
      <c r="A2831">
        <v>2330</v>
      </c>
      <c r="B2831" t="s">
        <v>11</v>
      </c>
      <c r="C2831" s="1">
        <v>42265</v>
      </c>
      <c r="D2831" s="2">
        <f t="shared" si="88"/>
        <v>5</v>
      </c>
      <c r="E2831" s="2">
        <f t="shared" si="89"/>
        <v>9</v>
      </c>
      <c r="F2831">
        <v>109.8857</v>
      </c>
      <c r="G2831">
        <v>111.5827</v>
      </c>
      <c r="H2831">
        <v>109.4614</v>
      </c>
      <c r="I2831">
        <v>111.5827</v>
      </c>
      <c r="J2831">
        <v>32590</v>
      </c>
      <c r="K2831">
        <v>0.38100000000000001</v>
      </c>
      <c r="L2831">
        <v>1.9379999999999999</v>
      </c>
    </row>
    <row r="2832" spans="1:12" x14ac:dyDescent="0.25">
      <c r="A2832">
        <v>2303</v>
      </c>
      <c r="B2832" t="s">
        <v>10</v>
      </c>
      <c r="C2832" s="1">
        <v>42268</v>
      </c>
      <c r="D2832" s="2">
        <f t="shared" si="88"/>
        <v>1</v>
      </c>
      <c r="E2832" s="2">
        <f t="shared" si="89"/>
        <v>9</v>
      </c>
      <c r="F2832">
        <v>9.74</v>
      </c>
      <c r="G2832">
        <v>9.7825000000000006</v>
      </c>
      <c r="H2832">
        <v>9.5273000000000003</v>
      </c>
      <c r="I2832">
        <v>9.5273000000000003</v>
      </c>
      <c r="J2832">
        <v>33232</v>
      </c>
      <c r="K2832">
        <v>-3.5091000000000001</v>
      </c>
      <c r="L2832">
        <v>2.6785999999999999</v>
      </c>
    </row>
    <row r="2833" spans="1:12" hidden="1" x14ac:dyDescent="0.25">
      <c r="A2833">
        <v>2330</v>
      </c>
      <c r="B2833" t="s">
        <v>11</v>
      </c>
      <c r="C2833" s="1">
        <v>42268</v>
      </c>
      <c r="D2833" s="2">
        <f t="shared" si="88"/>
        <v>1</v>
      </c>
      <c r="E2833" s="2">
        <f t="shared" si="89"/>
        <v>9</v>
      </c>
      <c r="F2833">
        <v>110.3099</v>
      </c>
      <c r="G2833">
        <v>110.3099</v>
      </c>
      <c r="H2833">
        <v>109.0371</v>
      </c>
      <c r="I2833">
        <v>109.8857</v>
      </c>
      <c r="J2833">
        <v>35271</v>
      </c>
      <c r="K2833">
        <v>-1.5326</v>
      </c>
      <c r="L2833">
        <v>1.1673</v>
      </c>
    </row>
    <row r="2834" spans="1:12" x14ac:dyDescent="0.25">
      <c r="A2834">
        <v>2303</v>
      </c>
      <c r="B2834" t="s">
        <v>10</v>
      </c>
      <c r="C2834" s="1">
        <v>42269</v>
      </c>
      <c r="D2834" s="2">
        <f t="shared" si="88"/>
        <v>2</v>
      </c>
      <c r="E2834" s="2">
        <f t="shared" si="89"/>
        <v>9</v>
      </c>
      <c r="F2834">
        <v>9.6548999999999996</v>
      </c>
      <c r="G2834">
        <v>9.6548999999999996</v>
      </c>
      <c r="H2834">
        <v>9.4847999999999999</v>
      </c>
      <c r="I2834">
        <v>9.6123999999999992</v>
      </c>
      <c r="J2834">
        <v>33478</v>
      </c>
      <c r="K2834">
        <v>0.88890000000000002</v>
      </c>
      <c r="L2834">
        <v>1.7937000000000001</v>
      </c>
    </row>
    <row r="2835" spans="1:12" hidden="1" x14ac:dyDescent="0.25">
      <c r="A2835">
        <v>2330</v>
      </c>
      <c r="B2835" t="s">
        <v>11</v>
      </c>
      <c r="C2835" s="1">
        <v>42269</v>
      </c>
      <c r="D2835" s="2">
        <f t="shared" si="88"/>
        <v>2</v>
      </c>
      <c r="E2835" s="2">
        <f t="shared" si="89"/>
        <v>9</v>
      </c>
      <c r="F2835">
        <v>110.3099</v>
      </c>
      <c r="G2835">
        <v>110.3099</v>
      </c>
      <c r="H2835">
        <v>109.0371</v>
      </c>
      <c r="I2835">
        <v>109.4614</v>
      </c>
      <c r="J2835">
        <v>18378</v>
      </c>
      <c r="K2835">
        <v>-0.38679999999999998</v>
      </c>
      <c r="L2835">
        <v>1.1673</v>
      </c>
    </row>
    <row r="2836" spans="1:12" x14ac:dyDescent="0.25">
      <c r="A2836">
        <v>2303</v>
      </c>
      <c r="B2836" t="s">
        <v>10</v>
      </c>
      <c r="C2836" s="1">
        <v>42270</v>
      </c>
      <c r="D2836" s="2">
        <f t="shared" si="88"/>
        <v>3</v>
      </c>
      <c r="E2836" s="2">
        <f t="shared" si="89"/>
        <v>9</v>
      </c>
      <c r="F2836">
        <v>9.4421999999999997</v>
      </c>
      <c r="G2836">
        <v>9.5273000000000003</v>
      </c>
      <c r="H2836">
        <v>9.2721</v>
      </c>
      <c r="I2836">
        <v>9.3146000000000004</v>
      </c>
      <c r="J2836">
        <v>44213</v>
      </c>
      <c r="K2836">
        <v>-3.1463000000000001</v>
      </c>
      <c r="L2836">
        <v>2.7523</v>
      </c>
    </row>
    <row r="2837" spans="1:12" hidden="1" x14ac:dyDescent="0.25">
      <c r="A2837">
        <v>2330</v>
      </c>
      <c r="B2837" t="s">
        <v>11</v>
      </c>
      <c r="C2837" s="1">
        <v>42270</v>
      </c>
      <c r="D2837" s="2">
        <f t="shared" si="88"/>
        <v>3</v>
      </c>
      <c r="E2837" s="2">
        <f t="shared" si="89"/>
        <v>9</v>
      </c>
      <c r="F2837">
        <v>107.76430000000001</v>
      </c>
      <c r="G2837">
        <v>108.18859999999999</v>
      </c>
      <c r="H2837">
        <v>105.643</v>
      </c>
      <c r="I2837">
        <v>105.643</v>
      </c>
      <c r="J2837">
        <v>35523</v>
      </c>
      <c r="K2837">
        <v>-3.5507</v>
      </c>
      <c r="L2837">
        <v>2.4096000000000002</v>
      </c>
    </row>
    <row r="2838" spans="1:12" x14ac:dyDescent="0.25">
      <c r="A2838">
        <v>2303</v>
      </c>
      <c r="B2838" t="s">
        <v>10</v>
      </c>
      <c r="C2838" s="1">
        <v>42271</v>
      </c>
      <c r="D2838" s="2">
        <f t="shared" si="88"/>
        <v>4</v>
      </c>
      <c r="E2838" s="2">
        <f t="shared" si="89"/>
        <v>9</v>
      </c>
      <c r="F2838">
        <v>9.3572000000000006</v>
      </c>
      <c r="G2838">
        <v>9.3996999999999993</v>
      </c>
      <c r="H2838">
        <v>9.1869999999999994</v>
      </c>
      <c r="I2838">
        <v>9.1869999999999994</v>
      </c>
      <c r="J2838">
        <v>37776</v>
      </c>
      <c r="K2838">
        <v>-1.3793</v>
      </c>
      <c r="L2838">
        <v>2.3148</v>
      </c>
    </row>
    <row r="2839" spans="1:12" hidden="1" x14ac:dyDescent="0.25">
      <c r="A2839">
        <v>2330</v>
      </c>
      <c r="B2839" t="s">
        <v>11</v>
      </c>
      <c r="C2839" s="1">
        <v>42271</v>
      </c>
      <c r="D2839" s="2">
        <f t="shared" si="88"/>
        <v>4</v>
      </c>
      <c r="E2839" s="2">
        <f t="shared" si="89"/>
        <v>9</v>
      </c>
      <c r="F2839">
        <v>107.76430000000001</v>
      </c>
      <c r="G2839">
        <v>108.6129</v>
      </c>
      <c r="H2839">
        <v>106.4915</v>
      </c>
      <c r="I2839">
        <v>107.76430000000001</v>
      </c>
      <c r="J2839">
        <v>44708</v>
      </c>
      <c r="K2839">
        <v>1.9881</v>
      </c>
      <c r="L2839">
        <v>1.992</v>
      </c>
    </row>
    <row r="2840" spans="1:12" x14ac:dyDescent="0.25">
      <c r="A2840">
        <v>2303</v>
      </c>
      <c r="B2840" t="s">
        <v>10</v>
      </c>
      <c r="C2840" s="1">
        <v>42272</v>
      </c>
      <c r="D2840" s="2">
        <f t="shared" si="88"/>
        <v>5</v>
      </c>
      <c r="E2840" s="2">
        <f t="shared" si="89"/>
        <v>9</v>
      </c>
      <c r="F2840">
        <v>9.2295999999999996</v>
      </c>
      <c r="G2840">
        <v>9.3146000000000004</v>
      </c>
      <c r="H2840">
        <v>9.1445000000000007</v>
      </c>
      <c r="I2840">
        <v>9.3146000000000004</v>
      </c>
      <c r="J2840">
        <v>31428</v>
      </c>
      <c r="K2840">
        <v>1.3793</v>
      </c>
      <c r="L2840">
        <v>1.8605</v>
      </c>
    </row>
    <row r="2841" spans="1:12" hidden="1" x14ac:dyDescent="0.25">
      <c r="A2841">
        <v>2330</v>
      </c>
      <c r="B2841" t="s">
        <v>11</v>
      </c>
      <c r="C2841" s="1">
        <v>42272</v>
      </c>
      <c r="D2841" s="2">
        <f t="shared" si="88"/>
        <v>5</v>
      </c>
      <c r="E2841" s="2">
        <f t="shared" si="89"/>
        <v>9</v>
      </c>
      <c r="F2841">
        <v>107.76430000000001</v>
      </c>
      <c r="G2841">
        <v>108.18859999999999</v>
      </c>
      <c r="H2841">
        <v>106.0673</v>
      </c>
      <c r="I2841">
        <v>107.76430000000001</v>
      </c>
      <c r="J2841">
        <v>24688</v>
      </c>
      <c r="K2841">
        <v>0</v>
      </c>
      <c r="L2841">
        <v>2</v>
      </c>
    </row>
    <row r="2842" spans="1:12" x14ac:dyDescent="0.25">
      <c r="A2842">
        <v>2303</v>
      </c>
      <c r="B2842" t="s">
        <v>10</v>
      </c>
      <c r="C2842" s="1">
        <v>42277</v>
      </c>
      <c r="D2842" s="2">
        <f t="shared" si="88"/>
        <v>3</v>
      </c>
      <c r="E2842" s="2">
        <f t="shared" si="89"/>
        <v>9</v>
      </c>
      <c r="F2842">
        <v>9.1020000000000003</v>
      </c>
      <c r="G2842">
        <v>9.2721</v>
      </c>
      <c r="H2842">
        <v>9.1020000000000003</v>
      </c>
      <c r="I2842">
        <v>9.1869999999999994</v>
      </c>
      <c r="J2842">
        <v>63361</v>
      </c>
      <c r="K2842">
        <v>-1.3793</v>
      </c>
      <c r="L2842">
        <v>1.8692</v>
      </c>
    </row>
    <row r="2843" spans="1:12" hidden="1" x14ac:dyDescent="0.25">
      <c r="A2843">
        <v>2330</v>
      </c>
      <c r="B2843" t="s">
        <v>11</v>
      </c>
      <c r="C2843" s="1">
        <v>42277</v>
      </c>
      <c r="D2843" s="2">
        <f t="shared" si="88"/>
        <v>3</v>
      </c>
      <c r="E2843" s="2">
        <f t="shared" si="89"/>
        <v>9</v>
      </c>
      <c r="F2843">
        <v>108.6129</v>
      </c>
      <c r="G2843">
        <v>111.1585</v>
      </c>
      <c r="H2843">
        <v>107.76430000000001</v>
      </c>
      <c r="I2843">
        <v>110.3099</v>
      </c>
      <c r="J2843">
        <v>76377</v>
      </c>
      <c r="K2843">
        <v>2.3347000000000002</v>
      </c>
      <c r="L2843">
        <v>3.1496</v>
      </c>
    </row>
    <row r="2844" spans="1:12" x14ac:dyDescent="0.25">
      <c r="A2844">
        <v>2303</v>
      </c>
      <c r="B2844" t="s">
        <v>10</v>
      </c>
      <c r="C2844" s="1">
        <v>42278</v>
      </c>
      <c r="D2844" s="2">
        <f t="shared" si="88"/>
        <v>4</v>
      </c>
      <c r="E2844" s="2">
        <f t="shared" si="89"/>
        <v>10</v>
      </c>
      <c r="F2844">
        <v>9.2295999999999996</v>
      </c>
      <c r="G2844">
        <v>9.3996999999999993</v>
      </c>
      <c r="H2844">
        <v>9.1869999999999994</v>
      </c>
      <c r="I2844">
        <v>9.2721</v>
      </c>
      <c r="J2844">
        <v>37873</v>
      </c>
      <c r="K2844">
        <v>0.92169999999999996</v>
      </c>
      <c r="L2844">
        <v>2.3148</v>
      </c>
    </row>
    <row r="2845" spans="1:12" hidden="1" x14ac:dyDescent="0.25">
      <c r="A2845">
        <v>2330</v>
      </c>
      <c r="B2845" t="s">
        <v>11</v>
      </c>
      <c r="C2845" s="1">
        <v>42278</v>
      </c>
      <c r="D2845" s="2">
        <f t="shared" si="88"/>
        <v>4</v>
      </c>
      <c r="E2845" s="2">
        <f t="shared" si="89"/>
        <v>10</v>
      </c>
      <c r="F2845">
        <v>111.1585</v>
      </c>
      <c r="G2845">
        <v>113.7041</v>
      </c>
      <c r="H2845">
        <v>109.8857</v>
      </c>
      <c r="I2845">
        <v>113.27979999999999</v>
      </c>
      <c r="J2845">
        <v>53400</v>
      </c>
      <c r="K2845">
        <v>2.6566999999999998</v>
      </c>
      <c r="L2845">
        <v>3.4748999999999999</v>
      </c>
    </row>
    <row r="2846" spans="1:12" x14ac:dyDescent="0.25">
      <c r="A2846">
        <v>2303</v>
      </c>
      <c r="B2846" t="s">
        <v>10</v>
      </c>
      <c r="C2846" s="1">
        <v>42279</v>
      </c>
      <c r="D2846" s="2">
        <f t="shared" si="88"/>
        <v>5</v>
      </c>
      <c r="E2846" s="2">
        <f t="shared" si="89"/>
        <v>10</v>
      </c>
      <c r="F2846">
        <v>9.3146000000000004</v>
      </c>
      <c r="G2846">
        <v>9.3572000000000006</v>
      </c>
      <c r="H2846">
        <v>9.2295999999999996</v>
      </c>
      <c r="I2846">
        <v>9.3146000000000004</v>
      </c>
      <c r="J2846">
        <v>22565</v>
      </c>
      <c r="K2846">
        <v>0.4577</v>
      </c>
      <c r="L2846">
        <v>1.3825000000000001</v>
      </c>
    </row>
    <row r="2847" spans="1:12" hidden="1" x14ac:dyDescent="0.25">
      <c r="A2847">
        <v>2330</v>
      </c>
      <c r="B2847" t="s">
        <v>11</v>
      </c>
      <c r="C2847" s="1">
        <v>42279</v>
      </c>
      <c r="D2847" s="2">
        <f t="shared" si="88"/>
        <v>5</v>
      </c>
      <c r="E2847" s="2">
        <f t="shared" si="89"/>
        <v>10</v>
      </c>
      <c r="F2847">
        <v>112.43129999999999</v>
      </c>
      <c r="G2847">
        <v>112.43129999999999</v>
      </c>
      <c r="H2847">
        <v>111.5827</v>
      </c>
      <c r="I2847">
        <v>112.00700000000001</v>
      </c>
      <c r="J2847">
        <v>25252</v>
      </c>
      <c r="K2847">
        <v>-1.1299999999999999</v>
      </c>
      <c r="L2847">
        <v>0.76049999999999995</v>
      </c>
    </row>
    <row r="2848" spans="1:12" x14ac:dyDescent="0.25">
      <c r="A2848">
        <v>2303</v>
      </c>
      <c r="B2848" t="s">
        <v>10</v>
      </c>
      <c r="C2848" s="1">
        <v>42282</v>
      </c>
      <c r="D2848" s="2">
        <f t="shared" si="88"/>
        <v>1</v>
      </c>
      <c r="E2848" s="2">
        <f t="shared" si="89"/>
        <v>10</v>
      </c>
      <c r="F2848">
        <v>9.3572000000000006</v>
      </c>
      <c r="G2848">
        <v>9.5273000000000003</v>
      </c>
      <c r="H2848">
        <v>9.3146000000000004</v>
      </c>
      <c r="I2848">
        <v>9.4847999999999999</v>
      </c>
      <c r="J2848">
        <v>28750</v>
      </c>
      <c r="K2848">
        <v>1.81</v>
      </c>
      <c r="L2848">
        <v>2.2831000000000001</v>
      </c>
    </row>
    <row r="2849" spans="1:12" hidden="1" x14ac:dyDescent="0.25">
      <c r="A2849">
        <v>2330</v>
      </c>
      <c r="B2849" t="s">
        <v>11</v>
      </c>
      <c r="C2849" s="1">
        <v>42282</v>
      </c>
      <c r="D2849" s="2">
        <f t="shared" si="88"/>
        <v>1</v>
      </c>
      <c r="E2849" s="2">
        <f t="shared" si="89"/>
        <v>10</v>
      </c>
      <c r="F2849">
        <v>112.8556</v>
      </c>
      <c r="G2849">
        <v>113.27979999999999</v>
      </c>
      <c r="H2849">
        <v>111.5827</v>
      </c>
      <c r="I2849">
        <v>112.43129999999999</v>
      </c>
      <c r="J2849">
        <v>30895</v>
      </c>
      <c r="K2849">
        <v>0.37809999999999999</v>
      </c>
      <c r="L2849">
        <v>1.5208999999999999</v>
      </c>
    </row>
    <row r="2850" spans="1:12" x14ac:dyDescent="0.25">
      <c r="A2850">
        <v>2303</v>
      </c>
      <c r="B2850" t="s">
        <v>10</v>
      </c>
      <c r="C2850" s="1">
        <v>42283</v>
      </c>
      <c r="D2850" s="2">
        <f t="shared" si="88"/>
        <v>2</v>
      </c>
      <c r="E2850" s="2">
        <f t="shared" si="89"/>
        <v>10</v>
      </c>
      <c r="F2850">
        <v>9.6123999999999992</v>
      </c>
      <c r="G2850">
        <v>9.6548999999999996</v>
      </c>
      <c r="H2850">
        <v>9.4847999999999999</v>
      </c>
      <c r="I2850">
        <v>9.5698000000000008</v>
      </c>
      <c r="J2850">
        <v>26158</v>
      </c>
      <c r="K2850">
        <v>0.89290000000000003</v>
      </c>
      <c r="L2850">
        <v>1.7937000000000001</v>
      </c>
    </row>
    <row r="2851" spans="1:12" hidden="1" x14ac:dyDescent="0.25">
      <c r="A2851">
        <v>2330</v>
      </c>
      <c r="B2851" t="s">
        <v>11</v>
      </c>
      <c r="C2851" s="1">
        <v>42283</v>
      </c>
      <c r="D2851" s="2">
        <f t="shared" si="88"/>
        <v>2</v>
      </c>
      <c r="E2851" s="2">
        <f t="shared" si="89"/>
        <v>10</v>
      </c>
      <c r="F2851">
        <v>114.5526</v>
      </c>
      <c r="G2851">
        <v>114.9769</v>
      </c>
      <c r="H2851">
        <v>112.43129999999999</v>
      </c>
      <c r="I2851">
        <v>112.8556</v>
      </c>
      <c r="J2851">
        <v>49925</v>
      </c>
      <c r="K2851">
        <v>0.37659999999999999</v>
      </c>
      <c r="L2851">
        <v>2.2642000000000002</v>
      </c>
    </row>
    <row r="2852" spans="1:12" x14ac:dyDescent="0.25">
      <c r="A2852">
        <v>2303</v>
      </c>
      <c r="B2852" t="s">
        <v>10</v>
      </c>
      <c r="C2852" s="1">
        <v>42284</v>
      </c>
      <c r="D2852" s="2">
        <f t="shared" si="88"/>
        <v>3</v>
      </c>
      <c r="E2852" s="2">
        <f t="shared" si="89"/>
        <v>10</v>
      </c>
      <c r="F2852">
        <v>9.5698000000000008</v>
      </c>
      <c r="G2852">
        <v>9.6123999999999992</v>
      </c>
      <c r="H2852">
        <v>9.4421999999999997</v>
      </c>
      <c r="I2852">
        <v>9.6123999999999992</v>
      </c>
      <c r="J2852">
        <v>30544</v>
      </c>
      <c r="K2852">
        <v>0.44350000000000001</v>
      </c>
      <c r="L2852">
        <v>1.8018000000000001</v>
      </c>
    </row>
    <row r="2853" spans="1:12" hidden="1" x14ac:dyDescent="0.25">
      <c r="A2853">
        <v>2330</v>
      </c>
      <c r="B2853" t="s">
        <v>11</v>
      </c>
      <c r="C2853" s="1">
        <v>42284</v>
      </c>
      <c r="D2853" s="2">
        <f t="shared" si="88"/>
        <v>3</v>
      </c>
      <c r="E2853" s="2">
        <f t="shared" si="89"/>
        <v>10</v>
      </c>
      <c r="F2853">
        <v>113.27979999999999</v>
      </c>
      <c r="G2853">
        <v>114.5526</v>
      </c>
      <c r="H2853">
        <v>112.8556</v>
      </c>
      <c r="I2853">
        <v>114.5526</v>
      </c>
      <c r="J2853">
        <v>32541</v>
      </c>
      <c r="K2853">
        <v>1.4925999999999999</v>
      </c>
      <c r="L2853">
        <v>1.5038</v>
      </c>
    </row>
    <row r="2854" spans="1:12" x14ac:dyDescent="0.25">
      <c r="A2854">
        <v>2303</v>
      </c>
      <c r="B2854" t="s">
        <v>10</v>
      </c>
      <c r="C2854" s="1">
        <v>42285</v>
      </c>
      <c r="D2854" s="2">
        <f t="shared" si="88"/>
        <v>4</v>
      </c>
      <c r="E2854" s="2">
        <f t="shared" si="89"/>
        <v>10</v>
      </c>
      <c r="F2854">
        <v>9.6974</v>
      </c>
      <c r="G2854">
        <v>9.6974</v>
      </c>
      <c r="H2854">
        <v>9.5273000000000003</v>
      </c>
      <c r="I2854">
        <v>9.5698000000000008</v>
      </c>
      <c r="J2854">
        <v>20222</v>
      </c>
      <c r="K2854">
        <v>-0.44350000000000001</v>
      </c>
      <c r="L2854">
        <v>1.7857000000000001</v>
      </c>
    </row>
    <row r="2855" spans="1:12" hidden="1" x14ac:dyDescent="0.25">
      <c r="A2855">
        <v>2330</v>
      </c>
      <c r="B2855" t="s">
        <v>11</v>
      </c>
      <c r="C2855" s="1">
        <v>42285</v>
      </c>
      <c r="D2855" s="2">
        <f t="shared" si="88"/>
        <v>4</v>
      </c>
      <c r="E2855" s="2">
        <f t="shared" si="89"/>
        <v>10</v>
      </c>
      <c r="F2855">
        <v>116.2497</v>
      </c>
      <c r="G2855">
        <v>116.2497</v>
      </c>
      <c r="H2855">
        <v>114.5526</v>
      </c>
      <c r="I2855">
        <v>115.4012</v>
      </c>
      <c r="J2855">
        <v>32054</v>
      </c>
      <c r="K2855">
        <v>0.73799999999999999</v>
      </c>
      <c r="L2855">
        <v>1.4815</v>
      </c>
    </row>
    <row r="2856" spans="1:12" x14ac:dyDescent="0.25">
      <c r="A2856">
        <v>2303</v>
      </c>
      <c r="B2856" t="s">
        <v>10</v>
      </c>
      <c r="C2856" s="1">
        <v>42289</v>
      </c>
      <c r="D2856" s="2">
        <f t="shared" si="88"/>
        <v>1</v>
      </c>
      <c r="E2856" s="2">
        <f t="shared" si="89"/>
        <v>10</v>
      </c>
      <c r="F2856">
        <v>9.5698000000000008</v>
      </c>
      <c r="G2856">
        <v>9.6974</v>
      </c>
      <c r="H2856">
        <v>9.5273000000000003</v>
      </c>
      <c r="I2856">
        <v>9.6974</v>
      </c>
      <c r="J2856">
        <v>47287</v>
      </c>
      <c r="K2856">
        <v>1.3245</v>
      </c>
      <c r="L2856">
        <v>1.7857000000000001</v>
      </c>
    </row>
    <row r="2857" spans="1:12" hidden="1" x14ac:dyDescent="0.25">
      <c r="A2857">
        <v>2330</v>
      </c>
      <c r="B2857" t="s">
        <v>11</v>
      </c>
      <c r="C2857" s="1">
        <v>42289</v>
      </c>
      <c r="D2857" s="2">
        <f t="shared" si="88"/>
        <v>1</v>
      </c>
      <c r="E2857" s="2">
        <f t="shared" si="89"/>
        <v>10</v>
      </c>
      <c r="F2857">
        <v>116.2497</v>
      </c>
      <c r="G2857">
        <v>117.9468</v>
      </c>
      <c r="H2857">
        <v>115.8254</v>
      </c>
      <c r="I2857">
        <v>117.52249999999999</v>
      </c>
      <c r="J2857">
        <v>51617</v>
      </c>
      <c r="K2857">
        <v>1.8214999999999999</v>
      </c>
      <c r="L2857">
        <v>1.8314999999999999</v>
      </c>
    </row>
    <row r="2858" spans="1:12" x14ac:dyDescent="0.25">
      <c r="A2858">
        <v>2303</v>
      </c>
      <c r="B2858" t="s">
        <v>10</v>
      </c>
      <c r="C2858" s="1">
        <v>42290</v>
      </c>
      <c r="D2858" s="2">
        <f t="shared" si="88"/>
        <v>2</v>
      </c>
      <c r="E2858" s="2">
        <f t="shared" si="89"/>
        <v>10</v>
      </c>
      <c r="F2858">
        <v>9.6974</v>
      </c>
      <c r="G2858">
        <v>9.74</v>
      </c>
      <c r="H2858">
        <v>9.6123999999999992</v>
      </c>
      <c r="I2858">
        <v>9.74</v>
      </c>
      <c r="J2858">
        <v>24773</v>
      </c>
      <c r="K2858">
        <v>0.43759999999999999</v>
      </c>
      <c r="L2858">
        <v>1.3273999999999999</v>
      </c>
    </row>
    <row r="2859" spans="1:12" hidden="1" x14ac:dyDescent="0.25">
      <c r="A2859">
        <v>2330</v>
      </c>
      <c r="B2859" t="s">
        <v>11</v>
      </c>
      <c r="C2859" s="1">
        <v>42290</v>
      </c>
      <c r="D2859" s="2">
        <f t="shared" si="88"/>
        <v>2</v>
      </c>
      <c r="E2859" s="2">
        <f t="shared" si="89"/>
        <v>10</v>
      </c>
      <c r="F2859">
        <v>117.52249999999999</v>
      </c>
      <c r="G2859">
        <v>117.52249999999999</v>
      </c>
      <c r="H2859">
        <v>115.4012</v>
      </c>
      <c r="I2859">
        <v>116.67400000000001</v>
      </c>
      <c r="J2859">
        <v>37227</v>
      </c>
      <c r="K2859">
        <v>-0.72460000000000002</v>
      </c>
      <c r="L2859">
        <v>1.8382000000000001</v>
      </c>
    </row>
    <row r="2860" spans="1:12" x14ac:dyDescent="0.25">
      <c r="A2860">
        <v>2303</v>
      </c>
      <c r="B2860" t="s">
        <v>10</v>
      </c>
      <c r="C2860" s="1">
        <v>42291</v>
      </c>
      <c r="D2860" s="2">
        <f t="shared" si="88"/>
        <v>3</v>
      </c>
      <c r="E2860" s="2">
        <f t="shared" si="89"/>
        <v>10</v>
      </c>
      <c r="F2860">
        <v>9.74</v>
      </c>
      <c r="G2860">
        <v>10.207800000000001</v>
      </c>
      <c r="H2860">
        <v>9.74</v>
      </c>
      <c r="I2860">
        <v>10.1228</v>
      </c>
      <c r="J2860">
        <v>123898</v>
      </c>
      <c r="K2860">
        <v>3.8549000000000002</v>
      </c>
      <c r="L2860">
        <v>4.8034999999999997</v>
      </c>
    </row>
    <row r="2861" spans="1:12" hidden="1" x14ac:dyDescent="0.25">
      <c r="A2861">
        <v>2330</v>
      </c>
      <c r="B2861" t="s">
        <v>11</v>
      </c>
      <c r="C2861" s="1">
        <v>42291</v>
      </c>
      <c r="D2861" s="2">
        <f t="shared" si="88"/>
        <v>3</v>
      </c>
      <c r="E2861" s="2">
        <f t="shared" si="89"/>
        <v>10</v>
      </c>
      <c r="F2861">
        <v>115.8254</v>
      </c>
      <c r="G2861">
        <v>116.67400000000001</v>
      </c>
      <c r="H2861">
        <v>115.4012</v>
      </c>
      <c r="I2861">
        <v>115.8254</v>
      </c>
      <c r="J2861">
        <v>65521</v>
      </c>
      <c r="K2861">
        <v>-0.72989999999999999</v>
      </c>
      <c r="L2861">
        <v>1.1029</v>
      </c>
    </row>
    <row r="2862" spans="1:12" x14ac:dyDescent="0.25">
      <c r="A2862">
        <v>2303</v>
      </c>
      <c r="B2862" t="s">
        <v>10</v>
      </c>
      <c r="C2862" s="1">
        <v>42292</v>
      </c>
      <c r="D2862" s="2">
        <f t="shared" si="88"/>
        <v>4</v>
      </c>
      <c r="E2862" s="2">
        <f t="shared" si="89"/>
        <v>10</v>
      </c>
      <c r="F2862">
        <v>10.250400000000001</v>
      </c>
      <c r="G2862">
        <v>10.462999999999999</v>
      </c>
      <c r="H2862">
        <v>10.250400000000001</v>
      </c>
      <c r="I2862">
        <v>10.462999999999999</v>
      </c>
      <c r="J2862">
        <v>107628</v>
      </c>
      <c r="K2862">
        <v>3.3060999999999998</v>
      </c>
      <c r="L2862">
        <v>2.0747</v>
      </c>
    </row>
    <row r="2863" spans="1:12" hidden="1" x14ac:dyDescent="0.25">
      <c r="A2863">
        <v>2330</v>
      </c>
      <c r="B2863" t="s">
        <v>11</v>
      </c>
      <c r="C2863" s="1">
        <v>42292</v>
      </c>
      <c r="D2863" s="2">
        <f t="shared" si="88"/>
        <v>4</v>
      </c>
      <c r="E2863" s="2">
        <f t="shared" si="89"/>
        <v>10</v>
      </c>
      <c r="F2863">
        <v>117.9468</v>
      </c>
      <c r="G2863">
        <v>119.6439</v>
      </c>
      <c r="H2863">
        <v>117.9468</v>
      </c>
      <c r="I2863">
        <v>118.7953</v>
      </c>
      <c r="J2863">
        <v>73316</v>
      </c>
      <c r="K2863">
        <v>2.5318000000000001</v>
      </c>
      <c r="L2863">
        <v>1.4388000000000001</v>
      </c>
    </row>
    <row r="2864" spans="1:12" x14ac:dyDescent="0.25">
      <c r="A2864">
        <v>2303</v>
      </c>
      <c r="B2864" t="s">
        <v>10</v>
      </c>
      <c r="C2864" s="1">
        <v>42293</v>
      </c>
      <c r="D2864" s="2">
        <f t="shared" si="88"/>
        <v>5</v>
      </c>
      <c r="E2864" s="2">
        <f t="shared" si="89"/>
        <v>10</v>
      </c>
      <c r="F2864">
        <v>10.462999999999999</v>
      </c>
      <c r="G2864">
        <v>10.462999999999999</v>
      </c>
      <c r="H2864">
        <v>10.250400000000001</v>
      </c>
      <c r="I2864">
        <v>10.3354</v>
      </c>
      <c r="J2864">
        <v>65908</v>
      </c>
      <c r="K2864">
        <v>-1.2270000000000001</v>
      </c>
      <c r="L2864">
        <v>2.0747</v>
      </c>
    </row>
    <row r="2865" spans="1:12" hidden="1" x14ac:dyDescent="0.25">
      <c r="A2865">
        <v>2330</v>
      </c>
      <c r="B2865" t="s">
        <v>11</v>
      </c>
      <c r="C2865" s="1">
        <v>42293</v>
      </c>
      <c r="D2865" s="2">
        <f t="shared" si="88"/>
        <v>5</v>
      </c>
      <c r="E2865" s="2">
        <f t="shared" si="89"/>
        <v>10</v>
      </c>
      <c r="F2865">
        <v>116.2497</v>
      </c>
      <c r="G2865">
        <v>116.67400000000001</v>
      </c>
      <c r="H2865">
        <v>115.4012</v>
      </c>
      <c r="I2865">
        <v>116.67400000000001</v>
      </c>
      <c r="J2865">
        <v>37189</v>
      </c>
      <c r="K2865">
        <v>-1.8019000000000001</v>
      </c>
      <c r="L2865">
        <v>1.1029</v>
      </c>
    </row>
    <row r="2866" spans="1:12" x14ac:dyDescent="0.25">
      <c r="A2866">
        <v>2303</v>
      </c>
      <c r="B2866" t="s">
        <v>10</v>
      </c>
      <c r="C2866" s="1">
        <v>42296</v>
      </c>
      <c r="D2866" s="2">
        <f t="shared" si="88"/>
        <v>1</v>
      </c>
      <c r="E2866" s="2">
        <f t="shared" si="89"/>
        <v>10</v>
      </c>
      <c r="F2866">
        <v>10.3354</v>
      </c>
      <c r="G2866">
        <v>10.5481</v>
      </c>
      <c r="H2866">
        <v>10.3354</v>
      </c>
      <c r="I2866">
        <v>10.505599999999999</v>
      </c>
      <c r="J2866">
        <v>40911</v>
      </c>
      <c r="K2866">
        <v>1.6327</v>
      </c>
      <c r="L2866">
        <v>2.0575999999999999</v>
      </c>
    </row>
    <row r="2867" spans="1:12" hidden="1" x14ac:dyDescent="0.25">
      <c r="A2867">
        <v>2330</v>
      </c>
      <c r="B2867" t="s">
        <v>11</v>
      </c>
      <c r="C2867" s="1">
        <v>42296</v>
      </c>
      <c r="D2867" s="2">
        <f t="shared" si="88"/>
        <v>1</v>
      </c>
      <c r="E2867" s="2">
        <f t="shared" si="89"/>
        <v>10</v>
      </c>
      <c r="F2867">
        <v>117.52249999999999</v>
      </c>
      <c r="G2867">
        <v>117.9468</v>
      </c>
      <c r="H2867">
        <v>116.2497</v>
      </c>
      <c r="I2867">
        <v>117.09820000000001</v>
      </c>
      <c r="J2867">
        <v>26173</v>
      </c>
      <c r="K2867">
        <v>0.36299999999999999</v>
      </c>
      <c r="L2867">
        <v>1.4599</v>
      </c>
    </row>
    <row r="2868" spans="1:12" x14ac:dyDescent="0.25">
      <c r="A2868">
        <v>2303</v>
      </c>
      <c r="B2868" t="s">
        <v>10</v>
      </c>
      <c r="C2868" s="1">
        <v>42297</v>
      </c>
      <c r="D2868" s="2">
        <f t="shared" si="88"/>
        <v>2</v>
      </c>
      <c r="E2868" s="2">
        <f t="shared" si="89"/>
        <v>10</v>
      </c>
      <c r="F2868">
        <v>10.5906</v>
      </c>
      <c r="G2868">
        <v>10.5906</v>
      </c>
      <c r="H2868">
        <v>10.420500000000001</v>
      </c>
      <c r="I2868">
        <v>10.420500000000001</v>
      </c>
      <c r="J2868">
        <v>35820</v>
      </c>
      <c r="K2868">
        <v>-0.81299999999999994</v>
      </c>
      <c r="L2868">
        <v>1.6327</v>
      </c>
    </row>
    <row r="2869" spans="1:12" hidden="1" x14ac:dyDescent="0.25">
      <c r="A2869">
        <v>2330</v>
      </c>
      <c r="B2869" t="s">
        <v>11</v>
      </c>
      <c r="C2869" s="1">
        <v>42297</v>
      </c>
      <c r="D2869" s="2">
        <f t="shared" si="88"/>
        <v>2</v>
      </c>
      <c r="E2869" s="2">
        <f t="shared" si="89"/>
        <v>10</v>
      </c>
      <c r="F2869">
        <v>117.9468</v>
      </c>
      <c r="G2869">
        <v>117.9468</v>
      </c>
      <c r="H2869">
        <v>116.67400000000001</v>
      </c>
      <c r="I2869">
        <v>117.9468</v>
      </c>
      <c r="J2869">
        <v>28795</v>
      </c>
      <c r="K2869">
        <v>0.72199999999999998</v>
      </c>
      <c r="L2869">
        <v>1.0909</v>
      </c>
    </row>
    <row r="2870" spans="1:12" x14ac:dyDescent="0.25">
      <c r="A2870">
        <v>2303</v>
      </c>
      <c r="B2870" t="s">
        <v>10</v>
      </c>
      <c r="C2870" s="1">
        <v>42298</v>
      </c>
      <c r="D2870" s="2">
        <f t="shared" si="88"/>
        <v>3</v>
      </c>
      <c r="E2870" s="2">
        <f t="shared" si="89"/>
        <v>10</v>
      </c>
      <c r="F2870">
        <v>10.462999999999999</v>
      </c>
      <c r="G2870">
        <v>10.462999999999999</v>
      </c>
      <c r="H2870">
        <v>10.207800000000001</v>
      </c>
      <c r="I2870">
        <v>10.250400000000001</v>
      </c>
      <c r="J2870">
        <v>29263</v>
      </c>
      <c r="K2870">
        <v>-1.6460999999999999</v>
      </c>
      <c r="L2870">
        <v>2.5</v>
      </c>
    </row>
    <row r="2871" spans="1:12" hidden="1" x14ac:dyDescent="0.25">
      <c r="A2871">
        <v>2330</v>
      </c>
      <c r="B2871" t="s">
        <v>11</v>
      </c>
      <c r="C2871" s="1">
        <v>42298</v>
      </c>
      <c r="D2871" s="2">
        <f t="shared" si="88"/>
        <v>3</v>
      </c>
      <c r="E2871" s="2">
        <f t="shared" si="89"/>
        <v>10</v>
      </c>
      <c r="F2871">
        <v>118.3711</v>
      </c>
      <c r="G2871">
        <v>118.7953</v>
      </c>
      <c r="H2871">
        <v>116.67400000000001</v>
      </c>
      <c r="I2871">
        <v>117.52249999999999</v>
      </c>
      <c r="J2871">
        <v>20006</v>
      </c>
      <c r="K2871">
        <v>-0.3604</v>
      </c>
      <c r="L2871">
        <v>1.8182</v>
      </c>
    </row>
    <row r="2872" spans="1:12" x14ac:dyDescent="0.25">
      <c r="A2872">
        <v>2303</v>
      </c>
      <c r="B2872" t="s">
        <v>10</v>
      </c>
      <c r="C2872" s="1">
        <v>42299</v>
      </c>
      <c r="D2872" s="2">
        <f t="shared" si="88"/>
        <v>4</v>
      </c>
      <c r="E2872" s="2">
        <f t="shared" si="89"/>
        <v>10</v>
      </c>
      <c r="F2872">
        <v>10.250400000000001</v>
      </c>
      <c r="G2872">
        <v>10.378</v>
      </c>
      <c r="H2872">
        <v>10.250400000000001</v>
      </c>
      <c r="I2872">
        <v>10.3354</v>
      </c>
      <c r="J2872">
        <v>20155</v>
      </c>
      <c r="K2872">
        <v>0.82650000000000001</v>
      </c>
      <c r="L2872">
        <v>1.2447999999999999</v>
      </c>
    </row>
    <row r="2873" spans="1:12" hidden="1" x14ac:dyDescent="0.25">
      <c r="A2873">
        <v>2330</v>
      </c>
      <c r="B2873" t="s">
        <v>11</v>
      </c>
      <c r="C2873" s="1">
        <v>42299</v>
      </c>
      <c r="D2873" s="2">
        <f t="shared" si="88"/>
        <v>4</v>
      </c>
      <c r="E2873" s="2">
        <f t="shared" si="89"/>
        <v>10</v>
      </c>
      <c r="F2873">
        <v>117.09820000000001</v>
      </c>
      <c r="G2873">
        <v>117.52249999999999</v>
      </c>
      <c r="H2873">
        <v>116.2497</v>
      </c>
      <c r="I2873">
        <v>116.67400000000001</v>
      </c>
      <c r="J2873">
        <v>15168</v>
      </c>
      <c r="K2873">
        <v>-0.72460000000000002</v>
      </c>
      <c r="L2873">
        <v>1.0949</v>
      </c>
    </row>
    <row r="2874" spans="1:12" x14ac:dyDescent="0.25">
      <c r="A2874">
        <v>2303</v>
      </c>
      <c r="B2874" t="s">
        <v>10</v>
      </c>
      <c r="C2874" s="1">
        <v>42300</v>
      </c>
      <c r="D2874" s="2">
        <f t="shared" si="88"/>
        <v>5</v>
      </c>
      <c r="E2874" s="2">
        <f t="shared" si="89"/>
        <v>10</v>
      </c>
      <c r="F2874">
        <v>10.5481</v>
      </c>
      <c r="G2874">
        <v>10.5906</v>
      </c>
      <c r="H2874">
        <v>10.462999999999999</v>
      </c>
      <c r="I2874">
        <v>10.505599999999999</v>
      </c>
      <c r="J2874">
        <v>48582</v>
      </c>
      <c r="K2874">
        <v>1.6327</v>
      </c>
      <c r="L2874">
        <v>1.2195</v>
      </c>
    </row>
    <row r="2875" spans="1:12" hidden="1" x14ac:dyDescent="0.25">
      <c r="A2875">
        <v>2330</v>
      </c>
      <c r="B2875" t="s">
        <v>11</v>
      </c>
      <c r="C2875" s="1">
        <v>42300</v>
      </c>
      <c r="D2875" s="2">
        <f t="shared" si="88"/>
        <v>5</v>
      </c>
      <c r="E2875" s="2">
        <f t="shared" si="89"/>
        <v>10</v>
      </c>
      <c r="F2875">
        <v>118.7953</v>
      </c>
      <c r="G2875">
        <v>119.2196</v>
      </c>
      <c r="H2875">
        <v>117.9468</v>
      </c>
      <c r="I2875">
        <v>118.7953</v>
      </c>
      <c r="J2875">
        <v>35666</v>
      </c>
      <c r="K2875">
        <v>1.8019000000000001</v>
      </c>
      <c r="L2875">
        <v>1.0790999999999999</v>
      </c>
    </row>
    <row r="2876" spans="1:12" x14ac:dyDescent="0.25">
      <c r="A2876">
        <v>2303</v>
      </c>
      <c r="B2876" t="s">
        <v>10</v>
      </c>
      <c r="C2876" s="1">
        <v>42303</v>
      </c>
      <c r="D2876" s="2">
        <f t="shared" si="88"/>
        <v>1</v>
      </c>
      <c r="E2876" s="2">
        <f t="shared" si="89"/>
        <v>10</v>
      </c>
      <c r="F2876">
        <v>10.5906</v>
      </c>
      <c r="G2876">
        <v>10.633100000000001</v>
      </c>
      <c r="H2876">
        <v>10.505599999999999</v>
      </c>
      <c r="I2876">
        <v>10.5906</v>
      </c>
      <c r="J2876">
        <v>29510</v>
      </c>
      <c r="K2876">
        <v>0.80649999999999999</v>
      </c>
      <c r="L2876">
        <v>1.2145999999999999</v>
      </c>
    </row>
    <row r="2877" spans="1:12" hidden="1" x14ac:dyDescent="0.25">
      <c r="A2877">
        <v>2330</v>
      </c>
      <c r="B2877" t="s">
        <v>11</v>
      </c>
      <c r="C2877" s="1">
        <v>42303</v>
      </c>
      <c r="D2877" s="2">
        <f t="shared" si="88"/>
        <v>1</v>
      </c>
      <c r="E2877" s="2">
        <f t="shared" si="89"/>
        <v>10</v>
      </c>
      <c r="F2877">
        <v>119.2196</v>
      </c>
      <c r="G2877">
        <v>119.2196</v>
      </c>
      <c r="H2877">
        <v>117.9468</v>
      </c>
      <c r="I2877">
        <v>118.7953</v>
      </c>
      <c r="J2877">
        <v>24412</v>
      </c>
      <c r="K2877">
        <v>0</v>
      </c>
      <c r="L2877">
        <v>1.0790999999999999</v>
      </c>
    </row>
    <row r="2878" spans="1:12" x14ac:dyDescent="0.25">
      <c r="A2878">
        <v>2303</v>
      </c>
      <c r="B2878" t="s">
        <v>10</v>
      </c>
      <c r="C2878" s="1">
        <v>42304</v>
      </c>
      <c r="D2878" s="2">
        <f t="shared" si="88"/>
        <v>2</v>
      </c>
      <c r="E2878" s="2">
        <f t="shared" si="89"/>
        <v>10</v>
      </c>
      <c r="F2878">
        <v>10.5906</v>
      </c>
      <c r="G2878">
        <v>10.633100000000001</v>
      </c>
      <c r="H2878">
        <v>10.462999999999999</v>
      </c>
      <c r="I2878">
        <v>10.633100000000001</v>
      </c>
      <c r="J2878">
        <v>20301</v>
      </c>
      <c r="K2878">
        <v>0.40079999999999999</v>
      </c>
      <c r="L2878">
        <v>1.6259999999999999</v>
      </c>
    </row>
    <row r="2879" spans="1:12" hidden="1" x14ac:dyDescent="0.25">
      <c r="A2879">
        <v>2330</v>
      </c>
      <c r="B2879" t="s">
        <v>11</v>
      </c>
      <c r="C2879" s="1">
        <v>42304</v>
      </c>
      <c r="D2879" s="2">
        <f t="shared" si="88"/>
        <v>2</v>
      </c>
      <c r="E2879" s="2">
        <f t="shared" si="89"/>
        <v>10</v>
      </c>
      <c r="F2879">
        <v>117.52249999999999</v>
      </c>
      <c r="G2879">
        <v>118.7953</v>
      </c>
      <c r="H2879">
        <v>116.67400000000001</v>
      </c>
      <c r="I2879">
        <v>117.9468</v>
      </c>
      <c r="J2879">
        <v>26557</v>
      </c>
      <c r="K2879">
        <v>-0.71679999999999999</v>
      </c>
      <c r="L2879">
        <v>1.8182</v>
      </c>
    </row>
    <row r="2880" spans="1:12" x14ac:dyDescent="0.25">
      <c r="A2880">
        <v>2303</v>
      </c>
      <c r="B2880" t="s">
        <v>10</v>
      </c>
      <c r="C2880" s="1">
        <v>42305</v>
      </c>
      <c r="D2880" s="2">
        <f t="shared" si="88"/>
        <v>3</v>
      </c>
      <c r="E2880" s="2">
        <f t="shared" si="89"/>
        <v>10</v>
      </c>
      <c r="F2880">
        <v>10.5481</v>
      </c>
      <c r="G2880">
        <v>10.5481</v>
      </c>
      <c r="H2880">
        <v>10.250400000000001</v>
      </c>
      <c r="I2880">
        <v>10.292899999999999</v>
      </c>
      <c r="J2880">
        <v>34470</v>
      </c>
      <c r="K2880">
        <v>-3.2523</v>
      </c>
      <c r="L2880">
        <v>2.9045999999999998</v>
      </c>
    </row>
    <row r="2881" spans="1:12" hidden="1" x14ac:dyDescent="0.25">
      <c r="A2881">
        <v>2330</v>
      </c>
      <c r="B2881" t="s">
        <v>11</v>
      </c>
      <c r="C2881" s="1">
        <v>42305</v>
      </c>
      <c r="D2881" s="2">
        <f t="shared" si="88"/>
        <v>3</v>
      </c>
      <c r="E2881" s="2">
        <f t="shared" si="89"/>
        <v>10</v>
      </c>
      <c r="F2881">
        <v>116.2497</v>
      </c>
      <c r="G2881">
        <v>117.9468</v>
      </c>
      <c r="H2881">
        <v>116.2497</v>
      </c>
      <c r="I2881">
        <v>117.09820000000001</v>
      </c>
      <c r="J2881">
        <v>22557</v>
      </c>
      <c r="K2881">
        <v>-0.72199999999999998</v>
      </c>
      <c r="L2881">
        <v>1.4599</v>
      </c>
    </row>
    <row r="2882" spans="1:12" x14ac:dyDescent="0.25">
      <c r="A2882">
        <v>2303</v>
      </c>
      <c r="B2882" t="s">
        <v>10</v>
      </c>
      <c r="C2882" s="1">
        <v>42306</v>
      </c>
      <c r="D2882" s="2">
        <f t="shared" si="88"/>
        <v>4</v>
      </c>
      <c r="E2882" s="2">
        <f t="shared" si="89"/>
        <v>10</v>
      </c>
      <c r="F2882">
        <v>10.250400000000001</v>
      </c>
      <c r="G2882">
        <v>10.292899999999999</v>
      </c>
      <c r="H2882">
        <v>10.037699999999999</v>
      </c>
      <c r="I2882">
        <v>10.1228</v>
      </c>
      <c r="J2882">
        <v>53952</v>
      </c>
      <c r="K2882">
        <v>-1.6667000000000001</v>
      </c>
      <c r="L2882">
        <v>2.5424000000000002</v>
      </c>
    </row>
    <row r="2883" spans="1:12" hidden="1" x14ac:dyDescent="0.25">
      <c r="A2883">
        <v>2330</v>
      </c>
      <c r="B2883" t="s">
        <v>11</v>
      </c>
      <c r="C2883" s="1">
        <v>42306</v>
      </c>
      <c r="D2883" s="2">
        <f t="shared" ref="D2883:D2946" si="90">WEEKDAY(C2883,2)</f>
        <v>4</v>
      </c>
      <c r="E2883" s="2">
        <f t="shared" ref="E2883:E2946" si="91">MONTH(C2883)</f>
        <v>10</v>
      </c>
      <c r="F2883">
        <v>117.9468</v>
      </c>
      <c r="G2883">
        <v>118.3711</v>
      </c>
      <c r="H2883">
        <v>115.8254</v>
      </c>
      <c r="I2883">
        <v>115.8254</v>
      </c>
      <c r="J2883">
        <v>20463</v>
      </c>
      <c r="K2883">
        <v>-1.0929</v>
      </c>
      <c r="L2883">
        <v>2.1978</v>
      </c>
    </row>
    <row r="2884" spans="1:12" x14ac:dyDescent="0.25">
      <c r="A2884">
        <v>2303</v>
      </c>
      <c r="B2884" t="s">
        <v>10</v>
      </c>
      <c r="C2884" s="1">
        <v>42307</v>
      </c>
      <c r="D2884" s="2">
        <f t="shared" si="90"/>
        <v>5</v>
      </c>
      <c r="E2884" s="2">
        <f t="shared" si="91"/>
        <v>10</v>
      </c>
      <c r="F2884">
        <v>10.1228</v>
      </c>
      <c r="G2884">
        <v>10.207800000000001</v>
      </c>
      <c r="H2884">
        <v>10.0802</v>
      </c>
      <c r="I2884">
        <v>10.1228</v>
      </c>
      <c r="J2884">
        <v>23307</v>
      </c>
      <c r="K2884">
        <v>0</v>
      </c>
      <c r="L2884">
        <v>1.2658</v>
      </c>
    </row>
    <row r="2885" spans="1:12" hidden="1" x14ac:dyDescent="0.25">
      <c r="A2885">
        <v>2330</v>
      </c>
      <c r="B2885" t="s">
        <v>11</v>
      </c>
      <c r="C2885" s="1">
        <v>42307</v>
      </c>
      <c r="D2885" s="2">
        <f t="shared" si="90"/>
        <v>5</v>
      </c>
      <c r="E2885" s="2">
        <f t="shared" si="91"/>
        <v>10</v>
      </c>
      <c r="F2885">
        <v>116.2497</v>
      </c>
      <c r="G2885">
        <v>116.67400000000001</v>
      </c>
      <c r="H2885">
        <v>115.4012</v>
      </c>
      <c r="I2885">
        <v>115.8254</v>
      </c>
      <c r="J2885">
        <v>28293</v>
      </c>
      <c r="K2885">
        <v>0</v>
      </c>
      <c r="L2885">
        <v>1.1029</v>
      </c>
    </row>
    <row r="2886" spans="1:12" x14ac:dyDescent="0.25">
      <c r="A2886">
        <v>2303</v>
      </c>
      <c r="B2886" t="s">
        <v>10</v>
      </c>
      <c r="C2886" s="1">
        <v>42310</v>
      </c>
      <c r="D2886" s="2">
        <f t="shared" si="90"/>
        <v>1</v>
      </c>
      <c r="E2886" s="2">
        <f t="shared" si="91"/>
        <v>11</v>
      </c>
      <c r="F2886">
        <v>10.207800000000001</v>
      </c>
      <c r="G2886">
        <v>10.378</v>
      </c>
      <c r="H2886">
        <v>10.1653</v>
      </c>
      <c r="I2886">
        <v>10.250400000000001</v>
      </c>
      <c r="J2886">
        <v>26530</v>
      </c>
      <c r="K2886">
        <v>1.2525999999999999</v>
      </c>
      <c r="L2886">
        <v>2.0920999999999998</v>
      </c>
    </row>
    <row r="2887" spans="1:12" hidden="1" x14ac:dyDescent="0.25">
      <c r="A2887">
        <v>2330</v>
      </c>
      <c r="B2887" t="s">
        <v>11</v>
      </c>
      <c r="C2887" s="1">
        <v>42310</v>
      </c>
      <c r="D2887" s="2">
        <f t="shared" si="90"/>
        <v>1</v>
      </c>
      <c r="E2887" s="2">
        <f t="shared" si="91"/>
        <v>11</v>
      </c>
      <c r="F2887">
        <v>117.52249999999999</v>
      </c>
      <c r="G2887">
        <v>117.52249999999999</v>
      </c>
      <c r="H2887">
        <v>114.9769</v>
      </c>
      <c r="I2887">
        <v>116.67400000000001</v>
      </c>
      <c r="J2887">
        <v>22789</v>
      </c>
      <c r="K2887">
        <v>0.72989999999999999</v>
      </c>
      <c r="L2887">
        <v>2.214</v>
      </c>
    </row>
    <row r="2888" spans="1:12" x14ac:dyDescent="0.25">
      <c r="A2888">
        <v>2303</v>
      </c>
      <c r="B2888" t="s">
        <v>10</v>
      </c>
      <c r="C2888" s="1">
        <v>42311</v>
      </c>
      <c r="D2888" s="2">
        <f t="shared" si="90"/>
        <v>2</v>
      </c>
      <c r="E2888" s="2">
        <f t="shared" si="91"/>
        <v>11</v>
      </c>
      <c r="F2888">
        <v>10.250400000000001</v>
      </c>
      <c r="G2888">
        <v>10.462999999999999</v>
      </c>
      <c r="H2888">
        <v>10.250400000000001</v>
      </c>
      <c r="I2888">
        <v>10.462999999999999</v>
      </c>
      <c r="J2888">
        <v>36582</v>
      </c>
      <c r="K2888">
        <v>2.0535000000000001</v>
      </c>
      <c r="L2888">
        <v>2.0747</v>
      </c>
    </row>
    <row r="2889" spans="1:12" hidden="1" x14ac:dyDescent="0.25">
      <c r="A2889">
        <v>2330</v>
      </c>
      <c r="B2889" t="s">
        <v>11</v>
      </c>
      <c r="C2889" s="1">
        <v>42311</v>
      </c>
      <c r="D2889" s="2">
        <f t="shared" si="90"/>
        <v>2</v>
      </c>
      <c r="E2889" s="2">
        <f t="shared" si="91"/>
        <v>11</v>
      </c>
      <c r="F2889">
        <v>117.52249999999999</v>
      </c>
      <c r="G2889">
        <v>118.7953</v>
      </c>
      <c r="H2889">
        <v>117.09820000000001</v>
      </c>
      <c r="I2889">
        <v>118.3711</v>
      </c>
      <c r="J2889">
        <v>36442</v>
      </c>
      <c r="K2889">
        <v>1.4440999999999999</v>
      </c>
      <c r="L2889">
        <v>1.4493</v>
      </c>
    </row>
    <row r="2890" spans="1:12" x14ac:dyDescent="0.25">
      <c r="A2890">
        <v>2303</v>
      </c>
      <c r="B2890" t="s">
        <v>10</v>
      </c>
      <c r="C2890" s="1">
        <v>42312</v>
      </c>
      <c r="D2890" s="2">
        <f t="shared" si="90"/>
        <v>3</v>
      </c>
      <c r="E2890" s="2">
        <f t="shared" si="91"/>
        <v>11</v>
      </c>
      <c r="F2890">
        <v>10.5481</v>
      </c>
      <c r="G2890">
        <v>10.7182</v>
      </c>
      <c r="H2890">
        <v>10.505599999999999</v>
      </c>
      <c r="I2890">
        <v>10.5481</v>
      </c>
      <c r="J2890">
        <v>73770</v>
      </c>
      <c r="K2890">
        <v>0.80969999999999998</v>
      </c>
      <c r="L2890">
        <v>2.0243000000000002</v>
      </c>
    </row>
    <row r="2891" spans="1:12" hidden="1" x14ac:dyDescent="0.25">
      <c r="A2891">
        <v>2330</v>
      </c>
      <c r="B2891" t="s">
        <v>11</v>
      </c>
      <c r="C2891" s="1">
        <v>42312</v>
      </c>
      <c r="D2891" s="2">
        <f t="shared" si="90"/>
        <v>3</v>
      </c>
      <c r="E2891" s="2">
        <f t="shared" si="91"/>
        <v>11</v>
      </c>
      <c r="F2891">
        <v>120.0681</v>
      </c>
      <c r="G2891">
        <v>122.61369999999999</v>
      </c>
      <c r="H2891">
        <v>119.6439</v>
      </c>
      <c r="I2891">
        <v>122.61369999999999</v>
      </c>
      <c r="J2891">
        <v>75685</v>
      </c>
      <c r="K2891">
        <v>3.5215000000000001</v>
      </c>
      <c r="L2891">
        <v>2.4823</v>
      </c>
    </row>
    <row r="2892" spans="1:12" x14ac:dyDescent="0.25">
      <c r="A2892">
        <v>2303</v>
      </c>
      <c r="B2892" t="s">
        <v>10</v>
      </c>
      <c r="C2892" s="1">
        <v>42313</v>
      </c>
      <c r="D2892" s="2">
        <f t="shared" si="90"/>
        <v>4</v>
      </c>
      <c r="E2892" s="2">
        <f t="shared" si="91"/>
        <v>11</v>
      </c>
      <c r="F2892">
        <v>10.675700000000001</v>
      </c>
      <c r="G2892">
        <v>10.8033</v>
      </c>
      <c r="H2892">
        <v>10.5906</v>
      </c>
      <c r="I2892">
        <v>10.7182</v>
      </c>
      <c r="J2892">
        <v>50267</v>
      </c>
      <c r="K2892">
        <v>1.6</v>
      </c>
      <c r="L2892">
        <v>2.008</v>
      </c>
    </row>
    <row r="2893" spans="1:12" hidden="1" x14ac:dyDescent="0.25">
      <c r="A2893">
        <v>2330</v>
      </c>
      <c r="B2893" t="s">
        <v>11</v>
      </c>
      <c r="C2893" s="1">
        <v>42313</v>
      </c>
      <c r="D2893" s="2">
        <f t="shared" si="90"/>
        <v>4</v>
      </c>
      <c r="E2893" s="2">
        <f t="shared" si="91"/>
        <v>11</v>
      </c>
      <c r="F2893">
        <v>122.1895</v>
      </c>
      <c r="G2893">
        <v>122.61369999999999</v>
      </c>
      <c r="H2893">
        <v>120.91670000000001</v>
      </c>
      <c r="I2893">
        <v>120.91670000000001</v>
      </c>
      <c r="J2893">
        <v>37827</v>
      </c>
      <c r="K2893">
        <v>-1.3937999999999999</v>
      </c>
      <c r="L2893">
        <v>1.4035</v>
      </c>
    </row>
    <row r="2894" spans="1:12" x14ac:dyDescent="0.25">
      <c r="A2894">
        <v>2303</v>
      </c>
      <c r="B2894" t="s">
        <v>10</v>
      </c>
      <c r="C2894" s="1">
        <v>42314</v>
      </c>
      <c r="D2894" s="2">
        <f t="shared" si="90"/>
        <v>5</v>
      </c>
      <c r="E2894" s="2">
        <f t="shared" si="91"/>
        <v>11</v>
      </c>
      <c r="F2894">
        <v>10.633100000000001</v>
      </c>
      <c r="G2894">
        <v>10.675700000000001</v>
      </c>
      <c r="H2894">
        <v>10.505599999999999</v>
      </c>
      <c r="I2894">
        <v>10.5481</v>
      </c>
      <c r="J2894">
        <v>37566</v>
      </c>
      <c r="K2894">
        <v>-1.6</v>
      </c>
      <c r="L2894">
        <v>1.6194</v>
      </c>
    </row>
    <row r="2895" spans="1:12" hidden="1" x14ac:dyDescent="0.25">
      <c r="A2895">
        <v>2330</v>
      </c>
      <c r="B2895" t="s">
        <v>11</v>
      </c>
      <c r="C2895" s="1">
        <v>42314</v>
      </c>
      <c r="D2895" s="2">
        <f t="shared" si="90"/>
        <v>5</v>
      </c>
      <c r="E2895" s="2">
        <f t="shared" si="91"/>
        <v>11</v>
      </c>
      <c r="F2895">
        <v>122.1895</v>
      </c>
      <c r="G2895">
        <v>122.1895</v>
      </c>
      <c r="H2895">
        <v>117.9468</v>
      </c>
      <c r="I2895">
        <v>118.7953</v>
      </c>
      <c r="J2895">
        <v>51889</v>
      </c>
      <c r="K2895">
        <v>-1.77</v>
      </c>
      <c r="L2895">
        <v>3.5971000000000002</v>
      </c>
    </row>
    <row r="2896" spans="1:12" x14ac:dyDescent="0.25">
      <c r="A2896">
        <v>2303</v>
      </c>
      <c r="B2896" t="s">
        <v>10</v>
      </c>
      <c r="C2896" s="1">
        <v>42317</v>
      </c>
      <c r="D2896" s="2">
        <f t="shared" si="90"/>
        <v>1</v>
      </c>
      <c r="E2896" s="2">
        <f t="shared" si="91"/>
        <v>11</v>
      </c>
      <c r="F2896">
        <v>10.462999999999999</v>
      </c>
      <c r="G2896">
        <v>10.633100000000001</v>
      </c>
      <c r="H2896">
        <v>10.3354</v>
      </c>
      <c r="I2896">
        <v>10.3354</v>
      </c>
      <c r="J2896">
        <v>30381</v>
      </c>
      <c r="K2896">
        <v>-2.0367000000000002</v>
      </c>
      <c r="L2896">
        <v>2.8807</v>
      </c>
    </row>
    <row r="2897" spans="1:12" hidden="1" x14ac:dyDescent="0.25">
      <c r="A2897">
        <v>2330</v>
      </c>
      <c r="B2897" t="s">
        <v>11</v>
      </c>
      <c r="C2897" s="1">
        <v>42317</v>
      </c>
      <c r="D2897" s="2">
        <f t="shared" si="90"/>
        <v>1</v>
      </c>
      <c r="E2897" s="2">
        <f t="shared" si="91"/>
        <v>11</v>
      </c>
      <c r="F2897">
        <v>119.6439</v>
      </c>
      <c r="G2897">
        <v>121.3409</v>
      </c>
      <c r="H2897">
        <v>119.2196</v>
      </c>
      <c r="I2897">
        <v>120.4924</v>
      </c>
      <c r="J2897">
        <v>24863</v>
      </c>
      <c r="K2897">
        <v>1.4185000000000001</v>
      </c>
      <c r="L2897">
        <v>1.7794000000000001</v>
      </c>
    </row>
    <row r="2898" spans="1:12" x14ac:dyDescent="0.25">
      <c r="A2898">
        <v>2303</v>
      </c>
      <c r="B2898" t="s">
        <v>10</v>
      </c>
      <c r="C2898" s="1">
        <v>42318</v>
      </c>
      <c r="D2898" s="2">
        <f t="shared" si="90"/>
        <v>2</v>
      </c>
      <c r="E2898" s="2">
        <f t="shared" si="91"/>
        <v>11</v>
      </c>
      <c r="F2898">
        <v>10.3354</v>
      </c>
      <c r="G2898">
        <v>10.378</v>
      </c>
      <c r="H2898">
        <v>10.207800000000001</v>
      </c>
      <c r="I2898">
        <v>10.250400000000001</v>
      </c>
      <c r="J2898">
        <v>37683</v>
      </c>
      <c r="K2898">
        <v>-0.82650000000000001</v>
      </c>
      <c r="L2898">
        <v>1.6667000000000001</v>
      </c>
    </row>
    <row r="2899" spans="1:12" hidden="1" x14ac:dyDescent="0.25">
      <c r="A2899">
        <v>2330</v>
      </c>
      <c r="B2899" t="s">
        <v>11</v>
      </c>
      <c r="C2899" s="1">
        <v>42318</v>
      </c>
      <c r="D2899" s="2">
        <f t="shared" si="90"/>
        <v>2</v>
      </c>
      <c r="E2899" s="2">
        <f t="shared" si="91"/>
        <v>11</v>
      </c>
      <c r="F2899">
        <v>120.0681</v>
      </c>
      <c r="G2899">
        <v>120.0681</v>
      </c>
      <c r="H2899">
        <v>117.9468</v>
      </c>
      <c r="I2899">
        <v>118.3711</v>
      </c>
      <c r="J2899">
        <v>23336</v>
      </c>
      <c r="K2899">
        <v>-1.7762</v>
      </c>
      <c r="L2899">
        <v>1.7986</v>
      </c>
    </row>
    <row r="2900" spans="1:12" x14ac:dyDescent="0.25">
      <c r="A2900">
        <v>2303</v>
      </c>
      <c r="B2900" t="s">
        <v>10</v>
      </c>
      <c r="C2900" s="1">
        <v>42319</v>
      </c>
      <c r="D2900" s="2">
        <f t="shared" si="90"/>
        <v>3</v>
      </c>
      <c r="E2900" s="2">
        <f t="shared" si="91"/>
        <v>11</v>
      </c>
      <c r="F2900">
        <v>10.292899999999999</v>
      </c>
      <c r="G2900">
        <v>10.378</v>
      </c>
      <c r="H2900">
        <v>10.1228</v>
      </c>
      <c r="I2900">
        <v>10.207800000000001</v>
      </c>
      <c r="J2900">
        <v>29651</v>
      </c>
      <c r="K2900">
        <v>-0.4158</v>
      </c>
      <c r="L2900">
        <v>2.5209999999999999</v>
      </c>
    </row>
    <row r="2901" spans="1:12" hidden="1" x14ac:dyDescent="0.25">
      <c r="A2901">
        <v>2330</v>
      </c>
      <c r="B2901" t="s">
        <v>11</v>
      </c>
      <c r="C2901" s="1">
        <v>42319</v>
      </c>
      <c r="D2901" s="2">
        <f t="shared" si="90"/>
        <v>3</v>
      </c>
      <c r="E2901" s="2">
        <f t="shared" si="91"/>
        <v>11</v>
      </c>
      <c r="F2901">
        <v>119.2196</v>
      </c>
      <c r="G2901">
        <v>119.2196</v>
      </c>
      <c r="H2901">
        <v>115.8254</v>
      </c>
      <c r="I2901">
        <v>116.67400000000001</v>
      </c>
      <c r="J2901">
        <v>29463</v>
      </c>
      <c r="K2901">
        <v>-1.4440999999999999</v>
      </c>
      <c r="L2901">
        <v>2.9304000000000001</v>
      </c>
    </row>
    <row r="2902" spans="1:12" x14ac:dyDescent="0.25">
      <c r="A2902">
        <v>2303</v>
      </c>
      <c r="B2902" t="s">
        <v>10</v>
      </c>
      <c r="C2902" s="1">
        <v>42320</v>
      </c>
      <c r="D2902" s="2">
        <f t="shared" si="90"/>
        <v>4</v>
      </c>
      <c r="E2902" s="2">
        <f t="shared" si="91"/>
        <v>11</v>
      </c>
      <c r="F2902">
        <v>10.250400000000001</v>
      </c>
      <c r="G2902">
        <v>10.292899999999999</v>
      </c>
      <c r="H2902">
        <v>10.1228</v>
      </c>
      <c r="I2902">
        <v>10.1653</v>
      </c>
      <c r="J2902">
        <v>20336</v>
      </c>
      <c r="K2902">
        <v>-0.41749999999999998</v>
      </c>
      <c r="L2902">
        <v>1.6807000000000001</v>
      </c>
    </row>
    <row r="2903" spans="1:12" hidden="1" x14ac:dyDescent="0.25">
      <c r="A2903">
        <v>2330</v>
      </c>
      <c r="B2903" t="s">
        <v>11</v>
      </c>
      <c r="C2903" s="1">
        <v>42320</v>
      </c>
      <c r="D2903" s="2">
        <f t="shared" si="90"/>
        <v>4</v>
      </c>
      <c r="E2903" s="2">
        <f t="shared" si="91"/>
        <v>11</v>
      </c>
      <c r="F2903">
        <v>117.52249999999999</v>
      </c>
      <c r="G2903">
        <v>117.9468</v>
      </c>
      <c r="H2903">
        <v>117.09820000000001</v>
      </c>
      <c r="I2903">
        <v>117.52249999999999</v>
      </c>
      <c r="J2903">
        <v>16485</v>
      </c>
      <c r="K2903">
        <v>0.72460000000000002</v>
      </c>
      <c r="L2903">
        <v>0.72460000000000002</v>
      </c>
    </row>
    <row r="2904" spans="1:12" x14ac:dyDescent="0.25">
      <c r="A2904">
        <v>2303</v>
      </c>
      <c r="B2904" t="s">
        <v>10</v>
      </c>
      <c r="C2904" s="1">
        <v>42321</v>
      </c>
      <c r="D2904" s="2">
        <f t="shared" si="90"/>
        <v>5</v>
      </c>
      <c r="E2904" s="2">
        <f t="shared" si="91"/>
        <v>11</v>
      </c>
      <c r="F2904">
        <v>10.1228</v>
      </c>
      <c r="G2904">
        <v>10.292899999999999</v>
      </c>
      <c r="H2904">
        <v>10.1228</v>
      </c>
      <c r="I2904">
        <v>10.1228</v>
      </c>
      <c r="J2904">
        <v>23937</v>
      </c>
      <c r="K2904">
        <v>-0.41930000000000001</v>
      </c>
      <c r="L2904">
        <v>1.6807000000000001</v>
      </c>
    </row>
    <row r="2905" spans="1:12" hidden="1" x14ac:dyDescent="0.25">
      <c r="A2905">
        <v>2330</v>
      </c>
      <c r="B2905" t="s">
        <v>11</v>
      </c>
      <c r="C2905" s="1">
        <v>42321</v>
      </c>
      <c r="D2905" s="2">
        <f t="shared" si="90"/>
        <v>5</v>
      </c>
      <c r="E2905" s="2">
        <f t="shared" si="91"/>
        <v>11</v>
      </c>
      <c r="F2905">
        <v>116.67400000000001</v>
      </c>
      <c r="G2905">
        <v>117.9468</v>
      </c>
      <c r="H2905">
        <v>115.4012</v>
      </c>
      <c r="I2905">
        <v>115.4012</v>
      </c>
      <c r="J2905">
        <v>22956</v>
      </c>
      <c r="K2905">
        <v>-1.8214999999999999</v>
      </c>
      <c r="L2905">
        <v>2.2059000000000002</v>
      </c>
    </row>
    <row r="2906" spans="1:12" x14ac:dyDescent="0.25">
      <c r="A2906">
        <v>2303</v>
      </c>
      <c r="B2906" t="s">
        <v>10</v>
      </c>
      <c r="C2906" s="1">
        <v>42324</v>
      </c>
      <c r="D2906" s="2">
        <f t="shared" si="90"/>
        <v>1</v>
      </c>
      <c r="E2906" s="2">
        <f t="shared" si="91"/>
        <v>11</v>
      </c>
      <c r="F2906">
        <v>10.0802</v>
      </c>
      <c r="G2906">
        <v>10.1228</v>
      </c>
      <c r="H2906">
        <v>9.7825000000000006</v>
      </c>
      <c r="I2906">
        <v>9.8249999999999993</v>
      </c>
      <c r="J2906">
        <v>56784</v>
      </c>
      <c r="K2906">
        <v>-2.9853000000000001</v>
      </c>
      <c r="L2906">
        <v>3.4782999999999999</v>
      </c>
    </row>
    <row r="2907" spans="1:12" hidden="1" x14ac:dyDescent="0.25">
      <c r="A2907">
        <v>2330</v>
      </c>
      <c r="B2907" t="s">
        <v>11</v>
      </c>
      <c r="C2907" s="1">
        <v>42324</v>
      </c>
      <c r="D2907" s="2">
        <f t="shared" si="90"/>
        <v>1</v>
      </c>
      <c r="E2907" s="2">
        <f t="shared" si="91"/>
        <v>11</v>
      </c>
      <c r="F2907">
        <v>113.7041</v>
      </c>
      <c r="G2907">
        <v>114.9769</v>
      </c>
      <c r="H2907">
        <v>113.7041</v>
      </c>
      <c r="I2907">
        <v>114.5526</v>
      </c>
      <c r="J2907">
        <v>32132</v>
      </c>
      <c r="K2907">
        <v>-0.73799999999999999</v>
      </c>
      <c r="L2907">
        <v>1.1194</v>
      </c>
    </row>
    <row r="2908" spans="1:12" x14ac:dyDescent="0.25">
      <c r="A2908">
        <v>2303</v>
      </c>
      <c r="B2908" t="s">
        <v>10</v>
      </c>
      <c r="C2908" s="1">
        <v>42325</v>
      </c>
      <c r="D2908" s="2">
        <f t="shared" si="90"/>
        <v>2</v>
      </c>
      <c r="E2908" s="2">
        <f t="shared" si="91"/>
        <v>11</v>
      </c>
      <c r="F2908">
        <v>9.9952000000000005</v>
      </c>
      <c r="G2908">
        <v>10.378</v>
      </c>
      <c r="H2908">
        <v>9.9952000000000005</v>
      </c>
      <c r="I2908">
        <v>10.378</v>
      </c>
      <c r="J2908">
        <v>54411</v>
      </c>
      <c r="K2908">
        <v>5.4751000000000003</v>
      </c>
      <c r="L2908">
        <v>3.8298000000000001</v>
      </c>
    </row>
    <row r="2909" spans="1:12" hidden="1" x14ac:dyDescent="0.25">
      <c r="A2909">
        <v>2330</v>
      </c>
      <c r="B2909" t="s">
        <v>11</v>
      </c>
      <c r="C2909" s="1">
        <v>42325</v>
      </c>
      <c r="D2909" s="2">
        <f t="shared" si="90"/>
        <v>2</v>
      </c>
      <c r="E2909" s="2">
        <f t="shared" si="91"/>
        <v>11</v>
      </c>
      <c r="F2909">
        <v>117.09820000000001</v>
      </c>
      <c r="G2909">
        <v>118.7953</v>
      </c>
      <c r="H2909">
        <v>116.67400000000001</v>
      </c>
      <c r="I2909">
        <v>117.52249999999999</v>
      </c>
      <c r="J2909">
        <v>28224</v>
      </c>
      <c r="K2909">
        <v>2.5596000000000001</v>
      </c>
      <c r="L2909">
        <v>1.8182</v>
      </c>
    </row>
    <row r="2910" spans="1:12" x14ac:dyDescent="0.25">
      <c r="A2910">
        <v>2303</v>
      </c>
      <c r="B2910" t="s">
        <v>10</v>
      </c>
      <c r="C2910" s="1">
        <v>42326</v>
      </c>
      <c r="D2910" s="2">
        <f t="shared" si="90"/>
        <v>3</v>
      </c>
      <c r="E2910" s="2">
        <f t="shared" si="91"/>
        <v>11</v>
      </c>
      <c r="F2910">
        <v>10.420500000000001</v>
      </c>
      <c r="G2910">
        <v>10.420500000000001</v>
      </c>
      <c r="H2910">
        <v>10.250400000000001</v>
      </c>
      <c r="I2910">
        <v>10.292899999999999</v>
      </c>
      <c r="J2910">
        <v>30695</v>
      </c>
      <c r="K2910">
        <v>-0.82299999999999995</v>
      </c>
      <c r="L2910">
        <v>1.6597999999999999</v>
      </c>
    </row>
    <row r="2911" spans="1:12" hidden="1" x14ac:dyDescent="0.25">
      <c r="A2911">
        <v>2330</v>
      </c>
      <c r="B2911" t="s">
        <v>11</v>
      </c>
      <c r="C2911" s="1">
        <v>42326</v>
      </c>
      <c r="D2911" s="2">
        <f t="shared" si="90"/>
        <v>3</v>
      </c>
      <c r="E2911" s="2">
        <f t="shared" si="91"/>
        <v>11</v>
      </c>
      <c r="F2911">
        <v>118.3711</v>
      </c>
      <c r="G2911">
        <v>118.7953</v>
      </c>
      <c r="H2911">
        <v>115.8254</v>
      </c>
      <c r="I2911">
        <v>116.2497</v>
      </c>
      <c r="J2911">
        <v>29455</v>
      </c>
      <c r="K2911">
        <v>-1.0889</v>
      </c>
      <c r="L2911">
        <v>2.5640999999999998</v>
      </c>
    </row>
    <row r="2912" spans="1:12" x14ac:dyDescent="0.25">
      <c r="A2912">
        <v>2303</v>
      </c>
      <c r="B2912" t="s">
        <v>10</v>
      </c>
      <c r="C2912" s="1">
        <v>42327</v>
      </c>
      <c r="D2912" s="2">
        <f t="shared" si="90"/>
        <v>4</v>
      </c>
      <c r="E2912" s="2">
        <f t="shared" si="91"/>
        <v>11</v>
      </c>
      <c r="F2912">
        <v>10.420500000000001</v>
      </c>
      <c r="G2912">
        <v>10.462999999999999</v>
      </c>
      <c r="H2912">
        <v>10.250400000000001</v>
      </c>
      <c r="I2912">
        <v>10.420500000000001</v>
      </c>
      <c r="J2912">
        <v>38000</v>
      </c>
      <c r="K2912">
        <v>1.232</v>
      </c>
      <c r="L2912">
        <v>2.0747</v>
      </c>
    </row>
    <row r="2913" spans="1:12" hidden="1" x14ac:dyDescent="0.25">
      <c r="A2913">
        <v>2330</v>
      </c>
      <c r="B2913" t="s">
        <v>11</v>
      </c>
      <c r="C2913" s="1">
        <v>42327</v>
      </c>
      <c r="D2913" s="2">
        <f t="shared" si="90"/>
        <v>4</v>
      </c>
      <c r="E2913" s="2">
        <f t="shared" si="91"/>
        <v>11</v>
      </c>
      <c r="F2913">
        <v>117.52249999999999</v>
      </c>
      <c r="G2913">
        <v>119.2196</v>
      </c>
      <c r="H2913">
        <v>117.09820000000001</v>
      </c>
      <c r="I2913">
        <v>119.2196</v>
      </c>
      <c r="J2913">
        <v>28723</v>
      </c>
      <c r="K2913">
        <v>2.5226999999999999</v>
      </c>
      <c r="L2913">
        <v>1.8116000000000001</v>
      </c>
    </row>
    <row r="2914" spans="1:12" x14ac:dyDescent="0.25">
      <c r="A2914">
        <v>2303</v>
      </c>
      <c r="B2914" t="s">
        <v>10</v>
      </c>
      <c r="C2914" s="1">
        <v>42328</v>
      </c>
      <c r="D2914" s="2">
        <f t="shared" si="90"/>
        <v>5</v>
      </c>
      <c r="E2914" s="2">
        <f t="shared" si="91"/>
        <v>11</v>
      </c>
      <c r="F2914">
        <v>10.378</v>
      </c>
      <c r="G2914">
        <v>10.5906</v>
      </c>
      <c r="H2914">
        <v>10.378</v>
      </c>
      <c r="I2914">
        <v>10.505599999999999</v>
      </c>
      <c r="J2914">
        <v>52737</v>
      </c>
      <c r="K2914">
        <v>0.81299999999999994</v>
      </c>
      <c r="L2914">
        <v>2.0491999999999999</v>
      </c>
    </row>
    <row r="2915" spans="1:12" hidden="1" x14ac:dyDescent="0.25">
      <c r="A2915">
        <v>2330</v>
      </c>
      <c r="B2915" t="s">
        <v>11</v>
      </c>
      <c r="C2915" s="1">
        <v>42328</v>
      </c>
      <c r="D2915" s="2">
        <f t="shared" si="90"/>
        <v>5</v>
      </c>
      <c r="E2915" s="2">
        <f t="shared" si="91"/>
        <v>11</v>
      </c>
      <c r="F2915">
        <v>119.2196</v>
      </c>
      <c r="G2915">
        <v>119.6439</v>
      </c>
      <c r="H2915">
        <v>118.7953</v>
      </c>
      <c r="I2915">
        <v>119.6439</v>
      </c>
      <c r="J2915">
        <v>21649</v>
      </c>
      <c r="K2915">
        <v>0.35520000000000002</v>
      </c>
      <c r="L2915">
        <v>0.71430000000000005</v>
      </c>
    </row>
    <row r="2916" spans="1:12" x14ac:dyDescent="0.25">
      <c r="A2916">
        <v>2303</v>
      </c>
      <c r="B2916" t="s">
        <v>10</v>
      </c>
      <c r="C2916" s="1">
        <v>42331</v>
      </c>
      <c r="D2916" s="2">
        <f t="shared" si="90"/>
        <v>1</v>
      </c>
      <c r="E2916" s="2">
        <f t="shared" si="91"/>
        <v>11</v>
      </c>
      <c r="F2916">
        <v>10.5906</v>
      </c>
      <c r="G2916">
        <v>10.5906</v>
      </c>
      <c r="H2916">
        <v>10.420500000000001</v>
      </c>
      <c r="I2916">
        <v>10.5481</v>
      </c>
      <c r="J2916">
        <v>29083</v>
      </c>
      <c r="K2916">
        <v>0.40400000000000003</v>
      </c>
      <c r="L2916">
        <v>1.6327</v>
      </c>
    </row>
    <row r="2917" spans="1:12" hidden="1" x14ac:dyDescent="0.25">
      <c r="A2917">
        <v>2330</v>
      </c>
      <c r="B2917" t="s">
        <v>11</v>
      </c>
      <c r="C2917" s="1">
        <v>42331</v>
      </c>
      <c r="D2917" s="2">
        <f t="shared" si="90"/>
        <v>1</v>
      </c>
      <c r="E2917" s="2">
        <f t="shared" si="91"/>
        <v>11</v>
      </c>
      <c r="F2917">
        <v>119.6439</v>
      </c>
      <c r="G2917">
        <v>120.0681</v>
      </c>
      <c r="H2917">
        <v>118.7953</v>
      </c>
      <c r="I2917">
        <v>119.6439</v>
      </c>
      <c r="J2917">
        <v>20543</v>
      </c>
      <c r="K2917">
        <v>0</v>
      </c>
      <c r="L2917">
        <v>1.0713999999999999</v>
      </c>
    </row>
    <row r="2918" spans="1:12" x14ac:dyDescent="0.25">
      <c r="A2918">
        <v>2303</v>
      </c>
      <c r="B2918" t="s">
        <v>10</v>
      </c>
      <c r="C2918" s="1">
        <v>42332</v>
      </c>
      <c r="D2918" s="2">
        <f t="shared" si="90"/>
        <v>2</v>
      </c>
      <c r="E2918" s="2">
        <f t="shared" si="91"/>
        <v>11</v>
      </c>
      <c r="F2918">
        <v>10.420500000000001</v>
      </c>
      <c r="G2918">
        <v>10.462999999999999</v>
      </c>
      <c r="H2918">
        <v>10.1653</v>
      </c>
      <c r="I2918">
        <v>10.1653</v>
      </c>
      <c r="J2918">
        <v>30847</v>
      </c>
      <c r="K2918">
        <v>-3.6964999999999999</v>
      </c>
      <c r="L2918">
        <v>2.9289000000000001</v>
      </c>
    </row>
    <row r="2919" spans="1:12" hidden="1" x14ac:dyDescent="0.25">
      <c r="A2919">
        <v>2330</v>
      </c>
      <c r="B2919" t="s">
        <v>11</v>
      </c>
      <c r="C2919" s="1">
        <v>42332</v>
      </c>
      <c r="D2919" s="2">
        <f t="shared" si="90"/>
        <v>2</v>
      </c>
      <c r="E2919" s="2">
        <f t="shared" si="91"/>
        <v>11</v>
      </c>
      <c r="F2919">
        <v>118.7953</v>
      </c>
      <c r="G2919">
        <v>120.0681</v>
      </c>
      <c r="H2919">
        <v>118.3711</v>
      </c>
      <c r="I2919">
        <v>118.3711</v>
      </c>
      <c r="J2919">
        <v>23245</v>
      </c>
      <c r="K2919">
        <v>-1.0694999999999999</v>
      </c>
      <c r="L2919">
        <v>1.4337</v>
      </c>
    </row>
    <row r="2920" spans="1:12" x14ac:dyDescent="0.25">
      <c r="A2920">
        <v>2303</v>
      </c>
      <c r="B2920" t="s">
        <v>10</v>
      </c>
      <c r="C2920" s="1">
        <v>42333</v>
      </c>
      <c r="D2920" s="2">
        <f t="shared" si="90"/>
        <v>3</v>
      </c>
      <c r="E2920" s="2">
        <f t="shared" si="91"/>
        <v>11</v>
      </c>
      <c r="F2920">
        <v>10.207800000000001</v>
      </c>
      <c r="G2920">
        <v>10.3354</v>
      </c>
      <c r="H2920">
        <v>10.1228</v>
      </c>
      <c r="I2920">
        <v>10.292899999999999</v>
      </c>
      <c r="J2920">
        <v>19050</v>
      </c>
      <c r="K2920">
        <v>1.2474000000000001</v>
      </c>
      <c r="L2920">
        <v>2.1008</v>
      </c>
    </row>
    <row r="2921" spans="1:12" hidden="1" x14ac:dyDescent="0.25">
      <c r="A2921">
        <v>2330</v>
      </c>
      <c r="B2921" t="s">
        <v>11</v>
      </c>
      <c r="C2921" s="1">
        <v>42333</v>
      </c>
      <c r="D2921" s="2">
        <f t="shared" si="90"/>
        <v>3</v>
      </c>
      <c r="E2921" s="2">
        <f t="shared" si="91"/>
        <v>11</v>
      </c>
      <c r="F2921">
        <v>118.3711</v>
      </c>
      <c r="G2921">
        <v>119.6439</v>
      </c>
      <c r="H2921">
        <v>117.52249999999999</v>
      </c>
      <c r="I2921">
        <v>119.6439</v>
      </c>
      <c r="J2921">
        <v>34540</v>
      </c>
      <c r="K2921">
        <v>1.0694999999999999</v>
      </c>
      <c r="L2921">
        <v>1.8050999999999999</v>
      </c>
    </row>
    <row r="2922" spans="1:12" x14ac:dyDescent="0.25">
      <c r="A2922">
        <v>2303</v>
      </c>
      <c r="B2922" t="s">
        <v>10</v>
      </c>
      <c r="C2922" s="1">
        <v>42334</v>
      </c>
      <c r="D2922" s="2">
        <f t="shared" si="90"/>
        <v>4</v>
      </c>
      <c r="E2922" s="2">
        <f t="shared" si="91"/>
        <v>11</v>
      </c>
      <c r="F2922">
        <v>10.378</v>
      </c>
      <c r="G2922">
        <v>10.5481</v>
      </c>
      <c r="H2922">
        <v>10.3354</v>
      </c>
      <c r="I2922">
        <v>10.378</v>
      </c>
      <c r="J2922">
        <v>24427</v>
      </c>
      <c r="K2922">
        <v>0.82299999999999995</v>
      </c>
      <c r="L2922">
        <v>2.0575999999999999</v>
      </c>
    </row>
    <row r="2923" spans="1:12" hidden="1" x14ac:dyDescent="0.25">
      <c r="A2923">
        <v>2330</v>
      </c>
      <c r="B2923" t="s">
        <v>11</v>
      </c>
      <c r="C2923" s="1">
        <v>42334</v>
      </c>
      <c r="D2923" s="2">
        <f t="shared" si="90"/>
        <v>4</v>
      </c>
      <c r="E2923" s="2">
        <f t="shared" si="91"/>
        <v>11</v>
      </c>
      <c r="F2923">
        <v>119.6439</v>
      </c>
      <c r="G2923">
        <v>120.91670000000001</v>
      </c>
      <c r="H2923">
        <v>118.7953</v>
      </c>
      <c r="I2923">
        <v>120.91670000000001</v>
      </c>
      <c r="J2923">
        <v>32927</v>
      </c>
      <c r="K2923">
        <v>1.0582</v>
      </c>
      <c r="L2923">
        <v>1.7857000000000001</v>
      </c>
    </row>
    <row r="2924" spans="1:12" x14ac:dyDescent="0.25">
      <c r="A2924">
        <v>2303</v>
      </c>
      <c r="B2924" t="s">
        <v>10</v>
      </c>
      <c r="C2924" s="1">
        <v>42335</v>
      </c>
      <c r="D2924" s="2">
        <f t="shared" si="90"/>
        <v>5</v>
      </c>
      <c r="E2924" s="2">
        <f t="shared" si="91"/>
        <v>11</v>
      </c>
      <c r="F2924">
        <v>10.378</v>
      </c>
      <c r="G2924">
        <v>10.420500000000001</v>
      </c>
      <c r="H2924">
        <v>10.207800000000001</v>
      </c>
      <c r="I2924">
        <v>10.250400000000001</v>
      </c>
      <c r="J2924">
        <v>11380</v>
      </c>
      <c r="K2924">
        <v>-1.2371000000000001</v>
      </c>
      <c r="L2924">
        <v>2.0832999999999999</v>
      </c>
    </row>
    <row r="2925" spans="1:12" hidden="1" x14ac:dyDescent="0.25">
      <c r="A2925">
        <v>2330</v>
      </c>
      <c r="B2925" t="s">
        <v>11</v>
      </c>
      <c r="C2925" s="1">
        <v>42335</v>
      </c>
      <c r="D2925" s="2">
        <f t="shared" si="90"/>
        <v>5</v>
      </c>
      <c r="E2925" s="2">
        <f t="shared" si="91"/>
        <v>11</v>
      </c>
      <c r="F2925">
        <v>121.3409</v>
      </c>
      <c r="G2925">
        <v>121.3409</v>
      </c>
      <c r="H2925">
        <v>117.9468</v>
      </c>
      <c r="I2925">
        <v>117.9468</v>
      </c>
      <c r="J2925">
        <v>26742</v>
      </c>
      <c r="K2925">
        <v>-2.4868000000000001</v>
      </c>
      <c r="L2925">
        <v>2.8776999999999999</v>
      </c>
    </row>
    <row r="2926" spans="1:12" x14ac:dyDescent="0.25">
      <c r="A2926">
        <v>2303</v>
      </c>
      <c r="B2926" t="s">
        <v>10</v>
      </c>
      <c r="C2926" s="1">
        <v>42338</v>
      </c>
      <c r="D2926" s="2">
        <f t="shared" si="90"/>
        <v>1</v>
      </c>
      <c r="E2926" s="2">
        <f t="shared" si="91"/>
        <v>11</v>
      </c>
      <c r="F2926">
        <v>10.1653</v>
      </c>
      <c r="G2926">
        <v>10.292899999999999</v>
      </c>
      <c r="H2926">
        <v>10.0802</v>
      </c>
      <c r="I2926">
        <v>10.0802</v>
      </c>
      <c r="J2926">
        <v>64168</v>
      </c>
      <c r="K2926">
        <v>-1.6737</v>
      </c>
      <c r="L2926">
        <v>2.1097000000000001</v>
      </c>
    </row>
    <row r="2927" spans="1:12" hidden="1" x14ac:dyDescent="0.25">
      <c r="A2927">
        <v>2330</v>
      </c>
      <c r="B2927" t="s">
        <v>11</v>
      </c>
      <c r="C2927" s="1">
        <v>42338</v>
      </c>
      <c r="D2927" s="2">
        <f t="shared" si="90"/>
        <v>1</v>
      </c>
      <c r="E2927" s="2">
        <f t="shared" si="91"/>
        <v>11</v>
      </c>
      <c r="F2927">
        <v>115.8254</v>
      </c>
      <c r="G2927">
        <v>117.9468</v>
      </c>
      <c r="H2927">
        <v>115.4012</v>
      </c>
      <c r="I2927">
        <v>117.9468</v>
      </c>
      <c r="J2927">
        <v>110350</v>
      </c>
      <c r="K2927">
        <v>0</v>
      </c>
      <c r="L2927">
        <v>2.2059000000000002</v>
      </c>
    </row>
    <row r="2928" spans="1:12" x14ac:dyDescent="0.25">
      <c r="A2928">
        <v>2303</v>
      </c>
      <c r="B2928" t="s">
        <v>10</v>
      </c>
      <c r="C2928" s="1">
        <v>42339</v>
      </c>
      <c r="D2928" s="2">
        <f t="shared" si="90"/>
        <v>2</v>
      </c>
      <c r="E2928" s="2">
        <f t="shared" si="91"/>
        <v>12</v>
      </c>
      <c r="F2928">
        <v>10.207800000000001</v>
      </c>
      <c r="G2928">
        <v>10.378</v>
      </c>
      <c r="H2928">
        <v>10.1228</v>
      </c>
      <c r="I2928">
        <v>10.378</v>
      </c>
      <c r="J2928">
        <v>22344</v>
      </c>
      <c r="K2928">
        <v>2.9108000000000001</v>
      </c>
      <c r="L2928">
        <v>2.5209999999999999</v>
      </c>
    </row>
    <row r="2929" spans="1:12" hidden="1" x14ac:dyDescent="0.25">
      <c r="A2929">
        <v>2330</v>
      </c>
      <c r="B2929" t="s">
        <v>11</v>
      </c>
      <c r="C2929" s="1">
        <v>42339</v>
      </c>
      <c r="D2929" s="2">
        <f t="shared" si="90"/>
        <v>2</v>
      </c>
      <c r="E2929" s="2">
        <f t="shared" si="91"/>
        <v>12</v>
      </c>
      <c r="F2929">
        <v>119.2196</v>
      </c>
      <c r="G2929">
        <v>120.91670000000001</v>
      </c>
      <c r="H2929">
        <v>117.52249999999999</v>
      </c>
      <c r="I2929">
        <v>120.91670000000001</v>
      </c>
      <c r="J2929">
        <v>48931</v>
      </c>
      <c r="K2929">
        <v>2.4868000000000001</v>
      </c>
      <c r="L2929">
        <v>2.8881000000000001</v>
      </c>
    </row>
    <row r="2930" spans="1:12" x14ac:dyDescent="0.25">
      <c r="A2930">
        <v>2303</v>
      </c>
      <c r="B2930" t="s">
        <v>10</v>
      </c>
      <c r="C2930" s="1">
        <v>42340</v>
      </c>
      <c r="D2930" s="2">
        <f t="shared" si="90"/>
        <v>3</v>
      </c>
      <c r="E2930" s="2">
        <f t="shared" si="91"/>
        <v>12</v>
      </c>
      <c r="F2930">
        <v>10.1653</v>
      </c>
      <c r="G2930">
        <v>10.378</v>
      </c>
      <c r="H2930">
        <v>10.1653</v>
      </c>
      <c r="I2930">
        <v>10.250400000000001</v>
      </c>
      <c r="J2930">
        <v>29551</v>
      </c>
      <c r="K2930">
        <v>-1.2371000000000001</v>
      </c>
      <c r="L2930">
        <v>2.0920999999999998</v>
      </c>
    </row>
    <row r="2931" spans="1:12" hidden="1" x14ac:dyDescent="0.25">
      <c r="A2931">
        <v>2330</v>
      </c>
      <c r="B2931" t="s">
        <v>11</v>
      </c>
      <c r="C2931" s="1">
        <v>42340</v>
      </c>
      <c r="D2931" s="2">
        <f t="shared" si="90"/>
        <v>3</v>
      </c>
      <c r="E2931" s="2">
        <f t="shared" si="91"/>
        <v>12</v>
      </c>
      <c r="F2931">
        <v>122.1895</v>
      </c>
      <c r="G2931">
        <v>122.1895</v>
      </c>
      <c r="H2931">
        <v>120.4924</v>
      </c>
      <c r="I2931">
        <v>120.91670000000001</v>
      </c>
      <c r="J2931">
        <v>31767</v>
      </c>
      <c r="K2931">
        <v>0</v>
      </c>
      <c r="L2931">
        <v>1.4085000000000001</v>
      </c>
    </row>
    <row r="2932" spans="1:12" x14ac:dyDescent="0.25">
      <c r="A2932">
        <v>2303</v>
      </c>
      <c r="B2932" t="s">
        <v>10</v>
      </c>
      <c r="C2932" s="1">
        <v>42341</v>
      </c>
      <c r="D2932" s="2">
        <f t="shared" si="90"/>
        <v>4</v>
      </c>
      <c r="E2932" s="2">
        <f t="shared" si="91"/>
        <v>12</v>
      </c>
      <c r="F2932">
        <v>10.250400000000001</v>
      </c>
      <c r="G2932">
        <v>10.505599999999999</v>
      </c>
      <c r="H2932">
        <v>10.1653</v>
      </c>
      <c r="I2932">
        <v>10.420500000000001</v>
      </c>
      <c r="J2932">
        <v>38699</v>
      </c>
      <c r="K2932">
        <v>1.6460999999999999</v>
      </c>
      <c r="L2932">
        <v>3.3473000000000002</v>
      </c>
    </row>
    <row r="2933" spans="1:12" hidden="1" x14ac:dyDescent="0.25">
      <c r="A2933">
        <v>2330</v>
      </c>
      <c r="B2933" t="s">
        <v>11</v>
      </c>
      <c r="C2933" s="1">
        <v>42341</v>
      </c>
      <c r="D2933" s="2">
        <f t="shared" si="90"/>
        <v>4</v>
      </c>
      <c r="E2933" s="2">
        <f t="shared" si="91"/>
        <v>12</v>
      </c>
      <c r="F2933">
        <v>120.0681</v>
      </c>
      <c r="G2933">
        <v>121.3409</v>
      </c>
      <c r="H2933">
        <v>120.0681</v>
      </c>
      <c r="I2933">
        <v>120.91670000000001</v>
      </c>
      <c r="J2933">
        <v>28204</v>
      </c>
      <c r="K2933">
        <v>0</v>
      </c>
      <c r="L2933">
        <v>1.0601</v>
      </c>
    </row>
    <row r="2934" spans="1:12" x14ac:dyDescent="0.25">
      <c r="A2934">
        <v>2303</v>
      </c>
      <c r="B2934" t="s">
        <v>10</v>
      </c>
      <c r="C2934" s="1">
        <v>42342</v>
      </c>
      <c r="D2934" s="2">
        <f t="shared" si="90"/>
        <v>5</v>
      </c>
      <c r="E2934" s="2">
        <f t="shared" si="91"/>
        <v>12</v>
      </c>
      <c r="F2934">
        <v>10.250400000000001</v>
      </c>
      <c r="G2934">
        <v>10.378</v>
      </c>
      <c r="H2934">
        <v>10.250400000000001</v>
      </c>
      <c r="I2934">
        <v>10.250400000000001</v>
      </c>
      <c r="J2934">
        <v>22296</v>
      </c>
      <c r="K2934">
        <v>-1.6460999999999999</v>
      </c>
      <c r="L2934">
        <v>1.2447999999999999</v>
      </c>
    </row>
    <row r="2935" spans="1:12" hidden="1" x14ac:dyDescent="0.25">
      <c r="A2935">
        <v>2330</v>
      </c>
      <c r="B2935" t="s">
        <v>11</v>
      </c>
      <c r="C2935" s="1">
        <v>42342</v>
      </c>
      <c r="D2935" s="2">
        <f t="shared" si="90"/>
        <v>5</v>
      </c>
      <c r="E2935" s="2">
        <f t="shared" si="91"/>
        <v>12</v>
      </c>
      <c r="F2935">
        <v>119.6439</v>
      </c>
      <c r="G2935">
        <v>120.91670000000001</v>
      </c>
      <c r="H2935">
        <v>119.2196</v>
      </c>
      <c r="I2935">
        <v>119.2196</v>
      </c>
      <c r="J2935">
        <v>31780</v>
      </c>
      <c r="K2935">
        <v>-1.4135</v>
      </c>
      <c r="L2935">
        <v>1.4235</v>
      </c>
    </row>
    <row r="2936" spans="1:12" x14ac:dyDescent="0.25">
      <c r="A2936">
        <v>2303</v>
      </c>
      <c r="B2936" t="s">
        <v>10</v>
      </c>
      <c r="C2936" s="1">
        <v>42345</v>
      </c>
      <c r="D2936" s="2">
        <f t="shared" si="90"/>
        <v>1</v>
      </c>
      <c r="E2936" s="2">
        <f t="shared" si="91"/>
        <v>12</v>
      </c>
      <c r="F2936">
        <v>10.292899999999999</v>
      </c>
      <c r="G2936">
        <v>10.420500000000001</v>
      </c>
      <c r="H2936">
        <v>10.250400000000001</v>
      </c>
      <c r="I2936">
        <v>10.292899999999999</v>
      </c>
      <c r="J2936">
        <v>26879</v>
      </c>
      <c r="K2936">
        <v>0.41410000000000002</v>
      </c>
      <c r="L2936">
        <v>1.6597999999999999</v>
      </c>
    </row>
    <row r="2937" spans="1:12" hidden="1" x14ac:dyDescent="0.25">
      <c r="A2937">
        <v>2330</v>
      </c>
      <c r="B2937" t="s">
        <v>11</v>
      </c>
      <c r="C2937" s="1">
        <v>42345</v>
      </c>
      <c r="D2937" s="2">
        <f t="shared" si="90"/>
        <v>1</v>
      </c>
      <c r="E2937" s="2">
        <f t="shared" si="91"/>
        <v>12</v>
      </c>
      <c r="F2937">
        <v>120.4924</v>
      </c>
      <c r="G2937">
        <v>122.61369999999999</v>
      </c>
      <c r="H2937">
        <v>120.4924</v>
      </c>
      <c r="I2937">
        <v>121.76519999999999</v>
      </c>
      <c r="J2937">
        <v>41097</v>
      </c>
      <c r="K2937">
        <v>2.1128</v>
      </c>
      <c r="L2937">
        <v>1.7605999999999999</v>
      </c>
    </row>
    <row r="2938" spans="1:12" x14ac:dyDescent="0.25">
      <c r="A2938">
        <v>2303</v>
      </c>
      <c r="B2938" t="s">
        <v>10</v>
      </c>
      <c r="C2938" s="1">
        <v>42346</v>
      </c>
      <c r="D2938" s="2">
        <f t="shared" si="90"/>
        <v>2</v>
      </c>
      <c r="E2938" s="2">
        <f t="shared" si="91"/>
        <v>12</v>
      </c>
      <c r="F2938">
        <v>10.292899999999999</v>
      </c>
      <c r="G2938">
        <v>10.3354</v>
      </c>
      <c r="H2938">
        <v>10.1228</v>
      </c>
      <c r="I2938">
        <v>10.1653</v>
      </c>
      <c r="J2938">
        <v>25908</v>
      </c>
      <c r="K2938">
        <v>-1.2474000000000001</v>
      </c>
      <c r="L2938">
        <v>2.1008</v>
      </c>
    </row>
    <row r="2939" spans="1:12" hidden="1" x14ac:dyDescent="0.25">
      <c r="A2939">
        <v>2330</v>
      </c>
      <c r="B2939" t="s">
        <v>11</v>
      </c>
      <c r="C2939" s="1">
        <v>42346</v>
      </c>
      <c r="D2939" s="2">
        <f t="shared" si="90"/>
        <v>2</v>
      </c>
      <c r="E2939" s="2">
        <f t="shared" si="91"/>
        <v>12</v>
      </c>
      <c r="F2939">
        <v>121.76519999999999</v>
      </c>
      <c r="G2939">
        <v>122.1895</v>
      </c>
      <c r="H2939">
        <v>119.6439</v>
      </c>
      <c r="I2939">
        <v>120.91670000000001</v>
      </c>
      <c r="J2939">
        <v>34037</v>
      </c>
      <c r="K2939">
        <v>-0.69930000000000003</v>
      </c>
      <c r="L2939">
        <v>2.1276999999999999</v>
      </c>
    </row>
    <row r="2940" spans="1:12" x14ac:dyDescent="0.25">
      <c r="A2940">
        <v>2303</v>
      </c>
      <c r="B2940" t="s">
        <v>10</v>
      </c>
      <c r="C2940" s="1">
        <v>42347</v>
      </c>
      <c r="D2940" s="2">
        <f t="shared" si="90"/>
        <v>3</v>
      </c>
      <c r="E2940" s="2">
        <f t="shared" si="91"/>
        <v>12</v>
      </c>
      <c r="F2940">
        <v>10.1228</v>
      </c>
      <c r="G2940">
        <v>10.1653</v>
      </c>
      <c r="H2940">
        <v>9.8675999999999995</v>
      </c>
      <c r="I2940">
        <v>9.8675999999999995</v>
      </c>
      <c r="J2940">
        <v>44402</v>
      </c>
      <c r="K2940">
        <v>-2.9725999999999999</v>
      </c>
      <c r="L2940">
        <v>3.0171999999999999</v>
      </c>
    </row>
    <row r="2941" spans="1:12" hidden="1" x14ac:dyDescent="0.25">
      <c r="A2941">
        <v>2330</v>
      </c>
      <c r="B2941" t="s">
        <v>11</v>
      </c>
      <c r="C2941" s="1">
        <v>42347</v>
      </c>
      <c r="D2941" s="2">
        <f t="shared" si="90"/>
        <v>3</v>
      </c>
      <c r="E2941" s="2">
        <f t="shared" si="91"/>
        <v>12</v>
      </c>
      <c r="F2941">
        <v>120.4924</v>
      </c>
      <c r="G2941">
        <v>120.4924</v>
      </c>
      <c r="H2941">
        <v>119.2196</v>
      </c>
      <c r="I2941">
        <v>119.2196</v>
      </c>
      <c r="J2941">
        <v>30640</v>
      </c>
      <c r="K2941">
        <v>-1.4135</v>
      </c>
      <c r="L2941">
        <v>1.0676000000000001</v>
      </c>
    </row>
    <row r="2942" spans="1:12" x14ac:dyDescent="0.25">
      <c r="A2942">
        <v>2303</v>
      </c>
      <c r="B2942" t="s">
        <v>10</v>
      </c>
      <c r="C2942" s="1">
        <v>42348</v>
      </c>
      <c r="D2942" s="2">
        <f t="shared" si="90"/>
        <v>4</v>
      </c>
      <c r="E2942" s="2">
        <f t="shared" si="91"/>
        <v>12</v>
      </c>
      <c r="F2942">
        <v>9.6974</v>
      </c>
      <c r="G2942">
        <v>9.8675999999999995</v>
      </c>
      <c r="H2942">
        <v>9.6123999999999992</v>
      </c>
      <c r="I2942">
        <v>9.8249999999999993</v>
      </c>
      <c r="J2942">
        <v>55043</v>
      </c>
      <c r="K2942">
        <v>-0.432</v>
      </c>
      <c r="L2942">
        <v>2.6549</v>
      </c>
    </row>
    <row r="2943" spans="1:12" hidden="1" x14ac:dyDescent="0.25">
      <c r="A2943">
        <v>2330</v>
      </c>
      <c r="B2943" t="s">
        <v>11</v>
      </c>
      <c r="C2943" s="1">
        <v>42348</v>
      </c>
      <c r="D2943" s="2">
        <f t="shared" si="90"/>
        <v>4</v>
      </c>
      <c r="E2943" s="2">
        <f t="shared" si="91"/>
        <v>12</v>
      </c>
      <c r="F2943">
        <v>119.2196</v>
      </c>
      <c r="G2943">
        <v>120.0681</v>
      </c>
      <c r="H2943">
        <v>117.9468</v>
      </c>
      <c r="I2943">
        <v>119.6439</v>
      </c>
      <c r="J2943">
        <v>41487</v>
      </c>
      <c r="K2943">
        <v>0.35520000000000002</v>
      </c>
      <c r="L2943">
        <v>1.7986</v>
      </c>
    </row>
    <row r="2944" spans="1:12" x14ac:dyDescent="0.25">
      <c r="A2944">
        <v>2303</v>
      </c>
      <c r="B2944" t="s">
        <v>10</v>
      </c>
      <c r="C2944" s="1">
        <v>42349</v>
      </c>
      <c r="D2944" s="2">
        <f t="shared" si="90"/>
        <v>5</v>
      </c>
      <c r="E2944" s="2">
        <f t="shared" si="91"/>
        <v>12</v>
      </c>
      <c r="F2944">
        <v>9.8675999999999995</v>
      </c>
      <c r="G2944">
        <v>10.037699999999999</v>
      </c>
      <c r="H2944">
        <v>9.8675999999999995</v>
      </c>
      <c r="I2944">
        <v>9.9526000000000003</v>
      </c>
      <c r="J2944">
        <v>43207</v>
      </c>
      <c r="K2944">
        <v>1.2903</v>
      </c>
      <c r="L2944">
        <v>1.7241</v>
      </c>
    </row>
    <row r="2945" spans="1:12" hidden="1" x14ac:dyDescent="0.25">
      <c r="A2945">
        <v>2330</v>
      </c>
      <c r="B2945" t="s">
        <v>11</v>
      </c>
      <c r="C2945" s="1">
        <v>42349</v>
      </c>
      <c r="D2945" s="2">
        <f t="shared" si="90"/>
        <v>5</v>
      </c>
      <c r="E2945" s="2">
        <f t="shared" si="91"/>
        <v>12</v>
      </c>
      <c r="F2945">
        <v>119.6439</v>
      </c>
      <c r="G2945">
        <v>120.4924</v>
      </c>
      <c r="H2945">
        <v>117.9468</v>
      </c>
      <c r="I2945">
        <v>118.3711</v>
      </c>
      <c r="J2945">
        <v>32030</v>
      </c>
      <c r="K2945">
        <v>-1.0694999999999999</v>
      </c>
      <c r="L2945">
        <v>2.1583000000000001</v>
      </c>
    </row>
    <row r="2946" spans="1:12" x14ac:dyDescent="0.25">
      <c r="A2946">
        <v>2303</v>
      </c>
      <c r="B2946" t="s">
        <v>10</v>
      </c>
      <c r="C2946" s="1">
        <v>42352</v>
      </c>
      <c r="D2946" s="2">
        <f t="shared" si="90"/>
        <v>1</v>
      </c>
      <c r="E2946" s="2">
        <f t="shared" si="91"/>
        <v>12</v>
      </c>
      <c r="F2946">
        <v>9.8675999999999995</v>
      </c>
      <c r="G2946">
        <v>9.9526000000000003</v>
      </c>
      <c r="H2946">
        <v>9.7825000000000006</v>
      </c>
      <c r="I2946">
        <v>9.9526000000000003</v>
      </c>
      <c r="J2946">
        <v>20931</v>
      </c>
      <c r="K2946">
        <v>0</v>
      </c>
      <c r="L2946">
        <v>1.7391000000000001</v>
      </c>
    </row>
    <row r="2947" spans="1:12" hidden="1" x14ac:dyDescent="0.25">
      <c r="A2947">
        <v>2330</v>
      </c>
      <c r="B2947" t="s">
        <v>11</v>
      </c>
      <c r="C2947" s="1">
        <v>42352</v>
      </c>
      <c r="D2947" s="2">
        <f t="shared" ref="D2947:D3010" si="92">WEEKDAY(C2947,2)</f>
        <v>1</v>
      </c>
      <c r="E2947" s="2">
        <f t="shared" ref="E2947:E3010" si="93">MONTH(C2947)</f>
        <v>12</v>
      </c>
      <c r="F2947">
        <v>116.67400000000001</v>
      </c>
      <c r="G2947">
        <v>118.3711</v>
      </c>
      <c r="H2947">
        <v>116.67400000000001</v>
      </c>
      <c r="I2947">
        <v>117.9468</v>
      </c>
      <c r="J2947">
        <v>37666</v>
      </c>
      <c r="K2947">
        <v>-0.35909999999999997</v>
      </c>
      <c r="L2947">
        <v>1.4544999999999999</v>
      </c>
    </row>
    <row r="2948" spans="1:12" x14ac:dyDescent="0.25">
      <c r="A2948">
        <v>2303</v>
      </c>
      <c r="B2948" t="s">
        <v>10</v>
      </c>
      <c r="C2948" s="1">
        <v>42353</v>
      </c>
      <c r="D2948" s="2">
        <f t="shared" si="92"/>
        <v>2</v>
      </c>
      <c r="E2948" s="2">
        <f t="shared" si="93"/>
        <v>12</v>
      </c>
      <c r="F2948">
        <v>10.037699999999999</v>
      </c>
      <c r="G2948">
        <v>10.0802</v>
      </c>
      <c r="H2948">
        <v>9.8675999999999995</v>
      </c>
      <c r="I2948">
        <v>9.8675999999999995</v>
      </c>
      <c r="J2948">
        <v>18566</v>
      </c>
      <c r="K2948">
        <v>-0.85840000000000005</v>
      </c>
      <c r="L2948">
        <v>2.1551999999999998</v>
      </c>
    </row>
    <row r="2949" spans="1:12" hidden="1" x14ac:dyDescent="0.25">
      <c r="A2949">
        <v>2330</v>
      </c>
      <c r="B2949" t="s">
        <v>11</v>
      </c>
      <c r="C2949" s="1">
        <v>42353</v>
      </c>
      <c r="D2949" s="2">
        <f t="shared" si="92"/>
        <v>2</v>
      </c>
      <c r="E2949" s="2">
        <f t="shared" si="93"/>
        <v>12</v>
      </c>
      <c r="F2949">
        <v>118.3711</v>
      </c>
      <c r="G2949">
        <v>119.2196</v>
      </c>
      <c r="H2949">
        <v>117.09820000000001</v>
      </c>
      <c r="I2949">
        <v>117.09820000000001</v>
      </c>
      <c r="J2949">
        <v>27973</v>
      </c>
      <c r="K2949">
        <v>-0.72199999999999998</v>
      </c>
      <c r="L2949">
        <v>1.8116000000000001</v>
      </c>
    </row>
    <row r="2950" spans="1:12" x14ac:dyDescent="0.25">
      <c r="A2950">
        <v>2303</v>
      </c>
      <c r="B2950" t="s">
        <v>10</v>
      </c>
      <c r="C2950" s="1">
        <v>42354</v>
      </c>
      <c r="D2950" s="2">
        <f t="shared" si="92"/>
        <v>3</v>
      </c>
      <c r="E2950" s="2">
        <f t="shared" si="93"/>
        <v>12</v>
      </c>
      <c r="F2950">
        <v>10.0802</v>
      </c>
      <c r="G2950">
        <v>10.1228</v>
      </c>
      <c r="H2950">
        <v>9.9526000000000003</v>
      </c>
      <c r="I2950">
        <v>10.037699999999999</v>
      </c>
      <c r="J2950">
        <v>25532</v>
      </c>
      <c r="K2950">
        <v>1.7094</v>
      </c>
      <c r="L2950">
        <v>1.7094</v>
      </c>
    </row>
    <row r="2951" spans="1:12" hidden="1" x14ac:dyDescent="0.25">
      <c r="A2951">
        <v>2330</v>
      </c>
      <c r="B2951" t="s">
        <v>11</v>
      </c>
      <c r="C2951" s="1">
        <v>42354</v>
      </c>
      <c r="D2951" s="2">
        <f t="shared" si="92"/>
        <v>3</v>
      </c>
      <c r="E2951" s="2">
        <f t="shared" si="93"/>
        <v>12</v>
      </c>
      <c r="F2951">
        <v>120.4924</v>
      </c>
      <c r="G2951">
        <v>122.1895</v>
      </c>
      <c r="H2951">
        <v>119.6439</v>
      </c>
      <c r="I2951">
        <v>121.76519999999999</v>
      </c>
      <c r="J2951">
        <v>58669</v>
      </c>
      <c r="K2951">
        <v>3.9081000000000001</v>
      </c>
      <c r="L2951">
        <v>2.1276999999999999</v>
      </c>
    </row>
    <row r="2952" spans="1:12" x14ac:dyDescent="0.25">
      <c r="A2952">
        <v>2303</v>
      </c>
      <c r="B2952" t="s">
        <v>10</v>
      </c>
      <c r="C2952" s="1">
        <v>42355</v>
      </c>
      <c r="D2952" s="2">
        <f t="shared" si="92"/>
        <v>4</v>
      </c>
      <c r="E2952" s="2">
        <f t="shared" si="93"/>
        <v>12</v>
      </c>
      <c r="F2952">
        <v>10.1228</v>
      </c>
      <c r="G2952">
        <v>10.378</v>
      </c>
      <c r="H2952">
        <v>10.0802</v>
      </c>
      <c r="I2952">
        <v>10.3354</v>
      </c>
      <c r="J2952">
        <v>43690</v>
      </c>
      <c r="K2952">
        <v>2.923</v>
      </c>
      <c r="L2952">
        <v>2.9535999999999998</v>
      </c>
    </row>
    <row r="2953" spans="1:12" hidden="1" x14ac:dyDescent="0.25">
      <c r="A2953">
        <v>2330</v>
      </c>
      <c r="B2953" t="s">
        <v>11</v>
      </c>
      <c r="C2953" s="1">
        <v>42355</v>
      </c>
      <c r="D2953" s="2">
        <f t="shared" si="92"/>
        <v>4</v>
      </c>
      <c r="E2953" s="2">
        <f t="shared" si="93"/>
        <v>12</v>
      </c>
      <c r="F2953">
        <v>122.61369999999999</v>
      </c>
      <c r="G2953">
        <v>123.038</v>
      </c>
      <c r="H2953">
        <v>121.3409</v>
      </c>
      <c r="I2953">
        <v>123.038</v>
      </c>
      <c r="J2953">
        <v>34710</v>
      </c>
      <c r="K2953">
        <v>1.0399</v>
      </c>
      <c r="L2953">
        <v>1.3986000000000001</v>
      </c>
    </row>
    <row r="2954" spans="1:12" x14ac:dyDescent="0.25">
      <c r="A2954">
        <v>2303</v>
      </c>
      <c r="B2954" t="s">
        <v>10</v>
      </c>
      <c r="C2954" s="1">
        <v>42356</v>
      </c>
      <c r="D2954" s="2">
        <f t="shared" si="92"/>
        <v>5</v>
      </c>
      <c r="E2954" s="2">
        <f t="shared" si="93"/>
        <v>12</v>
      </c>
      <c r="F2954">
        <v>10.250400000000001</v>
      </c>
      <c r="G2954">
        <v>10.378</v>
      </c>
      <c r="H2954">
        <v>10.1653</v>
      </c>
      <c r="I2954">
        <v>10.207800000000001</v>
      </c>
      <c r="J2954">
        <v>41032</v>
      </c>
      <c r="K2954">
        <v>-1.2423</v>
      </c>
      <c r="L2954">
        <v>2.0920999999999998</v>
      </c>
    </row>
    <row r="2955" spans="1:12" hidden="1" x14ac:dyDescent="0.25">
      <c r="A2955">
        <v>2330</v>
      </c>
      <c r="B2955" t="s">
        <v>11</v>
      </c>
      <c r="C2955" s="1">
        <v>42356</v>
      </c>
      <c r="D2955" s="2">
        <f t="shared" si="92"/>
        <v>5</v>
      </c>
      <c r="E2955" s="2">
        <f t="shared" si="93"/>
        <v>12</v>
      </c>
      <c r="F2955">
        <v>121.3409</v>
      </c>
      <c r="G2955">
        <v>123.038</v>
      </c>
      <c r="H2955">
        <v>120.4924</v>
      </c>
      <c r="I2955">
        <v>120.4924</v>
      </c>
      <c r="J2955">
        <v>41615</v>
      </c>
      <c r="K2955">
        <v>-2.0907</v>
      </c>
      <c r="L2955">
        <v>2.1126999999999998</v>
      </c>
    </row>
    <row r="2956" spans="1:12" x14ac:dyDescent="0.25">
      <c r="A2956">
        <v>2303</v>
      </c>
      <c r="B2956" t="s">
        <v>10</v>
      </c>
      <c r="C2956" s="1">
        <v>42359</v>
      </c>
      <c r="D2956" s="2">
        <f t="shared" si="92"/>
        <v>1</v>
      </c>
      <c r="E2956" s="2">
        <f t="shared" si="93"/>
        <v>12</v>
      </c>
      <c r="F2956">
        <v>10.292899999999999</v>
      </c>
      <c r="G2956">
        <v>10.7182</v>
      </c>
      <c r="H2956">
        <v>10.250400000000001</v>
      </c>
      <c r="I2956">
        <v>10.5906</v>
      </c>
      <c r="J2956">
        <v>84011</v>
      </c>
      <c r="K2956">
        <v>3.6814</v>
      </c>
      <c r="L2956">
        <v>4.5643000000000002</v>
      </c>
    </row>
    <row r="2957" spans="1:12" hidden="1" x14ac:dyDescent="0.25">
      <c r="A2957">
        <v>2330</v>
      </c>
      <c r="B2957" t="s">
        <v>11</v>
      </c>
      <c r="C2957" s="1">
        <v>42359</v>
      </c>
      <c r="D2957" s="2">
        <f t="shared" si="92"/>
        <v>1</v>
      </c>
      <c r="E2957" s="2">
        <f t="shared" si="93"/>
        <v>12</v>
      </c>
      <c r="F2957">
        <v>120.0681</v>
      </c>
      <c r="G2957">
        <v>120.91670000000001</v>
      </c>
      <c r="H2957">
        <v>119.2196</v>
      </c>
      <c r="I2957">
        <v>120.0681</v>
      </c>
      <c r="J2957">
        <v>26939</v>
      </c>
      <c r="K2957">
        <v>-0.35270000000000001</v>
      </c>
      <c r="L2957">
        <v>1.4235</v>
      </c>
    </row>
    <row r="2958" spans="1:12" x14ac:dyDescent="0.25">
      <c r="A2958">
        <v>2303</v>
      </c>
      <c r="B2958" t="s">
        <v>10</v>
      </c>
      <c r="C2958" s="1">
        <v>42360</v>
      </c>
      <c r="D2958" s="2">
        <f t="shared" si="92"/>
        <v>2</v>
      </c>
      <c r="E2958" s="2">
        <f t="shared" si="93"/>
        <v>12</v>
      </c>
      <c r="F2958">
        <v>10.633100000000001</v>
      </c>
      <c r="G2958">
        <v>10.633100000000001</v>
      </c>
      <c r="H2958">
        <v>10.420500000000001</v>
      </c>
      <c r="I2958">
        <v>10.505599999999999</v>
      </c>
      <c r="J2958">
        <v>23495</v>
      </c>
      <c r="K2958">
        <v>-0.80649999999999999</v>
      </c>
      <c r="L2958">
        <v>2.0407999999999999</v>
      </c>
    </row>
    <row r="2959" spans="1:12" hidden="1" x14ac:dyDescent="0.25">
      <c r="A2959">
        <v>2330</v>
      </c>
      <c r="B2959" t="s">
        <v>11</v>
      </c>
      <c r="C2959" s="1">
        <v>42360</v>
      </c>
      <c r="D2959" s="2">
        <f t="shared" si="92"/>
        <v>2</v>
      </c>
      <c r="E2959" s="2">
        <f t="shared" si="93"/>
        <v>12</v>
      </c>
      <c r="F2959">
        <v>119.6439</v>
      </c>
      <c r="G2959">
        <v>120.4924</v>
      </c>
      <c r="H2959">
        <v>119.2196</v>
      </c>
      <c r="I2959">
        <v>120.4924</v>
      </c>
      <c r="J2959">
        <v>17209</v>
      </c>
      <c r="K2959">
        <v>0.35270000000000001</v>
      </c>
      <c r="L2959">
        <v>1.0676000000000001</v>
      </c>
    </row>
    <row r="2960" spans="1:12" x14ac:dyDescent="0.25">
      <c r="A2960">
        <v>2303</v>
      </c>
      <c r="B2960" t="s">
        <v>10</v>
      </c>
      <c r="C2960" s="1">
        <v>42361</v>
      </c>
      <c r="D2960" s="2">
        <f t="shared" si="92"/>
        <v>3</v>
      </c>
      <c r="E2960" s="2">
        <f t="shared" si="93"/>
        <v>12</v>
      </c>
      <c r="F2960">
        <v>10.505599999999999</v>
      </c>
      <c r="G2960">
        <v>10.633100000000001</v>
      </c>
      <c r="H2960">
        <v>10.462999999999999</v>
      </c>
      <c r="I2960">
        <v>10.5906</v>
      </c>
      <c r="J2960">
        <v>26385</v>
      </c>
      <c r="K2960">
        <v>0.80649999999999999</v>
      </c>
      <c r="L2960">
        <v>1.6259999999999999</v>
      </c>
    </row>
    <row r="2961" spans="1:12" hidden="1" x14ac:dyDescent="0.25">
      <c r="A2961">
        <v>2330</v>
      </c>
      <c r="B2961" t="s">
        <v>11</v>
      </c>
      <c r="C2961" s="1">
        <v>42361</v>
      </c>
      <c r="D2961" s="2">
        <f t="shared" si="92"/>
        <v>3</v>
      </c>
      <c r="E2961" s="2">
        <f t="shared" si="93"/>
        <v>12</v>
      </c>
      <c r="F2961">
        <v>119.6439</v>
      </c>
      <c r="G2961">
        <v>121.3409</v>
      </c>
      <c r="H2961">
        <v>119.2196</v>
      </c>
      <c r="I2961">
        <v>120.0681</v>
      </c>
      <c r="J2961">
        <v>18152</v>
      </c>
      <c r="K2961">
        <v>-0.35270000000000001</v>
      </c>
      <c r="L2961">
        <v>1.7794000000000001</v>
      </c>
    </row>
    <row r="2962" spans="1:12" x14ac:dyDescent="0.25">
      <c r="A2962">
        <v>2303</v>
      </c>
      <c r="B2962" t="s">
        <v>10</v>
      </c>
      <c r="C2962" s="1">
        <v>42362</v>
      </c>
      <c r="D2962" s="2">
        <f t="shared" si="92"/>
        <v>4</v>
      </c>
      <c r="E2962" s="2">
        <f t="shared" si="93"/>
        <v>12</v>
      </c>
      <c r="F2962">
        <v>10.633100000000001</v>
      </c>
      <c r="G2962">
        <v>10.675700000000001</v>
      </c>
      <c r="H2962">
        <v>10.462999999999999</v>
      </c>
      <c r="I2962">
        <v>10.462999999999999</v>
      </c>
      <c r="J2962">
        <v>14485</v>
      </c>
      <c r="K2962">
        <v>-1.2121</v>
      </c>
      <c r="L2962">
        <v>2.0325000000000002</v>
      </c>
    </row>
    <row r="2963" spans="1:12" hidden="1" x14ac:dyDescent="0.25">
      <c r="A2963">
        <v>2330</v>
      </c>
      <c r="B2963" t="s">
        <v>11</v>
      </c>
      <c r="C2963" s="1">
        <v>42362</v>
      </c>
      <c r="D2963" s="2">
        <f t="shared" si="92"/>
        <v>4</v>
      </c>
      <c r="E2963" s="2">
        <f t="shared" si="93"/>
        <v>12</v>
      </c>
      <c r="F2963">
        <v>121.3409</v>
      </c>
      <c r="G2963">
        <v>121.76519999999999</v>
      </c>
      <c r="H2963">
        <v>120.4924</v>
      </c>
      <c r="I2963">
        <v>120.4924</v>
      </c>
      <c r="J2963">
        <v>13495</v>
      </c>
      <c r="K2963">
        <v>0.35270000000000001</v>
      </c>
      <c r="L2963">
        <v>1.0563</v>
      </c>
    </row>
    <row r="2964" spans="1:12" x14ac:dyDescent="0.25">
      <c r="A2964">
        <v>2303</v>
      </c>
      <c r="B2964" t="s">
        <v>10</v>
      </c>
      <c r="C2964" s="1">
        <v>42363</v>
      </c>
      <c r="D2964" s="2">
        <f t="shared" si="92"/>
        <v>5</v>
      </c>
      <c r="E2964" s="2">
        <f t="shared" si="93"/>
        <v>12</v>
      </c>
      <c r="F2964">
        <v>10.462999999999999</v>
      </c>
      <c r="G2964">
        <v>10.5906</v>
      </c>
      <c r="H2964">
        <v>10.462999999999999</v>
      </c>
      <c r="I2964">
        <v>10.5481</v>
      </c>
      <c r="J2964">
        <v>7344</v>
      </c>
      <c r="K2964">
        <v>0.80969999999999998</v>
      </c>
      <c r="L2964">
        <v>1.2195</v>
      </c>
    </row>
    <row r="2965" spans="1:12" hidden="1" x14ac:dyDescent="0.25">
      <c r="A2965">
        <v>2330</v>
      </c>
      <c r="B2965" t="s">
        <v>11</v>
      </c>
      <c r="C2965" s="1">
        <v>42363</v>
      </c>
      <c r="D2965" s="2">
        <f t="shared" si="92"/>
        <v>5</v>
      </c>
      <c r="E2965" s="2">
        <f t="shared" si="93"/>
        <v>12</v>
      </c>
      <c r="F2965">
        <v>120.4924</v>
      </c>
      <c r="G2965">
        <v>121.76519999999999</v>
      </c>
      <c r="H2965">
        <v>120.4924</v>
      </c>
      <c r="I2965">
        <v>121.3409</v>
      </c>
      <c r="J2965">
        <v>6168</v>
      </c>
      <c r="K2965">
        <v>0.70179999999999998</v>
      </c>
      <c r="L2965">
        <v>1.0563</v>
      </c>
    </row>
    <row r="2966" spans="1:12" x14ac:dyDescent="0.25">
      <c r="A2966">
        <v>2303</v>
      </c>
      <c r="B2966" t="s">
        <v>10</v>
      </c>
      <c r="C2966" s="1">
        <v>42366</v>
      </c>
      <c r="D2966" s="2">
        <f t="shared" si="92"/>
        <v>1</v>
      </c>
      <c r="E2966" s="2">
        <f t="shared" si="93"/>
        <v>12</v>
      </c>
      <c r="F2966">
        <v>10.5906</v>
      </c>
      <c r="G2966">
        <v>10.5906</v>
      </c>
      <c r="H2966">
        <v>10.462999999999999</v>
      </c>
      <c r="I2966">
        <v>10.462999999999999</v>
      </c>
      <c r="J2966">
        <v>10496</v>
      </c>
      <c r="K2966">
        <v>-0.80969999999999998</v>
      </c>
      <c r="L2966">
        <v>1.2195</v>
      </c>
    </row>
    <row r="2967" spans="1:12" hidden="1" x14ac:dyDescent="0.25">
      <c r="A2967">
        <v>2330</v>
      </c>
      <c r="B2967" t="s">
        <v>11</v>
      </c>
      <c r="C2967" s="1">
        <v>42366</v>
      </c>
      <c r="D2967" s="2">
        <f t="shared" si="92"/>
        <v>1</v>
      </c>
      <c r="E2967" s="2">
        <f t="shared" si="93"/>
        <v>12</v>
      </c>
      <c r="F2967">
        <v>121.76519999999999</v>
      </c>
      <c r="G2967">
        <v>122.1895</v>
      </c>
      <c r="H2967">
        <v>121.3409</v>
      </c>
      <c r="I2967">
        <v>121.76519999999999</v>
      </c>
      <c r="J2967">
        <v>10831</v>
      </c>
      <c r="K2967">
        <v>0.34899999999999998</v>
      </c>
      <c r="L2967">
        <v>0.69930000000000003</v>
      </c>
    </row>
    <row r="2968" spans="1:12" x14ac:dyDescent="0.25">
      <c r="A2968">
        <v>2303</v>
      </c>
      <c r="B2968" t="s">
        <v>10</v>
      </c>
      <c r="C2968" s="1">
        <v>42367</v>
      </c>
      <c r="D2968" s="2">
        <f t="shared" si="92"/>
        <v>2</v>
      </c>
      <c r="E2968" s="2">
        <f t="shared" si="93"/>
        <v>12</v>
      </c>
      <c r="F2968">
        <v>10.462999999999999</v>
      </c>
      <c r="G2968">
        <v>10.505599999999999</v>
      </c>
      <c r="H2968">
        <v>10.3354</v>
      </c>
      <c r="I2968">
        <v>10.3354</v>
      </c>
      <c r="J2968">
        <v>16761</v>
      </c>
      <c r="K2968">
        <v>-1.2270000000000001</v>
      </c>
      <c r="L2968">
        <v>1.6460999999999999</v>
      </c>
    </row>
    <row r="2969" spans="1:12" hidden="1" x14ac:dyDescent="0.25">
      <c r="A2969">
        <v>2330</v>
      </c>
      <c r="B2969" t="s">
        <v>11</v>
      </c>
      <c r="C2969" s="1">
        <v>42367</v>
      </c>
      <c r="D2969" s="2">
        <f t="shared" si="92"/>
        <v>2</v>
      </c>
      <c r="E2969" s="2">
        <f t="shared" si="93"/>
        <v>12</v>
      </c>
      <c r="F2969">
        <v>121.76519999999999</v>
      </c>
      <c r="G2969">
        <v>122.1895</v>
      </c>
      <c r="H2969">
        <v>120.0681</v>
      </c>
      <c r="I2969">
        <v>120.4924</v>
      </c>
      <c r="J2969">
        <v>12968</v>
      </c>
      <c r="K2969">
        <v>-1.0508</v>
      </c>
      <c r="L2969">
        <v>1.7667999999999999</v>
      </c>
    </row>
    <row r="2970" spans="1:12" x14ac:dyDescent="0.25">
      <c r="A2970">
        <v>2303</v>
      </c>
      <c r="B2970" t="s">
        <v>10</v>
      </c>
      <c r="C2970" s="1">
        <v>42368</v>
      </c>
      <c r="D2970" s="2">
        <f t="shared" si="92"/>
        <v>3</v>
      </c>
      <c r="E2970" s="2">
        <f t="shared" si="93"/>
        <v>12</v>
      </c>
      <c r="F2970">
        <v>10.378</v>
      </c>
      <c r="G2970">
        <v>10.420500000000001</v>
      </c>
      <c r="H2970">
        <v>10.292899999999999</v>
      </c>
      <c r="I2970">
        <v>10.292899999999999</v>
      </c>
      <c r="J2970">
        <v>11862</v>
      </c>
      <c r="K2970">
        <v>-0.41239999999999999</v>
      </c>
      <c r="L2970">
        <v>1.2397</v>
      </c>
    </row>
    <row r="2971" spans="1:12" hidden="1" x14ac:dyDescent="0.25">
      <c r="A2971">
        <v>2330</v>
      </c>
      <c r="B2971" t="s">
        <v>11</v>
      </c>
      <c r="C2971" s="1">
        <v>42368</v>
      </c>
      <c r="D2971" s="2">
        <f t="shared" si="92"/>
        <v>3</v>
      </c>
      <c r="E2971" s="2">
        <f t="shared" si="93"/>
        <v>12</v>
      </c>
      <c r="F2971">
        <v>120.91670000000001</v>
      </c>
      <c r="G2971">
        <v>122.1895</v>
      </c>
      <c r="H2971">
        <v>120.4924</v>
      </c>
      <c r="I2971">
        <v>120.91670000000001</v>
      </c>
      <c r="J2971">
        <v>14713</v>
      </c>
      <c r="K2971">
        <v>0.35149999999999998</v>
      </c>
      <c r="L2971">
        <v>1.4085000000000001</v>
      </c>
    </row>
    <row r="2972" spans="1:12" x14ac:dyDescent="0.25">
      <c r="A2972">
        <v>2303</v>
      </c>
      <c r="B2972" t="s">
        <v>10</v>
      </c>
      <c r="C2972" s="1">
        <v>42369</v>
      </c>
      <c r="D2972" s="2">
        <f t="shared" si="92"/>
        <v>4</v>
      </c>
      <c r="E2972" s="2">
        <f t="shared" si="93"/>
        <v>12</v>
      </c>
      <c r="F2972">
        <v>10.292899999999999</v>
      </c>
      <c r="G2972">
        <v>10.378</v>
      </c>
      <c r="H2972">
        <v>10.250400000000001</v>
      </c>
      <c r="I2972">
        <v>10.292899999999999</v>
      </c>
      <c r="J2972">
        <v>13959</v>
      </c>
      <c r="K2972">
        <v>0</v>
      </c>
      <c r="L2972">
        <v>1.2447999999999999</v>
      </c>
    </row>
    <row r="2973" spans="1:12" hidden="1" x14ac:dyDescent="0.25">
      <c r="A2973">
        <v>2330</v>
      </c>
      <c r="B2973" t="s">
        <v>11</v>
      </c>
      <c r="C2973" s="1">
        <v>42369</v>
      </c>
      <c r="D2973" s="2">
        <f t="shared" si="92"/>
        <v>4</v>
      </c>
      <c r="E2973" s="2">
        <f t="shared" si="93"/>
        <v>12</v>
      </c>
      <c r="F2973">
        <v>120.4924</v>
      </c>
      <c r="G2973">
        <v>122.1895</v>
      </c>
      <c r="H2973">
        <v>119.6439</v>
      </c>
      <c r="I2973">
        <v>121.3409</v>
      </c>
      <c r="J2973">
        <v>18677</v>
      </c>
      <c r="K2973">
        <v>0.3503</v>
      </c>
      <c r="L2973">
        <v>2.1276999999999999</v>
      </c>
    </row>
    <row r="2974" spans="1:12" x14ac:dyDescent="0.25">
      <c r="A2974">
        <v>2303</v>
      </c>
      <c r="B2974" t="s">
        <v>10</v>
      </c>
      <c r="C2974" s="1">
        <v>42373</v>
      </c>
      <c r="D2974" s="2">
        <f t="shared" si="92"/>
        <v>1</v>
      </c>
      <c r="E2974" s="2">
        <f t="shared" si="93"/>
        <v>1</v>
      </c>
      <c r="F2974">
        <v>10.292899999999999</v>
      </c>
      <c r="G2974">
        <v>10.3354</v>
      </c>
      <c r="H2974">
        <v>10.037699999999999</v>
      </c>
      <c r="I2974">
        <v>10.037699999999999</v>
      </c>
      <c r="J2974">
        <v>44642</v>
      </c>
      <c r="K2974">
        <v>-2.5106000000000002</v>
      </c>
      <c r="L2974">
        <v>2.9661</v>
      </c>
    </row>
    <row r="2975" spans="1:12" hidden="1" x14ac:dyDescent="0.25">
      <c r="A2975">
        <v>2330</v>
      </c>
      <c r="B2975" t="s">
        <v>11</v>
      </c>
      <c r="C2975" s="1">
        <v>42373</v>
      </c>
      <c r="D2975" s="2">
        <f t="shared" si="92"/>
        <v>1</v>
      </c>
      <c r="E2975" s="2">
        <f t="shared" si="93"/>
        <v>1</v>
      </c>
      <c r="F2975">
        <v>120.91670000000001</v>
      </c>
      <c r="G2975">
        <v>121.76519999999999</v>
      </c>
      <c r="H2975">
        <v>117.9468</v>
      </c>
      <c r="I2975">
        <v>118.3711</v>
      </c>
      <c r="J2975">
        <v>43800</v>
      </c>
      <c r="K2975">
        <v>-2.4780000000000002</v>
      </c>
      <c r="L2975">
        <v>3.2374000000000001</v>
      </c>
    </row>
    <row r="2976" spans="1:12" x14ac:dyDescent="0.25">
      <c r="A2976">
        <v>2303</v>
      </c>
      <c r="B2976" t="s">
        <v>10</v>
      </c>
      <c r="C2976" s="1">
        <v>42374</v>
      </c>
      <c r="D2976" s="2">
        <f t="shared" si="92"/>
        <v>2</v>
      </c>
      <c r="E2976" s="2">
        <f t="shared" si="93"/>
        <v>1</v>
      </c>
      <c r="F2976">
        <v>10.037699999999999</v>
      </c>
      <c r="G2976">
        <v>10.250400000000001</v>
      </c>
      <c r="H2976">
        <v>9.9526000000000003</v>
      </c>
      <c r="I2976">
        <v>9.9952000000000005</v>
      </c>
      <c r="J2976">
        <v>37725</v>
      </c>
      <c r="K2976">
        <v>-0.42459999999999998</v>
      </c>
      <c r="L2976">
        <v>2.9914999999999998</v>
      </c>
    </row>
    <row r="2977" spans="1:12" hidden="1" x14ac:dyDescent="0.25">
      <c r="A2977">
        <v>2330</v>
      </c>
      <c r="B2977" t="s">
        <v>11</v>
      </c>
      <c r="C2977" s="1">
        <v>42374</v>
      </c>
      <c r="D2977" s="2">
        <f t="shared" si="92"/>
        <v>2</v>
      </c>
      <c r="E2977" s="2">
        <f t="shared" si="93"/>
        <v>1</v>
      </c>
      <c r="F2977">
        <v>117.9468</v>
      </c>
      <c r="G2977">
        <v>118.7953</v>
      </c>
      <c r="H2977">
        <v>116.2497</v>
      </c>
      <c r="I2977">
        <v>117.09820000000001</v>
      </c>
      <c r="J2977">
        <v>46502</v>
      </c>
      <c r="K2977">
        <v>-1.0810999999999999</v>
      </c>
      <c r="L2977">
        <v>2.1898</v>
      </c>
    </row>
    <row r="2978" spans="1:12" x14ac:dyDescent="0.25">
      <c r="A2978">
        <v>2303</v>
      </c>
      <c r="B2978" t="s">
        <v>10</v>
      </c>
      <c r="C2978" s="1">
        <v>42375</v>
      </c>
      <c r="D2978" s="2">
        <f t="shared" si="92"/>
        <v>3</v>
      </c>
      <c r="E2978" s="2">
        <f t="shared" si="93"/>
        <v>1</v>
      </c>
      <c r="F2978">
        <v>10.0802</v>
      </c>
      <c r="G2978">
        <v>10.1653</v>
      </c>
      <c r="H2978">
        <v>9.9100999999999999</v>
      </c>
      <c r="I2978">
        <v>9.9952000000000005</v>
      </c>
      <c r="J2978">
        <v>25394</v>
      </c>
      <c r="K2978">
        <v>0</v>
      </c>
      <c r="L2978">
        <v>2.5750999999999999</v>
      </c>
    </row>
    <row r="2979" spans="1:12" hidden="1" x14ac:dyDescent="0.25">
      <c r="A2979">
        <v>2330</v>
      </c>
      <c r="B2979" t="s">
        <v>11</v>
      </c>
      <c r="C2979" s="1">
        <v>42375</v>
      </c>
      <c r="D2979" s="2">
        <f t="shared" si="92"/>
        <v>3</v>
      </c>
      <c r="E2979" s="2">
        <f t="shared" si="93"/>
        <v>1</v>
      </c>
      <c r="F2979">
        <v>117.09820000000001</v>
      </c>
      <c r="G2979">
        <v>117.09820000000001</v>
      </c>
      <c r="H2979">
        <v>114.5526</v>
      </c>
      <c r="I2979">
        <v>114.9769</v>
      </c>
      <c r="J2979">
        <v>53873</v>
      </c>
      <c r="K2979">
        <v>-1.8282</v>
      </c>
      <c r="L2979">
        <v>2.2222</v>
      </c>
    </row>
    <row r="2980" spans="1:12" x14ac:dyDescent="0.25">
      <c r="A2980">
        <v>2303</v>
      </c>
      <c r="B2980" t="s">
        <v>10</v>
      </c>
      <c r="C2980" s="1">
        <v>42376</v>
      </c>
      <c r="D2980" s="2">
        <f t="shared" si="92"/>
        <v>4</v>
      </c>
      <c r="E2980" s="2">
        <f t="shared" si="93"/>
        <v>1</v>
      </c>
      <c r="F2980">
        <v>9.9526000000000003</v>
      </c>
      <c r="G2980">
        <v>9.9952000000000005</v>
      </c>
      <c r="H2980">
        <v>9.6974</v>
      </c>
      <c r="I2980">
        <v>9.74</v>
      </c>
      <c r="J2980">
        <v>57790</v>
      </c>
      <c r="K2980">
        <v>-2.5863999999999998</v>
      </c>
      <c r="L2980">
        <v>3.0701999999999998</v>
      </c>
    </row>
    <row r="2981" spans="1:12" hidden="1" x14ac:dyDescent="0.25">
      <c r="A2981">
        <v>2330</v>
      </c>
      <c r="B2981" t="s">
        <v>11</v>
      </c>
      <c r="C2981" s="1">
        <v>42376</v>
      </c>
      <c r="D2981" s="2">
        <f t="shared" si="92"/>
        <v>4</v>
      </c>
      <c r="E2981" s="2">
        <f t="shared" si="93"/>
        <v>1</v>
      </c>
      <c r="F2981">
        <v>114.1284</v>
      </c>
      <c r="G2981">
        <v>114.5526</v>
      </c>
      <c r="H2981">
        <v>110.7342</v>
      </c>
      <c r="I2981">
        <v>112.8556</v>
      </c>
      <c r="J2981">
        <v>63475</v>
      </c>
      <c r="K2981">
        <v>-1.8623000000000001</v>
      </c>
      <c r="L2981">
        <v>3.4483000000000001</v>
      </c>
    </row>
    <row r="2982" spans="1:12" x14ac:dyDescent="0.25">
      <c r="A2982">
        <v>2303</v>
      </c>
      <c r="B2982" t="s">
        <v>10</v>
      </c>
      <c r="C2982" s="1">
        <v>42377</v>
      </c>
      <c r="D2982" s="2">
        <f t="shared" si="92"/>
        <v>5</v>
      </c>
      <c r="E2982" s="2">
        <f t="shared" si="93"/>
        <v>1</v>
      </c>
      <c r="F2982">
        <v>9.5273000000000003</v>
      </c>
      <c r="G2982">
        <v>9.7825000000000006</v>
      </c>
      <c r="H2982">
        <v>9.5273000000000003</v>
      </c>
      <c r="I2982">
        <v>9.6974</v>
      </c>
      <c r="J2982">
        <v>42956</v>
      </c>
      <c r="K2982">
        <v>-0.43759999999999999</v>
      </c>
      <c r="L2982">
        <v>2.6785999999999999</v>
      </c>
    </row>
    <row r="2983" spans="1:12" hidden="1" x14ac:dyDescent="0.25">
      <c r="A2983">
        <v>2330</v>
      </c>
      <c r="B2983" t="s">
        <v>11</v>
      </c>
      <c r="C2983" s="1">
        <v>42377</v>
      </c>
      <c r="D2983" s="2">
        <f t="shared" si="92"/>
        <v>5</v>
      </c>
      <c r="E2983" s="2">
        <f t="shared" si="93"/>
        <v>1</v>
      </c>
      <c r="F2983">
        <v>112.00700000000001</v>
      </c>
      <c r="G2983">
        <v>114.5526</v>
      </c>
      <c r="H2983">
        <v>112.00700000000001</v>
      </c>
      <c r="I2983">
        <v>113.7041</v>
      </c>
      <c r="J2983">
        <v>52641</v>
      </c>
      <c r="K2983">
        <v>0.74909999999999999</v>
      </c>
      <c r="L2983">
        <v>2.2726999999999999</v>
      </c>
    </row>
    <row r="2984" spans="1:12" x14ac:dyDescent="0.25">
      <c r="A2984">
        <v>2303</v>
      </c>
      <c r="B2984" t="s">
        <v>10</v>
      </c>
      <c r="C2984" s="1">
        <v>42380</v>
      </c>
      <c r="D2984" s="2">
        <f t="shared" si="92"/>
        <v>1</v>
      </c>
      <c r="E2984" s="2">
        <f t="shared" si="93"/>
        <v>1</v>
      </c>
      <c r="F2984">
        <v>9.5273000000000003</v>
      </c>
      <c r="G2984">
        <v>9.6123999999999992</v>
      </c>
      <c r="H2984">
        <v>9.3996999999999993</v>
      </c>
      <c r="I2984">
        <v>9.3996999999999993</v>
      </c>
      <c r="J2984">
        <v>41438</v>
      </c>
      <c r="K2984">
        <v>-3.1183000000000001</v>
      </c>
      <c r="L2984">
        <v>2.2624</v>
      </c>
    </row>
    <row r="2985" spans="1:12" hidden="1" x14ac:dyDescent="0.25">
      <c r="A2985">
        <v>2330</v>
      </c>
      <c r="B2985" t="s">
        <v>11</v>
      </c>
      <c r="C2985" s="1">
        <v>42380</v>
      </c>
      <c r="D2985" s="2">
        <f t="shared" si="92"/>
        <v>1</v>
      </c>
      <c r="E2985" s="2">
        <f t="shared" si="93"/>
        <v>1</v>
      </c>
      <c r="F2985">
        <v>112.8556</v>
      </c>
      <c r="G2985">
        <v>114.1284</v>
      </c>
      <c r="H2985">
        <v>110.7342</v>
      </c>
      <c r="I2985">
        <v>112.8556</v>
      </c>
      <c r="J2985">
        <v>48536</v>
      </c>
      <c r="K2985">
        <v>-0.74909999999999999</v>
      </c>
      <c r="L2985">
        <v>3.0651000000000002</v>
      </c>
    </row>
    <row r="2986" spans="1:12" x14ac:dyDescent="0.25">
      <c r="A2986">
        <v>2303</v>
      </c>
      <c r="B2986" t="s">
        <v>10</v>
      </c>
      <c r="C2986" s="1">
        <v>42381</v>
      </c>
      <c r="D2986" s="2">
        <f t="shared" si="92"/>
        <v>2</v>
      </c>
      <c r="E2986" s="2">
        <f t="shared" si="93"/>
        <v>1</v>
      </c>
      <c r="F2986">
        <v>9.4847999999999999</v>
      </c>
      <c r="G2986">
        <v>9.5273000000000003</v>
      </c>
      <c r="H2986">
        <v>9.4421999999999997</v>
      </c>
      <c r="I2986">
        <v>9.4421999999999997</v>
      </c>
      <c r="J2986">
        <v>22816</v>
      </c>
      <c r="K2986">
        <v>0.45150000000000001</v>
      </c>
      <c r="L2986">
        <v>0.90090000000000003</v>
      </c>
    </row>
    <row r="2987" spans="1:12" hidden="1" x14ac:dyDescent="0.25">
      <c r="A2987">
        <v>2330</v>
      </c>
      <c r="B2987" t="s">
        <v>11</v>
      </c>
      <c r="C2987" s="1">
        <v>42381</v>
      </c>
      <c r="D2987" s="2">
        <f t="shared" si="92"/>
        <v>2</v>
      </c>
      <c r="E2987" s="2">
        <f t="shared" si="93"/>
        <v>1</v>
      </c>
      <c r="F2987">
        <v>112.8556</v>
      </c>
      <c r="G2987">
        <v>113.7041</v>
      </c>
      <c r="H2987">
        <v>111.5827</v>
      </c>
      <c r="I2987">
        <v>112.8556</v>
      </c>
      <c r="J2987">
        <v>35133</v>
      </c>
      <c r="K2987">
        <v>0</v>
      </c>
      <c r="L2987">
        <v>1.9011</v>
      </c>
    </row>
    <row r="2988" spans="1:12" x14ac:dyDescent="0.25">
      <c r="A2988">
        <v>2303</v>
      </c>
      <c r="B2988" t="s">
        <v>10</v>
      </c>
      <c r="C2988" s="1">
        <v>42382</v>
      </c>
      <c r="D2988" s="2">
        <f t="shared" si="92"/>
        <v>3</v>
      </c>
      <c r="E2988" s="2">
        <f t="shared" si="93"/>
        <v>1</v>
      </c>
      <c r="F2988">
        <v>9.4847999999999999</v>
      </c>
      <c r="G2988">
        <v>9.5698000000000008</v>
      </c>
      <c r="H2988">
        <v>9.3572000000000006</v>
      </c>
      <c r="I2988">
        <v>9.3996999999999993</v>
      </c>
      <c r="J2988">
        <v>35275</v>
      </c>
      <c r="K2988">
        <v>-0.45150000000000001</v>
      </c>
      <c r="L2988">
        <v>2.2726999999999999</v>
      </c>
    </row>
    <row r="2989" spans="1:12" hidden="1" x14ac:dyDescent="0.25">
      <c r="A2989">
        <v>2330</v>
      </c>
      <c r="B2989" t="s">
        <v>11</v>
      </c>
      <c r="C2989" s="1">
        <v>42382</v>
      </c>
      <c r="D2989" s="2">
        <f t="shared" si="92"/>
        <v>3</v>
      </c>
      <c r="E2989" s="2">
        <f t="shared" si="93"/>
        <v>1</v>
      </c>
      <c r="F2989">
        <v>113.27979999999999</v>
      </c>
      <c r="G2989">
        <v>114.9769</v>
      </c>
      <c r="H2989">
        <v>112.8556</v>
      </c>
      <c r="I2989">
        <v>113.27979999999999</v>
      </c>
      <c r="J2989">
        <v>50237</v>
      </c>
      <c r="K2989">
        <v>0.37519999999999998</v>
      </c>
      <c r="L2989">
        <v>1.8796999999999999</v>
      </c>
    </row>
    <row r="2990" spans="1:12" x14ac:dyDescent="0.25">
      <c r="A2990">
        <v>2303</v>
      </c>
      <c r="B2990" t="s">
        <v>10</v>
      </c>
      <c r="C2990" s="1">
        <v>42383</v>
      </c>
      <c r="D2990" s="2">
        <f t="shared" si="92"/>
        <v>4</v>
      </c>
      <c r="E2990" s="2">
        <f t="shared" si="93"/>
        <v>1</v>
      </c>
      <c r="F2990">
        <v>9.3572000000000006</v>
      </c>
      <c r="G2990">
        <v>9.4847999999999999</v>
      </c>
      <c r="H2990">
        <v>9.1869999999999994</v>
      </c>
      <c r="I2990">
        <v>9.4847999999999999</v>
      </c>
      <c r="J2990">
        <v>31979</v>
      </c>
      <c r="K2990">
        <v>0.90090000000000003</v>
      </c>
      <c r="L2990">
        <v>3.2406999999999999</v>
      </c>
    </row>
    <row r="2991" spans="1:12" hidden="1" x14ac:dyDescent="0.25">
      <c r="A2991">
        <v>2330</v>
      </c>
      <c r="B2991" t="s">
        <v>11</v>
      </c>
      <c r="C2991" s="1">
        <v>42383</v>
      </c>
      <c r="D2991" s="2">
        <f t="shared" si="92"/>
        <v>4</v>
      </c>
      <c r="E2991" s="2">
        <f t="shared" si="93"/>
        <v>1</v>
      </c>
      <c r="F2991">
        <v>110.7342</v>
      </c>
      <c r="G2991">
        <v>112.00700000000001</v>
      </c>
      <c r="H2991">
        <v>110.7342</v>
      </c>
      <c r="I2991">
        <v>111.5827</v>
      </c>
      <c r="J2991">
        <v>39498</v>
      </c>
      <c r="K2991">
        <v>-1.5095000000000001</v>
      </c>
      <c r="L2991">
        <v>1.1494</v>
      </c>
    </row>
    <row r="2992" spans="1:12" x14ac:dyDescent="0.25">
      <c r="A2992">
        <v>2303</v>
      </c>
      <c r="B2992" t="s">
        <v>10</v>
      </c>
      <c r="C2992" s="1">
        <v>42384</v>
      </c>
      <c r="D2992" s="2">
        <f t="shared" si="92"/>
        <v>5</v>
      </c>
      <c r="E2992" s="2">
        <f t="shared" si="93"/>
        <v>1</v>
      </c>
      <c r="F2992">
        <v>9.5698000000000008</v>
      </c>
      <c r="G2992">
        <v>9.6123999999999992</v>
      </c>
      <c r="H2992">
        <v>9.3996999999999993</v>
      </c>
      <c r="I2992">
        <v>9.5698000000000008</v>
      </c>
      <c r="J2992">
        <v>36397</v>
      </c>
      <c r="K2992">
        <v>0.89290000000000003</v>
      </c>
      <c r="L2992">
        <v>2.2624</v>
      </c>
    </row>
    <row r="2993" spans="1:12" hidden="1" x14ac:dyDescent="0.25">
      <c r="A2993">
        <v>2330</v>
      </c>
      <c r="B2993" t="s">
        <v>11</v>
      </c>
      <c r="C2993" s="1">
        <v>42384</v>
      </c>
      <c r="D2993" s="2">
        <f t="shared" si="92"/>
        <v>5</v>
      </c>
      <c r="E2993" s="2">
        <f t="shared" si="93"/>
        <v>1</v>
      </c>
      <c r="F2993">
        <v>116.67400000000001</v>
      </c>
      <c r="G2993">
        <v>117.09820000000001</v>
      </c>
      <c r="H2993">
        <v>114.9769</v>
      </c>
      <c r="I2993">
        <v>116.2497</v>
      </c>
      <c r="J2993">
        <v>79648</v>
      </c>
      <c r="K2993">
        <v>4.0974000000000004</v>
      </c>
      <c r="L2993">
        <v>1.845</v>
      </c>
    </row>
    <row r="2994" spans="1:12" x14ac:dyDescent="0.25">
      <c r="A2994">
        <v>2303</v>
      </c>
      <c r="B2994" t="s">
        <v>10</v>
      </c>
      <c r="C2994" s="1">
        <v>42387</v>
      </c>
      <c r="D2994" s="2">
        <f t="shared" si="92"/>
        <v>1</v>
      </c>
      <c r="E2994" s="2">
        <f t="shared" si="93"/>
        <v>1</v>
      </c>
      <c r="F2994">
        <v>9.3572000000000006</v>
      </c>
      <c r="G2994">
        <v>9.5273000000000003</v>
      </c>
      <c r="H2994">
        <v>9.3146000000000004</v>
      </c>
      <c r="I2994">
        <v>9.4847999999999999</v>
      </c>
      <c r="J2994">
        <v>23425</v>
      </c>
      <c r="K2994">
        <v>-0.89290000000000003</v>
      </c>
      <c r="L2994">
        <v>2.2831000000000001</v>
      </c>
    </row>
    <row r="2995" spans="1:12" hidden="1" x14ac:dyDescent="0.25">
      <c r="A2995">
        <v>2330</v>
      </c>
      <c r="B2995" t="s">
        <v>11</v>
      </c>
      <c r="C2995" s="1">
        <v>42387</v>
      </c>
      <c r="D2995" s="2">
        <f t="shared" si="92"/>
        <v>1</v>
      </c>
      <c r="E2995" s="2">
        <f t="shared" si="93"/>
        <v>1</v>
      </c>
      <c r="F2995">
        <v>114.5526</v>
      </c>
      <c r="G2995">
        <v>117.09820000000001</v>
      </c>
      <c r="H2995">
        <v>114.1284</v>
      </c>
      <c r="I2995">
        <v>116.2497</v>
      </c>
      <c r="J2995">
        <v>37008</v>
      </c>
      <c r="K2995">
        <v>0</v>
      </c>
      <c r="L2995">
        <v>2.6021999999999998</v>
      </c>
    </row>
    <row r="2996" spans="1:12" x14ac:dyDescent="0.25">
      <c r="A2996">
        <v>2303</v>
      </c>
      <c r="B2996" t="s">
        <v>10</v>
      </c>
      <c r="C2996" s="1">
        <v>42388</v>
      </c>
      <c r="D2996" s="2">
        <f t="shared" si="92"/>
        <v>2</v>
      </c>
      <c r="E2996" s="2">
        <f t="shared" si="93"/>
        <v>1</v>
      </c>
      <c r="F2996">
        <v>9.4847999999999999</v>
      </c>
      <c r="G2996">
        <v>9.5273000000000003</v>
      </c>
      <c r="H2996">
        <v>9.4421999999999997</v>
      </c>
      <c r="I2996">
        <v>9.4847999999999999</v>
      </c>
      <c r="J2996">
        <v>12942</v>
      </c>
      <c r="K2996">
        <v>0</v>
      </c>
      <c r="L2996">
        <v>0.90090000000000003</v>
      </c>
    </row>
    <row r="2997" spans="1:12" hidden="1" x14ac:dyDescent="0.25">
      <c r="A2997">
        <v>2330</v>
      </c>
      <c r="B2997" t="s">
        <v>11</v>
      </c>
      <c r="C2997" s="1">
        <v>42388</v>
      </c>
      <c r="D2997" s="2">
        <f t="shared" si="92"/>
        <v>2</v>
      </c>
      <c r="E2997" s="2">
        <f t="shared" si="93"/>
        <v>1</v>
      </c>
      <c r="F2997">
        <v>116.67400000000001</v>
      </c>
      <c r="G2997">
        <v>117.09820000000001</v>
      </c>
      <c r="H2997">
        <v>115.4012</v>
      </c>
      <c r="I2997">
        <v>117.09820000000001</v>
      </c>
      <c r="J2997">
        <v>24995</v>
      </c>
      <c r="K2997">
        <v>0.72729999999999995</v>
      </c>
      <c r="L2997">
        <v>1.4705999999999999</v>
      </c>
    </row>
    <row r="2998" spans="1:12" x14ac:dyDescent="0.25">
      <c r="A2998">
        <v>2303</v>
      </c>
      <c r="B2998" t="s">
        <v>10</v>
      </c>
      <c r="C2998" s="1">
        <v>42389</v>
      </c>
      <c r="D2998" s="2">
        <f t="shared" si="92"/>
        <v>3</v>
      </c>
      <c r="E2998" s="2">
        <f t="shared" si="93"/>
        <v>1</v>
      </c>
      <c r="F2998">
        <v>9.4847999999999999</v>
      </c>
      <c r="G2998">
        <v>9.5273000000000003</v>
      </c>
      <c r="H2998">
        <v>9.4421999999999997</v>
      </c>
      <c r="I2998">
        <v>9.4421999999999997</v>
      </c>
      <c r="J2998">
        <v>27609</v>
      </c>
      <c r="K2998">
        <v>-0.44940000000000002</v>
      </c>
      <c r="L2998">
        <v>0.90090000000000003</v>
      </c>
    </row>
    <row r="2999" spans="1:12" hidden="1" x14ac:dyDescent="0.25">
      <c r="A2999">
        <v>2330</v>
      </c>
      <c r="B2999" t="s">
        <v>11</v>
      </c>
      <c r="C2999" s="1">
        <v>42389</v>
      </c>
      <c r="D2999" s="2">
        <f t="shared" si="92"/>
        <v>3</v>
      </c>
      <c r="E2999" s="2">
        <f t="shared" si="93"/>
        <v>1</v>
      </c>
      <c r="F2999">
        <v>116.67400000000001</v>
      </c>
      <c r="G2999">
        <v>116.67400000000001</v>
      </c>
      <c r="H2999">
        <v>113.27979999999999</v>
      </c>
      <c r="I2999">
        <v>114.1284</v>
      </c>
      <c r="J2999">
        <v>44423</v>
      </c>
      <c r="K2999">
        <v>-2.5689000000000002</v>
      </c>
      <c r="L2999">
        <v>2.9963000000000002</v>
      </c>
    </row>
    <row r="3000" spans="1:12" x14ac:dyDescent="0.25">
      <c r="A3000">
        <v>2303</v>
      </c>
      <c r="B3000" t="s">
        <v>10</v>
      </c>
      <c r="C3000" s="1">
        <v>42390</v>
      </c>
      <c r="D3000" s="2">
        <f t="shared" si="92"/>
        <v>4</v>
      </c>
      <c r="E3000" s="2">
        <f t="shared" si="93"/>
        <v>1</v>
      </c>
      <c r="F3000">
        <v>9.4847999999999999</v>
      </c>
      <c r="G3000">
        <v>9.5273000000000003</v>
      </c>
      <c r="H3000">
        <v>9.3996999999999993</v>
      </c>
      <c r="I3000">
        <v>9.4421999999999997</v>
      </c>
      <c r="J3000">
        <v>17723</v>
      </c>
      <c r="K3000">
        <v>0</v>
      </c>
      <c r="L3000">
        <v>1.3574999999999999</v>
      </c>
    </row>
    <row r="3001" spans="1:12" hidden="1" x14ac:dyDescent="0.25">
      <c r="A3001">
        <v>2330</v>
      </c>
      <c r="B3001" t="s">
        <v>11</v>
      </c>
      <c r="C3001" s="1">
        <v>42390</v>
      </c>
      <c r="D3001" s="2">
        <f t="shared" si="92"/>
        <v>4</v>
      </c>
      <c r="E3001" s="2">
        <f t="shared" si="93"/>
        <v>1</v>
      </c>
      <c r="F3001">
        <v>113.7041</v>
      </c>
      <c r="G3001">
        <v>115.8254</v>
      </c>
      <c r="H3001">
        <v>113.7041</v>
      </c>
      <c r="I3001">
        <v>114.5526</v>
      </c>
      <c r="J3001">
        <v>31957</v>
      </c>
      <c r="K3001">
        <v>0.37109999999999999</v>
      </c>
      <c r="L3001">
        <v>1.8656999999999999</v>
      </c>
    </row>
    <row r="3002" spans="1:12" x14ac:dyDescent="0.25">
      <c r="A3002">
        <v>2303</v>
      </c>
      <c r="B3002" t="s">
        <v>10</v>
      </c>
      <c r="C3002" s="1">
        <v>42391</v>
      </c>
      <c r="D3002" s="2">
        <f t="shared" si="92"/>
        <v>5</v>
      </c>
      <c r="E3002" s="2">
        <f t="shared" si="93"/>
        <v>1</v>
      </c>
      <c r="F3002">
        <v>9.5273000000000003</v>
      </c>
      <c r="G3002">
        <v>9.5698000000000008</v>
      </c>
      <c r="H3002">
        <v>9.4847999999999999</v>
      </c>
      <c r="I3002">
        <v>9.5698000000000008</v>
      </c>
      <c r="J3002">
        <v>14734</v>
      </c>
      <c r="K3002">
        <v>1.3423</v>
      </c>
      <c r="L3002">
        <v>0.89690000000000003</v>
      </c>
    </row>
    <row r="3003" spans="1:12" hidden="1" x14ac:dyDescent="0.25">
      <c r="A3003">
        <v>2330</v>
      </c>
      <c r="B3003" t="s">
        <v>11</v>
      </c>
      <c r="C3003" s="1">
        <v>42391</v>
      </c>
      <c r="D3003" s="2">
        <f t="shared" si="92"/>
        <v>5</v>
      </c>
      <c r="E3003" s="2">
        <f t="shared" si="93"/>
        <v>1</v>
      </c>
      <c r="F3003">
        <v>115.8254</v>
      </c>
      <c r="G3003">
        <v>117.52249999999999</v>
      </c>
      <c r="H3003">
        <v>115.4012</v>
      </c>
      <c r="I3003">
        <v>117.52249999999999</v>
      </c>
      <c r="J3003">
        <v>33926</v>
      </c>
      <c r="K3003">
        <v>2.5596000000000001</v>
      </c>
      <c r="L3003">
        <v>1.8382000000000001</v>
      </c>
    </row>
    <row r="3004" spans="1:12" x14ac:dyDescent="0.25">
      <c r="A3004">
        <v>2303</v>
      </c>
      <c r="B3004" t="s">
        <v>10</v>
      </c>
      <c r="C3004" s="1">
        <v>42394</v>
      </c>
      <c r="D3004" s="2">
        <f t="shared" si="92"/>
        <v>1</v>
      </c>
      <c r="E3004" s="2">
        <f t="shared" si="93"/>
        <v>1</v>
      </c>
      <c r="F3004">
        <v>9.6548999999999996</v>
      </c>
      <c r="G3004">
        <v>9.8249999999999993</v>
      </c>
      <c r="H3004">
        <v>9.6123999999999992</v>
      </c>
      <c r="I3004">
        <v>9.74</v>
      </c>
      <c r="J3004">
        <v>22302</v>
      </c>
      <c r="K3004">
        <v>1.7622</v>
      </c>
      <c r="L3004">
        <v>2.2124000000000001</v>
      </c>
    </row>
    <row r="3005" spans="1:12" hidden="1" x14ac:dyDescent="0.25">
      <c r="A3005">
        <v>2330</v>
      </c>
      <c r="B3005" t="s">
        <v>11</v>
      </c>
      <c r="C3005" s="1">
        <v>42394</v>
      </c>
      <c r="D3005" s="2">
        <f t="shared" si="92"/>
        <v>1</v>
      </c>
      <c r="E3005" s="2">
        <f t="shared" si="93"/>
        <v>1</v>
      </c>
      <c r="F3005">
        <v>118.7953</v>
      </c>
      <c r="G3005">
        <v>118.7953</v>
      </c>
      <c r="H3005">
        <v>117.9468</v>
      </c>
      <c r="I3005">
        <v>118.3711</v>
      </c>
      <c r="J3005">
        <v>27213</v>
      </c>
      <c r="K3005">
        <v>0.71940000000000004</v>
      </c>
      <c r="L3005">
        <v>0.71940000000000004</v>
      </c>
    </row>
    <row r="3006" spans="1:12" x14ac:dyDescent="0.25">
      <c r="A3006">
        <v>2303</v>
      </c>
      <c r="B3006" t="s">
        <v>10</v>
      </c>
      <c r="C3006" s="1">
        <v>42395</v>
      </c>
      <c r="D3006" s="2">
        <f t="shared" si="92"/>
        <v>2</v>
      </c>
      <c r="E3006" s="2">
        <f t="shared" si="93"/>
        <v>1</v>
      </c>
      <c r="F3006">
        <v>9.7825000000000006</v>
      </c>
      <c r="G3006">
        <v>9.9526000000000003</v>
      </c>
      <c r="H3006">
        <v>9.6974</v>
      </c>
      <c r="I3006">
        <v>9.9526000000000003</v>
      </c>
      <c r="J3006">
        <v>43563</v>
      </c>
      <c r="K3006">
        <v>2.1598999999999999</v>
      </c>
      <c r="L3006">
        <v>2.6316000000000002</v>
      </c>
    </row>
    <row r="3007" spans="1:12" hidden="1" x14ac:dyDescent="0.25">
      <c r="A3007">
        <v>2330</v>
      </c>
      <c r="B3007" t="s">
        <v>11</v>
      </c>
      <c r="C3007" s="1">
        <v>42395</v>
      </c>
      <c r="D3007" s="2">
        <f t="shared" si="92"/>
        <v>2</v>
      </c>
      <c r="E3007" s="2">
        <f t="shared" si="93"/>
        <v>1</v>
      </c>
      <c r="F3007">
        <v>116.67400000000001</v>
      </c>
      <c r="G3007">
        <v>117.9468</v>
      </c>
      <c r="H3007">
        <v>116.2497</v>
      </c>
      <c r="I3007">
        <v>116.67400000000001</v>
      </c>
      <c r="J3007">
        <v>24102</v>
      </c>
      <c r="K3007">
        <v>-1.4440999999999999</v>
      </c>
      <c r="L3007">
        <v>1.4599</v>
      </c>
    </row>
    <row r="3008" spans="1:12" x14ac:dyDescent="0.25">
      <c r="A3008">
        <v>2303</v>
      </c>
      <c r="B3008" t="s">
        <v>10</v>
      </c>
      <c r="C3008" s="1">
        <v>42396</v>
      </c>
      <c r="D3008" s="2">
        <f t="shared" si="92"/>
        <v>3</v>
      </c>
      <c r="E3008" s="2">
        <f t="shared" si="93"/>
        <v>1</v>
      </c>
      <c r="F3008">
        <v>9.9952000000000005</v>
      </c>
      <c r="G3008">
        <v>10.037699999999999</v>
      </c>
      <c r="H3008">
        <v>9.8675999999999995</v>
      </c>
      <c r="I3008">
        <v>9.9526000000000003</v>
      </c>
      <c r="J3008">
        <v>22755</v>
      </c>
      <c r="K3008">
        <v>0</v>
      </c>
      <c r="L3008">
        <v>1.7241</v>
      </c>
    </row>
    <row r="3009" spans="1:12" hidden="1" x14ac:dyDescent="0.25">
      <c r="A3009">
        <v>2330</v>
      </c>
      <c r="B3009" t="s">
        <v>11</v>
      </c>
      <c r="C3009" s="1">
        <v>42396</v>
      </c>
      <c r="D3009" s="2">
        <f t="shared" si="92"/>
        <v>3</v>
      </c>
      <c r="E3009" s="2">
        <f t="shared" si="93"/>
        <v>1</v>
      </c>
      <c r="F3009">
        <v>117.9468</v>
      </c>
      <c r="G3009">
        <v>118.3711</v>
      </c>
      <c r="H3009">
        <v>117.52249999999999</v>
      </c>
      <c r="I3009">
        <v>118.3711</v>
      </c>
      <c r="J3009">
        <v>24547</v>
      </c>
      <c r="K3009">
        <v>1.4440999999999999</v>
      </c>
      <c r="L3009">
        <v>0.72199999999999998</v>
      </c>
    </row>
    <row r="3010" spans="1:12" x14ac:dyDescent="0.25">
      <c r="A3010">
        <v>2303</v>
      </c>
      <c r="B3010" t="s">
        <v>10</v>
      </c>
      <c r="C3010" s="1">
        <v>42397</v>
      </c>
      <c r="D3010" s="2">
        <f t="shared" si="92"/>
        <v>4</v>
      </c>
      <c r="E3010" s="2">
        <f t="shared" si="93"/>
        <v>1</v>
      </c>
      <c r="F3010">
        <v>10.250400000000001</v>
      </c>
      <c r="G3010">
        <v>10.930899999999999</v>
      </c>
      <c r="H3010">
        <v>10.250400000000001</v>
      </c>
      <c r="I3010">
        <v>10.845800000000001</v>
      </c>
      <c r="J3010">
        <v>205155</v>
      </c>
      <c r="K3010">
        <v>8.5942000000000007</v>
      </c>
      <c r="L3010">
        <v>6.6390000000000002</v>
      </c>
    </row>
    <row r="3011" spans="1:12" hidden="1" x14ac:dyDescent="0.25">
      <c r="A3011">
        <v>2330</v>
      </c>
      <c r="B3011" t="s">
        <v>11</v>
      </c>
      <c r="C3011" s="1">
        <v>42397</v>
      </c>
      <c r="D3011" s="2">
        <f t="shared" ref="D3011:D3074" si="94">WEEKDAY(C3011,2)</f>
        <v>4</v>
      </c>
      <c r="E3011" s="2">
        <f t="shared" ref="E3011:E3074" si="95">MONTH(C3011)</f>
        <v>1</v>
      </c>
      <c r="F3011">
        <v>117.09820000000001</v>
      </c>
      <c r="G3011">
        <v>119.2196</v>
      </c>
      <c r="H3011">
        <v>117.09820000000001</v>
      </c>
      <c r="I3011">
        <v>118.7953</v>
      </c>
      <c r="J3011">
        <v>37913</v>
      </c>
      <c r="K3011">
        <v>0.35780000000000001</v>
      </c>
      <c r="L3011">
        <v>1.8116000000000001</v>
      </c>
    </row>
    <row r="3012" spans="1:12" x14ac:dyDescent="0.25">
      <c r="A3012">
        <v>2303</v>
      </c>
      <c r="B3012" t="s">
        <v>10</v>
      </c>
      <c r="C3012" s="1">
        <v>42398</v>
      </c>
      <c r="D3012" s="2">
        <f t="shared" si="94"/>
        <v>5</v>
      </c>
      <c r="E3012" s="2">
        <f t="shared" si="95"/>
        <v>1</v>
      </c>
      <c r="F3012">
        <v>10.930899999999999</v>
      </c>
      <c r="G3012">
        <v>10.9734</v>
      </c>
      <c r="H3012">
        <v>10.7182</v>
      </c>
      <c r="I3012">
        <v>10.930899999999999</v>
      </c>
      <c r="J3012">
        <v>89587</v>
      </c>
      <c r="K3012">
        <v>0.78129999999999999</v>
      </c>
      <c r="L3012">
        <v>2.3809999999999998</v>
      </c>
    </row>
    <row r="3013" spans="1:12" hidden="1" x14ac:dyDescent="0.25">
      <c r="A3013">
        <v>2330</v>
      </c>
      <c r="B3013" t="s">
        <v>11</v>
      </c>
      <c r="C3013" s="1">
        <v>42398</v>
      </c>
      <c r="D3013" s="2">
        <f t="shared" si="94"/>
        <v>5</v>
      </c>
      <c r="E3013" s="2">
        <f t="shared" si="95"/>
        <v>1</v>
      </c>
      <c r="F3013">
        <v>117.52249999999999</v>
      </c>
      <c r="G3013">
        <v>121.3409</v>
      </c>
      <c r="H3013">
        <v>117.09820000000001</v>
      </c>
      <c r="I3013">
        <v>121.3409</v>
      </c>
      <c r="J3013">
        <v>57557</v>
      </c>
      <c r="K3013">
        <v>2.1202000000000001</v>
      </c>
      <c r="L3013">
        <v>3.6232000000000002</v>
      </c>
    </row>
    <row r="3014" spans="1:12" x14ac:dyDescent="0.25">
      <c r="A3014">
        <v>2303</v>
      </c>
      <c r="B3014" t="s">
        <v>10</v>
      </c>
      <c r="C3014" s="1">
        <v>42399</v>
      </c>
      <c r="D3014" s="2">
        <f t="shared" si="94"/>
        <v>6</v>
      </c>
      <c r="E3014" s="2">
        <f t="shared" si="95"/>
        <v>1</v>
      </c>
      <c r="F3014">
        <v>10.930899999999999</v>
      </c>
      <c r="G3014">
        <v>10.9734</v>
      </c>
      <c r="H3014">
        <v>10.8033</v>
      </c>
      <c r="I3014">
        <v>10.845800000000001</v>
      </c>
      <c r="J3014">
        <v>17613</v>
      </c>
      <c r="K3014">
        <v>-0.78129999999999999</v>
      </c>
      <c r="L3014">
        <v>1.5748</v>
      </c>
    </row>
    <row r="3015" spans="1:12" hidden="1" x14ac:dyDescent="0.25">
      <c r="A3015">
        <v>2330</v>
      </c>
      <c r="B3015" t="s">
        <v>11</v>
      </c>
      <c r="C3015" s="1">
        <v>42399</v>
      </c>
      <c r="D3015" s="2">
        <f t="shared" si="94"/>
        <v>6</v>
      </c>
      <c r="E3015" s="2">
        <f t="shared" si="95"/>
        <v>1</v>
      </c>
      <c r="F3015">
        <v>120.91670000000001</v>
      </c>
      <c r="G3015">
        <v>121.3409</v>
      </c>
      <c r="H3015">
        <v>119.6439</v>
      </c>
      <c r="I3015">
        <v>120.4924</v>
      </c>
      <c r="J3015">
        <v>11865</v>
      </c>
      <c r="K3015">
        <v>-0.70179999999999998</v>
      </c>
      <c r="L3015">
        <v>1.4184000000000001</v>
      </c>
    </row>
    <row r="3016" spans="1:12" x14ac:dyDescent="0.25">
      <c r="A3016">
        <v>2303</v>
      </c>
      <c r="B3016" t="s">
        <v>10</v>
      </c>
      <c r="C3016" s="1">
        <v>42401</v>
      </c>
      <c r="D3016" s="2">
        <f t="shared" si="94"/>
        <v>1</v>
      </c>
      <c r="E3016" s="2">
        <f t="shared" si="95"/>
        <v>2</v>
      </c>
      <c r="F3016">
        <v>10.930899999999999</v>
      </c>
      <c r="G3016">
        <v>10.9734</v>
      </c>
      <c r="H3016">
        <v>10.8033</v>
      </c>
      <c r="I3016">
        <v>10.9734</v>
      </c>
      <c r="J3016">
        <v>41304</v>
      </c>
      <c r="K3016">
        <v>1.1696</v>
      </c>
      <c r="L3016">
        <v>1.5748</v>
      </c>
    </row>
    <row r="3017" spans="1:12" hidden="1" x14ac:dyDescent="0.25">
      <c r="A3017">
        <v>2330</v>
      </c>
      <c r="B3017" t="s">
        <v>11</v>
      </c>
      <c r="C3017" s="1">
        <v>42401</v>
      </c>
      <c r="D3017" s="2">
        <f t="shared" si="94"/>
        <v>1</v>
      </c>
      <c r="E3017" s="2">
        <f t="shared" si="95"/>
        <v>2</v>
      </c>
      <c r="F3017">
        <v>122.1895</v>
      </c>
      <c r="G3017">
        <v>122.1895</v>
      </c>
      <c r="H3017">
        <v>120.0681</v>
      </c>
      <c r="I3017">
        <v>122.1895</v>
      </c>
      <c r="J3017">
        <v>43828</v>
      </c>
      <c r="K3017">
        <v>1.3986000000000001</v>
      </c>
      <c r="L3017">
        <v>1.7667999999999999</v>
      </c>
    </row>
    <row r="3018" spans="1:12" x14ac:dyDescent="0.25">
      <c r="A3018">
        <v>2303</v>
      </c>
      <c r="B3018" t="s">
        <v>10</v>
      </c>
      <c r="C3018" s="1">
        <v>42402</v>
      </c>
      <c r="D3018" s="2">
        <f t="shared" si="94"/>
        <v>2</v>
      </c>
      <c r="E3018" s="2">
        <f t="shared" si="95"/>
        <v>2</v>
      </c>
      <c r="F3018">
        <v>10.9734</v>
      </c>
      <c r="G3018">
        <v>11.1435</v>
      </c>
      <c r="H3018">
        <v>10.888299999999999</v>
      </c>
      <c r="I3018">
        <v>11.1435</v>
      </c>
      <c r="J3018">
        <v>70066</v>
      </c>
      <c r="K3018">
        <v>1.5385</v>
      </c>
      <c r="L3018">
        <v>2.3437999999999999</v>
      </c>
    </row>
    <row r="3019" spans="1:12" hidden="1" x14ac:dyDescent="0.25">
      <c r="A3019">
        <v>2330</v>
      </c>
      <c r="B3019" t="s">
        <v>11</v>
      </c>
      <c r="C3019" s="1">
        <v>42402</v>
      </c>
      <c r="D3019" s="2">
        <f t="shared" si="94"/>
        <v>2</v>
      </c>
      <c r="E3019" s="2">
        <f t="shared" si="95"/>
        <v>2</v>
      </c>
      <c r="F3019">
        <v>122.1895</v>
      </c>
      <c r="G3019">
        <v>122.61369999999999</v>
      </c>
      <c r="H3019">
        <v>120.0681</v>
      </c>
      <c r="I3019">
        <v>120.91670000000001</v>
      </c>
      <c r="J3019">
        <v>25400</v>
      </c>
      <c r="K3019">
        <v>-1.0470999999999999</v>
      </c>
      <c r="L3019">
        <v>2.1200999999999999</v>
      </c>
    </row>
    <row r="3020" spans="1:12" x14ac:dyDescent="0.25">
      <c r="A3020">
        <v>2303</v>
      </c>
      <c r="B3020" t="s">
        <v>10</v>
      </c>
      <c r="C3020" s="1">
        <v>42403</v>
      </c>
      <c r="D3020" s="2">
        <f t="shared" si="94"/>
        <v>3</v>
      </c>
      <c r="E3020" s="2">
        <f t="shared" si="95"/>
        <v>2</v>
      </c>
      <c r="F3020">
        <v>11.0585</v>
      </c>
      <c r="G3020">
        <v>11.101000000000001</v>
      </c>
      <c r="H3020">
        <v>10.930899999999999</v>
      </c>
      <c r="I3020">
        <v>10.9734</v>
      </c>
      <c r="J3020">
        <v>30282</v>
      </c>
      <c r="K3020">
        <v>-1.5385</v>
      </c>
      <c r="L3020">
        <v>1.5564</v>
      </c>
    </row>
    <row r="3021" spans="1:12" hidden="1" x14ac:dyDescent="0.25">
      <c r="A3021">
        <v>2330</v>
      </c>
      <c r="B3021" t="s">
        <v>11</v>
      </c>
      <c r="C3021" s="1">
        <v>42403</v>
      </c>
      <c r="D3021" s="2">
        <f t="shared" si="94"/>
        <v>3</v>
      </c>
      <c r="E3021" s="2">
        <f t="shared" si="95"/>
        <v>2</v>
      </c>
      <c r="F3021">
        <v>123.038</v>
      </c>
      <c r="G3021">
        <v>123.8865</v>
      </c>
      <c r="H3021">
        <v>122.61369999999999</v>
      </c>
      <c r="I3021">
        <v>123.8865</v>
      </c>
      <c r="J3021">
        <v>71652</v>
      </c>
      <c r="K3021">
        <v>2.4264999999999999</v>
      </c>
      <c r="L3021">
        <v>1.0381</v>
      </c>
    </row>
    <row r="3022" spans="1:12" x14ac:dyDescent="0.25">
      <c r="A3022">
        <v>2303</v>
      </c>
      <c r="B3022" t="s">
        <v>10</v>
      </c>
      <c r="C3022" s="1">
        <v>42415</v>
      </c>
      <c r="D3022" s="2">
        <f t="shared" si="94"/>
        <v>1</v>
      </c>
      <c r="E3022" s="2">
        <f t="shared" si="95"/>
        <v>2</v>
      </c>
      <c r="F3022">
        <v>10.845800000000001</v>
      </c>
      <c r="G3022">
        <v>11.271100000000001</v>
      </c>
      <c r="H3022">
        <v>10.8033</v>
      </c>
      <c r="I3022">
        <v>11.2286</v>
      </c>
      <c r="J3022">
        <v>69373</v>
      </c>
      <c r="K3022">
        <v>2.2989999999999999</v>
      </c>
      <c r="L3022">
        <v>4.3307000000000002</v>
      </c>
    </row>
    <row r="3023" spans="1:12" hidden="1" x14ac:dyDescent="0.25">
      <c r="A3023">
        <v>2330</v>
      </c>
      <c r="B3023" t="s">
        <v>11</v>
      </c>
      <c r="C3023" s="1">
        <v>42415</v>
      </c>
      <c r="D3023" s="2">
        <f t="shared" si="94"/>
        <v>1</v>
      </c>
      <c r="E3023" s="2">
        <f t="shared" si="95"/>
        <v>2</v>
      </c>
      <c r="F3023">
        <v>120.4924</v>
      </c>
      <c r="G3023">
        <v>124.3108</v>
      </c>
      <c r="H3023">
        <v>120.4924</v>
      </c>
      <c r="I3023">
        <v>123.038</v>
      </c>
      <c r="J3023">
        <v>77064</v>
      </c>
      <c r="K3023">
        <v>-0.68730000000000002</v>
      </c>
      <c r="L3023">
        <v>3.169</v>
      </c>
    </row>
    <row r="3024" spans="1:12" x14ac:dyDescent="0.25">
      <c r="A3024">
        <v>2303</v>
      </c>
      <c r="B3024" t="s">
        <v>10</v>
      </c>
      <c r="C3024" s="1">
        <v>42416</v>
      </c>
      <c r="D3024" s="2">
        <f t="shared" si="94"/>
        <v>2</v>
      </c>
      <c r="E3024" s="2">
        <f t="shared" si="95"/>
        <v>2</v>
      </c>
      <c r="F3024">
        <v>11.1435</v>
      </c>
      <c r="G3024">
        <v>11.2286</v>
      </c>
      <c r="H3024">
        <v>11.0159</v>
      </c>
      <c r="I3024">
        <v>11.1861</v>
      </c>
      <c r="J3024">
        <v>28936</v>
      </c>
      <c r="K3024">
        <v>-0.3795</v>
      </c>
      <c r="L3024">
        <v>1.9305000000000001</v>
      </c>
    </row>
    <row r="3025" spans="1:12" hidden="1" x14ac:dyDescent="0.25">
      <c r="A3025">
        <v>2330</v>
      </c>
      <c r="B3025" t="s">
        <v>11</v>
      </c>
      <c r="C3025" s="1">
        <v>42416</v>
      </c>
      <c r="D3025" s="2">
        <f t="shared" si="94"/>
        <v>2</v>
      </c>
      <c r="E3025" s="2">
        <f t="shared" si="95"/>
        <v>2</v>
      </c>
      <c r="F3025">
        <v>123.8865</v>
      </c>
      <c r="G3025">
        <v>125.5836</v>
      </c>
      <c r="H3025">
        <v>123.4623</v>
      </c>
      <c r="I3025">
        <v>125.15940000000001</v>
      </c>
      <c r="J3025">
        <v>56361</v>
      </c>
      <c r="K3025">
        <v>1.7094</v>
      </c>
      <c r="L3025">
        <v>1.7181999999999999</v>
      </c>
    </row>
    <row r="3026" spans="1:12" x14ac:dyDescent="0.25">
      <c r="A3026">
        <v>2303</v>
      </c>
      <c r="B3026" t="s">
        <v>10</v>
      </c>
      <c r="C3026" s="1">
        <v>42417</v>
      </c>
      <c r="D3026" s="2">
        <f t="shared" si="94"/>
        <v>3</v>
      </c>
      <c r="E3026" s="2">
        <f t="shared" si="95"/>
        <v>2</v>
      </c>
      <c r="F3026">
        <v>11.1861</v>
      </c>
      <c r="G3026">
        <v>11.313700000000001</v>
      </c>
      <c r="H3026">
        <v>11.0585</v>
      </c>
      <c r="I3026">
        <v>11.271100000000001</v>
      </c>
      <c r="J3026">
        <v>36743</v>
      </c>
      <c r="K3026">
        <v>0.75760000000000005</v>
      </c>
      <c r="L3026">
        <v>2.3077000000000001</v>
      </c>
    </row>
    <row r="3027" spans="1:12" hidden="1" x14ac:dyDescent="0.25">
      <c r="A3027">
        <v>2330</v>
      </c>
      <c r="B3027" t="s">
        <v>11</v>
      </c>
      <c r="C3027" s="1">
        <v>42417</v>
      </c>
      <c r="D3027" s="2">
        <f t="shared" si="94"/>
        <v>3</v>
      </c>
      <c r="E3027" s="2">
        <f t="shared" si="95"/>
        <v>2</v>
      </c>
      <c r="F3027">
        <v>126.43219999999999</v>
      </c>
      <c r="G3027">
        <v>126.43219999999999</v>
      </c>
      <c r="H3027">
        <v>124.7351</v>
      </c>
      <c r="I3027">
        <v>125.5836</v>
      </c>
      <c r="J3027">
        <v>38486</v>
      </c>
      <c r="K3027">
        <v>0.33839999999999998</v>
      </c>
      <c r="L3027">
        <v>1.3605</v>
      </c>
    </row>
    <row r="3028" spans="1:12" x14ac:dyDescent="0.25">
      <c r="A3028">
        <v>2303</v>
      </c>
      <c r="B3028" t="s">
        <v>10</v>
      </c>
      <c r="C3028" s="1">
        <v>42418</v>
      </c>
      <c r="D3028" s="2">
        <f t="shared" si="94"/>
        <v>4</v>
      </c>
      <c r="E3028" s="2">
        <f t="shared" si="95"/>
        <v>2</v>
      </c>
      <c r="F3028">
        <v>11.3987</v>
      </c>
      <c r="G3028">
        <v>11.526300000000001</v>
      </c>
      <c r="H3028">
        <v>11.313700000000001</v>
      </c>
      <c r="I3028">
        <v>11.3987</v>
      </c>
      <c r="J3028">
        <v>63552</v>
      </c>
      <c r="K3028">
        <v>1.1256999999999999</v>
      </c>
      <c r="L3028">
        <v>1.8796999999999999</v>
      </c>
    </row>
    <row r="3029" spans="1:12" hidden="1" x14ac:dyDescent="0.25">
      <c r="A3029">
        <v>2330</v>
      </c>
      <c r="B3029" t="s">
        <v>11</v>
      </c>
      <c r="C3029" s="1">
        <v>42418</v>
      </c>
      <c r="D3029" s="2">
        <f t="shared" si="94"/>
        <v>4</v>
      </c>
      <c r="E3029" s="2">
        <f t="shared" si="95"/>
        <v>2</v>
      </c>
      <c r="F3029">
        <v>127.2807</v>
      </c>
      <c r="G3029">
        <v>128.1292</v>
      </c>
      <c r="H3029">
        <v>126.85639999999999</v>
      </c>
      <c r="I3029">
        <v>128.1292</v>
      </c>
      <c r="J3029">
        <v>61877</v>
      </c>
      <c r="K3029">
        <v>2.0068000000000001</v>
      </c>
      <c r="L3029">
        <v>1.0033000000000001</v>
      </c>
    </row>
    <row r="3030" spans="1:12" x14ac:dyDescent="0.25">
      <c r="A3030">
        <v>2303</v>
      </c>
      <c r="B3030" t="s">
        <v>10</v>
      </c>
      <c r="C3030" s="1">
        <v>42419</v>
      </c>
      <c r="D3030" s="2">
        <f t="shared" si="94"/>
        <v>5</v>
      </c>
      <c r="E3030" s="2">
        <f t="shared" si="95"/>
        <v>2</v>
      </c>
      <c r="F3030">
        <v>11.3987</v>
      </c>
      <c r="G3030">
        <v>11.4413</v>
      </c>
      <c r="H3030">
        <v>11.2286</v>
      </c>
      <c r="I3030">
        <v>11.2286</v>
      </c>
      <c r="J3030">
        <v>25996</v>
      </c>
      <c r="K3030">
        <v>-1.5038</v>
      </c>
      <c r="L3030">
        <v>1.8938999999999999</v>
      </c>
    </row>
    <row r="3031" spans="1:12" hidden="1" x14ac:dyDescent="0.25">
      <c r="A3031">
        <v>2330</v>
      </c>
      <c r="B3031" t="s">
        <v>11</v>
      </c>
      <c r="C3031" s="1">
        <v>42419</v>
      </c>
      <c r="D3031" s="2">
        <f t="shared" si="94"/>
        <v>5</v>
      </c>
      <c r="E3031" s="2">
        <f t="shared" si="95"/>
        <v>2</v>
      </c>
      <c r="F3031">
        <v>126.43219999999999</v>
      </c>
      <c r="G3031">
        <v>128.1292</v>
      </c>
      <c r="H3031">
        <v>126.43219999999999</v>
      </c>
      <c r="I3031">
        <v>128.1292</v>
      </c>
      <c r="J3031">
        <v>37444</v>
      </c>
      <c r="K3031">
        <v>0</v>
      </c>
      <c r="L3031">
        <v>1.3423</v>
      </c>
    </row>
    <row r="3032" spans="1:12" x14ac:dyDescent="0.25">
      <c r="A3032">
        <v>2303</v>
      </c>
      <c r="B3032" t="s">
        <v>10</v>
      </c>
      <c r="C3032" s="1">
        <v>42422</v>
      </c>
      <c r="D3032" s="2">
        <f t="shared" si="94"/>
        <v>1</v>
      </c>
      <c r="E3032" s="2">
        <f t="shared" si="95"/>
        <v>2</v>
      </c>
      <c r="F3032">
        <v>11.2286</v>
      </c>
      <c r="G3032">
        <v>11.356199999999999</v>
      </c>
      <c r="H3032">
        <v>11.1435</v>
      </c>
      <c r="I3032">
        <v>11.2286</v>
      </c>
      <c r="J3032">
        <v>24168</v>
      </c>
      <c r="K3032">
        <v>0</v>
      </c>
      <c r="L3032">
        <v>1.9084000000000001</v>
      </c>
    </row>
    <row r="3033" spans="1:12" hidden="1" x14ac:dyDescent="0.25">
      <c r="A3033">
        <v>2330</v>
      </c>
      <c r="B3033" t="s">
        <v>11</v>
      </c>
      <c r="C3033" s="1">
        <v>42422</v>
      </c>
      <c r="D3033" s="2">
        <f t="shared" si="94"/>
        <v>1</v>
      </c>
      <c r="E3033" s="2">
        <f t="shared" si="95"/>
        <v>2</v>
      </c>
      <c r="F3033">
        <v>126.85639999999999</v>
      </c>
      <c r="G3033">
        <v>129.40199999999999</v>
      </c>
      <c r="H3033">
        <v>126.85639999999999</v>
      </c>
      <c r="I3033">
        <v>128.1292</v>
      </c>
      <c r="J3033">
        <v>29751</v>
      </c>
      <c r="K3033">
        <v>0</v>
      </c>
      <c r="L3033">
        <v>2.0066999999999999</v>
      </c>
    </row>
    <row r="3034" spans="1:12" x14ac:dyDescent="0.25">
      <c r="A3034">
        <v>2303</v>
      </c>
      <c r="B3034" t="s">
        <v>10</v>
      </c>
      <c r="C3034" s="1">
        <v>42423</v>
      </c>
      <c r="D3034" s="2">
        <f t="shared" si="94"/>
        <v>2</v>
      </c>
      <c r="E3034" s="2">
        <f t="shared" si="95"/>
        <v>2</v>
      </c>
      <c r="F3034">
        <v>11.2286</v>
      </c>
      <c r="G3034">
        <v>11.313700000000001</v>
      </c>
      <c r="H3034">
        <v>11.1861</v>
      </c>
      <c r="I3034">
        <v>11.2286</v>
      </c>
      <c r="J3034">
        <v>27948</v>
      </c>
      <c r="K3034">
        <v>0</v>
      </c>
      <c r="L3034">
        <v>1.1407</v>
      </c>
    </row>
    <row r="3035" spans="1:12" hidden="1" x14ac:dyDescent="0.25">
      <c r="A3035">
        <v>2330</v>
      </c>
      <c r="B3035" t="s">
        <v>11</v>
      </c>
      <c r="C3035" s="1">
        <v>42423</v>
      </c>
      <c r="D3035" s="2">
        <f t="shared" si="94"/>
        <v>2</v>
      </c>
      <c r="E3035" s="2">
        <f t="shared" si="95"/>
        <v>2</v>
      </c>
      <c r="F3035">
        <v>127.705</v>
      </c>
      <c r="G3035">
        <v>128.1292</v>
      </c>
      <c r="H3035">
        <v>126.43219999999999</v>
      </c>
      <c r="I3035">
        <v>126.85639999999999</v>
      </c>
      <c r="J3035">
        <v>22500</v>
      </c>
      <c r="K3035">
        <v>-0.99829999999999997</v>
      </c>
      <c r="L3035">
        <v>1.3423</v>
      </c>
    </row>
    <row r="3036" spans="1:12" x14ac:dyDescent="0.25">
      <c r="A3036">
        <v>2303</v>
      </c>
      <c r="B3036" t="s">
        <v>10</v>
      </c>
      <c r="C3036" s="1">
        <v>42424</v>
      </c>
      <c r="D3036" s="2">
        <f t="shared" si="94"/>
        <v>3</v>
      </c>
      <c r="E3036" s="2">
        <f t="shared" si="95"/>
        <v>2</v>
      </c>
      <c r="F3036">
        <v>11.2286</v>
      </c>
      <c r="G3036">
        <v>11.313700000000001</v>
      </c>
      <c r="H3036">
        <v>11.101000000000001</v>
      </c>
      <c r="I3036">
        <v>11.2286</v>
      </c>
      <c r="J3036">
        <v>26021</v>
      </c>
      <c r="K3036">
        <v>0</v>
      </c>
      <c r="L3036">
        <v>1.9157</v>
      </c>
    </row>
    <row r="3037" spans="1:12" hidden="1" x14ac:dyDescent="0.25">
      <c r="A3037">
        <v>2330</v>
      </c>
      <c r="B3037" t="s">
        <v>11</v>
      </c>
      <c r="C3037" s="1">
        <v>42424</v>
      </c>
      <c r="D3037" s="2">
        <f t="shared" si="94"/>
        <v>3</v>
      </c>
      <c r="E3037" s="2">
        <f t="shared" si="95"/>
        <v>2</v>
      </c>
      <c r="F3037">
        <v>126.85639999999999</v>
      </c>
      <c r="G3037">
        <v>127.705</v>
      </c>
      <c r="H3037">
        <v>124.7351</v>
      </c>
      <c r="I3037">
        <v>125.5836</v>
      </c>
      <c r="J3037">
        <v>22082</v>
      </c>
      <c r="K3037">
        <v>-1.0084</v>
      </c>
      <c r="L3037">
        <v>2.3809999999999998</v>
      </c>
    </row>
    <row r="3038" spans="1:12" x14ac:dyDescent="0.25">
      <c r="A3038">
        <v>2303</v>
      </c>
      <c r="B3038" t="s">
        <v>10</v>
      </c>
      <c r="C3038" s="1">
        <v>42425</v>
      </c>
      <c r="D3038" s="2">
        <f t="shared" si="94"/>
        <v>4</v>
      </c>
      <c r="E3038" s="2">
        <f t="shared" si="95"/>
        <v>2</v>
      </c>
      <c r="F3038">
        <v>11.2286</v>
      </c>
      <c r="G3038">
        <v>11.313700000000001</v>
      </c>
      <c r="H3038">
        <v>11.1435</v>
      </c>
      <c r="I3038">
        <v>11.271100000000001</v>
      </c>
      <c r="J3038">
        <v>26704</v>
      </c>
      <c r="K3038">
        <v>0.37809999999999999</v>
      </c>
      <c r="L3038">
        <v>1.5266999999999999</v>
      </c>
    </row>
    <row r="3039" spans="1:12" hidden="1" x14ac:dyDescent="0.25">
      <c r="A3039">
        <v>2330</v>
      </c>
      <c r="B3039" t="s">
        <v>11</v>
      </c>
      <c r="C3039" s="1">
        <v>42425</v>
      </c>
      <c r="D3039" s="2">
        <f t="shared" si="94"/>
        <v>4</v>
      </c>
      <c r="E3039" s="2">
        <f t="shared" si="95"/>
        <v>2</v>
      </c>
      <c r="F3039">
        <v>126.43219999999999</v>
      </c>
      <c r="G3039">
        <v>128.1292</v>
      </c>
      <c r="H3039">
        <v>126.00790000000001</v>
      </c>
      <c r="I3039">
        <v>127.705</v>
      </c>
      <c r="J3039">
        <v>25233</v>
      </c>
      <c r="K3039">
        <v>1.6751</v>
      </c>
      <c r="L3039">
        <v>1.6835</v>
      </c>
    </row>
    <row r="3040" spans="1:12" x14ac:dyDescent="0.25">
      <c r="A3040">
        <v>2303</v>
      </c>
      <c r="B3040" t="s">
        <v>10</v>
      </c>
      <c r="C3040" s="1">
        <v>42426</v>
      </c>
      <c r="D3040" s="2">
        <f t="shared" si="94"/>
        <v>5</v>
      </c>
      <c r="E3040" s="2">
        <f t="shared" si="95"/>
        <v>2</v>
      </c>
      <c r="F3040">
        <v>11.313700000000001</v>
      </c>
      <c r="G3040">
        <v>11.4838</v>
      </c>
      <c r="H3040">
        <v>11.271100000000001</v>
      </c>
      <c r="I3040">
        <v>11.356199999999999</v>
      </c>
      <c r="J3040">
        <v>50549</v>
      </c>
      <c r="K3040">
        <v>0.75190000000000001</v>
      </c>
      <c r="L3040">
        <v>1.8868</v>
      </c>
    </row>
    <row r="3041" spans="1:12" hidden="1" x14ac:dyDescent="0.25">
      <c r="A3041">
        <v>2330</v>
      </c>
      <c r="B3041" t="s">
        <v>11</v>
      </c>
      <c r="C3041" s="1">
        <v>42426</v>
      </c>
      <c r="D3041" s="2">
        <f t="shared" si="94"/>
        <v>5</v>
      </c>
      <c r="E3041" s="2">
        <f t="shared" si="95"/>
        <v>2</v>
      </c>
      <c r="F3041">
        <v>128.1292</v>
      </c>
      <c r="G3041">
        <v>128.55350000000001</v>
      </c>
      <c r="H3041">
        <v>125.5836</v>
      </c>
      <c r="I3041">
        <v>126.43219999999999</v>
      </c>
      <c r="J3041">
        <v>46425</v>
      </c>
      <c r="K3041">
        <v>-1.0017</v>
      </c>
      <c r="L3041">
        <v>2.3649</v>
      </c>
    </row>
    <row r="3042" spans="1:12" x14ac:dyDescent="0.25">
      <c r="A3042">
        <v>2303</v>
      </c>
      <c r="B3042" t="s">
        <v>10</v>
      </c>
      <c r="C3042" s="1">
        <v>42430</v>
      </c>
      <c r="D3042" s="2">
        <f t="shared" si="94"/>
        <v>2</v>
      </c>
      <c r="E3042" s="2">
        <f t="shared" si="95"/>
        <v>3</v>
      </c>
      <c r="F3042">
        <v>11.356199999999999</v>
      </c>
      <c r="G3042">
        <v>11.4413</v>
      </c>
      <c r="H3042">
        <v>11.313700000000001</v>
      </c>
      <c r="I3042">
        <v>11.3987</v>
      </c>
      <c r="J3042">
        <v>31294</v>
      </c>
      <c r="K3042">
        <v>0.37380000000000002</v>
      </c>
      <c r="L3042">
        <v>1.1277999999999999</v>
      </c>
    </row>
    <row r="3043" spans="1:12" hidden="1" x14ac:dyDescent="0.25">
      <c r="A3043">
        <v>2330</v>
      </c>
      <c r="B3043" t="s">
        <v>11</v>
      </c>
      <c r="C3043" s="1">
        <v>42430</v>
      </c>
      <c r="D3043" s="2">
        <f t="shared" si="94"/>
        <v>2</v>
      </c>
      <c r="E3043" s="2">
        <f t="shared" si="95"/>
        <v>3</v>
      </c>
      <c r="F3043">
        <v>126.00790000000001</v>
      </c>
      <c r="G3043">
        <v>128.9778</v>
      </c>
      <c r="H3043">
        <v>126.00790000000001</v>
      </c>
      <c r="I3043">
        <v>128.9778</v>
      </c>
      <c r="J3043">
        <v>44046</v>
      </c>
      <c r="K3043">
        <v>1.9934000000000001</v>
      </c>
      <c r="L3043">
        <v>2.3569</v>
      </c>
    </row>
    <row r="3044" spans="1:12" x14ac:dyDescent="0.25">
      <c r="A3044">
        <v>2303</v>
      </c>
      <c r="B3044" t="s">
        <v>10</v>
      </c>
      <c r="C3044" s="1">
        <v>42431</v>
      </c>
      <c r="D3044" s="2">
        <f t="shared" si="94"/>
        <v>3</v>
      </c>
      <c r="E3044" s="2">
        <f t="shared" si="95"/>
        <v>3</v>
      </c>
      <c r="F3044">
        <v>11.4838</v>
      </c>
      <c r="G3044">
        <v>11.526300000000001</v>
      </c>
      <c r="H3044">
        <v>11.356199999999999</v>
      </c>
      <c r="I3044">
        <v>11.356199999999999</v>
      </c>
      <c r="J3044">
        <v>27153</v>
      </c>
      <c r="K3044">
        <v>-0.37380000000000002</v>
      </c>
      <c r="L3044">
        <v>1.4981</v>
      </c>
    </row>
    <row r="3045" spans="1:12" hidden="1" x14ac:dyDescent="0.25">
      <c r="A3045">
        <v>2330</v>
      </c>
      <c r="B3045" t="s">
        <v>11</v>
      </c>
      <c r="C3045" s="1">
        <v>42431</v>
      </c>
      <c r="D3045" s="2">
        <f t="shared" si="94"/>
        <v>3</v>
      </c>
      <c r="E3045" s="2">
        <f t="shared" si="95"/>
        <v>3</v>
      </c>
      <c r="F3045">
        <v>130.67490000000001</v>
      </c>
      <c r="G3045">
        <v>131.09909999999999</v>
      </c>
      <c r="H3045">
        <v>129.8263</v>
      </c>
      <c r="I3045">
        <v>129.8263</v>
      </c>
      <c r="J3045">
        <v>36101</v>
      </c>
      <c r="K3045">
        <v>0.65569999999999995</v>
      </c>
      <c r="L3045">
        <v>0.98040000000000005</v>
      </c>
    </row>
    <row r="3046" spans="1:12" x14ac:dyDescent="0.25">
      <c r="A3046">
        <v>2303</v>
      </c>
      <c r="B3046" t="s">
        <v>10</v>
      </c>
      <c r="C3046" s="1">
        <v>42432</v>
      </c>
      <c r="D3046" s="2">
        <f t="shared" si="94"/>
        <v>4</v>
      </c>
      <c r="E3046" s="2">
        <f t="shared" si="95"/>
        <v>3</v>
      </c>
      <c r="F3046">
        <v>11.356199999999999</v>
      </c>
      <c r="G3046">
        <v>11.4413</v>
      </c>
      <c r="H3046">
        <v>11.313700000000001</v>
      </c>
      <c r="I3046">
        <v>11.4413</v>
      </c>
      <c r="J3046">
        <v>30567</v>
      </c>
      <c r="K3046">
        <v>0.74629999999999996</v>
      </c>
      <c r="L3046">
        <v>1.1277999999999999</v>
      </c>
    </row>
    <row r="3047" spans="1:12" hidden="1" x14ac:dyDescent="0.25">
      <c r="A3047">
        <v>2330</v>
      </c>
      <c r="B3047" t="s">
        <v>11</v>
      </c>
      <c r="C3047" s="1">
        <v>42432</v>
      </c>
      <c r="D3047" s="2">
        <f t="shared" si="94"/>
        <v>4</v>
      </c>
      <c r="E3047" s="2">
        <f t="shared" si="95"/>
        <v>3</v>
      </c>
      <c r="F3047">
        <v>130.67490000000001</v>
      </c>
      <c r="G3047">
        <v>131.09909999999999</v>
      </c>
      <c r="H3047">
        <v>129.8263</v>
      </c>
      <c r="I3047">
        <v>130.67490000000001</v>
      </c>
      <c r="J3047">
        <v>28867</v>
      </c>
      <c r="K3047">
        <v>0.65149999999999997</v>
      </c>
      <c r="L3047">
        <v>0.98040000000000005</v>
      </c>
    </row>
    <row r="3048" spans="1:12" x14ac:dyDescent="0.25">
      <c r="A3048">
        <v>2303</v>
      </c>
      <c r="B3048" t="s">
        <v>10</v>
      </c>
      <c r="C3048" s="1">
        <v>42433</v>
      </c>
      <c r="D3048" s="2">
        <f t="shared" si="94"/>
        <v>5</v>
      </c>
      <c r="E3048" s="2">
        <f t="shared" si="95"/>
        <v>3</v>
      </c>
      <c r="F3048">
        <v>11.4413</v>
      </c>
      <c r="G3048">
        <v>11.4838</v>
      </c>
      <c r="H3048">
        <v>11.356199999999999</v>
      </c>
      <c r="I3048">
        <v>11.3987</v>
      </c>
      <c r="J3048">
        <v>30905</v>
      </c>
      <c r="K3048">
        <v>-0.37240000000000001</v>
      </c>
      <c r="L3048">
        <v>1.1235999999999999</v>
      </c>
    </row>
    <row r="3049" spans="1:12" hidden="1" x14ac:dyDescent="0.25">
      <c r="A3049">
        <v>2330</v>
      </c>
      <c r="B3049" t="s">
        <v>11</v>
      </c>
      <c r="C3049" s="1">
        <v>42433</v>
      </c>
      <c r="D3049" s="2">
        <f t="shared" si="94"/>
        <v>5</v>
      </c>
      <c r="E3049" s="2">
        <f t="shared" si="95"/>
        <v>3</v>
      </c>
      <c r="F3049">
        <v>129.8263</v>
      </c>
      <c r="G3049">
        <v>130.25059999999999</v>
      </c>
      <c r="H3049">
        <v>128.55350000000001</v>
      </c>
      <c r="I3049">
        <v>129.40199999999999</v>
      </c>
      <c r="J3049">
        <v>37794</v>
      </c>
      <c r="K3049">
        <v>-0.9788</v>
      </c>
      <c r="L3049">
        <v>1.3201000000000001</v>
      </c>
    </row>
    <row r="3050" spans="1:12" x14ac:dyDescent="0.25">
      <c r="A3050">
        <v>2303</v>
      </c>
      <c r="B3050" t="s">
        <v>10</v>
      </c>
      <c r="C3050" s="1">
        <v>42436</v>
      </c>
      <c r="D3050" s="2">
        <f t="shared" si="94"/>
        <v>1</v>
      </c>
      <c r="E3050" s="2">
        <f t="shared" si="95"/>
        <v>3</v>
      </c>
      <c r="F3050">
        <v>11.4413</v>
      </c>
      <c r="G3050">
        <v>11.4838</v>
      </c>
      <c r="H3050">
        <v>11.271100000000001</v>
      </c>
      <c r="I3050">
        <v>11.3987</v>
      </c>
      <c r="J3050">
        <v>29719</v>
      </c>
      <c r="K3050">
        <v>0</v>
      </c>
      <c r="L3050">
        <v>1.8868</v>
      </c>
    </row>
    <row r="3051" spans="1:12" hidden="1" x14ac:dyDescent="0.25">
      <c r="A3051">
        <v>2330</v>
      </c>
      <c r="B3051" t="s">
        <v>11</v>
      </c>
      <c r="C3051" s="1">
        <v>42436</v>
      </c>
      <c r="D3051" s="2">
        <f t="shared" si="94"/>
        <v>1</v>
      </c>
      <c r="E3051" s="2">
        <f t="shared" si="95"/>
        <v>3</v>
      </c>
      <c r="F3051">
        <v>129.40199999999999</v>
      </c>
      <c r="G3051">
        <v>130.25059999999999</v>
      </c>
      <c r="H3051">
        <v>128.1292</v>
      </c>
      <c r="I3051">
        <v>128.9778</v>
      </c>
      <c r="J3051">
        <v>24052</v>
      </c>
      <c r="K3051">
        <v>-0.32840000000000003</v>
      </c>
      <c r="L3051">
        <v>1.6556</v>
      </c>
    </row>
    <row r="3052" spans="1:12" x14ac:dyDescent="0.25">
      <c r="A3052">
        <v>2303</v>
      </c>
      <c r="B3052" t="s">
        <v>10</v>
      </c>
      <c r="C3052" s="1">
        <v>42437</v>
      </c>
      <c r="D3052" s="2">
        <f t="shared" si="94"/>
        <v>2</v>
      </c>
      <c r="E3052" s="2">
        <f t="shared" si="95"/>
        <v>3</v>
      </c>
      <c r="F3052">
        <v>11.356199999999999</v>
      </c>
      <c r="G3052">
        <v>11.3987</v>
      </c>
      <c r="H3052">
        <v>11.1435</v>
      </c>
      <c r="I3052">
        <v>11.2286</v>
      </c>
      <c r="J3052">
        <v>38388</v>
      </c>
      <c r="K3052">
        <v>-1.5038</v>
      </c>
      <c r="L3052">
        <v>2.2900999999999998</v>
      </c>
    </row>
    <row r="3053" spans="1:12" hidden="1" x14ac:dyDescent="0.25">
      <c r="A3053">
        <v>2330</v>
      </c>
      <c r="B3053" t="s">
        <v>11</v>
      </c>
      <c r="C3053" s="1">
        <v>42437</v>
      </c>
      <c r="D3053" s="2">
        <f t="shared" si="94"/>
        <v>2</v>
      </c>
      <c r="E3053" s="2">
        <f t="shared" si="95"/>
        <v>3</v>
      </c>
      <c r="F3053">
        <v>128.1292</v>
      </c>
      <c r="G3053">
        <v>128.9778</v>
      </c>
      <c r="H3053">
        <v>126.85639999999999</v>
      </c>
      <c r="I3053">
        <v>128.9778</v>
      </c>
      <c r="J3053">
        <v>40643</v>
      </c>
      <c r="K3053">
        <v>0</v>
      </c>
      <c r="L3053">
        <v>1.6721999999999999</v>
      </c>
    </row>
    <row r="3054" spans="1:12" x14ac:dyDescent="0.25">
      <c r="A3054">
        <v>2303</v>
      </c>
      <c r="B3054" t="s">
        <v>10</v>
      </c>
      <c r="C3054" s="1">
        <v>42438</v>
      </c>
      <c r="D3054" s="2">
        <f t="shared" si="94"/>
        <v>3</v>
      </c>
      <c r="E3054" s="2">
        <f t="shared" si="95"/>
        <v>3</v>
      </c>
      <c r="F3054">
        <v>11.2286</v>
      </c>
      <c r="G3054">
        <v>11.2286</v>
      </c>
      <c r="H3054">
        <v>10.9734</v>
      </c>
      <c r="I3054">
        <v>10.9734</v>
      </c>
      <c r="J3054">
        <v>29306</v>
      </c>
      <c r="K3054">
        <v>-2.2989999999999999</v>
      </c>
      <c r="L3054">
        <v>2.3256000000000001</v>
      </c>
    </row>
    <row r="3055" spans="1:12" hidden="1" x14ac:dyDescent="0.25">
      <c r="A3055">
        <v>2330</v>
      </c>
      <c r="B3055" t="s">
        <v>11</v>
      </c>
      <c r="C3055" s="1">
        <v>42438</v>
      </c>
      <c r="D3055" s="2">
        <f t="shared" si="94"/>
        <v>3</v>
      </c>
      <c r="E3055" s="2">
        <f t="shared" si="95"/>
        <v>3</v>
      </c>
      <c r="F3055">
        <v>128.9778</v>
      </c>
      <c r="G3055">
        <v>129.8263</v>
      </c>
      <c r="H3055">
        <v>127.705</v>
      </c>
      <c r="I3055">
        <v>129.8263</v>
      </c>
      <c r="J3055">
        <v>24634</v>
      </c>
      <c r="K3055">
        <v>0.65569999999999995</v>
      </c>
      <c r="L3055">
        <v>1.6611</v>
      </c>
    </row>
    <row r="3056" spans="1:12" x14ac:dyDescent="0.25">
      <c r="A3056">
        <v>2303</v>
      </c>
      <c r="B3056" t="s">
        <v>10</v>
      </c>
      <c r="C3056" s="1">
        <v>42439</v>
      </c>
      <c r="D3056" s="2">
        <f t="shared" si="94"/>
        <v>4</v>
      </c>
      <c r="E3056" s="2">
        <f t="shared" si="95"/>
        <v>3</v>
      </c>
      <c r="F3056">
        <v>11.0159</v>
      </c>
      <c r="G3056">
        <v>11.3987</v>
      </c>
      <c r="H3056">
        <v>11.0159</v>
      </c>
      <c r="I3056">
        <v>11.1861</v>
      </c>
      <c r="J3056">
        <v>51489</v>
      </c>
      <c r="K3056">
        <v>1.9194</v>
      </c>
      <c r="L3056">
        <v>3.4748999999999999</v>
      </c>
    </row>
    <row r="3057" spans="1:12" hidden="1" x14ac:dyDescent="0.25">
      <c r="A3057">
        <v>2330</v>
      </c>
      <c r="B3057" t="s">
        <v>11</v>
      </c>
      <c r="C3057" s="1">
        <v>42439</v>
      </c>
      <c r="D3057" s="2">
        <f t="shared" si="94"/>
        <v>4</v>
      </c>
      <c r="E3057" s="2">
        <f t="shared" si="95"/>
        <v>3</v>
      </c>
      <c r="F3057">
        <v>129.8263</v>
      </c>
      <c r="G3057">
        <v>131.09909999999999</v>
      </c>
      <c r="H3057">
        <v>128.55350000000001</v>
      </c>
      <c r="I3057">
        <v>131.09909999999999</v>
      </c>
      <c r="J3057">
        <v>31343</v>
      </c>
      <c r="K3057">
        <v>0.97560000000000002</v>
      </c>
      <c r="L3057">
        <v>1.9802</v>
      </c>
    </row>
    <row r="3058" spans="1:12" x14ac:dyDescent="0.25">
      <c r="A3058">
        <v>2303</v>
      </c>
      <c r="B3058" t="s">
        <v>10</v>
      </c>
      <c r="C3058" s="1">
        <v>42440</v>
      </c>
      <c r="D3058" s="2">
        <f t="shared" si="94"/>
        <v>5</v>
      </c>
      <c r="E3058" s="2">
        <f t="shared" si="95"/>
        <v>3</v>
      </c>
      <c r="F3058">
        <v>11.1861</v>
      </c>
      <c r="G3058">
        <v>11.271100000000001</v>
      </c>
      <c r="H3058">
        <v>11.101000000000001</v>
      </c>
      <c r="I3058">
        <v>11.271100000000001</v>
      </c>
      <c r="J3058">
        <v>28372</v>
      </c>
      <c r="K3058">
        <v>0.75760000000000005</v>
      </c>
      <c r="L3058">
        <v>1.5326</v>
      </c>
    </row>
    <row r="3059" spans="1:12" hidden="1" x14ac:dyDescent="0.25">
      <c r="A3059">
        <v>2330</v>
      </c>
      <c r="B3059" t="s">
        <v>11</v>
      </c>
      <c r="C3059" s="1">
        <v>42440</v>
      </c>
      <c r="D3059" s="2">
        <f t="shared" si="94"/>
        <v>5</v>
      </c>
      <c r="E3059" s="2">
        <f t="shared" si="95"/>
        <v>3</v>
      </c>
      <c r="F3059">
        <v>131.09909999999999</v>
      </c>
      <c r="G3059">
        <v>131.52340000000001</v>
      </c>
      <c r="H3059">
        <v>129.8263</v>
      </c>
      <c r="I3059">
        <v>131.52340000000001</v>
      </c>
      <c r="J3059">
        <v>31297</v>
      </c>
      <c r="K3059">
        <v>0.3231</v>
      </c>
      <c r="L3059">
        <v>1.3071999999999999</v>
      </c>
    </row>
    <row r="3060" spans="1:12" x14ac:dyDescent="0.25">
      <c r="A3060">
        <v>2303</v>
      </c>
      <c r="B3060" t="s">
        <v>10</v>
      </c>
      <c r="C3060" s="1">
        <v>42443</v>
      </c>
      <c r="D3060" s="2">
        <f t="shared" si="94"/>
        <v>1</v>
      </c>
      <c r="E3060" s="2">
        <f t="shared" si="95"/>
        <v>3</v>
      </c>
      <c r="F3060">
        <v>11.313700000000001</v>
      </c>
      <c r="G3060">
        <v>11.3987</v>
      </c>
      <c r="H3060">
        <v>11.313700000000001</v>
      </c>
      <c r="I3060">
        <v>11.3987</v>
      </c>
      <c r="J3060">
        <v>29655</v>
      </c>
      <c r="K3060">
        <v>1.1256999999999999</v>
      </c>
      <c r="L3060">
        <v>0.75190000000000001</v>
      </c>
    </row>
    <row r="3061" spans="1:12" hidden="1" x14ac:dyDescent="0.25">
      <c r="A3061">
        <v>2330</v>
      </c>
      <c r="B3061" t="s">
        <v>11</v>
      </c>
      <c r="C3061" s="1">
        <v>42443</v>
      </c>
      <c r="D3061" s="2">
        <f t="shared" si="94"/>
        <v>1</v>
      </c>
      <c r="E3061" s="2">
        <f t="shared" si="95"/>
        <v>3</v>
      </c>
      <c r="F3061">
        <v>132.7962</v>
      </c>
      <c r="G3061">
        <v>133.6447</v>
      </c>
      <c r="H3061">
        <v>131.9477</v>
      </c>
      <c r="I3061">
        <v>132.37190000000001</v>
      </c>
      <c r="J3061">
        <v>32987</v>
      </c>
      <c r="K3061">
        <v>0.6431</v>
      </c>
      <c r="L3061">
        <v>1.2862</v>
      </c>
    </row>
    <row r="3062" spans="1:12" x14ac:dyDescent="0.25">
      <c r="A3062">
        <v>2303</v>
      </c>
      <c r="B3062" t="s">
        <v>10</v>
      </c>
      <c r="C3062" s="1">
        <v>42444</v>
      </c>
      <c r="D3062" s="2">
        <f t="shared" si="94"/>
        <v>2</v>
      </c>
      <c r="E3062" s="2">
        <f t="shared" si="95"/>
        <v>3</v>
      </c>
      <c r="F3062">
        <v>11.3987</v>
      </c>
      <c r="G3062">
        <v>11.3987</v>
      </c>
      <c r="H3062">
        <v>11.1435</v>
      </c>
      <c r="I3062">
        <v>11.271100000000001</v>
      </c>
      <c r="J3062">
        <v>28124</v>
      </c>
      <c r="K3062">
        <v>-1.1256999999999999</v>
      </c>
      <c r="L3062">
        <v>2.2900999999999998</v>
      </c>
    </row>
    <row r="3063" spans="1:12" hidden="1" x14ac:dyDescent="0.25">
      <c r="A3063">
        <v>2330</v>
      </c>
      <c r="B3063" t="s">
        <v>11</v>
      </c>
      <c r="C3063" s="1">
        <v>42444</v>
      </c>
      <c r="D3063" s="2">
        <f t="shared" si="94"/>
        <v>2</v>
      </c>
      <c r="E3063" s="2">
        <f t="shared" si="95"/>
        <v>3</v>
      </c>
      <c r="F3063">
        <v>131.52340000000001</v>
      </c>
      <c r="G3063">
        <v>132.7962</v>
      </c>
      <c r="H3063">
        <v>129.8263</v>
      </c>
      <c r="I3063">
        <v>131.09909999999999</v>
      </c>
      <c r="J3063">
        <v>29437</v>
      </c>
      <c r="K3063">
        <v>-0.96619999999999995</v>
      </c>
      <c r="L3063">
        <v>2.2875999999999999</v>
      </c>
    </row>
    <row r="3064" spans="1:12" x14ac:dyDescent="0.25">
      <c r="A3064">
        <v>2303</v>
      </c>
      <c r="B3064" t="s">
        <v>10</v>
      </c>
      <c r="C3064" s="1">
        <v>42445</v>
      </c>
      <c r="D3064" s="2">
        <f t="shared" si="94"/>
        <v>3</v>
      </c>
      <c r="E3064" s="2">
        <f t="shared" si="95"/>
        <v>3</v>
      </c>
      <c r="F3064">
        <v>11.271100000000001</v>
      </c>
      <c r="G3064">
        <v>11.356199999999999</v>
      </c>
      <c r="H3064">
        <v>11.2286</v>
      </c>
      <c r="I3064">
        <v>11.271100000000001</v>
      </c>
      <c r="J3064">
        <v>15550</v>
      </c>
      <c r="K3064">
        <v>0</v>
      </c>
      <c r="L3064">
        <v>1.1364000000000001</v>
      </c>
    </row>
    <row r="3065" spans="1:12" hidden="1" x14ac:dyDescent="0.25">
      <c r="A3065">
        <v>2330</v>
      </c>
      <c r="B3065" t="s">
        <v>11</v>
      </c>
      <c r="C3065" s="1">
        <v>42445</v>
      </c>
      <c r="D3065" s="2">
        <f t="shared" si="94"/>
        <v>3</v>
      </c>
      <c r="E3065" s="2">
        <f t="shared" si="95"/>
        <v>3</v>
      </c>
      <c r="F3065">
        <v>131.9477</v>
      </c>
      <c r="G3065">
        <v>132.37190000000001</v>
      </c>
      <c r="H3065">
        <v>130.67490000000001</v>
      </c>
      <c r="I3065">
        <v>132.37190000000001</v>
      </c>
      <c r="J3065">
        <v>31126</v>
      </c>
      <c r="K3065">
        <v>0.96619999999999995</v>
      </c>
      <c r="L3065">
        <v>1.2987</v>
      </c>
    </row>
    <row r="3066" spans="1:12" x14ac:dyDescent="0.25">
      <c r="A3066">
        <v>2303</v>
      </c>
      <c r="B3066" t="s">
        <v>10</v>
      </c>
      <c r="C3066" s="1">
        <v>42446</v>
      </c>
      <c r="D3066" s="2">
        <f t="shared" si="94"/>
        <v>4</v>
      </c>
      <c r="E3066" s="2">
        <f t="shared" si="95"/>
        <v>3</v>
      </c>
      <c r="F3066">
        <v>11.4413</v>
      </c>
      <c r="G3066">
        <v>11.4838</v>
      </c>
      <c r="H3066">
        <v>11.271100000000001</v>
      </c>
      <c r="I3066">
        <v>11.313700000000001</v>
      </c>
      <c r="J3066">
        <v>31027</v>
      </c>
      <c r="K3066">
        <v>0.37659999999999999</v>
      </c>
      <c r="L3066">
        <v>1.8868</v>
      </c>
    </row>
    <row r="3067" spans="1:12" hidden="1" x14ac:dyDescent="0.25">
      <c r="A3067">
        <v>2330</v>
      </c>
      <c r="B3067" t="s">
        <v>11</v>
      </c>
      <c r="C3067" s="1">
        <v>42446</v>
      </c>
      <c r="D3067" s="2">
        <f t="shared" si="94"/>
        <v>4</v>
      </c>
      <c r="E3067" s="2">
        <f t="shared" si="95"/>
        <v>3</v>
      </c>
      <c r="F3067">
        <v>135.34180000000001</v>
      </c>
      <c r="G3067">
        <v>135.76609999999999</v>
      </c>
      <c r="H3067">
        <v>133.6447</v>
      </c>
      <c r="I3067">
        <v>134.4933</v>
      </c>
      <c r="J3067">
        <v>52228</v>
      </c>
      <c r="K3067">
        <v>1.5899000000000001</v>
      </c>
      <c r="L3067">
        <v>1.5872999999999999</v>
      </c>
    </row>
    <row r="3068" spans="1:12" x14ac:dyDescent="0.25">
      <c r="A3068">
        <v>2303</v>
      </c>
      <c r="B3068" t="s">
        <v>10</v>
      </c>
      <c r="C3068" s="1">
        <v>42447</v>
      </c>
      <c r="D3068" s="2">
        <f t="shared" si="94"/>
        <v>5</v>
      </c>
      <c r="E3068" s="2">
        <f t="shared" si="95"/>
        <v>3</v>
      </c>
      <c r="F3068">
        <v>11.313700000000001</v>
      </c>
      <c r="G3068">
        <v>11.3987</v>
      </c>
      <c r="H3068">
        <v>11.2286</v>
      </c>
      <c r="I3068">
        <v>11.313700000000001</v>
      </c>
      <c r="J3068">
        <v>46190</v>
      </c>
      <c r="K3068">
        <v>0</v>
      </c>
      <c r="L3068">
        <v>1.5152000000000001</v>
      </c>
    </row>
    <row r="3069" spans="1:12" hidden="1" x14ac:dyDescent="0.25">
      <c r="A3069">
        <v>2330</v>
      </c>
      <c r="B3069" t="s">
        <v>11</v>
      </c>
      <c r="C3069" s="1">
        <v>42447</v>
      </c>
      <c r="D3069" s="2">
        <f t="shared" si="94"/>
        <v>5</v>
      </c>
      <c r="E3069" s="2">
        <f t="shared" si="95"/>
        <v>3</v>
      </c>
      <c r="F3069">
        <v>134.4933</v>
      </c>
      <c r="G3069">
        <v>135.34180000000001</v>
      </c>
      <c r="H3069">
        <v>134.4933</v>
      </c>
      <c r="I3069">
        <v>135.34180000000001</v>
      </c>
      <c r="J3069">
        <v>57866</v>
      </c>
      <c r="K3069">
        <v>0.62890000000000001</v>
      </c>
      <c r="L3069">
        <v>0.63090000000000002</v>
      </c>
    </row>
    <row r="3070" spans="1:12" x14ac:dyDescent="0.25">
      <c r="A3070">
        <v>2303</v>
      </c>
      <c r="B3070" t="s">
        <v>10</v>
      </c>
      <c r="C3070" s="1">
        <v>42450</v>
      </c>
      <c r="D3070" s="2">
        <f t="shared" si="94"/>
        <v>1</v>
      </c>
      <c r="E3070" s="2">
        <f t="shared" si="95"/>
        <v>3</v>
      </c>
      <c r="F3070">
        <v>11.313700000000001</v>
      </c>
      <c r="G3070">
        <v>11.356199999999999</v>
      </c>
      <c r="H3070">
        <v>11.2286</v>
      </c>
      <c r="I3070">
        <v>11.356199999999999</v>
      </c>
      <c r="J3070">
        <v>13206</v>
      </c>
      <c r="K3070">
        <v>0.37519999999999998</v>
      </c>
      <c r="L3070">
        <v>1.1364000000000001</v>
      </c>
    </row>
    <row r="3071" spans="1:12" hidden="1" x14ac:dyDescent="0.25">
      <c r="A3071">
        <v>2330</v>
      </c>
      <c r="B3071" t="s">
        <v>11</v>
      </c>
      <c r="C3071" s="1">
        <v>42450</v>
      </c>
      <c r="D3071" s="2">
        <f t="shared" si="94"/>
        <v>1</v>
      </c>
      <c r="E3071" s="2">
        <f t="shared" si="95"/>
        <v>3</v>
      </c>
      <c r="F3071">
        <v>135.76609999999999</v>
      </c>
      <c r="G3071">
        <v>135.76609999999999</v>
      </c>
      <c r="H3071">
        <v>134.06899999999999</v>
      </c>
      <c r="I3071">
        <v>135.76609999999999</v>
      </c>
      <c r="J3071">
        <v>27687</v>
      </c>
      <c r="K3071">
        <v>0.313</v>
      </c>
      <c r="L3071">
        <v>1.2658</v>
      </c>
    </row>
    <row r="3072" spans="1:12" x14ac:dyDescent="0.25">
      <c r="A3072">
        <v>2303</v>
      </c>
      <c r="B3072" t="s">
        <v>10</v>
      </c>
      <c r="C3072" s="1">
        <v>42451</v>
      </c>
      <c r="D3072" s="2">
        <f t="shared" si="94"/>
        <v>2</v>
      </c>
      <c r="E3072" s="2">
        <f t="shared" si="95"/>
        <v>3</v>
      </c>
      <c r="F3072">
        <v>11.3987</v>
      </c>
      <c r="G3072">
        <v>11.3987</v>
      </c>
      <c r="H3072">
        <v>11.1435</v>
      </c>
      <c r="I3072">
        <v>11.313700000000001</v>
      </c>
      <c r="J3072">
        <v>22854</v>
      </c>
      <c r="K3072">
        <v>-0.37519999999999998</v>
      </c>
      <c r="L3072">
        <v>2.2900999999999998</v>
      </c>
    </row>
    <row r="3073" spans="1:12" hidden="1" x14ac:dyDescent="0.25">
      <c r="A3073">
        <v>2330</v>
      </c>
      <c r="B3073" t="s">
        <v>11</v>
      </c>
      <c r="C3073" s="1">
        <v>42451</v>
      </c>
      <c r="D3073" s="2">
        <f t="shared" si="94"/>
        <v>2</v>
      </c>
      <c r="E3073" s="2">
        <f t="shared" si="95"/>
        <v>3</v>
      </c>
      <c r="F3073">
        <v>135.34180000000001</v>
      </c>
      <c r="G3073">
        <v>135.34180000000001</v>
      </c>
      <c r="H3073">
        <v>133.22049999999999</v>
      </c>
      <c r="I3073">
        <v>134.4933</v>
      </c>
      <c r="J3073">
        <v>29303</v>
      </c>
      <c r="K3073">
        <v>-0.94189999999999996</v>
      </c>
      <c r="L3073">
        <v>1.5924</v>
      </c>
    </row>
    <row r="3074" spans="1:12" x14ac:dyDescent="0.25">
      <c r="A3074">
        <v>2303</v>
      </c>
      <c r="B3074" t="s">
        <v>10</v>
      </c>
      <c r="C3074" s="1">
        <v>42452</v>
      </c>
      <c r="D3074" s="2">
        <f t="shared" si="94"/>
        <v>3</v>
      </c>
      <c r="E3074" s="2">
        <f t="shared" si="95"/>
        <v>3</v>
      </c>
      <c r="F3074">
        <v>11.313700000000001</v>
      </c>
      <c r="G3074">
        <v>11.356199999999999</v>
      </c>
      <c r="H3074">
        <v>11.1861</v>
      </c>
      <c r="I3074">
        <v>11.2286</v>
      </c>
      <c r="J3074">
        <v>13796</v>
      </c>
      <c r="K3074">
        <v>-0.75470000000000004</v>
      </c>
      <c r="L3074">
        <v>1.5208999999999999</v>
      </c>
    </row>
    <row r="3075" spans="1:12" hidden="1" x14ac:dyDescent="0.25">
      <c r="A3075">
        <v>2330</v>
      </c>
      <c r="B3075" t="s">
        <v>11</v>
      </c>
      <c r="C3075" s="1">
        <v>42452</v>
      </c>
      <c r="D3075" s="2">
        <f t="shared" ref="D3075:D3138" si="96">WEEKDAY(C3075,2)</f>
        <v>3</v>
      </c>
      <c r="E3075" s="2">
        <f t="shared" ref="E3075:E3138" si="97">MONTH(C3075)</f>
        <v>3</v>
      </c>
      <c r="F3075">
        <v>134.4933</v>
      </c>
      <c r="G3075">
        <v>135.34180000000001</v>
      </c>
      <c r="H3075">
        <v>134.06899999999999</v>
      </c>
      <c r="I3075">
        <v>135.34180000000001</v>
      </c>
      <c r="J3075">
        <v>29439</v>
      </c>
      <c r="K3075">
        <v>0.62890000000000001</v>
      </c>
      <c r="L3075">
        <v>0.94940000000000002</v>
      </c>
    </row>
    <row r="3076" spans="1:12" x14ac:dyDescent="0.25">
      <c r="A3076">
        <v>2303</v>
      </c>
      <c r="B3076" t="s">
        <v>10</v>
      </c>
      <c r="C3076" s="1">
        <v>42453</v>
      </c>
      <c r="D3076" s="2">
        <f t="shared" si="96"/>
        <v>4</v>
      </c>
      <c r="E3076" s="2">
        <f t="shared" si="97"/>
        <v>3</v>
      </c>
      <c r="F3076">
        <v>11.2286</v>
      </c>
      <c r="G3076">
        <v>11.3987</v>
      </c>
      <c r="H3076">
        <v>11.1435</v>
      </c>
      <c r="I3076">
        <v>11.271100000000001</v>
      </c>
      <c r="J3076">
        <v>24113</v>
      </c>
      <c r="K3076">
        <v>0.37809999999999999</v>
      </c>
      <c r="L3076">
        <v>2.2900999999999998</v>
      </c>
    </row>
    <row r="3077" spans="1:12" hidden="1" x14ac:dyDescent="0.25">
      <c r="A3077">
        <v>2330</v>
      </c>
      <c r="B3077" t="s">
        <v>11</v>
      </c>
      <c r="C3077" s="1">
        <v>42453</v>
      </c>
      <c r="D3077" s="2">
        <f t="shared" si="96"/>
        <v>4</v>
      </c>
      <c r="E3077" s="2">
        <f t="shared" si="97"/>
        <v>3</v>
      </c>
      <c r="F3077">
        <v>134.06899999999999</v>
      </c>
      <c r="G3077">
        <v>134.91749999999999</v>
      </c>
      <c r="H3077">
        <v>133.22049999999999</v>
      </c>
      <c r="I3077">
        <v>134.4933</v>
      </c>
      <c r="J3077">
        <v>25198</v>
      </c>
      <c r="K3077">
        <v>-0.62890000000000001</v>
      </c>
      <c r="L3077">
        <v>1.2739</v>
      </c>
    </row>
    <row r="3078" spans="1:12" x14ac:dyDescent="0.25">
      <c r="A3078">
        <v>2303</v>
      </c>
      <c r="B3078" t="s">
        <v>10</v>
      </c>
      <c r="C3078" s="1">
        <v>42454</v>
      </c>
      <c r="D3078" s="2">
        <f t="shared" si="96"/>
        <v>5</v>
      </c>
      <c r="E3078" s="2">
        <f t="shared" si="97"/>
        <v>3</v>
      </c>
      <c r="F3078">
        <v>11.271100000000001</v>
      </c>
      <c r="G3078">
        <v>11.313700000000001</v>
      </c>
      <c r="H3078">
        <v>11.1435</v>
      </c>
      <c r="I3078">
        <v>11.1435</v>
      </c>
      <c r="J3078">
        <v>8084</v>
      </c>
      <c r="K3078">
        <v>-1.1385000000000001</v>
      </c>
      <c r="L3078">
        <v>1.5266999999999999</v>
      </c>
    </row>
    <row r="3079" spans="1:12" hidden="1" x14ac:dyDescent="0.25">
      <c r="A3079">
        <v>2330</v>
      </c>
      <c r="B3079" t="s">
        <v>11</v>
      </c>
      <c r="C3079" s="1">
        <v>42454</v>
      </c>
      <c r="D3079" s="2">
        <f t="shared" si="96"/>
        <v>5</v>
      </c>
      <c r="E3079" s="2">
        <f t="shared" si="97"/>
        <v>3</v>
      </c>
      <c r="F3079">
        <v>134.4933</v>
      </c>
      <c r="G3079">
        <v>134.91749999999999</v>
      </c>
      <c r="H3079">
        <v>133.22049999999999</v>
      </c>
      <c r="I3079">
        <v>134.06899999999999</v>
      </c>
      <c r="J3079">
        <v>10970</v>
      </c>
      <c r="K3079">
        <v>-0.316</v>
      </c>
      <c r="L3079">
        <v>1.2739</v>
      </c>
    </row>
    <row r="3080" spans="1:12" x14ac:dyDescent="0.25">
      <c r="A3080">
        <v>2303</v>
      </c>
      <c r="B3080" t="s">
        <v>10</v>
      </c>
      <c r="C3080" s="1">
        <v>42457</v>
      </c>
      <c r="D3080" s="2">
        <f t="shared" si="96"/>
        <v>1</v>
      </c>
      <c r="E3080" s="2">
        <f t="shared" si="97"/>
        <v>3</v>
      </c>
      <c r="F3080">
        <v>11.1435</v>
      </c>
      <c r="G3080">
        <v>11.1861</v>
      </c>
      <c r="H3080">
        <v>11.101000000000001</v>
      </c>
      <c r="I3080">
        <v>11.1435</v>
      </c>
      <c r="J3080">
        <v>15699</v>
      </c>
      <c r="K3080">
        <v>0</v>
      </c>
      <c r="L3080">
        <v>0.76629999999999998</v>
      </c>
    </row>
    <row r="3081" spans="1:12" hidden="1" x14ac:dyDescent="0.25">
      <c r="A3081">
        <v>2330</v>
      </c>
      <c r="B3081" t="s">
        <v>11</v>
      </c>
      <c r="C3081" s="1">
        <v>42457</v>
      </c>
      <c r="D3081" s="2">
        <f t="shared" si="96"/>
        <v>1</v>
      </c>
      <c r="E3081" s="2">
        <f t="shared" si="97"/>
        <v>3</v>
      </c>
      <c r="F3081">
        <v>134.06899999999999</v>
      </c>
      <c r="G3081">
        <v>134.91749999999999</v>
      </c>
      <c r="H3081">
        <v>133.22049999999999</v>
      </c>
      <c r="I3081">
        <v>134.91749999999999</v>
      </c>
      <c r="J3081">
        <v>15857</v>
      </c>
      <c r="K3081">
        <v>0.63090000000000002</v>
      </c>
      <c r="L3081">
        <v>1.2739</v>
      </c>
    </row>
    <row r="3082" spans="1:12" x14ac:dyDescent="0.25">
      <c r="A3082">
        <v>2303</v>
      </c>
      <c r="B3082" t="s">
        <v>10</v>
      </c>
      <c r="C3082" s="1">
        <v>42458</v>
      </c>
      <c r="D3082" s="2">
        <f t="shared" si="96"/>
        <v>2</v>
      </c>
      <c r="E3082" s="2">
        <f t="shared" si="97"/>
        <v>3</v>
      </c>
      <c r="F3082">
        <v>11.1435</v>
      </c>
      <c r="G3082">
        <v>11.1861</v>
      </c>
      <c r="H3082">
        <v>10.9734</v>
      </c>
      <c r="I3082">
        <v>10.9734</v>
      </c>
      <c r="J3082">
        <v>16811</v>
      </c>
      <c r="K3082">
        <v>-1.5385</v>
      </c>
      <c r="L3082">
        <v>1.9379999999999999</v>
      </c>
    </row>
    <row r="3083" spans="1:12" hidden="1" x14ac:dyDescent="0.25">
      <c r="A3083">
        <v>2330</v>
      </c>
      <c r="B3083" t="s">
        <v>11</v>
      </c>
      <c r="C3083" s="1">
        <v>42458</v>
      </c>
      <c r="D3083" s="2">
        <f t="shared" si="96"/>
        <v>2</v>
      </c>
      <c r="E3083" s="2">
        <f t="shared" si="97"/>
        <v>3</v>
      </c>
      <c r="F3083">
        <v>134.4933</v>
      </c>
      <c r="G3083">
        <v>135.34180000000001</v>
      </c>
      <c r="H3083">
        <v>134.06899999999999</v>
      </c>
      <c r="I3083">
        <v>134.91749999999999</v>
      </c>
      <c r="J3083">
        <v>19152</v>
      </c>
      <c r="K3083">
        <v>0</v>
      </c>
      <c r="L3083">
        <v>0.94940000000000002</v>
      </c>
    </row>
    <row r="3084" spans="1:12" x14ac:dyDescent="0.25">
      <c r="A3084">
        <v>2303</v>
      </c>
      <c r="B3084" t="s">
        <v>10</v>
      </c>
      <c r="C3084" s="1">
        <v>42459</v>
      </c>
      <c r="D3084" s="2">
        <f t="shared" si="96"/>
        <v>3</v>
      </c>
      <c r="E3084" s="2">
        <f t="shared" si="97"/>
        <v>3</v>
      </c>
      <c r="F3084">
        <v>11.0585</v>
      </c>
      <c r="G3084">
        <v>11.271100000000001</v>
      </c>
      <c r="H3084">
        <v>11.0159</v>
      </c>
      <c r="I3084">
        <v>11.271100000000001</v>
      </c>
      <c r="J3084">
        <v>41341</v>
      </c>
      <c r="K3084">
        <v>2.677</v>
      </c>
      <c r="L3084">
        <v>2.3166000000000002</v>
      </c>
    </row>
    <row r="3085" spans="1:12" hidden="1" x14ac:dyDescent="0.25">
      <c r="A3085">
        <v>2330</v>
      </c>
      <c r="B3085" t="s">
        <v>11</v>
      </c>
      <c r="C3085" s="1">
        <v>42459</v>
      </c>
      <c r="D3085" s="2">
        <f t="shared" si="96"/>
        <v>3</v>
      </c>
      <c r="E3085" s="2">
        <f t="shared" si="97"/>
        <v>3</v>
      </c>
      <c r="F3085">
        <v>134.4933</v>
      </c>
      <c r="G3085">
        <v>137.4632</v>
      </c>
      <c r="H3085">
        <v>134.4933</v>
      </c>
      <c r="I3085">
        <v>137.03890000000001</v>
      </c>
      <c r="J3085">
        <v>46113</v>
      </c>
      <c r="K3085">
        <v>1.5601</v>
      </c>
      <c r="L3085">
        <v>2.2082000000000002</v>
      </c>
    </row>
    <row r="3086" spans="1:12" x14ac:dyDescent="0.25">
      <c r="A3086">
        <v>2303</v>
      </c>
      <c r="B3086" t="s">
        <v>10</v>
      </c>
      <c r="C3086" s="1">
        <v>42460</v>
      </c>
      <c r="D3086" s="2">
        <f t="shared" si="96"/>
        <v>4</v>
      </c>
      <c r="E3086" s="2">
        <f t="shared" si="97"/>
        <v>3</v>
      </c>
      <c r="F3086">
        <v>11.271100000000001</v>
      </c>
      <c r="G3086">
        <v>11.313700000000001</v>
      </c>
      <c r="H3086">
        <v>11.2286</v>
      </c>
      <c r="I3086">
        <v>11.313700000000001</v>
      </c>
      <c r="J3086">
        <v>41615</v>
      </c>
      <c r="K3086">
        <v>0.37659999999999999</v>
      </c>
      <c r="L3086">
        <v>0.75760000000000005</v>
      </c>
    </row>
    <row r="3087" spans="1:12" hidden="1" x14ac:dyDescent="0.25">
      <c r="A3087">
        <v>2330</v>
      </c>
      <c r="B3087" t="s">
        <v>11</v>
      </c>
      <c r="C3087" s="1">
        <v>42460</v>
      </c>
      <c r="D3087" s="2">
        <f t="shared" si="96"/>
        <v>4</v>
      </c>
      <c r="E3087" s="2">
        <f t="shared" si="97"/>
        <v>3</v>
      </c>
      <c r="F3087">
        <v>137.4632</v>
      </c>
      <c r="G3087">
        <v>138.3117</v>
      </c>
      <c r="H3087">
        <v>134.91749999999999</v>
      </c>
      <c r="I3087">
        <v>137.4632</v>
      </c>
      <c r="J3087">
        <v>54094</v>
      </c>
      <c r="K3087">
        <v>0.30909999999999999</v>
      </c>
      <c r="L3087">
        <v>2.5156999999999998</v>
      </c>
    </row>
    <row r="3088" spans="1:12" x14ac:dyDescent="0.25">
      <c r="A3088">
        <v>2303</v>
      </c>
      <c r="B3088" t="s">
        <v>10</v>
      </c>
      <c r="C3088" s="1">
        <v>42461</v>
      </c>
      <c r="D3088" s="2">
        <f t="shared" si="96"/>
        <v>5</v>
      </c>
      <c r="E3088" s="2">
        <f t="shared" si="97"/>
        <v>4</v>
      </c>
      <c r="F3088">
        <v>11.1861</v>
      </c>
      <c r="G3088">
        <v>11.313700000000001</v>
      </c>
      <c r="H3088">
        <v>11.0585</v>
      </c>
      <c r="I3088">
        <v>11.1861</v>
      </c>
      <c r="J3088">
        <v>23276</v>
      </c>
      <c r="K3088">
        <v>-1.1342000000000001</v>
      </c>
      <c r="L3088">
        <v>2.3077000000000001</v>
      </c>
    </row>
    <row r="3089" spans="1:12" hidden="1" x14ac:dyDescent="0.25">
      <c r="A3089">
        <v>2330</v>
      </c>
      <c r="B3089" t="s">
        <v>11</v>
      </c>
      <c r="C3089" s="1">
        <v>42461</v>
      </c>
      <c r="D3089" s="2">
        <f t="shared" si="96"/>
        <v>5</v>
      </c>
      <c r="E3089" s="2">
        <f t="shared" si="97"/>
        <v>4</v>
      </c>
      <c r="F3089">
        <v>136.6146</v>
      </c>
      <c r="G3089">
        <v>136.6146</v>
      </c>
      <c r="H3089">
        <v>133.6447</v>
      </c>
      <c r="I3089">
        <v>134.4933</v>
      </c>
      <c r="J3089">
        <v>34544</v>
      </c>
      <c r="K3089">
        <v>-2.1842000000000001</v>
      </c>
      <c r="L3089">
        <v>2.2222</v>
      </c>
    </row>
    <row r="3090" spans="1:12" x14ac:dyDescent="0.25">
      <c r="A3090">
        <v>2303</v>
      </c>
      <c r="B3090" t="s">
        <v>10</v>
      </c>
      <c r="C3090" s="1">
        <v>42466</v>
      </c>
      <c r="D3090" s="2">
        <f t="shared" si="96"/>
        <v>3</v>
      </c>
      <c r="E3090" s="2">
        <f t="shared" si="97"/>
        <v>4</v>
      </c>
      <c r="F3090">
        <v>11.0585</v>
      </c>
      <c r="G3090">
        <v>11.101000000000001</v>
      </c>
      <c r="H3090">
        <v>10.845800000000001</v>
      </c>
      <c r="I3090">
        <v>10.845800000000001</v>
      </c>
      <c r="J3090">
        <v>33869</v>
      </c>
      <c r="K3090">
        <v>-3.089</v>
      </c>
      <c r="L3090">
        <v>2.3529</v>
      </c>
    </row>
    <row r="3091" spans="1:12" hidden="1" x14ac:dyDescent="0.25">
      <c r="A3091">
        <v>2330</v>
      </c>
      <c r="B3091" t="s">
        <v>11</v>
      </c>
      <c r="C3091" s="1">
        <v>42466</v>
      </c>
      <c r="D3091" s="2">
        <f t="shared" si="96"/>
        <v>3</v>
      </c>
      <c r="E3091" s="2">
        <f t="shared" si="97"/>
        <v>4</v>
      </c>
      <c r="F3091">
        <v>131.9477</v>
      </c>
      <c r="G3091">
        <v>132.37190000000001</v>
      </c>
      <c r="H3091">
        <v>130.25059999999999</v>
      </c>
      <c r="I3091">
        <v>130.25059999999999</v>
      </c>
      <c r="J3091">
        <v>63133</v>
      </c>
      <c r="K3091">
        <v>-3.2054</v>
      </c>
      <c r="L3091">
        <v>1.6287</v>
      </c>
    </row>
    <row r="3092" spans="1:12" x14ac:dyDescent="0.25">
      <c r="A3092">
        <v>2303</v>
      </c>
      <c r="B3092" t="s">
        <v>10</v>
      </c>
      <c r="C3092" s="1">
        <v>42467</v>
      </c>
      <c r="D3092" s="2">
        <f t="shared" si="96"/>
        <v>4</v>
      </c>
      <c r="E3092" s="2">
        <f t="shared" si="97"/>
        <v>4</v>
      </c>
      <c r="F3092">
        <v>10.845800000000001</v>
      </c>
      <c r="G3092">
        <v>10.930899999999999</v>
      </c>
      <c r="H3092">
        <v>10.5906</v>
      </c>
      <c r="I3092">
        <v>10.7182</v>
      </c>
      <c r="J3092">
        <v>51115</v>
      </c>
      <c r="K3092">
        <v>-1.1834</v>
      </c>
      <c r="L3092">
        <v>3.2128999999999999</v>
      </c>
    </row>
    <row r="3093" spans="1:12" hidden="1" x14ac:dyDescent="0.25">
      <c r="A3093">
        <v>2330</v>
      </c>
      <c r="B3093" t="s">
        <v>11</v>
      </c>
      <c r="C3093" s="1">
        <v>42467</v>
      </c>
      <c r="D3093" s="2">
        <f t="shared" si="96"/>
        <v>4</v>
      </c>
      <c r="E3093" s="2">
        <f t="shared" si="97"/>
        <v>4</v>
      </c>
      <c r="F3093">
        <v>131.52340000000001</v>
      </c>
      <c r="G3093">
        <v>131.52340000000001</v>
      </c>
      <c r="H3093">
        <v>129.40199999999999</v>
      </c>
      <c r="I3093">
        <v>131.09909999999999</v>
      </c>
      <c r="J3093">
        <v>35933</v>
      </c>
      <c r="K3093">
        <v>0.64939999999999998</v>
      </c>
      <c r="L3093">
        <v>1.6393</v>
      </c>
    </row>
    <row r="3094" spans="1:12" x14ac:dyDescent="0.25">
      <c r="A3094">
        <v>2303</v>
      </c>
      <c r="B3094" t="s">
        <v>10</v>
      </c>
      <c r="C3094" s="1">
        <v>42468</v>
      </c>
      <c r="D3094" s="2">
        <f t="shared" si="96"/>
        <v>5</v>
      </c>
      <c r="E3094" s="2">
        <f t="shared" si="97"/>
        <v>4</v>
      </c>
      <c r="F3094">
        <v>10.633100000000001</v>
      </c>
      <c r="G3094">
        <v>10.845800000000001</v>
      </c>
      <c r="H3094">
        <v>10.5906</v>
      </c>
      <c r="I3094">
        <v>10.845800000000001</v>
      </c>
      <c r="J3094">
        <v>50652</v>
      </c>
      <c r="K3094">
        <v>1.1834</v>
      </c>
      <c r="L3094">
        <v>2.4096000000000002</v>
      </c>
    </row>
    <row r="3095" spans="1:12" hidden="1" x14ac:dyDescent="0.25">
      <c r="A3095">
        <v>2330</v>
      </c>
      <c r="B3095" t="s">
        <v>11</v>
      </c>
      <c r="C3095" s="1">
        <v>42468</v>
      </c>
      <c r="D3095" s="2">
        <f t="shared" si="96"/>
        <v>5</v>
      </c>
      <c r="E3095" s="2">
        <f t="shared" si="97"/>
        <v>4</v>
      </c>
      <c r="F3095">
        <v>130.67490000000001</v>
      </c>
      <c r="G3095">
        <v>134.06899999999999</v>
      </c>
      <c r="H3095">
        <v>130.67490000000001</v>
      </c>
      <c r="I3095">
        <v>133.6447</v>
      </c>
      <c r="J3095">
        <v>42324</v>
      </c>
      <c r="K3095">
        <v>1.9231</v>
      </c>
      <c r="L3095">
        <v>2.5973999999999999</v>
      </c>
    </row>
    <row r="3096" spans="1:12" x14ac:dyDescent="0.25">
      <c r="A3096">
        <v>2303</v>
      </c>
      <c r="B3096" t="s">
        <v>10</v>
      </c>
      <c r="C3096" s="1">
        <v>42471</v>
      </c>
      <c r="D3096" s="2">
        <f t="shared" si="96"/>
        <v>1</v>
      </c>
      <c r="E3096" s="2">
        <f t="shared" si="97"/>
        <v>4</v>
      </c>
      <c r="F3096">
        <v>10.7607</v>
      </c>
      <c r="G3096">
        <v>10.8033</v>
      </c>
      <c r="H3096">
        <v>10.5906</v>
      </c>
      <c r="I3096">
        <v>10.7182</v>
      </c>
      <c r="J3096">
        <v>30621</v>
      </c>
      <c r="K3096">
        <v>-1.1834</v>
      </c>
      <c r="L3096">
        <v>2.008</v>
      </c>
    </row>
    <row r="3097" spans="1:12" hidden="1" x14ac:dyDescent="0.25">
      <c r="A3097">
        <v>2330</v>
      </c>
      <c r="B3097" t="s">
        <v>11</v>
      </c>
      <c r="C3097" s="1">
        <v>42471</v>
      </c>
      <c r="D3097" s="2">
        <f t="shared" si="96"/>
        <v>1</v>
      </c>
      <c r="E3097" s="2">
        <f t="shared" si="97"/>
        <v>4</v>
      </c>
      <c r="F3097">
        <v>132.37190000000001</v>
      </c>
      <c r="G3097">
        <v>134.91749999999999</v>
      </c>
      <c r="H3097">
        <v>131.9477</v>
      </c>
      <c r="I3097">
        <v>134.4933</v>
      </c>
      <c r="J3097">
        <v>23189</v>
      </c>
      <c r="K3097">
        <v>0.63290000000000002</v>
      </c>
      <c r="L3097">
        <v>2.2507999999999999</v>
      </c>
    </row>
    <row r="3098" spans="1:12" x14ac:dyDescent="0.25">
      <c r="A3098">
        <v>2303</v>
      </c>
      <c r="B3098" t="s">
        <v>10</v>
      </c>
      <c r="C3098" s="1">
        <v>42472</v>
      </c>
      <c r="D3098" s="2">
        <f t="shared" si="96"/>
        <v>2</v>
      </c>
      <c r="E3098" s="2">
        <f t="shared" si="97"/>
        <v>4</v>
      </c>
      <c r="F3098">
        <v>10.8033</v>
      </c>
      <c r="G3098">
        <v>11.0585</v>
      </c>
      <c r="H3098">
        <v>10.7607</v>
      </c>
      <c r="I3098">
        <v>10.9734</v>
      </c>
      <c r="J3098">
        <v>38186</v>
      </c>
      <c r="K3098">
        <v>2.3530000000000002</v>
      </c>
      <c r="L3098">
        <v>2.7667999999999999</v>
      </c>
    </row>
    <row r="3099" spans="1:12" hidden="1" x14ac:dyDescent="0.25">
      <c r="A3099">
        <v>2330</v>
      </c>
      <c r="B3099" t="s">
        <v>11</v>
      </c>
      <c r="C3099" s="1">
        <v>42472</v>
      </c>
      <c r="D3099" s="2">
        <f t="shared" si="96"/>
        <v>2</v>
      </c>
      <c r="E3099" s="2">
        <f t="shared" si="97"/>
        <v>4</v>
      </c>
      <c r="F3099">
        <v>133.6447</v>
      </c>
      <c r="G3099">
        <v>135.34180000000001</v>
      </c>
      <c r="H3099">
        <v>133.6447</v>
      </c>
      <c r="I3099">
        <v>134.4933</v>
      </c>
      <c r="J3099">
        <v>14877</v>
      </c>
      <c r="K3099">
        <v>0</v>
      </c>
      <c r="L3099">
        <v>1.2698</v>
      </c>
    </row>
    <row r="3100" spans="1:12" x14ac:dyDescent="0.25">
      <c r="A3100">
        <v>2303</v>
      </c>
      <c r="B3100" t="s">
        <v>10</v>
      </c>
      <c r="C3100" s="1">
        <v>42473</v>
      </c>
      <c r="D3100" s="2">
        <f t="shared" si="96"/>
        <v>3</v>
      </c>
      <c r="E3100" s="2">
        <f t="shared" si="97"/>
        <v>4</v>
      </c>
      <c r="F3100">
        <v>10.9734</v>
      </c>
      <c r="G3100">
        <v>10.9734</v>
      </c>
      <c r="H3100">
        <v>10.8033</v>
      </c>
      <c r="I3100">
        <v>10.9734</v>
      </c>
      <c r="J3100">
        <v>33634</v>
      </c>
      <c r="K3100">
        <v>0</v>
      </c>
      <c r="L3100">
        <v>1.5748</v>
      </c>
    </row>
    <row r="3101" spans="1:12" hidden="1" x14ac:dyDescent="0.25">
      <c r="A3101">
        <v>2330</v>
      </c>
      <c r="B3101" t="s">
        <v>11</v>
      </c>
      <c r="C3101" s="1">
        <v>42473</v>
      </c>
      <c r="D3101" s="2">
        <f t="shared" si="96"/>
        <v>3</v>
      </c>
      <c r="E3101" s="2">
        <f t="shared" si="97"/>
        <v>4</v>
      </c>
      <c r="F3101">
        <v>135.76609999999999</v>
      </c>
      <c r="G3101">
        <v>137.4632</v>
      </c>
      <c r="H3101">
        <v>135.34180000000001</v>
      </c>
      <c r="I3101">
        <v>137.03890000000001</v>
      </c>
      <c r="J3101">
        <v>40333</v>
      </c>
      <c r="K3101">
        <v>1.8751</v>
      </c>
      <c r="L3101">
        <v>1.5673999999999999</v>
      </c>
    </row>
    <row r="3102" spans="1:12" x14ac:dyDescent="0.25">
      <c r="A3102">
        <v>2303</v>
      </c>
      <c r="B3102" t="s">
        <v>10</v>
      </c>
      <c r="C3102" s="1">
        <v>42474</v>
      </c>
      <c r="D3102" s="2">
        <f t="shared" si="96"/>
        <v>4</v>
      </c>
      <c r="E3102" s="2">
        <f t="shared" si="97"/>
        <v>4</v>
      </c>
      <c r="F3102">
        <v>10.930899999999999</v>
      </c>
      <c r="G3102">
        <v>10.9734</v>
      </c>
      <c r="H3102">
        <v>10.845800000000001</v>
      </c>
      <c r="I3102">
        <v>10.930899999999999</v>
      </c>
      <c r="J3102">
        <v>36915</v>
      </c>
      <c r="K3102">
        <v>-0.38840000000000002</v>
      </c>
      <c r="L3102">
        <v>1.1765000000000001</v>
      </c>
    </row>
    <row r="3103" spans="1:12" hidden="1" x14ac:dyDescent="0.25">
      <c r="A3103">
        <v>2330</v>
      </c>
      <c r="B3103" t="s">
        <v>11</v>
      </c>
      <c r="C3103" s="1">
        <v>42474</v>
      </c>
      <c r="D3103" s="2">
        <f t="shared" si="96"/>
        <v>4</v>
      </c>
      <c r="E3103" s="2">
        <f t="shared" si="97"/>
        <v>4</v>
      </c>
      <c r="F3103">
        <v>137.4632</v>
      </c>
      <c r="G3103">
        <v>137.88740000000001</v>
      </c>
      <c r="H3103">
        <v>135.76609999999999</v>
      </c>
      <c r="I3103">
        <v>137.03890000000001</v>
      </c>
      <c r="J3103">
        <v>31377</v>
      </c>
      <c r="K3103">
        <v>0</v>
      </c>
      <c r="L3103">
        <v>1.5625</v>
      </c>
    </row>
    <row r="3104" spans="1:12" x14ac:dyDescent="0.25">
      <c r="A3104">
        <v>2303</v>
      </c>
      <c r="B3104" t="s">
        <v>10</v>
      </c>
      <c r="C3104" s="1">
        <v>42475</v>
      </c>
      <c r="D3104" s="2">
        <f t="shared" si="96"/>
        <v>5</v>
      </c>
      <c r="E3104" s="2">
        <f t="shared" si="97"/>
        <v>4</v>
      </c>
      <c r="F3104">
        <v>10.845800000000001</v>
      </c>
      <c r="G3104">
        <v>10.930899999999999</v>
      </c>
      <c r="H3104">
        <v>10.7607</v>
      </c>
      <c r="I3104">
        <v>10.930899999999999</v>
      </c>
      <c r="J3104">
        <v>33087</v>
      </c>
      <c r="K3104">
        <v>0</v>
      </c>
      <c r="L3104">
        <v>1.581</v>
      </c>
    </row>
    <row r="3105" spans="1:12" hidden="1" x14ac:dyDescent="0.25">
      <c r="A3105">
        <v>2330</v>
      </c>
      <c r="B3105" t="s">
        <v>11</v>
      </c>
      <c r="C3105" s="1">
        <v>42475</v>
      </c>
      <c r="D3105" s="2">
        <f t="shared" si="96"/>
        <v>5</v>
      </c>
      <c r="E3105" s="2">
        <f t="shared" si="97"/>
        <v>4</v>
      </c>
      <c r="F3105">
        <v>133.22049999999999</v>
      </c>
      <c r="G3105">
        <v>135.76609999999999</v>
      </c>
      <c r="H3105">
        <v>132.37190000000001</v>
      </c>
      <c r="I3105">
        <v>135.34180000000001</v>
      </c>
      <c r="J3105">
        <v>50339</v>
      </c>
      <c r="K3105">
        <v>-1.2461</v>
      </c>
      <c r="L3105">
        <v>2.5640999999999998</v>
      </c>
    </row>
    <row r="3106" spans="1:12" x14ac:dyDescent="0.25">
      <c r="A3106">
        <v>2303</v>
      </c>
      <c r="B3106" t="s">
        <v>10</v>
      </c>
      <c r="C3106" s="1">
        <v>42478</v>
      </c>
      <c r="D3106" s="2">
        <f t="shared" si="96"/>
        <v>1</v>
      </c>
      <c r="E3106" s="2">
        <f t="shared" si="97"/>
        <v>4</v>
      </c>
      <c r="F3106">
        <v>10.9734</v>
      </c>
      <c r="G3106">
        <v>11.1435</v>
      </c>
      <c r="H3106">
        <v>10.930899999999999</v>
      </c>
      <c r="I3106">
        <v>10.9734</v>
      </c>
      <c r="J3106">
        <v>46407</v>
      </c>
      <c r="K3106">
        <v>0.38840000000000002</v>
      </c>
      <c r="L3106">
        <v>1.9455</v>
      </c>
    </row>
    <row r="3107" spans="1:12" hidden="1" x14ac:dyDescent="0.25">
      <c r="A3107">
        <v>2330</v>
      </c>
      <c r="B3107" t="s">
        <v>11</v>
      </c>
      <c r="C3107" s="1">
        <v>42478</v>
      </c>
      <c r="D3107" s="2">
        <f t="shared" si="96"/>
        <v>1</v>
      </c>
      <c r="E3107" s="2">
        <f t="shared" si="97"/>
        <v>4</v>
      </c>
      <c r="F3107">
        <v>134.06899999999999</v>
      </c>
      <c r="G3107">
        <v>134.4933</v>
      </c>
      <c r="H3107">
        <v>133.6447</v>
      </c>
      <c r="I3107">
        <v>134.06899999999999</v>
      </c>
      <c r="J3107">
        <v>20876</v>
      </c>
      <c r="K3107">
        <v>-0.94489999999999996</v>
      </c>
      <c r="L3107">
        <v>0.63490000000000002</v>
      </c>
    </row>
    <row r="3108" spans="1:12" x14ac:dyDescent="0.25">
      <c r="A3108">
        <v>2303</v>
      </c>
      <c r="B3108" t="s">
        <v>10</v>
      </c>
      <c r="C3108" s="1">
        <v>42479</v>
      </c>
      <c r="D3108" s="2">
        <f t="shared" si="96"/>
        <v>2</v>
      </c>
      <c r="E3108" s="2">
        <f t="shared" si="97"/>
        <v>4</v>
      </c>
      <c r="F3108">
        <v>11.0585</v>
      </c>
      <c r="G3108">
        <v>11.0585</v>
      </c>
      <c r="H3108">
        <v>10.7607</v>
      </c>
      <c r="I3108">
        <v>10.7607</v>
      </c>
      <c r="J3108">
        <v>24863</v>
      </c>
      <c r="K3108">
        <v>-1.9570000000000001</v>
      </c>
      <c r="L3108">
        <v>2.7667999999999999</v>
      </c>
    </row>
    <row r="3109" spans="1:12" hidden="1" x14ac:dyDescent="0.25">
      <c r="A3109">
        <v>2330</v>
      </c>
      <c r="B3109" t="s">
        <v>11</v>
      </c>
      <c r="C3109" s="1">
        <v>42479</v>
      </c>
      <c r="D3109" s="2">
        <f t="shared" si="96"/>
        <v>2</v>
      </c>
      <c r="E3109" s="2">
        <f t="shared" si="97"/>
        <v>4</v>
      </c>
      <c r="F3109">
        <v>135.76609999999999</v>
      </c>
      <c r="G3109">
        <v>136.6146</v>
      </c>
      <c r="H3109">
        <v>133.22049999999999</v>
      </c>
      <c r="I3109">
        <v>133.6447</v>
      </c>
      <c r="J3109">
        <v>27622</v>
      </c>
      <c r="K3109">
        <v>-0.317</v>
      </c>
      <c r="L3109">
        <v>2.5478000000000001</v>
      </c>
    </row>
    <row r="3110" spans="1:12" x14ac:dyDescent="0.25">
      <c r="A3110">
        <v>2303</v>
      </c>
      <c r="B3110" t="s">
        <v>10</v>
      </c>
      <c r="C3110" s="1">
        <v>42480</v>
      </c>
      <c r="D3110" s="2">
        <f t="shared" si="96"/>
        <v>3</v>
      </c>
      <c r="E3110" s="2">
        <f t="shared" si="97"/>
        <v>4</v>
      </c>
      <c r="F3110">
        <v>10.8033</v>
      </c>
      <c r="G3110">
        <v>10.888299999999999</v>
      </c>
      <c r="H3110">
        <v>10.7182</v>
      </c>
      <c r="I3110">
        <v>10.7182</v>
      </c>
      <c r="J3110">
        <v>30777</v>
      </c>
      <c r="K3110">
        <v>-0.39600000000000002</v>
      </c>
      <c r="L3110">
        <v>1.5872999999999999</v>
      </c>
    </row>
    <row r="3111" spans="1:12" hidden="1" x14ac:dyDescent="0.25">
      <c r="A3111">
        <v>2330</v>
      </c>
      <c r="B3111" t="s">
        <v>11</v>
      </c>
      <c r="C3111" s="1">
        <v>42480</v>
      </c>
      <c r="D3111" s="2">
        <f t="shared" si="96"/>
        <v>3</v>
      </c>
      <c r="E3111" s="2">
        <f t="shared" si="97"/>
        <v>4</v>
      </c>
      <c r="F3111">
        <v>133.6447</v>
      </c>
      <c r="G3111">
        <v>134.06899999999999</v>
      </c>
      <c r="H3111">
        <v>130.67490000000001</v>
      </c>
      <c r="I3111">
        <v>130.67490000000001</v>
      </c>
      <c r="J3111">
        <v>43418</v>
      </c>
      <c r="K3111">
        <v>-2.2473000000000001</v>
      </c>
      <c r="L3111">
        <v>2.5973999999999999</v>
      </c>
    </row>
    <row r="3112" spans="1:12" x14ac:dyDescent="0.25">
      <c r="A3112">
        <v>2303</v>
      </c>
      <c r="B3112" t="s">
        <v>10</v>
      </c>
      <c r="C3112" s="1">
        <v>42481</v>
      </c>
      <c r="D3112" s="2">
        <f t="shared" si="96"/>
        <v>4</v>
      </c>
      <c r="E3112" s="2">
        <f t="shared" si="97"/>
        <v>4</v>
      </c>
      <c r="F3112">
        <v>10.7182</v>
      </c>
      <c r="G3112">
        <v>10.8033</v>
      </c>
      <c r="H3112">
        <v>10.633100000000001</v>
      </c>
      <c r="I3112">
        <v>10.675700000000001</v>
      </c>
      <c r="J3112">
        <v>21954</v>
      </c>
      <c r="K3112">
        <v>-0.39760000000000001</v>
      </c>
      <c r="L3112">
        <v>1.6</v>
      </c>
    </row>
    <row r="3113" spans="1:12" hidden="1" x14ac:dyDescent="0.25">
      <c r="A3113">
        <v>2330</v>
      </c>
      <c r="B3113" t="s">
        <v>11</v>
      </c>
      <c r="C3113" s="1">
        <v>42481</v>
      </c>
      <c r="D3113" s="2">
        <f t="shared" si="96"/>
        <v>4</v>
      </c>
      <c r="E3113" s="2">
        <f t="shared" si="97"/>
        <v>4</v>
      </c>
      <c r="F3113">
        <v>132.37190000000001</v>
      </c>
      <c r="G3113">
        <v>133.22049999999999</v>
      </c>
      <c r="H3113">
        <v>130.67490000000001</v>
      </c>
      <c r="I3113">
        <v>133.22049999999999</v>
      </c>
      <c r="J3113">
        <v>30419</v>
      </c>
      <c r="K3113">
        <v>1.9293</v>
      </c>
      <c r="L3113">
        <v>1.9480999999999999</v>
      </c>
    </row>
    <row r="3114" spans="1:12" x14ac:dyDescent="0.25">
      <c r="A3114">
        <v>2303</v>
      </c>
      <c r="B3114" t="s">
        <v>10</v>
      </c>
      <c r="C3114" s="1">
        <v>42482</v>
      </c>
      <c r="D3114" s="2">
        <f t="shared" si="96"/>
        <v>5</v>
      </c>
      <c r="E3114" s="2">
        <f t="shared" si="97"/>
        <v>4</v>
      </c>
      <c r="F3114">
        <v>10.633100000000001</v>
      </c>
      <c r="G3114">
        <v>10.845800000000001</v>
      </c>
      <c r="H3114">
        <v>10.5906</v>
      </c>
      <c r="I3114">
        <v>10.8033</v>
      </c>
      <c r="J3114">
        <v>26274</v>
      </c>
      <c r="K3114">
        <v>1.1880999999999999</v>
      </c>
      <c r="L3114">
        <v>2.4096000000000002</v>
      </c>
    </row>
    <row r="3115" spans="1:12" hidden="1" x14ac:dyDescent="0.25">
      <c r="A3115">
        <v>2330</v>
      </c>
      <c r="B3115" t="s">
        <v>11</v>
      </c>
      <c r="C3115" s="1">
        <v>42482</v>
      </c>
      <c r="D3115" s="2">
        <f t="shared" si="96"/>
        <v>5</v>
      </c>
      <c r="E3115" s="2">
        <f t="shared" si="97"/>
        <v>4</v>
      </c>
      <c r="F3115">
        <v>131.9477</v>
      </c>
      <c r="G3115">
        <v>134.06899999999999</v>
      </c>
      <c r="H3115">
        <v>131.52340000000001</v>
      </c>
      <c r="I3115">
        <v>132.7962</v>
      </c>
      <c r="J3115">
        <v>29237</v>
      </c>
      <c r="K3115">
        <v>-0.31900000000000001</v>
      </c>
      <c r="L3115">
        <v>1.9355</v>
      </c>
    </row>
    <row r="3116" spans="1:12" x14ac:dyDescent="0.25">
      <c r="A3116">
        <v>2303</v>
      </c>
      <c r="B3116" t="s">
        <v>10</v>
      </c>
      <c r="C3116" s="1">
        <v>42485</v>
      </c>
      <c r="D3116" s="2">
        <f t="shared" si="96"/>
        <v>1</v>
      </c>
      <c r="E3116" s="2">
        <f t="shared" si="97"/>
        <v>4</v>
      </c>
      <c r="F3116">
        <v>10.8033</v>
      </c>
      <c r="G3116">
        <v>10.845800000000001</v>
      </c>
      <c r="H3116">
        <v>10.7182</v>
      </c>
      <c r="I3116">
        <v>10.8033</v>
      </c>
      <c r="J3116">
        <v>10877</v>
      </c>
      <c r="K3116">
        <v>0</v>
      </c>
      <c r="L3116">
        <v>1.1904999999999999</v>
      </c>
    </row>
    <row r="3117" spans="1:12" hidden="1" x14ac:dyDescent="0.25">
      <c r="A3117">
        <v>2330</v>
      </c>
      <c r="B3117" t="s">
        <v>11</v>
      </c>
      <c r="C3117" s="1">
        <v>42485</v>
      </c>
      <c r="D3117" s="2">
        <f t="shared" si="96"/>
        <v>1</v>
      </c>
      <c r="E3117" s="2">
        <f t="shared" si="97"/>
        <v>4</v>
      </c>
      <c r="F3117">
        <v>132.7962</v>
      </c>
      <c r="G3117">
        <v>133.6447</v>
      </c>
      <c r="H3117">
        <v>132.37190000000001</v>
      </c>
      <c r="I3117">
        <v>133.6447</v>
      </c>
      <c r="J3117">
        <v>14669</v>
      </c>
      <c r="K3117">
        <v>0.63690000000000002</v>
      </c>
      <c r="L3117">
        <v>0.96150000000000002</v>
      </c>
    </row>
    <row r="3118" spans="1:12" x14ac:dyDescent="0.25">
      <c r="A3118">
        <v>2303</v>
      </c>
      <c r="B3118" t="s">
        <v>10</v>
      </c>
      <c r="C3118" s="1">
        <v>42486</v>
      </c>
      <c r="D3118" s="2">
        <f t="shared" si="96"/>
        <v>2</v>
      </c>
      <c r="E3118" s="2">
        <f t="shared" si="97"/>
        <v>4</v>
      </c>
      <c r="F3118">
        <v>10.7182</v>
      </c>
      <c r="G3118">
        <v>10.845800000000001</v>
      </c>
      <c r="H3118">
        <v>10.675700000000001</v>
      </c>
      <c r="I3118">
        <v>10.8033</v>
      </c>
      <c r="J3118">
        <v>27758</v>
      </c>
      <c r="K3118">
        <v>0</v>
      </c>
      <c r="L3118">
        <v>1.5935999999999999</v>
      </c>
    </row>
    <row r="3119" spans="1:12" hidden="1" x14ac:dyDescent="0.25">
      <c r="A3119">
        <v>2330</v>
      </c>
      <c r="B3119" t="s">
        <v>11</v>
      </c>
      <c r="C3119" s="1">
        <v>42486</v>
      </c>
      <c r="D3119" s="2">
        <f t="shared" si="96"/>
        <v>2</v>
      </c>
      <c r="E3119" s="2">
        <f t="shared" si="97"/>
        <v>4</v>
      </c>
      <c r="F3119">
        <v>132.7962</v>
      </c>
      <c r="G3119">
        <v>134.4933</v>
      </c>
      <c r="H3119">
        <v>132.7962</v>
      </c>
      <c r="I3119">
        <v>134.06899999999999</v>
      </c>
      <c r="J3119">
        <v>18539</v>
      </c>
      <c r="K3119">
        <v>0.317</v>
      </c>
      <c r="L3119">
        <v>1.278</v>
      </c>
    </row>
    <row r="3120" spans="1:12" x14ac:dyDescent="0.25">
      <c r="A3120">
        <v>2303</v>
      </c>
      <c r="B3120" t="s">
        <v>10</v>
      </c>
      <c r="C3120" s="1">
        <v>42487</v>
      </c>
      <c r="D3120" s="2">
        <f t="shared" si="96"/>
        <v>3</v>
      </c>
      <c r="E3120" s="2">
        <f t="shared" si="97"/>
        <v>4</v>
      </c>
      <c r="F3120">
        <v>10.7182</v>
      </c>
      <c r="G3120">
        <v>10.7607</v>
      </c>
      <c r="H3120">
        <v>10.633100000000001</v>
      </c>
      <c r="I3120">
        <v>10.675700000000001</v>
      </c>
      <c r="J3120">
        <v>30163</v>
      </c>
      <c r="K3120">
        <v>-1.1880999999999999</v>
      </c>
      <c r="L3120">
        <v>1.2</v>
      </c>
    </row>
    <row r="3121" spans="1:12" hidden="1" x14ac:dyDescent="0.25">
      <c r="A3121">
        <v>2330</v>
      </c>
      <c r="B3121" t="s">
        <v>11</v>
      </c>
      <c r="C3121" s="1">
        <v>42487</v>
      </c>
      <c r="D3121" s="2">
        <f t="shared" si="96"/>
        <v>3</v>
      </c>
      <c r="E3121" s="2">
        <f t="shared" si="97"/>
        <v>4</v>
      </c>
      <c r="F3121">
        <v>132.37190000000001</v>
      </c>
      <c r="G3121">
        <v>133.6447</v>
      </c>
      <c r="H3121">
        <v>131.9477</v>
      </c>
      <c r="I3121">
        <v>132.7962</v>
      </c>
      <c r="J3121">
        <v>36967</v>
      </c>
      <c r="K3121">
        <v>-0.95389999999999997</v>
      </c>
      <c r="L3121">
        <v>1.2862</v>
      </c>
    </row>
    <row r="3122" spans="1:12" x14ac:dyDescent="0.25">
      <c r="A3122">
        <v>2303</v>
      </c>
      <c r="B3122" t="s">
        <v>10</v>
      </c>
      <c r="C3122" s="1">
        <v>42488</v>
      </c>
      <c r="D3122" s="2">
        <f t="shared" si="96"/>
        <v>4</v>
      </c>
      <c r="E3122" s="2">
        <f t="shared" si="97"/>
        <v>4</v>
      </c>
      <c r="F3122">
        <v>10.5906</v>
      </c>
      <c r="G3122">
        <v>10.5906</v>
      </c>
      <c r="H3122">
        <v>10.0802</v>
      </c>
      <c r="I3122">
        <v>10.207800000000001</v>
      </c>
      <c r="J3122">
        <v>101651</v>
      </c>
      <c r="K3122">
        <v>-4.4813999999999998</v>
      </c>
      <c r="L3122">
        <v>5.0632999999999999</v>
      </c>
    </row>
    <row r="3123" spans="1:12" hidden="1" x14ac:dyDescent="0.25">
      <c r="A3123">
        <v>2330</v>
      </c>
      <c r="B3123" t="s">
        <v>11</v>
      </c>
      <c r="C3123" s="1">
        <v>42488</v>
      </c>
      <c r="D3123" s="2">
        <f t="shared" si="96"/>
        <v>4</v>
      </c>
      <c r="E3123" s="2">
        <f t="shared" si="97"/>
        <v>4</v>
      </c>
      <c r="F3123">
        <v>133.6447</v>
      </c>
      <c r="G3123">
        <v>134.06899999999999</v>
      </c>
      <c r="H3123">
        <v>129.8263</v>
      </c>
      <c r="I3123">
        <v>129.8263</v>
      </c>
      <c r="J3123">
        <v>49282</v>
      </c>
      <c r="K3123">
        <v>-2.2618</v>
      </c>
      <c r="L3123">
        <v>3.2679999999999998</v>
      </c>
    </row>
    <row r="3124" spans="1:12" x14ac:dyDescent="0.25">
      <c r="A3124">
        <v>2303</v>
      </c>
      <c r="B3124" t="s">
        <v>10</v>
      </c>
      <c r="C3124" s="1">
        <v>42489</v>
      </c>
      <c r="D3124" s="2">
        <f t="shared" si="96"/>
        <v>5</v>
      </c>
      <c r="E3124" s="2">
        <f t="shared" si="97"/>
        <v>4</v>
      </c>
      <c r="F3124">
        <v>10.1228</v>
      </c>
      <c r="G3124">
        <v>10.207800000000001</v>
      </c>
      <c r="H3124">
        <v>10.0802</v>
      </c>
      <c r="I3124">
        <v>10.207800000000001</v>
      </c>
      <c r="J3124">
        <v>36442</v>
      </c>
      <c r="K3124">
        <v>0</v>
      </c>
      <c r="L3124">
        <v>1.2658</v>
      </c>
    </row>
    <row r="3125" spans="1:12" hidden="1" x14ac:dyDescent="0.25">
      <c r="A3125">
        <v>2330</v>
      </c>
      <c r="B3125" t="s">
        <v>11</v>
      </c>
      <c r="C3125" s="1">
        <v>42489</v>
      </c>
      <c r="D3125" s="2">
        <f t="shared" si="96"/>
        <v>5</v>
      </c>
      <c r="E3125" s="2">
        <f t="shared" si="97"/>
        <v>4</v>
      </c>
      <c r="F3125">
        <v>128.1292</v>
      </c>
      <c r="G3125">
        <v>128.1292</v>
      </c>
      <c r="H3125">
        <v>126.43219999999999</v>
      </c>
      <c r="I3125">
        <v>127.2807</v>
      </c>
      <c r="J3125">
        <v>75959</v>
      </c>
      <c r="K3125">
        <v>-1.9802999999999999</v>
      </c>
      <c r="L3125">
        <v>1.3423</v>
      </c>
    </row>
    <row r="3126" spans="1:12" x14ac:dyDescent="0.25">
      <c r="A3126">
        <v>2303</v>
      </c>
      <c r="B3126" t="s">
        <v>10</v>
      </c>
      <c r="C3126" s="1">
        <v>42493</v>
      </c>
      <c r="D3126" s="2">
        <f t="shared" si="96"/>
        <v>2</v>
      </c>
      <c r="E3126" s="2">
        <f t="shared" si="97"/>
        <v>5</v>
      </c>
      <c r="F3126">
        <v>10.1228</v>
      </c>
      <c r="G3126">
        <v>10.1653</v>
      </c>
      <c r="H3126">
        <v>9.8675999999999995</v>
      </c>
      <c r="I3126">
        <v>9.9100999999999999</v>
      </c>
      <c r="J3126">
        <v>39129</v>
      </c>
      <c r="K3126">
        <v>-2.96</v>
      </c>
      <c r="L3126">
        <v>3.0171999999999999</v>
      </c>
    </row>
    <row r="3127" spans="1:12" hidden="1" x14ac:dyDescent="0.25">
      <c r="A3127">
        <v>2330</v>
      </c>
      <c r="B3127" t="s">
        <v>11</v>
      </c>
      <c r="C3127" s="1">
        <v>42493</v>
      </c>
      <c r="D3127" s="2">
        <f t="shared" si="96"/>
        <v>2</v>
      </c>
      <c r="E3127" s="2">
        <f t="shared" si="97"/>
        <v>5</v>
      </c>
      <c r="F3127">
        <v>125.5836</v>
      </c>
      <c r="G3127">
        <v>126.00790000000001</v>
      </c>
      <c r="H3127">
        <v>124.3108</v>
      </c>
      <c r="I3127">
        <v>125.15940000000001</v>
      </c>
      <c r="J3127">
        <v>68909</v>
      </c>
      <c r="K3127">
        <v>-1.6807000000000001</v>
      </c>
      <c r="L3127">
        <v>1.3652</v>
      </c>
    </row>
    <row r="3128" spans="1:12" x14ac:dyDescent="0.25">
      <c r="A3128">
        <v>2303</v>
      </c>
      <c r="B3128" t="s">
        <v>10</v>
      </c>
      <c r="C3128" s="1">
        <v>42494</v>
      </c>
      <c r="D3128" s="2">
        <f t="shared" si="96"/>
        <v>3</v>
      </c>
      <c r="E3128" s="2">
        <f t="shared" si="97"/>
        <v>5</v>
      </c>
      <c r="F3128">
        <v>9.8249999999999993</v>
      </c>
      <c r="G3128">
        <v>9.8675999999999995</v>
      </c>
      <c r="H3128">
        <v>9.6548999999999996</v>
      </c>
      <c r="I3128">
        <v>9.74</v>
      </c>
      <c r="J3128">
        <v>60940</v>
      </c>
      <c r="K3128">
        <v>-1.7316</v>
      </c>
      <c r="L3128">
        <v>2.2025999999999999</v>
      </c>
    </row>
    <row r="3129" spans="1:12" hidden="1" x14ac:dyDescent="0.25">
      <c r="A3129">
        <v>2330</v>
      </c>
      <c r="B3129" t="s">
        <v>11</v>
      </c>
      <c r="C3129" s="1">
        <v>42494</v>
      </c>
      <c r="D3129" s="2">
        <f t="shared" si="96"/>
        <v>3</v>
      </c>
      <c r="E3129" s="2">
        <f t="shared" si="97"/>
        <v>5</v>
      </c>
      <c r="F3129">
        <v>124.7351</v>
      </c>
      <c r="G3129">
        <v>126.43219999999999</v>
      </c>
      <c r="H3129">
        <v>124.3108</v>
      </c>
      <c r="I3129">
        <v>124.7351</v>
      </c>
      <c r="J3129">
        <v>55586</v>
      </c>
      <c r="K3129">
        <v>-0.33960000000000001</v>
      </c>
      <c r="L3129">
        <v>1.7064999999999999</v>
      </c>
    </row>
    <row r="3130" spans="1:12" x14ac:dyDescent="0.25">
      <c r="A3130">
        <v>2303</v>
      </c>
      <c r="B3130" t="s">
        <v>10</v>
      </c>
      <c r="C3130" s="1">
        <v>42495</v>
      </c>
      <c r="D3130" s="2">
        <f t="shared" si="96"/>
        <v>4</v>
      </c>
      <c r="E3130" s="2">
        <f t="shared" si="97"/>
        <v>5</v>
      </c>
      <c r="F3130">
        <v>9.6974</v>
      </c>
      <c r="G3130">
        <v>9.74</v>
      </c>
      <c r="H3130">
        <v>9.5698000000000008</v>
      </c>
      <c r="I3130">
        <v>9.6123999999999992</v>
      </c>
      <c r="J3130">
        <v>48217</v>
      </c>
      <c r="K3130">
        <v>-1.3187</v>
      </c>
      <c r="L3130">
        <v>1.7778</v>
      </c>
    </row>
    <row r="3131" spans="1:12" hidden="1" x14ac:dyDescent="0.25">
      <c r="A3131">
        <v>2330</v>
      </c>
      <c r="B3131" t="s">
        <v>11</v>
      </c>
      <c r="C3131" s="1">
        <v>42495</v>
      </c>
      <c r="D3131" s="2">
        <f t="shared" si="96"/>
        <v>4</v>
      </c>
      <c r="E3131" s="2">
        <f t="shared" si="97"/>
        <v>5</v>
      </c>
      <c r="F3131">
        <v>125.15940000000001</v>
      </c>
      <c r="G3131">
        <v>126.00790000000001</v>
      </c>
      <c r="H3131">
        <v>123.8865</v>
      </c>
      <c r="I3131">
        <v>125.15940000000001</v>
      </c>
      <c r="J3131">
        <v>40687</v>
      </c>
      <c r="K3131">
        <v>0.33960000000000001</v>
      </c>
      <c r="L3131">
        <v>1.7122999999999999</v>
      </c>
    </row>
    <row r="3132" spans="1:12" x14ac:dyDescent="0.25">
      <c r="A3132">
        <v>2303</v>
      </c>
      <c r="B3132" t="s">
        <v>10</v>
      </c>
      <c r="C3132" s="1">
        <v>42496</v>
      </c>
      <c r="D3132" s="2">
        <f t="shared" si="96"/>
        <v>5</v>
      </c>
      <c r="E3132" s="2">
        <f t="shared" si="97"/>
        <v>5</v>
      </c>
      <c r="F3132">
        <v>9.6123999999999992</v>
      </c>
      <c r="G3132">
        <v>9.6548999999999996</v>
      </c>
      <c r="H3132">
        <v>9.5273000000000003</v>
      </c>
      <c r="I3132">
        <v>9.6123999999999992</v>
      </c>
      <c r="J3132">
        <v>41375</v>
      </c>
      <c r="K3132">
        <v>0</v>
      </c>
      <c r="L3132">
        <v>1.3392999999999999</v>
      </c>
    </row>
    <row r="3133" spans="1:12" hidden="1" x14ac:dyDescent="0.25">
      <c r="A3133">
        <v>2330</v>
      </c>
      <c r="B3133" t="s">
        <v>11</v>
      </c>
      <c r="C3133" s="1">
        <v>42496</v>
      </c>
      <c r="D3133" s="2">
        <f t="shared" si="96"/>
        <v>5</v>
      </c>
      <c r="E3133" s="2">
        <f t="shared" si="97"/>
        <v>5</v>
      </c>
      <c r="F3133">
        <v>126.00790000000001</v>
      </c>
      <c r="G3133">
        <v>126.00790000000001</v>
      </c>
      <c r="H3133">
        <v>124.7351</v>
      </c>
      <c r="I3133">
        <v>125.5836</v>
      </c>
      <c r="J3133">
        <v>39401</v>
      </c>
      <c r="K3133">
        <v>0.33839999999999998</v>
      </c>
      <c r="L3133">
        <v>1.0204</v>
      </c>
    </row>
    <row r="3134" spans="1:12" x14ac:dyDescent="0.25">
      <c r="A3134">
        <v>2303</v>
      </c>
      <c r="B3134" t="s">
        <v>10</v>
      </c>
      <c r="C3134" s="1">
        <v>42499</v>
      </c>
      <c r="D3134" s="2">
        <f t="shared" si="96"/>
        <v>1</v>
      </c>
      <c r="E3134" s="2">
        <f t="shared" si="97"/>
        <v>5</v>
      </c>
      <c r="F3134">
        <v>9.6123999999999992</v>
      </c>
      <c r="G3134">
        <v>9.6548999999999996</v>
      </c>
      <c r="H3134">
        <v>9.4847999999999999</v>
      </c>
      <c r="I3134">
        <v>9.5698000000000008</v>
      </c>
      <c r="J3134">
        <v>21307</v>
      </c>
      <c r="K3134">
        <v>-0.44350000000000001</v>
      </c>
      <c r="L3134">
        <v>1.7937000000000001</v>
      </c>
    </row>
    <row r="3135" spans="1:12" hidden="1" x14ac:dyDescent="0.25">
      <c r="A3135">
        <v>2330</v>
      </c>
      <c r="B3135" t="s">
        <v>11</v>
      </c>
      <c r="C3135" s="1">
        <v>42499</v>
      </c>
      <c r="D3135" s="2">
        <f t="shared" si="96"/>
        <v>1</v>
      </c>
      <c r="E3135" s="2">
        <f t="shared" si="97"/>
        <v>5</v>
      </c>
      <c r="F3135">
        <v>126.00790000000001</v>
      </c>
      <c r="G3135">
        <v>126.43219999999999</v>
      </c>
      <c r="H3135">
        <v>124.3108</v>
      </c>
      <c r="I3135">
        <v>125.15940000000001</v>
      </c>
      <c r="J3135">
        <v>39783</v>
      </c>
      <c r="K3135">
        <v>-0.33839999999999998</v>
      </c>
      <c r="L3135">
        <v>1.7064999999999999</v>
      </c>
    </row>
    <row r="3136" spans="1:12" x14ac:dyDescent="0.25">
      <c r="A3136">
        <v>2303</v>
      </c>
      <c r="B3136" t="s">
        <v>10</v>
      </c>
      <c r="C3136" s="1">
        <v>42500</v>
      </c>
      <c r="D3136" s="2">
        <f t="shared" si="96"/>
        <v>2</v>
      </c>
      <c r="E3136" s="2">
        <f t="shared" si="97"/>
        <v>5</v>
      </c>
      <c r="F3136">
        <v>9.5273000000000003</v>
      </c>
      <c r="G3136">
        <v>9.6548999999999996</v>
      </c>
      <c r="H3136">
        <v>9.4847999999999999</v>
      </c>
      <c r="I3136">
        <v>9.5698000000000008</v>
      </c>
      <c r="J3136">
        <v>23385</v>
      </c>
      <c r="K3136">
        <v>0</v>
      </c>
      <c r="L3136">
        <v>1.7937000000000001</v>
      </c>
    </row>
    <row r="3137" spans="1:12" hidden="1" x14ac:dyDescent="0.25">
      <c r="A3137">
        <v>2330</v>
      </c>
      <c r="B3137" t="s">
        <v>11</v>
      </c>
      <c r="C3137" s="1">
        <v>42500</v>
      </c>
      <c r="D3137" s="2">
        <f t="shared" si="96"/>
        <v>2</v>
      </c>
      <c r="E3137" s="2">
        <f t="shared" si="97"/>
        <v>5</v>
      </c>
      <c r="F3137">
        <v>124.7351</v>
      </c>
      <c r="G3137">
        <v>125.5836</v>
      </c>
      <c r="H3137">
        <v>124.3108</v>
      </c>
      <c r="I3137">
        <v>124.7351</v>
      </c>
      <c r="J3137">
        <v>39210</v>
      </c>
      <c r="K3137">
        <v>-0.33960000000000001</v>
      </c>
      <c r="L3137">
        <v>1.0239</v>
      </c>
    </row>
    <row r="3138" spans="1:12" x14ac:dyDescent="0.25">
      <c r="A3138">
        <v>2303</v>
      </c>
      <c r="B3138" t="s">
        <v>10</v>
      </c>
      <c r="C3138" s="1">
        <v>42501</v>
      </c>
      <c r="D3138" s="2">
        <f t="shared" si="96"/>
        <v>3</v>
      </c>
      <c r="E3138" s="2">
        <f t="shared" si="97"/>
        <v>5</v>
      </c>
      <c r="F3138">
        <v>9.6548999999999996</v>
      </c>
      <c r="G3138">
        <v>9.74</v>
      </c>
      <c r="H3138">
        <v>9.5698000000000008</v>
      </c>
      <c r="I3138">
        <v>9.5698000000000008</v>
      </c>
      <c r="J3138">
        <v>39491</v>
      </c>
      <c r="K3138">
        <v>0</v>
      </c>
      <c r="L3138">
        <v>1.7778</v>
      </c>
    </row>
    <row r="3139" spans="1:12" hidden="1" x14ac:dyDescent="0.25">
      <c r="A3139">
        <v>2330</v>
      </c>
      <c r="B3139" t="s">
        <v>11</v>
      </c>
      <c r="C3139" s="1">
        <v>42501</v>
      </c>
      <c r="D3139" s="2">
        <f t="shared" ref="D3139:D3202" si="98">WEEKDAY(C3139,2)</f>
        <v>3</v>
      </c>
      <c r="E3139" s="2">
        <f t="shared" ref="E3139:E3202" si="99">MONTH(C3139)</f>
        <v>5</v>
      </c>
      <c r="F3139">
        <v>126.00790000000001</v>
      </c>
      <c r="G3139">
        <v>126.43219999999999</v>
      </c>
      <c r="H3139">
        <v>124.3108</v>
      </c>
      <c r="I3139">
        <v>124.7351</v>
      </c>
      <c r="J3139">
        <v>45610</v>
      </c>
      <c r="K3139">
        <v>0</v>
      </c>
      <c r="L3139">
        <v>1.7064999999999999</v>
      </c>
    </row>
    <row r="3140" spans="1:12" x14ac:dyDescent="0.25">
      <c r="A3140">
        <v>2303</v>
      </c>
      <c r="B3140" t="s">
        <v>10</v>
      </c>
      <c r="C3140" s="1">
        <v>42502</v>
      </c>
      <c r="D3140" s="2">
        <f t="shared" si="98"/>
        <v>4</v>
      </c>
      <c r="E3140" s="2">
        <f t="shared" si="99"/>
        <v>5</v>
      </c>
      <c r="F3140">
        <v>9.7825000000000006</v>
      </c>
      <c r="G3140">
        <v>9.8675999999999995</v>
      </c>
      <c r="H3140">
        <v>9.6974</v>
      </c>
      <c r="I3140">
        <v>9.6974</v>
      </c>
      <c r="J3140">
        <v>38675</v>
      </c>
      <c r="K3140">
        <v>1.3245</v>
      </c>
      <c r="L3140">
        <v>1.7544</v>
      </c>
    </row>
    <row r="3141" spans="1:12" hidden="1" x14ac:dyDescent="0.25">
      <c r="A3141">
        <v>2330</v>
      </c>
      <c r="B3141" t="s">
        <v>11</v>
      </c>
      <c r="C3141" s="1">
        <v>42502</v>
      </c>
      <c r="D3141" s="2">
        <f t="shared" si="98"/>
        <v>4</v>
      </c>
      <c r="E3141" s="2">
        <f t="shared" si="99"/>
        <v>5</v>
      </c>
      <c r="F3141">
        <v>124.7351</v>
      </c>
      <c r="G3141">
        <v>125.5836</v>
      </c>
      <c r="H3141">
        <v>123.8865</v>
      </c>
      <c r="I3141">
        <v>123.8865</v>
      </c>
      <c r="J3141">
        <v>24008</v>
      </c>
      <c r="K3141">
        <v>-0.68259999999999998</v>
      </c>
      <c r="L3141">
        <v>1.3698999999999999</v>
      </c>
    </row>
    <row r="3142" spans="1:12" x14ac:dyDescent="0.25">
      <c r="A3142">
        <v>2303</v>
      </c>
      <c r="B3142" t="s">
        <v>10</v>
      </c>
      <c r="C3142" s="1">
        <v>42503</v>
      </c>
      <c r="D3142" s="2">
        <f t="shared" si="98"/>
        <v>5</v>
      </c>
      <c r="E3142" s="2">
        <f t="shared" si="99"/>
        <v>5</v>
      </c>
      <c r="F3142">
        <v>9.6548999999999996</v>
      </c>
      <c r="G3142">
        <v>9.6548999999999996</v>
      </c>
      <c r="H3142">
        <v>9.5273000000000003</v>
      </c>
      <c r="I3142">
        <v>9.6123999999999992</v>
      </c>
      <c r="J3142">
        <v>38105</v>
      </c>
      <c r="K3142">
        <v>-0.88109999999999999</v>
      </c>
      <c r="L3142">
        <v>1.3392999999999999</v>
      </c>
    </row>
    <row r="3143" spans="1:12" hidden="1" x14ac:dyDescent="0.25">
      <c r="A3143">
        <v>2330</v>
      </c>
      <c r="B3143" t="s">
        <v>11</v>
      </c>
      <c r="C3143" s="1">
        <v>42503</v>
      </c>
      <c r="D3143" s="2">
        <f t="shared" si="98"/>
        <v>5</v>
      </c>
      <c r="E3143" s="2">
        <f t="shared" si="99"/>
        <v>5</v>
      </c>
      <c r="F3143">
        <v>123.038</v>
      </c>
      <c r="G3143">
        <v>123.4623</v>
      </c>
      <c r="H3143">
        <v>121.3409</v>
      </c>
      <c r="I3143">
        <v>122.1895</v>
      </c>
      <c r="J3143">
        <v>60713</v>
      </c>
      <c r="K3143">
        <v>-1.3793</v>
      </c>
      <c r="L3143">
        <v>1.7483</v>
      </c>
    </row>
    <row r="3144" spans="1:12" x14ac:dyDescent="0.25">
      <c r="A3144">
        <v>2303</v>
      </c>
      <c r="B3144" t="s">
        <v>10</v>
      </c>
      <c r="C3144" s="1">
        <v>42506</v>
      </c>
      <c r="D3144" s="2">
        <f t="shared" si="98"/>
        <v>1</v>
      </c>
      <c r="E3144" s="2">
        <f t="shared" si="99"/>
        <v>5</v>
      </c>
      <c r="F3144">
        <v>9.5273000000000003</v>
      </c>
      <c r="G3144">
        <v>9.74</v>
      </c>
      <c r="H3144">
        <v>9.5273000000000003</v>
      </c>
      <c r="I3144">
        <v>9.74</v>
      </c>
      <c r="J3144">
        <v>25451</v>
      </c>
      <c r="K3144">
        <v>1.3187</v>
      </c>
      <c r="L3144">
        <v>2.2321</v>
      </c>
    </row>
    <row r="3145" spans="1:12" hidden="1" x14ac:dyDescent="0.25">
      <c r="A3145">
        <v>2330</v>
      </c>
      <c r="B3145" t="s">
        <v>11</v>
      </c>
      <c r="C3145" s="1">
        <v>42506</v>
      </c>
      <c r="D3145" s="2">
        <f t="shared" si="98"/>
        <v>1</v>
      </c>
      <c r="E3145" s="2">
        <f t="shared" si="99"/>
        <v>5</v>
      </c>
      <c r="F3145">
        <v>121.3409</v>
      </c>
      <c r="G3145">
        <v>123.4623</v>
      </c>
      <c r="H3145">
        <v>121.3409</v>
      </c>
      <c r="I3145">
        <v>122.61369999999999</v>
      </c>
      <c r="J3145">
        <v>32239</v>
      </c>
      <c r="K3145">
        <v>0.34660000000000002</v>
      </c>
      <c r="L3145">
        <v>1.7483</v>
      </c>
    </row>
    <row r="3146" spans="1:12" x14ac:dyDescent="0.25">
      <c r="A3146">
        <v>2303</v>
      </c>
      <c r="B3146" t="s">
        <v>10</v>
      </c>
      <c r="C3146" s="1">
        <v>42507</v>
      </c>
      <c r="D3146" s="2">
        <f t="shared" si="98"/>
        <v>2</v>
      </c>
      <c r="E3146" s="2">
        <f t="shared" si="99"/>
        <v>5</v>
      </c>
      <c r="F3146">
        <v>9.6974</v>
      </c>
      <c r="G3146">
        <v>9.8249999999999993</v>
      </c>
      <c r="H3146">
        <v>9.6548999999999996</v>
      </c>
      <c r="I3146">
        <v>9.8249999999999993</v>
      </c>
      <c r="J3146">
        <v>36772</v>
      </c>
      <c r="K3146">
        <v>0.86960000000000004</v>
      </c>
      <c r="L3146">
        <v>1.7621</v>
      </c>
    </row>
    <row r="3147" spans="1:12" hidden="1" x14ac:dyDescent="0.25">
      <c r="A3147">
        <v>2330</v>
      </c>
      <c r="B3147" t="s">
        <v>11</v>
      </c>
      <c r="C3147" s="1">
        <v>42507</v>
      </c>
      <c r="D3147" s="2">
        <f t="shared" si="98"/>
        <v>2</v>
      </c>
      <c r="E3147" s="2">
        <f t="shared" si="99"/>
        <v>5</v>
      </c>
      <c r="F3147">
        <v>123.4623</v>
      </c>
      <c r="G3147">
        <v>124.7351</v>
      </c>
      <c r="H3147">
        <v>123.038</v>
      </c>
      <c r="I3147">
        <v>124.7351</v>
      </c>
      <c r="J3147">
        <v>32716</v>
      </c>
      <c r="K3147">
        <v>1.7153</v>
      </c>
      <c r="L3147">
        <v>1.3793</v>
      </c>
    </row>
    <row r="3148" spans="1:12" x14ac:dyDescent="0.25">
      <c r="A3148">
        <v>2303</v>
      </c>
      <c r="B3148" t="s">
        <v>10</v>
      </c>
      <c r="C3148" s="1">
        <v>42508</v>
      </c>
      <c r="D3148" s="2">
        <f t="shared" si="98"/>
        <v>3</v>
      </c>
      <c r="E3148" s="2">
        <f t="shared" si="99"/>
        <v>5</v>
      </c>
      <c r="F3148">
        <v>9.6974</v>
      </c>
      <c r="G3148">
        <v>9.8249999999999993</v>
      </c>
      <c r="H3148">
        <v>9.6548999999999996</v>
      </c>
      <c r="I3148">
        <v>9.8249999999999993</v>
      </c>
      <c r="J3148">
        <v>28008</v>
      </c>
      <c r="K3148">
        <v>0</v>
      </c>
      <c r="L3148">
        <v>1.7621</v>
      </c>
    </row>
    <row r="3149" spans="1:12" hidden="1" x14ac:dyDescent="0.25">
      <c r="A3149">
        <v>2330</v>
      </c>
      <c r="B3149" t="s">
        <v>11</v>
      </c>
      <c r="C3149" s="1">
        <v>42508</v>
      </c>
      <c r="D3149" s="2">
        <f t="shared" si="98"/>
        <v>3</v>
      </c>
      <c r="E3149" s="2">
        <f t="shared" si="99"/>
        <v>5</v>
      </c>
      <c r="F3149">
        <v>123.8865</v>
      </c>
      <c r="G3149">
        <v>124.7351</v>
      </c>
      <c r="H3149">
        <v>123.038</v>
      </c>
      <c r="I3149">
        <v>124.7351</v>
      </c>
      <c r="J3149">
        <v>31106</v>
      </c>
      <c r="K3149">
        <v>0</v>
      </c>
      <c r="L3149">
        <v>1.3793</v>
      </c>
    </row>
    <row r="3150" spans="1:12" x14ac:dyDescent="0.25">
      <c r="A3150">
        <v>2303</v>
      </c>
      <c r="B3150" t="s">
        <v>10</v>
      </c>
      <c r="C3150" s="1">
        <v>42509</v>
      </c>
      <c r="D3150" s="2">
        <f t="shared" si="98"/>
        <v>4</v>
      </c>
      <c r="E3150" s="2">
        <f t="shared" si="99"/>
        <v>5</v>
      </c>
      <c r="F3150">
        <v>9.74</v>
      </c>
      <c r="G3150">
        <v>9.7825000000000006</v>
      </c>
      <c r="H3150">
        <v>9.6548999999999996</v>
      </c>
      <c r="I3150">
        <v>9.7825000000000006</v>
      </c>
      <c r="J3150">
        <v>33075</v>
      </c>
      <c r="K3150">
        <v>-0.43380000000000002</v>
      </c>
      <c r="L3150">
        <v>1.3216000000000001</v>
      </c>
    </row>
    <row r="3151" spans="1:12" hidden="1" x14ac:dyDescent="0.25">
      <c r="A3151">
        <v>2330</v>
      </c>
      <c r="B3151" t="s">
        <v>11</v>
      </c>
      <c r="C3151" s="1">
        <v>42509</v>
      </c>
      <c r="D3151" s="2">
        <f t="shared" si="98"/>
        <v>4</v>
      </c>
      <c r="E3151" s="2">
        <f t="shared" si="99"/>
        <v>5</v>
      </c>
      <c r="F3151">
        <v>125.5836</v>
      </c>
      <c r="G3151">
        <v>126.00790000000001</v>
      </c>
      <c r="H3151">
        <v>123.4623</v>
      </c>
      <c r="I3151">
        <v>124.7351</v>
      </c>
      <c r="J3151">
        <v>35192</v>
      </c>
      <c r="K3151">
        <v>0</v>
      </c>
      <c r="L3151">
        <v>2.0619000000000001</v>
      </c>
    </row>
    <row r="3152" spans="1:12" x14ac:dyDescent="0.25">
      <c r="A3152">
        <v>2303</v>
      </c>
      <c r="B3152" t="s">
        <v>10</v>
      </c>
      <c r="C3152" s="1">
        <v>42510</v>
      </c>
      <c r="D3152" s="2">
        <f t="shared" si="98"/>
        <v>5</v>
      </c>
      <c r="E3152" s="2">
        <f t="shared" si="99"/>
        <v>5</v>
      </c>
      <c r="F3152">
        <v>9.6974</v>
      </c>
      <c r="G3152">
        <v>9.8249999999999993</v>
      </c>
      <c r="H3152">
        <v>9.6974</v>
      </c>
      <c r="I3152">
        <v>9.8249999999999993</v>
      </c>
      <c r="J3152">
        <v>27719</v>
      </c>
      <c r="K3152">
        <v>0.43380000000000002</v>
      </c>
      <c r="L3152">
        <v>1.3158000000000001</v>
      </c>
    </row>
    <row r="3153" spans="1:12" hidden="1" x14ac:dyDescent="0.25">
      <c r="A3153">
        <v>2330</v>
      </c>
      <c r="B3153" t="s">
        <v>11</v>
      </c>
      <c r="C3153" s="1">
        <v>42510</v>
      </c>
      <c r="D3153" s="2">
        <f t="shared" si="98"/>
        <v>5</v>
      </c>
      <c r="E3153" s="2">
        <f t="shared" si="99"/>
        <v>5</v>
      </c>
      <c r="F3153">
        <v>125.15940000000001</v>
      </c>
      <c r="G3153">
        <v>126.85639999999999</v>
      </c>
      <c r="H3153">
        <v>124.7351</v>
      </c>
      <c r="I3153">
        <v>126.00790000000001</v>
      </c>
      <c r="J3153">
        <v>38046</v>
      </c>
      <c r="K3153">
        <v>1.0152000000000001</v>
      </c>
      <c r="L3153">
        <v>1.7007000000000001</v>
      </c>
    </row>
    <row r="3154" spans="1:12" x14ac:dyDescent="0.25">
      <c r="A3154">
        <v>2303</v>
      </c>
      <c r="B3154" t="s">
        <v>10</v>
      </c>
      <c r="C3154" s="1">
        <v>42513</v>
      </c>
      <c r="D3154" s="2">
        <f t="shared" si="98"/>
        <v>1</v>
      </c>
      <c r="E3154" s="2">
        <f t="shared" si="99"/>
        <v>5</v>
      </c>
      <c r="F3154">
        <v>9.74</v>
      </c>
      <c r="G3154">
        <v>10.037699999999999</v>
      </c>
      <c r="H3154">
        <v>9.6974</v>
      </c>
      <c r="I3154">
        <v>10.037699999999999</v>
      </c>
      <c r="J3154">
        <v>37639</v>
      </c>
      <c r="K3154">
        <v>2.1414</v>
      </c>
      <c r="L3154">
        <v>3.5087999999999999</v>
      </c>
    </row>
    <row r="3155" spans="1:12" hidden="1" x14ac:dyDescent="0.25">
      <c r="A3155">
        <v>2330</v>
      </c>
      <c r="B3155" t="s">
        <v>11</v>
      </c>
      <c r="C3155" s="1">
        <v>42513</v>
      </c>
      <c r="D3155" s="2">
        <f t="shared" si="98"/>
        <v>1</v>
      </c>
      <c r="E3155" s="2">
        <f t="shared" si="99"/>
        <v>5</v>
      </c>
      <c r="F3155">
        <v>127.705</v>
      </c>
      <c r="G3155">
        <v>131.09909999999999</v>
      </c>
      <c r="H3155">
        <v>126.85639999999999</v>
      </c>
      <c r="I3155">
        <v>130.67490000000001</v>
      </c>
      <c r="J3155">
        <v>50174</v>
      </c>
      <c r="K3155">
        <v>3.6368</v>
      </c>
      <c r="L3155">
        <v>3.3445</v>
      </c>
    </row>
    <row r="3156" spans="1:12" x14ac:dyDescent="0.25">
      <c r="A3156">
        <v>2303</v>
      </c>
      <c r="B3156" t="s">
        <v>10</v>
      </c>
      <c r="C3156" s="1">
        <v>42514</v>
      </c>
      <c r="D3156" s="2">
        <f t="shared" si="98"/>
        <v>2</v>
      </c>
      <c r="E3156" s="2">
        <f t="shared" si="99"/>
        <v>5</v>
      </c>
      <c r="F3156">
        <v>9.9526000000000003</v>
      </c>
      <c r="G3156">
        <v>10.037699999999999</v>
      </c>
      <c r="H3156">
        <v>9.9100999999999999</v>
      </c>
      <c r="I3156">
        <v>10.037699999999999</v>
      </c>
      <c r="J3156">
        <v>23921</v>
      </c>
      <c r="K3156">
        <v>0</v>
      </c>
      <c r="L3156">
        <v>1.2876000000000001</v>
      </c>
    </row>
    <row r="3157" spans="1:12" hidden="1" x14ac:dyDescent="0.25">
      <c r="A3157">
        <v>2330</v>
      </c>
      <c r="B3157" t="s">
        <v>11</v>
      </c>
      <c r="C3157" s="1">
        <v>42514</v>
      </c>
      <c r="D3157" s="2">
        <f t="shared" si="98"/>
        <v>2</v>
      </c>
      <c r="E3157" s="2">
        <f t="shared" si="99"/>
        <v>5</v>
      </c>
      <c r="F3157">
        <v>129.40199999999999</v>
      </c>
      <c r="G3157">
        <v>130.25059999999999</v>
      </c>
      <c r="H3157">
        <v>128.1292</v>
      </c>
      <c r="I3157">
        <v>128.1292</v>
      </c>
      <c r="J3157">
        <v>25677</v>
      </c>
      <c r="K3157">
        <v>-1.9673</v>
      </c>
      <c r="L3157">
        <v>1.6556</v>
      </c>
    </row>
    <row r="3158" spans="1:12" x14ac:dyDescent="0.25">
      <c r="A3158">
        <v>2303</v>
      </c>
      <c r="B3158" t="s">
        <v>10</v>
      </c>
      <c r="C3158" s="1">
        <v>42515</v>
      </c>
      <c r="D3158" s="2">
        <f t="shared" si="98"/>
        <v>3</v>
      </c>
      <c r="E3158" s="2">
        <f t="shared" si="99"/>
        <v>5</v>
      </c>
      <c r="F3158">
        <v>10.1228</v>
      </c>
      <c r="G3158">
        <v>10.3354</v>
      </c>
      <c r="H3158">
        <v>10.037699999999999</v>
      </c>
      <c r="I3158">
        <v>10.207800000000001</v>
      </c>
      <c r="J3158">
        <v>55060</v>
      </c>
      <c r="K3158">
        <v>1.6807000000000001</v>
      </c>
      <c r="L3158">
        <v>2.9661</v>
      </c>
    </row>
    <row r="3159" spans="1:12" hidden="1" x14ac:dyDescent="0.25">
      <c r="A3159">
        <v>2330</v>
      </c>
      <c r="B3159" t="s">
        <v>11</v>
      </c>
      <c r="C3159" s="1">
        <v>42515</v>
      </c>
      <c r="D3159" s="2">
        <f t="shared" si="98"/>
        <v>3</v>
      </c>
      <c r="E3159" s="2">
        <f t="shared" si="99"/>
        <v>5</v>
      </c>
      <c r="F3159">
        <v>130.25059999999999</v>
      </c>
      <c r="G3159">
        <v>131.52340000000001</v>
      </c>
      <c r="H3159">
        <v>129.40199999999999</v>
      </c>
      <c r="I3159">
        <v>131.09909999999999</v>
      </c>
      <c r="J3159">
        <v>35410</v>
      </c>
      <c r="K3159">
        <v>2.2913999999999999</v>
      </c>
      <c r="L3159">
        <v>1.6393</v>
      </c>
    </row>
    <row r="3160" spans="1:12" x14ac:dyDescent="0.25">
      <c r="A3160">
        <v>2303</v>
      </c>
      <c r="B3160" t="s">
        <v>10</v>
      </c>
      <c r="C3160" s="1">
        <v>42516</v>
      </c>
      <c r="D3160" s="2">
        <f t="shared" si="98"/>
        <v>4</v>
      </c>
      <c r="E3160" s="2">
        <f t="shared" si="99"/>
        <v>5</v>
      </c>
      <c r="F3160">
        <v>10.207800000000001</v>
      </c>
      <c r="G3160">
        <v>10.292899999999999</v>
      </c>
      <c r="H3160">
        <v>10.1228</v>
      </c>
      <c r="I3160">
        <v>10.292899999999999</v>
      </c>
      <c r="J3160">
        <v>30516</v>
      </c>
      <c r="K3160">
        <v>0.82989999999999997</v>
      </c>
      <c r="L3160">
        <v>1.6807000000000001</v>
      </c>
    </row>
    <row r="3161" spans="1:12" hidden="1" x14ac:dyDescent="0.25">
      <c r="A3161">
        <v>2330</v>
      </c>
      <c r="B3161" t="s">
        <v>11</v>
      </c>
      <c r="C3161" s="1">
        <v>42516</v>
      </c>
      <c r="D3161" s="2">
        <f t="shared" si="98"/>
        <v>4</v>
      </c>
      <c r="E3161" s="2">
        <f t="shared" si="99"/>
        <v>5</v>
      </c>
      <c r="F3161">
        <v>131.09909999999999</v>
      </c>
      <c r="G3161">
        <v>131.52340000000001</v>
      </c>
      <c r="H3161">
        <v>130.25059999999999</v>
      </c>
      <c r="I3161">
        <v>131.52340000000001</v>
      </c>
      <c r="J3161">
        <v>18822</v>
      </c>
      <c r="K3161">
        <v>0.3231</v>
      </c>
      <c r="L3161">
        <v>0.97719999999999996</v>
      </c>
    </row>
    <row r="3162" spans="1:12" x14ac:dyDescent="0.25">
      <c r="A3162">
        <v>2303</v>
      </c>
      <c r="B3162" t="s">
        <v>10</v>
      </c>
      <c r="C3162" s="1">
        <v>42517</v>
      </c>
      <c r="D3162" s="2">
        <f t="shared" si="98"/>
        <v>5</v>
      </c>
      <c r="E3162" s="2">
        <f t="shared" si="99"/>
        <v>5</v>
      </c>
      <c r="F3162">
        <v>10.3354</v>
      </c>
      <c r="G3162">
        <v>10.3354</v>
      </c>
      <c r="H3162">
        <v>10.250400000000001</v>
      </c>
      <c r="I3162">
        <v>10.3354</v>
      </c>
      <c r="J3162">
        <v>21362</v>
      </c>
      <c r="K3162">
        <v>0.41239999999999999</v>
      </c>
      <c r="L3162">
        <v>0.82989999999999997</v>
      </c>
    </row>
    <row r="3163" spans="1:12" hidden="1" x14ac:dyDescent="0.25">
      <c r="A3163">
        <v>2330</v>
      </c>
      <c r="B3163" t="s">
        <v>11</v>
      </c>
      <c r="C3163" s="1">
        <v>42517</v>
      </c>
      <c r="D3163" s="2">
        <f t="shared" si="98"/>
        <v>5</v>
      </c>
      <c r="E3163" s="2">
        <f t="shared" si="99"/>
        <v>5</v>
      </c>
      <c r="F3163">
        <v>132.37190000000001</v>
      </c>
      <c r="G3163">
        <v>132.7962</v>
      </c>
      <c r="H3163">
        <v>131.09909999999999</v>
      </c>
      <c r="I3163">
        <v>132.7962</v>
      </c>
      <c r="J3163">
        <v>26617</v>
      </c>
      <c r="K3163">
        <v>0.96309999999999996</v>
      </c>
      <c r="L3163">
        <v>1.2945</v>
      </c>
    </row>
    <row r="3164" spans="1:12" x14ac:dyDescent="0.25">
      <c r="A3164">
        <v>2303</v>
      </c>
      <c r="B3164" t="s">
        <v>10</v>
      </c>
      <c r="C3164" s="1">
        <v>42520</v>
      </c>
      <c r="D3164" s="2">
        <f t="shared" si="98"/>
        <v>1</v>
      </c>
      <c r="E3164" s="2">
        <f t="shared" si="99"/>
        <v>5</v>
      </c>
      <c r="F3164">
        <v>10.292899999999999</v>
      </c>
      <c r="G3164">
        <v>10.378</v>
      </c>
      <c r="H3164">
        <v>10.250400000000001</v>
      </c>
      <c r="I3164">
        <v>10.378</v>
      </c>
      <c r="J3164">
        <v>23966</v>
      </c>
      <c r="K3164">
        <v>0.41070000000000001</v>
      </c>
      <c r="L3164">
        <v>1.2447999999999999</v>
      </c>
    </row>
    <row r="3165" spans="1:12" hidden="1" x14ac:dyDescent="0.25">
      <c r="A3165">
        <v>2330</v>
      </c>
      <c r="B3165" t="s">
        <v>11</v>
      </c>
      <c r="C3165" s="1">
        <v>42520</v>
      </c>
      <c r="D3165" s="2">
        <f t="shared" si="98"/>
        <v>1</v>
      </c>
      <c r="E3165" s="2">
        <f t="shared" si="99"/>
        <v>5</v>
      </c>
      <c r="F3165">
        <v>133.22049999999999</v>
      </c>
      <c r="G3165">
        <v>134.06899999999999</v>
      </c>
      <c r="H3165">
        <v>131.52340000000001</v>
      </c>
      <c r="I3165">
        <v>133.22049999999999</v>
      </c>
      <c r="J3165">
        <v>38311</v>
      </c>
      <c r="K3165">
        <v>0.31900000000000001</v>
      </c>
      <c r="L3165">
        <v>1.9355</v>
      </c>
    </row>
    <row r="3166" spans="1:12" x14ac:dyDescent="0.25">
      <c r="A3166">
        <v>2303</v>
      </c>
      <c r="B3166" t="s">
        <v>10</v>
      </c>
      <c r="C3166" s="1">
        <v>42521</v>
      </c>
      <c r="D3166" s="2">
        <f t="shared" si="98"/>
        <v>2</v>
      </c>
      <c r="E3166" s="2">
        <f t="shared" si="99"/>
        <v>5</v>
      </c>
      <c r="F3166">
        <v>10.3354</v>
      </c>
      <c r="G3166">
        <v>10.378</v>
      </c>
      <c r="H3166">
        <v>10.292899999999999</v>
      </c>
      <c r="I3166">
        <v>10.378</v>
      </c>
      <c r="J3166">
        <v>44053</v>
      </c>
      <c r="K3166">
        <v>0</v>
      </c>
      <c r="L3166">
        <v>0.82640000000000002</v>
      </c>
    </row>
    <row r="3167" spans="1:12" hidden="1" x14ac:dyDescent="0.25">
      <c r="A3167">
        <v>2330</v>
      </c>
      <c r="B3167" t="s">
        <v>11</v>
      </c>
      <c r="C3167" s="1">
        <v>42521</v>
      </c>
      <c r="D3167" s="2">
        <f t="shared" si="98"/>
        <v>2</v>
      </c>
      <c r="E3167" s="2">
        <f t="shared" si="99"/>
        <v>5</v>
      </c>
      <c r="F3167">
        <v>132.7962</v>
      </c>
      <c r="G3167">
        <v>133.6447</v>
      </c>
      <c r="H3167">
        <v>131.52340000000001</v>
      </c>
      <c r="I3167">
        <v>132.7962</v>
      </c>
      <c r="J3167">
        <v>70177</v>
      </c>
      <c r="K3167">
        <v>-0.31900000000000001</v>
      </c>
      <c r="L3167">
        <v>1.6129</v>
      </c>
    </row>
    <row r="3168" spans="1:12" x14ac:dyDescent="0.25">
      <c r="A3168">
        <v>2303</v>
      </c>
      <c r="B3168" t="s">
        <v>10</v>
      </c>
      <c r="C3168" s="1">
        <v>42522</v>
      </c>
      <c r="D3168" s="2">
        <f t="shared" si="98"/>
        <v>3</v>
      </c>
      <c r="E3168" s="2">
        <f t="shared" si="99"/>
        <v>6</v>
      </c>
      <c r="F3168">
        <v>10.292899999999999</v>
      </c>
      <c r="G3168">
        <v>10.420500000000001</v>
      </c>
      <c r="H3168">
        <v>10.292899999999999</v>
      </c>
      <c r="I3168">
        <v>10.420500000000001</v>
      </c>
      <c r="J3168">
        <v>28601</v>
      </c>
      <c r="K3168">
        <v>0.40899999999999997</v>
      </c>
      <c r="L3168">
        <v>1.2397</v>
      </c>
    </row>
    <row r="3169" spans="1:12" hidden="1" x14ac:dyDescent="0.25">
      <c r="A3169">
        <v>2330</v>
      </c>
      <c r="B3169" t="s">
        <v>11</v>
      </c>
      <c r="C3169" s="1">
        <v>42522</v>
      </c>
      <c r="D3169" s="2">
        <f t="shared" si="98"/>
        <v>3</v>
      </c>
      <c r="E3169" s="2">
        <f t="shared" si="99"/>
        <v>6</v>
      </c>
      <c r="F3169">
        <v>132.37190000000001</v>
      </c>
      <c r="G3169">
        <v>134.91749999999999</v>
      </c>
      <c r="H3169">
        <v>132.37190000000001</v>
      </c>
      <c r="I3169">
        <v>134.91749999999999</v>
      </c>
      <c r="J3169">
        <v>27743</v>
      </c>
      <c r="K3169">
        <v>1.5848</v>
      </c>
      <c r="L3169">
        <v>1.9231</v>
      </c>
    </row>
    <row r="3170" spans="1:12" x14ac:dyDescent="0.25">
      <c r="A3170">
        <v>2303</v>
      </c>
      <c r="B3170" t="s">
        <v>10</v>
      </c>
      <c r="C3170" s="1">
        <v>42523</v>
      </c>
      <c r="D3170" s="2">
        <f t="shared" si="98"/>
        <v>4</v>
      </c>
      <c r="E3170" s="2">
        <f t="shared" si="99"/>
        <v>6</v>
      </c>
      <c r="F3170">
        <v>10.378</v>
      </c>
      <c r="G3170">
        <v>10.5481</v>
      </c>
      <c r="H3170">
        <v>10.3354</v>
      </c>
      <c r="I3170">
        <v>10.420500000000001</v>
      </c>
      <c r="J3170">
        <v>29264</v>
      </c>
      <c r="K3170">
        <v>0</v>
      </c>
      <c r="L3170">
        <v>2.0575999999999999</v>
      </c>
    </row>
    <row r="3171" spans="1:12" hidden="1" x14ac:dyDescent="0.25">
      <c r="A3171">
        <v>2330</v>
      </c>
      <c r="B3171" t="s">
        <v>11</v>
      </c>
      <c r="C3171" s="1">
        <v>42523</v>
      </c>
      <c r="D3171" s="2">
        <f t="shared" si="98"/>
        <v>4</v>
      </c>
      <c r="E3171" s="2">
        <f t="shared" si="99"/>
        <v>6</v>
      </c>
      <c r="F3171">
        <v>134.91749999999999</v>
      </c>
      <c r="G3171">
        <v>135.76609999999999</v>
      </c>
      <c r="H3171">
        <v>134.06899999999999</v>
      </c>
      <c r="I3171">
        <v>134.91749999999999</v>
      </c>
      <c r="J3171">
        <v>21999</v>
      </c>
      <c r="K3171">
        <v>0</v>
      </c>
      <c r="L3171">
        <v>1.2658</v>
      </c>
    </row>
    <row r="3172" spans="1:12" x14ac:dyDescent="0.25">
      <c r="A3172">
        <v>2303</v>
      </c>
      <c r="B3172" t="s">
        <v>10</v>
      </c>
      <c r="C3172" s="1">
        <v>42524</v>
      </c>
      <c r="D3172" s="2">
        <f t="shared" si="98"/>
        <v>5</v>
      </c>
      <c r="E3172" s="2">
        <f t="shared" si="99"/>
        <v>6</v>
      </c>
      <c r="F3172">
        <v>10.420500000000001</v>
      </c>
      <c r="G3172">
        <v>10.5481</v>
      </c>
      <c r="H3172">
        <v>10.3354</v>
      </c>
      <c r="I3172">
        <v>10.5481</v>
      </c>
      <c r="J3172">
        <v>23315</v>
      </c>
      <c r="K3172">
        <v>1.2171000000000001</v>
      </c>
      <c r="L3172">
        <v>2.0575999999999999</v>
      </c>
    </row>
    <row r="3173" spans="1:12" hidden="1" x14ac:dyDescent="0.25">
      <c r="A3173">
        <v>2330</v>
      </c>
      <c r="B3173" t="s">
        <v>11</v>
      </c>
      <c r="C3173" s="1">
        <v>42524</v>
      </c>
      <c r="D3173" s="2">
        <f t="shared" si="98"/>
        <v>5</v>
      </c>
      <c r="E3173" s="2">
        <f t="shared" si="99"/>
        <v>6</v>
      </c>
      <c r="F3173">
        <v>134.91749999999999</v>
      </c>
      <c r="G3173">
        <v>136.19030000000001</v>
      </c>
      <c r="H3173">
        <v>134.91749999999999</v>
      </c>
      <c r="I3173">
        <v>136.19030000000001</v>
      </c>
      <c r="J3173">
        <v>32020</v>
      </c>
      <c r="K3173">
        <v>0.93899999999999995</v>
      </c>
      <c r="L3173">
        <v>0.94340000000000002</v>
      </c>
    </row>
    <row r="3174" spans="1:12" x14ac:dyDescent="0.25">
      <c r="A3174">
        <v>2303</v>
      </c>
      <c r="B3174" t="s">
        <v>10</v>
      </c>
      <c r="C3174" s="1">
        <v>42525</v>
      </c>
      <c r="D3174" s="2">
        <f t="shared" si="98"/>
        <v>6</v>
      </c>
      <c r="E3174" s="2">
        <f t="shared" si="99"/>
        <v>6</v>
      </c>
      <c r="F3174">
        <v>10.5481</v>
      </c>
      <c r="G3174">
        <v>10.5906</v>
      </c>
      <c r="H3174">
        <v>10.462999999999999</v>
      </c>
      <c r="I3174">
        <v>10.505599999999999</v>
      </c>
      <c r="J3174">
        <v>6095</v>
      </c>
      <c r="K3174">
        <v>-0.40400000000000003</v>
      </c>
      <c r="L3174">
        <v>1.2195</v>
      </c>
    </row>
    <row r="3175" spans="1:12" hidden="1" x14ac:dyDescent="0.25">
      <c r="A3175">
        <v>2330</v>
      </c>
      <c r="B3175" t="s">
        <v>11</v>
      </c>
      <c r="C3175" s="1">
        <v>42525</v>
      </c>
      <c r="D3175" s="2">
        <f t="shared" si="98"/>
        <v>6</v>
      </c>
      <c r="E3175" s="2">
        <f t="shared" si="99"/>
        <v>6</v>
      </c>
      <c r="F3175">
        <v>135.76609999999999</v>
      </c>
      <c r="G3175">
        <v>135.76609999999999</v>
      </c>
      <c r="H3175">
        <v>135.34180000000001</v>
      </c>
      <c r="I3175">
        <v>135.76609999999999</v>
      </c>
      <c r="J3175">
        <v>2631</v>
      </c>
      <c r="K3175">
        <v>-0.312</v>
      </c>
      <c r="L3175">
        <v>0.3135</v>
      </c>
    </row>
    <row r="3176" spans="1:12" x14ac:dyDescent="0.25">
      <c r="A3176">
        <v>2303</v>
      </c>
      <c r="B3176" t="s">
        <v>10</v>
      </c>
      <c r="C3176" s="1">
        <v>42527</v>
      </c>
      <c r="D3176" s="2">
        <f t="shared" si="98"/>
        <v>1</v>
      </c>
      <c r="E3176" s="2">
        <f t="shared" si="99"/>
        <v>6</v>
      </c>
      <c r="F3176">
        <v>10.505599999999999</v>
      </c>
      <c r="G3176">
        <v>10.5481</v>
      </c>
      <c r="H3176">
        <v>10.462999999999999</v>
      </c>
      <c r="I3176">
        <v>10.5481</v>
      </c>
      <c r="J3176">
        <v>20017</v>
      </c>
      <c r="K3176">
        <v>0.40400000000000003</v>
      </c>
      <c r="L3176">
        <v>0.81299999999999994</v>
      </c>
    </row>
    <row r="3177" spans="1:12" hidden="1" x14ac:dyDescent="0.25">
      <c r="A3177">
        <v>2330</v>
      </c>
      <c r="B3177" t="s">
        <v>11</v>
      </c>
      <c r="C3177" s="1">
        <v>42527</v>
      </c>
      <c r="D3177" s="2">
        <f t="shared" si="98"/>
        <v>1</v>
      </c>
      <c r="E3177" s="2">
        <f t="shared" si="99"/>
        <v>6</v>
      </c>
      <c r="F3177">
        <v>136.6146</v>
      </c>
      <c r="G3177">
        <v>137.4632</v>
      </c>
      <c r="H3177">
        <v>135.76609999999999</v>
      </c>
      <c r="I3177">
        <v>136.6146</v>
      </c>
      <c r="J3177">
        <v>28898</v>
      </c>
      <c r="K3177">
        <v>0.62309999999999999</v>
      </c>
      <c r="L3177">
        <v>1.25</v>
      </c>
    </row>
    <row r="3178" spans="1:12" x14ac:dyDescent="0.25">
      <c r="A3178">
        <v>2303</v>
      </c>
      <c r="B3178" t="s">
        <v>10</v>
      </c>
      <c r="C3178" s="1">
        <v>42528</v>
      </c>
      <c r="D3178" s="2">
        <f t="shared" si="98"/>
        <v>2</v>
      </c>
      <c r="E3178" s="2">
        <f t="shared" si="99"/>
        <v>6</v>
      </c>
      <c r="F3178">
        <v>10.505599999999999</v>
      </c>
      <c r="G3178">
        <v>10.5906</v>
      </c>
      <c r="H3178">
        <v>10.462999999999999</v>
      </c>
      <c r="I3178">
        <v>10.5906</v>
      </c>
      <c r="J3178">
        <v>28009</v>
      </c>
      <c r="K3178">
        <v>0.40239999999999998</v>
      </c>
      <c r="L3178">
        <v>1.2195</v>
      </c>
    </row>
    <row r="3179" spans="1:12" hidden="1" x14ac:dyDescent="0.25">
      <c r="A3179">
        <v>2330</v>
      </c>
      <c r="B3179" t="s">
        <v>11</v>
      </c>
      <c r="C3179" s="1">
        <v>42528</v>
      </c>
      <c r="D3179" s="2">
        <f t="shared" si="98"/>
        <v>2</v>
      </c>
      <c r="E3179" s="2">
        <f t="shared" si="99"/>
        <v>6</v>
      </c>
      <c r="F3179">
        <v>137.03890000000001</v>
      </c>
      <c r="G3179">
        <v>138.73599999999999</v>
      </c>
      <c r="H3179">
        <v>136.6146</v>
      </c>
      <c r="I3179">
        <v>137.4632</v>
      </c>
      <c r="J3179">
        <v>47573</v>
      </c>
      <c r="K3179">
        <v>0.61919999999999997</v>
      </c>
      <c r="L3179">
        <v>1.5528</v>
      </c>
    </row>
    <row r="3180" spans="1:12" x14ac:dyDescent="0.25">
      <c r="A3180">
        <v>2303</v>
      </c>
      <c r="B3180" t="s">
        <v>10</v>
      </c>
      <c r="C3180" s="1">
        <v>42529</v>
      </c>
      <c r="D3180" s="2">
        <f t="shared" si="98"/>
        <v>3</v>
      </c>
      <c r="E3180" s="2">
        <f t="shared" si="99"/>
        <v>6</v>
      </c>
      <c r="F3180">
        <v>10.5906</v>
      </c>
      <c r="G3180">
        <v>10.633100000000001</v>
      </c>
      <c r="H3180">
        <v>10.462999999999999</v>
      </c>
      <c r="I3180">
        <v>10.5481</v>
      </c>
      <c r="J3180">
        <v>42234</v>
      </c>
      <c r="K3180">
        <v>-0.40239999999999998</v>
      </c>
      <c r="L3180">
        <v>1.6259999999999999</v>
      </c>
    </row>
    <row r="3181" spans="1:12" hidden="1" x14ac:dyDescent="0.25">
      <c r="A3181">
        <v>2330</v>
      </c>
      <c r="B3181" t="s">
        <v>11</v>
      </c>
      <c r="C3181" s="1">
        <v>42529</v>
      </c>
      <c r="D3181" s="2">
        <f t="shared" si="98"/>
        <v>3</v>
      </c>
      <c r="E3181" s="2">
        <f t="shared" si="99"/>
        <v>6</v>
      </c>
      <c r="F3181">
        <v>139.1602</v>
      </c>
      <c r="G3181">
        <v>140.85730000000001</v>
      </c>
      <c r="H3181">
        <v>138.73599999999999</v>
      </c>
      <c r="I3181">
        <v>140.43299999999999</v>
      </c>
      <c r="J3181">
        <v>45587</v>
      </c>
      <c r="K3181">
        <v>2.1375000000000002</v>
      </c>
      <c r="L3181">
        <v>1.5290999999999999</v>
      </c>
    </row>
    <row r="3182" spans="1:12" x14ac:dyDescent="0.25">
      <c r="A3182">
        <v>2303</v>
      </c>
      <c r="B3182" t="s">
        <v>10</v>
      </c>
      <c r="C3182" s="1">
        <v>42534</v>
      </c>
      <c r="D3182" s="2">
        <f t="shared" si="98"/>
        <v>1</v>
      </c>
      <c r="E3182" s="2">
        <f t="shared" si="99"/>
        <v>6</v>
      </c>
      <c r="F3182">
        <v>10.505599999999999</v>
      </c>
      <c r="G3182">
        <v>10.505599999999999</v>
      </c>
      <c r="H3182">
        <v>10.207800000000001</v>
      </c>
      <c r="I3182">
        <v>10.378</v>
      </c>
      <c r="J3182">
        <v>46820</v>
      </c>
      <c r="K3182">
        <v>-1.6261000000000001</v>
      </c>
      <c r="L3182">
        <v>2.9167000000000001</v>
      </c>
    </row>
    <row r="3183" spans="1:12" hidden="1" x14ac:dyDescent="0.25">
      <c r="A3183">
        <v>2330</v>
      </c>
      <c r="B3183" t="s">
        <v>11</v>
      </c>
      <c r="C3183" s="1">
        <v>42534</v>
      </c>
      <c r="D3183" s="2">
        <f t="shared" si="98"/>
        <v>1</v>
      </c>
      <c r="E3183" s="2">
        <f t="shared" si="99"/>
        <v>6</v>
      </c>
      <c r="F3183">
        <v>136.6146</v>
      </c>
      <c r="G3183">
        <v>137.88740000000001</v>
      </c>
      <c r="H3183">
        <v>136.6146</v>
      </c>
      <c r="I3183">
        <v>137.4632</v>
      </c>
      <c r="J3183">
        <v>54689</v>
      </c>
      <c r="K3183">
        <v>-2.1375000000000002</v>
      </c>
      <c r="L3183">
        <v>0.93169999999999997</v>
      </c>
    </row>
    <row r="3184" spans="1:12" x14ac:dyDescent="0.25">
      <c r="A3184">
        <v>2303</v>
      </c>
      <c r="B3184" t="s">
        <v>10</v>
      </c>
      <c r="C3184" s="1">
        <v>42535</v>
      </c>
      <c r="D3184" s="2">
        <f t="shared" si="98"/>
        <v>2</v>
      </c>
      <c r="E3184" s="2">
        <f t="shared" si="99"/>
        <v>6</v>
      </c>
      <c r="F3184">
        <v>10.3354</v>
      </c>
      <c r="G3184">
        <v>10.378</v>
      </c>
      <c r="H3184">
        <v>10.207800000000001</v>
      </c>
      <c r="I3184">
        <v>10.292899999999999</v>
      </c>
      <c r="J3184">
        <v>25940</v>
      </c>
      <c r="K3184">
        <v>-0.82299999999999995</v>
      </c>
      <c r="L3184">
        <v>1.6667000000000001</v>
      </c>
    </row>
    <row r="3185" spans="1:12" hidden="1" x14ac:dyDescent="0.25">
      <c r="A3185">
        <v>2330</v>
      </c>
      <c r="B3185" t="s">
        <v>11</v>
      </c>
      <c r="C3185" s="1">
        <v>42535</v>
      </c>
      <c r="D3185" s="2">
        <f t="shared" si="98"/>
        <v>2</v>
      </c>
      <c r="E3185" s="2">
        <f t="shared" si="99"/>
        <v>6</v>
      </c>
      <c r="F3185">
        <v>136.6146</v>
      </c>
      <c r="G3185">
        <v>138.3117</v>
      </c>
      <c r="H3185">
        <v>136.6146</v>
      </c>
      <c r="I3185">
        <v>137.4632</v>
      </c>
      <c r="J3185">
        <v>27823</v>
      </c>
      <c r="K3185">
        <v>0</v>
      </c>
      <c r="L3185">
        <v>1.2422</v>
      </c>
    </row>
    <row r="3186" spans="1:12" x14ac:dyDescent="0.25">
      <c r="A3186">
        <v>2303</v>
      </c>
      <c r="B3186" t="s">
        <v>10</v>
      </c>
      <c r="C3186" s="1">
        <v>42536</v>
      </c>
      <c r="D3186" s="2">
        <f t="shared" si="98"/>
        <v>3</v>
      </c>
      <c r="E3186" s="2">
        <f t="shared" si="99"/>
        <v>6</v>
      </c>
      <c r="F3186">
        <v>10.292899999999999</v>
      </c>
      <c r="G3186">
        <v>10.420500000000001</v>
      </c>
      <c r="H3186">
        <v>10.250400000000001</v>
      </c>
      <c r="I3186">
        <v>10.420500000000001</v>
      </c>
      <c r="J3186">
        <v>19786</v>
      </c>
      <c r="K3186">
        <v>1.232</v>
      </c>
      <c r="L3186">
        <v>1.6597999999999999</v>
      </c>
    </row>
    <row r="3187" spans="1:12" hidden="1" x14ac:dyDescent="0.25">
      <c r="A3187">
        <v>2330</v>
      </c>
      <c r="B3187" t="s">
        <v>11</v>
      </c>
      <c r="C3187" s="1">
        <v>42536</v>
      </c>
      <c r="D3187" s="2">
        <f t="shared" si="98"/>
        <v>3</v>
      </c>
      <c r="E3187" s="2">
        <f t="shared" si="99"/>
        <v>6</v>
      </c>
      <c r="F3187">
        <v>137.4632</v>
      </c>
      <c r="G3187">
        <v>138.3117</v>
      </c>
      <c r="H3187">
        <v>136.6146</v>
      </c>
      <c r="I3187">
        <v>138.3117</v>
      </c>
      <c r="J3187">
        <v>29328</v>
      </c>
      <c r="K3187">
        <v>0.61539999999999995</v>
      </c>
      <c r="L3187">
        <v>1.2422</v>
      </c>
    </row>
    <row r="3188" spans="1:12" x14ac:dyDescent="0.25">
      <c r="A3188">
        <v>2303</v>
      </c>
      <c r="B3188" t="s">
        <v>10</v>
      </c>
      <c r="C3188" s="1">
        <v>42537</v>
      </c>
      <c r="D3188" s="2">
        <f t="shared" si="98"/>
        <v>4</v>
      </c>
      <c r="E3188" s="2">
        <f t="shared" si="99"/>
        <v>6</v>
      </c>
      <c r="F3188">
        <v>10.420500000000001</v>
      </c>
      <c r="G3188">
        <v>10.420500000000001</v>
      </c>
      <c r="H3188">
        <v>10.1228</v>
      </c>
      <c r="I3188">
        <v>10.207800000000001</v>
      </c>
      <c r="J3188">
        <v>27551</v>
      </c>
      <c r="K3188">
        <v>-2.0619000000000001</v>
      </c>
      <c r="L3188">
        <v>2.9411999999999998</v>
      </c>
    </row>
    <row r="3189" spans="1:12" hidden="1" x14ac:dyDescent="0.25">
      <c r="A3189">
        <v>2330</v>
      </c>
      <c r="B3189" t="s">
        <v>11</v>
      </c>
      <c r="C3189" s="1">
        <v>42537</v>
      </c>
      <c r="D3189" s="2">
        <f t="shared" si="98"/>
        <v>4</v>
      </c>
      <c r="E3189" s="2">
        <f t="shared" si="99"/>
        <v>6</v>
      </c>
      <c r="F3189">
        <v>137.03890000000001</v>
      </c>
      <c r="G3189">
        <v>137.88740000000001</v>
      </c>
      <c r="H3189">
        <v>135.34180000000001</v>
      </c>
      <c r="I3189">
        <v>136.19030000000001</v>
      </c>
      <c r="J3189">
        <v>36957</v>
      </c>
      <c r="K3189">
        <v>-1.5456000000000001</v>
      </c>
      <c r="L3189">
        <v>1.8809</v>
      </c>
    </row>
    <row r="3190" spans="1:12" x14ac:dyDescent="0.25">
      <c r="A3190">
        <v>2303</v>
      </c>
      <c r="B3190" t="s">
        <v>10</v>
      </c>
      <c r="C3190" s="1">
        <v>42538</v>
      </c>
      <c r="D3190" s="2">
        <f t="shared" si="98"/>
        <v>5</v>
      </c>
      <c r="E3190" s="2">
        <f t="shared" si="99"/>
        <v>6</v>
      </c>
      <c r="F3190">
        <v>10.207800000000001</v>
      </c>
      <c r="G3190">
        <v>10.3354</v>
      </c>
      <c r="H3190">
        <v>10.207800000000001</v>
      </c>
      <c r="I3190">
        <v>10.3354</v>
      </c>
      <c r="J3190">
        <v>35633</v>
      </c>
      <c r="K3190">
        <v>1.2423</v>
      </c>
      <c r="L3190">
        <v>1.25</v>
      </c>
    </row>
    <row r="3191" spans="1:12" hidden="1" x14ac:dyDescent="0.25">
      <c r="A3191">
        <v>2330</v>
      </c>
      <c r="B3191" t="s">
        <v>11</v>
      </c>
      <c r="C3191" s="1">
        <v>42538</v>
      </c>
      <c r="D3191" s="2">
        <f t="shared" si="98"/>
        <v>5</v>
      </c>
      <c r="E3191" s="2">
        <f t="shared" si="99"/>
        <v>6</v>
      </c>
      <c r="F3191">
        <v>137.88740000000001</v>
      </c>
      <c r="G3191">
        <v>139.58449999999999</v>
      </c>
      <c r="H3191">
        <v>137.4632</v>
      </c>
      <c r="I3191">
        <v>138.3117</v>
      </c>
      <c r="J3191">
        <v>31326</v>
      </c>
      <c r="K3191">
        <v>1.5456000000000001</v>
      </c>
      <c r="L3191">
        <v>1.5431999999999999</v>
      </c>
    </row>
    <row r="3192" spans="1:12" x14ac:dyDescent="0.25">
      <c r="A3192">
        <v>2303</v>
      </c>
      <c r="B3192" t="s">
        <v>10</v>
      </c>
      <c r="C3192" s="1">
        <v>42541</v>
      </c>
      <c r="D3192" s="2">
        <f t="shared" si="98"/>
        <v>1</v>
      </c>
      <c r="E3192" s="2">
        <f t="shared" si="99"/>
        <v>6</v>
      </c>
      <c r="F3192">
        <v>10.3354</v>
      </c>
      <c r="G3192">
        <v>10.5906</v>
      </c>
      <c r="H3192">
        <v>10.292899999999999</v>
      </c>
      <c r="I3192">
        <v>10.5906</v>
      </c>
      <c r="J3192">
        <v>31788</v>
      </c>
      <c r="K3192">
        <v>2.4390999999999998</v>
      </c>
      <c r="L3192">
        <v>2.8925999999999998</v>
      </c>
    </row>
    <row r="3193" spans="1:12" hidden="1" x14ac:dyDescent="0.25">
      <c r="A3193">
        <v>2330</v>
      </c>
      <c r="B3193" t="s">
        <v>11</v>
      </c>
      <c r="C3193" s="1">
        <v>42541</v>
      </c>
      <c r="D3193" s="2">
        <f t="shared" si="98"/>
        <v>1</v>
      </c>
      <c r="E3193" s="2">
        <f t="shared" si="99"/>
        <v>6</v>
      </c>
      <c r="F3193">
        <v>139.58449999999999</v>
      </c>
      <c r="G3193">
        <v>140.00880000000001</v>
      </c>
      <c r="H3193">
        <v>138.3117</v>
      </c>
      <c r="I3193">
        <v>138.3117</v>
      </c>
      <c r="J3193">
        <v>24949</v>
      </c>
      <c r="K3193">
        <v>0</v>
      </c>
      <c r="L3193">
        <v>1.2270000000000001</v>
      </c>
    </row>
    <row r="3194" spans="1:12" x14ac:dyDescent="0.25">
      <c r="A3194">
        <v>2303</v>
      </c>
      <c r="B3194" t="s">
        <v>10</v>
      </c>
      <c r="C3194" s="1">
        <v>42542</v>
      </c>
      <c r="D3194" s="2">
        <f t="shared" si="98"/>
        <v>2</v>
      </c>
      <c r="E3194" s="2">
        <f t="shared" si="99"/>
        <v>6</v>
      </c>
      <c r="F3194">
        <v>10.5906</v>
      </c>
      <c r="G3194">
        <v>10.633100000000001</v>
      </c>
      <c r="H3194">
        <v>10.420500000000001</v>
      </c>
      <c r="I3194">
        <v>10.420500000000001</v>
      </c>
      <c r="J3194">
        <v>29126</v>
      </c>
      <c r="K3194">
        <v>-1.6194999999999999</v>
      </c>
      <c r="L3194">
        <v>2.0407999999999999</v>
      </c>
    </row>
    <row r="3195" spans="1:12" hidden="1" x14ac:dyDescent="0.25">
      <c r="A3195">
        <v>2330</v>
      </c>
      <c r="B3195" t="s">
        <v>11</v>
      </c>
      <c r="C3195" s="1">
        <v>42542</v>
      </c>
      <c r="D3195" s="2">
        <f t="shared" si="98"/>
        <v>2</v>
      </c>
      <c r="E3195" s="2">
        <f t="shared" si="99"/>
        <v>6</v>
      </c>
      <c r="F3195">
        <v>139.1602</v>
      </c>
      <c r="G3195">
        <v>140.43299999999999</v>
      </c>
      <c r="H3195">
        <v>138.73599999999999</v>
      </c>
      <c r="I3195">
        <v>140.43299999999999</v>
      </c>
      <c r="J3195">
        <v>28042</v>
      </c>
      <c r="K3195">
        <v>1.5221</v>
      </c>
      <c r="L3195">
        <v>1.2232000000000001</v>
      </c>
    </row>
    <row r="3196" spans="1:12" x14ac:dyDescent="0.25">
      <c r="A3196">
        <v>2303</v>
      </c>
      <c r="B3196" t="s">
        <v>10</v>
      </c>
      <c r="C3196" s="1">
        <v>42543</v>
      </c>
      <c r="D3196" s="2">
        <f t="shared" si="98"/>
        <v>3</v>
      </c>
      <c r="E3196" s="2">
        <f t="shared" si="99"/>
        <v>6</v>
      </c>
      <c r="F3196">
        <v>10.462999999999999</v>
      </c>
      <c r="G3196">
        <v>10.633100000000001</v>
      </c>
      <c r="H3196">
        <v>10.420500000000001</v>
      </c>
      <c r="I3196">
        <v>10.5906</v>
      </c>
      <c r="J3196">
        <v>27867</v>
      </c>
      <c r="K3196">
        <v>1.6194999999999999</v>
      </c>
      <c r="L3196">
        <v>2.0407999999999999</v>
      </c>
    </row>
    <row r="3197" spans="1:12" hidden="1" x14ac:dyDescent="0.25">
      <c r="A3197">
        <v>2330</v>
      </c>
      <c r="B3197" t="s">
        <v>11</v>
      </c>
      <c r="C3197" s="1">
        <v>42543</v>
      </c>
      <c r="D3197" s="2">
        <f t="shared" si="98"/>
        <v>3</v>
      </c>
      <c r="E3197" s="2">
        <f t="shared" si="99"/>
        <v>6</v>
      </c>
      <c r="F3197">
        <v>139.58449999999999</v>
      </c>
      <c r="G3197">
        <v>140.85730000000001</v>
      </c>
      <c r="H3197">
        <v>138.73599999999999</v>
      </c>
      <c r="I3197">
        <v>140.85730000000001</v>
      </c>
      <c r="J3197">
        <v>30409</v>
      </c>
      <c r="K3197">
        <v>0.30170000000000002</v>
      </c>
      <c r="L3197">
        <v>1.5290999999999999</v>
      </c>
    </row>
    <row r="3198" spans="1:12" x14ac:dyDescent="0.25">
      <c r="A3198">
        <v>2303</v>
      </c>
      <c r="B3198" t="s">
        <v>10</v>
      </c>
      <c r="C3198" s="1">
        <v>42544</v>
      </c>
      <c r="D3198" s="2">
        <f t="shared" si="98"/>
        <v>4</v>
      </c>
      <c r="E3198" s="2">
        <f t="shared" si="99"/>
        <v>6</v>
      </c>
      <c r="F3198">
        <v>10.5481</v>
      </c>
      <c r="G3198">
        <v>10.7182</v>
      </c>
      <c r="H3198">
        <v>10.505599999999999</v>
      </c>
      <c r="I3198">
        <v>10.675700000000001</v>
      </c>
      <c r="J3198">
        <v>38214</v>
      </c>
      <c r="K3198">
        <v>0.8</v>
      </c>
      <c r="L3198">
        <v>2.0243000000000002</v>
      </c>
    </row>
    <row r="3199" spans="1:12" hidden="1" x14ac:dyDescent="0.25">
      <c r="A3199">
        <v>2330</v>
      </c>
      <c r="B3199" t="s">
        <v>11</v>
      </c>
      <c r="C3199" s="1">
        <v>42544</v>
      </c>
      <c r="D3199" s="2">
        <f t="shared" si="98"/>
        <v>4</v>
      </c>
      <c r="E3199" s="2">
        <f t="shared" si="99"/>
        <v>6</v>
      </c>
      <c r="F3199">
        <v>140.43299999999999</v>
      </c>
      <c r="G3199">
        <v>140.85730000000001</v>
      </c>
      <c r="H3199">
        <v>139.1602</v>
      </c>
      <c r="I3199">
        <v>139.1602</v>
      </c>
      <c r="J3199">
        <v>22592</v>
      </c>
      <c r="K3199">
        <v>-1.2121</v>
      </c>
      <c r="L3199">
        <v>1.2195</v>
      </c>
    </row>
    <row r="3200" spans="1:12" x14ac:dyDescent="0.25">
      <c r="A3200">
        <v>2303</v>
      </c>
      <c r="B3200" t="s">
        <v>10</v>
      </c>
      <c r="C3200" s="1">
        <v>42545</v>
      </c>
      <c r="D3200" s="2">
        <f t="shared" si="98"/>
        <v>5</v>
      </c>
      <c r="E3200" s="2">
        <f t="shared" si="99"/>
        <v>6</v>
      </c>
      <c r="F3200">
        <v>10.675700000000001</v>
      </c>
      <c r="G3200">
        <v>10.675700000000001</v>
      </c>
      <c r="H3200">
        <v>10.1653</v>
      </c>
      <c r="I3200">
        <v>10.207800000000001</v>
      </c>
      <c r="J3200">
        <v>69696</v>
      </c>
      <c r="K3200">
        <v>-4.4813999999999998</v>
      </c>
      <c r="L3200">
        <v>5.0209000000000001</v>
      </c>
    </row>
    <row r="3201" spans="1:12" hidden="1" x14ac:dyDescent="0.25">
      <c r="A3201">
        <v>2330</v>
      </c>
      <c r="B3201" t="s">
        <v>11</v>
      </c>
      <c r="C3201" s="1">
        <v>42545</v>
      </c>
      <c r="D3201" s="2">
        <f t="shared" si="98"/>
        <v>5</v>
      </c>
      <c r="E3201" s="2">
        <f t="shared" si="99"/>
        <v>6</v>
      </c>
      <c r="F3201">
        <v>139.1602</v>
      </c>
      <c r="G3201">
        <v>139.1602</v>
      </c>
      <c r="H3201">
        <v>131.09909999999999</v>
      </c>
      <c r="I3201">
        <v>134.91749999999999</v>
      </c>
      <c r="J3201">
        <v>86994</v>
      </c>
      <c r="K3201">
        <v>-3.0962000000000001</v>
      </c>
      <c r="L3201">
        <v>6.1489000000000003</v>
      </c>
    </row>
    <row r="3202" spans="1:12" x14ac:dyDescent="0.25">
      <c r="A3202">
        <v>2303</v>
      </c>
      <c r="B3202" t="s">
        <v>10</v>
      </c>
      <c r="C3202" s="1">
        <v>42548</v>
      </c>
      <c r="D3202" s="2">
        <f t="shared" si="98"/>
        <v>1</v>
      </c>
      <c r="E3202" s="2">
        <f t="shared" si="99"/>
        <v>6</v>
      </c>
      <c r="F3202">
        <v>10.250400000000001</v>
      </c>
      <c r="G3202">
        <v>10.633100000000001</v>
      </c>
      <c r="H3202">
        <v>10.207800000000001</v>
      </c>
      <c r="I3202">
        <v>10.5906</v>
      </c>
      <c r="J3202">
        <v>40233</v>
      </c>
      <c r="K3202">
        <v>3.6814</v>
      </c>
      <c r="L3202">
        <v>4.1666999999999996</v>
      </c>
    </row>
    <row r="3203" spans="1:12" hidden="1" x14ac:dyDescent="0.25">
      <c r="A3203">
        <v>2330</v>
      </c>
      <c r="B3203" t="s">
        <v>11</v>
      </c>
      <c r="C3203" s="1">
        <v>42548</v>
      </c>
      <c r="D3203" s="2">
        <f t="shared" ref="D3203:D3266" si="100">WEEKDAY(C3203,2)</f>
        <v>1</v>
      </c>
      <c r="E3203" s="2">
        <f t="shared" ref="E3203:E3266" si="101">MONTH(C3203)</f>
        <v>6</v>
      </c>
      <c r="F3203">
        <v>136.24010000000001</v>
      </c>
      <c r="G3203">
        <v>137.56280000000001</v>
      </c>
      <c r="H3203">
        <v>135.79920000000001</v>
      </c>
      <c r="I3203">
        <v>137.12190000000001</v>
      </c>
      <c r="J3203">
        <v>43401</v>
      </c>
      <c r="K3203">
        <v>1.5601</v>
      </c>
      <c r="L3203">
        <v>1.2987</v>
      </c>
    </row>
    <row r="3204" spans="1:12" x14ac:dyDescent="0.25">
      <c r="A3204">
        <v>2303</v>
      </c>
      <c r="B3204" t="s">
        <v>10</v>
      </c>
      <c r="C3204" s="1">
        <v>42549</v>
      </c>
      <c r="D3204" s="2">
        <f t="shared" si="100"/>
        <v>2</v>
      </c>
      <c r="E3204" s="2">
        <f t="shared" si="101"/>
        <v>6</v>
      </c>
      <c r="F3204">
        <v>10.5481</v>
      </c>
      <c r="G3204">
        <v>10.5481</v>
      </c>
      <c r="H3204">
        <v>10.420500000000001</v>
      </c>
      <c r="I3204">
        <v>10.462999999999999</v>
      </c>
      <c r="J3204">
        <v>32104</v>
      </c>
      <c r="K3204">
        <v>-1.2121</v>
      </c>
      <c r="L3204">
        <v>1.2244999999999999</v>
      </c>
    </row>
    <row r="3205" spans="1:12" hidden="1" x14ac:dyDescent="0.25">
      <c r="A3205">
        <v>2330</v>
      </c>
      <c r="B3205" t="s">
        <v>11</v>
      </c>
      <c r="C3205" s="1">
        <v>42549</v>
      </c>
      <c r="D3205" s="2">
        <f t="shared" si="100"/>
        <v>2</v>
      </c>
      <c r="E3205" s="2">
        <f t="shared" si="101"/>
        <v>6</v>
      </c>
      <c r="F3205">
        <v>137.12190000000001</v>
      </c>
      <c r="G3205">
        <v>138.88550000000001</v>
      </c>
      <c r="H3205">
        <v>136.68100000000001</v>
      </c>
      <c r="I3205">
        <v>138.44460000000001</v>
      </c>
      <c r="J3205">
        <v>39095</v>
      </c>
      <c r="K3205">
        <v>0.96</v>
      </c>
      <c r="L3205">
        <v>1.6129</v>
      </c>
    </row>
    <row r="3206" spans="1:12" x14ac:dyDescent="0.25">
      <c r="A3206">
        <v>2303</v>
      </c>
      <c r="B3206" t="s">
        <v>10</v>
      </c>
      <c r="C3206" s="1">
        <v>42550</v>
      </c>
      <c r="D3206" s="2">
        <f t="shared" si="100"/>
        <v>3</v>
      </c>
      <c r="E3206" s="2">
        <f t="shared" si="101"/>
        <v>6</v>
      </c>
      <c r="F3206">
        <v>10.5481</v>
      </c>
      <c r="G3206">
        <v>10.675700000000001</v>
      </c>
      <c r="H3206">
        <v>10.505599999999999</v>
      </c>
      <c r="I3206">
        <v>10.675700000000001</v>
      </c>
      <c r="J3206">
        <v>24539</v>
      </c>
      <c r="K3206">
        <v>2.0121000000000002</v>
      </c>
      <c r="L3206">
        <v>1.6194</v>
      </c>
    </row>
    <row r="3207" spans="1:12" hidden="1" x14ac:dyDescent="0.25">
      <c r="A3207">
        <v>2330</v>
      </c>
      <c r="B3207" t="s">
        <v>11</v>
      </c>
      <c r="C3207" s="1">
        <v>42550</v>
      </c>
      <c r="D3207" s="2">
        <f t="shared" si="100"/>
        <v>3</v>
      </c>
      <c r="E3207" s="2">
        <f t="shared" si="101"/>
        <v>6</v>
      </c>
      <c r="F3207">
        <v>139.76740000000001</v>
      </c>
      <c r="G3207">
        <v>141.09010000000001</v>
      </c>
      <c r="H3207">
        <v>139.32650000000001</v>
      </c>
      <c r="I3207">
        <v>140.20830000000001</v>
      </c>
      <c r="J3207">
        <v>32131</v>
      </c>
      <c r="K3207">
        <v>1.2658</v>
      </c>
      <c r="L3207">
        <v>1.2658</v>
      </c>
    </row>
    <row r="3208" spans="1:12" x14ac:dyDescent="0.25">
      <c r="A3208">
        <v>2303</v>
      </c>
      <c r="B3208" t="s">
        <v>10</v>
      </c>
      <c r="C3208" s="1">
        <v>42551</v>
      </c>
      <c r="D3208" s="2">
        <f t="shared" si="100"/>
        <v>4</v>
      </c>
      <c r="E3208" s="2">
        <f t="shared" si="101"/>
        <v>6</v>
      </c>
      <c r="F3208">
        <v>10.7182</v>
      </c>
      <c r="G3208">
        <v>10.7182</v>
      </c>
      <c r="H3208">
        <v>10.5906</v>
      </c>
      <c r="I3208">
        <v>10.7182</v>
      </c>
      <c r="J3208">
        <v>16744</v>
      </c>
      <c r="K3208">
        <v>0.39760000000000001</v>
      </c>
      <c r="L3208">
        <v>1.2048000000000001</v>
      </c>
    </row>
    <row r="3209" spans="1:12" hidden="1" x14ac:dyDescent="0.25">
      <c r="A3209">
        <v>2330</v>
      </c>
      <c r="B3209" t="s">
        <v>11</v>
      </c>
      <c r="C3209" s="1">
        <v>42551</v>
      </c>
      <c r="D3209" s="2">
        <f t="shared" si="100"/>
        <v>4</v>
      </c>
      <c r="E3209" s="2">
        <f t="shared" si="101"/>
        <v>6</v>
      </c>
      <c r="F3209">
        <v>141.97190000000001</v>
      </c>
      <c r="G3209">
        <v>143.7355</v>
      </c>
      <c r="H3209">
        <v>140.64920000000001</v>
      </c>
      <c r="I3209">
        <v>143.2946</v>
      </c>
      <c r="J3209">
        <v>42854</v>
      </c>
      <c r="K3209">
        <v>2.1774</v>
      </c>
      <c r="L3209">
        <v>2.1943999999999999</v>
      </c>
    </row>
    <row r="3210" spans="1:12" x14ac:dyDescent="0.25">
      <c r="A3210">
        <v>2303</v>
      </c>
      <c r="B3210" t="s">
        <v>10</v>
      </c>
      <c r="C3210" s="1">
        <v>42552</v>
      </c>
      <c r="D3210" s="2">
        <f t="shared" si="100"/>
        <v>5</v>
      </c>
      <c r="E3210" s="2">
        <f t="shared" si="101"/>
        <v>7</v>
      </c>
      <c r="F3210">
        <v>10.7607</v>
      </c>
      <c r="G3210">
        <v>10.8033</v>
      </c>
      <c r="H3210">
        <v>10.675700000000001</v>
      </c>
      <c r="I3210">
        <v>10.675700000000001</v>
      </c>
      <c r="J3210">
        <v>20915</v>
      </c>
      <c r="K3210">
        <v>-0.39760000000000001</v>
      </c>
      <c r="L3210">
        <v>1.1952</v>
      </c>
    </row>
    <row r="3211" spans="1:12" hidden="1" x14ac:dyDescent="0.25">
      <c r="A3211">
        <v>2330</v>
      </c>
      <c r="B3211" t="s">
        <v>11</v>
      </c>
      <c r="C3211" s="1">
        <v>42552</v>
      </c>
      <c r="D3211" s="2">
        <f t="shared" si="100"/>
        <v>5</v>
      </c>
      <c r="E3211" s="2">
        <f t="shared" si="101"/>
        <v>7</v>
      </c>
      <c r="F3211">
        <v>145.0582</v>
      </c>
      <c r="G3211">
        <v>146.381</v>
      </c>
      <c r="H3211">
        <v>144.1764</v>
      </c>
      <c r="I3211">
        <v>146.381</v>
      </c>
      <c r="J3211">
        <v>36577</v>
      </c>
      <c r="K3211">
        <v>2.1309999999999998</v>
      </c>
      <c r="L3211">
        <v>1.5290999999999999</v>
      </c>
    </row>
    <row r="3212" spans="1:12" x14ac:dyDescent="0.25">
      <c r="A3212">
        <v>2303</v>
      </c>
      <c r="B3212" t="s">
        <v>10</v>
      </c>
      <c r="C3212" s="1">
        <v>42555</v>
      </c>
      <c r="D3212" s="2">
        <f t="shared" si="100"/>
        <v>1</v>
      </c>
      <c r="E3212" s="2">
        <f t="shared" si="101"/>
        <v>7</v>
      </c>
      <c r="F3212">
        <v>10.675700000000001</v>
      </c>
      <c r="G3212">
        <v>10.8033</v>
      </c>
      <c r="H3212">
        <v>10.675700000000001</v>
      </c>
      <c r="I3212">
        <v>10.7607</v>
      </c>
      <c r="J3212">
        <v>18420</v>
      </c>
      <c r="K3212">
        <v>0.79369999999999996</v>
      </c>
      <c r="L3212">
        <v>1.1952</v>
      </c>
    </row>
    <row r="3213" spans="1:12" hidden="1" x14ac:dyDescent="0.25">
      <c r="A3213">
        <v>2330</v>
      </c>
      <c r="B3213" t="s">
        <v>11</v>
      </c>
      <c r="C3213" s="1">
        <v>42555</v>
      </c>
      <c r="D3213" s="2">
        <f t="shared" si="100"/>
        <v>1</v>
      </c>
      <c r="E3213" s="2">
        <f t="shared" si="101"/>
        <v>7</v>
      </c>
      <c r="F3213">
        <v>145.9401</v>
      </c>
      <c r="G3213">
        <v>146.8219</v>
      </c>
      <c r="H3213">
        <v>145.0582</v>
      </c>
      <c r="I3213">
        <v>146.381</v>
      </c>
      <c r="J3213">
        <v>25968</v>
      </c>
      <c r="K3213">
        <v>0</v>
      </c>
      <c r="L3213">
        <v>1.2158</v>
      </c>
    </row>
    <row r="3214" spans="1:12" x14ac:dyDescent="0.25">
      <c r="A3214">
        <v>2303</v>
      </c>
      <c r="B3214" t="s">
        <v>10</v>
      </c>
      <c r="C3214" s="1">
        <v>42556</v>
      </c>
      <c r="D3214" s="2">
        <f t="shared" si="100"/>
        <v>2</v>
      </c>
      <c r="E3214" s="2">
        <f t="shared" si="101"/>
        <v>7</v>
      </c>
      <c r="F3214">
        <v>10.7607</v>
      </c>
      <c r="G3214">
        <v>10.8033</v>
      </c>
      <c r="H3214">
        <v>10.675700000000001</v>
      </c>
      <c r="I3214">
        <v>10.7182</v>
      </c>
      <c r="J3214">
        <v>11136</v>
      </c>
      <c r="K3214">
        <v>-0.39600000000000002</v>
      </c>
      <c r="L3214">
        <v>1.1952</v>
      </c>
    </row>
    <row r="3215" spans="1:12" hidden="1" x14ac:dyDescent="0.25">
      <c r="A3215">
        <v>2330</v>
      </c>
      <c r="B3215" t="s">
        <v>11</v>
      </c>
      <c r="C3215" s="1">
        <v>42556</v>
      </c>
      <c r="D3215" s="2">
        <f t="shared" si="100"/>
        <v>2</v>
      </c>
      <c r="E3215" s="2">
        <f t="shared" si="101"/>
        <v>7</v>
      </c>
      <c r="F3215">
        <v>145.4991</v>
      </c>
      <c r="G3215">
        <v>145.9401</v>
      </c>
      <c r="H3215">
        <v>144.6173</v>
      </c>
      <c r="I3215">
        <v>144.6173</v>
      </c>
      <c r="J3215">
        <v>16422</v>
      </c>
      <c r="K3215">
        <v>-1.2121</v>
      </c>
      <c r="L3215">
        <v>0.91459999999999997</v>
      </c>
    </row>
    <row r="3216" spans="1:12" x14ac:dyDescent="0.25">
      <c r="A3216">
        <v>2303</v>
      </c>
      <c r="B3216" t="s">
        <v>10</v>
      </c>
      <c r="C3216" s="1">
        <v>42557</v>
      </c>
      <c r="D3216" s="2">
        <f t="shared" si="100"/>
        <v>3</v>
      </c>
      <c r="E3216" s="2">
        <f t="shared" si="101"/>
        <v>7</v>
      </c>
      <c r="F3216">
        <v>10.675700000000001</v>
      </c>
      <c r="G3216">
        <v>10.675700000000001</v>
      </c>
      <c r="H3216">
        <v>10.505599999999999</v>
      </c>
      <c r="I3216">
        <v>10.505599999999999</v>
      </c>
      <c r="J3216">
        <v>32563</v>
      </c>
      <c r="K3216">
        <v>-2.0041000000000002</v>
      </c>
      <c r="L3216">
        <v>1.6194</v>
      </c>
    </row>
    <row r="3217" spans="1:12" hidden="1" x14ac:dyDescent="0.25">
      <c r="A3217">
        <v>2330</v>
      </c>
      <c r="B3217" t="s">
        <v>11</v>
      </c>
      <c r="C3217" s="1">
        <v>42557</v>
      </c>
      <c r="D3217" s="2">
        <f t="shared" si="100"/>
        <v>3</v>
      </c>
      <c r="E3217" s="2">
        <f t="shared" si="101"/>
        <v>7</v>
      </c>
      <c r="F3217">
        <v>143.7355</v>
      </c>
      <c r="G3217">
        <v>143.7355</v>
      </c>
      <c r="H3217">
        <v>141.53100000000001</v>
      </c>
      <c r="I3217">
        <v>142.4128</v>
      </c>
      <c r="J3217">
        <v>35100</v>
      </c>
      <c r="K3217">
        <v>-1.5361</v>
      </c>
      <c r="L3217">
        <v>1.5576000000000001</v>
      </c>
    </row>
    <row r="3218" spans="1:12" x14ac:dyDescent="0.25">
      <c r="A3218">
        <v>2303</v>
      </c>
      <c r="B3218" t="s">
        <v>10</v>
      </c>
      <c r="C3218" s="1">
        <v>42558</v>
      </c>
      <c r="D3218" s="2">
        <f t="shared" si="100"/>
        <v>4</v>
      </c>
      <c r="E3218" s="2">
        <f t="shared" si="101"/>
        <v>7</v>
      </c>
      <c r="F3218">
        <v>10.5481</v>
      </c>
      <c r="G3218">
        <v>10.675700000000001</v>
      </c>
      <c r="H3218">
        <v>10.5481</v>
      </c>
      <c r="I3218">
        <v>10.5481</v>
      </c>
      <c r="J3218">
        <v>64390</v>
      </c>
      <c r="K3218">
        <v>0.40400000000000003</v>
      </c>
      <c r="L3218">
        <v>1.2097</v>
      </c>
    </row>
    <row r="3219" spans="1:12" hidden="1" x14ac:dyDescent="0.25">
      <c r="A3219">
        <v>2330</v>
      </c>
      <c r="B3219" t="s">
        <v>11</v>
      </c>
      <c r="C3219" s="1">
        <v>42558</v>
      </c>
      <c r="D3219" s="2">
        <f t="shared" si="100"/>
        <v>4</v>
      </c>
      <c r="E3219" s="2">
        <f t="shared" si="101"/>
        <v>7</v>
      </c>
      <c r="F3219">
        <v>144.1764</v>
      </c>
      <c r="G3219">
        <v>145.4991</v>
      </c>
      <c r="H3219">
        <v>143.7355</v>
      </c>
      <c r="I3219">
        <v>145.0582</v>
      </c>
      <c r="J3219">
        <v>24442</v>
      </c>
      <c r="K3219">
        <v>1.8405</v>
      </c>
      <c r="L3219">
        <v>1.2270000000000001</v>
      </c>
    </row>
    <row r="3220" spans="1:12" x14ac:dyDescent="0.25">
      <c r="A3220">
        <v>2303</v>
      </c>
      <c r="B3220" t="s">
        <v>10</v>
      </c>
      <c r="C3220" s="1">
        <v>42562</v>
      </c>
      <c r="D3220" s="2">
        <f t="shared" si="100"/>
        <v>1</v>
      </c>
      <c r="E3220" s="2">
        <f t="shared" si="101"/>
        <v>7</v>
      </c>
      <c r="F3220">
        <v>10.8033</v>
      </c>
      <c r="G3220">
        <v>11.0585</v>
      </c>
      <c r="H3220">
        <v>10.7607</v>
      </c>
      <c r="I3220">
        <v>11.0159</v>
      </c>
      <c r="J3220">
        <v>151252</v>
      </c>
      <c r="K3220">
        <v>4.3399000000000001</v>
      </c>
      <c r="L3220">
        <v>2.7667999999999999</v>
      </c>
    </row>
    <row r="3221" spans="1:12" hidden="1" x14ac:dyDescent="0.25">
      <c r="A3221">
        <v>2330</v>
      </c>
      <c r="B3221" t="s">
        <v>11</v>
      </c>
      <c r="C3221" s="1">
        <v>42562</v>
      </c>
      <c r="D3221" s="2">
        <f t="shared" si="100"/>
        <v>1</v>
      </c>
      <c r="E3221" s="2">
        <f t="shared" si="101"/>
        <v>7</v>
      </c>
      <c r="F3221">
        <v>149.90819999999999</v>
      </c>
      <c r="G3221">
        <v>150.34909999999999</v>
      </c>
      <c r="H3221">
        <v>148.5855</v>
      </c>
      <c r="I3221">
        <v>149.90819999999999</v>
      </c>
      <c r="J3221">
        <v>53434</v>
      </c>
      <c r="K3221">
        <v>3.2888000000000002</v>
      </c>
      <c r="L3221">
        <v>1.1869000000000001</v>
      </c>
    </row>
    <row r="3222" spans="1:12" x14ac:dyDescent="0.25">
      <c r="A3222">
        <v>2303</v>
      </c>
      <c r="B3222" t="s">
        <v>10</v>
      </c>
      <c r="C3222" s="1">
        <v>42563</v>
      </c>
      <c r="D3222" s="2">
        <f t="shared" si="100"/>
        <v>2</v>
      </c>
      <c r="E3222" s="2">
        <f t="shared" si="101"/>
        <v>7</v>
      </c>
      <c r="F3222">
        <v>11.1182</v>
      </c>
      <c r="G3222">
        <v>11.1182</v>
      </c>
      <c r="H3222">
        <v>10.940300000000001</v>
      </c>
      <c r="I3222">
        <v>11.0738</v>
      </c>
      <c r="J3222">
        <v>93175</v>
      </c>
      <c r="K3222">
        <v>0.50080000000000002</v>
      </c>
      <c r="L3222">
        <v>1.6259999999999999</v>
      </c>
    </row>
    <row r="3223" spans="1:12" hidden="1" x14ac:dyDescent="0.25">
      <c r="A3223">
        <v>2330</v>
      </c>
      <c r="B3223" t="s">
        <v>11</v>
      </c>
      <c r="C3223" s="1">
        <v>42563</v>
      </c>
      <c r="D3223" s="2">
        <f t="shared" si="100"/>
        <v>2</v>
      </c>
      <c r="E3223" s="2">
        <f t="shared" si="101"/>
        <v>7</v>
      </c>
      <c r="F3223">
        <v>150.79</v>
      </c>
      <c r="G3223">
        <v>151.23089999999999</v>
      </c>
      <c r="H3223">
        <v>149.46729999999999</v>
      </c>
      <c r="I3223">
        <v>150.79</v>
      </c>
      <c r="J3223">
        <v>42128</v>
      </c>
      <c r="K3223">
        <v>0.58650000000000002</v>
      </c>
      <c r="L3223">
        <v>1.1798999999999999</v>
      </c>
    </row>
    <row r="3224" spans="1:12" x14ac:dyDescent="0.25">
      <c r="A3224">
        <v>2303</v>
      </c>
      <c r="B3224" t="s">
        <v>10</v>
      </c>
      <c r="C3224" s="1">
        <v>42564</v>
      </c>
      <c r="D3224" s="2">
        <f t="shared" si="100"/>
        <v>3</v>
      </c>
      <c r="E3224" s="2">
        <f t="shared" si="101"/>
        <v>7</v>
      </c>
      <c r="F3224">
        <v>11.162699999999999</v>
      </c>
      <c r="G3224">
        <v>11.2072</v>
      </c>
      <c r="H3224">
        <v>10.9848</v>
      </c>
      <c r="I3224">
        <v>11.1182</v>
      </c>
      <c r="J3224">
        <v>45069</v>
      </c>
      <c r="K3224">
        <v>0.40079999999999999</v>
      </c>
      <c r="L3224">
        <v>2.0243000000000002</v>
      </c>
    </row>
    <row r="3225" spans="1:12" hidden="1" x14ac:dyDescent="0.25">
      <c r="A3225">
        <v>2330</v>
      </c>
      <c r="B3225" t="s">
        <v>11</v>
      </c>
      <c r="C3225" s="1">
        <v>42564</v>
      </c>
      <c r="D3225" s="2">
        <f t="shared" si="100"/>
        <v>3</v>
      </c>
      <c r="E3225" s="2">
        <f t="shared" si="101"/>
        <v>7</v>
      </c>
      <c r="F3225">
        <v>149.46729999999999</v>
      </c>
      <c r="G3225">
        <v>149.90819999999999</v>
      </c>
      <c r="H3225">
        <v>147.2628</v>
      </c>
      <c r="I3225">
        <v>148.5855</v>
      </c>
      <c r="J3225">
        <v>51719</v>
      </c>
      <c r="K3225">
        <v>-1.4728000000000001</v>
      </c>
      <c r="L3225">
        <v>1.7964</v>
      </c>
    </row>
    <row r="3226" spans="1:12" x14ac:dyDescent="0.25">
      <c r="A3226">
        <v>2303</v>
      </c>
      <c r="B3226" t="s">
        <v>10</v>
      </c>
      <c r="C3226" s="1">
        <v>42565</v>
      </c>
      <c r="D3226" s="2">
        <f t="shared" si="100"/>
        <v>4</v>
      </c>
      <c r="E3226" s="2">
        <f t="shared" si="101"/>
        <v>7</v>
      </c>
      <c r="F3226">
        <v>11.1182</v>
      </c>
      <c r="G3226">
        <v>11.1182</v>
      </c>
      <c r="H3226">
        <v>11.029299999999999</v>
      </c>
      <c r="I3226">
        <v>11.1182</v>
      </c>
      <c r="J3226">
        <v>18987</v>
      </c>
      <c r="K3226">
        <v>0</v>
      </c>
      <c r="L3226">
        <v>0.80649999999999999</v>
      </c>
    </row>
    <row r="3227" spans="1:12" hidden="1" x14ac:dyDescent="0.25">
      <c r="A3227">
        <v>2330</v>
      </c>
      <c r="B3227" t="s">
        <v>11</v>
      </c>
      <c r="C3227" s="1">
        <v>42565</v>
      </c>
      <c r="D3227" s="2">
        <f t="shared" si="100"/>
        <v>4</v>
      </c>
      <c r="E3227" s="2">
        <f t="shared" si="101"/>
        <v>7</v>
      </c>
      <c r="F3227">
        <v>147.2628</v>
      </c>
      <c r="G3227">
        <v>149.90819999999999</v>
      </c>
      <c r="H3227">
        <v>147.2628</v>
      </c>
      <c r="I3227">
        <v>149.0264</v>
      </c>
      <c r="J3227">
        <v>36131</v>
      </c>
      <c r="K3227">
        <v>0.29630000000000001</v>
      </c>
      <c r="L3227">
        <v>1.7964</v>
      </c>
    </row>
    <row r="3228" spans="1:12" x14ac:dyDescent="0.25">
      <c r="A3228">
        <v>2303</v>
      </c>
      <c r="B3228" t="s">
        <v>10</v>
      </c>
      <c r="C3228" s="1">
        <v>42566</v>
      </c>
      <c r="D3228" s="2">
        <f t="shared" si="100"/>
        <v>5</v>
      </c>
      <c r="E3228" s="2">
        <f t="shared" si="101"/>
        <v>7</v>
      </c>
      <c r="F3228">
        <v>11.1182</v>
      </c>
      <c r="G3228">
        <v>11.162699999999999</v>
      </c>
      <c r="H3228">
        <v>10.9848</v>
      </c>
      <c r="I3228">
        <v>10.9848</v>
      </c>
      <c r="J3228">
        <v>28714</v>
      </c>
      <c r="K3228">
        <v>-1.2073</v>
      </c>
      <c r="L3228">
        <v>1.6194</v>
      </c>
    </row>
    <row r="3229" spans="1:12" hidden="1" x14ac:dyDescent="0.25">
      <c r="A3229">
        <v>2330</v>
      </c>
      <c r="B3229" t="s">
        <v>11</v>
      </c>
      <c r="C3229" s="1">
        <v>42566</v>
      </c>
      <c r="D3229" s="2">
        <f t="shared" si="100"/>
        <v>5</v>
      </c>
      <c r="E3229" s="2">
        <f t="shared" si="101"/>
        <v>7</v>
      </c>
      <c r="F3229">
        <v>148.1446</v>
      </c>
      <c r="G3229">
        <v>149.46729999999999</v>
      </c>
      <c r="H3229">
        <v>146.8219</v>
      </c>
      <c r="I3229">
        <v>149.46729999999999</v>
      </c>
      <c r="J3229">
        <v>41822</v>
      </c>
      <c r="K3229">
        <v>0.2954</v>
      </c>
      <c r="L3229">
        <v>1.8018000000000001</v>
      </c>
    </row>
    <row r="3230" spans="1:12" x14ac:dyDescent="0.25">
      <c r="A3230">
        <v>2303</v>
      </c>
      <c r="B3230" t="s">
        <v>10</v>
      </c>
      <c r="C3230" s="1">
        <v>42569</v>
      </c>
      <c r="D3230" s="2">
        <f t="shared" si="100"/>
        <v>1</v>
      </c>
      <c r="E3230" s="2">
        <f t="shared" si="101"/>
        <v>7</v>
      </c>
      <c r="F3230">
        <v>11.0738</v>
      </c>
      <c r="G3230">
        <v>11.1182</v>
      </c>
      <c r="H3230">
        <v>11.029299999999999</v>
      </c>
      <c r="I3230">
        <v>11.1182</v>
      </c>
      <c r="J3230">
        <v>23007</v>
      </c>
      <c r="K3230">
        <v>1.2073</v>
      </c>
      <c r="L3230">
        <v>0.80649999999999999</v>
      </c>
    </row>
    <row r="3231" spans="1:12" hidden="1" x14ac:dyDescent="0.25">
      <c r="A3231">
        <v>2330</v>
      </c>
      <c r="B3231" t="s">
        <v>11</v>
      </c>
      <c r="C3231" s="1">
        <v>42569</v>
      </c>
      <c r="D3231" s="2">
        <f t="shared" si="100"/>
        <v>1</v>
      </c>
      <c r="E3231" s="2">
        <f t="shared" si="101"/>
        <v>7</v>
      </c>
      <c r="F3231">
        <v>148.1446</v>
      </c>
      <c r="G3231">
        <v>149.90819999999999</v>
      </c>
      <c r="H3231">
        <v>148.1446</v>
      </c>
      <c r="I3231">
        <v>149.46729999999999</v>
      </c>
      <c r="J3231">
        <v>24774</v>
      </c>
      <c r="K3231">
        <v>0</v>
      </c>
      <c r="L3231">
        <v>1.1904999999999999</v>
      </c>
    </row>
    <row r="3232" spans="1:12" x14ac:dyDescent="0.25">
      <c r="A3232">
        <v>2303</v>
      </c>
      <c r="B3232" t="s">
        <v>10</v>
      </c>
      <c r="C3232" s="1">
        <v>42570</v>
      </c>
      <c r="D3232" s="2">
        <f t="shared" si="100"/>
        <v>2</v>
      </c>
      <c r="E3232" s="2">
        <f t="shared" si="101"/>
        <v>7</v>
      </c>
      <c r="F3232">
        <v>11.0738</v>
      </c>
      <c r="G3232">
        <v>11.1182</v>
      </c>
      <c r="H3232">
        <v>10.9848</v>
      </c>
      <c r="I3232">
        <v>11.0738</v>
      </c>
      <c r="J3232">
        <v>32520</v>
      </c>
      <c r="K3232">
        <v>-0.40079999999999999</v>
      </c>
      <c r="L3232">
        <v>1.2145999999999999</v>
      </c>
    </row>
    <row r="3233" spans="1:12" hidden="1" x14ac:dyDescent="0.25">
      <c r="A3233">
        <v>2330</v>
      </c>
      <c r="B3233" t="s">
        <v>11</v>
      </c>
      <c r="C3233" s="1">
        <v>42570</v>
      </c>
      <c r="D3233" s="2">
        <f t="shared" si="100"/>
        <v>2</v>
      </c>
      <c r="E3233" s="2">
        <f t="shared" si="101"/>
        <v>7</v>
      </c>
      <c r="F3233">
        <v>150.34909999999999</v>
      </c>
      <c r="G3233">
        <v>150.34909999999999</v>
      </c>
      <c r="H3233">
        <v>149.0264</v>
      </c>
      <c r="I3233">
        <v>150.34909999999999</v>
      </c>
      <c r="J3233">
        <v>43707</v>
      </c>
      <c r="K3233">
        <v>0.58819999999999995</v>
      </c>
      <c r="L3233">
        <v>0.88759999999999994</v>
      </c>
    </row>
    <row r="3234" spans="1:12" x14ac:dyDescent="0.25">
      <c r="A3234">
        <v>2303</v>
      </c>
      <c r="B3234" t="s">
        <v>10</v>
      </c>
      <c r="C3234" s="1">
        <v>42571</v>
      </c>
      <c r="D3234" s="2">
        <f t="shared" si="100"/>
        <v>3</v>
      </c>
      <c r="E3234" s="2">
        <f t="shared" si="101"/>
        <v>7</v>
      </c>
      <c r="F3234">
        <v>11.029299999999999</v>
      </c>
      <c r="G3234">
        <v>11.0738</v>
      </c>
      <c r="H3234">
        <v>10.895899999999999</v>
      </c>
      <c r="I3234">
        <v>10.9848</v>
      </c>
      <c r="J3234">
        <v>32052</v>
      </c>
      <c r="K3234">
        <v>-0.80649999999999999</v>
      </c>
      <c r="L3234">
        <v>1.6327</v>
      </c>
    </row>
    <row r="3235" spans="1:12" hidden="1" x14ac:dyDescent="0.25">
      <c r="A3235">
        <v>2330</v>
      </c>
      <c r="B3235" t="s">
        <v>11</v>
      </c>
      <c r="C3235" s="1">
        <v>42571</v>
      </c>
      <c r="D3235" s="2">
        <f t="shared" si="100"/>
        <v>3</v>
      </c>
      <c r="E3235" s="2">
        <f t="shared" si="101"/>
        <v>7</v>
      </c>
      <c r="F3235">
        <v>149.90819999999999</v>
      </c>
      <c r="G3235">
        <v>150.34909999999999</v>
      </c>
      <c r="H3235">
        <v>149.0264</v>
      </c>
      <c r="I3235">
        <v>149.90819999999999</v>
      </c>
      <c r="J3235">
        <v>39076</v>
      </c>
      <c r="K3235">
        <v>-0.29370000000000002</v>
      </c>
      <c r="L3235">
        <v>0.88759999999999994</v>
      </c>
    </row>
    <row r="3236" spans="1:12" x14ac:dyDescent="0.25">
      <c r="A3236">
        <v>2303</v>
      </c>
      <c r="B3236" t="s">
        <v>10</v>
      </c>
      <c r="C3236" s="1">
        <v>42572</v>
      </c>
      <c r="D3236" s="2">
        <f t="shared" si="100"/>
        <v>4</v>
      </c>
      <c r="E3236" s="2">
        <f t="shared" si="101"/>
        <v>7</v>
      </c>
      <c r="F3236">
        <v>11.029299999999999</v>
      </c>
      <c r="G3236">
        <v>11.1182</v>
      </c>
      <c r="H3236">
        <v>10.9848</v>
      </c>
      <c r="I3236">
        <v>11.1182</v>
      </c>
      <c r="J3236">
        <v>29424</v>
      </c>
      <c r="K3236">
        <v>1.2073</v>
      </c>
      <c r="L3236">
        <v>1.2145999999999999</v>
      </c>
    </row>
    <row r="3237" spans="1:12" hidden="1" x14ac:dyDescent="0.25">
      <c r="A3237">
        <v>2330</v>
      </c>
      <c r="B3237" t="s">
        <v>11</v>
      </c>
      <c r="C3237" s="1">
        <v>42572</v>
      </c>
      <c r="D3237" s="2">
        <f t="shared" si="100"/>
        <v>4</v>
      </c>
      <c r="E3237" s="2">
        <f t="shared" si="101"/>
        <v>7</v>
      </c>
      <c r="F3237">
        <v>150.79</v>
      </c>
      <c r="G3237">
        <v>151.67179999999999</v>
      </c>
      <c r="H3237">
        <v>149.90819999999999</v>
      </c>
      <c r="I3237">
        <v>151.67179999999999</v>
      </c>
      <c r="J3237">
        <v>35220</v>
      </c>
      <c r="K3237">
        <v>1.1696</v>
      </c>
      <c r="L3237">
        <v>1.1765000000000001</v>
      </c>
    </row>
    <row r="3238" spans="1:12" x14ac:dyDescent="0.25">
      <c r="A3238">
        <v>2303</v>
      </c>
      <c r="B3238" t="s">
        <v>10</v>
      </c>
      <c r="C3238" s="1">
        <v>42573</v>
      </c>
      <c r="D3238" s="2">
        <f t="shared" si="100"/>
        <v>5</v>
      </c>
      <c r="E3238" s="2">
        <f t="shared" si="101"/>
        <v>7</v>
      </c>
      <c r="F3238">
        <v>11.029299999999999</v>
      </c>
      <c r="G3238">
        <v>11.1182</v>
      </c>
      <c r="H3238">
        <v>10.940300000000001</v>
      </c>
      <c r="I3238">
        <v>10.940300000000001</v>
      </c>
      <c r="J3238">
        <v>25533</v>
      </c>
      <c r="K3238">
        <v>-1.6129</v>
      </c>
      <c r="L3238">
        <v>1.6259999999999999</v>
      </c>
    </row>
    <row r="3239" spans="1:12" hidden="1" x14ac:dyDescent="0.25">
      <c r="A3239">
        <v>2330</v>
      </c>
      <c r="B3239" t="s">
        <v>11</v>
      </c>
      <c r="C3239" s="1">
        <v>42573</v>
      </c>
      <c r="D3239" s="2">
        <f t="shared" si="100"/>
        <v>5</v>
      </c>
      <c r="E3239" s="2">
        <f t="shared" si="101"/>
        <v>7</v>
      </c>
      <c r="F3239">
        <v>151.67179999999999</v>
      </c>
      <c r="G3239">
        <v>151.67179999999999</v>
      </c>
      <c r="H3239">
        <v>150.34909999999999</v>
      </c>
      <c r="I3239">
        <v>150.79</v>
      </c>
      <c r="J3239">
        <v>29804</v>
      </c>
      <c r="K3239">
        <v>-0.58309999999999995</v>
      </c>
      <c r="L3239">
        <v>0.87980000000000003</v>
      </c>
    </row>
    <row r="3240" spans="1:12" x14ac:dyDescent="0.25">
      <c r="A3240">
        <v>2303</v>
      </c>
      <c r="B3240" t="s">
        <v>10</v>
      </c>
      <c r="C3240" s="1">
        <v>42576</v>
      </c>
      <c r="D3240" s="2">
        <f t="shared" si="100"/>
        <v>1</v>
      </c>
      <c r="E3240" s="2">
        <f t="shared" si="101"/>
        <v>7</v>
      </c>
      <c r="F3240">
        <v>10.9848</v>
      </c>
      <c r="G3240">
        <v>11.0738</v>
      </c>
      <c r="H3240">
        <v>10.8514</v>
      </c>
      <c r="I3240">
        <v>10.940300000000001</v>
      </c>
      <c r="J3240">
        <v>21327</v>
      </c>
      <c r="K3240">
        <v>0</v>
      </c>
      <c r="L3240">
        <v>2.0491999999999999</v>
      </c>
    </row>
    <row r="3241" spans="1:12" hidden="1" x14ac:dyDescent="0.25">
      <c r="A3241">
        <v>2330</v>
      </c>
      <c r="B3241" t="s">
        <v>11</v>
      </c>
      <c r="C3241" s="1">
        <v>42576</v>
      </c>
      <c r="D3241" s="2">
        <f t="shared" si="100"/>
        <v>1</v>
      </c>
      <c r="E3241" s="2">
        <f t="shared" si="101"/>
        <v>7</v>
      </c>
      <c r="F3241">
        <v>151.67179999999999</v>
      </c>
      <c r="G3241">
        <v>152.55359999999999</v>
      </c>
      <c r="H3241">
        <v>149.0264</v>
      </c>
      <c r="I3241">
        <v>151.23089999999999</v>
      </c>
      <c r="J3241">
        <v>27180</v>
      </c>
      <c r="K3241">
        <v>0.29199999999999998</v>
      </c>
      <c r="L3241">
        <v>2.3668999999999998</v>
      </c>
    </row>
    <row r="3242" spans="1:12" x14ac:dyDescent="0.25">
      <c r="A3242">
        <v>2303</v>
      </c>
      <c r="B3242" t="s">
        <v>10</v>
      </c>
      <c r="C3242" s="1">
        <v>42577</v>
      </c>
      <c r="D3242" s="2">
        <f t="shared" si="100"/>
        <v>2</v>
      </c>
      <c r="E3242" s="2">
        <f t="shared" si="101"/>
        <v>7</v>
      </c>
      <c r="F3242">
        <v>10.9848</v>
      </c>
      <c r="G3242">
        <v>11.029299999999999</v>
      </c>
      <c r="H3242">
        <v>10.940300000000001</v>
      </c>
      <c r="I3242">
        <v>11.029299999999999</v>
      </c>
      <c r="J3242">
        <v>24305</v>
      </c>
      <c r="K3242">
        <v>0.80969999999999998</v>
      </c>
      <c r="L3242">
        <v>0.81299999999999994</v>
      </c>
    </row>
    <row r="3243" spans="1:12" hidden="1" x14ac:dyDescent="0.25">
      <c r="A3243">
        <v>2330</v>
      </c>
      <c r="B3243" t="s">
        <v>11</v>
      </c>
      <c r="C3243" s="1">
        <v>42577</v>
      </c>
      <c r="D3243" s="2">
        <f t="shared" si="100"/>
        <v>2</v>
      </c>
      <c r="E3243" s="2">
        <f t="shared" si="101"/>
        <v>7</v>
      </c>
      <c r="F3243">
        <v>151.67179999999999</v>
      </c>
      <c r="G3243">
        <v>152.55359999999999</v>
      </c>
      <c r="H3243">
        <v>151.23089999999999</v>
      </c>
      <c r="I3243">
        <v>152.55359999999999</v>
      </c>
      <c r="J3243">
        <v>32736</v>
      </c>
      <c r="K3243">
        <v>0.87080000000000002</v>
      </c>
      <c r="L3243">
        <v>0.87460000000000004</v>
      </c>
    </row>
    <row r="3244" spans="1:12" x14ac:dyDescent="0.25">
      <c r="A3244">
        <v>2303</v>
      </c>
      <c r="B3244" t="s">
        <v>10</v>
      </c>
      <c r="C3244" s="1">
        <v>42578</v>
      </c>
      <c r="D3244" s="2">
        <f t="shared" si="100"/>
        <v>3</v>
      </c>
      <c r="E3244" s="2">
        <f t="shared" si="101"/>
        <v>7</v>
      </c>
      <c r="F3244">
        <v>11.1182</v>
      </c>
      <c r="G3244">
        <v>11.2072</v>
      </c>
      <c r="H3244">
        <v>11.0738</v>
      </c>
      <c r="I3244">
        <v>11.162699999999999</v>
      </c>
      <c r="J3244">
        <v>54761</v>
      </c>
      <c r="K3244">
        <v>1.2023999999999999</v>
      </c>
      <c r="L3244">
        <v>1.2048000000000001</v>
      </c>
    </row>
    <row r="3245" spans="1:12" hidden="1" x14ac:dyDescent="0.25">
      <c r="A3245">
        <v>2330</v>
      </c>
      <c r="B3245" t="s">
        <v>11</v>
      </c>
      <c r="C3245" s="1">
        <v>42578</v>
      </c>
      <c r="D3245" s="2">
        <f t="shared" si="100"/>
        <v>3</v>
      </c>
      <c r="E3245" s="2">
        <f t="shared" si="101"/>
        <v>7</v>
      </c>
      <c r="F3245">
        <v>154.31729999999999</v>
      </c>
      <c r="G3245">
        <v>155.19909999999999</v>
      </c>
      <c r="H3245">
        <v>153.87639999999999</v>
      </c>
      <c r="I3245">
        <v>154.31729999999999</v>
      </c>
      <c r="J3245">
        <v>36108</v>
      </c>
      <c r="K3245">
        <v>1.1494</v>
      </c>
      <c r="L3245">
        <v>0.85960000000000003</v>
      </c>
    </row>
    <row r="3246" spans="1:12" x14ac:dyDescent="0.25">
      <c r="A3246">
        <v>2303</v>
      </c>
      <c r="B3246" t="s">
        <v>10</v>
      </c>
      <c r="C3246" s="1">
        <v>42579</v>
      </c>
      <c r="D3246" s="2">
        <f t="shared" si="100"/>
        <v>4</v>
      </c>
      <c r="E3246" s="2">
        <f t="shared" si="101"/>
        <v>7</v>
      </c>
      <c r="F3246">
        <v>10.718</v>
      </c>
      <c r="G3246">
        <v>10.806900000000001</v>
      </c>
      <c r="H3246">
        <v>10.5846</v>
      </c>
      <c r="I3246">
        <v>10.762499999999999</v>
      </c>
      <c r="J3246">
        <v>130639</v>
      </c>
      <c r="K3246">
        <v>-3.6515</v>
      </c>
      <c r="L3246">
        <v>2.1008</v>
      </c>
    </row>
    <row r="3247" spans="1:12" hidden="1" x14ac:dyDescent="0.25">
      <c r="A3247">
        <v>2330</v>
      </c>
      <c r="B3247" t="s">
        <v>11</v>
      </c>
      <c r="C3247" s="1">
        <v>42579</v>
      </c>
      <c r="D3247" s="2">
        <f t="shared" si="100"/>
        <v>4</v>
      </c>
      <c r="E3247" s="2">
        <f t="shared" si="101"/>
        <v>7</v>
      </c>
      <c r="F3247">
        <v>154.31729999999999</v>
      </c>
      <c r="G3247">
        <v>155.63999999999999</v>
      </c>
      <c r="H3247">
        <v>152.55359999999999</v>
      </c>
      <c r="I3247">
        <v>155.63999999999999</v>
      </c>
      <c r="J3247">
        <v>31138</v>
      </c>
      <c r="K3247">
        <v>0.85350000000000004</v>
      </c>
      <c r="L3247">
        <v>2.0230999999999999</v>
      </c>
    </row>
    <row r="3248" spans="1:12" x14ac:dyDescent="0.25">
      <c r="A3248">
        <v>2303</v>
      </c>
      <c r="B3248" t="s">
        <v>10</v>
      </c>
      <c r="C3248" s="1">
        <v>42580</v>
      </c>
      <c r="D3248" s="2">
        <f t="shared" si="100"/>
        <v>5</v>
      </c>
      <c r="E3248" s="2">
        <f t="shared" si="101"/>
        <v>7</v>
      </c>
      <c r="F3248">
        <v>10.673500000000001</v>
      </c>
      <c r="G3248">
        <v>10.718</v>
      </c>
      <c r="H3248">
        <v>10.5846</v>
      </c>
      <c r="I3248">
        <v>10.5846</v>
      </c>
      <c r="J3248">
        <v>46087</v>
      </c>
      <c r="K3248">
        <v>-1.6667000000000001</v>
      </c>
      <c r="L3248">
        <v>1.2605</v>
      </c>
    </row>
    <row r="3249" spans="1:12" hidden="1" x14ac:dyDescent="0.25">
      <c r="A3249">
        <v>2330</v>
      </c>
      <c r="B3249" t="s">
        <v>11</v>
      </c>
      <c r="C3249" s="1">
        <v>42580</v>
      </c>
      <c r="D3249" s="2">
        <f t="shared" si="100"/>
        <v>5</v>
      </c>
      <c r="E3249" s="2">
        <f t="shared" si="101"/>
        <v>7</v>
      </c>
      <c r="F3249">
        <v>156.08090000000001</v>
      </c>
      <c r="G3249">
        <v>156.08090000000001</v>
      </c>
      <c r="H3249">
        <v>152.11269999999999</v>
      </c>
      <c r="I3249">
        <v>152.11269999999999</v>
      </c>
      <c r="J3249">
        <v>30008</v>
      </c>
      <c r="K3249">
        <v>-2.2924000000000002</v>
      </c>
      <c r="L3249">
        <v>2.6086999999999998</v>
      </c>
    </row>
    <row r="3250" spans="1:12" x14ac:dyDescent="0.25">
      <c r="A3250">
        <v>2303</v>
      </c>
      <c r="B3250" t="s">
        <v>10</v>
      </c>
      <c r="C3250" s="1">
        <v>42583</v>
      </c>
      <c r="D3250" s="2">
        <f t="shared" si="100"/>
        <v>1</v>
      </c>
      <c r="E3250" s="2">
        <f t="shared" si="101"/>
        <v>8</v>
      </c>
      <c r="F3250">
        <v>10.5846</v>
      </c>
      <c r="G3250">
        <v>10.673500000000001</v>
      </c>
      <c r="H3250">
        <v>10.5846</v>
      </c>
      <c r="I3250">
        <v>10.5846</v>
      </c>
      <c r="J3250">
        <v>25816</v>
      </c>
      <c r="K3250">
        <v>0</v>
      </c>
      <c r="L3250">
        <v>0.84030000000000005</v>
      </c>
    </row>
    <row r="3251" spans="1:12" hidden="1" x14ac:dyDescent="0.25">
      <c r="A3251">
        <v>2330</v>
      </c>
      <c r="B3251" t="s">
        <v>11</v>
      </c>
      <c r="C3251" s="1">
        <v>42583</v>
      </c>
      <c r="D3251" s="2">
        <f t="shared" si="100"/>
        <v>1</v>
      </c>
      <c r="E3251" s="2">
        <f t="shared" si="101"/>
        <v>8</v>
      </c>
      <c r="F3251">
        <v>154.31729999999999</v>
      </c>
      <c r="G3251">
        <v>156.08090000000001</v>
      </c>
      <c r="H3251">
        <v>153.87639999999999</v>
      </c>
      <c r="I3251">
        <v>156.08090000000001</v>
      </c>
      <c r="J3251">
        <v>34703</v>
      </c>
      <c r="K3251">
        <v>2.5752000000000002</v>
      </c>
      <c r="L3251">
        <v>1.4327000000000001</v>
      </c>
    </row>
    <row r="3252" spans="1:12" x14ac:dyDescent="0.25">
      <c r="A3252">
        <v>2303</v>
      </c>
      <c r="B3252" t="s">
        <v>10</v>
      </c>
      <c r="C3252" s="1">
        <v>42584</v>
      </c>
      <c r="D3252" s="2">
        <f t="shared" si="100"/>
        <v>2</v>
      </c>
      <c r="E3252" s="2">
        <f t="shared" si="101"/>
        <v>8</v>
      </c>
      <c r="F3252">
        <v>10.629</v>
      </c>
      <c r="G3252">
        <v>10.718</v>
      </c>
      <c r="H3252">
        <v>10.629</v>
      </c>
      <c r="I3252">
        <v>10.629</v>
      </c>
      <c r="J3252">
        <v>18170</v>
      </c>
      <c r="K3252">
        <v>0.41930000000000001</v>
      </c>
      <c r="L3252">
        <v>0.83679999999999999</v>
      </c>
    </row>
    <row r="3253" spans="1:12" hidden="1" x14ac:dyDescent="0.25">
      <c r="A3253">
        <v>2330</v>
      </c>
      <c r="B3253" t="s">
        <v>11</v>
      </c>
      <c r="C3253" s="1">
        <v>42584</v>
      </c>
      <c r="D3253" s="2">
        <f t="shared" si="100"/>
        <v>2</v>
      </c>
      <c r="E3253" s="2">
        <f t="shared" si="101"/>
        <v>8</v>
      </c>
      <c r="F3253">
        <v>156.52180000000001</v>
      </c>
      <c r="G3253">
        <v>156.52180000000001</v>
      </c>
      <c r="H3253">
        <v>154.75819999999999</v>
      </c>
      <c r="I3253">
        <v>155.19909999999999</v>
      </c>
      <c r="J3253">
        <v>15366</v>
      </c>
      <c r="K3253">
        <v>-0.56659999999999999</v>
      </c>
      <c r="L3253">
        <v>1.1395999999999999</v>
      </c>
    </row>
    <row r="3254" spans="1:12" x14ac:dyDescent="0.25">
      <c r="A3254">
        <v>2303</v>
      </c>
      <c r="B3254" t="s">
        <v>10</v>
      </c>
      <c r="C3254" s="1">
        <v>42585</v>
      </c>
      <c r="D3254" s="2">
        <f t="shared" si="100"/>
        <v>3</v>
      </c>
      <c r="E3254" s="2">
        <f t="shared" si="101"/>
        <v>8</v>
      </c>
      <c r="F3254">
        <v>10.540100000000001</v>
      </c>
      <c r="G3254">
        <v>10.5846</v>
      </c>
      <c r="H3254">
        <v>10.4956</v>
      </c>
      <c r="I3254">
        <v>10.4956</v>
      </c>
      <c r="J3254">
        <v>30930</v>
      </c>
      <c r="K3254">
        <v>-1.2632000000000001</v>
      </c>
      <c r="L3254">
        <v>0.84750000000000003</v>
      </c>
    </row>
    <row r="3255" spans="1:12" hidden="1" x14ac:dyDescent="0.25">
      <c r="A3255">
        <v>2330</v>
      </c>
      <c r="B3255" t="s">
        <v>11</v>
      </c>
      <c r="C3255" s="1">
        <v>42585</v>
      </c>
      <c r="D3255" s="2">
        <f t="shared" si="100"/>
        <v>3</v>
      </c>
      <c r="E3255" s="2">
        <f t="shared" si="101"/>
        <v>8</v>
      </c>
      <c r="F3255">
        <v>152.11269999999999</v>
      </c>
      <c r="G3255">
        <v>153.43549999999999</v>
      </c>
      <c r="H3255">
        <v>151.67179999999999</v>
      </c>
      <c r="I3255">
        <v>152.11269999999999</v>
      </c>
      <c r="J3255">
        <v>21652</v>
      </c>
      <c r="K3255">
        <v>-2.0087000000000002</v>
      </c>
      <c r="L3255">
        <v>1.1628000000000001</v>
      </c>
    </row>
    <row r="3256" spans="1:12" x14ac:dyDescent="0.25">
      <c r="A3256">
        <v>2303</v>
      </c>
      <c r="B3256" t="s">
        <v>10</v>
      </c>
      <c r="C3256" s="1">
        <v>42586</v>
      </c>
      <c r="D3256" s="2">
        <f t="shared" si="100"/>
        <v>4</v>
      </c>
      <c r="E3256" s="2">
        <f t="shared" si="101"/>
        <v>8</v>
      </c>
      <c r="F3256">
        <v>10.540100000000001</v>
      </c>
      <c r="G3256">
        <v>10.5846</v>
      </c>
      <c r="H3256">
        <v>10.4956</v>
      </c>
      <c r="I3256">
        <v>10.5846</v>
      </c>
      <c r="J3256">
        <v>12729</v>
      </c>
      <c r="K3256">
        <v>0.84389999999999998</v>
      </c>
      <c r="L3256">
        <v>0.84750000000000003</v>
      </c>
    </row>
    <row r="3257" spans="1:12" hidden="1" x14ac:dyDescent="0.25">
      <c r="A3257">
        <v>2330</v>
      </c>
      <c r="B3257" t="s">
        <v>11</v>
      </c>
      <c r="C3257" s="1">
        <v>42586</v>
      </c>
      <c r="D3257" s="2">
        <f t="shared" si="100"/>
        <v>4</v>
      </c>
      <c r="E3257" s="2">
        <f t="shared" si="101"/>
        <v>8</v>
      </c>
      <c r="F3257">
        <v>152.55359999999999</v>
      </c>
      <c r="G3257">
        <v>153.87639999999999</v>
      </c>
      <c r="H3257">
        <v>152.11269999999999</v>
      </c>
      <c r="I3257">
        <v>153.87639999999999</v>
      </c>
      <c r="J3257">
        <v>14292</v>
      </c>
      <c r="K3257">
        <v>1.1528</v>
      </c>
      <c r="L3257">
        <v>1.1594</v>
      </c>
    </row>
    <row r="3258" spans="1:12" x14ac:dyDescent="0.25">
      <c r="A3258">
        <v>2303</v>
      </c>
      <c r="B3258" t="s">
        <v>10</v>
      </c>
      <c r="C3258" s="1">
        <v>42587</v>
      </c>
      <c r="D3258" s="2">
        <f t="shared" si="100"/>
        <v>5</v>
      </c>
      <c r="E3258" s="2">
        <f t="shared" si="101"/>
        <v>8</v>
      </c>
      <c r="F3258">
        <v>10.5846</v>
      </c>
      <c r="G3258">
        <v>10.673500000000001</v>
      </c>
      <c r="H3258">
        <v>10.540100000000001</v>
      </c>
      <c r="I3258">
        <v>10.5846</v>
      </c>
      <c r="J3258">
        <v>19739</v>
      </c>
      <c r="K3258">
        <v>0</v>
      </c>
      <c r="L3258">
        <v>1.2658</v>
      </c>
    </row>
    <row r="3259" spans="1:12" hidden="1" x14ac:dyDescent="0.25">
      <c r="A3259">
        <v>2330</v>
      </c>
      <c r="B3259" t="s">
        <v>11</v>
      </c>
      <c r="C3259" s="1">
        <v>42587</v>
      </c>
      <c r="D3259" s="2">
        <f t="shared" si="100"/>
        <v>5</v>
      </c>
      <c r="E3259" s="2">
        <f t="shared" si="101"/>
        <v>8</v>
      </c>
      <c r="F3259">
        <v>154.31729999999999</v>
      </c>
      <c r="G3259">
        <v>156.52180000000001</v>
      </c>
      <c r="H3259">
        <v>153.43549999999999</v>
      </c>
      <c r="I3259">
        <v>156.08090000000001</v>
      </c>
      <c r="J3259">
        <v>25803</v>
      </c>
      <c r="K3259">
        <v>1.4225000000000001</v>
      </c>
      <c r="L3259">
        <v>2.0114999999999998</v>
      </c>
    </row>
    <row r="3260" spans="1:12" x14ac:dyDescent="0.25">
      <c r="A3260">
        <v>2303</v>
      </c>
      <c r="B3260" t="s">
        <v>10</v>
      </c>
      <c r="C3260" s="1">
        <v>42590</v>
      </c>
      <c r="D3260" s="2">
        <f t="shared" si="100"/>
        <v>1</v>
      </c>
      <c r="E3260" s="2">
        <f t="shared" si="101"/>
        <v>8</v>
      </c>
      <c r="F3260">
        <v>10.673500000000001</v>
      </c>
      <c r="G3260">
        <v>10.673500000000001</v>
      </c>
      <c r="H3260">
        <v>10.4956</v>
      </c>
      <c r="I3260">
        <v>10.5846</v>
      </c>
      <c r="J3260">
        <v>23076</v>
      </c>
      <c r="K3260">
        <v>0</v>
      </c>
      <c r="L3260">
        <v>1.6949000000000001</v>
      </c>
    </row>
    <row r="3261" spans="1:12" hidden="1" x14ac:dyDescent="0.25">
      <c r="A3261">
        <v>2330</v>
      </c>
      <c r="B3261" t="s">
        <v>11</v>
      </c>
      <c r="C3261" s="1">
        <v>42590</v>
      </c>
      <c r="D3261" s="2">
        <f t="shared" si="100"/>
        <v>1</v>
      </c>
      <c r="E3261" s="2">
        <f t="shared" si="101"/>
        <v>8</v>
      </c>
      <c r="F3261">
        <v>156.96270000000001</v>
      </c>
      <c r="G3261">
        <v>156.96270000000001</v>
      </c>
      <c r="H3261">
        <v>155.63999999999999</v>
      </c>
      <c r="I3261">
        <v>156.96270000000001</v>
      </c>
      <c r="J3261">
        <v>16241</v>
      </c>
      <c r="K3261">
        <v>0.56340000000000001</v>
      </c>
      <c r="L3261">
        <v>0.84989999999999999</v>
      </c>
    </row>
    <row r="3262" spans="1:12" x14ac:dyDescent="0.25">
      <c r="A3262">
        <v>2303</v>
      </c>
      <c r="B3262" t="s">
        <v>10</v>
      </c>
      <c r="C3262" s="1">
        <v>42591</v>
      </c>
      <c r="D3262" s="2">
        <f t="shared" si="100"/>
        <v>2</v>
      </c>
      <c r="E3262" s="2">
        <f t="shared" si="101"/>
        <v>8</v>
      </c>
      <c r="F3262">
        <v>10.540100000000001</v>
      </c>
      <c r="G3262">
        <v>10.629</v>
      </c>
      <c r="H3262">
        <v>10.4956</v>
      </c>
      <c r="I3262">
        <v>10.629</v>
      </c>
      <c r="J3262">
        <v>23575</v>
      </c>
      <c r="K3262">
        <v>0.41930000000000001</v>
      </c>
      <c r="L3262">
        <v>1.2712000000000001</v>
      </c>
    </row>
    <row r="3263" spans="1:12" hidden="1" x14ac:dyDescent="0.25">
      <c r="A3263">
        <v>2330</v>
      </c>
      <c r="B3263" t="s">
        <v>11</v>
      </c>
      <c r="C3263" s="1">
        <v>42591</v>
      </c>
      <c r="D3263" s="2">
        <f t="shared" si="100"/>
        <v>2</v>
      </c>
      <c r="E3263" s="2">
        <f t="shared" si="101"/>
        <v>8</v>
      </c>
      <c r="F3263">
        <v>157.40360000000001</v>
      </c>
      <c r="G3263">
        <v>158.28540000000001</v>
      </c>
      <c r="H3263">
        <v>156.08090000000001</v>
      </c>
      <c r="I3263">
        <v>157.40360000000001</v>
      </c>
      <c r="J3263">
        <v>16443</v>
      </c>
      <c r="K3263">
        <v>0.28050000000000003</v>
      </c>
      <c r="L3263">
        <v>1.4124000000000001</v>
      </c>
    </row>
    <row r="3264" spans="1:12" x14ac:dyDescent="0.25">
      <c r="A3264">
        <v>2303</v>
      </c>
      <c r="B3264" t="s">
        <v>10</v>
      </c>
      <c r="C3264" s="1">
        <v>42592</v>
      </c>
      <c r="D3264" s="2">
        <f t="shared" si="100"/>
        <v>3</v>
      </c>
      <c r="E3264" s="2">
        <f t="shared" si="101"/>
        <v>8</v>
      </c>
      <c r="F3264">
        <v>10.5846</v>
      </c>
      <c r="G3264">
        <v>10.629</v>
      </c>
      <c r="H3264">
        <v>10.4956</v>
      </c>
      <c r="I3264">
        <v>10.5846</v>
      </c>
      <c r="J3264">
        <v>16673</v>
      </c>
      <c r="K3264">
        <v>-0.41930000000000001</v>
      </c>
      <c r="L3264">
        <v>1.2712000000000001</v>
      </c>
    </row>
    <row r="3265" spans="1:12" hidden="1" x14ac:dyDescent="0.25">
      <c r="A3265">
        <v>2330</v>
      </c>
      <c r="B3265" t="s">
        <v>11</v>
      </c>
      <c r="C3265" s="1">
        <v>42592</v>
      </c>
      <c r="D3265" s="2">
        <f t="shared" si="100"/>
        <v>3</v>
      </c>
      <c r="E3265" s="2">
        <f t="shared" si="101"/>
        <v>8</v>
      </c>
      <c r="F3265">
        <v>157.84450000000001</v>
      </c>
      <c r="G3265">
        <v>158.28540000000001</v>
      </c>
      <c r="H3265">
        <v>156.96270000000001</v>
      </c>
      <c r="I3265">
        <v>158.28540000000001</v>
      </c>
      <c r="J3265">
        <v>19307</v>
      </c>
      <c r="K3265">
        <v>0.55869999999999997</v>
      </c>
      <c r="L3265">
        <v>0.8427</v>
      </c>
    </row>
    <row r="3266" spans="1:12" x14ac:dyDescent="0.25">
      <c r="A3266">
        <v>2303</v>
      </c>
      <c r="B3266" t="s">
        <v>10</v>
      </c>
      <c r="C3266" s="1">
        <v>42593</v>
      </c>
      <c r="D3266" s="2">
        <f t="shared" si="100"/>
        <v>4</v>
      </c>
      <c r="E3266" s="2">
        <f t="shared" si="101"/>
        <v>8</v>
      </c>
      <c r="F3266">
        <v>10.540100000000001</v>
      </c>
      <c r="G3266">
        <v>10.629</v>
      </c>
      <c r="H3266">
        <v>10.4956</v>
      </c>
      <c r="I3266">
        <v>10.629</v>
      </c>
      <c r="J3266">
        <v>18720</v>
      </c>
      <c r="K3266">
        <v>0.41930000000000001</v>
      </c>
      <c r="L3266">
        <v>1.2712000000000001</v>
      </c>
    </row>
    <row r="3267" spans="1:12" hidden="1" x14ac:dyDescent="0.25">
      <c r="A3267">
        <v>2330</v>
      </c>
      <c r="B3267" t="s">
        <v>11</v>
      </c>
      <c r="C3267" s="1">
        <v>42593</v>
      </c>
      <c r="D3267" s="2">
        <f t="shared" ref="D3267:D3330" si="102">WEEKDAY(C3267,2)</f>
        <v>4</v>
      </c>
      <c r="E3267" s="2">
        <f t="shared" ref="E3267:E3330" si="103">MONTH(C3267)</f>
        <v>8</v>
      </c>
      <c r="F3267">
        <v>156.52180000000001</v>
      </c>
      <c r="G3267">
        <v>156.96270000000001</v>
      </c>
      <c r="H3267">
        <v>154.75819999999999</v>
      </c>
      <c r="I3267">
        <v>155.63999999999999</v>
      </c>
      <c r="J3267">
        <v>28216</v>
      </c>
      <c r="K3267">
        <v>-1.6854</v>
      </c>
      <c r="L3267">
        <v>1.4245000000000001</v>
      </c>
    </row>
    <row r="3268" spans="1:12" x14ac:dyDescent="0.25">
      <c r="A3268">
        <v>2303</v>
      </c>
      <c r="B3268" t="s">
        <v>10</v>
      </c>
      <c r="C3268" s="1">
        <v>42594</v>
      </c>
      <c r="D3268" s="2">
        <f t="shared" si="102"/>
        <v>5</v>
      </c>
      <c r="E3268" s="2">
        <f t="shared" si="103"/>
        <v>8</v>
      </c>
      <c r="F3268">
        <v>10.629</v>
      </c>
      <c r="G3268">
        <v>10.673500000000001</v>
      </c>
      <c r="H3268">
        <v>10.5846</v>
      </c>
      <c r="I3268">
        <v>10.673500000000001</v>
      </c>
      <c r="J3268">
        <v>11579</v>
      </c>
      <c r="K3268">
        <v>0.41749999999999998</v>
      </c>
      <c r="L3268">
        <v>0.84030000000000005</v>
      </c>
    </row>
    <row r="3269" spans="1:12" hidden="1" x14ac:dyDescent="0.25">
      <c r="A3269">
        <v>2330</v>
      </c>
      <c r="B3269" t="s">
        <v>11</v>
      </c>
      <c r="C3269" s="1">
        <v>42594</v>
      </c>
      <c r="D3269" s="2">
        <f t="shared" si="102"/>
        <v>5</v>
      </c>
      <c r="E3269" s="2">
        <f t="shared" si="103"/>
        <v>8</v>
      </c>
      <c r="F3269">
        <v>157.40360000000001</v>
      </c>
      <c r="G3269">
        <v>157.40360000000001</v>
      </c>
      <c r="H3269">
        <v>156.08090000000001</v>
      </c>
      <c r="I3269">
        <v>156.52180000000001</v>
      </c>
      <c r="J3269">
        <v>23986</v>
      </c>
      <c r="K3269">
        <v>0.56499999999999995</v>
      </c>
      <c r="L3269">
        <v>0.84750000000000003</v>
      </c>
    </row>
    <row r="3270" spans="1:12" x14ac:dyDescent="0.25">
      <c r="A3270">
        <v>2303</v>
      </c>
      <c r="B3270" t="s">
        <v>10</v>
      </c>
      <c r="C3270" s="1">
        <v>42597</v>
      </c>
      <c r="D3270" s="2">
        <f t="shared" si="102"/>
        <v>1</v>
      </c>
      <c r="E3270" s="2">
        <f t="shared" si="103"/>
        <v>8</v>
      </c>
      <c r="F3270">
        <v>10.629</v>
      </c>
      <c r="G3270">
        <v>10.673500000000001</v>
      </c>
      <c r="H3270">
        <v>10.4956</v>
      </c>
      <c r="I3270">
        <v>10.540100000000001</v>
      </c>
      <c r="J3270">
        <v>16151</v>
      </c>
      <c r="K3270">
        <v>-1.2579</v>
      </c>
      <c r="L3270">
        <v>1.6949000000000001</v>
      </c>
    </row>
    <row r="3271" spans="1:12" hidden="1" x14ac:dyDescent="0.25">
      <c r="A3271">
        <v>2330</v>
      </c>
      <c r="B3271" t="s">
        <v>11</v>
      </c>
      <c r="C3271" s="1">
        <v>42597</v>
      </c>
      <c r="D3271" s="2">
        <f t="shared" si="102"/>
        <v>1</v>
      </c>
      <c r="E3271" s="2">
        <f t="shared" si="103"/>
        <v>8</v>
      </c>
      <c r="F3271">
        <v>157.40360000000001</v>
      </c>
      <c r="G3271">
        <v>157.84450000000001</v>
      </c>
      <c r="H3271">
        <v>156.52180000000001</v>
      </c>
      <c r="I3271">
        <v>157.84450000000001</v>
      </c>
      <c r="J3271">
        <v>13660</v>
      </c>
      <c r="K3271">
        <v>0.84150000000000003</v>
      </c>
      <c r="L3271">
        <v>0.84509999999999996</v>
      </c>
    </row>
    <row r="3272" spans="1:12" x14ac:dyDescent="0.25">
      <c r="A3272">
        <v>2303</v>
      </c>
      <c r="B3272" t="s">
        <v>10</v>
      </c>
      <c r="C3272" s="1">
        <v>42598</v>
      </c>
      <c r="D3272" s="2">
        <f t="shared" si="102"/>
        <v>2</v>
      </c>
      <c r="E3272" s="2">
        <f t="shared" si="103"/>
        <v>8</v>
      </c>
      <c r="F3272">
        <v>10.540100000000001</v>
      </c>
      <c r="G3272">
        <v>10.5846</v>
      </c>
      <c r="H3272">
        <v>10.406700000000001</v>
      </c>
      <c r="I3272">
        <v>10.4511</v>
      </c>
      <c r="J3272">
        <v>35671</v>
      </c>
      <c r="K3272">
        <v>-0.84750000000000003</v>
      </c>
      <c r="L3272">
        <v>1.7094</v>
      </c>
    </row>
    <row r="3273" spans="1:12" hidden="1" x14ac:dyDescent="0.25">
      <c r="A3273">
        <v>2330</v>
      </c>
      <c r="B3273" t="s">
        <v>11</v>
      </c>
      <c r="C3273" s="1">
        <v>42598</v>
      </c>
      <c r="D3273" s="2">
        <f t="shared" si="102"/>
        <v>2</v>
      </c>
      <c r="E3273" s="2">
        <f t="shared" si="103"/>
        <v>8</v>
      </c>
      <c r="F3273">
        <v>156.96270000000001</v>
      </c>
      <c r="G3273">
        <v>157.84450000000001</v>
      </c>
      <c r="H3273">
        <v>154.31729999999999</v>
      </c>
      <c r="I3273">
        <v>154.75819999999999</v>
      </c>
      <c r="J3273">
        <v>34284</v>
      </c>
      <c r="K3273">
        <v>-1.9746999999999999</v>
      </c>
      <c r="L3273">
        <v>2.2856999999999998</v>
      </c>
    </row>
    <row r="3274" spans="1:12" x14ac:dyDescent="0.25">
      <c r="A3274">
        <v>2303</v>
      </c>
      <c r="B3274" t="s">
        <v>10</v>
      </c>
      <c r="C3274" s="1">
        <v>42599</v>
      </c>
      <c r="D3274" s="2">
        <f t="shared" si="102"/>
        <v>3</v>
      </c>
      <c r="E3274" s="2">
        <f t="shared" si="103"/>
        <v>8</v>
      </c>
      <c r="F3274">
        <v>10.4511</v>
      </c>
      <c r="G3274">
        <v>10.4956</v>
      </c>
      <c r="H3274">
        <v>10.3177</v>
      </c>
      <c r="I3274">
        <v>10.4511</v>
      </c>
      <c r="J3274">
        <v>21041</v>
      </c>
      <c r="K3274">
        <v>0</v>
      </c>
      <c r="L3274">
        <v>1.7241</v>
      </c>
    </row>
    <row r="3275" spans="1:12" hidden="1" x14ac:dyDescent="0.25">
      <c r="A3275">
        <v>2330</v>
      </c>
      <c r="B3275" t="s">
        <v>11</v>
      </c>
      <c r="C3275" s="1">
        <v>42599</v>
      </c>
      <c r="D3275" s="2">
        <f t="shared" si="102"/>
        <v>3</v>
      </c>
      <c r="E3275" s="2">
        <f t="shared" si="103"/>
        <v>8</v>
      </c>
      <c r="F3275">
        <v>156.08090000000001</v>
      </c>
      <c r="G3275">
        <v>156.52180000000001</v>
      </c>
      <c r="H3275">
        <v>155.19909999999999</v>
      </c>
      <c r="I3275">
        <v>156.08090000000001</v>
      </c>
      <c r="J3275">
        <v>24169</v>
      </c>
      <c r="K3275">
        <v>0.85109999999999997</v>
      </c>
      <c r="L3275">
        <v>0.85229999999999995</v>
      </c>
    </row>
    <row r="3276" spans="1:12" x14ac:dyDescent="0.25">
      <c r="A3276">
        <v>2303</v>
      </c>
      <c r="B3276" t="s">
        <v>10</v>
      </c>
      <c r="C3276" s="1">
        <v>42600</v>
      </c>
      <c r="D3276" s="2">
        <f t="shared" si="102"/>
        <v>4</v>
      </c>
      <c r="E3276" s="2">
        <f t="shared" si="103"/>
        <v>8</v>
      </c>
      <c r="F3276">
        <v>10.406700000000001</v>
      </c>
      <c r="G3276">
        <v>10.4511</v>
      </c>
      <c r="H3276">
        <v>10.3622</v>
      </c>
      <c r="I3276">
        <v>10.3622</v>
      </c>
      <c r="J3276">
        <v>14296</v>
      </c>
      <c r="K3276">
        <v>-0.85470000000000002</v>
      </c>
      <c r="L3276">
        <v>0.85840000000000005</v>
      </c>
    </row>
    <row r="3277" spans="1:12" hidden="1" x14ac:dyDescent="0.25">
      <c r="A3277">
        <v>2330</v>
      </c>
      <c r="B3277" t="s">
        <v>11</v>
      </c>
      <c r="C3277" s="1">
        <v>42600</v>
      </c>
      <c r="D3277" s="2">
        <f t="shared" si="102"/>
        <v>4</v>
      </c>
      <c r="E3277" s="2">
        <f t="shared" si="103"/>
        <v>8</v>
      </c>
      <c r="F3277">
        <v>155.19909999999999</v>
      </c>
      <c r="G3277">
        <v>155.63999999999999</v>
      </c>
      <c r="H3277">
        <v>154.31729999999999</v>
      </c>
      <c r="I3277">
        <v>155.19909999999999</v>
      </c>
      <c r="J3277">
        <v>27899</v>
      </c>
      <c r="K3277">
        <v>-0.56659999999999999</v>
      </c>
      <c r="L3277">
        <v>0.85709999999999997</v>
      </c>
    </row>
    <row r="3278" spans="1:12" x14ac:dyDescent="0.25">
      <c r="A3278">
        <v>2303</v>
      </c>
      <c r="B3278" t="s">
        <v>10</v>
      </c>
      <c r="C3278" s="1">
        <v>42601</v>
      </c>
      <c r="D3278" s="2">
        <f t="shared" si="102"/>
        <v>5</v>
      </c>
      <c r="E3278" s="2">
        <f t="shared" si="103"/>
        <v>8</v>
      </c>
      <c r="F3278">
        <v>10.3622</v>
      </c>
      <c r="G3278">
        <v>10.406700000000001</v>
      </c>
      <c r="H3278">
        <v>10.273300000000001</v>
      </c>
      <c r="I3278">
        <v>10.273300000000001</v>
      </c>
      <c r="J3278">
        <v>23669</v>
      </c>
      <c r="K3278">
        <v>-0.86209999999999998</v>
      </c>
      <c r="L3278">
        <v>1.2987</v>
      </c>
    </row>
    <row r="3279" spans="1:12" hidden="1" x14ac:dyDescent="0.25">
      <c r="A3279">
        <v>2330</v>
      </c>
      <c r="B3279" t="s">
        <v>11</v>
      </c>
      <c r="C3279" s="1">
        <v>42601</v>
      </c>
      <c r="D3279" s="2">
        <f t="shared" si="102"/>
        <v>5</v>
      </c>
      <c r="E3279" s="2">
        <f t="shared" si="103"/>
        <v>8</v>
      </c>
      <c r="F3279">
        <v>156.08090000000001</v>
      </c>
      <c r="G3279">
        <v>156.52180000000001</v>
      </c>
      <c r="H3279">
        <v>153.43549999999999</v>
      </c>
      <c r="I3279">
        <v>153.87639999999999</v>
      </c>
      <c r="J3279">
        <v>23496</v>
      </c>
      <c r="K3279">
        <v>-0.85589999999999999</v>
      </c>
      <c r="L3279">
        <v>2.0114999999999998</v>
      </c>
    </row>
    <row r="3280" spans="1:12" x14ac:dyDescent="0.25">
      <c r="A3280">
        <v>2303</v>
      </c>
      <c r="B3280" t="s">
        <v>10</v>
      </c>
      <c r="C3280" s="1">
        <v>42604</v>
      </c>
      <c r="D3280" s="2">
        <f t="shared" si="102"/>
        <v>1</v>
      </c>
      <c r="E3280" s="2">
        <f t="shared" si="103"/>
        <v>8</v>
      </c>
      <c r="F3280">
        <v>10.273300000000001</v>
      </c>
      <c r="G3280">
        <v>10.3177</v>
      </c>
      <c r="H3280">
        <v>10.139799999999999</v>
      </c>
      <c r="I3280">
        <v>10.139799999999999</v>
      </c>
      <c r="J3280">
        <v>25356</v>
      </c>
      <c r="K3280">
        <v>-1.3071999999999999</v>
      </c>
      <c r="L3280">
        <v>1.7544</v>
      </c>
    </row>
    <row r="3281" spans="1:12" hidden="1" x14ac:dyDescent="0.25">
      <c r="A3281">
        <v>2330</v>
      </c>
      <c r="B3281" t="s">
        <v>11</v>
      </c>
      <c r="C3281" s="1">
        <v>42604</v>
      </c>
      <c r="D3281" s="2">
        <f t="shared" si="102"/>
        <v>1</v>
      </c>
      <c r="E3281" s="2">
        <f t="shared" si="103"/>
        <v>8</v>
      </c>
      <c r="F3281">
        <v>152.55359999999999</v>
      </c>
      <c r="G3281">
        <v>153.43549999999999</v>
      </c>
      <c r="H3281">
        <v>151.23089999999999</v>
      </c>
      <c r="I3281">
        <v>152.55359999999999</v>
      </c>
      <c r="J3281">
        <v>21822</v>
      </c>
      <c r="K3281">
        <v>-0.86329999999999996</v>
      </c>
      <c r="L3281">
        <v>1.4577</v>
      </c>
    </row>
    <row r="3282" spans="1:12" x14ac:dyDescent="0.25">
      <c r="A3282">
        <v>2303</v>
      </c>
      <c r="B3282" t="s">
        <v>10</v>
      </c>
      <c r="C3282" s="1">
        <v>42605</v>
      </c>
      <c r="D3282" s="2">
        <f t="shared" si="102"/>
        <v>2</v>
      </c>
      <c r="E3282" s="2">
        <f t="shared" si="103"/>
        <v>8</v>
      </c>
      <c r="F3282">
        <v>10.139799999999999</v>
      </c>
      <c r="G3282">
        <v>10.2288</v>
      </c>
      <c r="H3282">
        <v>10.139799999999999</v>
      </c>
      <c r="I3282">
        <v>10.1843</v>
      </c>
      <c r="J3282">
        <v>21224</v>
      </c>
      <c r="K3282">
        <v>0.43759999999999999</v>
      </c>
      <c r="L3282">
        <v>0.87719999999999998</v>
      </c>
    </row>
    <row r="3283" spans="1:12" hidden="1" x14ac:dyDescent="0.25">
      <c r="A3283">
        <v>2330</v>
      </c>
      <c r="B3283" t="s">
        <v>11</v>
      </c>
      <c r="C3283" s="1">
        <v>42605</v>
      </c>
      <c r="D3283" s="2">
        <f t="shared" si="102"/>
        <v>2</v>
      </c>
      <c r="E3283" s="2">
        <f t="shared" si="103"/>
        <v>8</v>
      </c>
      <c r="F3283">
        <v>153.43549999999999</v>
      </c>
      <c r="G3283">
        <v>154.31729999999999</v>
      </c>
      <c r="H3283">
        <v>152.99459999999999</v>
      </c>
      <c r="I3283">
        <v>153.43549999999999</v>
      </c>
      <c r="J3283">
        <v>21467</v>
      </c>
      <c r="K3283">
        <v>0.57640000000000002</v>
      </c>
      <c r="L3283">
        <v>0.86460000000000004</v>
      </c>
    </row>
    <row r="3284" spans="1:12" x14ac:dyDescent="0.25">
      <c r="A3284">
        <v>2303</v>
      </c>
      <c r="B3284" t="s">
        <v>10</v>
      </c>
      <c r="C3284" s="1">
        <v>42606</v>
      </c>
      <c r="D3284" s="2">
        <f t="shared" si="102"/>
        <v>3</v>
      </c>
      <c r="E3284" s="2">
        <f t="shared" si="103"/>
        <v>8</v>
      </c>
      <c r="F3284">
        <v>10.2288</v>
      </c>
      <c r="G3284">
        <v>10.273300000000001</v>
      </c>
      <c r="H3284">
        <v>10.1843</v>
      </c>
      <c r="I3284">
        <v>10.1843</v>
      </c>
      <c r="J3284">
        <v>15527</v>
      </c>
      <c r="K3284">
        <v>0</v>
      </c>
      <c r="L3284">
        <v>0.87339999999999995</v>
      </c>
    </row>
    <row r="3285" spans="1:12" hidden="1" x14ac:dyDescent="0.25">
      <c r="A3285">
        <v>2330</v>
      </c>
      <c r="B3285" t="s">
        <v>11</v>
      </c>
      <c r="C3285" s="1">
        <v>42606</v>
      </c>
      <c r="D3285" s="2">
        <f t="shared" si="102"/>
        <v>3</v>
      </c>
      <c r="E3285" s="2">
        <f t="shared" si="103"/>
        <v>8</v>
      </c>
      <c r="F3285">
        <v>154.31729999999999</v>
      </c>
      <c r="G3285">
        <v>154.75819999999999</v>
      </c>
      <c r="H3285">
        <v>152.99459999999999</v>
      </c>
      <c r="I3285">
        <v>152.99459999999999</v>
      </c>
      <c r="J3285">
        <v>12532</v>
      </c>
      <c r="K3285">
        <v>-0.2878</v>
      </c>
      <c r="L3285">
        <v>1.1527000000000001</v>
      </c>
    </row>
    <row r="3286" spans="1:12" x14ac:dyDescent="0.25">
      <c r="A3286">
        <v>2303</v>
      </c>
      <c r="B3286" t="s">
        <v>10</v>
      </c>
      <c r="C3286" s="1">
        <v>42607</v>
      </c>
      <c r="D3286" s="2">
        <f t="shared" si="102"/>
        <v>4</v>
      </c>
      <c r="E3286" s="2">
        <f t="shared" si="103"/>
        <v>8</v>
      </c>
      <c r="F3286">
        <v>10.2288</v>
      </c>
      <c r="G3286">
        <v>10.540100000000001</v>
      </c>
      <c r="H3286">
        <v>10.1843</v>
      </c>
      <c r="I3286">
        <v>10.540100000000001</v>
      </c>
      <c r="J3286">
        <v>56398</v>
      </c>
      <c r="K3286">
        <v>3.4338000000000002</v>
      </c>
      <c r="L3286">
        <v>3.4933999999999998</v>
      </c>
    </row>
    <row r="3287" spans="1:12" hidden="1" x14ac:dyDescent="0.25">
      <c r="A3287">
        <v>2330</v>
      </c>
      <c r="B3287" t="s">
        <v>11</v>
      </c>
      <c r="C3287" s="1">
        <v>42607</v>
      </c>
      <c r="D3287" s="2">
        <f t="shared" si="102"/>
        <v>4</v>
      </c>
      <c r="E3287" s="2">
        <f t="shared" si="103"/>
        <v>8</v>
      </c>
      <c r="F3287">
        <v>154.31729999999999</v>
      </c>
      <c r="G3287">
        <v>156.08090000000001</v>
      </c>
      <c r="H3287">
        <v>153.87639999999999</v>
      </c>
      <c r="I3287">
        <v>156.08090000000001</v>
      </c>
      <c r="J3287">
        <v>23973</v>
      </c>
      <c r="K3287">
        <v>1.9972000000000001</v>
      </c>
      <c r="L3287">
        <v>1.4327000000000001</v>
      </c>
    </row>
    <row r="3288" spans="1:12" x14ac:dyDescent="0.25">
      <c r="A3288">
        <v>2303</v>
      </c>
      <c r="B3288" t="s">
        <v>10</v>
      </c>
      <c r="C3288" s="1">
        <v>42608</v>
      </c>
      <c r="D3288" s="2">
        <f t="shared" si="102"/>
        <v>5</v>
      </c>
      <c r="E3288" s="2">
        <f t="shared" si="103"/>
        <v>8</v>
      </c>
      <c r="F3288">
        <v>10.540100000000001</v>
      </c>
      <c r="G3288">
        <v>10.540100000000001</v>
      </c>
      <c r="H3288">
        <v>10.406700000000001</v>
      </c>
      <c r="I3288">
        <v>10.4956</v>
      </c>
      <c r="J3288">
        <v>27154</v>
      </c>
      <c r="K3288">
        <v>-0.42280000000000001</v>
      </c>
      <c r="L3288">
        <v>1.2821</v>
      </c>
    </row>
    <row r="3289" spans="1:12" hidden="1" x14ac:dyDescent="0.25">
      <c r="A3289">
        <v>2330</v>
      </c>
      <c r="B3289" t="s">
        <v>11</v>
      </c>
      <c r="C3289" s="1">
        <v>42608</v>
      </c>
      <c r="D3289" s="2">
        <f t="shared" si="102"/>
        <v>5</v>
      </c>
      <c r="E3289" s="2">
        <f t="shared" si="103"/>
        <v>8</v>
      </c>
      <c r="F3289">
        <v>154.31729999999999</v>
      </c>
      <c r="G3289">
        <v>156.08090000000001</v>
      </c>
      <c r="H3289">
        <v>154.31729999999999</v>
      </c>
      <c r="I3289">
        <v>156.08090000000001</v>
      </c>
      <c r="J3289">
        <v>15804</v>
      </c>
      <c r="K3289">
        <v>0</v>
      </c>
      <c r="L3289">
        <v>1.1429</v>
      </c>
    </row>
    <row r="3290" spans="1:12" x14ac:dyDescent="0.25">
      <c r="A3290">
        <v>2303</v>
      </c>
      <c r="B3290" t="s">
        <v>10</v>
      </c>
      <c r="C3290" s="1">
        <v>42611</v>
      </c>
      <c r="D3290" s="2">
        <f t="shared" si="102"/>
        <v>1</v>
      </c>
      <c r="E3290" s="2">
        <f t="shared" si="103"/>
        <v>8</v>
      </c>
      <c r="F3290">
        <v>10.4956</v>
      </c>
      <c r="G3290">
        <v>10.4956</v>
      </c>
      <c r="H3290">
        <v>10.273300000000001</v>
      </c>
      <c r="I3290">
        <v>10.3177</v>
      </c>
      <c r="J3290">
        <v>28011</v>
      </c>
      <c r="K3290">
        <v>-1.7094</v>
      </c>
      <c r="L3290">
        <v>2.1644999999999999</v>
      </c>
    </row>
    <row r="3291" spans="1:12" hidden="1" x14ac:dyDescent="0.25">
      <c r="A3291">
        <v>2330</v>
      </c>
      <c r="B3291" t="s">
        <v>11</v>
      </c>
      <c r="C3291" s="1">
        <v>42611</v>
      </c>
      <c r="D3291" s="2">
        <f t="shared" si="102"/>
        <v>1</v>
      </c>
      <c r="E3291" s="2">
        <f t="shared" si="103"/>
        <v>8</v>
      </c>
      <c r="F3291">
        <v>154.31729999999999</v>
      </c>
      <c r="G3291">
        <v>156.08090000000001</v>
      </c>
      <c r="H3291">
        <v>153.43549999999999</v>
      </c>
      <c r="I3291">
        <v>155.63999999999999</v>
      </c>
      <c r="J3291">
        <v>16967</v>
      </c>
      <c r="K3291">
        <v>-0.28289999999999998</v>
      </c>
      <c r="L3291">
        <v>1.7241</v>
      </c>
    </row>
    <row r="3292" spans="1:12" x14ac:dyDescent="0.25">
      <c r="A3292">
        <v>2303</v>
      </c>
      <c r="B3292" t="s">
        <v>10</v>
      </c>
      <c r="C3292" s="1">
        <v>42612</v>
      </c>
      <c r="D3292" s="2">
        <f t="shared" si="102"/>
        <v>2</v>
      </c>
      <c r="E3292" s="2">
        <f t="shared" si="103"/>
        <v>8</v>
      </c>
      <c r="F3292">
        <v>10.3622</v>
      </c>
      <c r="G3292">
        <v>10.406700000000001</v>
      </c>
      <c r="H3292">
        <v>10.2288</v>
      </c>
      <c r="I3292">
        <v>10.3177</v>
      </c>
      <c r="J3292">
        <v>21095</v>
      </c>
      <c r="K3292">
        <v>0</v>
      </c>
      <c r="L3292">
        <v>1.7391000000000001</v>
      </c>
    </row>
    <row r="3293" spans="1:12" hidden="1" x14ac:dyDescent="0.25">
      <c r="A3293">
        <v>2330</v>
      </c>
      <c r="B3293" t="s">
        <v>11</v>
      </c>
      <c r="C3293" s="1">
        <v>42612</v>
      </c>
      <c r="D3293" s="2">
        <f t="shared" si="102"/>
        <v>2</v>
      </c>
      <c r="E3293" s="2">
        <f t="shared" si="103"/>
        <v>8</v>
      </c>
      <c r="F3293">
        <v>155.19909999999999</v>
      </c>
      <c r="G3293">
        <v>155.63999999999999</v>
      </c>
      <c r="H3293">
        <v>153.43549999999999</v>
      </c>
      <c r="I3293">
        <v>153.87639999999999</v>
      </c>
      <c r="J3293">
        <v>19752</v>
      </c>
      <c r="K3293">
        <v>-1.1395999999999999</v>
      </c>
      <c r="L3293">
        <v>1.4368000000000001</v>
      </c>
    </row>
    <row r="3294" spans="1:12" x14ac:dyDescent="0.25">
      <c r="A3294">
        <v>2303</v>
      </c>
      <c r="B3294" t="s">
        <v>10</v>
      </c>
      <c r="C3294" s="1">
        <v>42613</v>
      </c>
      <c r="D3294" s="2">
        <f t="shared" si="102"/>
        <v>3</v>
      </c>
      <c r="E3294" s="2">
        <f t="shared" si="103"/>
        <v>8</v>
      </c>
      <c r="F3294">
        <v>10.3622</v>
      </c>
      <c r="G3294">
        <v>10.3622</v>
      </c>
      <c r="H3294">
        <v>10.2288</v>
      </c>
      <c r="I3294">
        <v>10.2288</v>
      </c>
      <c r="J3294">
        <v>32554</v>
      </c>
      <c r="K3294">
        <v>-0.86580000000000001</v>
      </c>
      <c r="L3294">
        <v>1.3043</v>
      </c>
    </row>
    <row r="3295" spans="1:12" hidden="1" x14ac:dyDescent="0.25">
      <c r="A3295">
        <v>2330</v>
      </c>
      <c r="B3295" t="s">
        <v>11</v>
      </c>
      <c r="C3295" s="1">
        <v>42613</v>
      </c>
      <c r="D3295" s="2">
        <f t="shared" si="102"/>
        <v>3</v>
      </c>
      <c r="E3295" s="2">
        <f t="shared" si="103"/>
        <v>8</v>
      </c>
      <c r="F3295">
        <v>155.63999999999999</v>
      </c>
      <c r="G3295">
        <v>156.08090000000001</v>
      </c>
      <c r="H3295">
        <v>153.87639999999999</v>
      </c>
      <c r="I3295">
        <v>155.19909999999999</v>
      </c>
      <c r="J3295">
        <v>42461</v>
      </c>
      <c r="K3295">
        <v>0.85589999999999999</v>
      </c>
      <c r="L3295">
        <v>1.4327000000000001</v>
      </c>
    </row>
    <row r="3296" spans="1:12" x14ac:dyDescent="0.25">
      <c r="A3296">
        <v>2303</v>
      </c>
      <c r="B3296" t="s">
        <v>10</v>
      </c>
      <c r="C3296" s="1">
        <v>42614</v>
      </c>
      <c r="D3296" s="2">
        <f t="shared" si="102"/>
        <v>4</v>
      </c>
      <c r="E3296" s="2">
        <f t="shared" si="103"/>
        <v>9</v>
      </c>
      <c r="F3296">
        <v>10.2288</v>
      </c>
      <c r="G3296">
        <v>10.273300000000001</v>
      </c>
      <c r="H3296">
        <v>10.1843</v>
      </c>
      <c r="I3296">
        <v>10.2288</v>
      </c>
      <c r="J3296">
        <v>25835</v>
      </c>
      <c r="K3296">
        <v>0</v>
      </c>
      <c r="L3296">
        <v>0.87339999999999995</v>
      </c>
    </row>
    <row r="3297" spans="1:12" hidden="1" x14ac:dyDescent="0.25">
      <c r="A3297">
        <v>2330</v>
      </c>
      <c r="B3297" t="s">
        <v>11</v>
      </c>
      <c r="C3297" s="1">
        <v>42614</v>
      </c>
      <c r="D3297" s="2">
        <f t="shared" si="102"/>
        <v>4</v>
      </c>
      <c r="E3297" s="2">
        <f t="shared" si="103"/>
        <v>9</v>
      </c>
      <c r="F3297">
        <v>155.19909999999999</v>
      </c>
      <c r="G3297">
        <v>155.19909999999999</v>
      </c>
      <c r="H3297">
        <v>152.55359999999999</v>
      </c>
      <c r="I3297">
        <v>152.99459999999999</v>
      </c>
      <c r="J3297">
        <v>26101</v>
      </c>
      <c r="K3297">
        <v>-1.4306000000000001</v>
      </c>
      <c r="L3297">
        <v>1.7341</v>
      </c>
    </row>
    <row r="3298" spans="1:12" x14ac:dyDescent="0.25">
      <c r="A3298">
        <v>2303</v>
      </c>
      <c r="B3298" t="s">
        <v>10</v>
      </c>
      <c r="C3298" s="1">
        <v>42615</v>
      </c>
      <c r="D3298" s="2">
        <f t="shared" si="102"/>
        <v>5</v>
      </c>
      <c r="E3298" s="2">
        <f t="shared" si="103"/>
        <v>9</v>
      </c>
      <c r="F3298">
        <v>10.3177</v>
      </c>
      <c r="G3298">
        <v>10.3177</v>
      </c>
      <c r="H3298">
        <v>10.2288</v>
      </c>
      <c r="I3298">
        <v>10.3177</v>
      </c>
      <c r="J3298">
        <v>19335</v>
      </c>
      <c r="K3298">
        <v>0.86580000000000001</v>
      </c>
      <c r="L3298">
        <v>0.86960000000000004</v>
      </c>
    </row>
    <row r="3299" spans="1:12" hidden="1" x14ac:dyDescent="0.25">
      <c r="A3299">
        <v>2330</v>
      </c>
      <c r="B3299" t="s">
        <v>11</v>
      </c>
      <c r="C3299" s="1">
        <v>42615</v>
      </c>
      <c r="D3299" s="2">
        <f t="shared" si="102"/>
        <v>5</v>
      </c>
      <c r="E3299" s="2">
        <f t="shared" si="103"/>
        <v>9</v>
      </c>
      <c r="F3299">
        <v>155.63999999999999</v>
      </c>
      <c r="G3299">
        <v>155.63999999999999</v>
      </c>
      <c r="H3299">
        <v>153.43549999999999</v>
      </c>
      <c r="I3299">
        <v>153.87639999999999</v>
      </c>
      <c r="J3299">
        <v>19489</v>
      </c>
      <c r="K3299">
        <v>0.57469999999999999</v>
      </c>
      <c r="L3299">
        <v>1.4368000000000001</v>
      </c>
    </row>
    <row r="3300" spans="1:12" x14ac:dyDescent="0.25">
      <c r="A3300">
        <v>2303</v>
      </c>
      <c r="B3300" t="s">
        <v>10</v>
      </c>
      <c r="C3300" s="1">
        <v>42618</v>
      </c>
      <c r="D3300" s="2">
        <f t="shared" si="102"/>
        <v>1</v>
      </c>
      <c r="E3300" s="2">
        <f t="shared" si="103"/>
        <v>9</v>
      </c>
      <c r="F3300">
        <v>10.3622</v>
      </c>
      <c r="G3300">
        <v>10.406700000000001</v>
      </c>
      <c r="H3300">
        <v>10.3177</v>
      </c>
      <c r="I3300">
        <v>10.3622</v>
      </c>
      <c r="J3300">
        <v>11897</v>
      </c>
      <c r="K3300">
        <v>0.43009999999999998</v>
      </c>
      <c r="L3300">
        <v>0.86209999999999998</v>
      </c>
    </row>
    <row r="3301" spans="1:12" hidden="1" x14ac:dyDescent="0.25">
      <c r="A3301">
        <v>2330</v>
      </c>
      <c r="B3301" t="s">
        <v>11</v>
      </c>
      <c r="C3301" s="1">
        <v>42618</v>
      </c>
      <c r="D3301" s="2">
        <f t="shared" si="102"/>
        <v>1</v>
      </c>
      <c r="E3301" s="2">
        <f t="shared" si="103"/>
        <v>9</v>
      </c>
      <c r="F3301">
        <v>155.63999999999999</v>
      </c>
      <c r="G3301">
        <v>156.52180000000001</v>
      </c>
      <c r="H3301">
        <v>155.63999999999999</v>
      </c>
      <c r="I3301">
        <v>155.63999999999999</v>
      </c>
      <c r="J3301">
        <v>27982</v>
      </c>
      <c r="K3301">
        <v>1.1395999999999999</v>
      </c>
      <c r="L3301">
        <v>0.56659999999999999</v>
      </c>
    </row>
    <row r="3302" spans="1:12" x14ac:dyDescent="0.25">
      <c r="A3302">
        <v>2303</v>
      </c>
      <c r="B3302" t="s">
        <v>10</v>
      </c>
      <c r="C3302" s="1">
        <v>42619</v>
      </c>
      <c r="D3302" s="2">
        <f t="shared" si="102"/>
        <v>2</v>
      </c>
      <c r="E3302" s="2">
        <f t="shared" si="103"/>
        <v>9</v>
      </c>
      <c r="F3302">
        <v>10.3622</v>
      </c>
      <c r="G3302">
        <v>10.4511</v>
      </c>
      <c r="H3302">
        <v>10.3622</v>
      </c>
      <c r="I3302">
        <v>10.4511</v>
      </c>
      <c r="J3302">
        <v>17052</v>
      </c>
      <c r="K3302">
        <v>0.85470000000000002</v>
      </c>
      <c r="L3302">
        <v>0.85840000000000005</v>
      </c>
    </row>
    <row r="3303" spans="1:12" hidden="1" x14ac:dyDescent="0.25">
      <c r="A3303">
        <v>2330</v>
      </c>
      <c r="B3303" t="s">
        <v>11</v>
      </c>
      <c r="C3303" s="1">
        <v>42619</v>
      </c>
      <c r="D3303" s="2">
        <f t="shared" si="102"/>
        <v>2</v>
      </c>
      <c r="E3303" s="2">
        <f t="shared" si="103"/>
        <v>9</v>
      </c>
      <c r="F3303">
        <v>156.08090000000001</v>
      </c>
      <c r="G3303">
        <v>157.84450000000001</v>
      </c>
      <c r="H3303">
        <v>155.63999999999999</v>
      </c>
      <c r="I3303">
        <v>157.84450000000001</v>
      </c>
      <c r="J3303">
        <v>29646</v>
      </c>
      <c r="K3303">
        <v>1.4065000000000001</v>
      </c>
      <c r="L3303">
        <v>1.4164000000000001</v>
      </c>
    </row>
    <row r="3304" spans="1:12" x14ac:dyDescent="0.25">
      <c r="A3304">
        <v>2303</v>
      </c>
      <c r="B3304" t="s">
        <v>10</v>
      </c>
      <c r="C3304" s="1">
        <v>42620</v>
      </c>
      <c r="D3304" s="2">
        <f t="shared" si="102"/>
        <v>3</v>
      </c>
      <c r="E3304" s="2">
        <f t="shared" si="103"/>
        <v>9</v>
      </c>
      <c r="F3304">
        <v>10.4511</v>
      </c>
      <c r="G3304">
        <v>10.5846</v>
      </c>
      <c r="H3304">
        <v>10.406700000000001</v>
      </c>
      <c r="I3304">
        <v>10.540100000000001</v>
      </c>
      <c r="J3304">
        <v>30041</v>
      </c>
      <c r="K3304">
        <v>0.84750000000000003</v>
      </c>
      <c r="L3304">
        <v>1.7094</v>
      </c>
    </row>
    <row r="3305" spans="1:12" hidden="1" x14ac:dyDescent="0.25">
      <c r="A3305">
        <v>2330</v>
      </c>
      <c r="B3305" t="s">
        <v>11</v>
      </c>
      <c r="C3305" s="1">
        <v>42620</v>
      </c>
      <c r="D3305" s="2">
        <f t="shared" si="102"/>
        <v>3</v>
      </c>
      <c r="E3305" s="2">
        <f t="shared" si="103"/>
        <v>9</v>
      </c>
      <c r="F3305">
        <v>159.16720000000001</v>
      </c>
      <c r="G3305">
        <v>163.1354</v>
      </c>
      <c r="H3305">
        <v>158.72630000000001</v>
      </c>
      <c r="I3305">
        <v>162.25360000000001</v>
      </c>
      <c r="J3305">
        <v>50851</v>
      </c>
      <c r="K3305">
        <v>2.7549999999999999</v>
      </c>
      <c r="L3305">
        <v>2.7778</v>
      </c>
    </row>
    <row r="3306" spans="1:12" x14ac:dyDescent="0.25">
      <c r="A3306">
        <v>2303</v>
      </c>
      <c r="B3306" t="s">
        <v>10</v>
      </c>
      <c r="C3306" s="1">
        <v>42621</v>
      </c>
      <c r="D3306" s="2">
        <f t="shared" si="102"/>
        <v>4</v>
      </c>
      <c r="E3306" s="2">
        <f t="shared" si="103"/>
        <v>9</v>
      </c>
      <c r="F3306">
        <v>10.4511</v>
      </c>
      <c r="G3306">
        <v>10.4956</v>
      </c>
      <c r="H3306">
        <v>10.406700000000001</v>
      </c>
      <c r="I3306">
        <v>10.4511</v>
      </c>
      <c r="J3306">
        <v>15831</v>
      </c>
      <c r="K3306">
        <v>-0.84750000000000003</v>
      </c>
      <c r="L3306">
        <v>0.85470000000000002</v>
      </c>
    </row>
    <row r="3307" spans="1:12" hidden="1" x14ac:dyDescent="0.25">
      <c r="A3307">
        <v>2330</v>
      </c>
      <c r="B3307" t="s">
        <v>11</v>
      </c>
      <c r="C3307" s="1">
        <v>42621</v>
      </c>
      <c r="D3307" s="2">
        <f t="shared" si="102"/>
        <v>4</v>
      </c>
      <c r="E3307" s="2">
        <f t="shared" si="103"/>
        <v>9</v>
      </c>
      <c r="F3307">
        <v>160.93090000000001</v>
      </c>
      <c r="G3307">
        <v>162.69450000000001</v>
      </c>
      <c r="H3307">
        <v>160.93090000000001</v>
      </c>
      <c r="I3307">
        <v>161.37180000000001</v>
      </c>
      <c r="J3307">
        <v>30307</v>
      </c>
      <c r="K3307">
        <v>-0.54500000000000004</v>
      </c>
      <c r="L3307">
        <v>1.0959000000000001</v>
      </c>
    </row>
    <row r="3308" spans="1:12" x14ac:dyDescent="0.25">
      <c r="A3308">
        <v>2303</v>
      </c>
      <c r="B3308" t="s">
        <v>10</v>
      </c>
      <c r="C3308" s="1">
        <v>42622</v>
      </c>
      <c r="D3308" s="2">
        <f t="shared" si="102"/>
        <v>5</v>
      </c>
      <c r="E3308" s="2">
        <f t="shared" si="103"/>
        <v>9</v>
      </c>
      <c r="F3308">
        <v>10.3177</v>
      </c>
      <c r="G3308">
        <v>10.406700000000001</v>
      </c>
      <c r="H3308">
        <v>10.3177</v>
      </c>
      <c r="I3308">
        <v>10.3622</v>
      </c>
      <c r="J3308">
        <v>14219</v>
      </c>
      <c r="K3308">
        <v>-0.85470000000000002</v>
      </c>
      <c r="L3308">
        <v>0.86209999999999998</v>
      </c>
    </row>
    <row r="3309" spans="1:12" hidden="1" x14ac:dyDescent="0.25">
      <c r="A3309">
        <v>2330</v>
      </c>
      <c r="B3309" t="s">
        <v>11</v>
      </c>
      <c r="C3309" s="1">
        <v>42622</v>
      </c>
      <c r="D3309" s="2">
        <f t="shared" si="102"/>
        <v>5</v>
      </c>
      <c r="E3309" s="2">
        <f t="shared" si="103"/>
        <v>9</v>
      </c>
      <c r="F3309">
        <v>159.60820000000001</v>
      </c>
      <c r="G3309">
        <v>159.60820000000001</v>
      </c>
      <c r="H3309">
        <v>158.28540000000001</v>
      </c>
      <c r="I3309">
        <v>158.28540000000001</v>
      </c>
      <c r="J3309">
        <v>30635</v>
      </c>
      <c r="K3309">
        <v>-1.9311</v>
      </c>
      <c r="L3309">
        <v>0.8357</v>
      </c>
    </row>
    <row r="3310" spans="1:12" x14ac:dyDescent="0.25">
      <c r="A3310">
        <v>2303</v>
      </c>
      <c r="B3310" t="s">
        <v>10</v>
      </c>
      <c r="C3310" s="1">
        <v>42623</v>
      </c>
      <c r="D3310" s="2">
        <f t="shared" si="102"/>
        <v>6</v>
      </c>
      <c r="E3310" s="2">
        <f t="shared" si="103"/>
        <v>9</v>
      </c>
      <c r="F3310">
        <v>10.2288</v>
      </c>
      <c r="G3310">
        <v>10.3177</v>
      </c>
      <c r="H3310">
        <v>10.2288</v>
      </c>
      <c r="I3310">
        <v>10.273300000000001</v>
      </c>
      <c r="J3310">
        <v>9547</v>
      </c>
      <c r="K3310">
        <v>-0.86209999999999998</v>
      </c>
      <c r="L3310">
        <v>0.86960000000000004</v>
      </c>
    </row>
    <row r="3311" spans="1:12" hidden="1" x14ac:dyDescent="0.25">
      <c r="A3311">
        <v>2330</v>
      </c>
      <c r="B3311" t="s">
        <v>11</v>
      </c>
      <c r="C3311" s="1">
        <v>42623</v>
      </c>
      <c r="D3311" s="2">
        <f t="shared" si="102"/>
        <v>6</v>
      </c>
      <c r="E3311" s="2">
        <f t="shared" si="103"/>
        <v>9</v>
      </c>
      <c r="F3311">
        <v>156.08090000000001</v>
      </c>
      <c r="G3311">
        <v>157.84450000000001</v>
      </c>
      <c r="H3311">
        <v>155.19909999999999</v>
      </c>
      <c r="I3311">
        <v>156.96270000000001</v>
      </c>
      <c r="J3311">
        <v>15470</v>
      </c>
      <c r="K3311">
        <v>-0.83919999999999995</v>
      </c>
      <c r="L3311">
        <v>1.7044999999999999</v>
      </c>
    </row>
    <row r="3312" spans="1:12" x14ac:dyDescent="0.25">
      <c r="A3312">
        <v>2303</v>
      </c>
      <c r="B3312" t="s">
        <v>10</v>
      </c>
      <c r="C3312" s="1">
        <v>42625</v>
      </c>
      <c r="D3312" s="2">
        <f t="shared" si="102"/>
        <v>1</v>
      </c>
      <c r="E3312" s="2">
        <f t="shared" si="103"/>
        <v>9</v>
      </c>
      <c r="F3312">
        <v>10.2288</v>
      </c>
      <c r="G3312">
        <v>10.3177</v>
      </c>
      <c r="H3312">
        <v>10.1843</v>
      </c>
      <c r="I3312">
        <v>10.273300000000001</v>
      </c>
      <c r="J3312">
        <v>26712</v>
      </c>
      <c r="K3312">
        <v>0</v>
      </c>
      <c r="L3312">
        <v>1.31</v>
      </c>
    </row>
    <row r="3313" spans="1:12" hidden="1" x14ac:dyDescent="0.25">
      <c r="A3313">
        <v>2330</v>
      </c>
      <c r="B3313" t="s">
        <v>11</v>
      </c>
      <c r="C3313" s="1">
        <v>42625</v>
      </c>
      <c r="D3313" s="2">
        <f t="shared" si="102"/>
        <v>1</v>
      </c>
      <c r="E3313" s="2">
        <f t="shared" si="103"/>
        <v>9</v>
      </c>
      <c r="F3313">
        <v>156.52180000000001</v>
      </c>
      <c r="G3313">
        <v>156.52180000000001</v>
      </c>
      <c r="H3313">
        <v>153.43549999999999</v>
      </c>
      <c r="I3313">
        <v>154.31729999999999</v>
      </c>
      <c r="J3313">
        <v>42751</v>
      </c>
      <c r="K3313">
        <v>-1.6998</v>
      </c>
      <c r="L3313">
        <v>2.0114999999999998</v>
      </c>
    </row>
    <row r="3314" spans="1:12" x14ac:dyDescent="0.25">
      <c r="A3314">
        <v>2303</v>
      </c>
      <c r="B3314" t="s">
        <v>10</v>
      </c>
      <c r="C3314" s="1">
        <v>42626</v>
      </c>
      <c r="D3314" s="2">
        <f t="shared" si="102"/>
        <v>2</v>
      </c>
      <c r="E3314" s="2">
        <f t="shared" si="103"/>
        <v>9</v>
      </c>
      <c r="F3314">
        <v>10.273300000000001</v>
      </c>
      <c r="G3314">
        <v>10.3177</v>
      </c>
      <c r="H3314">
        <v>10.1843</v>
      </c>
      <c r="I3314">
        <v>10.2288</v>
      </c>
      <c r="J3314">
        <v>24414</v>
      </c>
      <c r="K3314">
        <v>-0.43380000000000002</v>
      </c>
      <c r="L3314">
        <v>1.31</v>
      </c>
    </row>
    <row r="3315" spans="1:12" hidden="1" x14ac:dyDescent="0.25">
      <c r="A3315">
        <v>2330</v>
      </c>
      <c r="B3315" t="s">
        <v>11</v>
      </c>
      <c r="C3315" s="1">
        <v>42626</v>
      </c>
      <c r="D3315" s="2">
        <f t="shared" si="102"/>
        <v>2</v>
      </c>
      <c r="E3315" s="2">
        <f t="shared" si="103"/>
        <v>9</v>
      </c>
      <c r="F3315">
        <v>155.63999999999999</v>
      </c>
      <c r="G3315">
        <v>155.63999999999999</v>
      </c>
      <c r="H3315">
        <v>152.99459999999999</v>
      </c>
      <c r="I3315">
        <v>154.31729999999999</v>
      </c>
      <c r="J3315">
        <v>38438</v>
      </c>
      <c r="K3315">
        <v>0</v>
      </c>
      <c r="L3315">
        <v>1.7291000000000001</v>
      </c>
    </row>
    <row r="3316" spans="1:12" x14ac:dyDescent="0.25">
      <c r="A3316">
        <v>2303</v>
      </c>
      <c r="B3316" t="s">
        <v>10</v>
      </c>
      <c r="C3316" s="1">
        <v>42627</v>
      </c>
      <c r="D3316" s="2">
        <f t="shared" si="102"/>
        <v>3</v>
      </c>
      <c r="E3316" s="2">
        <f t="shared" si="103"/>
        <v>9</v>
      </c>
      <c r="F3316">
        <v>10.1843</v>
      </c>
      <c r="G3316">
        <v>10.273300000000001</v>
      </c>
      <c r="H3316">
        <v>10.139799999999999</v>
      </c>
      <c r="I3316">
        <v>10.139799999999999</v>
      </c>
      <c r="J3316">
        <v>24412</v>
      </c>
      <c r="K3316">
        <v>-0.87339999999999995</v>
      </c>
      <c r="L3316">
        <v>1.3158000000000001</v>
      </c>
    </row>
    <row r="3317" spans="1:12" hidden="1" x14ac:dyDescent="0.25">
      <c r="A3317">
        <v>2330</v>
      </c>
      <c r="B3317" t="s">
        <v>11</v>
      </c>
      <c r="C3317" s="1">
        <v>42627</v>
      </c>
      <c r="D3317" s="2">
        <f t="shared" si="102"/>
        <v>3</v>
      </c>
      <c r="E3317" s="2">
        <f t="shared" si="103"/>
        <v>9</v>
      </c>
      <c r="F3317">
        <v>153.43549999999999</v>
      </c>
      <c r="G3317">
        <v>155.19909999999999</v>
      </c>
      <c r="H3317">
        <v>152.99459999999999</v>
      </c>
      <c r="I3317">
        <v>152.99459999999999</v>
      </c>
      <c r="J3317">
        <v>52966</v>
      </c>
      <c r="K3317">
        <v>-0.86080000000000001</v>
      </c>
      <c r="L3317">
        <v>1.4409000000000001</v>
      </c>
    </row>
    <row r="3318" spans="1:12" x14ac:dyDescent="0.25">
      <c r="A3318">
        <v>2303</v>
      </c>
      <c r="B3318" t="s">
        <v>10</v>
      </c>
      <c r="C3318" s="1">
        <v>42632</v>
      </c>
      <c r="D3318" s="2">
        <f t="shared" si="102"/>
        <v>1</v>
      </c>
      <c r="E3318" s="2">
        <f t="shared" si="103"/>
        <v>9</v>
      </c>
      <c r="F3318">
        <v>10.1843</v>
      </c>
      <c r="G3318">
        <v>10.406700000000001</v>
      </c>
      <c r="H3318">
        <v>10.1843</v>
      </c>
      <c r="I3318">
        <v>10.273300000000001</v>
      </c>
      <c r="J3318">
        <v>38459</v>
      </c>
      <c r="K3318">
        <v>1.3071999999999999</v>
      </c>
      <c r="L3318">
        <v>2.1833999999999998</v>
      </c>
    </row>
    <row r="3319" spans="1:12" hidden="1" x14ac:dyDescent="0.25">
      <c r="A3319">
        <v>2330</v>
      </c>
      <c r="B3319" t="s">
        <v>11</v>
      </c>
      <c r="C3319" s="1">
        <v>42632</v>
      </c>
      <c r="D3319" s="2">
        <f t="shared" si="102"/>
        <v>1</v>
      </c>
      <c r="E3319" s="2">
        <f t="shared" si="103"/>
        <v>9</v>
      </c>
      <c r="F3319">
        <v>158.28540000000001</v>
      </c>
      <c r="G3319">
        <v>161.37180000000001</v>
      </c>
      <c r="H3319">
        <v>157.40360000000001</v>
      </c>
      <c r="I3319">
        <v>160.93090000000001</v>
      </c>
      <c r="J3319">
        <v>57296</v>
      </c>
      <c r="K3319">
        <v>5.0572999999999997</v>
      </c>
      <c r="L3319">
        <v>2.5209999999999999</v>
      </c>
    </row>
    <row r="3320" spans="1:12" x14ac:dyDescent="0.25">
      <c r="A3320">
        <v>2303</v>
      </c>
      <c r="B3320" t="s">
        <v>10</v>
      </c>
      <c r="C3320" s="1">
        <v>42633</v>
      </c>
      <c r="D3320" s="2">
        <f t="shared" si="102"/>
        <v>2</v>
      </c>
      <c r="E3320" s="2">
        <f t="shared" si="103"/>
        <v>9</v>
      </c>
      <c r="F3320">
        <v>10.273300000000001</v>
      </c>
      <c r="G3320">
        <v>10.3177</v>
      </c>
      <c r="H3320">
        <v>10.2288</v>
      </c>
      <c r="I3320">
        <v>10.273300000000001</v>
      </c>
      <c r="J3320">
        <v>23350</v>
      </c>
      <c r="K3320">
        <v>0</v>
      </c>
      <c r="L3320">
        <v>0.86960000000000004</v>
      </c>
    </row>
    <row r="3321" spans="1:12" hidden="1" x14ac:dyDescent="0.25">
      <c r="A3321">
        <v>2330</v>
      </c>
      <c r="B3321" t="s">
        <v>11</v>
      </c>
      <c r="C3321" s="1">
        <v>42633</v>
      </c>
      <c r="D3321" s="2">
        <f t="shared" si="102"/>
        <v>2</v>
      </c>
      <c r="E3321" s="2">
        <f t="shared" si="103"/>
        <v>9</v>
      </c>
      <c r="F3321">
        <v>160.49</v>
      </c>
      <c r="G3321">
        <v>161.81270000000001</v>
      </c>
      <c r="H3321">
        <v>160.04910000000001</v>
      </c>
      <c r="I3321">
        <v>161.37180000000001</v>
      </c>
      <c r="J3321">
        <v>23647</v>
      </c>
      <c r="K3321">
        <v>0.27360000000000001</v>
      </c>
      <c r="L3321">
        <v>1.1019000000000001</v>
      </c>
    </row>
    <row r="3322" spans="1:12" x14ac:dyDescent="0.25">
      <c r="A3322">
        <v>2303</v>
      </c>
      <c r="B3322" t="s">
        <v>10</v>
      </c>
      <c r="C3322" s="1">
        <v>42634</v>
      </c>
      <c r="D3322" s="2">
        <f t="shared" si="102"/>
        <v>3</v>
      </c>
      <c r="E3322" s="2">
        <f t="shared" si="103"/>
        <v>9</v>
      </c>
      <c r="F3322">
        <v>10.3177</v>
      </c>
      <c r="G3322">
        <v>10.4956</v>
      </c>
      <c r="H3322">
        <v>10.273300000000001</v>
      </c>
      <c r="I3322">
        <v>10.4956</v>
      </c>
      <c r="J3322">
        <v>38043</v>
      </c>
      <c r="K3322">
        <v>2.1414</v>
      </c>
      <c r="L3322">
        <v>2.1644999999999999</v>
      </c>
    </row>
    <row r="3323" spans="1:12" hidden="1" x14ac:dyDescent="0.25">
      <c r="A3323">
        <v>2330</v>
      </c>
      <c r="B3323" t="s">
        <v>11</v>
      </c>
      <c r="C3323" s="1">
        <v>42634</v>
      </c>
      <c r="D3323" s="2">
        <f t="shared" si="102"/>
        <v>3</v>
      </c>
      <c r="E3323" s="2">
        <f t="shared" si="103"/>
        <v>9</v>
      </c>
      <c r="F3323">
        <v>159.60820000000001</v>
      </c>
      <c r="G3323">
        <v>162.25360000000001</v>
      </c>
      <c r="H3323">
        <v>159.16720000000001</v>
      </c>
      <c r="I3323">
        <v>162.25360000000001</v>
      </c>
      <c r="J3323">
        <v>26261</v>
      </c>
      <c r="K3323">
        <v>0.54500000000000004</v>
      </c>
      <c r="L3323">
        <v>1.9391</v>
      </c>
    </row>
    <row r="3324" spans="1:12" x14ac:dyDescent="0.25">
      <c r="A3324">
        <v>2303</v>
      </c>
      <c r="B3324" t="s">
        <v>10</v>
      </c>
      <c r="C3324" s="1">
        <v>42635</v>
      </c>
      <c r="D3324" s="2">
        <f t="shared" si="102"/>
        <v>4</v>
      </c>
      <c r="E3324" s="2">
        <f t="shared" si="103"/>
        <v>9</v>
      </c>
      <c r="F3324">
        <v>10.540100000000001</v>
      </c>
      <c r="G3324">
        <v>10.540100000000001</v>
      </c>
      <c r="H3324">
        <v>10.3622</v>
      </c>
      <c r="I3324">
        <v>10.4511</v>
      </c>
      <c r="J3324">
        <v>26284</v>
      </c>
      <c r="K3324">
        <v>-0.42459999999999998</v>
      </c>
      <c r="L3324">
        <v>1.7166999999999999</v>
      </c>
    </row>
    <row r="3325" spans="1:12" hidden="1" x14ac:dyDescent="0.25">
      <c r="A3325">
        <v>2330</v>
      </c>
      <c r="B3325" t="s">
        <v>11</v>
      </c>
      <c r="C3325" s="1">
        <v>42635</v>
      </c>
      <c r="D3325" s="2">
        <f t="shared" si="102"/>
        <v>4</v>
      </c>
      <c r="E3325" s="2">
        <f t="shared" si="103"/>
        <v>9</v>
      </c>
      <c r="F3325">
        <v>163.1354</v>
      </c>
      <c r="G3325">
        <v>163.5763</v>
      </c>
      <c r="H3325">
        <v>161.81270000000001</v>
      </c>
      <c r="I3325">
        <v>163.5763</v>
      </c>
      <c r="J3325">
        <v>21213</v>
      </c>
      <c r="K3325">
        <v>0.81189999999999996</v>
      </c>
      <c r="L3325">
        <v>1.0899000000000001</v>
      </c>
    </row>
    <row r="3326" spans="1:12" x14ac:dyDescent="0.25">
      <c r="A3326">
        <v>2303</v>
      </c>
      <c r="B3326" t="s">
        <v>10</v>
      </c>
      <c r="C3326" s="1">
        <v>42636</v>
      </c>
      <c r="D3326" s="2">
        <f t="shared" si="102"/>
        <v>5</v>
      </c>
      <c r="E3326" s="2">
        <f t="shared" si="103"/>
        <v>9</v>
      </c>
      <c r="F3326">
        <v>10.4511</v>
      </c>
      <c r="G3326">
        <v>10.4511</v>
      </c>
      <c r="H3326">
        <v>10.3622</v>
      </c>
      <c r="I3326">
        <v>10.4511</v>
      </c>
      <c r="J3326">
        <v>17800</v>
      </c>
      <c r="K3326">
        <v>0</v>
      </c>
      <c r="L3326">
        <v>0.85840000000000005</v>
      </c>
    </row>
    <row r="3327" spans="1:12" hidden="1" x14ac:dyDescent="0.25">
      <c r="A3327">
        <v>2330</v>
      </c>
      <c r="B3327" t="s">
        <v>11</v>
      </c>
      <c r="C3327" s="1">
        <v>42636</v>
      </c>
      <c r="D3327" s="2">
        <f t="shared" si="102"/>
        <v>5</v>
      </c>
      <c r="E3327" s="2">
        <f t="shared" si="103"/>
        <v>9</v>
      </c>
      <c r="F3327">
        <v>163.1354</v>
      </c>
      <c r="G3327">
        <v>165.3399</v>
      </c>
      <c r="H3327">
        <v>162.69450000000001</v>
      </c>
      <c r="I3327">
        <v>165.3399</v>
      </c>
      <c r="J3327">
        <v>23141</v>
      </c>
      <c r="K3327">
        <v>1.0724</v>
      </c>
      <c r="L3327">
        <v>1.6259999999999999</v>
      </c>
    </row>
    <row r="3328" spans="1:12" x14ac:dyDescent="0.25">
      <c r="A3328">
        <v>2303</v>
      </c>
      <c r="B3328" t="s">
        <v>10</v>
      </c>
      <c r="C3328" s="1">
        <v>42639</v>
      </c>
      <c r="D3328" s="2">
        <f t="shared" si="102"/>
        <v>1</v>
      </c>
      <c r="E3328" s="2">
        <f t="shared" si="103"/>
        <v>9</v>
      </c>
      <c r="F3328">
        <v>10.406700000000001</v>
      </c>
      <c r="G3328">
        <v>10.4511</v>
      </c>
      <c r="H3328">
        <v>10.273300000000001</v>
      </c>
      <c r="I3328">
        <v>10.3177</v>
      </c>
      <c r="J3328">
        <v>13589</v>
      </c>
      <c r="K3328">
        <v>-1.2847999999999999</v>
      </c>
      <c r="L3328">
        <v>1.7316</v>
      </c>
    </row>
    <row r="3329" spans="1:12" hidden="1" x14ac:dyDescent="0.25">
      <c r="A3329">
        <v>2330</v>
      </c>
      <c r="B3329" t="s">
        <v>11</v>
      </c>
      <c r="C3329" s="1">
        <v>42639</v>
      </c>
      <c r="D3329" s="2">
        <f t="shared" si="102"/>
        <v>1</v>
      </c>
      <c r="E3329" s="2">
        <f t="shared" si="103"/>
        <v>9</v>
      </c>
      <c r="F3329">
        <v>161.81270000000001</v>
      </c>
      <c r="G3329">
        <v>163.1354</v>
      </c>
      <c r="H3329">
        <v>161.37180000000001</v>
      </c>
      <c r="I3329">
        <v>161.37180000000001</v>
      </c>
      <c r="J3329">
        <v>25218</v>
      </c>
      <c r="K3329">
        <v>-2.4293</v>
      </c>
      <c r="L3329">
        <v>1.0929</v>
      </c>
    </row>
    <row r="3330" spans="1:12" x14ac:dyDescent="0.25">
      <c r="A3330">
        <v>2303</v>
      </c>
      <c r="B3330" t="s">
        <v>10</v>
      </c>
      <c r="C3330" s="1">
        <v>42642</v>
      </c>
      <c r="D3330" s="2">
        <f t="shared" si="102"/>
        <v>4</v>
      </c>
      <c r="E3330" s="2">
        <f t="shared" si="103"/>
        <v>9</v>
      </c>
      <c r="F3330">
        <v>10.3177</v>
      </c>
      <c r="G3330">
        <v>10.4511</v>
      </c>
      <c r="H3330">
        <v>10.3177</v>
      </c>
      <c r="I3330">
        <v>10.3622</v>
      </c>
      <c r="J3330">
        <v>29375</v>
      </c>
      <c r="K3330">
        <v>0.43009999999999998</v>
      </c>
      <c r="L3330">
        <v>1.2930999999999999</v>
      </c>
    </row>
    <row r="3331" spans="1:12" hidden="1" x14ac:dyDescent="0.25">
      <c r="A3331">
        <v>2330</v>
      </c>
      <c r="B3331" t="s">
        <v>11</v>
      </c>
      <c r="C3331" s="1">
        <v>42642</v>
      </c>
      <c r="D3331" s="2">
        <f t="shared" ref="D3331:D3394" si="104">WEEKDAY(C3331,2)</f>
        <v>4</v>
      </c>
      <c r="E3331" s="2">
        <f t="shared" ref="E3331:E3394" si="105">MONTH(C3331)</f>
        <v>9</v>
      </c>
      <c r="F3331">
        <v>163.5763</v>
      </c>
      <c r="G3331">
        <v>165.3399</v>
      </c>
      <c r="H3331">
        <v>163.5763</v>
      </c>
      <c r="I3331">
        <v>163.5763</v>
      </c>
      <c r="J3331">
        <v>57778</v>
      </c>
      <c r="K3331">
        <v>1.3569</v>
      </c>
      <c r="L3331">
        <v>1.0782</v>
      </c>
    </row>
    <row r="3332" spans="1:12" x14ac:dyDescent="0.25">
      <c r="A3332">
        <v>2303</v>
      </c>
      <c r="B3332" t="s">
        <v>10</v>
      </c>
      <c r="C3332" s="1">
        <v>42643</v>
      </c>
      <c r="D3332" s="2">
        <f t="shared" si="104"/>
        <v>5</v>
      </c>
      <c r="E3332" s="2">
        <f t="shared" si="105"/>
        <v>9</v>
      </c>
      <c r="F3332">
        <v>10.3622</v>
      </c>
      <c r="G3332">
        <v>10.3622</v>
      </c>
      <c r="H3332">
        <v>10.2288</v>
      </c>
      <c r="I3332">
        <v>10.273300000000001</v>
      </c>
      <c r="J3332">
        <v>26443</v>
      </c>
      <c r="K3332">
        <v>-0.86209999999999998</v>
      </c>
      <c r="L3332">
        <v>1.3043</v>
      </c>
    </row>
    <row r="3333" spans="1:12" hidden="1" x14ac:dyDescent="0.25">
      <c r="A3333">
        <v>2330</v>
      </c>
      <c r="B3333" t="s">
        <v>11</v>
      </c>
      <c r="C3333" s="1">
        <v>42643</v>
      </c>
      <c r="D3333" s="2">
        <f t="shared" si="104"/>
        <v>5</v>
      </c>
      <c r="E3333" s="2">
        <f t="shared" si="105"/>
        <v>9</v>
      </c>
      <c r="F3333">
        <v>163.5763</v>
      </c>
      <c r="G3333">
        <v>164.4581</v>
      </c>
      <c r="H3333">
        <v>160.93090000000001</v>
      </c>
      <c r="I3333">
        <v>160.93090000000001</v>
      </c>
      <c r="J3333">
        <v>45163</v>
      </c>
      <c r="K3333">
        <v>-1.6305000000000001</v>
      </c>
      <c r="L3333">
        <v>2.1918000000000002</v>
      </c>
    </row>
    <row r="3334" spans="1:12" x14ac:dyDescent="0.25">
      <c r="A3334">
        <v>2303</v>
      </c>
      <c r="B3334" t="s">
        <v>10</v>
      </c>
      <c r="C3334" s="1">
        <v>42646</v>
      </c>
      <c r="D3334" s="2">
        <f t="shared" si="104"/>
        <v>1</v>
      </c>
      <c r="E3334" s="2">
        <f t="shared" si="105"/>
        <v>10</v>
      </c>
      <c r="F3334">
        <v>10.273300000000001</v>
      </c>
      <c r="G3334">
        <v>10.3622</v>
      </c>
      <c r="H3334">
        <v>10.273300000000001</v>
      </c>
      <c r="I3334">
        <v>10.3177</v>
      </c>
      <c r="J3334">
        <v>10253</v>
      </c>
      <c r="K3334">
        <v>0.432</v>
      </c>
      <c r="L3334">
        <v>0.86580000000000001</v>
      </c>
    </row>
    <row r="3335" spans="1:12" hidden="1" x14ac:dyDescent="0.25">
      <c r="A3335">
        <v>2330</v>
      </c>
      <c r="B3335" t="s">
        <v>11</v>
      </c>
      <c r="C3335" s="1">
        <v>42646</v>
      </c>
      <c r="D3335" s="2">
        <f t="shared" si="104"/>
        <v>1</v>
      </c>
      <c r="E3335" s="2">
        <f t="shared" si="105"/>
        <v>10</v>
      </c>
      <c r="F3335">
        <v>164.0172</v>
      </c>
      <c r="G3335">
        <v>164.4581</v>
      </c>
      <c r="H3335">
        <v>162.69450000000001</v>
      </c>
      <c r="I3335">
        <v>164.0172</v>
      </c>
      <c r="J3335">
        <v>18987</v>
      </c>
      <c r="K3335">
        <v>1.8996999999999999</v>
      </c>
      <c r="L3335">
        <v>1.0840000000000001</v>
      </c>
    </row>
    <row r="3336" spans="1:12" x14ac:dyDescent="0.25">
      <c r="A3336">
        <v>2303</v>
      </c>
      <c r="B3336" t="s">
        <v>10</v>
      </c>
      <c r="C3336" s="1">
        <v>42647</v>
      </c>
      <c r="D3336" s="2">
        <f t="shared" si="104"/>
        <v>2</v>
      </c>
      <c r="E3336" s="2">
        <f t="shared" si="105"/>
        <v>10</v>
      </c>
      <c r="F3336">
        <v>10.3177</v>
      </c>
      <c r="G3336">
        <v>10.3177</v>
      </c>
      <c r="H3336">
        <v>10.273300000000001</v>
      </c>
      <c r="I3336">
        <v>10.3177</v>
      </c>
      <c r="J3336">
        <v>13675</v>
      </c>
      <c r="K3336">
        <v>0</v>
      </c>
      <c r="L3336">
        <v>0.43290000000000001</v>
      </c>
    </row>
    <row r="3337" spans="1:12" hidden="1" x14ac:dyDescent="0.25">
      <c r="A3337">
        <v>2330</v>
      </c>
      <c r="B3337" t="s">
        <v>11</v>
      </c>
      <c r="C3337" s="1">
        <v>42647</v>
      </c>
      <c r="D3337" s="2">
        <f t="shared" si="104"/>
        <v>2</v>
      </c>
      <c r="E3337" s="2">
        <f t="shared" si="105"/>
        <v>10</v>
      </c>
      <c r="F3337">
        <v>163.1354</v>
      </c>
      <c r="G3337">
        <v>164.899</v>
      </c>
      <c r="H3337">
        <v>163.1354</v>
      </c>
      <c r="I3337">
        <v>164.899</v>
      </c>
      <c r="J3337">
        <v>17139</v>
      </c>
      <c r="K3337">
        <v>0.53620000000000001</v>
      </c>
      <c r="L3337">
        <v>1.0810999999999999</v>
      </c>
    </row>
    <row r="3338" spans="1:12" x14ac:dyDescent="0.25">
      <c r="A3338">
        <v>2303</v>
      </c>
      <c r="B3338" t="s">
        <v>10</v>
      </c>
      <c r="C3338" s="1">
        <v>42648</v>
      </c>
      <c r="D3338" s="2">
        <f t="shared" si="104"/>
        <v>3</v>
      </c>
      <c r="E3338" s="2">
        <f t="shared" si="105"/>
        <v>10</v>
      </c>
      <c r="F3338">
        <v>10.2288</v>
      </c>
      <c r="G3338">
        <v>10.3177</v>
      </c>
      <c r="H3338">
        <v>10.2288</v>
      </c>
      <c r="I3338">
        <v>10.3177</v>
      </c>
      <c r="J3338">
        <v>14220</v>
      </c>
      <c r="K3338">
        <v>0</v>
      </c>
      <c r="L3338">
        <v>0.86960000000000004</v>
      </c>
    </row>
    <row r="3339" spans="1:12" hidden="1" x14ac:dyDescent="0.25">
      <c r="A3339">
        <v>2330</v>
      </c>
      <c r="B3339" t="s">
        <v>11</v>
      </c>
      <c r="C3339" s="1">
        <v>42648</v>
      </c>
      <c r="D3339" s="2">
        <f t="shared" si="104"/>
        <v>3</v>
      </c>
      <c r="E3339" s="2">
        <f t="shared" si="105"/>
        <v>10</v>
      </c>
      <c r="F3339">
        <v>164.0172</v>
      </c>
      <c r="G3339">
        <v>164.0172</v>
      </c>
      <c r="H3339">
        <v>162.69450000000001</v>
      </c>
      <c r="I3339">
        <v>164.0172</v>
      </c>
      <c r="J3339">
        <v>19144</v>
      </c>
      <c r="K3339">
        <v>-0.53620000000000001</v>
      </c>
      <c r="L3339">
        <v>0.81299999999999994</v>
      </c>
    </row>
    <row r="3340" spans="1:12" x14ac:dyDescent="0.25">
      <c r="A3340">
        <v>2303</v>
      </c>
      <c r="B3340" t="s">
        <v>10</v>
      </c>
      <c r="C3340" s="1">
        <v>42649</v>
      </c>
      <c r="D3340" s="2">
        <f t="shared" si="104"/>
        <v>4</v>
      </c>
      <c r="E3340" s="2">
        <f t="shared" si="105"/>
        <v>10</v>
      </c>
      <c r="F3340">
        <v>10.273300000000001</v>
      </c>
      <c r="G3340">
        <v>10.3177</v>
      </c>
      <c r="H3340">
        <v>10.273300000000001</v>
      </c>
      <c r="I3340">
        <v>10.3177</v>
      </c>
      <c r="J3340">
        <v>12184</v>
      </c>
      <c r="K3340">
        <v>0</v>
      </c>
      <c r="L3340">
        <v>0.43290000000000001</v>
      </c>
    </row>
    <row r="3341" spans="1:12" hidden="1" x14ac:dyDescent="0.25">
      <c r="A3341">
        <v>2330</v>
      </c>
      <c r="B3341" t="s">
        <v>11</v>
      </c>
      <c r="C3341" s="1">
        <v>42649</v>
      </c>
      <c r="D3341" s="2">
        <f t="shared" si="104"/>
        <v>4</v>
      </c>
      <c r="E3341" s="2">
        <f t="shared" si="105"/>
        <v>10</v>
      </c>
      <c r="F3341">
        <v>163.1354</v>
      </c>
      <c r="G3341">
        <v>165.3399</v>
      </c>
      <c r="H3341">
        <v>163.1354</v>
      </c>
      <c r="I3341">
        <v>165.3399</v>
      </c>
      <c r="J3341">
        <v>15715</v>
      </c>
      <c r="K3341">
        <v>0.80320000000000003</v>
      </c>
      <c r="L3341">
        <v>1.3513999999999999</v>
      </c>
    </row>
    <row r="3342" spans="1:12" x14ac:dyDescent="0.25">
      <c r="A3342">
        <v>2303</v>
      </c>
      <c r="B3342" t="s">
        <v>10</v>
      </c>
      <c r="C3342" s="1">
        <v>42650</v>
      </c>
      <c r="D3342" s="2">
        <f t="shared" si="104"/>
        <v>5</v>
      </c>
      <c r="E3342" s="2">
        <f t="shared" si="105"/>
        <v>10</v>
      </c>
      <c r="F3342">
        <v>10.3177</v>
      </c>
      <c r="G3342">
        <v>10.3177</v>
      </c>
      <c r="H3342">
        <v>10.2288</v>
      </c>
      <c r="I3342">
        <v>10.2288</v>
      </c>
      <c r="J3342">
        <v>9149</v>
      </c>
      <c r="K3342">
        <v>-0.86580000000000001</v>
      </c>
      <c r="L3342">
        <v>0.86960000000000004</v>
      </c>
    </row>
    <row r="3343" spans="1:12" hidden="1" x14ac:dyDescent="0.25">
      <c r="A3343">
        <v>2330</v>
      </c>
      <c r="B3343" t="s">
        <v>11</v>
      </c>
      <c r="C3343" s="1">
        <v>42650</v>
      </c>
      <c r="D3343" s="2">
        <f t="shared" si="104"/>
        <v>5</v>
      </c>
      <c r="E3343" s="2">
        <f t="shared" si="105"/>
        <v>10</v>
      </c>
      <c r="F3343">
        <v>165.7808</v>
      </c>
      <c r="G3343">
        <v>165.7808</v>
      </c>
      <c r="H3343">
        <v>164.0172</v>
      </c>
      <c r="I3343">
        <v>165.7808</v>
      </c>
      <c r="J3343">
        <v>15870</v>
      </c>
      <c r="K3343">
        <v>0.26629999999999998</v>
      </c>
      <c r="L3343">
        <v>1.0752999999999999</v>
      </c>
    </row>
    <row r="3344" spans="1:12" x14ac:dyDescent="0.25">
      <c r="A3344">
        <v>2303</v>
      </c>
      <c r="B3344" t="s">
        <v>10</v>
      </c>
      <c r="C3344" s="1">
        <v>42654</v>
      </c>
      <c r="D3344" s="2">
        <f t="shared" si="104"/>
        <v>2</v>
      </c>
      <c r="E3344" s="2">
        <f t="shared" si="105"/>
        <v>10</v>
      </c>
      <c r="F3344">
        <v>10.3177</v>
      </c>
      <c r="G3344">
        <v>10.406700000000001</v>
      </c>
      <c r="H3344">
        <v>10.2288</v>
      </c>
      <c r="I3344">
        <v>10.3622</v>
      </c>
      <c r="J3344">
        <v>37427</v>
      </c>
      <c r="K3344">
        <v>1.2959000000000001</v>
      </c>
      <c r="L3344">
        <v>1.7391000000000001</v>
      </c>
    </row>
    <row r="3345" spans="1:12" hidden="1" x14ac:dyDescent="0.25">
      <c r="A3345">
        <v>2330</v>
      </c>
      <c r="B3345" t="s">
        <v>11</v>
      </c>
      <c r="C3345" s="1">
        <v>42654</v>
      </c>
      <c r="D3345" s="2">
        <f t="shared" si="104"/>
        <v>2</v>
      </c>
      <c r="E3345" s="2">
        <f t="shared" si="105"/>
        <v>10</v>
      </c>
      <c r="F3345">
        <v>168.4263</v>
      </c>
      <c r="G3345">
        <v>168.4263</v>
      </c>
      <c r="H3345">
        <v>164.0172</v>
      </c>
      <c r="I3345">
        <v>165.3399</v>
      </c>
      <c r="J3345">
        <v>31107</v>
      </c>
      <c r="K3345">
        <v>-0.26629999999999998</v>
      </c>
      <c r="L3345">
        <v>2.6882000000000001</v>
      </c>
    </row>
    <row r="3346" spans="1:12" x14ac:dyDescent="0.25">
      <c r="A3346">
        <v>2303</v>
      </c>
      <c r="B3346" t="s">
        <v>10</v>
      </c>
      <c r="C3346" s="1">
        <v>42655</v>
      </c>
      <c r="D3346" s="2">
        <f t="shared" si="104"/>
        <v>3</v>
      </c>
      <c r="E3346" s="2">
        <f t="shared" si="105"/>
        <v>10</v>
      </c>
      <c r="F3346">
        <v>10.3177</v>
      </c>
      <c r="G3346">
        <v>10.3622</v>
      </c>
      <c r="H3346">
        <v>10.2288</v>
      </c>
      <c r="I3346">
        <v>10.273300000000001</v>
      </c>
      <c r="J3346">
        <v>23419</v>
      </c>
      <c r="K3346">
        <v>-0.86209999999999998</v>
      </c>
      <c r="L3346">
        <v>1.3043</v>
      </c>
    </row>
    <row r="3347" spans="1:12" hidden="1" x14ac:dyDescent="0.25">
      <c r="A3347">
        <v>2330</v>
      </c>
      <c r="B3347" t="s">
        <v>11</v>
      </c>
      <c r="C3347" s="1">
        <v>42655</v>
      </c>
      <c r="D3347" s="2">
        <f t="shared" si="104"/>
        <v>3</v>
      </c>
      <c r="E3347" s="2">
        <f t="shared" si="105"/>
        <v>10</v>
      </c>
      <c r="F3347">
        <v>164.4581</v>
      </c>
      <c r="G3347">
        <v>167.5445</v>
      </c>
      <c r="H3347">
        <v>164.0172</v>
      </c>
      <c r="I3347">
        <v>167.1036</v>
      </c>
      <c r="J3347">
        <v>24592</v>
      </c>
      <c r="K3347">
        <v>1.0609999999999999</v>
      </c>
      <c r="L3347">
        <v>2.1505000000000001</v>
      </c>
    </row>
    <row r="3348" spans="1:12" x14ac:dyDescent="0.25">
      <c r="A3348">
        <v>2303</v>
      </c>
      <c r="B3348" t="s">
        <v>10</v>
      </c>
      <c r="C3348" s="1">
        <v>42656</v>
      </c>
      <c r="D3348" s="2">
        <f t="shared" si="104"/>
        <v>4</v>
      </c>
      <c r="E3348" s="2">
        <f t="shared" si="105"/>
        <v>10</v>
      </c>
      <c r="F3348">
        <v>10.3177</v>
      </c>
      <c r="G3348">
        <v>10.3177</v>
      </c>
      <c r="H3348">
        <v>10.1843</v>
      </c>
      <c r="I3348">
        <v>10.2288</v>
      </c>
      <c r="J3348">
        <v>29280</v>
      </c>
      <c r="K3348">
        <v>-0.43380000000000002</v>
      </c>
      <c r="L3348">
        <v>1.31</v>
      </c>
    </row>
    <row r="3349" spans="1:12" hidden="1" x14ac:dyDescent="0.25">
      <c r="A3349">
        <v>2330</v>
      </c>
      <c r="B3349" t="s">
        <v>11</v>
      </c>
      <c r="C3349" s="1">
        <v>42656</v>
      </c>
      <c r="D3349" s="2">
        <f t="shared" si="104"/>
        <v>4</v>
      </c>
      <c r="E3349" s="2">
        <f t="shared" si="105"/>
        <v>10</v>
      </c>
      <c r="F3349">
        <v>167.9854</v>
      </c>
      <c r="G3349">
        <v>168.4263</v>
      </c>
      <c r="H3349">
        <v>164.899</v>
      </c>
      <c r="I3349">
        <v>166.2218</v>
      </c>
      <c r="J3349">
        <v>40728</v>
      </c>
      <c r="K3349">
        <v>-0.52910000000000001</v>
      </c>
      <c r="L3349">
        <v>2.1389999999999998</v>
      </c>
    </row>
    <row r="3350" spans="1:12" x14ac:dyDescent="0.25">
      <c r="A3350">
        <v>2303</v>
      </c>
      <c r="B3350" t="s">
        <v>10</v>
      </c>
      <c r="C3350" s="1">
        <v>42657</v>
      </c>
      <c r="D3350" s="2">
        <f t="shared" si="104"/>
        <v>5</v>
      </c>
      <c r="E3350" s="2">
        <f t="shared" si="105"/>
        <v>10</v>
      </c>
      <c r="F3350">
        <v>10.2288</v>
      </c>
      <c r="G3350">
        <v>10.406700000000001</v>
      </c>
      <c r="H3350">
        <v>10.1843</v>
      </c>
      <c r="I3350">
        <v>10.3622</v>
      </c>
      <c r="J3350">
        <v>29111</v>
      </c>
      <c r="K3350">
        <v>1.2959000000000001</v>
      </c>
      <c r="L3350">
        <v>2.1833999999999998</v>
      </c>
    </row>
    <row r="3351" spans="1:12" hidden="1" x14ac:dyDescent="0.25">
      <c r="A3351">
        <v>2330</v>
      </c>
      <c r="B3351" t="s">
        <v>11</v>
      </c>
      <c r="C3351" s="1">
        <v>42657</v>
      </c>
      <c r="D3351" s="2">
        <f t="shared" si="104"/>
        <v>5</v>
      </c>
      <c r="E3351" s="2">
        <f t="shared" si="105"/>
        <v>10</v>
      </c>
      <c r="F3351">
        <v>164.899</v>
      </c>
      <c r="G3351">
        <v>166.6627</v>
      </c>
      <c r="H3351">
        <v>164.4581</v>
      </c>
      <c r="I3351">
        <v>165.7808</v>
      </c>
      <c r="J3351">
        <v>34340</v>
      </c>
      <c r="K3351">
        <v>-0.2656</v>
      </c>
      <c r="L3351">
        <v>1.3405</v>
      </c>
    </row>
    <row r="3352" spans="1:12" x14ac:dyDescent="0.25">
      <c r="A3352">
        <v>2303</v>
      </c>
      <c r="B3352" t="s">
        <v>10</v>
      </c>
      <c r="C3352" s="1">
        <v>42660</v>
      </c>
      <c r="D3352" s="2">
        <f t="shared" si="104"/>
        <v>1</v>
      </c>
      <c r="E3352" s="2">
        <f t="shared" si="105"/>
        <v>10</v>
      </c>
      <c r="F3352">
        <v>10.3622</v>
      </c>
      <c r="G3352">
        <v>10.3622</v>
      </c>
      <c r="H3352">
        <v>10.2288</v>
      </c>
      <c r="I3352">
        <v>10.273300000000001</v>
      </c>
      <c r="J3352">
        <v>12931</v>
      </c>
      <c r="K3352">
        <v>-0.86209999999999998</v>
      </c>
      <c r="L3352">
        <v>1.3043</v>
      </c>
    </row>
    <row r="3353" spans="1:12" hidden="1" x14ac:dyDescent="0.25">
      <c r="A3353">
        <v>2330</v>
      </c>
      <c r="B3353" t="s">
        <v>11</v>
      </c>
      <c r="C3353" s="1">
        <v>42660</v>
      </c>
      <c r="D3353" s="2">
        <f t="shared" si="104"/>
        <v>1</v>
      </c>
      <c r="E3353" s="2">
        <f t="shared" si="105"/>
        <v>10</v>
      </c>
      <c r="F3353">
        <v>164.4581</v>
      </c>
      <c r="G3353">
        <v>165.3399</v>
      </c>
      <c r="H3353">
        <v>163.1354</v>
      </c>
      <c r="I3353">
        <v>164.4581</v>
      </c>
      <c r="J3353">
        <v>37878</v>
      </c>
      <c r="K3353">
        <v>-0.80110000000000003</v>
      </c>
      <c r="L3353">
        <v>1.3513999999999999</v>
      </c>
    </row>
    <row r="3354" spans="1:12" x14ac:dyDescent="0.25">
      <c r="A3354">
        <v>2303</v>
      </c>
      <c r="B3354" t="s">
        <v>10</v>
      </c>
      <c r="C3354" s="1">
        <v>42661</v>
      </c>
      <c r="D3354" s="2">
        <f t="shared" si="104"/>
        <v>2</v>
      </c>
      <c r="E3354" s="2">
        <f t="shared" si="105"/>
        <v>10</v>
      </c>
      <c r="F3354">
        <v>10.273300000000001</v>
      </c>
      <c r="G3354">
        <v>10.3622</v>
      </c>
      <c r="H3354">
        <v>10.273300000000001</v>
      </c>
      <c r="I3354">
        <v>10.3622</v>
      </c>
      <c r="J3354">
        <v>14198</v>
      </c>
      <c r="K3354">
        <v>0.86209999999999998</v>
      </c>
      <c r="L3354">
        <v>0.86580000000000001</v>
      </c>
    </row>
    <row r="3355" spans="1:12" hidden="1" x14ac:dyDescent="0.25">
      <c r="A3355">
        <v>2330</v>
      </c>
      <c r="B3355" t="s">
        <v>11</v>
      </c>
      <c r="C3355" s="1">
        <v>42661</v>
      </c>
      <c r="D3355" s="2">
        <f t="shared" si="104"/>
        <v>2</v>
      </c>
      <c r="E3355" s="2">
        <f t="shared" si="105"/>
        <v>10</v>
      </c>
      <c r="F3355">
        <v>164.4581</v>
      </c>
      <c r="G3355">
        <v>164.899</v>
      </c>
      <c r="H3355">
        <v>163.5763</v>
      </c>
      <c r="I3355">
        <v>164.899</v>
      </c>
      <c r="J3355">
        <v>40651</v>
      </c>
      <c r="K3355">
        <v>0.26769999999999999</v>
      </c>
      <c r="L3355">
        <v>0.80859999999999999</v>
      </c>
    </row>
    <row r="3356" spans="1:12" x14ac:dyDescent="0.25">
      <c r="A3356">
        <v>2303</v>
      </c>
      <c r="B3356" t="s">
        <v>10</v>
      </c>
      <c r="C3356" s="1">
        <v>42662</v>
      </c>
      <c r="D3356" s="2">
        <f t="shared" si="104"/>
        <v>3</v>
      </c>
      <c r="E3356" s="2">
        <f t="shared" si="105"/>
        <v>10</v>
      </c>
      <c r="F3356">
        <v>10.3622</v>
      </c>
      <c r="G3356">
        <v>10.406700000000001</v>
      </c>
      <c r="H3356">
        <v>10.3177</v>
      </c>
      <c r="I3356">
        <v>10.406700000000001</v>
      </c>
      <c r="J3356">
        <v>17853</v>
      </c>
      <c r="K3356">
        <v>0.42830000000000001</v>
      </c>
      <c r="L3356">
        <v>0.86209999999999998</v>
      </c>
    </row>
    <row r="3357" spans="1:12" hidden="1" x14ac:dyDescent="0.25">
      <c r="A3357">
        <v>2330</v>
      </c>
      <c r="B3357" t="s">
        <v>11</v>
      </c>
      <c r="C3357" s="1">
        <v>42662</v>
      </c>
      <c r="D3357" s="2">
        <f t="shared" si="104"/>
        <v>3</v>
      </c>
      <c r="E3357" s="2">
        <f t="shared" si="105"/>
        <v>10</v>
      </c>
      <c r="F3357">
        <v>165.3399</v>
      </c>
      <c r="G3357">
        <v>167.1036</v>
      </c>
      <c r="H3357">
        <v>165.3399</v>
      </c>
      <c r="I3357">
        <v>167.1036</v>
      </c>
      <c r="J3357">
        <v>38143</v>
      </c>
      <c r="K3357">
        <v>1.3280000000000001</v>
      </c>
      <c r="L3357">
        <v>1.0667</v>
      </c>
    </row>
    <row r="3358" spans="1:12" x14ac:dyDescent="0.25">
      <c r="A3358">
        <v>2303</v>
      </c>
      <c r="B3358" t="s">
        <v>10</v>
      </c>
      <c r="C3358" s="1">
        <v>42663</v>
      </c>
      <c r="D3358" s="2">
        <f t="shared" si="104"/>
        <v>4</v>
      </c>
      <c r="E3358" s="2">
        <f t="shared" si="105"/>
        <v>10</v>
      </c>
      <c r="F3358">
        <v>10.406700000000001</v>
      </c>
      <c r="G3358">
        <v>10.406700000000001</v>
      </c>
      <c r="H3358">
        <v>10.3177</v>
      </c>
      <c r="I3358">
        <v>10.3622</v>
      </c>
      <c r="J3358">
        <v>11772</v>
      </c>
      <c r="K3358">
        <v>-0.42830000000000001</v>
      </c>
      <c r="L3358">
        <v>0.86209999999999998</v>
      </c>
    </row>
    <row r="3359" spans="1:12" hidden="1" x14ac:dyDescent="0.25">
      <c r="A3359">
        <v>2330</v>
      </c>
      <c r="B3359" t="s">
        <v>11</v>
      </c>
      <c r="C3359" s="1">
        <v>42663</v>
      </c>
      <c r="D3359" s="2">
        <f t="shared" si="104"/>
        <v>4</v>
      </c>
      <c r="E3359" s="2">
        <f t="shared" si="105"/>
        <v>10</v>
      </c>
      <c r="F3359">
        <v>167.1036</v>
      </c>
      <c r="G3359">
        <v>167.9854</v>
      </c>
      <c r="H3359">
        <v>166.6627</v>
      </c>
      <c r="I3359">
        <v>167.9854</v>
      </c>
      <c r="J3359">
        <v>15736</v>
      </c>
      <c r="K3359">
        <v>0.52629999999999999</v>
      </c>
      <c r="L3359">
        <v>0.79369999999999996</v>
      </c>
    </row>
    <row r="3360" spans="1:12" x14ac:dyDescent="0.25">
      <c r="A3360">
        <v>2303</v>
      </c>
      <c r="B3360" t="s">
        <v>10</v>
      </c>
      <c r="C3360" s="1">
        <v>42664</v>
      </c>
      <c r="D3360" s="2">
        <f t="shared" si="104"/>
        <v>5</v>
      </c>
      <c r="E3360" s="2">
        <f t="shared" si="105"/>
        <v>10</v>
      </c>
      <c r="F3360">
        <v>10.3177</v>
      </c>
      <c r="G3360">
        <v>10.406700000000001</v>
      </c>
      <c r="H3360">
        <v>10.3177</v>
      </c>
      <c r="I3360">
        <v>10.406700000000001</v>
      </c>
      <c r="J3360">
        <v>14109</v>
      </c>
      <c r="K3360">
        <v>0.42830000000000001</v>
      </c>
      <c r="L3360">
        <v>0.86209999999999998</v>
      </c>
    </row>
    <row r="3361" spans="1:12" hidden="1" x14ac:dyDescent="0.25">
      <c r="A3361">
        <v>2330</v>
      </c>
      <c r="B3361" t="s">
        <v>11</v>
      </c>
      <c r="C3361" s="1">
        <v>42664</v>
      </c>
      <c r="D3361" s="2">
        <f t="shared" si="104"/>
        <v>5</v>
      </c>
      <c r="E3361" s="2">
        <f t="shared" si="105"/>
        <v>10</v>
      </c>
      <c r="F3361">
        <v>168.4263</v>
      </c>
      <c r="G3361">
        <v>169.3081</v>
      </c>
      <c r="H3361">
        <v>166.2218</v>
      </c>
      <c r="I3361">
        <v>166.2218</v>
      </c>
      <c r="J3361">
        <v>22316</v>
      </c>
      <c r="K3361">
        <v>-1.0553999999999999</v>
      </c>
      <c r="L3361">
        <v>1.8568</v>
      </c>
    </row>
    <row r="3362" spans="1:12" x14ac:dyDescent="0.25">
      <c r="A3362">
        <v>2303</v>
      </c>
      <c r="B3362" t="s">
        <v>10</v>
      </c>
      <c r="C3362" s="1">
        <v>42667</v>
      </c>
      <c r="D3362" s="2">
        <f t="shared" si="104"/>
        <v>1</v>
      </c>
      <c r="E3362" s="2">
        <f t="shared" si="105"/>
        <v>10</v>
      </c>
      <c r="F3362">
        <v>10.4511</v>
      </c>
      <c r="G3362">
        <v>10.4511</v>
      </c>
      <c r="H3362">
        <v>10.3177</v>
      </c>
      <c r="I3362">
        <v>10.3622</v>
      </c>
      <c r="J3362">
        <v>12059</v>
      </c>
      <c r="K3362">
        <v>-0.42830000000000001</v>
      </c>
      <c r="L3362">
        <v>1.2930999999999999</v>
      </c>
    </row>
    <row r="3363" spans="1:12" hidden="1" x14ac:dyDescent="0.25">
      <c r="A3363">
        <v>2330</v>
      </c>
      <c r="B3363" t="s">
        <v>11</v>
      </c>
      <c r="C3363" s="1">
        <v>42667</v>
      </c>
      <c r="D3363" s="2">
        <f t="shared" si="104"/>
        <v>1</v>
      </c>
      <c r="E3363" s="2">
        <f t="shared" si="105"/>
        <v>10</v>
      </c>
      <c r="F3363">
        <v>168.4263</v>
      </c>
      <c r="G3363">
        <v>168.4263</v>
      </c>
      <c r="H3363">
        <v>167.1036</v>
      </c>
      <c r="I3363">
        <v>168.4263</v>
      </c>
      <c r="J3363">
        <v>14381</v>
      </c>
      <c r="K3363">
        <v>1.3174999999999999</v>
      </c>
      <c r="L3363">
        <v>0.79159999999999997</v>
      </c>
    </row>
    <row r="3364" spans="1:12" x14ac:dyDescent="0.25">
      <c r="A3364">
        <v>2303</v>
      </c>
      <c r="B3364" t="s">
        <v>10</v>
      </c>
      <c r="C3364" s="1">
        <v>42668</v>
      </c>
      <c r="D3364" s="2">
        <f t="shared" si="104"/>
        <v>2</v>
      </c>
      <c r="E3364" s="2">
        <f t="shared" si="105"/>
        <v>10</v>
      </c>
      <c r="F3364">
        <v>10.406700000000001</v>
      </c>
      <c r="G3364">
        <v>10.4511</v>
      </c>
      <c r="H3364">
        <v>10.3622</v>
      </c>
      <c r="I3364">
        <v>10.406700000000001</v>
      </c>
      <c r="J3364">
        <v>17768</v>
      </c>
      <c r="K3364">
        <v>0.42830000000000001</v>
      </c>
      <c r="L3364">
        <v>0.85840000000000005</v>
      </c>
    </row>
    <row r="3365" spans="1:12" hidden="1" x14ac:dyDescent="0.25">
      <c r="A3365">
        <v>2330</v>
      </c>
      <c r="B3365" t="s">
        <v>11</v>
      </c>
      <c r="C3365" s="1">
        <v>42668</v>
      </c>
      <c r="D3365" s="2">
        <f t="shared" si="104"/>
        <v>2</v>
      </c>
      <c r="E3365" s="2">
        <f t="shared" si="105"/>
        <v>10</v>
      </c>
      <c r="F3365">
        <v>169.3081</v>
      </c>
      <c r="G3365">
        <v>170.18989999999999</v>
      </c>
      <c r="H3365">
        <v>168.4263</v>
      </c>
      <c r="I3365">
        <v>170.18989999999999</v>
      </c>
      <c r="J3365">
        <v>19145</v>
      </c>
      <c r="K3365">
        <v>1.0417000000000001</v>
      </c>
      <c r="L3365">
        <v>1.0470999999999999</v>
      </c>
    </row>
    <row r="3366" spans="1:12" x14ac:dyDescent="0.25">
      <c r="A3366">
        <v>2303</v>
      </c>
      <c r="B3366" t="s">
        <v>10</v>
      </c>
      <c r="C3366" s="1">
        <v>42669</v>
      </c>
      <c r="D3366" s="2">
        <f t="shared" si="104"/>
        <v>3</v>
      </c>
      <c r="E3366" s="2">
        <f t="shared" si="105"/>
        <v>10</v>
      </c>
      <c r="F3366">
        <v>10.3622</v>
      </c>
      <c r="G3366">
        <v>10.406700000000001</v>
      </c>
      <c r="H3366">
        <v>10.2288</v>
      </c>
      <c r="I3366">
        <v>10.273300000000001</v>
      </c>
      <c r="J3366">
        <v>25010</v>
      </c>
      <c r="K3366">
        <v>-1.2903</v>
      </c>
      <c r="L3366">
        <v>1.7391000000000001</v>
      </c>
    </row>
    <row r="3367" spans="1:12" hidden="1" x14ac:dyDescent="0.25">
      <c r="A3367">
        <v>2330</v>
      </c>
      <c r="B3367" t="s">
        <v>11</v>
      </c>
      <c r="C3367" s="1">
        <v>42669</v>
      </c>
      <c r="D3367" s="2">
        <f t="shared" si="104"/>
        <v>3</v>
      </c>
      <c r="E3367" s="2">
        <f t="shared" si="105"/>
        <v>10</v>
      </c>
      <c r="F3367">
        <v>167.9854</v>
      </c>
      <c r="G3367">
        <v>169.749</v>
      </c>
      <c r="H3367">
        <v>167.9854</v>
      </c>
      <c r="I3367">
        <v>168.8672</v>
      </c>
      <c r="J3367">
        <v>24885</v>
      </c>
      <c r="K3367">
        <v>-0.7802</v>
      </c>
      <c r="L3367">
        <v>1.0499000000000001</v>
      </c>
    </row>
    <row r="3368" spans="1:12" x14ac:dyDescent="0.25">
      <c r="A3368">
        <v>2303</v>
      </c>
      <c r="B3368" t="s">
        <v>10</v>
      </c>
      <c r="C3368" s="1">
        <v>42670</v>
      </c>
      <c r="D3368" s="2">
        <f t="shared" si="104"/>
        <v>4</v>
      </c>
      <c r="E3368" s="2">
        <f t="shared" si="105"/>
        <v>10</v>
      </c>
      <c r="F3368">
        <v>10.3177</v>
      </c>
      <c r="G3368">
        <v>10.3622</v>
      </c>
      <c r="H3368">
        <v>10.2288</v>
      </c>
      <c r="I3368">
        <v>10.2288</v>
      </c>
      <c r="J3368">
        <v>25679</v>
      </c>
      <c r="K3368">
        <v>-0.43380000000000002</v>
      </c>
      <c r="L3368">
        <v>1.3043</v>
      </c>
    </row>
    <row r="3369" spans="1:12" hidden="1" x14ac:dyDescent="0.25">
      <c r="A3369">
        <v>2330</v>
      </c>
      <c r="B3369" t="s">
        <v>11</v>
      </c>
      <c r="C3369" s="1">
        <v>42670</v>
      </c>
      <c r="D3369" s="2">
        <f t="shared" si="104"/>
        <v>4</v>
      </c>
      <c r="E3369" s="2">
        <f t="shared" si="105"/>
        <v>10</v>
      </c>
      <c r="F3369">
        <v>168.8672</v>
      </c>
      <c r="G3369">
        <v>168.8672</v>
      </c>
      <c r="H3369">
        <v>166.2218</v>
      </c>
      <c r="I3369">
        <v>166.2218</v>
      </c>
      <c r="J3369">
        <v>26883</v>
      </c>
      <c r="K3369">
        <v>-1.579</v>
      </c>
      <c r="L3369">
        <v>1.5914999999999999</v>
      </c>
    </row>
    <row r="3370" spans="1:12" x14ac:dyDescent="0.25">
      <c r="A3370">
        <v>2303</v>
      </c>
      <c r="B3370" t="s">
        <v>10</v>
      </c>
      <c r="C3370" s="1">
        <v>42671</v>
      </c>
      <c r="D3370" s="2">
        <f t="shared" si="104"/>
        <v>5</v>
      </c>
      <c r="E3370" s="2">
        <f t="shared" si="105"/>
        <v>10</v>
      </c>
      <c r="F3370">
        <v>10.273300000000001</v>
      </c>
      <c r="G3370">
        <v>10.406700000000001</v>
      </c>
      <c r="H3370">
        <v>10.2288</v>
      </c>
      <c r="I3370">
        <v>10.406700000000001</v>
      </c>
      <c r="J3370">
        <v>29434</v>
      </c>
      <c r="K3370">
        <v>1.7242</v>
      </c>
      <c r="L3370">
        <v>1.7391000000000001</v>
      </c>
    </row>
    <row r="3371" spans="1:12" hidden="1" x14ac:dyDescent="0.25">
      <c r="A3371">
        <v>2330</v>
      </c>
      <c r="B3371" t="s">
        <v>11</v>
      </c>
      <c r="C3371" s="1">
        <v>42671</v>
      </c>
      <c r="D3371" s="2">
        <f t="shared" si="104"/>
        <v>5</v>
      </c>
      <c r="E3371" s="2">
        <f t="shared" si="105"/>
        <v>10</v>
      </c>
      <c r="F3371">
        <v>167.1036</v>
      </c>
      <c r="G3371">
        <v>167.5445</v>
      </c>
      <c r="H3371">
        <v>166.2218</v>
      </c>
      <c r="I3371">
        <v>167.1036</v>
      </c>
      <c r="J3371">
        <v>33106</v>
      </c>
      <c r="K3371">
        <v>0.52910000000000001</v>
      </c>
      <c r="L3371">
        <v>0.79579999999999995</v>
      </c>
    </row>
    <row r="3372" spans="1:12" x14ac:dyDescent="0.25">
      <c r="A3372">
        <v>2303</v>
      </c>
      <c r="B3372" t="s">
        <v>10</v>
      </c>
      <c r="C3372" s="1">
        <v>42674</v>
      </c>
      <c r="D3372" s="2">
        <f t="shared" si="104"/>
        <v>1</v>
      </c>
      <c r="E3372" s="2">
        <f t="shared" si="105"/>
        <v>10</v>
      </c>
      <c r="F3372">
        <v>10.406700000000001</v>
      </c>
      <c r="G3372">
        <v>10.4956</v>
      </c>
      <c r="H3372">
        <v>10.3177</v>
      </c>
      <c r="I3372">
        <v>10.4511</v>
      </c>
      <c r="J3372">
        <v>29446</v>
      </c>
      <c r="K3372">
        <v>0.4264</v>
      </c>
      <c r="L3372">
        <v>1.7241</v>
      </c>
    </row>
    <row r="3373" spans="1:12" hidden="1" x14ac:dyDescent="0.25">
      <c r="A3373">
        <v>2330</v>
      </c>
      <c r="B3373" t="s">
        <v>11</v>
      </c>
      <c r="C3373" s="1">
        <v>42674</v>
      </c>
      <c r="D3373" s="2">
        <f t="shared" si="104"/>
        <v>1</v>
      </c>
      <c r="E3373" s="2">
        <f t="shared" si="105"/>
        <v>10</v>
      </c>
      <c r="F3373">
        <v>166.6627</v>
      </c>
      <c r="G3373">
        <v>167.9854</v>
      </c>
      <c r="H3373">
        <v>164.4581</v>
      </c>
      <c r="I3373">
        <v>166.2218</v>
      </c>
      <c r="J3373">
        <v>25830</v>
      </c>
      <c r="K3373">
        <v>-0.52910000000000001</v>
      </c>
      <c r="L3373">
        <v>2.1448</v>
      </c>
    </row>
    <row r="3374" spans="1:12" x14ac:dyDescent="0.25">
      <c r="A3374">
        <v>2303</v>
      </c>
      <c r="B3374" t="s">
        <v>10</v>
      </c>
      <c r="C3374" s="1">
        <v>42675</v>
      </c>
      <c r="D3374" s="2">
        <f t="shared" si="104"/>
        <v>2</v>
      </c>
      <c r="E3374" s="2">
        <f t="shared" si="105"/>
        <v>11</v>
      </c>
      <c r="F3374">
        <v>10.406700000000001</v>
      </c>
      <c r="G3374">
        <v>10.4956</v>
      </c>
      <c r="H3374">
        <v>10.3622</v>
      </c>
      <c r="I3374">
        <v>10.4511</v>
      </c>
      <c r="J3374">
        <v>14241</v>
      </c>
      <c r="K3374">
        <v>0</v>
      </c>
      <c r="L3374">
        <v>1.2876000000000001</v>
      </c>
    </row>
    <row r="3375" spans="1:12" hidden="1" x14ac:dyDescent="0.25">
      <c r="A3375">
        <v>2330</v>
      </c>
      <c r="B3375" t="s">
        <v>11</v>
      </c>
      <c r="C3375" s="1">
        <v>42675</v>
      </c>
      <c r="D3375" s="2">
        <f t="shared" si="104"/>
        <v>2</v>
      </c>
      <c r="E3375" s="2">
        <f t="shared" si="105"/>
        <v>11</v>
      </c>
      <c r="F3375">
        <v>166.2218</v>
      </c>
      <c r="G3375">
        <v>167.1036</v>
      </c>
      <c r="H3375">
        <v>165.3399</v>
      </c>
      <c r="I3375">
        <v>167.1036</v>
      </c>
      <c r="J3375">
        <v>15128</v>
      </c>
      <c r="K3375">
        <v>0.52910000000000001</v>
      </c>
      <c r="L3375">
        <v>1.0667</v>
      </c>
    </row>
    <row r="3376" spans="1:12" x14ac:dyDescent="0.25">
      <c r="A3376">
        <v>2303</v>
      </c>
      <c r="B3376" t="s">
        <v>10</v>
      </c>
      <c r="C3376" s="1">
        <v>42676</v>
      </c>
      <c r="D3376" s="2">
        <f t="shared" si="104"/>
        <v>3</v>
      </c>
      <c r="E3376" s="2">
        <f t="shared" si="105"/>
        <v>11</v>
      </c>
      <c r="F3376">
        <v>10.4511</v>
      </c>
      <c r="G3376">
        <v>10.4511</v>
      </c>
      <c r="H3376">
        <v>10.3177</v>
      </c>
      <c r="I3376">
        <v>10.406700000000001</v>
      </c>
      <c r="J3376">
        <v>14517</v>
      </c>
      <c r="K3376">
        <v>-0.4264</v>
      </c>
      <c r="L3376">
        <v>1.2930999999999999</v>
      </c>
    </row>
    <row r="3377" spans="1:12" hidden="1" x14ac:dyDescent="0.25">
      <c r="A3377">
        <v>2330</v>
      </c>
      <c r="B3377" t="s">
        <v>11</v>
      </c>
      <c r="C3377" s="1">
        <v>42676</v>
      </c>
      <c r="D3377" s="2">
        <f t="shared" si="104"/>
        <v>3</v>
      </c>
      <c r="E3377" s="2">
        <f t="shared" si="105"/>
        <v>11</v>
      </c>
      <c r="F3377">
        <v>165.3399</v>
      </c>
      <c r="G3377">
        <v>165.7808</v>
      </c>
      <c r="H3377">
        <v>164.0172</v>
      </c>
      <c r="I3377">
        <v>164.0172</v>
      </c>
      <c r="J3377">
        <v>16529</v>
      </c>
      <c r="K3377">
        <v>-1.8642000000000001</v>
      </c>
      <c r="L3377">
        <v>1.0752999999999999</v>
      </c>
    </row>
    <row r="3378" spans="1:12" x14ac:dyDescent="0.25">
      <c r="A3378">
        <v>2303</v>
      </c>
      <c r="B3378" t="s">
        <v>10</v>
      </c>
      <c r="C3378" s="1">
        <v>42677</v>
      </c>
      <c r="D3378" s="2">
        <f t="shared" si="104"/>
        <v>4</v>
      </c>
      <c r="E3378" s="2">
        <f t="shared" si="105"/>
        <v>11</v>
      </c>
      <c r="F3378">
        <v>10.406700000000001</v>
      </c>
      <c r="G3378">
        <v>10.4511</v>
      </c>
      <c r="H3378">
        <v>10.3177</v>
      </c>
      <c r="I3378">
        <v>10.3177</v>
      </c>
      <c r="J3378">
        <v>12008</v>
      </c>
      <c r="K3378">
        <v>-0.85840000000000005</v>
      </c>
      <c r="L3378">
        <v>1.2930999999999999</v>
      </c>
    </row>
    <row r="3379" spans="1:12" hidden="1" x14ac:dyDescent="0.25">
      <c r="A3379">
        <v>2330</v>
      </c>
      <c r="B3379" t="s">
        <v>11</v>
      </c>
      <c r="C3379" s="1">
        <v>42677</v>
      </c>
      <c r="D3379" s="2">
        <f t="shared" si="104"/>
        <v>4</v>
      </c>
      <c r="E3379" s="2">
        <f t="shared" si="105"/>
        <v>11</v>
      </c>
      <c r="F3379">
        <v>163.5763</v>
      </c>
      <c r="G3379">
        <v>164.4581</v>
      </c>
      <c r="H3379">
        <v>162.69450000000001</v>
      </c>
      <c r="I3379">
        <v>162.69450000000001</v>
      </c>
      <c r="J3379">
        <v>25531</v>
      </c>
      <c r="K3379">
        <v>-0.80969999999999998</v>
      </c>
      <c r="L3379">
        <v>1.0840000000000001</v>
      </c>
    </row>
    <row r="3380" spans="1:12" x14ac:dyDescent="0.25">
      <c r="A3380">
        <v>2303</v>
      </c>
      <c r="B3380" t="s">
        <v>10</v>
      </c>
      <c r="C3380" s="1">
        <v>42678</v>
      </c>
      <c r="D3380" s="2">
        <f t="shared" si="104"/>
        <v>5</v>
      </c>
      <c r="E3380" s="2">
        <f t="shared" si="105"/>
        <v>11</v>
      </c>
      <c r="F3380">
        <v>10.3177</v>
      </c>
      <c r="G3380">
        <v>10.3622</v>
      </c>
      <c r="H3380">
        <v>10.273300000000001</v>
      </c>
      <c r="I3380">
        <v>10.3177</v>
      </c>
      <c r="J3380">
        <v>9142</v>
      </c>
      <c r="K3380">
        <v>0</v>
      </c>
      <c r="L3380">
        <v>0.86580000000000001</v>
      </c>
    </row>
    <row r="3381" spans="1:12" hidden="1" x14ac:dyDescent="0.25">
      <c r="A3381">
        <v>2330</v>
      </c>
      <c r="B3381" t="s">
        <v>11</v>
      </c>
      <c r="C3381" s="1">
        <v>42678</v>
      </c>
      <c r="D3381" s="2">
        <f t="shared" si="104"/>
        <v>5</v>
      </c>
      <c r="E3381" s="2">
        <f t="shared" si="105"/>
        <v>11</v>
      </c>
      <c r="F3381">
        <v>162.69450000000001</v>
      </c>
      <c r="G3381">
        <v>164.0172</v>
      </c>
      <c r="H3381">
        <v>162.25360000000001</v>
      </c>
      <c r="I3381">
        <v>162.69450000000001</v>
      </c>
      <c r="J3381">
        <v>15107</v>
      </c>
      <c r="K3381">
        <v>0</v>
      </c>
      <c r="L3381">
        <v>1.087</v>
      </c>
    </row>
    <row r="3382" spans="1:12" x14ac:dyDescent="0.25">
      <c r="A3382">
        <v>2303</v>
      </c>
      <c r="B3382" t="s">
        <v>10</v>
      </c>
      <c r="C3382" s="1">
        <v>42681</v>
      </c>
      <c r="D3382" s="2">
        <f t="shared" si="104"/>
        <v>1</v>
      </c>
      <c r="E3382" s="2">
        <f t="shared" si="105"/>
        <v>11</v>
      </c>
      <c r="F3382">
        <v>10.3622</v>
      </c>
      <c r="G3382">
        <v>10.406700000000001</v>
      </c>
      <c r="H3382">
        <v>10.3177</v>
      </c>
      <c r="I3382">
        <v>10.3622</v>
      </c>
      <c r="J3382">
        <v>10903</v>
      </c>
      <c r="K3382">
        <v>0.43009999999999998</v>
      </c>
      <c r="L3382">
        <v>0.86209999999999998</v>
      </c>
    </row>
    <row r="3383" spans="1:12" hidden="1" x14ac:dyDescent="0.25">
      <c r="A3383">
        <v>2330</v>
      </c>
      <c r="B3383" t="s">
        <v>11</v>
      </c>
      <c r="C3383" s="1">
        <v>42681</v>
      </c>
      <c r="D3383" s="2">
        <f t="shared" si="104"/>
        <v>1</v>
      </c>
      <c r="E3383" s="2">
        <f t="shared" si="105"/>
        <v>11</v>
      </c>
      <c r="F3383">
        <v>164.4581</v>
      </c>
      <c r="G3383">
        <v>166.6627</v>
      </c>
      <c r="H3383">
        <v>164.0172</v>
      </c>
      <c r="I3383">
        <v>166.6627</v>
      </c>
      <c r="J3383">
        <v>21430</v>
      </c>
      <c r="K3383">
        <v>2.4098000000000002</v>
      </c>
      <c r="L3383">
        <v>1.6129</v>
      </c>
    </row>
    <row r="3384" spans="1:12" x14ac:dyDescent="0.25">
      <c r="A3384">
        <v>2303</v>
      </c>
      <c r="B3384" t="s">
        <v>10</v>
      </c>
      <c r="C3384" s="1">
        <v>42682</v>
      </c>
      <c r="D3384" s="2">
        <f t="shared" si="104"/>
        <v>2</v>
      </c>
      <c r="E3384" s="2">
        <f t="shared" si="105"/>
        <v>11</v>
      </c>
      <c r="F3384">
        <v>10.3622</v>
      </c>
      <c r="G3384">
        <v>10.406700000000001</v>
      </c>
      <c r="H3384">
        <v>10.3177</v>
      </c>
      <c r="I3384">
        <v>10.406700000000001</v>
      </c>
      <c r="J3384">
        <v>11672</v>
      </c>
      <c r="K3384">
        <v>0.42830000000000001</v>
      </c>
      <c r="L3384">
        <v>0.86209999999999998</v>
      </c>
    </row>
    <row r="3385" spans="1:12" hidden="1" x14ac:dyDescent="0.25">
      <c r="A3385">
        <v>2330</v>
      </c>
      <c r="B3385" t="s">
        <v>11</v>
      </c>
      <c r="C3385" s="1">
        <v>42682</v>
      </c>
      <c r="D3385" s="2">
        <f t="shared" si="104"/>
        <v>2</v>
      </c>
      <c r="E3385" s="2">
        <f t="shared" si="105"/>
        <v>11</v>
      </c>
      <c r="F3385">
        <v>167.5445</v>
      </c>
      <c r="G3385">
        <v>167.5445</v>
      </c>
      <c r="H3385">
        <v>165.7808</v>
      </c>
      <c r="I3385">
        <v>166.2218</v>
      </c>
      <c r="J3385">
        <v>15954</v>
      </c>
      <c r="K3385">
        <v>-0.26490000000000002</v>
      </c>
      <c r="L3385">
        <v>1.0638000000000001</v>
      </c>
    </row>
    <row r="3386" spans="1:12" x14ac:dyDescent="0.25">
      <c r="A3386">
        <v>2303</v>
      </c>
      <c r="B3386" t="s">
        <v>10</v>
      </c>
      <c r="C3386" s="1">
        <v>42683</v>
      </c>
      <c r="D3386" s="2">
        <f t="shared" si="104"/>
        <v>3</v>
      </c>
      <c r="E3386" s="2">
        <f t="shared" si="105"/>
        <v>11</v>
      </c>
      <c r="F3386">
        <v>10.4511</v>
      </c>
      <c r="G3386">
        <v>10.4511</v>
      </c>
      <c r="H3386">
        <v>10.1843</v>
      </c>
      <c r="I3386">
        <v>10.2288</v>
      </c>
      <c r="J3386">
        <v>34093</v>
      </c>
      <c r="K3386">
        <v>-1.7242</v>
      </c>
      <c r="L3386">
        <v>2.6200999999999999</v>
      </c>
    </row>
    <row r="3387" spans="1:12" hidden="1" x14ac:dyDescent="0.25">
      <c r="A3387">
        <v>2330</v>
      </c>
      <c r="B3387" t="s">
        <v>11</v>
      </c>
      <c r="C3387" s="1">
        <v>42683</v>
      </c>
      <c r="D3387" s="2">
        <f t="shared" si="104"/>
        <v>3</v>
      </c>
      <c r="E3387" s="2">
        <f t="shared" si="105"/>
        <v>11</v>
      </c>
      <c r="F3387">
        <v>167.5445</v>
      </c>
      <c r="G3387">
        <v>167.9854</v>
      </c>
      <c r="H3387">
        <v>160.49</v>
      </c>
      <c r="I3387">
        <v>160.49</v>
      </c>
      <c r="J3387">
        <v>55579</v>
      </c>
      <c r="K3387">
        <v>-3.5091000000000001</v>
      </c>
      <c r="L3387">
        <v>4.6703000000000001</v>
      </c>
    </row>
    <row r="3388" spans="1:12" x14ac:dyDescent="0.25">
      <c r="A3388">
        <v>2303</v>
      </c>
      <c r="B3388" t="s">
        <v>10</v>
      </c>
      <c r="C3388" s="1">
        <v>42684</v>
      </c>
      <c r="D3388" s="2">
        <f t="shared" si="104"/>
        <v>4</v>
      </c>
      <c r="E3388" s="2">
        <f t="shared" si="105"/>
        <v>11</v>
      </c>
      <c r="F3388">
        <v>10.3177</v>
      </c>
      <c r="G3388">
        <v>10.3622</v>
      </c>
      <c r="H3388">
        <v>10.273300000000001</v>
      </c>
      <c r="I3388">
        <v>10.3177</v>
      </c>
      <c r="J3388">
        <v>22450</v>
      </c>
      <c r="K3388">
        <v>0.86580000000000001</v>
      </c>
      <c r="L3388">
        <v>0.86580000000000001</v>
      </c>
    </row>
    <row r="3389" spans="1:12" hidden="1" x14ac:dyDescent="0.25">
      <c r="A3389">
        <v>2330</v>
      </c>
      <c r="B3389" t="s">
        <v>11</v>
      </c>
      <c r="C3389" s="1">
        <v>42684</v>
      </c>
      <c r="D3389" s="2">
        <f t="shared" si="104"/>
        <v>4</v>
      </c>
      <c r="E3389" s="2">
        <f t="shared" si="105"/>
        <v>11</v>
      </c>
      <c r="F3389">
        <v>164.899</v>
      </c>
      <c r="G3389">
        <v>165.7808</v>
      </c>
      <c r="H3389">
        <v>163.5763</v>
      </c>
      <c r="I3389">
        <v>163.5763</v>
      </c>
      <c r="J3389">
        <v>38869</v>
      </c>
      <c r="K3389">
        <v>1.9048</v>
      </c>
      <c r="L3389">
        <v>1.3476999999999999</v>
      </c>
    </row>
    <row r="3390" spans="1:12" x14ac:dyDescent="0.25">
      <c r="A3390">
        <v>2303</v>
      </c>
      <c r="B3390" t="s">
        <v>10</v>
      </c>
      <c r="C3390" s="1">
        <v>42685</v>
      </c>
      <c r="D3390" s="2">
        <f t="shared" si="104"/>
        <v>5</v>
      </c>
      <c r="E3390" s="2">
        <f t="shared" si="105"/>
        <v>11</v>
      </c>
      <c r="F3390">
        <v>10.2288</v>
      </c>
      <c r="G3390">
        <v>10.273300000000001</v>
      </c>
      <c r="H3390">
        <v>10.0509</v>
      </c>
      <c r="I3390">
        <v>10.0954</v>
      </c>
      <c r="J3390">
        <v>49255</v>
      </c>
      <c r="K3390">
        <v>-2.1787000000000001</v>
      </c>
      <c r="L3390">
        <v>2.2124000000000001</v>
      </c>
    </row>
    <row r="3391" spans="1:12" hidden="1" x14ac:dyDescent="0.25">
      <c r="A3391">
        <v>2330</v>
      </c>
      <c r="B3391" t="s">
        <v>11</v>
      </c>
      <c r="C3391" s="1">
        <v>42685</v>
      </c>
      <c r="D3391" s="2">
        <f t="shared" si="104"/>
        <v>5</v>
      </c>
      <c r="E3391" s="2">
        <f t="shared" si="105"/>
        <v>11</v>
      </c>
      <c r="F3391">
        <v>160.04910000000001</v>
      </c>
      <c r="G3391">
        <v>161.37180000000001</v>
      </c>
      <c r="H3391">
        <v>159.60820000000001</v>
      </c>
      <c r="I3391">
        <v>160.04910000000001</v>
      </c>
      <c r="J3391">
        <v>67636</v>
      </c>
      <c r="K3391">
        <v>-2.1798999999999999</v>
      </c>
      <c r="L3391">
        <v>1.105</v>
      </c>
    </row>
    <row r="3392" spans="1:12" x14ac:dyDescent="0.25">
      <c r="A3392">
        <v>2303</v>
      </c>
      <c r="B3392" t="s">
        <v>10</v>
      </c>
      <c r="C3392" s="1">
        <v>42688</v>
      </c>
      <c r="D3392" s="2">
        <f t="shared" si="104"/>
        <v>1</v>
      </c>
      <c r="E3392" s="2">
        <f t="shared" si="105"/>
        <v>11</v>
      </c>
      <c r="F3392">
        <v>10.139799999999999</v>
      </c>
      <c r="G3392">
        <v>10.2288</v>
      </c>
      <c r="H3392">
        <v>10.006399999999999</v>
      </c>
      <c r="I3392">
        <v>10.0509</v>
      </c>
      <c r="J3392">
        <v>26733</v>
      </c>
      <c r="K3392">
        <v>-0.4415</v>
      </c>
      <c r="L3392">
        <v>2.2222</v>
      </c>
    </row>
    <row r="3393" spans="1:12" hidden="1" x14ac:dyDescent="0.25">
      <c r="A3393">
        <v>2330</v>
      </c>
      <c r="B3393" t="s">
        <v>11</v>
      </c>
      <c r="C3393" s="1">
        <v>42688</v>
      </c>
      <c r="D3393" s="2">
        <f t="shared" si="104"/>
        <v>1</v>
      </c>
      <c r="E3393" s="2">
        <f t="shared" si="105"/>
        <v>11</v>
      </c>
      <c r="F3393">
        <v>159.60820000000001</v>
      </c>
      <c r="G3393">
        <v>160.49</v>
      </c>
      <c r="H3393">
        <v>158.72630000000001</v>
      </c>
      <c r="I3393">
        <v>159.16720000000001</v>
      </c>
      <c r="J3393">
        <v>48032</v>
      </c>
      <c r="K3393">
        <v>-0.55249999999999999</v>
      </c>
      <c r="L3393">
        <v>1.1111</v>
      </c>
    </row>
    <row r="3394" spans="1:12" x14ac:dyDescent="0.25">
      <c r="A3394">
        <v>2303</v>
      </c>
      <c r="B3394" t="s">
        <v>10</v>
      </c>
      <c r="C3394" s="1">
        <v>42689</v>
      </c>
      <c r="D3394" s="2">
        <f t="shared" si="104"/>
        <v>2</v>
      </c>
      <c r="E3394" s="2">
        <f t="shared" si="105"/>
        <v>11</v>
      </c>
      <c r="F3394">
        <v>10.0509</v>
      </c>
      <c r="G3394">
        <v>10.139799999999999</v>
      </c>
      <c r="H3394">
        <v>10.0509</v>
      </c>
      <c r="I3394">
        <v>10.0509</v>
      </c>
      <c r="J3394">
        <v>16941</v>
      </c>
      <c r="K3394">
        <v>0</v>
      </c>
      <c r="L3394">
        <v>0.88500000000000001</v>
      </c>
    </row>
    <row r="3395" spans="1:12" hidden="1" x14ac:dyDescent="0.25">
      <c r="A3395">
        <v>2330</v>
      </c>
      <c r="B3395" t="s">
        <v>11</v>
      </c>
      <c r="C3395" s="1">
        <v>42689</v>
      </c>
      <c r="D3395" s="2">
        <f t="shared" ref="D3395:D3458" si="106">WEEKDAY(C3395,2)</f>
        <v>2</v>
      </c>
      <c r="E3395" s="2">
        <f t="shared" ref="E3395:E3458" si="107">MONTH(C3395)</f>
        <v>11</v>
      </c>
      <c r="F3395">
        <v>158.28540000000001</v>
      </c>
      <c r="G3395">
        <v>160.49</v>
      </c>
      <c r="H3395">
        <v>157.84450000000001</v>
      </c>
      <c r="I3395">
        <v>158.72630000000001</v>
      </c>
      <c r="J3395">
        <v>33528</v>
      </c>
      <c r="K3395">
        <v>-0.27739999999999998</v>
      </c>
      <c r="L3395">
        <v>1.6759999999999999</v>
      </c>
    </row>
    <row r="3396" spans="1:12" x14ac:dyDescent="0.25">
      <c r="A3396">
        <v>2303</v>
      </c>
      <c r="B3396" t="s">
        <v>10</v>
      </c>
      <c r="C3396" s="1">
        <v>42690</v>
      </c>
      <c r="D3396" s="2">
        <f t="shared" si="106"/>
        <v>3</v>
      </c>
      <c r="E3396" s="2">
        <f t="shared" si="107"/>
        <v>11</v>
      </c>
      <c r="F3396">
        <v>10.0954</v>
      </c>
      <c r="G3396">
        <v>10.139799999999999</v>
      </c>
      <c r="H3396">
        <v>10.0509</v>
      </c>
      <c r="I3396">
        <v>10.0509</v>
      </c>
      <c r="J3396">
        <v>19914</v>
      </c>
      <c r="K3396">
        <v>0</v>
      </c>
      <c r="L3396">
        <v>0.88500000000000001</v>
      </c>
    </row>
    <row r="3397" spans="1:12" hidden="1" x14ac:dyDescent="0.25">
      <c r="A3397">
        <v>2330</v>
      </c>
      <c r="B3397" t="s">
        <v>11</v>
      </c>
      <c r="C3397" s="1">
        <v>42690</v>
      </c>
      <c r="D3397" s="2">
        <f t="shared" si="106"/>
        <v>3</v>
      </c>
      <c r="E3397" s="2">
        <f t="shared" si="107"/>
        <v>11</v>
      </c>
      <c r="F3397">
        <v>159.16720000000001</v>
      </c>
      <c r="G3397">
        <v>161.37180000000001</v>
      </c>
      <c r="H3397">
        <v>158.72630000000001</v>
      </c>
      <c r="I3397">
        <v>158.72630000000001</v>
      </c>
      <c r="J3397">
        <v>35293</v>
      </c>
      <c r="K3397">
        <v>0</v>
      </c>
      <c r="L3397">
        <v>1.6667000000000001</v>
      </c>
    </row>
    <row r="3398" spans="1:12" x14ac:dyDescent="0.25">
      <c r="A3398">
        <v>2303</v>
      </c>
      <c r="B3398" t="s">
        <v>10</v>
      </c>
      <c r="C3398" s="1">
        <v>42691</v>
      </c>
      <c r="D3398" s="2">
        <f t="shared" si="106"/>
        <v>4</v>
      </c>
      <c r="E3398" s="2">
        <f t="shared" si="107"/>
        <v>11</v>
      </c>
      <c r="F3398">
        <v>10.0954</v>
      </c>
      <c r="G3398">
        <v>10.1843</v>
      </c>
      <c r="H3398">
        <v>10.0509</v>
      </c>
      <c r="I3398">
        <v>10.0954</v>
      </c>
      <c r="J3398">
        <v>18716</v>
      </c>
      <c r="K3398">
        <v>0.4415</v>
      </c>
      <c r="L3398">
        <v>1.3273999999999999</v>
      </c>
    </row>
    <row r="3399" spans="1:12" hidden="1" x14ac:dyDescent="0.25">
      <c r="A3399">
        <v>2330</v>
      </c>
      <c r="B3399" t="s">
        <v>11</v>
      </c>
      <c r="C3399" s="1">
        <v>42691</v>
      </c>
      <c r="D3399" s="2">
        <f t="shared" si="106"/>
        <v>4</v>
      </c>
      <c r="E3399" s="2">
        <f t="shared" si="107"/>
        <v>11</v>
      </c>
      <c r="F3399">
        <v>160.49</v>
      </c>
      <c r="G3399">
        <v>160.93090000000001</v>
      </c>
      <c r="H3399">
        <v>159.16720000000001</v>
      </c>
      <c r="I3399">
        <v>160.04910000000001</v>
      </c>
      <c r="J3399">
        <v>23256</v>
      </c>
      <c r="K3399">
        <v>0.82989999999999997</v>
      </c>
      <c r="L3399">
        <v>1.1080000000000001</v>
      </c>
    </row>
    <row r="3400" spans="1:12" x14ac:dyDescent="0.25">
      <c r="A3400">
        <v>2303</v>
      </c>
      <c r="B3400" t="s">
        <v>10</v>
      </c>
      <c r="C3400" s="1">
        <v>42692</v>
      </c>
      <c r="D3400" s="2">
        <f t="shared" si="106"/>
        <v>5</v>
      </c>
      <c r="E3400" s="2">
        <f t="shared" si="107"/>
        <v>11</v>
      </c>
      <c r="F3400">
        <v>10.0954</v>
      </c>
      <c r="G3400">
        <v>10.139799999999999</v>
      </c>
      <c r="H3400">
        <v>10.0509</v>
      </c>
      <c r="I3400">
        <v>10.0509</v>
      </c>
      <c r="J3400">
        <v>22094</v>
      </c>
      <c r="K3400">
        <v>-0.4415</v>
      </c>
      <c r="L3400">
        <v>0.88500000000000001</v>
      </c>
    </row>
    <row r="3401" spans="1:12" hidden="1" x14ac:dyDescent="0.25">
      <c r="A3401">
        <v>2330</v>
      </c>
      <c r="B3401" t="s">
        <v>11</v>
      </c>
      <c r="C3401" s="1">
        <v>42692</v>
      </c>
      <c r="D3401" s="2">
        <f t="shared" si="106"/>
        <v>5</v>
      </c>
      <c r="E3401" s="2">
        <f t="shared" si="107"/>
        <v>11</v>
      </c>
      <c r="F3401">
        <v>160.04910000000001</v>
      </c>
      <c r="G3401">
        <v>160.04910000000001</v>
      </c>
      <c r="H3401">
        <v>158.72630000000001</v>
      </c>
      <c r="I3401">
        <v>159.60820000000001</v>
      </c>
      <c r="J3401">
        <v>23731</v>
      </c>
      <c r="K3401">
        <v>-0.27589999999999998</v>
      </c>
      <c r="L3401">
        <v>0.83330000000000004</v>
      </c>
    </row>
    <row r="3402" spans="1:12" x14ac:dyDescent="0.25">
      <c r="A3402">
        <v>2303</v>
      </c>
      <c r="B3402" t="s">
        <v>10</v>
      </c>
      <c r="C3402" s="1">
        <v>42695</v>
      </c>
      <c r="D3402" s="2">
        <f t="shared" si="106"/>
        <v>1</v>
      </c>
      <c r="E3402" s="2">
        <f t="shared" si="107"/>
        <v>11</v>
      </c>
      <c r="F3402">
        <v>10.139799999999999</v>
      </c>
      <c r="G3402">
        <v>10.273300000000001</v>
      </c>
      <c r="H3402">
        <v>10.139799999999999</v>
      </c>
      <c r="I3402">
        <v>10.139799999999999</v>
      </c>
      <c r="J3402">
        <v>19337</v>
      </c>
      <c r="K3402">
        <v>0.88109999999999999</v>
      </c>
      <c r="L3402">
        <v>1.3158000000000001</v>
      </c>
    </row>
    <row r="3403" spans="1:12" hidden="1" x14ac:dyDescent="0.25">
      <c r="A3403">
        <v>2330</v>
      </c>
      <c r="B3403" t="s">
        <v>11</v>
      </c>
      <c r="C3403" s="1">
        <v>42695</v>
      </c>
      <c r="D3403" s="2">
        <f t="shared" si="106"/>
        <v>1</v>
      </c>
      <c r="E3403" s="2">
        <f t="shared" si="107"/>
        <v>11</v>
      </c>
      <c r="F3403">
        <v>159.16720000000001</v>
      </c>
      <c r="G3403">
        <v>160.04910000000001</v>
      </c>
      <c r="H3403">
        <v>158.72630000000001</v>
      </c>
      <c r="I3403">
        <v>159.60820000000001</v>
      </c>
      <c r="J3403">
        <v>15622</v>
      </c>
      <c r="K3403">
        <v>0</v>
      </c>
      <c r="L3403">
        <v>0.83330000000000004</v>
      </c>
    </row>
    <row r="3404" spans="1:12" x14ac:dyDescent="0.25">
      <c r="A3404">
        <v>2303</v>
      </c>
      <c r="B3404" t="s">
        <v>10</v>
      </c>
      <c r="C3404" s="1">
        <v>42696</v>
      </c>
      <c r="D3404" s="2">
        <f t="shared" si="106"/>
        <v>2</v>
      </c>
      <c r="E3404" s="2">
        <f t="shared" si="107"/>
        <v>11</v>
      </c>
      <c r="F3404">
        <v>10.139799999999999</v>
      </c>
      <c r="G3404">
        <v>10.1843</v>
      </c>
      <c r="H3404">
        <v>10.0954</v>
      </c>
      <c r="I3404">
        <v>10.139799999999999</v>
      </c>
      <c r="J3404">
        <v>18335</v>
      </c>
      <c r="K3404">
        <v>0</v>
      </c>
      <c r="L3404">
        <v>0.88109999999999999</v>
      </c>
    </row>
    <row r="3405" spans="1:12" hidden="1" x14ac:dyDescent="0.25">
      <c r="A3405">
        <v>2330</v>
      </c>
      <c r="B3405" t="s">
        <v>11</v>
      </c>
      <c r="C3405" s="1">
        <v>42696</v>
      </c>
      <c r="D3405" s="2">
        <f t="shared" si="106"/>
        <v>2</v>
      </c>
      <c r="E3405" s="2">
        <f t="shared" si="107"/>
        <v>11</v>
      </c>
      <c r="F3405">
        <v>160.49</v>
      </c>
      <c r="G3405">
        <v>163.1354</v>
      </c>
      <c r="H3405">
        <v>160.04910000000001</v>
      </c>
      <c r="I3405">
        <v>162.25360000000001</v>
      </c>
      <c r="J3405">
        <v>31348</v>
      </c>
      <c r="K3405">
        <v>1.6438999999999999</v>
      </c>
      <c r="L3405">
        <v>1.9283999999999999</v>
      </c>
    </row>
    <row r="3406" spans="1:12" x14ac:dyDescent="0.25">
      <c r="A3406">
        <v>2303</v>
      </c>
      <c r="B3406" t="s">
        <v>10</v>
      </c>
      <c r="C3406" s="1">
        <v>42697</v>
      </c>
      <c r="D3406" s="2">
        <f t="shared" si="106"/>
        <v>3</v>
      </c>
      <c r="E3406" s="2">
        <f t="shared" si="107"/>
        <v>11</v>
      </c>
      <c r="F3406">
        <v>10.139799999999999</v>
      </c>
      <c r="G3406">
        <v>10.1843</v>
      </c>
      <c r="H3406">
        <v>10.0954</v>
      </c>
      <c r="I3406">
        <v>10.1843</v>
      </c>
      <c r="J3406">
        <v>7948</v>
      </c>
      <c r="K3406">
        <v>0.43759999999999999</v>
      </c>
      <c r="L3406">
        <v>0.88109999999999999</v>
      </c>
    </row>
    <row r="3407" spans="1:12" hidden="1" x14ac:dyDescent="0.25">
      <c r="A3407">
        <v>2330</v>
      </c>
      <c r="B3407" t="s">
        <v>11</v>
      </c>
      <c r="C3407" s="1">
        <v>42697</v>
      </c>
      <c r="D3407" s="2">
        <f t="shared" si="106"/>
        <v>3</v>
      </c>
      <c r="E3407" s="2">
        <f t="shared" si="107"/>
        <v>11</v>
      </c>
      <c r="F3407">
        <v>162.69450000000001</v>
      </c>
      <c r="G3407">
        <v>164.4581</v>
      </c>
      <c r="H3407">
        <v>162.25360000000001</v>
      </c>
      <c r="I3407">
        <v>163.5763</v>
      </c>
      <c r="J3407">
        <v>23068</v>
      </c>
      <c r="K3407">
        <v>0.81189999999999996</v>
      </c>
      <c r="L3407">
        <v>1.3587</v>
      </c>
    </row>
    <row r="3408" spans="1:12" x14ac:dyDescent="0.25">
      <c r="A3408">
        <v>2303</v>
      </c>
      <c r="B3408" t="s">
        <v>10</v>
      </c>
      <c r="C3408" s="1">
        <v>42698</v>
      </c>
      <c r="D3408" s="2">
        <f t="shared" si="106"/>
        <v>4</v>
      </c>
      <c r="E3408" s="2">
        <f t="shared" si="107"/>
        <v>11</v>
      </c>
      <c r="F3408">
        <v>10.1843</v>
      </c>
      <c r="G3408">
        <v>10.1843</v>
      </c>
      <c r="H3408">
        <v>10.0954</v>
      </c>
      <c r="I3408">
        <v>10.0954</v>
      </c>
      <c r="J3408">
        <v>8463</v>
      </c>
      <c r="K3408">
        <v>-0.87719999999999998</v>
      </c>
      <c r="L3408">
        <v>0.88109999999999999</v>
      </c>
    </row>
    <row r="3409" spans="1:12" hidden="1" x14ac:dyDescent="0.25">
      <c r="A3409">
        <v>2330</v>
      </c>
      <c r="B3409" t="s">
        <v>11</v>
      </c>
      <c r="C3409" s="1">
        <v>42698</v>
      </c>
      <c r="D3409" s="2">
        <f t="shared" si="106"/>
        <v>4</v>
      </c>
      <c r="E3409" s="2">
        <f t="shared" si="107"/>
        <v>11</v>
      </c>
      <c r="F3409">
        <v>162.25360000000001</v>
      </c>
      <c r="G3409">
        <v>163.1354</v>
      </c>
      <c r="H3409">
        <v>161.37180000000001</v>
      </c>
      <c r="I3409">
        <v>161.37180000000001</v>
      </c>
      <c r="J3409">
        <v>19098</v>
      </c>
      <c r="K3409">
        <v>-1.3569</v>
      </c>
      <c r="L3409">
        <v>1.0929</v>
      </c>
    </row>
    <row r="3410" spans="1:12" x14ac:dyDescent="0.25">
      <c r="A3410">
        <v>2303</v>
      </c>
      <c r="B3410" t="s">
        <v>10</v>
      </c>
      <c r="C3410" s="1">
        <v>42699</v>
      </c>
      <c r="D3410" s="2">
        <f t="shared" si="106"/>
        <v>5</v>
      </c>
      <c r="E3410" s="2">
        <f t="shared" si="107"/>
        <v>11</v>
      </c>
      <c r="F3410">
        <v>10.0954</v>
      </c>
      <c r="G3410">
        <v>10.139799999999999</v>
      </c>
      <c r="H3410">
        <v>10.0954</v>
      </c>
      <c r="I3410">
        <v>10.0954</v>
      </c>
      <c r="J3410">
        <v>6402</v>
      </c>
      <c r="K3410">
        <v>0</v>
      </c>
      <c r="L3410">
        <v>0.4405</v>
      </c>
    </row>
    <row r="3411" spans="1:12" hidden="1" x14ac:dyDescent="0.25">
      <c r="A3411">
        <v>2330</v>
      </c>
      <c r="B3411" t="s">
        <v>11</v>
      </c>
      <c r="C3411" s="1">
        <v>42699</v>
      </c>
      <c r="D3411" s="2">
        <f t="shared" si="106"/>
        <v>5</v>
      </c>
      <c r="E3411" s="2">
        <f t="shared" si="107"/>
        <v>11</v>
      </c>
      <c r="F3411">
        <v>160.93090000000001</v>
      </c>
      <c r="G3411">
        <v>161.81270000000001</v>
      </c>
      <c r="H3411">
        <v>160.49</v>
      </c>
      <c r="I3411">
        <v>160.49</v>
      </c>
      <c r="J3411">
        <v>10226</v>
      </c>
      <c r="K3411">
        <v>-0.54790000000000005</v>
      </c>
      <c r="L3411">
        <v>0.82420000000000004</v>
      </c>
    </row>
    <row r="3412" spans="1:12" x14ac:dyDescent="0.25">
      <c r="A3412">
        <v>2303</v>
      </c>
      <c r="B3412" t="s">
        <v>10</v>
      </c>
      <c r="C3412" s="1">
        <v>42702</v>
      </c>
      <c r="D3412" s="2">
        <f t="shared" si="106"/>
        <v>1</v>
      </c>
      <c r="E3412" s="2">
        <f t="shared" si="107"/>
        <v>11</v>
      </c>
      <c r="F3412">
        <v>10.0954</v>
      </c>
      <c r="G3412">
        <v>10.139799999999999</v>
      </c>
      <c r="H3412">
        <v>10.0954</v>
      </c>
      <c r="I3412">
        <v>10.0954</v>
      </c>
      <c r="J3412">
        <v>12463</v>
      </c>
      <c r="K3412">
        <v>0</v>
      </c>
      <c r="L3412">
        <v>0.4405</v>
      </c>
    </row>
    <row r="3413" spans="1:12" hidden="1" x14ac:dyDescent="0.25">
      <c r="A3413">
        <v>2330</v>
      </c>
      <c r="B3413" t="s">
        <v>11</v>
      </c>
      <c r="C3413" s="1">
        <v>42702</v>
      </c>
      <c r="D3413" s="2">
        <f t="shared" si="106"/>
        <v>1</v>
      </c>
      <c r="E3413" s="2">
        <f t="shared" si="107"/>
        <v>11</v>
      </c>
      <c r="F3413">
        <v>160.04910000000001</v>
      </c>
      <c r="G3413">
        <v>162.25360000000001</v>
      </c>
      <c r="H3413">
        <v>160.04910000000001</v>
      </c>
      <c r="I3413">
        <v>162.25360000000001</v>
      </c>
      <c r="J3413">
        <v>22360</v>
      </c>
      <c r="K3413">
        <v>1.0929</v>
      </c>
      <c r="L3413">
        <v>1.3774</v>
      </c>
    </row>
    <row r="3414" spans="1:12" x14ac:dyDescent="0.25">
      <c r="A3414">
        <v>2303</v>
      </c>
      <c r="B3414" t="s">
        <v>10</v>
      </c>
      <c r="C3414" s="1">
        <v>42703</v>
      </c>
      <c r="D3414" s="2">
        <f t="shared" si="106"/>
        <v>2</v>
      </c>
      <c r="E3414" s="2">
        <f t="shared" si="107"/>
        <v>11</v>
      </c>
      <c r="F3414">
        <v>10.0954</v>
      </c>
      <c r="G3414">
        <v>10.139799999999999</v>
      </c>
      <c r="H3414">
        <v>10.0509</v>
      </c>
      <c r="I3414">
        <v>10.0954</v>
      </c>
      <c r="J3414">
        <v>15726</v>
      </c>
      <c r="K3414">
        <v>0</v>
      </c>
      <c r="L3414">
        <v>0.88500000000000001</v>
      </c>
    </row>
    <row r="3415" spans="1:12" hidden="1" x14ac:dyDescent="0.25">
      <c r="A3415">
        <v>2330</v>
      </c>
      <c r="B3415" t="s">
        <v>11</v>
      </c>
      <c r="C3415" s="1">
        <v>42703</v>
      </c>
      <c r="D3415" s="2">
        <f t="shared" si="106"/>
        <v>2</v>
      </c>
      <c r="E3415" s="2">
        <f t="shared" si="107"/>
        <v>11</v>
      </c>
      <c r="F3415">
        <v>161.81270000000001</v>
      </c>
      <c r="G3415">
        <v>163.1354</v>
      </c>
      <c r="H3415">
        <v>160.49</v>
      </c>
      <c r="I3415">
        <v>160.49</v>
      </c>
      <c r="J3415">
        <v>26894</v>
      </c>
      <c r="K3415">
        <v>-1.0929</v>
      </c>
      <c r="L3415">
        <v>1.6484000000000001</v>
      </c>
    </row>
    <row r="3416" spans="1:12" x14ac:dyDescent="0.25">
      <c r="A3416">
        <v>2303</v>
      </c>
      <c r="B3416" t="s">
        <v>10</v>
      </c>
      <c r="C3416" s="1">
        <v>42704</v>
      </c>
      <c r="D3416" s="2">
        <f t="shared" si="106"/>
        <v>3</v>
      </c>
      <c r="E3416" s="2">
        <f t="shared" si="107"/>
        <v>11</v>
      </c>
      <c r="F3416">
        <v>10.139799999999999</v>
      </c>
      <c r="G3416">
        <v>10.139799999999999</v>
      </c>
      <c r="H3416">
        <v>10.006399999999999</v>
      </c>
      <c r="I3416">
        <v>10.006399999999999</v>
      </c>
      <c r="J3416">
        <v>81583</v>
      </c>
      <c r="K3416">
        <v>-0.88500000000000001</v>
      </c>
      <c r="L3416">
        <v>1.3332999999999999</v>
      </c>
    </row>
    <row r="3417" spans="1:12" hidden="1" x14ac:dyDescent="0.25">
      <c r="A3417">
        <v>2330</v>
      </c>
      <c r="B3417" t="s">
        <v>11</v>
      </c>
      <c r="C3417" s="1">
        <v>42704</v>
      </c>
      <c r="D3417" s="2">
        <f t="shared" si="106"/>
        <v>3</v>
      </c>
      <c r="E3417" s="2">
        <f t="shared" si="107"/>
        <v>11</v>
      </c>
      <c r="F3417">
        <v>160.04910000000001</v>
      </c>
      <c r="G3417">
        <v>161.37180000000001</v>
      </c>
      <c r="H3417">
        <v>160.04910000000001</v>
      </c>
      <c r="I3417">
        <v>161.37180000000001</v>
      </c>
      <c r="J3417">
        <v>54053</v>
      </c>
      <c r="K3417">
        <v>0.54790000000000005</v>
      </c>
      <c r="L3417">
        <v>0.82640000000000002</v>
      </c>
    </row>
    <row r="3418" spans="1:12" x14ac:dyDescent="0.25">
      <c r="A3418">
        <v>2303</v>
      </c>
      <c r="B3418" t="s">
        <v>10</v>
      </c>
      <c r="C3418" s="1">
        <v>42705</v>
      </c>
      <c r="D3418" s="2">
        <f t="shared" si="106"/>
        <v>4</v>
      </c>
      <c r="E3418" s="2">
        <f t="shared" si="107"/>
        <v>12</v>
      </c>
      <c r="F3418">
        <v>10.006399999999999</v>
      </c>
      <c r="G3418">
        <v>10.0954</v>
      </c>
      <c r="H3418">
        <v>10.006399999999999</v>
      </c>
      <c r="I3418">
        <v>10.0954</v>
      </c>
      <c r="J3418">
        <v>21837</v>
      </c>
      <c r="K3418">
        <v>0.88500000000000001</v>
      </c>
      <c r="L3418">
        <v>0.88890000000000002</v>
      </c>
    </row>
    <row r="3419" spans="1:12" hidden="1" x14ac:dyDescent="0.25">
      <c r="A3419">
        <v>2330</v>
      </c>
      <c r="B3419" t="s">
        <v>11</v>
      </c>
      <c r="C3419" s="1">
        <v>42705</v>
      </c>
      <c r="D3419" s="2">
        <f t="shared" si="106"/>
        <v>4</v>
      </c>
      <c r="E3419" s="2">
        <f t="shared" si="107"/>
        <v>12</v>
      </c>
      <c r="F3419">
        <v>160.49</v>
      </c>
      <c r="G3419">
        <v>161.37180000000001</v>
      </c>
      <c r="H3419">
        <v>160.04910000000001</v>
      </c>
      <c r="I3419">
        <v>161.37180000000001</v>
      </c>
      <c r="J3419">
        <v>13923</v>
      </c>
      <c r="K3419">
        <v>0</v>
      </c>
      <c r="L3419">
        <v>0.82640000000000002</v>
      </c>
    </row>
    <row r="3420" spans="1:12" x14ac:dyDescent="0.25">
      <c r="A3420">
        <v>2303</v>
      </c>
      <c r="B3420" t="s">
        <v>10</v>
      </c>
      <c r="C3420" s="1">
        <v>42706</v>
      </c>
      <c r="D3420" s="2">
        <f t="shared" si="106"/>
        <v>5</v>
      </c>
      <c r="E3420" s="2">
        <f t="shared" si="107"/>
        <v>12</v>
      </c>
      <c r="F3420">
        <v>10.0954</v>
      </c>
      <c r="G3420">
        <v>10.0954</v>
      </c>
      <c r="H3420">
        <v>10.006399999999999</v>
      </c>
      <c r="I3420">
        <v>10.0509</v>
      </c>
      <c r="J3420">
        <v>17443</v>
      </c>
      <c r="K3420">
        <v>-0.4415</v>
      </c>
      <c r="L3420">
        <v>0.88890000000000002</v>
      </c>
    </row>
    <row r="3421" spans="1:12" hidden="1" x14ac:dyDescent="0.25">
      <c r="A3421">
        <v>2330</v>
      </c>
      <c r="B3421" t="s">
        <v>11</v>
      </c>
      <c r="C3421" s="1">
        <v>42706</v>
      </c>
      <c r="D3421" s="2">
        <f t="shared" si="106"/>
        <v>5</v>
      </c>
      <c r="E3421" s="2">
        <f t="shared" si="107"/>
        <v>12</v>
      </c>
      <c r="F3421">
        <v>157.84450000000001</v>
      </c>
      <c r="G3421">
        <v>158.28540000000001</v>
      </c>
      <c r="H3421">
        <v>156.96270000000001</v>
      </c>
      <c r="I3421">
        <v>156.96270000000001</v>
      </c>
      <c r="J3421">
        <v>53946</v>
      </c>
      <c r="K3421">
        <v>-2.7703000000000002</v>
      </c>
      <c r="L3421">
        <v>0.8427</v>
      </c>
    </row>
    <row r="3422" spans="1:12" x14ac:dyDescent="0.25">
      <c r="A3422">
        <v>2303</v>
      </c>
      <c r="B3422" t="s">
        <v>10</v>
      </c>
      <c r="C3422" s="1">
        <v>42709</v>
      </c>
      <c r="D3422" s="2">
        <f t="shared" si="106"/>
        <v>1</v>
      </c>
      <c r="E3422" s="2">
        <f t="shared" si="107"/>
        <v>12</v>
      </c>
      <c r="F3422">
        <v>10.0509</v>
      </c>
      <c r="G3422">
        <v>10.0509</v>
      </c>
      <c r="H3422">
        <v>9.9619</v>
      </c>
      <c r="I3422">
        <v>9.9619</v>
      </c>
      <c r="J3422">
        <v>17384</v>
      </c>
      <c r="K3422">
        <v>-0.88890000000000002</v>
      </c>
      <c r="L3422">
        <v>0.89290000000000003</v>
      </c>
    </row>
    <row r="3423" spans="1:12" hidden="1" x14ac:dyDescent="0.25">
      <c r="A3423">
        <v>2330</v>
      </c>
      <c r="B3423" t="s">
        <v>11</v>
      </c>
      <c r="C3423" s="1">
        <v>42709</v>
      </c>
      <c r="D3423" s="2">
        <f t="shared" si="106"/>
        <v>1</v>
      </c>
      <c r="E3423" s="2">
        <f t="shared" si="107"/>
        <v>12</v>
      </c>
      <c r="F3423">
        <v>156.96270000000001</v>
      </c>
      <c r="G3423">
        <v>158.72630000000001</v>
      </c>
      <c r="H3423">
        <v>156.96270000000001</v>
      </c>
      <c r="I3423">
        <v>157.84450000000001</v>
      </c>
      <c r="J3423">
        <v>32249</v>
      </c>
      <c r="K3423">
        <v>0.56020000000000003</v>
      </c>
      <c r="L3423">
        <v>1.1235999999999999</v>
      </c>
    </row>
    <row r="3424" spans="1:12" x14ac:dyDescent="0.25">
      <c r="A3424">
        <v>2303</v>
      </c>
      <c r="B3424" t="s">
        <v>10</v>
      </c>
      <c r="C3424" s="1">
        <v>42710</v>
      </c>
      <c r="D3424" s="2">
        <f t="shared" si="106"/>
        <v>2</v>
      </c>
      <c r="E3424" s="2">
        <f t="shared" si="107"/>
        <v>12</v>
      </c>
      <c r="F3424">
        <v>10.0509</v>
      </c>
      <c r="G3424">
        <v>10.139799999999999</v>
      </c>
      <c r="H3424">
        <v>10.006399999999999</v>
      </c>
      <c r="I3424">
        <v>10.139799999999999</v>
      </c>
      <c r="J3424">
        <v>18368</v>
      </c>
      <c r="K3424">
        <v>1.77</v>
      </c>
      <c r="L3424">
        <v>1.3332999999999999</v>
      </c>
    </row>
    <row r="3425" spans="1:12" hidden="1" x14ac:dyDescent="0.25">
      <c r="A3425">
        <v>2330</v>
      </c>
      <c r="B3425" t="s">
        <v>11</v>
      </c>
      <c r="C3425" s="1">
        <v>42710</v>
      </c>
      <c r="D3425" s="2">
        <f t="shared" si="106"/>
        <v>2</v>
      </c>
      <c r="E3425" s="2">
        <f t="shared" si="107"/>
        <v>12</v>
      </c>
      <c r="F3425">
        <v>159.60820000000001</v>
      </c>
      <c r="G3425">
        <v>161.37180000000001</v>
      </c>
      <c r="H3425">
        <v>159.16720000000001</v>
      </c>
      <c r="I3425">
        <v>160.49</v>
      </c>
      <c r="J3425">
        <v>27728</v>
      </c>
      <c r="K3425">
        <v>1.6620999999999999</v>
      </c>
      <c r="L3425">
        <v>1.385</v>
      </c>
    </row>
    <row r="3426" spans="1:12" x14ac:dyDescent="0.25">
      <c r="A3426">
        <v>2303</v>
      </c>
      <c r="B3426" t="s">
        <v>10</v>
      </c>
      <c r="C3426" s="1">
        <v>42711</v>
      </c>
      <c r="D3426" s="2">
        <f t="shared" si="106"/>
        <v>3</v>
      </c>
      <c r="E3426" s="2">
        <f t="shared" si="107"/>
        <v>12</v>
      </c>
      <c r="F3426">
        <v>10.139799999999999</v>
      </c>
      <c r="G3426">
        <v>10.139799999999999</v>
      </c>
      <c r="H3426">
        <v>10.0954</v>
      </c>
      <c r="I3426">
        <v>10.0954</v>
      </c>
      <c r="J3426">
        <v>10922</v>
      </c>
      <c r="K3426">
        <v>-0.43959999999999999</v>
      </c>
      <c r="L3426">
        <v>0.4405</v>
      </c>
    </row>
    <row r="3427" spans="1:12" hidden="1" x14ac:dyDescent="0.25">
      <c r="A3427">
        <v>2330</v>
      </c>
      <c r="B3427" t="s">
        <v>11</v>
      </c>
      <c r="C3427" s="1">
        <v>42711</v>
      </c>
      <c r="D3427" s="2">
        <f t="shared" si="106"/>
        <v>3</v>
      </c>
      <c r="E3427" s="2">
        <f t="shared" si="107"/>
        <v>12</v>
      </c>
      <c r="F3427">
        <v>161.37180000000001</v>
      </c>
      <c r="G3427">
        <v>161.81270000000001</v>
      </c>
      <c r="H3427">
        <v>160.04910000000001</v>
      </c>
      <c r="I3427">
        <v>160.04910000000001</v>
      </c>
      <c r="J3427">
        <v>14529</v>
      </c>
      <c r="K3427">
        <v>-0.27510000000000001</v>
      </c>
      <c r="L3427">
        <v>1.1019000000000001</v>
      </c>
    </row>
    <row r="3428" spans="1:12" x14ac:dyDescent="0.25">
      <c r="A3428">
        <v>2303</v>
      </c>
      <c r="B3428" t="s">
        <v>10</v>
      </c>
      <c r="C3428" s="1">
        <v>42712</v>
      </c>
      <c r="D3428" s="2">
        <f t="shared" si="106"/>
        <v>4</v>
      </c>
      <c r="E3428" s="2">
        <f t="shared" si="107"/>
        <v>12</v>
      </c>
      <c r="F3428">
        <v>10.139799999999999</v>
      </c>
      <c r="G3428">
        <v>10.1843</v>
      </c>
      <c r="H3428">
        <v>10.0509</v>
      </c>
      <c r="I3428">
        <v>10.139799999999999</v>
      </c>
      <c r="J3428">
        <v>25528</v>
      </c>
      <c r="K3428">
        <v>0.43959999999999999</v>
      </c>
      <c r="L3428">
        <v>1.3273999999999999</v>
      </c>
    </row>
    <row r="3429" spans="1:12" hidden="1" x14ac:dyDescent="0.25">
      <c r="A3429">
        <v>2330</v>
      </c>
      <c r="B3429" t="s">
        <v>11</v>
      </c>
      <c r="C3429" s="1">
        <v>42712</v>
      </c>
      <c r="D3429" s="2">
        <f t="shared" si="106"/>
        <v>4</v>
      </c>
      <c r="E3429" s="2">
        <f t="shared" si="107"/>
        <v>12</v>
      </c>
      <c r="F3429">
        <v>162.25360000000001</v>
      </c>
      <c r="G3429">
        <v>163.5763</v>
      </c>
      <c r="H3429">
        <v>161.37180000000001</v>
      </c>
      <c r="I3429">
        <v>163.5763</v>
      </c>
      <c r="J3429">
        <v>27276</v>
      </c>
      <c r="K3429">
        <v>2.1798999999999999</v>
      </c>
      <c r="L3429">
        <v>1.3661000000000001</v>
      </c>
    </row>
    <row r="3430" spans="1:12" x14ac:dyDescent="0.25">
      <c r="A3430">
        <v>2303</v>
      </c>
      <c r="B3430" t="s">
        <v>10</v>
      </c>
      <c r="C3430" s="1">
        <v>42713</v>
      </c>
      <c r="D3430" s="2">
        <f t="shared" si="106"/>
        <v>5</v>
      </c>
      <c r="E3430" s="2">
        <f t="shared" si="107"/>
        <v>12</v>
      </c>
      <c r="F3430">
        <v>10.139799999999999</v>
      </c>
      <c r="G3430">
        <v>10.139799999999999</v>
      </c>
      <c r="H3430">
        <v>10.0509</v>
      </c>
      <c r="I3430">
        <v>10.0954</v>
      </c>
      <c r="J3430">
        <v>16806</v>
      </c>
      <c r="K3430">
        <v>-0.43959999999999999</v>
      </c>
      <c r="L3430">
        <v>0.88500000000000001</v>
      </c>
    </row>
    <row r="3431" spans="1:12" hidden="1" x14ac:dyDescent="0.25">
      <c r="A3431">
        <v>2330</v>
      </c>
      <c r="B3431" t="s">
        <v>11</v>
      </c>
      <c r="C3431" s="1">
        <v>42713</v>
      </c>
      <c r="D3431" s="2">
        <f t="shared" si="106"/>
        <v>5</v>
      </c>
      <c r="E3431" s="2">
        <f t="shared" si="107"/>
        <v>12</v>
      </c>
      <c r="F3431">
        <v>164.0172</v>
      </c>
      <c r="G3431">
        <v>164.0172</v>
      </c>
      <c r="H3431">
        <v>162.69450000000001</v>
      </c>
      <c r="I3431">
        <v>164.0172</v>
      </c>
      <c r="J3431">
        <v>24890</v>
      </c>
      <c r="K3431">
        <v>0.26919999999999999</v>
      </c>
      <c r="L3431">
        <v>0.81299999999999994</v>
      </c>
    </row>
    <row r="3432" spans="1:12" x14ac:dyDescent="0.25">
      <c r="A3432">
        <v>2303</v>
      </c>
      <c r="B3432" t="s">
        <v>10</v>
      </c>
      <c r="C3432" s="1">
        <v>42716</v>
      </c>
      <c r="D3432" s="2">
        <f t="shared" si="106"/>
        <v>1</v>
      </c>
      <c r="E3432" s="2">
        <f t="shared" si="107"/>
        <v>12</v>
      </c>
      <c r="F3432">
        <v>10.0954</v>
      </c>
      <c r="G3432">
        <v>10.139799999999999</v>
      </c>
      <c r="H3432">
        <v>10.0509</v>
      </c>
      <c r="I3432">
        <v>10.0509</v>
      </c>
      <c r="J3432">
        <v>12028</v>
      </c>
      <c r="K3432">
        <v>-0.4415</v>
      </c>
      <c r="L3432">
        <v>0.88500000000000001</v>
      </c>
    </row>
    <row r="3433" spans="1:12" hidden="1" x14ac:dyDescent="0.25">
      <c r="A3433">
        <v>2330</v>
      </c>
      <c r="B3433" t="s">
        <v>11</v>
      </c>
      <c r="C3433" s="1">
        <v>42716</v>
      </c>
      <c r="D3433" s="2">
        <f t="shared" si="106"/>
        <v>1</v>
      </c>
      <c r="E3433" s="2">
        <f t="shared" si="107"/>
        <v>12</v>
      </c>
      <c r="F3433">
        <v>164.0172</v>
      </c>
      <c r="G3433">
        <v>164.899</v>
      </c>
      <c r="H3433">
        <v>162.25360000000001</v>
      </c>
      <c r="I3433">
        <v>163.1354</v>
      </c>
      <c r="J3433">
        <v>18817</v>
      </c>
      <c r="K3433">
        <v>-0.53910000000000002</v>
      </c>
      <c r="L3433">
        <v>1.6304000000000001</v>
      </c>
    </row>
    <row r="3434" spans="1:12" x14ac:dyDescent="0.25">
      <c r="A3434">
        <v>2303</v>
      </c>
      <c r="B3434" t="s">
        <v>10</v>
      </c>
      <c r="C3434" s="1">
        <v>42717</v>
      </c>
      <c r="D3434" s="2">
        <f t="shared" si="106"/>
        <v>2</v>
      </c>
      <c r="E3434" s="2">
        <f t="shared" si="107"/>
        <v>12</v>
      </c>
      <c r="F3434">
        <v>10.0509</v>
      </c>
      <c r="G3434">
        <v>10.0954</v>
      </c>
      <c r="H3434">
        <v>10.006399999999999</v>
      </c>
      <c r="I3434">
        <v>10.0509</v>
      </c>
      <c r="J3434">
        <v>27743</v>
      </c>
      <c r="K3434">
        <v>0</v>
      </c>
      <c r="L3434">
        <v>0.88890000000000002</v>
      </c>
    </row>
    <row r="3435" spans="1:12" hidden="1" x14ac:dyDescent="0.25">
      <c r="A3435">
        <v>2330</v>
      </c>
      <c r="B3435" t="s">
        <v>11</v>
      </c>
      <c r="C3435" s="1">
        <v>42717</v>
      </c>
      <c r="D3435" s="2">
        <f t="shared" si="106"/>
        <v>2</v>
      </c>
      <c r="E3435" s="2">
        <f t="shared" si="107"/>
        <v>12</v>
      </c>
      <c r="F3435">
        <v>164.4581</v>
      </c>
      <c r="G3435">
        <v>164.4581</v>
      </c>
      <c r="H3435">
        <v>162.69450000000001</v>
      </c>
      <c r="I3435">
        <v>164.0172</v>
      </c>
      <c r="J3435">
        <v>23692</v>
      </c>
      <c r="K3435">
        <v>0.53910000000000002</v>
      </c>
      <c r="L3435">
        <v>1.0840000000000001</v>
      </c>
    </row>
    <row r="3436" spans="1:12" x14ac:dyDescent="0.25">
      <c r="A3436">
        <v>2303</v>
      </c>
      <c r="B3436" t="s">
        <v>10</v>
      </c>
      <c r="C3436" s="1">
        <v>42718</v>
      </c>
      <c r="D3436" s="2">
        <f t="shared" si="106"/>
        <v>3</v>
      </c>
      <c r="E3436" s="2">
        <f t="shared" si="107"/>
        <v>12</v>
      </c>
      <c r="F3436">
        <v>10.0509</v>
      </c>
      <c r="G3436">
        <v>10.0954</v>
      </c>
      <c r="H3436">
        <v>9.9619</v>
      </c>
      <c r="I3436">
        <v>9.9619</v>
      </c>
      <c r="J3436">
        <v>26752</v>
      </c>
      <c r="K3436">
        <v>-0.88890000000000002</v>
      </c>
      <c r="L3436">
        <v>1.3392999999999999</v>
      </c>
    </row>
    <row r="3437" spans="1:12" hidden="1" x14ac:dyDescent="0.25">
      <c r="A3437">
        <v>2330</v>
      </c>
      <c r="B3437" t="s">
        <v>11</v>
      </c>
      <c r="C3437" s="1">
        <v>42718</v>
      </c>
      <c r="D3437" s="2">
        <f t="shared" si="106"/>
        <v>3</v>
      </c>
      <c r="E3437" s="2">
        <f t="shared" si="107"/>
        <v>12</v>
      </c>
      <c r="F3437">
        <v>164.4581</v>
      </c>
      <c r="G3437">
        <v>165.3399</v>
      </c>
      <c r="H3437">
        <v>163.5763</v>
      </c>
      <c r="I3437">
        <v>165.3399</v>
      </c>
      <c r="J3437">
        <v>16768</v>
      </c>
      <c r="K3437">
        <v>0.80320000000000003</v>
      </c>
      <c r="L3437">
        <v>1.0782</v>
      </c>
    </row>
    <row r="3438" spans="1:12" x14ac:dyDescent="0.25">
      <c r="A3438">
        <v>2303</v>
      </c>
      <c r="B3438" t="s">
        <v>10</v>
      </c>
      <c r="C3438" s="1">
        <v>42719</v>
      </c>
      <c r="D3438" s="2">
        <f t="shared" si="106"/>
        <v>4</v>
      </c>
      <c r="E3438" s="2">
        <f t="shared" si="107"/>
        <v>12</v>
      </c>
      <c r="F3438">
        <v>10.006399999999999</v>
      </c>
      <c r="G3438">
        <v>10.0954</v>
      </c>
      <c r="H3438">
        <v>10.006399999999999</v>
      </c>
      <c r="I3438">
        <v>10.0509</v>
      </c>
      <c r="J3438">
        <v>17368</v>
      </c>
      <c r="K3438">
        <v>0.88890000000000002</v>
      </c>
      <c r="L3438">
        <v>0.88890000000000002</v>
      </c>
    </row>
    <row r="3439" spans="1:12" hidden="1" x14ac:dyDescent="0.25">
      <c r="A3439">
        <v>2330</v>
      </c>
      <c r="B3439" t="s">
        <v>11</v>
      </c>
      <c r="C3439" s="1">
        <v>42719</v>
      </c>
      <c r="D3439" s="2">
        <f t="shared" si="106"/>
        <v>4</v>
      </c>
      <c r="E3439" s="2">
        <f t="shared" si="107"/>
        <v>12</v>
      </c>
      <c r="F3439">
        <v>163.1354</v>
      </c>
      <c r="G3439">
        <v>165.3399</v>
      </c>
      <c r="H3439">
        <v>162.69450000000001</v>
      </c>
      <c r="I3439">
        <v>164.899</v>
      </c>
      <c r="J3439">
        <v>24244</v>
      </c>
      <c r="K3439">
        <v>-0.26700000000000002</v>
      </c>
      <c r="L3439">
        <v>1.6259999999999999</v>
      </c>
    </row>
    <row r="3440" spans="1:12" x14ac:dyDescent="0.25">
      <c r="A3440">
        <v>2303</v>
      </c>
      <c r="B3440" t="s">
        <v>10</v>
      </c>
      <c r="C3440" s="1">
        <v>42720</v>
      </c>
      <c r="D3440" s="2">
        <f t="shared" si="106"/>
        <v>5</v>
      </c>
      <c r="E3440" s="2">
        <f t="shared" si="107"/>
        <v>12</v>
      </c>
      <c r="F3440">
        <v>10.0954</v>
      </c>
      <c r="G3440">
        <v>10.139799999999999</v>
      </c>
      <c r="H3440">
        <v>10.0509</v>
      </c>
      <c r="I3440">
        <v>10.0509</v>
      </c>
      <c r="J3440">
        <v>16320</v>
      </c>
      <c r="K3440">
        <v>0</v>
      </c>
      <c r="L3440">
        <v>0.88500000000000001</v>
      </c>
    </row>
    <row r="3441" spans="1:12" hidden="1" x14ac:dyDescent="0.25">
      <c r="A3441">
        <v>2330</v>
      </c>
      <c r="B3441" t="s">
        <v>11</v>
      </c>
      <c r="C3441" s="1">
        <v>42720</v>
      </c>
      <c r="D3441" s="2">
        <f t="shared" si="106"/>
        <v>5</v>
      </c>
      <c r="E3441" s="2">
        <f t="shared" si="107"/>
        <v>12</v>
      </c>
      <c r="F3441">
        <v>163.5763</v>
      </c>
      <c r="G3441">
        <v>164.899</v>
      </c>
      <c r="H3441">
        <v>163.1354</v>
      </c>
      <c r="I3441">
        <v>163.1354</v>
      </c>
      <c r="J3441">
        <v>36266</v>
      </c>
      <c r="K3441">
        <v>-1.0752999999999999</v>
      </c>
      <c r="L3441">
        <v>1.0810999999999999</v>
      </c>
    </row>
    <row r="3442" spans="1:12" x14ac:dyDescent="0.25">
      <c r="A3442">
        <v>2303</v>
      </c>
      <c r="B3442" t="s">
        <v>10</v>
      </c>
      <c r="C3442" s="1">
        <v>42723</v>
      </c>
      <c r="D3442" s="2">
        <f t="shared" si="106"/>
        <v>1</v>
      </c>
      <c r="E3442" s="2">
        <f t="shared" si="107"/>
        <v>12</v>
      </c>
      <c r="F3442">
        <v>10.0954</v>
      </c>
      <c r="G3442">
        <v>10.0954</v>
      </c>
      <c r="H3442">
        <v>10.0509</v>
      </c>
      <c r="I3442">
        <v>10.0509</v>
      </c>
      <c r="J3442">
        <v>9135</v>
      </c>
      <c r="K3442">
        <v>0</v>
      </c>
      <c r="L3442">
        <v>0.4425</v>
      </c>
    </row>
    <row r="3443" spans="1:12" hidden="1" x14ac:dyDescent="0.25">
      <c r="A3443">
        <v>2330</v>
      </c>
      <c r="B3443" t="s">
        <v>11</v>
      </c>
      <c r="C3443" s="1">
        <v>42723</v>
      </c>
      <c r="D3443" s="2">
        <f t="shared" si="106"/>
        <v>1</v>
      </c>
      <c r="E3443" s="2">
        <f t="shared" si="107"/>
        <v>12</v>
      </c>
      <c r="F3443">
        <v>162.25360000000001</v>
      </c>
      <c r="G3443">
        <v>162.69450000000001</v>
      </c>
      <c r="H3443">
        <v>160.93090000000001</v>
      </c>
      <c r="I3443">
        <v>160.93090000000001</v>
      </c>
      <c r="J3443">
        <v>20553</v>
      </c>
      <c r="K3443">
        <v>-1.3606</v>
      </c>
      <c r="L3443">
        <v>1.0959000000000001</v>
      </c>
    </row>
    <row r="3444" spans="1:12" x14ac:dyDescent="0.25">
      <c r="A3444">
        <v>2303</v>
      </c>
      <c r="B3444" t="s">
        <v>10</v>
      </c>
      <c r="C3444" s="1">
        <v>42724</v>
      </c>
      <c r="D3444" s="2">
        <f t="shared" si="106"/>
        <v>2</v>
      </c>
      <c r="E3444" s="2">
        <f t="shared" si="107"/>
        <v>12</v>
      </c>
      <c r="F3444">
        <v>10.0509</v>
      </c>
      <c r="G3444">
        <v>10.0954</v>
      </c>
      <c r="H3444">
        <v>10.006399999999999</v>
      </c>
      <c r="I3444">
        <v>10.0509</v>
      </c>
      <c r="J3444">
        <v>17830</v>
      </c>
      <c r="K3444">
        <v>0</v>
      </c>
      <c r="L3444">
        <v>0.88890000000000002</v>
      </c>
    </row>
    <row r="3445" spans="1:12" hidden="1" x14ac:dyDescent="0.25">
      <c r="A3445">
        <v>2330</v>
      </c>
      <c r="B3445" t="s">
        <v>11</v>
      </c>
      <c r="C3445" s="1">
        <v>42724</v>
      </c>
      <c r="D3445" s="2">
        <f t="shared" si="106"/>
        <v>2</v>
      </c>
      <c r="E3445" s="2">
        <f t="shared" si="107"/>
        <v>12</v>
      </c>
      <c r="F3445">
        <v>159.60820000000001</v>
      </c>
      <c r="G3445">
        <v>160.93090000000001</v>
      </c>
      <c r="H3445">
        <v>158.72630000000001</v>
      </c>
      <c r="I3445">
        <v>160.93090000000001</v>
      </c>
      <c r="J3445">
        <v>24243</v>
      </c>
      <c r="K3445">
        <v>0</v>
      </c>
      <c r="L3445">
        <v>1.3889</v>
      </c>
    </row>
    <row r="3446" spans="1:12" x14ac:dyDescent="0.25">
      <c r="A3446">
        <v>2303</v>
      </c>
      <c r="B3446" t="s">
        <v>10</v>
      </c>
      <c r="C3446" s="1">
        <v>42725</v>
      </c>
      <c r="D3446" s="2">
        <f t="shared" si="106"/>
        <v>3</v>
      </c>
      <c r="E3446" s="2">
        <f t="shared" si="107"/>
        <v>12</v>
      </c>
      <c r="F3446">
        <v>10.0509</v>
      </c>
      <c r="G3446">
        <v>10.0954</v>
      </c>
      <c r="H3446">
        <v>10.0509</v>
      </c>
      <c r="I3446">
        <v>10.0509</v>
      </c>
      <c r="J3446">
        <v>17516</v>
      </c>
      <c r="K3446">
        <v>0</v>
      </c>
      <c r="L3446">
        <v>0.4425</v>
      </c>
    </row>
    <row r="3447" spans="1:12" hidden="1" x14ac:dyDescent="0.25">
      <c r="A3447">
        <v>2330</v>
      </c>
      <c r="B3447" t="s">
        <v>11</v>
      </c>
      <c r="C3447" s="1">
        <v>42725</v>
      </c>
      <c r="D3447" s="2">
        <f t="shared" si="106"/>
        <v>3</v>
      </c>
      <c r="E3447" s="2">
        <f t="shared" si="107"/>
        <v>12</v>
      </c>
      <c r="F3447">
        <v>159.60820000000001</v>
      </c>
      <c r="G3447">
        <v>160.49</v>
      </c>
      <c r="H3447">
        <v>158.72630000000001</v>
      </c>
      <c r="I3447">
        <v>158.72630000000001</v>
      </c>
      <c r="J3447">
        <v>32234</v>
      </c>
      <c r="K3447">
        <v>-1.3793</v>
      </c>
      <c r="L3447">
        <v>1.1111</v>
      </c>
    </row>
    <row r="3448" spans="1:12" x14ac:dyDescent="0.25">
      <c r="A3448">
        <v>2303</v>
      </c>
      <c r="B3448" t="s">
        <v>10</v>
      </c>
      <c r="C3448" s="1">
        <v>42726</v>
      </c>
      <c r="D3448" s="2">
        <f t="shared" si="106"/>
        <v>4</v>
      </c>
      <c r="E3448" s="2">
        <f t="shared" si="107"/>
        <v>12</v>
      </c>
      <c r="F3448">
        <v>10.0509</v>
      </c>
      <c r="G3448">
        <v>10.0954</v>
      </c>
      <c r="H3448">
        <v>10.0509</v>
      </c>
      <c r="I3448">
        <v>10.0509</v>
      </c>
      <c r="J3448">
        <v>14071</v>
      </c>
      <c r="K3448">
        <v>0</v>
      </c>
      <c r="L3448">
        <v>0.4425</v>
      </c>
    </row>
    <row r="3449" spans="1:12" hidden="1" x14ac:dyDescent="0.25">
      <c r="A3449">
        <v>2330</v>
      </c>
      <c r="B3449" t="s">
        <v>11</v>
      </c>
      <c r="C3449" s="1">
        <v>42726</v>
      </c>
      <c r="D3449" s="2">
        <f t="shared" si="106"/>
        <v>4</v>
      </c>
      <c r="E3449" s="2">
        <f t="shared" si="107"/>
        <v>12</v>
      </c>
      <c r="F3449">
        <v>158.72630000000001</v>
      </c>
      <c r="G3449">
        <v>159.16720000000001</v>
      </c>
      <c r="H3449">
        <v>157.84450000000001</v>
      </c>
      <c r="I3449">
        <v>157.84450000000001</v>
      </c>
      <c r="J3449">
        <v>26509</v>
      </c>
      <c r="K3449">
        <v>-0.55710000000000004</v>
      </c>
      <c r="L3449">
        <v>0.83799999999999997</v>
      </c>
    </row>
    <row r="3450" spans="1:12" x14ac:dyDescent="0.25">
      <c r="A3450">
        <v>2303</v>
      </c>
      <c r="B3450" t="s">
        <v>10</v>
      </c>
      <c r="C3450" s="1">
        <v>42727</v>
      </c>
      <c r="D3450" s="2">
        <f t="shared" si="106"/>
        <v>5</v>
      </c>
      <c r="E3450" s="2">
        <f t="shared" si="107"/>
        <v>12</v>
      </c>
      <c r="F3450">
        <v>10.0954</v>
      </c>
      <c r="G3450">
        <v>10.139799999999999</v>
      </c>
      <c r="H3450">
        <v>10.0509</v>
      </c>
      <c r="I3450">
        <v>10.0509</v>
      </c>
      <c r="J3450">
        <v>18976</v>
      </c>
      <c r="K3450">
        <v>0</v>
      </c>
      <c r="L3450">
        <v>0.88500000000000001</v>
      </c>
    </row>
    <row r="3451" spans="1:12" hidden="1" x14ac:dyDescent="0.25">
      <c r="A3451">
        <v>2330</v>
      </c>
      <c r="B3451" t="s">
        <v>11</v>
      </c>
      <c r="C3451" s="1">
        <v>42727</v>
      </c>
      <c r="D3451" s="2">
        <f t="shared" si="106"/>
        <v>5</v>
      </c>
      <c r="E3451" s="2">
        <f t="shared" si="107"/>
        <v>12</v>
      </c>
      <c r="F3451">
        <v>157.84450000000001</v>
      </c>
      <c r="G3451">
        <v>158.72630000000001</v>
      </c>
      <c r="H3451">
        <v>157.40360000000001</v>
      </c>
      <c r="I3451">
        <v>157.40360000000001</v>
      </c>
      <c r="J3451">
        <v>24376</v>
      </c>
      <c r="K3451">
        <v>-0.2797</v>
      </c>
      <c r="L3451">
        <v>0.84030000000000005</v>
      </c>
    </row>
    <row r="3452" spans="1:12" x14ac:dyDescent="0.25">
      <c r="A3452">
        <v>2303</v>
      </c>
      <c r="B3452" t="s">
        <v>10</v>
      </c>
      <c r="C3452" s="1">
        <v>42730</v>
      </c>
      <c r="D3452" s="2">
        <f t="shared" si="106"/>
        <v>1</v>
      </c>
      <c r="E3452" s="2">
        <f t="shared" si="107"/>
        <v>12</v>
      </c>
      <c r="F3452">
        <v>10.0509</v>
      </c>
      <c r="G3452">
        <v>10.0954</v>
      </c>
      <c r="H3452">
        <v>10.0509</v>
      </c>
      <c r="I3452">
        <v>10.0509</v>
      </c>
      <c r="J3452">
        <v>6978</v>
      </c>
      <c r="K3452">
        <v>0</v>
      </c>
      <c r="L3452">
        <v>0.4425</v>
      </c>
    </row>
    <row r="3453" spans="1:12" hidden="1" x14ac:dyDescent="0.25">
      <c r="A3453">
        <v>2330</v>
      </c>
      <c r="B3453" t="s">
        <v>11</v>
      </c>
      <c r="C3453" s="1">
        <v>42730</v>
      </c>
      <c r="D3453" s="2">
        <f t="shared" si="106"/>
        <v>1</v>
      </c>
      <c r="E3453" s="2">
        <f t="shared" si="107"/>
        <v>12</v>
      </c>
      <c r="F3453">
        <v>157.84450000000001</v>
      </c>
      <c r="G3453">
        <v>158.72630000000001</v>
      </c>
      <c r="H3453">
        <v>157.84450000000001</v>
      </c>
      <c r="I3453">
        <v>158.28540000000001</v>
      </c>
      <c r="J3453">
        <v>5694</v>
      </c>
      <c r="K3453">
        <v>0.55869999999999997</v>
      </c>
      <c r="L3453">
        <v>0.55869999999999997</v>
      </c>
    </row>
    <row r="3454" spans="1:12" x14ac:dyDescent="0.25">
      <c r="A3454">
        <v>2303</v>
      </c>
      <c r="B3454" t="s">
        <v>10</v>
      </c>
      <c r="C3454" s="1">
        <v>42731</v>
      </c>
      <c r="D3454" s="2">
        <f t="shared" si="106"/>
        <v>2</v>
      </c>
      <c r="E3454" s="2">
        <f t="shared" si="107"/>
        <v>12</v>
      </c>
      <c r="F3454">
        <v>10.0954</v>
      </c>
      <c r="G3454">
        <v>10.0954</v>
      </c>
      <c r="H3454">
        <v>10.0509</v>
      </c>
      <c r="I3454">
        <v>10.0509</v>
      </c>
      <c r="J3454">
        <v>6275</v>
      </c>
      <c r="K3454">
        <v>0</v>
      </c>
      <c r="L3454">
        <v>0.4425</v>
      </c>
    </row>
    <row r="3455" spans="1:12" hidden="1" x14ac:dyDescent="0.25">
      <c r="A3455">
        <v>2330</v>
      </c>
      <c r="B3455" t="s">
        <v>11</v>
      </c>
      <c r="C3455" s="1">
        <v>42731</v>
      </c>
      <c r="D3455" s="2">
        <f t="shared" si="106"/>
        <v>2</v>
      </c>
      <c r="E3455" s="2">
        <f t="shared" si="107"/>
        <v>12</v>
      </c>
      <c r="F3455">
        <v>158.72630000000001</v>
      </c>
      <c r="G3455">
        <v>159.16720000000001</v>
      </c>
      <c r="H3455">
        <v>158.28540000000001</v>
      </c>
      <c r="I3455">
        <v>158.72630000000001</v>
      </c>
      <c r="J3455">
        <v>8276</v>
      </c>
      <c r="K3455">
        <v>0.2782</v>
      </c>
      <c r="L3455">
        <v>0.55710000000000004</v>
      </c>
    </row>
    <row r="3456" spans="1:12" x14ac:dyDescent="0.25">
      <c r="A3456">
        <v>2303</v>
      </c>
      <c r="B3456" t="s">
        <v>10</v>
      </c>
      <c r="C3456" s="1">
        <v>42732</v>
      </c>
      <c r="D3456" s="2">
        <f t="shared" si="106"/>
        <v>3</v>
      </c>
      <c r="E3456" s="2">
        <f t="shared" si="107"/>
        <v>12</v>
      </c>
      <c r="F3456">
        <v>10.0954</v>
      </c>
      <c r="G3456">
        <v>10.139799999999999</v>
      </c>
      <c r="H3456">
        <v>10.0509</v>
      </c>
      <c r="I3456">
        <v>10.0954</v>
      </c>
      <c r="J3456">
        <v>10043</v>
      </c>
      <c r="K3456">
        <v>0.4415</v>
      </c>
      <c r="L3456">
        <v>0.88500000000000001</v>
      </c>
    </row>
    <row r="3457" spans="1:12" hidden="1" x14ac:dyDescent="0.25">
      <c r="A3457">
        <v>2330</v>
      </c>
      <c r="B3457" t="s">
        <v>11</v>
      </c>
      <c r="C3457" s="1">
        <v>42732</v>
      </c>
      <c r="D3457" s="2">
        <f t="shared" si="106"/>
        <v>3</v>
      </c>
      <c r="E3457" s="2">
        <f t="shared" si="107"/>
        <v>12</v>
      </c>
      <c r="F3457">
        <v>159.60820000000001</v>
      </c>
      <c r="G3457">
        <v>160.49</v>
      </c>
      <c r="H3457">
        <v>159.16720000000001</v>
      </c>
      <c r="I3457">
        <v>160.49</v>
      </c>
      <c r="J3457">
        <v>21441</v>
      </c>
      <c r="K3457">
        <v>1.105</v>
      </c>
      <c r="L3457">
        <v>0.83099999999999996</v>
      </c>
    </row>
    <row r="3458" spans="1:12" x14ac:dyDescent="0.25">
      <c r="A3458">
        <v>2303</v>
      </c>
      <c r="B3458" t="s">
        <v>10</v>
      </c>
      <c r="C3458" s="1">
        <v>42733</v>
      </c>
      <c r="D3458" s="2">
        <f t="shared" si="106"/>
        <v>4</v>
      </c>
      <c r="E3458" s="2">
        <f t="shared" si="107"/>
        <v>12</v>
      </c>
      <c r="F3458">
        <v>10.0509</v>
      </c>
      <c r="G3458">
        <v>10.139799999999999</v>
      </c>
      <c r="H3458">
        <v>10.0509</v>
      </c>
      <c r="I3458">
        <v>10.0509</v>
      </c>
      <c r="J3458">
        <v>13316</v>
      </c>
      <c r="K3458">
        <v>-0.4415</v>
      </c>
      <c r="L3458">
        <v>0.88500000000000001</v>
      </c>
    </row>
    <row r="3459" spans="1:12" hidden="1" x14ac:dyDescent="0.25">
      <c r="A3459">
        <v>2330</v>
      </c>
      <c r="B3459" t="s">
        <v>11</v>
      </c>
      <c r="C3459" s="1">
        <v>42733</v>
      </c>
      <c r="D3459" s="2">
        <f t="shared" ref="D3459:D3522" si="108">WEEKDAY(C3459,2)</f>
        <v>4</v>
      </c>
      <c r="E3459" s="2">
        <f t="shared" ref="E3459:E3522" si="109">MONTH(C3459)</f>
        <v>12</v>
      </c>
      <c r="F3459">
        <v>158.72630000000001</v>
      </c>
      <c r="G3459">
        <v>160.04910000000001</v>
      </c>
      <c r="H3459">
        <v>158.72630000000001</v>
      </c>
      <c r="I3459">
        <v>158.72630000000001</v>
      </c>
      <c r="J3459">
        <v>30211</v>
      </c>
      <c r="K3459">
        <v>-1.105</v>
      </c>
      <c r="L3459">
        <v>0.83330000000000004</v>
      </c>
    </row>
    <row r="3460" spans="1:12" x14ac:dyDescent="0.25">
      <c r="A3460">
        <v>2303</v>
      </c>
      <c r="B3460" t="s">
        <v>10</v>
      </c>
      <c r="C3460" s="1">
        <v>42734</v>
      </c>
      <c r="D3460" s="2">
        <f t="shared" si="108"/>
        <v>5</v>
      </c>
      <c r="E3460" s="2">
        <f t="shared" si="109"/>
        <v>12</v>
      </c>
      <c r="F3460">
        <v>10.0509</v>
      </c>
      <c r="G3460">
        <v>10.139799999999999</v>
      </c>
      <c r="H3460">
        <v>10.0509</v>
      </c>
      <c r="I3460">
        <v>10.139799999999999</v>
      </c>
      <c r="J3460">
        <v>13585</v>
      </c>
      <c r="K3460">
        <v>0.88109999999999999</v>
      </c>
      <c r="L3460">
        <v>0.88500000000000001</v>
      </c>
    </row>
    <row r="3461" spans="1:12" hidden="1" x14ac:dyDescent="0.25">
      <c r="A3461">
        <v>2330</v>
      </c>
      <c r="B3461" t="s">
        <v>11</v>
      </c>
      <c r="C3461" s="1">
        <v>42734</v>
      </c>
      <c r="D3461" s="2">
        <f t="shared" si="108"/>
        <v>5</v>
      </c>
      <c r="E3461" s="2">
        <f t="shared" si="109"/>
        <v>12</v>
      </c>
      <c r="F3461">
        <v>159.60820000000001</v>
      </c>
      <c r="G3461">
        <v>160.93090000000001</v>
      </c>
      <c r="H3461">
        <v>158.72630000000001</v>
      </c>
      <c r="I3461">
        <v>160.04910000000001</v>
      </c>
      <c r="J3461">
        <v>36748</v>
      </c>
      <c r="K3461">
        <v>0.82989999999999997</v>
      </c>
      <c r="L3461">
        <v>1.3889</v>
      </c>
    </row>
    <row r="3462" spans="1:12" x14ac:dyDescent="0.25">
      <c r="A3462">
        <v>2303</v>
      </c>
      <c r="B3462" t="s">
        <v>10</v>
      </c>
      <c r="C3462" s="1">
        <v>42738</v>
      </c>
      <c r="D3462" s="2">
        <f t="shared" si="108"/>
        <v>2</v>
      </c>
      <c r="E3462" s="2">
        <f t="shared" si="109"/>
        <v>1</v>
      </c>
      <c r="F3462">
        <v>10.139799999999999</v>
      </c>
      <c r="G3462">
        <v>10.139799999999999</v>
      </c>
      <c r="H3462">
        <v>10.0509</v>
      </c>
      <c r="I3462">
        <v>10.139799999999999</v>
      </c>
      <c r="J3462">
        <v>10177</v>
      </c>
      <c r="K3462">
        <v>0</v>
      </c>
      <c r="L3462">
        <v>0.88500000000000001</v>
      </c>
    </row>
    <row r="3463" spans="1:12" hidden="1" x14ac:dyDescent="0.25">
      <c r="A3463">
        <v>2330</v>
      </c>
      <c r="B3463" t="s">
        <v>11</v>
      </c>
      <c r="C3463" s="1">
        <v>42738</v>
      </c>
      <c r="D3463" s="2">
        <f t="shared" si="108"/>
        <v>2</v>
      </c>
      <c r="E3463" s="2">
        <f t="shared" si="109"/>
        <v>1</v>
      </c>
      <c r="F3463">
        <v>160.04910000000001</v>
      </c>
      <c r="G3463">
        <v>161.81270000000001</v>
      </c>
      <c r="H3463">
        <v>159.60820000000001</v>
      </c>
      <c r="I3463">
        <v>161.37180000000001</v>
      </c>
      <c r="J3463">
        <v>23550</v>
      </c>
      <c r="K3463">
        <v>0.82299999999999995</v>
      </c>
      <c r="L3463">
        <v>1.3812</v>
      </c>
    </row>
    <row r="3464" spans="1:12" x14ac:dyDescent="0.25">
      <c r="A3464">
        <v>2303</v>
      </c>
      <c r="B3464" t="s">
        <v>10</v>
      </c>
      <c r="C3464" s="1">
        <v>42739</v>
      </c>
      <c r="D3464" s="2">
        <f t="shared" si="108"/>
        <v>3</v>
      </c>
      <c r="E3464" s="2">
        <f t="shared" si="109"/>
        <v>1</v>
      </c>
      <c r="F3464">
        <v>10.139799999999999</v>
      </c>
      <c r="G3464">
        <v>10.139799999999999</v>
      </c>
      <c r="H3464">
        <v>10.0954</v>
      </c>
      <c r="I3464">
        <v>10.0954</v>
      </c>
      <c r="J3464">
        <v>11119</v>
      </c>
      <c r="K3464">
        <v>-0.43959999999999999</v>
      </c>
      <c r="L3464">
        <v>0.4405</v>
      </c>
    </row>
    <row r="3465" spans="1:12" hidden="1" x14ac:dyDescent="0.25">
      <c r="A3465">
        <v>2330</v>
      </c>
      <c r="B3465" t="s">
        <v>11</v>
      </c>
      <c r="C3465" s="1">
        <v>42739</v>
      </c>
      <c r="D3465" s="2">
        <f t="shared" si="108"/>
        <v>3</v>
      </c>
      <c r="E3465" s="2">
        <f t="shared" si="109"/>
        <v>1</v>
      </c>
      <c r="F3465">
        <v>161.37180000000001</v>
      </c>
      <c r="G3465">
        <v>162.25360000000001</v>
      </c>
      <c r="H3465">
        <v>160.04910000000001</v>
      </c>
      <c r="I3465">
        <v>161.37180000000001</v>
      </c>
      <c r="J3465">
        <v>24482</v>
      </c>
      <c r="K3465">
        <v>0</v>
      </c>
      <c r="L3465">
        <v>1.3774</v>
      </c>
    </row>
    <row r="3466" spans="1:12" x14ac:dyDescent="0.25">
      <c r="A3466">
        <v>2303</v>
      </c>
      <c r="B3466" t="s">
        <v>10</v>
      </c>
      <c r="C3466" s="1">
        <v>42740</v>
      </c>
      <c r="D3466" s="2">
        <f t="shared" si="108"/>
        <v>4</v>
      </c>
      <c r="E3466" s="2">
        <f t="shared" si="109"/>
        <v>1</v>
      </c>
      <c r="F3466">
        <v>10.0954</v>
      </c>
      <c r="G3466">
        <v>10.1843</v>
      </c>
      <c r="H3466">
        <v>10.0509</v>
      </c>
      <c r="I3466">
        <v>10.139799999999999</v>
      </c>
      <c r="J3466">
        <v>20844</v>
      </c>
      <c r="K3466">
        <v>0.43959999999999999</v>
      </c>
      <c r="L3466">
        <v>1.3273999999999999</v>
      </c>
    </row>
    <row r="3467" spans="1:12" hidden="1" x14ac:dyDescent="0.25">
      <c r="A3467">
        <v>2330</v>
      </c>
      <c r="B3467" t="s">
        <v>11</v>
      </c>
      <c r="C3467" s="1">
        <v>42740</v>
      </c>
      <c r="D3467" s="2">
        <f t="shared" si="108"/>
        <v>4</v>
      </c>
      <c r="E3467" s="2">
        <f t="shared" si="109"/>
        <v>1</v>
      </c>
      <c r="F3467">
        <v>160.49</v>
      </c>
      <c r="G3467">
        <v>161.81270000000001</v>
      </c>
      <c r="H3467">
        <v>160.04910000000001</v>
      </c>
      <c r="I3467">
        <v>161.81270000000001</v>
      </c>
      <c r="J3467">
        <v>21373</v>
      </c>
      <c r="K3467">
        <v>0.27289999999999998</v>
      </c>
      <c r="L3467">
        <v>1.1019000000000001</v>
      </c>
    </row>
    <row r="3468" spans="1:12" x14ac:dyDescent="0.25">
      <c r="A3468">
        <v>2303</v>
      </c>
      <c r="B3468" t="s">
        <v>10</v>
      </c>
      <c r="C3468" s="1">
        <v>42741</v>
      </c>
      <c r="D3468" s="2">
        <f t="shared" si="108"/>
        <v>5</v>
      </c>
      <c r="E3468" s="2">
        <f t="shared" si="109"/>
        <v>1</v>
      </c>
      <c r="F3468">
        <v>10.139799999999999</v>
      </c>
      <c r="G3468">
        <v>10.3622</v>
      </c>
      <c r="H3468">
        <v>10.139799999999999</v>
      </c>
      <c r="I3468">
        <v>10.3177</v>
      </c>
      <c r="J3468">
        <v>37951</v>
      </c>
      <c r="K3468">
        <v>1.7392000000000001</v>
      </c>
      <c r="L3468">
        <v>2.1930000000000001</v>
      </c>
    </row>
    <row r="3469" spans="1:12" hidden="1" x14ac:dyDescent="0.25">
      <c r="A3469">
        <v>2330</v>
      </c>
      <c r="B3469" t="s">
        <v>11</v>
      </c>
      <c r="C3469" s="1">
        <v>42741</v>
      </c>
      <c r="D3469" s="2">
        <f t="shared" si="108"/>
        <v>5</v>
      </c>
      <c r="E3469" s="2">
        <f t="shared" si="109"/>
        <v>1</v>
      </c>
      <c r="F3469">
        <v>162.25360000000001</v>
      </c>
      <c r="G3469">
        <v>162.69450000000001</v>
      </c>
      <c r="H3469">
        <v>161.81270000000001</v>
      </c>
      <c r="I3469">
        <v>162.25360000000001</v>
      </c>
      <c r="J3469">
        <v>23120</v>
      </c>
      <c r="K3469">
        <v>0.27210000000000001</v>
      </c>
      <c r="L3469">
        <v>0.54500000000000004</v>
      </c>
    </row>
    <row r="3470" spans="1:12" x14ac:dyDescent="0.25">
      <c r="A3470">
        <v>2303</v>
      </c>
      <c r="B3470" t="s">
        <v>10</v>
      </c>
      <c r="C3470" s="1">
        <v>42744</v>
      </c>
      <c r="D3470" s="2">
        <f t="shared" si="108"/>
        <v>1</v>
      </c>
      <c r="E3470" s="2">
        <f t="shared" si="109"/>
        <v>1</v>
      </c>
      <c r="F3470">
        <v>10.3177</v>
      </c>
      <c r="G3470">
        <v>10.4511</v>
      </c>
      <c r="H3470">
        <v>10.273300000000001</v>
      </c>
      <c r="I3470">
        <v>10.3177</v>
      </c>
      <c r="J3470">
        <v>30051</v>
      </c>
      <c r="K3470">
        <v>0</v>
      </c>
      <c r="L3470">
        <v>1.7316</v>
      </c>
    </row>
    <row r="3471" spans="1:12" hidden="1" x14ac:dyDescent="0.25">
      <c r="A3471">
        <v>2330</v>
      </c>
      <c r="B3471" t="s">
        <v>11</v>
      </c>
      <c r="C3471" s="1">
        <v>42744</v>
      </c>
      <c r="D3471" s="2">
        <f t="shared" si="108"/>
        <v>1</v>
      </c>
      <c r="E3471" s="2">
        <f t="shared" si="109"/>
        <v>1</v>
      </c>
      <c r="F3471">
        <v>162.25360000000001</v>
      </c>
      <c r="G3471">
        <v>163.1354</v>
      </c>
      <c r="H3471">
        <v>161.37180000000001</v>
      </c>
      <c r="I3471">
        <v>162.25360000000001</v>
      </c>
      <c r="J3471">
        <v>18583</v>
      </c>
      <c r="K3471">
        <v>0</v>
      </c>
      <c r="L3471">
        <v>1.0929</v>
      </c>
    </row>
    <row r="3472" spans="1:12" x14ac:dyDescent="0.25">
      <c r="A3472">
        <v>2303</v>
      </c>
      <c r="B3472" t="s">
        <v>10</v>
      </c>
      <c r="C3472" s="1">
        <v>42745</v>
      </c>
      <c r="D3472" s="2">
        <f t="shared" si="108"/>
        <v>2</v>
      </c>
      <c r="E3472" s="2">
        <f t="shared" si="109"/>
        <v>1</v>
      </c>
      <c r="F3472">
        <v>10.3177</v>
      </c>
      <c r="G3472">
        <v>10.3622</v>
      </c>
      <c r="H3472">
        <v>10.273300000000001</v>
      </c>
      <c r="I3472">
        <v>10.3622</v>
      </c>
      <c r="J3472">
        <v>19440</v>
      </c>
      <c r="K3472">
        <v>0.43009999999999998</v>
      </c>
      <c r="L3472">
        <v>0.86580000000000001</v>
      </c>
    </row>
    <row r="3473" spans="1:12" hidden="1" x14ac:dyDescent="0.25">
      <c r="A3473">
        <v>2330</v>
      </c>
      <c r="B3473" t="s">
        <v>11</v>
      </c>
      <c r="C3473" s="1">
        <v>42745</v>
      </c>
      <c r="D3473" s="2">
        <f t="shared" si="108"/>
        <v>2</v>
      </c>
      <c r="E3473" s="2">
        <f t="shared" si="109"/>
        <v>1</v>
      </c>
      <c r="F3473">
        <v>162.69450000000001</v>
      </c>
      <c r="G3473">
        <v>163.5763</v>
      </c>
      <c r="H3473">
        <v>161.81270000000001</v>
      </c>
      <c r="I3473">
        <v>162.25360000000001</v>
      </c>
      <c r="J3473">
        <v>20691</v>
      </c>
      <c r="K3473">
        <v>0</v>
      </c>
      <c r="L3473">
        <v>1.0899000000000001</v>
      </c>
    </row>
    <row r="3474" spans="1:12" x14ac:dyDescent="0.25">
      <c r="A3474">
        <v>2303</v>
      </c>
      <c r="B3474" t="s">
        <v>10</v>
      </c>
      <c r="C3474" s="1">
        <v>42746</v>
      </c>
      <c r="D3474" s="2">
        <f t="shared" si="108"/>
        <v>3</v>
      </c>
      <c r="E3474" s="2">
        <f t="shared" si="109"/>
        <v>1</v>
      </c>
      <c r="F3474">
        <v>10.3622</v>
      </c>
      <c r="G3474">
        <v>10.406700000000001</v>
      </c>
      <c r="H3474">
        <v>10.3177</v>
      </c>
      <c r="I3474">
        <v>10.3622</v>
      </c>
      <c r="J3474">
        <v>13494</v>
      </c>
      <c r="K3474">
        <v>0</v>
      </c>
      <c r="L3474">
        <v>0.86209999999999998</v>
      </c>
    </row>
    <row r="3475" spans="1:12" hidden="1" x14ac:dyDescent="0.25">
      <c r="A3475">
        <v>2330</v>
      </c>
      <c r="B3475" t="s">
        <v>11</v>
      </c>
      <c r="C3475" s="1">
        <v>42746</v>
      </c>
      <c r="D3475" s="2">
        <f t="shared" si="108"/>
        <v>3</v>
      </c>
      <c r="E3475" s="2">
        <f t="shared" si="109"/>
        <v>1</v>
      </c>
      <c r="F3475">
        <v>163.1354</v>
      </c>
      <c r="G3475">
        <v>163.1354</v>
      </c>
      <c r="H3475">
        <v>160.04910000000001</v>
      </c>
      <c r="I3475">
        <v>160.49</v>
      </c>
      <c r="J3475">
        <v>29747</v>
      </c>
      <c r="K3475">
        <v>-1.0929</v>
      </c>
      <c r="L3475">
        <v>1.9283999999999999</v>
      </c>
    </row>
    <row r="3476" spans="1:12" x14ac:dyDescent="0.25">
      <c r="A3476">
        <v>2303</v>
      </c>
      <c r="B3476" t="s">
        <v>10</v>
      </c>
      <c r="C3476" s="1">
        <v>42747</v>
      </c>
      <c r="D3476" s="2">
        <f t="shared" si="108"/>
        <v>4</v>
      </c>
      <c r="E3476" s="2">
        <f t="shared" si="109"/>
        <v>1</v>
      </c>
      <c r="F3476">
        <v>10.406700000000001</v>
      </c>
      <c r="G3476">
        <v>10.4956</v>
      </c>
      <c r="H3476">
        <v>10.3622</v>
      </c>
      <c r="I3476">
        <v>10.4956</v>
      </c>
      <c r="J3476">
        <v>27694</v>
      </c>
      <c r="K3476">
        <v>1.2793000000000001</v>
      </c>
      <c r="L3476">
        <v>1.2876000000000001</v>
      </c>
    </row>
    <row r="3477" spans="1:12" hidden="1" x14ac:dyDescent="0.25">
      <c r="A3477">
        <v>2330</v>
      </c>
      <c r="B3477" t="s">
        <v>11</v>
      </c>
      <c r="C3477" s="1">
        <v>42747</v>
      </c>
      <c r="D3477" s="2">
        <f t="shared" si="108"/>
        <v>4</v>
      </c>
      <c r="E3477" s="2">
        <f t="shared" si="109"/>
        <v>1</v>
      </c>
      <c r="F3477">
        <v>160.93090000000001</v>
      </c>
      <c r="G3477">
        <v>163.5763</v>
      </c>
      <c r="H3477">
        <v>160.93090000000001</v>
      </c>
      <c r="I3477">
        <v>162.69450000000001</v>
      </c>
      <c r="J3477">
        <v>48599</v>
      </c>
      <c r="K3477">
        <v>1.3643000000000001</v>
      </c>
      <c r="L3477">
        <v>1.6437999999999999</v>
      </c>
    </row>
    <row r="3478" spans="1:12" x14ac:dyDescent="0.25">
      <c r="A3478">
        <v>2303</v>
      </c>
      <c r="B3478" t="s">
        <v>10</v>
      </c>
      <c r="C3478" s="1">
        <v>42748</v>
      </c>
      <c r="D3478" s="2">
        <f t="shared" si="108"/>
        <v>5</v>
      </c>
      <c r="E3478" s="2">
        <f t="shared" si="109"/>
        <v>1</v>
      </c>
      <c r="F3478">
        <v>10.4511</v>
      </c>
      <c r="G3478">
        <v>10.4956</v>
      </c>
      <c r="H3478">
        <v>10.3622</v>
      </c>
      <c r="I3478">
        <v>10.4956</v>
      </c>
      <c r="J3478">
        <v>22218</v>
      </c>
      <c r="K3478">
        <v>0</v>
      </c>
      <c r="L3478">
        <v>1.2876000000000001</v>
      </c>
    </row>
    <row r="3479" spans="1:12" hidden="1" x14ac:dyDescent="0.25">
      <c r="A3479">
        <v>2330</v>
      </c>
      <c r="B3479" t="s">
        <v>11</v>
      </c>
      <c r="C3479" s="1">
        <v>42748</v>
      </c>
      <c r="D3479" s="2">
        <f t="shared" si="108"/>
        <v>5</v>
      </c>
      <c r="E3479" s="2">
        <f t="shared" si="109"/>
        <v>1</v>
      </c>
      <c r="F3479">
        <v>159.16720000000001</v>
      </c>
      <c r="G3479">
        <v>160.93090000000001</v>
      </c>
      <c r="H3479">
        <v>159.16720000000001</v>
      </c>
      <c r="I3479">
        <v>160.04910000000001</v>
      </c>
      <c r="J3479">
        <v>53089</v>
      </c>
      <c r="K3479">
        <v>-1.6394</v>
      </c>
      <c r="L3479">
        <v>1.1080000000000001</v>
      </c>
    </row>
    <row r="3480" spans="1:12" x14ac:dyDescent="0.25">
      <c r="A3480">
        <v>2303</v>
      </c>
      <c r="B3480" t="s">
        <v>10</v>
      </c>
      <c r="C3480" s="1">
        <v>42751</v>
      </c>
      <c r="D3480" s="2">
        <f t="shared" si="108"/>
        <v>1</v>
      </c>
      <c r="E3480" s="2">
        <f t="shared" si="109"/>
        <v>1</v>
      </c>
      <c r="F3480">
        <v>10.406700000000001</v>
      </c>
      <c r="G3480">
        <v>10.4511</v>
      </c>
      <c r="H3480">
        <v>10.3622</v>
      </c>
      <c r="I3480">
        <v>10.3622</v>
      </c>
      <c r="J3480">
        <v>9080</v>
      </c>
      <c r="K3480">
        <v>-1.2793000000000001</v>
      </c>
      <c r="L3480">
        <v>0.85840000000000005</v>
      </c>
    </row>
    <row r="3481" spans="1:12" hidden="1" x14ac:dyDescent="0.25">
      <c r="A3481">
        <v>2330</v>
      </c>
      <c r="B3481" t="s">
        <v>11</v>
      </c>
      <c r="C3481" s="1">
        <v>42751</v>
      </c>
      <c r="D3481" s="2">
        <f t="shared" si="108"/>
        <v>1</v>
      </c>
      <c r="E3481" s="2">
        <f t="shared" si="109"/>
        <v>1</v>
      </c>
      <c r="F3481">
        <v>158.72630000000001</v>
      </c>
      <c r="G3481">
        <v>159.16720000000001</v>
      </c>
      <c r="H3481">
        <v>157.84450000000001</v>
      </c>
      <c r="I3481">
        <v>158.28540000000001</v>
      </c>
      <c r="J3481">
        <v>30878</v>
      </c>
      <c r="K3481">
        <v>-1.1080000000000001</v>
      </c>
      <c r="L3481">
        <v>0.83799999999999997</v>
      </c>
    </row>
    <row r="3482" spans="1:12" x14ac:dyDescent="0.25">
      <c r="A3482">
        <v>2303</v>
      </c>
      <c r="B3482" t="s">
        <v>10</v>
      </c>
      <c r="C3482" s="1">
        <v>42752</v>
      </c>
      <c r="D3482" s="2">
        <f t="shared" si="108"/>
        <v>2</v>
      </c>
      <c r="E3482" s="2">
        <f t="shared" si="109"/>
        <v>1</v>
      </c>
      <c r="F3482">
        <v>10.3177</v>
      </c>
      <c r="G3482">
        <v>10.4511</v>
      </c>
      <c r="H3482">
        <v>10.3177</v>
      </c>
      <c r="I3482">
        <v>10.3622</v>
      </c>
      <c r="J3482">
        <v>9470</v>
      </c>
      <c r="K3482">
        <v>0</v>
      </c>
      <c r="L3482">
        <v>1.2930999999999999</v>
      </c>
    </row>
    <row r="3483" spans="1:12" hidden="1" x14ac:dyDescent="0.25">
      <c r="A3483">
        <v>2330</v>
      </c>
      <c r="B3483" t="s">
        <v>11</v>
      </c>
      <c r="C3483" s="1">
        <v>42752</v>
      </c>
      <c r="D3483" s="2">
        <f t="shared" si="108"/>
        <v>2</v>
      </c>
      <c r="E3483" s="2">
        <f t="shared" si="109"/>
        <v>1</v>
      </c>
      <c r="F3483">
        <v>159.16720000000001</v>
      </c>
      <c r="G3483">
        <v>159.60820000000001</v>
      </c>
      <c r="H3483">
        <v>158.28540000000001</v>
      </c>
      <c r="I3483">
        <v>159.60820000000001</v>
      </c>
      <c r="J3483">
        <v>13207</v>
      </c>
      <c r="K3483">
        <v>0.83220000000000005</v>
      </c>
      <c r="L3483">
        <v>0.8357</v>
      </c>
    </row>
    <row r="3484" spans="1:12" x14ac:dyDescent="0.25">
      <c r="A3484">
        <v>2303</v>
      </c>
      <c r="B3484" t="s">
        <v>10</v>
      </c>
      <c r="C3484" s="1">
        <v>42753</v>
      </c>
      <c r="D3484" s="2">
        <f t="shared" si="108"/>
        <v>3</v>
      </c>
      <c r="E3484" s="2">
        <f t="shared" si="109"/>
        <v>1</v>
      </c>
      <c r="F3484">
        <v>10.3622</v>
      </c>
      <c r="G3484">
        <v>10.406700000000001</v>
      </c>
      <c r="H3484">
        <v>10.3177</v>
      </c>
      <c r="I3484">
        <v>10.3622</v>
      </c>
      <c r="J3484">
        <v>15844</v>
      </c>
      <c r="K3484">
        <v>0</v>
      </c>
      <c r="L3484">
        <v>0.86209999999999998</v>
      </c>
    </row>
    <row r="3485" spans="1:12" hidden="1" x14ac:dyDescent="0.25">
      <c r="A3485">
        <v>2330</v>
      </c>
      <c r="B3485" t="s">
        <v>11</v>
      </c>
      <c r="C3485" s="1">
        <v>42753</v>
      </c>
      <c r="D3485" s="2">
        <f t="shared" si="108"/>
        <v>3</v>
      </c>
      <c r="E3485" s="2">
        <f t="shared" si="109"/>
        <v>1</v>
      </c>
      <c r="F3485">
        <v>159.16720000000001</v>
      </c>
      <c r="G3485">
        <v>159.60820000000001</v>
      </c>
      <c r="H3485">
        <v>158.28540000000001</v>
      </c>
      <c r="I3485">
        <v>159.60820000000001</v>
      </c>
      <c r="J3485">
        <v>23810</v>
      </c>
      <c r="K3485">
        <v>0</v>
      </c>
      <c r="L3485">
        <v>0.8357</v>
      </c>
    </row>
    <row r="3486" spans="1:12" x14ac:dyDescent="0.25">
      <c r="A3486">
        <v>2303</v>
      </c>
      <c r="B3486" t="s">
        <v>10</v>
      </c>
      <c r="C3486" s="1">
        <v>42754</v>
      </c>
      <c r="D3486" s="2">
        <f t="shared" si="108"/>
        <v>4</v>
      </c>
      <c r="E3486" s="2">
        <f t="shared" si="109"/>
        <v>1</v>
      </c>
      <c r="F3486">
        <v>10.3622</v>
      </c>
      <c r="G3486">
        <v>10.406700000000001</v>
      </c>
      <c r="H3486">
        <v>10.3177</v>
      </c>
      <c r="I3486">
        <v>10.3177</v>
      </c>
      <c r="J3486">
        <v>14998</v>
      </c>
      <c r="K3486">
        <v>-0.43009999999999998</v>
      </c>
      <c r="L3486">
        <v>0.86209999999999998</v>
      </c>
    </row>
    <row r="3487" spans="1:12" hidden="1" x14ac:dyDescent="0.25">
      <c r="A3487">
        <v>2330</v>
      </c>
      <c r="B3487" t="s">
        <v>11</v>
      </c>
      <c r="C3487" s="1">
        <v>42754</v>
      </c>
      <c r="D3487" s="2">
        <f t="shared" si="108"/>
        <v>4</v>
      </c>
      <c r="E3487" s="2">
        <f t="shared" si="109"/>
        <v>1</v>
      </c>
      <c r="F3487">
        <v>158.28540000000001</v>
      </c>
      <c r="G3487">
        <v>159.60820000000001</v>
      </c>
      <c r="H3487">
        <v>158.28540000000001</v>
      </c>
      <c r="I3487">
        <v>159.16720000000001</v>
      </c>
      <c r="J3487">
        <v>25935</v>
      </c>
      <c r="K3487">
        <v>-0.27660000000000001</v>
      </c>
      <c r="L3487">
        <v>0.8357</v>
      </c>
    </row>
    <row r="3488" spans="1:12" x14ac:dyDescent="0.25">
      <c r="A3488">
        <v>2303</v>
      </c>
      <c r="B3488" t="s">
        <v>10</v>
      </c>
      <c r="C3488" s="1">
        <v>42755</v>
      </c>
      <c r="D3488" s="2">
        <f t="shared" si="108"/>
        <v>5</v>
      </c>
      <c r="E3488" s="2">
        <f t="shared" si="109"/>
        <v>1</v>
      </c>
      <c r="F3488">
        <v>10.3177</v>
      </c>
      <c r="G3488">
        <v>10.406700000000001</v>
      </c>
      <c r="H3488">
        <v>10.273300000000001</v>
      </c>
      <c r="I3488">
        <v>10.3177</v>
      </c>
      <c r="J3488">
        <v>13888</v>
      </c>
      <c r="K3488">
        <v>0</v>
      </c>
      <c r="L3488">
        <v>1.2987</v>
      </c>
    </row>
    <row r="3489" spans="1:12" hidden="1" x14ac:dyDescent="0.25">
      <c r="A3489">
        <v>2330</v>
      </c>
      <c r="B3489" t="s">
        <v>11</v>
      </c>
      <c r="C3489" s="1">
        <v>42755</v>
      </c>
      <c r="D3489" s="2">
        <f t="shared" si="108"/>
        <v>5</v>
      </c>
      <c r="E3489" s="2">
        <f t="shared" si="109"/>
        <v>1</v>
      </c>
      <c r="F3489">
        <v>159.60820000000001</v>
      </c>
      <c r="G3489">
        <v>160.04910000000001</v>
      </c>
      <c r="H3489">
        <v>159.16720000000001</v>
      </c>
      <c r="I3489">
        <v>159.60820000000001</v>
      </c>
      <c r="J3489">
        <v>42317</v>
      </c>
      <c r="K3489">
        <v>0.27660000000000001</v>
      </c>
      <c r="L3489">
        <v>0.55400000000000005</v>
      </c>
    </row>
    <row r="3490" spans="1:12" x14ac:dyDescent="0.25">
      <c r="A3490">
        <v>2303</v>
      </c>
      <c r="B3490" t="s">
        <v>10</v>
      </c>
      <c r="C3490" s="1">
        <v>42758</v>
      </c>
      <c r="D3490" s="2">
        <f t="shared" si="108"/>
        <v>1</v>
      </c>
      <c r="E3490" s="2">
        <f t="shared" si="109"/>
        <v>1</v>
      </c>
      <c r="F3490">
        <v>10.3177</v>
      </c>
      <c r="G3490">
        <v>10.3622</v>
      </c>
      <c r="H3490">
        <v>10.273300000000001</v>
      </c>
      <c r="I3490">
        <v>10.273300000000001</v>
      </c>
      <c r="J3490">
        <v>23688</v>
      </c>
      <c r="K3490">
        <v>-0.432</v>
      </c>
      <c r="L3490">
        <v>0.86580000000000001</v>
      </c>
    </row>
    <row r="3491" spans="1:12" hidden="1" x14ac:dyDescent="0.25">
      <c r="A3491">
        <v>2330</v>
      </c>
      <c r="B3491" t="s">
        <v>11</v>
      </c>
      <c r="C3491" s="1">
        <v>42758</v>
      </c>
      <c r="D3491" s="2">
        <f t="shared" si="108"/>
        <v>1</v>
      </c>
      <c r="E3491" s="2">
        <f t="shared" si="109"/>
        <v>1</v>
      </c>
      <c r="F3491">
        <v>160.93090000000001</v>
      </c>
      <c r="G3491">
        <v>163.1354</v>
      </c>
      <c r="H3491">
        <v>160.93090000000001</v>
      </c>
      <c r="I3491">
        <v>163.1354</v>
      </c>
      <c r="J3491">
        <v>58299</v>
      </c>
      <c r="K3491">
        <v>2.1859000000000002</v>
      </c>
      <c r="L3491">
        <v>1.3698999999999999</v>
      </c>
    </row>
    <row r="3492" spans="1:12" x14ac:dyDescent="0.25">
      <c r="A3492">
        <v>2303</v>
      </c>
      <c r="B3492" t="s">
        <v>10</v>
      </c>
      <c r="C3492" s="1">
        <v>42759</v>
      </c>
      <c r="D3492" s="2">
        <f t="shared" si="108"/>
        <v>2</v>
      </c>
      <c r="E3492" s="2">
        <f t="shared" si="109"/>
        <v>1</v>
      </c>
      <c r="F3492">
        <v>10.1843</v>
      </c>
      <c r="G3492">
        <v>10.2288</v>
      </c>
      <c r="H3492">
        <v>10.0954</v>
      </c>
      <c r="I3492">
        <v>10.0954</v>
      </c>
      <c r="J3492">
        <v>45636</v>
      </c>
      <c r="K3492">
        <v>-1.7467999999999999</v>
      </c>
      <c r="L3492">
        <v>1.3216000000000001</v>
      </c>
    </row>
    <row r="3493" spans="1:12" hidden="1" x14ac:dyDescent="0.25">
      <c r="A3493">
        <v>2330</v>
      </c>
      <c r="B3493" t="s">
        <v>11</v>
      </c>
      <c r="C3493" s="1">
        <v>42759</v>
      </c>
      <c r="D3493" s="2">
        <f t="shared" si="108"/>
        <v>2</v>
      </c>
      <c r="E3493" s="2">
        <f t="shared" si="109"/>
        <v>1</v>
      </c>
      <c r="F3493">
        <v>163.1354</v>
      </c>
      <c r="G3493">
        <v>164.4581</v>
      </c>
      <c r="H3493">
        <v>162.69450000000001</v>
      </c>
      <c r="I3493">
        <v>163.5763</v>
      </c>
      <c r="J3493">
        <v>72014</v>
      </c>
      <c r="K3493">
        <v>0.26989999999999997</v>
      </c>
      <c r="L3493">
        <v>1.0840000000000001</v>
      </c>
    </row>
    <row r="3494" spans="1:12" x14ac:dyDescent="0.25">
      <c r="A3494">
        <v>2303</v>
      </c>
      <c r="B3494" t="s">
        <v>10</v>
      </c>
      <c r="C3494" s="1">
        <v>42768</v>
      </c>
      <c r="D3494" s="2">
        <f t="shared" si="108"/>
        <v>4</v>
      </c>
      <c r="E3494" s="2">
        <f t="shared" si="109"/>
        <v>2</v>
      </c>
      <c r="F3494">
        <v>10.2288</v>
      </c>
      <c r="G3494">
        <v>10.273300000000001</v>
      </c>
      <c r="H3494">
        <v>10.0509</v>
      </c>
      <c r="I3494">
        <v>10.0509</v>
      </c>
      <c r="J3494">
        <v>50885</v>
      </c>
      <c r="K3494">
        <v>-0.4415</v>
      </c>
      <c r="L3494">
        <v>2.2124000000000001</v>
      </c>
    </row>
    <row r="3495" spans="1:12" hidden="1" x14ac:dyDescent="0.25">
      <c r="A3495">
        <v>2330</v>
      </c>
      <c r="B3495" t="s">
        <v>11</v>
      </c>
      <c r="C3495" s="1">
        <v>42768</v>
      </c>
      <c r="D3495" s="2">
        <f t="shared" si="108"/>
        <v>4</v>
      </c>
      <c r="E3495" s="2">
        <f t="shared" si="109"/>
        <v>2</v>
      </c>
      <c r="F3495">
        <v>165.7808</v>
      </c>
      <c r="G3495">
        <v>166.2218</v>
      </c>
      <c r="H3495">
        <v>162.25360000000001</v>
      </c>
      <c r="I3495">
        <v>162.69450000000001</v>
      </c>
      <c r="J3495">
        <v>153703</v>
      </c>
      <c r="K3495">
        <v>-0.54049999999999998</v>
      </c>
      <c r="L3495">
        <v>2.4457</v>
      </c>
    </row>
    <row r="3496" spans="1:12" x14ac:dyDescent="0.25">
      <c r="A3496">
        <v>2303</v>
      </c>
      <c r="B3496" t="s">
        <v>10</v>
      </c>
      <c r="C3496" s="1">
        <v>42769</v>
      </c>
      <c r="D3496" s="2">
        <f t="shared" si="108"/>
        <v>5</v>
      </c>
      <c r="E3496" s="2">
        <f t="shared" si="109"/>
        <v>2</v>
      </c>
      <c r="F3496">
        <v>10.0954</v>
      </c>
      <c r="G3496">
        <v>10.139799999999999</v>
      </c>
      <c r="H3496">
        <v>10.0509</v>
      </c>
      <c r="I3496">
        <v>10.139799999999999</v>
      </c>
      <c r="J3496">
        <v>32233</v>
      </c>
      <c r="K3496">
        <v>0.88109999999999999</v>
      </c>
      <c r="L3496">
        <v>0.88500000000000001</v>
      </c>
    </row>
    <row r="3497" spans="1:12" hidden="1" x14ac:dyDescent="0.25">
      <c r="A3497">
        <v>2330</v>
      </c>
      <c r="B3497" t="s">
        <v>11</v>
      </c>
      <c r="C3497" s="1">
        <v>42769</v>
      </c>
      <c r="D3497" s="2">
        <f t="shared" si="108"/>
        <v>5</v>
      </c>
      <c r="E3497" s="2">
        <f t="shared" si="109"/>
        <v>2</v>
      </c>
      <c r="F3497">
        <v>164.0172</v>
      </c>
      <c r="G3497">
        <v>164.0172</v>
      </c>
      <c r="H3497">
        <v>161.81270000000001</v>
      </c>
      <c r="I3497">
        <v>162.69450000000001</v>
      </c>
      <c r="J3497">
        <v>30387</v>
      </c>
      <c r="K3497">
        <v>0</v>
      </c>
      <c r="L3497">
        <v>1.3624000000000001</v>
      </c>
    </row>
    <row r="3498" spans="1:12" x14ac:dyDescent="0.25">
      <c r="A3498">
        <v>2303</v>
      </c>
      <c r="B3498" t="s">
        <v>10</v>
      </c>
      <c r="C3498" s="1">
        <v>42772</v>
      </c>
      <c r="D3498" s="2">
        <f t="shared" si="108"/>
        <v>1</v>
      </c>
      <c r="E3498" s="2">
        <f t="shared" si="109"/>
        <v>2</v>
      </c>
      <c r="F3498">
        <v>10.139799999999999</v>
      </c>
      <c r="G3498">
        <v>10.2288</v>
      </c>
      <c r="H3498">
        <v>10.0954</v>
      </c>
      <c r="I3498">
        <v>10.1843</v>
      </c>
      <c r="J3498">
        <v>30150</v>
      </c>
      <c r="K3498">
        <v>0.43759999999999999</v>
      </c>
      <c r="L3498">
        <v>1.3216000000000001</v>
      </c>
    </row>
    <row r="3499" spans="1:12" hidden="1" x14ac:dyDescent="0.25">
      <c r="A3499">
        <v>2330</v>
      </c>
      <c r="B3499" t="s">
        <v>11</v>
      </c>
      <c r="C3499" s="1">
        <v>42772</v>
      </c>
      <c r="D3499" s="2">
        <f t="shared" si="108"/>
        <v>1</v>
      </c>
      <c r="E3499" s="2">
        <f t="shared" si="109"/>
        <v>2</v>
      </c>
      <c r="F3499">
        <v>162.69450000000001</v>
      </c>
      <c r="G3499">
        <v>163.5763</v>
      </c>
      <c r="H3499">
        <v>162.25360000000001</v>
      </c>
      <c r="I3499">
        <v>162.69450000000001</v>
      </c>
      <c r="J3499">
        <v>29702</v>
      </c>
      <c r="K3499">
        <v>0</v>
      </c>
      <c r="L3499">
        <v>0.81520000000000004</v>
      </c>
    </row>
    <row r="3500" spans="1:12" x14ac:dyDescent="0.25">
      <c r="A3500">
        <v>2303</v>
      </c>
      <c r="B3500" t="s">
        <v>10</v>
      </c>
      <c r="C3500" s="1">
        <v>42773</v>
      </c>
      <c r="D3500" s="2">
        <f t="shared" si="108"/>
        <v>2</v>
      </c>
      <c r="E3500" s="2">
        <f t="shared" si="109"/>
        <v>2</v>
      </c>
      <c r="F3500">
        <v>10.139799999999999</v>
      </c>
      <c r="G3500">
        <v>10.273300000000001</v>
      </c>
      <c r="H3500">
        <v>10.139799999999999</v>
      </c>
      <c r="I3500">
        <v>10.2288</v>
      </c>
      <c r="J3500">
        <v>30242</v>
      </c>
      <c r="K3500">
        <v>0.43569999999999998</v>
      </c>
      <c r="L3500">
        <v>1.3158000000000001</v>
      </c>
    </row>
    <row r="3501" spans="1:12" hidden="1" x14ac:dyDescent="0.25">
      <c r="A3501">
        <v>2330</v>
      </c>
      <c r="B3501" t="s">
        <v>11</v>
      </c>
      <c r="C3501" s="1">
        <v>42773</v>
      </c>
      <c r="D3501" s="2">
        <f t="shared" si="108"/>
        <v>2</v>
      </c>
      <c r="E3501" s="2">
        <f t="shared" si="109"/>
        <v>2</v>
      </c>
      <c r="F3501">
        <v>161.81270000000001</v>
      </c>
      <c r="G3501">
        <v>163.1354</v>
      </c>
      <c r="H3501">
        <v>161.37180000000001</v>
      </c>
      <c r="I3501">
        <v>162.69450000000001</v>
      </c>
      <c r="J3501">
        <v>23981</v>
      </c>
      <c r="K3501">
        <v>0</v>
      </c>
      <c r="L3501">
        <v>1.0929</v>
      </c>
    </row>
    <row r="3502" spans="1:12" x14ac:dyDescent="0.25">
      <c r="A3502">
        <v>2303</v>
      </c>
      <c r="B3502" t="s">
        <v>10</v>
      </c>
      <c r="C3502" s="1">
        <v>42774</v>
      </c>
      <c r="D3502" s="2">
        <f t="shared" si="108"/>
        <v>3</v>
      </c>
      <c r="E3502" s="2">
        <f t="shared" si="109"/>
        <v>2</v>
      </c>
      <c r="F3502">
        <v>10.2288</v>
      </c>
      <c r="G3502">
        <v>10.273300000000001</v>
      </c>
      <c r="H3502">
        <v>10.139799999999999</v>
      </c>
      <c r="I3502">
        <v>10.1843</v>
      </c>
      <c r="J3502">
        <v>27217</v>
      </c>
      <c r="K3502">
        <v>-0.43569999999999998</v>
      </c>
      <c r="L3502">
        <v>1.3158000000000001</v>
      </c>
    </row>
    <row r="3503" spans="1:12" hidden="1" x14ac:dyDescent="0.25">
      <c r="A3503">
        <v>2330</v>
      </c>
      <c r="B3503" t="s">
        <v>11</v>
      </c>
      <c r="C3503" s="1">
        <v>42774</v>
      </c>
      <c r="D3503" s="2">
        <f t="shared" si="108"/>
        <v>3</v>
      </c>
      <c r="E3503" s="2">
        <f t="shared" si="109"/>
        <v>2</v>
      </c>
      <c r="F3503">
        <v>161.81270000000001</v>
      </c>
      <c r="G3503">
        <v>162.69450000000001</v>
      </c>
      <c r="H3503">
        <v>161.37180000000001</v>
      </c>
      <c r="I3503">
        <v>161.81270000000001</v>
      </c>
      <c r="J3503">
        <v>45607</v>
      </c>
      <c r="K3503">
        <v>-0.54349999999999998</v>
      </c>
      <c r="L3503">
        <v>0.81969999999999998</v>
      </c>
    </row>
    <row r="3504" spans="1:12" x14ac:dyDescent="0.25">
      <c r="A3504">
        <v>2303</v>
      </c>
      <c r="B3504" t="s">
        <v>10</v>
      </c>
      <c r="C3504" s="1">
        <v>42775</v>
      </c>
      <c r="D3504" s="2">
        <f t="shared" si="108"/>
        <v>4</v>
      </c>
      <c r="E3504" s="2">
        <f t="shared" si="109"/>
        <v>2</v>
      </c>
      <c r="F3504">
        <v>10.2288</v>
      </c>
      <c r="G3504">
        <v>10.273300000000001</v>
      </c>
      <c r="H3504">
        <v>10.1843</v>
      </c>
      <c r="I3504">
        <v>10.2288</v>
      </c>
      <c r="J3504">
        <v>22546</v>
      </c>
      <c r="K3504">
        <v>0.43569999999999998</v>
      </c>
      <c r="L3504">
        <v>0.87339999999999995</v>
      </c>
    </row>
    <row r="3505" spans="1:12" hidden="1" x14ac:dyDescent="0.25">
      <c r="A3505">
        <v>2330</v>
      </c>
      <c r="B3505" t="s">
        <v>11</v>
      </c>
      <c r="C3505" s="1">
        <v>42775</v>
      </c>
      <c r="D3505" s="2">
        <f t="shared" si="108"/>
        <v>4</v>
      </c>
      <c r="E3505" s="2">
        <f t="shared" si="109"/>
        <v>2</v>
      </c>
      <c r="F3505">
        <v>162.25360000000001</v>
      </c>
      <c r="G3505">
        <v>163.5763</v>
      </c>
      <c r="H3505">
        <v>161.81270000000001</v>
      </c>
      <c r="I3505">
        <v>162.25360000000001</v>
      </c>
      <c r="J3505">
        <v>23419</v>
      </c>
      <c r="K3505">
        <v>0.27210000000000001</v>
      </c>
      <c r="L3505">
        <v>1.0899000000000001</v>
      </c>
    </row>
    <row r="3506" spans="1:12" x14ac:dyDescent="0.25">
      <c r="A3506">
        <v>2303</v>
      </c>
      <c r="B3506" t="s">
        <v>10</v>
      </c>
      <c r="C3506" s="1">
        <v>42776</v>
      </c>
      <c r="D3506" s="2">
        <f t="shared" si="108"/>
        <v>5</v>
      </c>
      <c r="E3506" s="2">
        <f t="shared" si="109"/>
        <v>2</v>
      </c>
      <c r="F3506">
        <v>10.273300000000001</v>
      </c>
      <c r="G3506">
        <v>10.3177</v>
      </c>
      <c r="H3506">
        <v>10.2288</v>
      </c>
      <c r="I3506">
        <v>10.3177</v>
      </c>
      <c r="J3506">
        <v>31536</v>
      </c>
      <c r="K3506">
        <v>0.86580000000000001</v>
      </c>
      <c r="L3506">
        <v>0.86960000000000004</v>
      </c>
    </row>
    <row r="3507" spans="1:12" hidden="1" x14ac:dyDescent="0.25">
      <c r="A3507">
        <v>2330</v>
      </c>
      <c r="B3507" t="s">
        <v>11</v>
      </c>
      <c r="C3507" s="1">
        <v>42776</v>
      </c>
      <c r="D3507" s="2">
        <f t="shared" si="108"/>
        <v>5</v>
      </c>
      <c r="E3507" s="2">
        <f t="shared" si="109"/>
        <v>2</v>
      </c>
      <c r="F3507">
        <v>162.69450000000001</v>
      </c>
      <c r="G3507">
        <v>163.5763</v>
      </c>
      <c r="H3507">
        <v>162.25360000000001</v>
      </c>
      <c r="I3507">
        <v>163.5763</v>
      </c>
      <c r="J3507">
        <v>49257</v>
      </c>
      <c r="K3507">
        <v>0.81189999999999996</v>
      </c>
      <c r="L3507">
        <v>0.81520000000000004</v>
      </c>
    </row>
    <row r="3508" spans="1:12" x14ac:dyDescent="0.25">
      <c r="A3508">
        <v>2303</v>
      </c>
      <c r="B3508" t="s">
        <v>10</v>
      </c>
      <c r="C3508" s="1">
        <v>42779</v>
      </c>
      <c r="D3508" s="2">
        <f t="shared" si="108"/>
        <v>1</v>
      </c>
      <c r="E3508" s="2">
        <f t="shared" si="109"/>
        <v>2</v>
      </c>
      <c r="F3508">
        <v>10.3177</v>
      </c>
      <c r="G3508">
        <v>10.406700000000001</v>
      </c>
      <c r="H3508">
        <v>10.273300000000001</v>
      </c>
      <c r="I3508">
        <v>10.406700000000001</v>
      </c>
      <c r="J3508">
        <v>22519</v>
      </c>
      <c r="K3508">
        <v>0.85840000000000005</v>
      </c>
      <c r="L3508">
        <v>1.2987</v>
      </c>
    </row>
    <row r="3509" spans="1:12" hidden="1" x14ac:dyDescent="0.25">
      <c r="A3509">
        <v>2330</v>
      </c>
      <c r="B3509" t="s">
        <v>11</v>
      </c>
      <c r="C3509" s="1">
        <v>42779</v>
      </c>
      <c r="D3509" s="2">
        <f t="shared" si="108"/>
        <v>1</v>
      </c>
      <c r="E3509" s="2">
        <f t="shared" si="109"/>
        <v>2</v>
      </c>
      <c r="F3509">
        <v>164.4581</v>
      </c>
      <c r="G3509">
        <v>165.7808</v>
      </c>
      <c r="H3509">
        <v>164.4581</v>
      </c>
      <c r="I3509">
        <v>165.3399</v>
      </c>
      <c r="J3509">
        <v>26155</v>
      </c>
      <c r="K3509">
        <v>1.0724</v>
      </c>
      <c r="L3509">
        <v>0.80430000000000001</v>
      </c>
    </row>
    <row r="3510" spans="1:12" x14ac:dyDescent="0.25">
      <c r="A3510">
        <v>2303</v>
      </c>
      <c r="B3510" t="s">
        <v>10</v>
      </c>
      <c r="C3510" s="1">
        <v>42780</v>
      </c>
      <c r="D3510" s="2">
        <f t="shared" si="108"/>
        <v>2</v>
      </c>
      <c r="E3510" s="2">
        <f t="shared" si="109"/>
        <v>2</v>
      </c>
      <c r="F3510">
        <v>10.406700000000001</v>
      </c>
      <c r="G3510">
        <v>10.4511</v>
      </c>
      <c r="H3510">
        <v>10.3622</v>
      </c>
      <c r="I3510">
        <v>10.406700000000001</v>
      </c>
      <c r="J3510">
        <v>20660</v>
      </c>
      <c r="K3510">
        <v>0</v>
      </c>
      <c r="L3510">
        <v>0.85840000000000005</v>
      </c>
    </row>
    <row r="3511" spans="1:12" hidden="1" x14ac:dyDescent="0.25">
      <c r="A3511">
        <v>2330</v>
      </c>
      <c r="B3511" t="s">
        <v>11</v>
      </c>
      <c r="C3511" s="1">
        <v>42780</v>
      </c>
      <c r="D3511" s="2">
        <f t="shared" si="108"/>
        <v>2</v>
      </c>
      <c r="E3511" s="2">
        <f t="shared" si="109"/>
        <v>2</v>
      </c>
      <c r="F3511">
        <v>166.6627</v>
      </c>
      <c r="G3511">
        <v>167.5445</v>
      </c>
      <c r="H3511">
        <v>165.3399</v>
      </c>
      <c r="I3511">
        <v>165.3399</v>
      </c>
      <c r="J3511">
        <v>46716</v>
      </c>
      <c r="K3511">
        <v>0</v>
      </c>
      <c r="L3511">
        <v>1.3332999999999999</v>
      </c>
    </row>
    <row r="3512" spans="1:12" x14ac:dyDescent="0.25">
      <c r="A3512">
        <v>2303</v>
      </c>
      <c r="B3512" t="s">
        <v>10</v>
      </c>
      <c r="C3512" s="1">
        <v>42781</v>
      </c>
      <c r="D3512" s="2">
        <f t="shared" si="108"/>
        <v>3</v>
      </c>
      <c r="E3512" s="2">
        <f t="shared" si="109"/>
        <v>2</v>
      </c>
      <c r="F3512">
        <v>10.406700000000001</v>
      </c>
      <c r="G3512">
        <v>10.4511</v>
      </c>
      <c r="H3512">
        <v>10.3177</v>
      </c>
      <c r="I3512">
        <v>10.4511</v>
      </c>
      <c r="J3512">
        <v>29867</v>
      </c>
      <c r="K3512">
        <v>0.4264</v>
      </c>
      <c r="L3512">
        <v>1.2930999999999999</v>
      </c>
    </row>
    <row r="3513" spans="1:12" hidden="1" x14ac:dyDescent="0.25">
      <c r="A3513">
        <v>2330</v>
      </c>
      <c r="B3513" t="s">
        <v>11</v>
      </c>
      <c r="C3513" s="1">
        <v>42781</v>
      </c>
      <c r="D3513" s="2">
        <f t="shared" si="108"/>
        <v>3</v>
      </c>
      <c r="E3513" s="2">
        <f t="shared" si="109"/>
        <v>2</v>
      </c>
      <c r="F3513">
        <v>164.899</v>
      </c>
      <c r="G3513">
        <v>167.1036</v>
      </c>
      <c r="H3513">
        <v>164.4581</v>
      </c>
      <c r="I3513">
        <v>166.6627</v>
      </c>
      <c r="J3513">
        <v>39928</v>
      </c>
      <c r="K3513">
        <v>0.79679999999999995</v>
      </c>
      <c r="L3513">
        <v>1.6086</v>
      </c>
    </row>
    <row r="3514" spans="1:12" x14ac:dyDescent="0.25">
      <c r="A3514">
        <v>2303</v>
      </c>
      <c r="B3514" t="s">
        <v>10</v>
      </c>
      <c r="C3514" s="1">
        <v>42782</v>
      </c>
      <c r="D3514" s="2">
        <f t="shared" si="108"/>
        <v>4</v>
      </c>
      <c r="E3514" s="2">
        <f t="shared" si="109"/>
        <v>2</v>
      </c>
      <c r="F3514">
        <v>10.4956</v>
      </c>
      <c r="G3514">
        <v>10.5846</v>
      </c>
      <c r="H3514">
        <v>10.406700000000001</v>
      </c>
      <c r="I3514">
        <v>10.4956</v>
      </c>
      <c r="J3514">
        <v>43941</v>
      </c>
      <c r="K3514">
        <v>0.42459999999999998</v>
      </c>
      <c r="L3514">
        <v>1.7094</v>
      </c>
    </row>
    <row r="3515" spans="1:12" hidden="1" x14ac:dyDescent="0.25">
      <c r="A3515">
        <v>2330</v>
      </c>
      <c r="B3515" t="s">
        <v>11</v>
      </c>
      <c r="C3515" s="1">
        <v>42782</v>
      </c>
      <c r="D3515" s="2">
        <f t="shared" si="108"/>
        <v>4</v>
      </c>
      <c r="E3515" s="2">
        <f t="shared" si="109"/>
        <v>2</v>
      </c>
      <c r="F3515">
        <v>167.5445</v>
      </c>
      <c r="G3515">
        <v>167.9854</v>
      </c>
      <c r="H3515">
        <v>165.7808</v>
      </c>
      <c r="I3515">
        <v>166.6627</v>
      </c>
      <c r="J3515">
        <v>28371</v>
      </c>
      <c r="K3515">
        <v>0</v>
      </c>
      <c r="L3515">
        <v>1.3298000000000001</v>
      </c>
    </row>
    <row r="3516" spans="1:12" x14ac:dyDescent="0.25">
      <c r="A3516">
        <v>2303</v>
      </c>
      <c r="B3516" t="s">
        <v>10</v>
      </c>
      <c r="C3516" s="1">
        <v>42783</v>
      </c>
      <c r="D3516" s="2">
        <f t="shared" si="108"/>
        <v>5</v>
      </c>
      <c r="E3516" s="2">
        <f t="shared" si="109"/>
        <v>2</v>
      </c>
      <c r="F3516">
        <v>10.4956</v>
      </c>
      <c r="G3516">
        <v>10.4956</v>
      </c>
      <c r="H3516">
        <v>10.406700000000001</v>
      </c>
      <c r="I3516">
        <v>10.4511</v>
      </c>
      <c r="J3516">
        <v>14992</v>
      </c>
      <c r="K3516">
        <v>-0.42459999999999998</v>
      </c>
      <c r="L3516">
        <v>0.85470000000000002</v>
      </c>
    </row>
    <row r="3517" spans="1:12" hidden="1" x14ac:dyDescent="0.25">
      <c r="A3517">
        <v>2330</v>
      </c>
      <c r="B3517" t="s">
        <v>11</v>
      </c>
      <c r="C3517" s="1">
        <v>42783</v>
      </c>
      <c r="D3517" s="2">
        <f t="shared" si="108"/>
        <v>5</v>
      </c>
      <c r="E3517" s="2">
        <f t="shared" si="109"/>
        <v>2</v>
      </c>
      <c r="F3517">
        <v>167.5445</v>
      </c>
      <c r="G3517">
        <v>167.9854</v>
      </c>
      <c r="H3517">
        <v>166.6627</v>
      </c>
      <c r="I3517">
        <v>167.1036</v>
      </c>
      <c r="J3517">
        <v>20407</v>
      </c>
      <c r="K3517">
        <v>0.26419999999999999</v>
      </c>
      <c r="L3517">
        <v>0.79369999999999996</v>
      </c>
    </row>
    <row r="3518" spans="1:12" x14ac:dyDescent="0.25">
      <c r="A3518">
        <v>2303</v>
      </c>
      <c r="B3518" t="s">
        <v>10</v>
      </c>
      <c r="C3518" s="1">
        <v>42784</v>
      </c>
      <c r="D3518" s="2">
        <f t="shared" si="108"/>
        <v>6</v>
      </c>
      <c r="E3518" s="2">
        <f t="shared" si="109"/>
        <v>2</v>
      </c>
      <c r="F3518">
        <v>10.4511</v>
      </c>
      <c r="G3518">
        <v>10.4956</v>
      </c>
      <c r="H3518">
        <v>10.406700000000001</v>
      </c>
      <c r="I3518">
        <v>10.4511</v>
      </c>
      <c r="J3518">
        <v>5656</v>
      </c>
      <c r="K3518">
        <v>0</v>
      </c>
      <c r="L3518">
        <v>0.85470000000000002</v>
      </c>
    </row>
    <row r="3519" spans="1:12" hidden="1" x14ac:dyDescent="0.25">
      <c r="A3519">
        <v>2330</v>
      </c>
      <c r="B3519" t="s">
        <v>11</v>
      </c>
      <c r="C3519" s="1">
        <v>42784</v>
      </c>
      <c r="D3519" s="2">
        <f t="shared" si="108"/>
        <v>6</v>
      </c>
      <c r="E3519" s="2">
        <f t="shared" si="109"/>
        <v>2</v>
      </c>
      <c r="F3519">
        <v>167.5445</v>
      </c>
      <c r="G3519">
        <v>167.9854</v>
      </c>
      <c r="H3519">
        <v>167.1036</v>
      </c>
      <c r="I3519">
        <v>167.1036</v>
      </c>
      <c r="J3519">
        <v>3517</v>
      </c>
      <c r="K3519">
        <v>0</v>
      </c>
      <c r="L3519">
        <v>0.52769999999999995</v>
      </c>
    </row>
    <row r="3520" spans="1:12" x14ac:dyDescent="0.25">
      <c r="A3520">
        <v>2303</v>
      </c>
      <c r="B3520" t="s">
        <v>10</v>
      </c>
      <c r="C3520" s="1">
        <v>42786</v>
      </c>
      <c r="D3520" s="2">
        <f t="shared" si="108"/>
        <v>1</v>
      </c>
      <c r="E3520" s="2">
        <f t="shared" si="109"/>
        <v>2</v>
      </c>
      <c r="F3520">
        <v>10.4511</v>
      </c>
      <c r="G3520">
        <v>10.4956</v>
      </c>
      <c r="H3520">
        <v>10.406700000000001</v>
      </c>
      <c r="I3520">
        <v>10.4511</v>
      </c>
      <c r="J3520">
        <v>11660</v>
      </c>
      <c r="K3520">
        <v>0</v>
      </c>
      <c r="L3520">
        <v>0.85470000000000002</v>
      </c>
    </row>
    <row r="3521" spans="1:12" hidden="1" x14ac:dyDescent="0.25">
      <c r="A3521">
        <v>2330</v>
      </c>
      <c r="B3521" t="s">
        <v>11</v>
      </c>
      <c r="C3521" s="1">
        <v>42786</v>
      </c>
      <c r="D3521" s="2">
        <f t="shared" si="108"/>
        <v>1</v>
      </c>
      <c r="E3521" s="2">
        <f t="shared" si="109"/>
        <v>2</v>
      </c>
      <c r="F3521">
        <v>167.5445</v>
      </c>
      <c r="G3521">
        <v>167.9854</v>
      </c>
      <c r="H3521">
        <v>167.1036</v>
      </c>
      <c r="I3521">
        <v>167.5445</v>
      </c>
      <c r="J3521">
        <v>13280</v>
      </c>
      <c r="K3521">
        <v>0.26350000000000001</v>
      </c>
      <c r="L3521">
        <v>0.52769999999999995</v>
      </c>
    </row>
    <row r="3522" spans="1:12" x14ac:dyDescent="0.25">
      <c r="A3522">
        <v>2303</v>
      </c>
      <c r="B3522" t="s">
        <v>10</v>
      </c>
      <c r="C3522" s="1">
        <v>42787</v>
      </c>
      <c r="D3522" s="2">
        <f t="shared" si="108"/>
        <v>2</v>
      </c>
      <c r="E3522" s="2">
        <f t="shared" si="109"/>
        <v>2</v>
      </c>
      <c r="F3522">
        <v>10.4511</v>
      </c>
      <c r="G3522">
        <v>10.4511</v>
      </c>
      <c r="H3522">
        <v>10.406700000000001</v>
      </c>
      <c r="I3522">
        <v>10.4511</v>
      </c>
      <c r="J3522">
        <v>9529</v>
      </c>
      <c r="K3522">
        <v>0</v>
      </c>
      <c r="L3522">
        <v>0.4274</v>
      </c>
    </row>
    <row r="3523" spans="1:12" hidden="1" x14ac:dyDescent="0.25">
      <c r="A3523">
        <v>2330</v>
      </c>
      <c r="B3523" t="s">
        <v>11</v>
      </c>
      <c r="C3523" s="1">
        <v>42787</v>
      </c>
      <c r="D3523" s="2">
        <f t="shared" ref="D3523:D3586" si="110">WEEKDAY(C3523,2)</f>
        <v>2</v>
      </c>
      <c r="E3523" s="2">
        <f t="shared" ref="E3523:E3586" si="111">MONTH(C3523)</f>
        <v>2</v>
      </c>
      <c r="F3523">
        <v>167.5445</v>
      </c>
      <c r="G3523">
        <v>167.5445</v>
      </c>
      <c r="H3523">
        <v>166.2218</v>
      </c>
      <c r="I3523">
        <v>167.5445</v>
      </c>
      <c r="J3523">
        <v>31987</v>
      </c>
      <c r="K3523">
        <v>0</v>
      </c>
      <c r="L3523">
        <v>0.79579999999999995</v>
      </c>
    </row>
    <row r="3524" spans="1:12" x14ac:dyDescent="0.25">
      <c r="A3524">
        <v>2303</v>
      </c>
      <c r="B3524" t="s">
        <v>10</v>
      </c>
      <c r="C3524" s="1">
        <v>42788</v>
      </c>
      <c r="D3524" s="2">
        <f t="shared" si="110"/>
        <v>3</v>
      </c>
      <c r="E3524" s="2">
        <f t="shared" si="111"/>
        <v>2</v>
      </c>
      <c r="F3524">
        <v>10.4511</v>
      </c>
      <c r="G3524">
        <v>10.4956</v>
      </c>
      <c r="H3524">
        <v>10.273300000000001</v>
      </c>
      <c r="I3524">
        <v>10.273300000000001</v>
      </c>
      <c r="J3524">
        <v>32022</v>
      </c>
      <c r="K3524">
        <v>-1.7168000000000001</v>
      </c>
      <c r="L3524">
        <v>2.1644999999999999</v>
      </c>
    </row>
    <row r="3525" spans="1:12" hidden="1" x14ac:dyDescent="0.25">
      <c r="A3525">
        <v>2330</v>
      </c>
      <c r="B3525" t="s">
        <v>11</v>
      </c>
      <c r="C3525" s="1">
        <v>42788</v>
      </c>
      <c r="D3525" s="2">
        <f t="shared" si="110"/>
        <v>3</v>
      </c>
      <c r="E3525" s="2">
        <f t="shared" si="111"/>
        <v>2</v>
      </c>
      <c r="F3525">
        <v>167.9854</v>
      </c>
      <c r="G3525">
        <v>168.4263</v>
      </c>
      <c r="H3525">
        <v>166.2218</v>
      </c>
      <c r="I3525">
        <v>166.2218</v>
      </c>
      <c r="J3525">
        <v>26144</v>
      </c>
      <c r="K3525">
        <v>-0.79259999999999997</v>
      </c>
      <c r="L3525">
        <v>1.3263</v>
      </c>
    </row>
    <row r="3526" spans="1:12" x14ac:dyDescent="0.25">
      <c r="A3526">
        <v>2303</v>
      </c>
      <c r="B3526" t="s">
        <v>10</v>
      </c>
      <c r="C3526" s="1">
        <v>42789</v>
      </c>
      <c r="D3526" s="2">
        <f t="shared" si="110"/>
        <v>4</v>
      </c>
      <c r="E3526" s="2">
        <f t="shared" si="111"/>
        <v>2</v>
      </c>
      <c r="F3526">
        <v>10.3622</v>
      </c>
      <c r="G3526">
        <v>10.4956</v>
      </c>
      <c r="H3526">
        <v>10.3622</v>
      </c>
      <c r="I3526">
        <v>10.4511</v>
      </c>
      <c r="J3526">
        <v>22240</v>
      </c>
      <c r="K3526">
        <v>1.7168000000000001</v>
      </c>
      <c r="L3526">
        <v>1.2876000000000001</v>
      </c>
    </row>
    <row r="3527" spans="1:12" hidden="1" x14ac:dyDescent="0.25">
      <c r="A3527">
        <v>2330</v>
      </c>
      <c r="B3527" t="s">
        <v>11</v>
      </c>
      <c r="C3527" s="1">
        <v>42789</v>
      </c>
      <c r="D3527" s="2">
        <f t="shared" si="110"/>
        <v>4</v>
      </c>
      <c r="E3527" s="2">
        <f t="shared" si="111"/>
        <v>2</v>
      </c>
      <c r="F3527">
        <v>165.7808</v>
      </c>
      <c r="G3527">
        <v>167.1036</v>
      </c>
      <c r="H3527">
        <v>164.899</v>
      </c>
      <c r="I3527">
        <v>166.2218</v>
      </c>
      <c r="J3527">
        <v>36095</v>
      </c>
      <c r="K3527">
        <v>0</v>
      </c>
      <c r="L3527">
        <v>1.3369</v>
      </c>
    </row>
    <row r="3528" spans="1:12" x14ac:dyDescent="0.25">
      <c r="A3528">
        <v>2303</v>
      </c>
      <c r="B3528" t="s">
        <v>10</v>
      </c>
      <c r="C3528" s="1">
        <v>42790</v>
      </c>
      <c r="D3528" s="2">
        <f t="shared" si="110"/>
        <v>5</v>
      </c>
      <c r="E3528" s="2">
        <f t="shared" si="111"/>
        <v>2</v>
      </c>
      <c r="F3528">
        <v>10.540100000000001</v>
      </c>
      <c r="G3528">
        <v>11.429500000000001</v>
      </c>
      <c r="H3528">
        <v>10.4956</v>
      </c>
      <c r="I3528">
        <v>11.3406</v>
      </c>
      <c r="J3528">
        <v>318123</v>
      </c>
      <c r="K3528">
        <v>8.1677999999999997</v>
      </c>
      <c r="L3528">
        <v>8.8983000000000008</v>
      </c>
    </row>
    <row r="3529" spans="1:12" hidden="1" x14ac:dyDescent="0.25">
      <c r="A3529">
        <v>2330</v>
      </c>
      <c r="B3529" t="s">
        <v>11</v>
      </c>
      <c r="C3529" s="1">
        <v>42790</v>
      </c>
      <c r="D3529" s="2">
        <f t="shared" si="110"/>
        <v>5</v>
      </c>
      <c r="E3529" s="2">
        <f t="shared" si="111"/>
        <v>2</v>
      </c>
      <c r="F3529">
        <v>165.3399</v>
      </c>
      <c r="G3529">
        <v>167.9854</v>
      </c>
      <c r="H3529">
        <v>165.3399</v>
      </c>
      <c r="I3529">
        <v>166.6627</v>
      </c>
      <c r="J3529">
        <v>26177</v>
      </c>
      <c r="K3529">
        <v>0.26490000000000002</v>
      </c>
      <c r="L3529">
        <v>1.6</v>
      </c>
    </row>
    <row r="3530" spans="1:12" x14ac:dyDescent="0.25">
      <c r="A3530">
        <v>2303</v>
      </c>
      <c r="B3530" t="s">
        <v>10</v>
      </c>
      <c r="C3530" s="1">
        <v>42795</v>
      </c>
      <c r="D3530" s="2">
        <f t="shared" si="110"/>
        <v>3</v>
      </c>
      <c r="E3530" s="2">
        <f t="shared" si="111"/>
        <v>3</v>
      </c>
      <c r="F3530">
        <v>11.3406</v>
      </c>
      <c r="G3530">
        <v>11.429500000000001</v>
      </c>
      <c r="H3530">
        <v>11.029299999999999</v>
      </c>
      <c r="I3530">
        <v>11.029299999999999</v>
      </c>
      <c r="J3530">
        <v>154601</v>
      </c>
      <c r="K3530">
        <v>-2.7835000000000001</v>
      </c>
      <c r="L3530">
        <v>3.629</v>
      </c>
    </row>
    <row r="3531" spans="1:12" hidden="1" x14ac:dyDescent="0.25">
      <c r="A3531">
        <v>2330</v>
      </c>
      <c r="B3531" t="s">
        <v>11</v>
      </c>
      <c r="C3531" s="1">
        <v>42795</v>
      </c>
      <c r="D3531" s="2">
        <f t="shared" si="110"/>
        <v>3</v>
      </c>
      <c r="E3531" s="2">
        <f t="shared" si="111"/>
        <v>3</v>
      </c>
      <c r="F3531">
        <v>166.2218</v>
      </c>
      <c r="G3531">
        <v>166.2218</v>
      </c>
      <c r="H3531">
        <v>164.0172</v>
      </c>
      <c r="I3531">
        <v>164.0172</v>
      </c>
      <c r="J3531">
        <v>48263</v>
      </c>
      <c r="K3531">
        <v>-1.6</v>
      </c>
      <c r="L3531">
        <v>1.3441000000000001</v>
      </c>
    </row>
    <row r="3532" spans="1:12" x14ac:dyDescent="0.25">
      <c r="A3532">
        <v>2303</v>
      </c>
      <c r="B3532" t="s">
        <v>10</v>
      </c>
      <c r="C3532" s="1">
        <v>42796</v>
      </c>
      <c r="D3532" s="2">
        <f t="shared" si="110"/>
        <v>4</v>
      </c>
      <c r="E3532" s="2">
        <f t="shared" si="111"/>
        <v>3</v>
      </c>
      <c r="F3532">
        <v>11.2072</v>
      </c>
      <c r="G3532">
        <v>11.2517</v>
      </c>
      <c r="H3532">
        <v>10.895899999999999</v>
      </c>
      <c r="I3532">
        <v>10.940300000000001</v>
      </c>
      <c r="J3532">
        <v>67103</v>
      </c>
      <c r="K3532">
        <v>-0.80969999999999998</v>
      </c>
      <c r="L3532">
        <v>3.2652999999999999</v>
      </c>
    </row>
    <row r="3533" spans="1:12" hidden="1" x14ac:dyDescent="0.25">
      <c r="A3533">
        <v>2330</v>
      </c>
      <c r="B3533" t="s">
        <v>11</v>
      </c>
      <c r="C3533" s="1">
        <v>42796</v>
      </c>
      <c r="D3533" s="2">
        <f t="shared" si="110"/>
        <v>4</v>
      </c>
      <c r="E3533" s="2">
        <f t="shared" si="111"/>
        <v>3</v>
      </c>
      <c r="F3533">
        <v>165.7808</v>
      </c>
      <c r="G3533">
        <v>166.2218</v>
      </c>
      <c r="H3533">
        <v>163.1354</v>
      </c>
      <c r="I3533">
        <v>164.0172</v>
      </c>
      <c r="J3533">
        <v>40879</v>
      </c>
      <c r="K3533">
        <v>0</v>
      </c>
      <c r="L3533">
        <v>1.8918999999999999</v>
      </c>
    </row>
    <row r="3534" spans="1:12" x14ac:dyDescent="0.25">
      <c r="A3534">
        <v>2303</v>
      </c>
      <c r="B3534" t="s">
        <v>10</v>
      </c>
      <c r="C3534" s="1">
        <v>42797</v>
      </c>
      <c r="D3534" s="2">
        <f t="shared" si="110"/>
        <v>5</v>
      </c>
      <c r="E3534" s="2">
        <f t="shared" si="111"/>
        <v>3</v>
      </c>
      <c r="F3534">
        <v>10.940300000000001</v>
      </c>
      <c r="G3534">
        <v>11.029299999999999</v>
      </c>
      <c r="H3534">
        <v>10.806900000000001</v>
      </c>
      <c r="I3534">
        <v>10.806900000000001</v>
      </c>
      <c r="J3534">
        <v>51288</v>
      </c>
      <c r="K3534">
        <v>-1.2270000000000001</v>
      </c>
      <c r="L3534">
        <v>2.0575999999999999</v>
      </c>
    </row>
    <row r="3535" spans="1:12" hidden="1" x14ac:dyDescent="0.25">
      <c r="A3535">
        <v>2330</v>
      </c>
      <c r="B3535" t="s">
        <v>11</v>
      </c>
      <c r="C3535" s="1">
        <v>42797</v>
      </c>
      <c r="D3535" s="2">
        <f t="shared" si="110"/>
        <v>5</v>
      </c>
      <c r="E3535" s="2">
        <f t="shared" si="111"/>
        <v>3</v>
      </c>
      <c r="F3535">
        <v>162.69450000000001</v>
      </c>
      <c r="G3535">
        <v>163.1354</v>
      </c>
      <c r="H3535">
        <v>162.25360000000001</v>
      </c>
      <c r="I3535">
        <v>162.25360000000001</v>
      </c>
      <c r="J3535">
        <v>28213</v>
      </c>
      <c r="K3535">
        <v>-1.0810999999999999</v>
      </c>
      <c r="L3535">
        <v>0.54349999999999998</v>
      </c>
    </row>
    <row r="3536" spans="1:12" x14ac:dyDescent="0.25">
      <c r="A3536">
        <v>2303</v>
      </c>
      <c r="B3536" t="s">
        <v>10</v>
      </c>
      <c r="C3536" s="1">
        <v>42800</v>
      </c>
      <c r="D3536" s="2">
        <f t="shared" si="110"/>
        <v>1</v>
      </c>
      <c r="E3536" s="2">
        <f t="shared" si="111"/>
        <v>3</v>
      </c>
      <c r="F3536">
        <v>10.806900000000001</v>
      </c>
      <c r="G3536">
        <v>10.8514</v>
      </c>
      <c r="H3536">
        <v>10.762499999999999</v>
      </c>
      <c r="I3536">
        <v>10.762499999999999</v>
      </c>
      <c r="J3536">
        <v>32723</v>
      </c>
      <c r="K3536">
        <v>-0.41239999999999999</v>
      </c>
      <c r="L3536">
        <v>0.82640000000000002</v>
      </c>
    </row>
    <row r="3537" spans="1:12" hidden="1" x14ac:dyDescent="0.25">
      <c r="A3537">
        <v>2330</v>
      </c>
      <c r="B3537" t="s">
        <v>11</v>
      </c>
      <c r="C3537" s="1">
        <v>42800</v>
      </c>
      <c r="D3537" s="2">
        <f t="shared" si="110"/>
        <v>1</v>
      </c>
      <c r="E3537" s="2">
        <f t="shared" si="111"/>
        <v>3</v>
      </c>
      <c r="F3537">
        <v>162.25360000000001</v>
      </c>
      <c r="G3537">
        <v>162.69450000000001</v>
      </c>
      <c r="H3537">
        <v>161.81270000000001</v>
      </c>
      <c r="I3537">
        <v>161.81270000000001</v>
      </c>
      <c r="J3537">
        <v>12633</v>
      </c>
      <c r="K3537">
        <v>-0.27210000000000001</v>
      </c>
      <c r="L3537">
        <v>0.54500000000000004</v>
      </c>
    </row>
    <row r="3538" spans="1:12" x14ac:dyDescent="0.25">
      <c r="A3538">
        <v>2303</v>
      </c>
      <c r="B3538" t="s">
        <v>10</v>
      </c>
      <c r="C3538" s="1">
        <v>42801</v>
      </c>
      <c r="D3538" s="2">
        <f t="shared" si="110"/>
        <v>2</v>
      </c>
      <c r="E3538" s="2">
        <f t="shared" si="111"/>
        <v>3</v>
      </c>
      <c r="F3538">
        <v>10.806900000000001</v>
      </c>
      <c r="G3538">
        <v>11.2517</v>
      </c>
      <c r="H3538">
        <v>10.806900000000001</v>
      </c>
      <c r="I3538">
        <v>11.0738</v>
      </c>
      <c r="J3538">
        <v>88804</v>
      </c>
      <c r="K3538">
        <v>2.8515000000000001</v>
      </c>
      <c r="L3538">
        <v>4.1151999999999997</v>
      </c>
    </row>
    <row r="3539" spans="1:12" hidden="1" x14ac:dyDescent="0.25">
      <c r="A3539">
        <v>2330</v>
      </c>
      <c r="B3539" t="s">
        <v>11</v>
      </c>
      <c r="C3539" s="1">
        <v>42801</v>
      </c>
      <c r="D3539" s="2">
        <f t="shared" si="110"/>
        <v>2</v>
      </c>
      <c r="E3539" s="2">
        <f t="shared" si="111"/>
        <v>3</v>
      </c>
      <c r="F3539">
        <v>162.25360000000001</v>
      </c>
      <c r="G3539">
        <v>163.5763</v>
      </c>
      <c r="H3539">
        <v>162.25360000000001</v>
      </c>
      <c r="I3539">
        <v>163.5763</v>
      </c>
      <c r="J3539">
        <v>22816</v>
      </c>
      <c r="K3539">
        <v>1.0840000000000001</v>
      </c>
      <c r="L3539">
        <v>0.81520000000000004</v>
      </c>
    </row>
    <row r="3540" spans="1:12" x14ac:dyDescent="0.25">
      <c r="A3540">
        <v>2303</v>
      </c>
      <c r="B3540" t="s">
        <v>10</v>
      </c>
      <c r="C3540" s="1">
        <v>42802</v>
      </c>
      <c r="D3540" s="2">
        <f t="shared" si="110"/>
        <v>3</v>
      </c>
      <c r="E3540" s="2">
        <f t="shared" si="111"/>
        <v>3</v>
      </c>
      <c r="F3540">
        <v>11.029299999999999</v>
      </c>
      <c r="G3540">
        <v>11.0738</v>
      </c>
      <c r="H3540">
        <v>10.895899999999999</v>
      </c>
      <c r="I3540">
        <v>10.895899999999999</v>
      </c>
      <c r="J3540">
        <v>31666</v>
      </c>
      <c r="K3540">
        <v>-1.6194999999999999</v>
      </c>
      <c r="L3540">
        <v>1.6327</v>
      </c>
    </row>
    <row r="3541" spans="1:12" hidden="1" x14ac:dyDescent="0.25">
      <c r="A3541">
        <v>2330</v>
      </c>
      <c r="B3541" t="s">
        <v>11</v>
      </c>
      <c r="C3541" s="1">
        <v>42802</v>
      </c>
      <c r="D3541" s="2">
        <f t="shared" si="110"/>
        <v>3</v>
      </c>
      <c r="E3541" s="2">
        <f t="shared" si="111"/>
        <v>3</v>
      </c>
      <c r="F3541">
        <v>164.0172</v>
      </c>
      <c r="G3541">
        <v>165.7808</v>
      </c>
      <c r="H3541">
        <v>163.5763</v>
      </c>
      <c r="I3541">
        <v>164.899</v>
      </c>
      <c r="J3541">
        <v>38657</v>
      </c>
      <c r="K3541">
        <v>0.8054</v>
      </c>
      <c r="L3541">
        <v>1.3476999999999999</v>
      </c>
    </row>
    <row r="3542" spans="1:12" x14ac:dyDescent="0.25">
      <c r="A3542">
        <v>2303</v>
      </c>
      <c r="B3542" t="s">
        <v>10</v>
      </c>
      <c r="C3542" s="1">
        <v>42803</v>
      </c>
      <c r="D3542" s="2">
        <f t="shared" si="110"/>
        <v>4</v>
      </c>
      <c r="E3542" s="2">
        <f t="shared" si="111"/>
        <v>3</v>
      </c>
      <c r="F3542">
        <v>10.895899999999999</v>
      </c>
      <c r="G3542">
        <v>10.940300000000001</v>
      </c>
      <c r="H3542">
        <v>10.762499999999999</v>
      </c>
      <c r="I3542">
        <v>10.762499999999999</v>
      </c>
      <c r="J3542">
        <v>44677</v>
      </c>
      <c r="K3542">
        <v>-1.232</v>
      </c>
      <c r="L3542">
        <v>1.6529</v>
      </c>
    </row>
    <row r="3543" spans="1:12" hidden="1" x14ac:dyDescent="0.25">
      <c r="A3543">
        <v>2330</v>
      </c>
      <c r="B3543" t="s">
        <v>11</v>
      </c>
      <c r="C3543" s="1">
        <v>42803</v>
      </c>
      <c r="D3543" s="2">
        <f t="shared" si="110"/>
        <v>4</v>
      </c>
      <c r="E3543" s="2">
        <f t="shared" si="111"/>
        <v>3</v>
      </c>
      <c r="F3543">
        <v>163.5763</v>
      </c>
      <c r="G3543">
        <v>164.0172</v>
      </c>
      <c r="H3543">
        <v>162.25360000000001</v>
      </c>
      <c r="I3543">
        <v>162.69450000000001</v>
      </c>
      <c r="J3543">
        <v>31119</v>
      </c>
      <c r="K3543">
        <v>-1.3459000000000001</v>
      </c>
      <c r="L3543">
        <v>1.087</v>
      </c>
    </row>
    <row r="3544" spans="1:12" x14ac:dyDescent="0.25">
      <c r="A3544">
        <v>2303</v>
      </c>
      <c r="B3544" t="s">
        <v>10</v>
      </c>
      <c r="C3544" s="1">
        <v>42804</v>
      </c>
      <c r="D3544" s="2">
        <f t="shared" si="110"/>
        <v>5</v>
      </c>
      <c r="E3544" s="2">
        <f t="shared" si="111"/>
        <v>3</v>
      </c>
      <c r="F3544">
        <v>10.806900000000001</v>
      </c>
      <c r="G3544">
        <v>10.8514</v>
      </c>
      <c r="H3544">
        <v>10.718</v>
      </c>
      <c r="I3544">
        <v>10.762499999999999</v>
      </c>
      <c r="J3544">
        <v>24266</v>
      </c>
      <c r="K3544">
        <v>0</v>
      </c>
      <c r="L3544">
        <v>1.2447999999999999</v>
      </c>
    </row>
    <row r="3545" spans="1:12" hidden="1" x14ac:dyDescent="0.25">
      <c r="A3545">
        <v>2330</v>
      </c>
      <c r="B3545" t="s">
        <v>11</v>
      </c>
      <c r="C3545" s="1">
        <v>42804</v>
      </c>
      <c r="D3545" s="2">
        <f t="shared" si="110"/>
        <v>5</v>
      </c>
      <c r="E3545" s="2">
        <f t="shared" si="111"/>
        <v>3</v>
      </c>
      <c r="F3545">
        <v>162.25360000000001</v>
      </c>
      <c r="G3545">
        <v>162.69450000000001</v>
      </c>
      <c r="H3545">
        <v>161.37180000000001</v>
      </c>
      <c r="I3545">
        <v>161.81270000000001</v>
      </c>
      <c r="J3545">
        <v>24886</v>
      </c>
      <c r="K3545">
        <v>-0.54349999999999998</v>
      </c>
      <c r="L3545">
        <v>0.81969999999999998</v>
      </c>
    </row>
    <row r="3546" spans="1:12" x14ac:dyDescent="0.25">
      <c r="A3546">
        <v>2303</v>
      </c>
      <c r="B3546" t="s">
        <v>10</v>
      </c>
      <c r="C3546" s="1">
        <v>42807</v>
      </c>
      <c r="D3546" s="2">
        <f t="shared" si="110"/>
        <v>1</v>
      </c>
      <c r="E3546" s="2">
        <f t="shared" si="111"/>
        <v>3</v>
      </c>
      <c r="F3546">
        <v>10.8514</v>
      </c>
      <c r="G3546">
        <v>10.895899999999999</v>
      </c>
      <c r="H3546">
        <v>10.762499999999999</v>
      </c>
      <c r="I3546">
        <v>10.8514</v>
      </c>
      <c r="J3546">
        <v>12214</v>
      </c>
      <c r="K3546">
        <v>0.82299999999999995</v>
      </c>
      <c r="L3546">
        <v>1.2397</v>
      </c>
    </row>
    <row r="3547" spans="1:12" hidden="1" x14ac:dyDescent="0.25">
      <c r="A3547">
        <v>2330</v>
      </c>
      <c r="B3547" t="s">
        <v>11</v>
      </c>
      <c r="C3547" s="1">
        <v>42807</v>
      </c>
      <c r="D3547" s="2">
        <f t="shared" si="110"/>
        <v>1</v>
      </c>
      <c r="E3547" s="2">
        <f t="shared" si="111"/>
        <v>3</v>
      </c>
      <c r="F3547">
        <v>163.1354</v>
      </c>
      <c r="G3547">
        <v>164.4581</v>
      </c>
      <c r="H3547">
        <v>163.1354</v>
      </c>
      <c r="I3547">
        <v>164.4581</v>
      </c>
      <c r="J3547">
        <v>11025</v>
      </c>
      <c r="K3547">
        <v>1.6216999999999999</v>
      </c>
      <c r="L3547">
        <v>0.81079999999999997</v>
      </c>
    </row>
    <row r="3548" spans="1:12" x14ac:dyDescent="0.25">
      <c r="A3548">
        <v>2303</v>
      </c>
      <c r="B3548" t="s">
        <v>10</v>
      </c>
      <c r="C3548" s="1">
        <v>42808</v>
      </c>
      <c r="D3548" s="2">
        <f t="shared" si="110"/>
        <v>2</v>
      </c>
      <c r="E3548" s="2">
        <f t="shared" si="111"/>
        <v>3</v>
      </c>
      <c r="F3548">
        <v>10.8514</v>
      </c>
      <c r="G3548">
        <v>10.895899999999999</v>
      </c>
      <c r="H3548">
        <v>10.762499999999999</v>
      </c>
      <c r="I3548">
        <v>10.8514</v>
      </c>
      <c r="J3548">
        <v>19702</v>
      </c>
      <c r="K3548">
        <v>0</v>
      </c>
      <c r="L3548">
        <v>1.2397</v>
      </c>
    </row>
    <row r="3549" spans="1:12" hidden="1" x14ac:dyDescent="0.25">
      <c r="A3549">
        <v>2330</v>
      </c>
      <c r="B3549" t="s">
        <v>11</v>
      </c>
      <c r="C3549" s="1">
        <v>42808</v>
      </c>
      <c r="D3549" s="2">
        <f t="shared" si="110"/>
        <v>2</v>
      </c>
      <c r="E3549" s="2">
        <f t="shared" si="111"/>
        <v>3</v>
      </c>
      <c r="F3549">
        <v>165.7808</v>
      </c>
      <c r="G3549">
        <v>165.7808</v>
      </c>
      <c r="H3549">
        <v>164.0172</v>
      </c>
      <c r="I3549">
        <v>164.0172</v>
      </c>
      <c r="J3549">
        <v>24373</v>
      </c>
      <c r="K3549">
        <v>-0.26850000000000002</v>
      </c>
      <c r="L3549">
        <v>1.0752999999999999</v>
      </c>
    </row>
    <row r="3550" spans="1:12" x14ac:dyDescent="0.25">
      <c r="A3550">
        <v>2303</v>
      </c>
      <c r="B3550" t="s">
        <v>10</v>
      </c>
      <c r="C3550" s="1">
        <v>42809</v>
      </c>
      <c r="D3550" s="2">
        <f t="shared" si="110"/>
        <v>3</v>
      </c>
      <c r="E3550" s="2">
        <f t="shared" si="111"/>
        <v>3</v>
      </c>
      <c r="F3550">
        <v>10.8514</v>
      </c>
      <c r="G3550">
        <v>10.940300000000001</v>
      </c>
      <c r="H3550">
        <v>10.806900000000001</v>
      </c>
      <c r="I3550">
        <v>10.895899999999999</v>
      </c>
      <c r="J3550">
        <v>21710</v>
      </c>
      <c r="K3550">
        <v>0.40899999999999997</v>
      </c>
      <c r="L3550">
        <v>1.2345999999999999</v>
      </c>
    </row>
    <row r="3551" spans="1:12" hidden="1" x14ac:dyDescent="0.25">
      <c r="A3551">
        <v>2330</v>
      </c>
      <c r="B3551" t="s">
        <v>11</v>
      </c>
      <c r="C3551" s="1">
        <v>42809</v>
      </c>
      <c r="D3551" s="2">
        <f t="shared" si="110"/>
        <v>3</v>
      </c>
      <c r="E3551" s="2">
        <f t="shared" si="111"/>
        <v>3</v>
      </c>
      <c r="F3551">
        <v>163.5763</v>
      </c>
      <c r="G3551">
        <v>164.899</v>
      </c>
      <c r="H3551">
        <v>163.5763</v>
      </c>
      <c r="I3551">
        <v>164.4581</v>
      </c>
      <c r="J3551">
        <v>14147</v>
      </c>
      <c r="K3551">
        <v>0.26850000000000002</v>
      </c>
      <c r="L3551">
        <v>0.80859999999999999</v>
      </c>
    </row>
    <row r="3552" spans="1:12" x14ac:dyDescent="0.25">
      <c r="A3552">
        <v>2303</v>
      </c>
      <c r="B3552" t="s">
        <v>10</v>
      </c>
      <c r="C3552" s="1">
        <v>42810</v>
      </c>
      <c r="D3552" s="2">
        <f t="shared" si="110"/>
        <v>4</v>
      </c>
      <c r="E3552" s="2">
        <f t="shared" si="111"/>
        <v>3</v>
      </c>
      <c r="F3552">
        <v>10.9848</v>
      </c>
      <c r="G3552">
        <v>11.0738</v>
      </c>
      <c r="H3552">
        <v>10.940300000000001</v>
      </c>
      <c r="I3552">
        <v>11.029299999999999</v>
      </c>
      <c r="J3552">
        <v>49115</v>
      </c>
      <c r="K3552">
        <v>1.2171000000000001</v>
      </c>
      <c r="L3552">
        <v>1.2195</v>
      </c>
    </row>
    <row r="3553" spans="1:12" hidden="1" x14ac:dyDescent="0.25">
      <c r="A3553">
        <v>2330</v>
      </c>
      <c r="B3553" t="s">
        <v>11</v>
      </c>
      <c r="C3553" s="1">
        <v>42810</v>
      </c>
      <c r="D3553" s="2">
        <f t="shared" si="110"/>
        <v>4</v>
      </c>
      <c r="E3553" s="2">
        <f t="shared" si="111"/>
        <v>3</v>
      </c>
      <c r="F3553">
        <v>165.7808</v>
      </c>
      <c r="G3553">
        <v>167.5445</v>
      </c>
      <c r="H3553">
        <v>165.7808</v>
      </c>
      <c r="I3553">
        <v>167.5445</v>
      </c>
      <c r="J3553">
        <v>32452</v>
      </c>
      <c r="K3553">
        <v>1.8593</v>
      </c>
      <c r="L3553">
        <v>1.0638000000000001</v>
      </c>
    </row>
    <row r="3554" spans="1:12" x14ac:dyDescent="0.25">
      <c r="A3554">
        <v>2303</v>
      </c>
      <c r="B3554" t="s">
        <v>10</v>
      </c>
      <c r="C3554" s="1">
        <v>42811</v>
      </c>
      <c r="D3554" s="2">
        <f t="shared" si="110"/>
        <v>5</v>
      </c>
      <c r="E3554" s="2">
        <f t="shared" si="111"/>
        <v>3</v>
      </c>
      <c r="F3554">
        <v>11.029299999999999</v>
      </c>
      <c r="G3554">
        <v>11.0738</v>
      </c>
      <c r="H3554">
        <v>10.940300000000001</v>
      </c>
      <c r="I3554">
        <v>11.029299999999999</v>
      </c>
      <c r="J3554">
        <v>33157</v>
      </c>
      <c r="K3554">
        <v>0</v>
      </c>
      <c r="L3554">
        <v>1.2195</v>
      </c>
    </row>
    <row r="3555" spans="1:12" hidden="1" x14ac:dyDescent="0.25">
      <c r="A3555">
        <v>2330</v>
      </c>
      <c r="B3555" t="s">
        <v>11</v>
      </c>
      <c r="C3555" s="1">
        <v>42811</v>
      </c>
      <c r="D3555" s="2">
        <f t="shared" si="110"/>
        <v>5</v>
      </c>
      <c r="E3555" s="2">
        <f t="shared" si="111"/>
        <v>3</v>
      </c>
      <c r="F3555">
        <v>167.1036</v>
      </c>
      <c r="G3555">
        <v>168.8672</v>
      </c>
      <c r="H3555">
        <v>166.6627</v>
      </c>
      <c r="I3555">
        <v>168.8672</v>
      </c>
      <c r="J3555">
        <v>38698</v>
      </c>
      <c r="K3555">
        <v>0.78639999999999999</v>
      </c>
      <c r="L3555">
        <v>1.3228</v>
      </c>
    </row>
    <row r="3556" spans="1:12" x14ac:dyDescent="0.25">
      <c r="A3556">
        <v>2303</v>
      </c>
      <c r="B3556" t="s">
        <v>10</v>
      </c>
      <c r="C3556" s="1">
        <v>42814</v>
      </c>
      <c r="D3556" s="2">
        <f t="shared" si="110"/>
        <v>1</v>
      </c>
      <c r="E3556" s="2">
        <f t="shared" si="111"/>
        <v>3</v>
      </c>
      <c r="F3556">
        <v>10.9848</v>
      </c>
      <c r="G3556">
        <v>10.9848</v>
      </c>
      <c r="H3556">
        <v>10.895899999999999</v>
      </c>
      <c r="I3556">
        <v>10.940300000000001</v>
      </c>
      <c r="J3556">
        <v>17498</v>
      </c>
      <c r="K3556">
        <v>-0.80969999999999998</v>
      </c>
      <c r="L3556">
        <v>0.81630000000000003</v>
      </c>
    </row>
    <row r="3557" spans="1:12" hidden="1" x14ac:dyDescent="0.25">
      <c r="A3557">
        <v>2330</v>
      </c>
      <c r="B3557" t="s">
        <v>11</v>
      </c>
      <c r="C3557" s="1">
        <v>42814</v>
      </c>
      <c r="D3557" s="2">
        <f t="shared" si="110"/>
        <v>1</v>
      </c>
      <c r="E3557" s="2">
        <f t="shared" si="111"/>
        <v>3</v>
      </c>
      <c r="F3557">
        <v>168.8672</v>
      </c>
      <c r="G3557">
        <v>168.8672</v>
      </c>
      <c r="H3557">
        <v>167.1036</v>
      </c>
      <c r="I3557">
        <v>168.8672</v>
      </c>
      <c r="J3557">
        <v>16531</v>
      </c>
      <c r="K3557">
        <v>0</v>
      </c>
      <c r="L3557">
        <v>1.0553999999999999</v>
      </c>
    </row>
    <row r="3558" spans="1:12" x14ac:dyDescent="0.25">
      <c r="A3558">
        <v>2303</v>
      </c>
      <c r="B3558" t="s">
        <v>10</v>
      </c>
      <c r="C3558" s="1">
        <v>42815</v>
      </c>
      <c r="D3558" s="2">
        <f t="shared" si="110"/>
        <v>2</v>
      </c>
      <c r="E3558" s="2">
        <f t="shared" si="111"/>
        <v>3</v>
      </c>
      <c r="F3558">
        <v>10.9848</v>
      </c>
      <c r="G3558">
        <v>10.9848</v>
      </c>
      <c r="H3558">
        <v>10.895899999999999</v>
      </c>
      <c r="I3558">
        <v>10.940300000000001</v>
      </c>
      <c r="J3558">
        <v>23642</v>
      </c>
      <c r="K3558">
        <v>0</v>
      </c>
      <c r="L3558">
        <v>0.81630000000000003</v>
      </c>
    </row>
    <row r="3559" spans="1:12" hidden="1" x14ac:dyDescent="0.25">
      <c r="A3559">
        <v>2330</v>
      </c>
      <c r="B3559" t="s">
        <v>11</v>
      </c>
      <c r="C3559" s="1">
        <v>42815</v>
      </c>
      <c r="D3559" s="2">
        <f t="shared" si="110"/>
        <v>2</v>
      </c>
      <c r="E3559" s="2">
        <f t="shared" si="111"/>
        <v>3</v>
      </c>
      <c r="F3559">
        <v>169.3081</v>
      </c>
      <c r="G3559">
        <v>171.95349999999999</v>
      </c>
      <c r="H3559">
        <v>168.8672</v>
      </c>
      <c r="I3559">
        <v>171.95349999999999</v>
      </c>
      <c r="J3559">
        <v>33662</v>
      </c>
      <c r="K3559">
        <v>1.8111999999999999</v>
      </c>
      <c r="L3559">
        <v>1.8277000000000001</v>
      </c>
    </row>
    <row r="3560" spans="1:12" x14ac:dyDescent="0.25">
      <c r="A3560">
        <v>2303</v>
      </c>
      <c r="B3560" t="s">
        <v>10</v>
      </c>
      <c r="C3560" s="1">
        <v>42816</v>
      </c>
      <c r="D3560" s="2">
        <f t="shared" si="110"/>
        <v>3</v>
      </c>
      <c r="E3560" s="2">
        <f t="shared" si="111"/>
        <v>3</v>
      </c>
      <c r="F3560">
        <v>10.8514</v>
      </c>
      <c r="G3560">
        <v>10.895899999999999</v>
      </c>
      <c r="H3560">
        <v>10.806900000000001</v>
      </c>
      <c r="I3560">
        <v>10.8514</v>
      </c>
      <c r="J3560">
        <v>31031</v>
      </c>
      <c r="K3560">
        <v>-0.81630000000000003</v>
      </c>
      <c r="L3560">
        <v>0.82299999999999995</v>
      </c>
    </row>
    <row r="3561" spans="1:12" hidden="1" x14ac:dyDescent="0.25">
      <c r="A3561">
        <v>2330</v>
      </c>
      <c r="B3561" t="s">
        <v>11</v>
      </c>
      <c r="C3561" s="1">
        <v>42816</v>
      </c>
      <c r="D3561" s="2">
        <f t="shared" si="110"/>
        <v>3</v>
      </c>
      <c r="E3561" s="2">
        <f t="shared" si="111"/>
        <v>3</v>
      </c>
      <c r="F3561">
        <v>169.749</v>
      </c>
      <c r="G3561">
        <v>170.63079999999999</v>
      </c>
      <c r="H3561">
        <v>168.8672</v>
      </c>
      <c r="I3561">
        <v>170.63079999999999</v>
      </c>
      <c r="J3561">
        <v>27766</v>
      </c>
      <c r="K3561">
        <v>-0.7722</v>
      </c>
      <c r="L3561">
        <v>1.0444</v>
      </c>
    </row>
    <row r="3562" spans="1:12" x14ac:dyDescent="0.25">
      <c r="A3562">
        <v>2303</v>
      </c>
      <c r="B3562" t="s">
        <v>10</v>
      </c>
      <c r="C3562" s="1">
        <v>42817</v>
      </c>
      <c r="D3562" s="2">
        <f t="shared" si="110"/>
        <v>4</v>
      </c>
      <c r="E3562" s="2">
        <f t="shared" si="111"/>
        <v>3</v>
      </c>
      <c r="F3562">
        <v>10.8514</v>
      </c>
      <c r="G3562">
        <v>11.0738</v>
      </c>
      <c r="H3562">
        <v>10.8514</v>
      </c>
      <c r="I3562">
        <v>11.029299999999999</v>
      </c>
      <c r="J3562">
        <v>44714</v>
      </c>
      <c r="K3562">
        <v>1.6261000000000001</v>
      </c>
      <c r="L3562">
        <v>2.0491999999999999</v>
      </c>
    </row>
    <row r="3563" spans="1:12" hidden="1" x14ac:dyDescent="0.25">
      <c r="A3563">
        <v>2330</v>
      </c>
      <c r="B3563" t="s">
        <v>11</v>
      </c>
      <c r="C3563" s="1">
        <v>42817</v>
      </c>
      <c r="D3563" s="2">
        <f t="shared" si="110"/>
        <v>4</v>
      </c>
      <c r="E3563" s="2">
        <f t="shared" si="111"/>
        <v>3</v>
      </c>
      <c r="F3563">
        <v>169.3081</v>
      </c>
      <c r="G3563">
        <v>170.63079999999999</v>
      </c>
      <c r="H3563">
        <v>169.3081</v>
      </c>
      <c r="I3563">
        <v>170.63079999999999</v>
      </c>
      <c r="J3563">
        <v>18831</v>
      </c>
      <c r="K3563">
        <v>0</v>
      </c>
      <c r="L3563">
        <v>0.78129999999999999</v>
      </c>
    </row>
    <row r="3564" spans="1:12" x14ac:dyDescent="0.25">
      <c r="A3564">
        <v>2303</v>
      </c>
      <c r="B3564" t="s">
        <v>10</v>
      </c>
      <c r="C3564" s="1">
        <v>42818</v>
      </c>
      <c r="D3564" s="2">
        <f t="shared" si="110"/>
        <v>5</v>
      </c>
      <c r="E3564" s="2">
        <f t="shared" si="111"/>
        <v>3</v>
      </c>
      <c r="F3564">
        <v>11.029299999999999</v>
      </c>
      <c r="G3564">
        <v>11.0738</v>
      </c>
      <c r="H3564">
        <v>10.895899999999999</v>
      </c>
      <c r="I3564">
        <v>10.895899999999999</v>
      </c>
      <c r="J3564">
        <v>26257</v>
      </c>
      <c r="K3564">
        <v>-1.2171000000000001</v>
      </c>
      <c r="L3564">
        <v>1.6327</v>
      </c>
    </row>
    <row r="3565" spans="1:12" hidden="1" x14ac:dyDescent="0.25">
      <c r="A3565">
        <v>2330</v>
      </c>
      <c r="B3565" t="s">
        <v>11</v>
      </c>
      <c r="C3565" s="1">
        <v>42818</v>
      </c>
      <c r="D3565" s="2">
        <f t="shared" si="110"/>
        <v>5</v>
      </c>
      <c r="E3565" s="2">
        <f t="shared" si="111"/>
        <v>3</v>
      </c>
      <c r="F3565">
        <v>169.3081</v>
      </c>
      <c r="G3565">
        <v>170.18989999999999</v>
      </c>
      <c r="H3565">
        <v>169.3081</v>
      </c>
      <c r="I3565">
        <v>169.749</v>
      </c>
      <c r="J3565">
        <v>17722</v>
      </c>
      <c r="K3565">
        <v>-0.5181</v>
      </c>
      <c r="L3565">
        <v>0.52080000000000004</v>
      </c>
    </row>
    <row r="3566" spans="1:12" x14ac:dyDescent="0.25">
      <c r="A3566">
        <v>2303</v>
      </c>
      <c r="B3566" t="s">
        <v>10</v>
      </c>
      <c r="C3566" s="1">
        <v>42821</v>
      </c>
      <c r="D3566" s="2">
        <f t="shared" si="110"/>
        <v>1</v>
      </c>
      <c r="E3566" s="2">
        <f t="shared" si="111"/>
        <v>3</v>
      </c>
      <c r="F3566">
        <v>10.895899999999999</v>
      </c>
      <c r="G3566">
        <v>11.029299999999999</v>
      </c>
      <c r="H3566">
        <v>10.8514</v>
      </c>
      <c r="I3566">
        <v>10.895899999999999</v>
      </c>
      <c r="J3566">
        <v>24519</v>
      </c>
      <c r="K3566">
        <v>0</v>
      </c>
      <c r="L3566">
        <v>1.6393</v>
      </c>
    </row>
    <row r="3567" spans="1:12" hidden="1" x14ac:dyDescent="0.25">
      <c r="A3567">
        <v>2330</v>
      </c>
      <c r="B3567" t="s">
        <v>11</v>
      </c>
      <c r="C3567" s="1">
        <v>42821</v>
      </c>
      <c r="D3567" s="2">
        <f t="shared" si="110"/>
        <v>1</v>
      </c>
      <c r="E3567" s="2">
        <f t="shared" si="111"/>
        <v>3</v>
      </c>
      <c r="F3567">
        <v>171.51259999999999</v>
      </c>
      <c r="G3567">
        <v>171.51259999999999</v>
      </c>
      <c r="H3567">
        <v>169.3081</v>
      </c>
      <c r="I3567">
        <v>170.18989999999999</v>
      </c>
      <c r="J3567">
        <v>29867</v>
      </c>
      <c r="K3567">
        <v>0.25940000000000002</v>
      </c>
      <c r="L3567">
        <v>1.3021</v>
      </c>
    </row>
    <row r="3568" spans="1:12" x14ac:dyDescent="0.25">
      <c r="A3568">
        <v>2303</v>
      </c>
      <c r="B3568" t="s">
        <v>10</v>
      </c>
      <c r="C3568" s="1">
        <v>42822</v>
      </c>
      <c r="D3568" s="2">
        <f t="shared" si="110"/>
        <v>2</v>
      </c>
      <c r="E3568" s="2">
        <f t="shared" si="111"/>
        <v>3</v>
      </c>
      <c r="F3568">
        <v>10.895899999999999</v>
      </c>
      <c r="G3568">
        <v>10.940300000000001</v>
      </c>
      <c r="H3568">
        <v>10.718</v>
      </c>
      <c r="I3568">
        <v>10.762499999999999</v>
      </c>
      <c r="J3568">
        <v>49243</v>
      </c>
      <c r="K3568">
        <v>-1.232</v>
      </c>
      <c r="L3568">
        <v>2.0747</v>
      </c>
    </row>
    <row r="3569" spans="1:12" hidden="1" x14ac:dyDescent="0.25">
      <c r="A3569">
        <v>2330</v>
      </c>
      <c r="B3569" t="s">
        <v>11</v>
      </c>
      <c r="C3569" s="1">
        <v>42822</v>
      </c>
      <c r="D3569" s="2">
        <f t="shared" si="110"/>
        <v>2</v>
      </c>
      <c r="E3569" s="2">
        <f t="shared" si="111"/>
        <v>3</v>
      </c>
      <c r="F3569">
        <v>171.95349999999999</v>
      </c>
      <c r="G3569">
        <v>171.95349999999999</v>
      </c>
      <c r="H3569">
        <v>169.749</v>
      </c>
      <c r="I3569">
        <v>171.51259999999999</v>
      </c>
      <c r="J3569">
        <v>39522</v>
      </c>
      <c r="K3569">
        <v>0.7742</v>
      </c>
      <c r="L3569">
        <v>1.2987</v>
      </c>
    </row>
    <row r="3570" spans="1:12" x14ac:dyDescent="0.25">
      <c r="A3570">
        <v>2303</v>
      </c>
      <c r="B3570" t="s">
        <v>10</v>
      </c>
      <c r="C3570" s="1">
        <v>42823</v>
      </c>
      <c r="D3570" s="2">
        <f t="shared" si="110"/>
        <v>3</v>
      </c>
      <c r="E3570" s="2">
        <f t="shared" si="111"/>
        <v>3</v>
      </c>
      <c r="F3570">
        <v>10.806900000000001</v>
      </c>
      <c r="G3570">
        <v>10.8514</v>
      </c>
      <c r="H3570">
        <v>10.718</v>
      </c>
      <c r="I3570">
        <v>10.762499999999999</v>
      </c>
      <c r="J3570">
        <v>25865</v>
      </c>
      <c r="K3570">
        <v>0</v>
      </c>
      <c r="L3570">
        <v>1.2447999999999999</v>
      </c>
    </row>
    <row r="3571" spans="1:12" hidden="1" x14ac:dyDescent="0.25">
      <c r="A3571">
        <v>2330</v>
      </c>
      <c r="B3571" t="s">
        <v>11</v>
      </c>
      <c r="C3571" s="1">
        <v>42823</v>
      </c>
      <c r="D3571" s="2">
        <f t="shared" si="110"/>
        <v>3</v>
      </c>
      <c r="E3571" s="2">
        <f t="shared" si="111"/>
        <v>3</v>
      </c>
      <c r="F3571">
        <v>171.51259999999999</v>
      </c>
      <c r="G3571">
        <v>171.51259999999999</v>
      </c>
      <c r="H3571">
        <v>168.4263</v>
      </c>
      <c r="I3571">
        <v>168.8672</v>
      </c>
      <c r="J3571">
        <v>33839</v>
      </c>
      <c r="K3571">
        <v>-1.5544</v>
      </c>
      <c r="L3571">
        <v>1.8325</v>
      </c>
    </row>
    <row r="3572" spans="1:12" x14ac:dyDescent="0.25">
      <c r="A3572">
        <v>2303</v>
      </c>
      <c r="B3572" t="s">
        <v>10</v>
      </c>
      <c r="C3572" s="1">
        <v>42824</v>
      </c>
      <c r="D3572" s="2">
        <f t="shared" si="110"/>
        <v>4</v>
      </c>
      <c r="E3572" s="2">
        <f t="shared" si="111"/>
        <v>3</v>
      </c>
      <c r="F3572">
        <v>10.806900000000001</v>
      </c>
      <c r="G3572">
        <v>10.940300000000001</v>
      </c>
      <c r="H3572">
        <v>10.762499999999999</v>
      </c>
      <c r="I3572">
        <v>10.8514</v>
      </c>
      <c r="J3572">
        <v>21407</v>
      </c>
      <c r="K3572">
        <v>0.82299999999999995</v>
      </c>
      <c r="L3572">
        <v>1.6529</v>
      </c>
    </row>
    <row r="3573" spans="1:12" hidden="1" x14ac:dyDescent="0.25">
      <c r="A3573">
        <v>2330</v>
      </c>
      <c r="B3573" t="s">
        <v>11</v>
      </c>
      <c r="C3573" s="1">
        <v>42824</v>
      </c>
      <c r="D3573" s="2">
        <f t="shared" si="110"/>
        <v>4</v>
      </c>
      <c r="E3573" s="2">
        <f t="shared" si="111"/>
        <v>3</v>
      </c>
      <c r="F3573">
        <v>169.749</v>
      </c>
      <c r="G3573">
        <v>170.18989999999999</v>
      </c>
      <c r="H3573">
        <v>167.9854</v>
      </c>
      <c r="I3573">
        <v>168.8672</v>
      </c>
      <c r="J3573">
        <v>30716</v>
      </c>
      <c r="K3573">
        <v>0</v>
      </c>
      <c r="L3573">
        <v>1.3123</v>
      </c>
    </row>
    <row r="3574" spans="1:12" x14ac:dyDescent="0.25">
      <c r="A3574">
        <v>2303</v>
      </c>
      <c r="B3574" t="s">
        <v>10</v>
      </c>
      <c r="C3574" s="1">
        <v>42825</v>
      </c>
      <c r="D3574" s="2">
        <f t="shared" si="110"/>
        <v>5</v>
      </c>
      <c r="E3574" s="2">
        <f t="shared" si="111"/>
        <v>3</v>
      </c>
      <c r="F3574">
        <v>10.806900000000001</v>
      </c>
      <c r="G3574">
        <v>10.8514</v>
      </c>
      <c r="H3574">
        <v>10.762499999999999</v>
      </c>
      <c r="I3574">
        <v>10.8514</v>
      </c>
      <c r="J3574">
        <v>31810</v>
      </c>
      <c r="K3574">
        <v>0</v>
      </c>
      <c r="L3574">
        <v>0.82640000000000002</v>
      </c>
    </row>
    <row r="3575" spans="1:12" hidden="1" x14ac:dyDescent="0.25">
      <c r="A3575">
        <v>2330</v>
      </c>
      <c r="B3575" t="s">
        <v>11</v>
      </c>
      <c r="C3575" s="1">
        <v>42825</v>
      </c>
      <c r="D3575" s="2">
        <f t="shared" si="110"/>
        <v>5</v>
      </c>
      <c r="E3575" s="2">
        <f t="shared" si="111"/>
        <v>3</v>
      </c>
      <c r="F3575">
        <v>168.4263</v>
      </c>
      <c r="G3575">
        <v>169.3081</v>
      </c>
      <c r="H3575">
        <v>166.6627</v>
      </c>
      <c r="I3575">
        <v>166.6627</v>
      </c>
      <c r="J3575">
        <v>33996</v>
      </c>
      <c r="K3575">
        <v>-1.3141</v>
      </c>
      <c r="L3575">
        <v>1.5872999999999999</v>
      </c>
    </row>
    <row r="3576" spans="1:12" x14ac:dyDescent="0.25">
      <c r="A3576">
        <v>2303</v>
      </c>
      <c r="B3576" t="s">
        <v>10</v>
      </c>
      <c r="C3576" s="1">
        <v>42830</v>
      </c>
      <c r="D3576" s="2">
        <f t="shared" si="110"/>
        <v>3</v>
      </c>
      <c r="E3576" s="2">
        <f t="shared" si="111"/>
        <v>4</v>
      </c>
      <c r="F3576">
        <v>10.8514</v>
      </c>
      <c r="G3576">
        <v>10.940300000000001</v>
      </c>
      <c r="H3576">
        <v>10.806900000000001</v>
      </c>
      <c r="I3576">
        <v>10.895899999999999</v>
      </c>
      <c r="J3576">
        <v>39627</v>
      </c>
      <c r="K3576">
        <v>0.40899999999999997</v>
      </c>
      <c r="L3576">
        <v>1.2345999999999999</v>
      </c>
    </row>
    <row r="3577" spans="1:12" hidden="1" x14ac:dyDescent="0.25">
      <c r="A3577">
        <v>2330</v>
      </c>
      <c r="B3577" t="s">
        <v>11</v>
      </c>
      <c r="C3577" s="1">
        <v>42830</v>
      </c>
      <c r="D3577" s="2">
        <f t="shared" si="110"/>
        <v>3</v>
      </c>
      <c r="E3577" s="2">
        <f t="shared" si="111"/>
        <v>4</v>
      </c>
      <c r="F3577">
        <v>167.1036</v>
      </c>
      <c r="G3577">
        <v>170.18989999999999</v>
      </c>
      <c r="H3577">
        <v>167.1036</v>
      </c>
      <c r="I3577">
        <v>170.18989999999999</v>
      </c>
      <c r="J3577">
        <v>45116</v>
      </c>
      <c r="K3577">
        <v>2.0943000000000001</v>
      </c>
      <c r="L3577">
        <v>1.847</v>
      </c>
    </row>
    <row r="3578" spans="1:12" x14ac:dyDescent="0.25">
      <c r="A3578">
        <v>2303</v>
      </c>
      <c r="B3578" t="s">
        <v>10</v>
      </c>
      <c r="C3578" s="1">
        <v>42831</v>
      </c>
      <c r="D3578" s="2">
        <f t="shared" si="110"/>
        <v>4</v>
      </c>
      <c r="E3578" s="2">
        <f t="shared" si="111"/>
        <v>4</v>
      </c>
      <c r="F3578">
        <v>10.8514</v>
      </c>
      <c r="G3578">
        <v>10.895899999999999</v>
      </c>
      <c r="H3578">
        <v>10.762499999999999</v>
      </c>
      <c r="I3578">
        <v>10.8514</v>
      </c>
      <c r="J3578">
        <v>17529</v>
      </c>
      <c r="K3578">
        <v>-0.40899999999999997</v>
      </c>
      <c r="L3578">
        <v>1.2397</v>
      </c>
    </row>
    <row r="3579" spans="1:12" hidden="1" x14ac:dyDescent="0.25">
      <c r="A3579">
        <v>2330</v>
      </c>
      <c r="B3579" t="s">
        <v>11</v>
      </c>
      <c r="C3579" s="1">
        <v>42831</v>
      </c>
      <c r="D3579" s="2">
        <f t="shared" si="110"/>
        <v>4</v>
      </c>
      <c r="E3579" s="2">
        <f t="shared" si="111"/>
        <v>4</v>
      </c>
      <c r="F3579">
        <v>170.18989999999999</v>
      </c>
      <c r="G3579">
        <v>170.18989999999999</v>
      </c>
      <c r="H3579">
        <v>168.4263</v>
      </c>
      <c r="I3579">
        <v>168.8672</v>
      </c>
      <c r="J3579">
        <v>17417</v>
      </c>
      <c r="K3579">
        <v>-0.7802</v>
      </c>
      <c r="L3579">
        <v>1.0470999999999999</v>
      </c>
    </row>
    <row r="3580" spans="1:12" x14ac:dyDescent="0.25">
      <c r="A3580">
        <v>2303</v>
      </c>
      <c r="B3580" t="s">
        <v>10</v>
      </c>
      <c r="C3580" s="1">
        <v>42832</v>
      </c>
      <c r="D3580" s="2">
        <f t="shared" si="110"/>
        <v>5</v>
      </c>
      <c r="E3580" s="2">
        <f t="shared" si="111"/>
        <v>4</v>
      </c>
      <c r="F3580">
        <v>10.806900000000001</v>
      </c>
      <c r="G3580">
        <v>10.8514</v>
      </c>
      <c r="H3580">
        <v>10.718</v>
      </c>
      <c r="I3580">
        <v>10.806900000000001</v>
      </c>
      <c r="J3580">
        <v>22756</v>
      </c>
      <c r="K3580">
        <v>-0.41070000000000001</v>
      </c>
      <c r="L3580">
        <v>1.2447999999999999</v>
      </c>
    </row>
    <row r="3581" spans="1:12" hidden="1" x14ac:dyDescent="0.25">
      <c r="A3581">
        <v>2330</v>
      </c>
      <c r="B3581" t="s">
        <v>11</v>
      </c>
      <c r="C3581" s="1">
        <v>42832</v>
      </c>
      <c r="D3581" s="2">
        <f t="shared" si="110"/>
        <v>5</v>
      </c>
      <c r="E3581" s="2">
        <f t="shared" si="111"/>
        <v>4</v>
      </c>
      <c r="F3581">
        <v>169.3081</v>
      </c>
      <c r="G3581">
        <v>169.3081</v>
      </c>
      <c r="H3581">
        <v>166.2218</v>
      </c>
      <c r="I3581">
        <v>168.4263</v>
      </c>
      <c r="J3581">
        <v>19066</v>
      </c>
      <c r="K3581">
        <v>-0.26140000000000002</v>
      </c>
      <c r="L3581">
        <v>1.8568</v>
      </c>
    </row>
    <row r="3582" spans="1:12" x14ac:dyDescent="0.25">
      <c r="A3582">
        <v>2303</v>
      </c>
      <c r="B3582" t="s">
        <v>10</v>
      </c>
      <c r="C3582" s="1">
        <v>42835</v>
      </c>
      <c r="D3582" s="2">
        <f t="shared" si="110"/>
        <v>1</v>
      </c>
      <c r="E3582" s="2">
        <f t="shared" si="111"/>
        <v>4</v>
      </c>
      <c r="F3582">
        <v>10.806900000000001</v>
      </c>
      <c r="G3582">
        <v>10.895899999999999</v>
      </c>
      <c r="H3582">
        <v>10.762499999999999</v>
      </c>
      <c r="I3582">
        <v>10.806900000000001</v>
      </c>
      <c r="J3582">
        <v>17390</v>
      </c>
      <c r="K3582">
        <v>0</v>
      </c>
      <c r="L3582">
        <v>1.2397</v>
      </c>
    </row>
    <row r="3583" spans="1:12" hidden="1" x14ac:dyDescent="0.25">
      <c r="A3583">
        <v>2330</v>
      </c>
      <c r="B3583" t="s">
        <v>11</v>
      </c>
      <c r="C3583" s="1">
        <v>42835</v>
      </c>
      <c r="D3583" s="2">
        <f t="shared" si="110"/>
        <v>1</v>
      </c>
      <c r="E3583" s="2">
        <f t="shared" si="111"/>
        <v>4</v>
      </c>
      <c r="F3583">
        <v>168.4263</v>
      </c>
      <c r="G3583">
        <v>168.8672</v>
      </c>
      <c r="H3583">
        <v>167.1036</v>
      </c>
      <c r="I3583">
        <v>167.5445</v>
      </c>
      <c r="J3583">
        <v>17388</v>
      </c>
      <c r="K3583">
        <v>-0.52490000000000003</v>
      </c>
      <c r="L3583">
        <v>1.0553999999999999</v>
      </c>
    </row>
    <row r="3584" spans="1:12" x14ac:dyDescent="0.25">
      <c r="A3584">
        <v>2303</v>
      </c>
      <c r="B3584" t="s">
        <v>10</v>
      </c>
      <c r="C3584" s="1">
        <v>42836</v>
      </c>
      <c r="D3584" s="2">
        <f t="shared" si="110"/>
        <v>2</v>
      </c>
      <c r="E3584" s="2">
        <f t="shared" si="111"/>
        <v>4</v>
      </c>
      <c r="F3584">
        <v>10.762499999999999</v>
      </c>
      <c r="G3584">
        <v>10.8514</v>
      </c>
      <c r="H3584">
        <v>10.762499999999999</v>
      </c>
      <c r="I3584">
        <v>10.806900000000001</v>
      </c>
      <c r="J3584">
        <v>16374</v>
      </c>
      <c r="K3584">
        <v>0</v>
      </c>
      <c r="L3584">
        <v>0.82640000000000002</v>
      </c>
    </row>
    <row r="3585" spans="1:12" hidden="1" x14ac:dyDescent="0.25">
      <c r="A3585">
        <v>2330</v>
      </c>
      <c r="B3585" t="s">
        <v>11</v>
      </c>
      <c r="C3585" s="1">
        <v>42836</v>
      </c>
      <c r="D3585" s="2">
        <f t="shared" si="110"/>
        <v>2</v>
      </c>
      <c r="E3585" s="2">
        <f t="shared" si="111"/>
        <v>4</v>
      </c>
      <c r="F3585">
        <v>167.5445</v>
      </c>
      <c r="G3585">
        <v>168.4263</v>
      </c>
      <c r="H3585">
        <v>166.6627</v>
      </c>
      <c r="I3585">
        <v>168.4263</v>
      </c>
      <c r="J3585">
        <v>9788</v>
      </c>
      <c r="K3585">
        <v>0.52490000000000003</v>
      </c>
      <c r="L3585">
        <v>1.0582</v>
      </c>
    </row>
    <row r="3586" spans="1:12" x14ac:dyDescent="0.25">
      <c r="A3586">
        <v>2303</v>
      </c>
      <c r="B3586" t="s">
        <v>10</v>
      </c>
      <c r="C3586" s="1">
        <v>42837</v>
      </c>
      <c r="D3586" s="2">
        <f t="shared" si="110"/>
        <v>3</v>
      </c>
      <c r="E3586" s="2">
        <f t="shared" si="111"/>
        <v>4</v>
      </c>
      <c r="F3586">
        <v>10.762499999999999</v>
      </c>
      <c r="G3586">
        <v>10.806900000000001</v>
      </c>
      <c r="H3586">
        <v>10.673500000000001</v>
      </c>
      <c r="I3586">
        <v>10.673500000000001</v>
      </c>
      <c r="J3586">
        <v>27865</v>
      </c>
      <c r="K3586">
        <v>-1.2423</v>
      </c>
      <c r="L3586">
        <v>1.25</v>
      </c>
    </row>
    <row r="3587" spans="1:12" hidden="1" x14ac:dyDescent="0.25">
      <c r="A3587">
        <v>2330</v>
      </c>
      <c r="B3587" t="s">
        <v>11</v>
      </c>
      <c r="C3587" s="1">
        <v>42837</v>
      </c>
      <c r="D3587" s="2">
        <f t="shared" ref="D3587:D3650" si="112">WEEKDAY(C3587,2)</f>
        <v>3</v>
      </c>
      <c r="E3587" s="2">
        <f t="shared" ref="E3587:E3650" si="113">MONTH(C3587)</f>
        <v>4</v>
      </c>
      <c r="F3587">
        <v>167.9854</v>
      </c>
      <c r="G3587">
        <v>168.8672</v>
      </c>
      <c r="H3587">
        <v>167.5445</v>
      </c>
      <c r="I3587">
        <v>168.4263</v>
      </c>
      <c r="J3587">
        <v>17418</v>
      </c>
      <c r="K3587">
        <v>0</v>
      </c>
      <c r="L3587">
        <v>0.78949999999999998</v>
      </c>
    </row>
    <row r="3588" spans="1:12" x14ac:dyDescent="0.25">
      <c r="A3588">
        <v>2303</v>
      </c>
      <c r="B3588" t="s">
        <v>10</v>
      </c>
      <c r="C3588" s="1">
        <v>42838</v>
      </c>
      <c r="D3588" s="2">
        <f t="shared" si="112"/>
        <v>4</v>
      </c>
      <c r="E3588" s="2">
        <f t="shared" si="113"/>
        <v>4</v>
      </c>
      <c r="F3588">
        <v>10.718</v>
      </c>
      <c r="G3588">
        <v>10.806900000000001</v>
      </c>
      <c r="H3588">
        <v>10.673500000000001</v>
      </c>
      <c r="I3588">
        <v>10.762499999999999</v>
      </c>
      <c r="J3588">
        <v>22564</v>
      </c>
      <c r="K3588">
        <v>0.82989999999999997</v>
      </c>
      <c r="L3588">
        <v>1.25</v>
      </c>
    </row>
    <row r="3589" spans="1:12" hidden="1" x14ac:dyDescent="0.25">
      <c r="A3589">
        <v>2330</v>
      </c>
      <c r="B3589" t="s">
        <v>11</v>
      </c>
      <c r="C3589" s="1">
        <v>42838</v>
      </c>
      <c r="D3589" s="2">
        <f t="shared" si="112"/>
        <v>4</v>
      </c>
      <c r="E3589" s="2">
        <f t="shared" si="113"/>
        <v>4</v>
      </c>
      <c r="F3589">
        <v>167.1036</v>
      </c>
      <c r="G3589">
        <v>169.3081</v>
      </c>
      <c r="H3589">
        <v>167.1036</v>
      </c>
      <c r="I3589">
        <v>168.8672</v>
      </c>
      <c r="J3589">
        <v>14796</v>
      </c>
      <c r="K3589">
        <v>0.26140000000000002</v>
      </c>
      <c r="L3589">
        <v>1.3192999999999999</v>
      </c>
    </row>
    <row r="3590" spans="1:12" x14ac:dyDescent="0.25">
      <c r="A3590">
        <v>2303</v>
      </c>
      <c r="B3590" t="s">
        <v>10</v>
      </c>
      <c r="C3590" s="1">
        <v>42839</v>
      </c>
      <c r="D3590" s="2">
        <f t="shared" si="112"/>
        <v>5</v>
      </c>
      <c r="E3590" s="2">
        <f t="shared" si="113"/>
        <v>4</v>
      </c>
      <c r="F3590">
        <v>10.762499999999999</v>
      </c>
      <c r="G3590">
        <v>10.762499999999999</v>
      </c>
      <c r="H3590">
        <v>10.673500000000001</v>
      </c>
      <c r="I3590">
        <v>10.673500000000001</v>
      </c>
      <c r="J3590">
        <v>19467</v>
      </c>
      <c r="K3590">
        <v>-0.82989999999999997</v>
      </c>
      <c r="L3590">
        <v>0.83330000000000004</v>
      </c>
    </row>
    <row r="3591" spans="1:12" hidden="1" x14ac:dyDescent="0.25">
      <c r="A3591">
        <v>2330</v>
      </c>
      <c r="B3591" t="s">
        <v>11</v>
      </c>
      <c r="C3591" s="1">
        <v>42839</v>
      </c>
      <c r="D3591" s="2">
        <f t="shared" si="112"/>
        <v>5</v>
      </c>
      <c r="E3591" s="2">
        <f t="shared" si="113"/>
        <v>4</v>
      </c>
      <c r="F3591">
        <v>167.1036</v>
      </c>
      <c r="G3591">
        <v>167.1036</v>
      </c>
      <c r="H3591">
        <v>165.7808</v>
      </c>
      <c r="I3591">
        <v>166.6627</v>
      </c>
      <c r="J3591">
        <v>31317</v>
      </c>
      <c r="K3591">
        <v>-1.3141</v>
      </c>
      <c r="L3591">
        <v>0.79790000000000005</v>
      </c>
    </row>
    <row r="3592" spans="1:12" x14ac:dyDescent="0.25">
      <c r="A3592">
        <v>2303</v>
      </c>
      <c r="B3592" t="s">
        <v>10</v>
      </c>
      <c r="C3592" s="1">
        <v>42842</v>
      </c>
      <c r="D3592" s="2">
        <f t="shared" si="112"/>
        <v>1</v>
      </c>
      <c r="E3592" s="2">
        <f t="shared" si="113"/>
        <v>4</v>
      </c>
      <c r="F3592">
        <v>10.673500000000001</v>
      </c>
      <c r="G3592">
        <v>10.718</v>
      </c>
      <c r="H3592">
        <v>10.629</v>
      </c>
      <c r="I3592">
        <v>10.718</v>
      </c>
      <c r="J3592">
        <v>16948</v>
      </c>
      <c r="K3592">
        <v>0.4158</v>
      </c>
      <c r="L3592">
        <v>0.83679999999999999</v>
      </c>
    </row>
    <row r="3593" spans="1:12" hidden="1" x14ac:dyDescent="0.25">
      <c r="A3593">
        <v>2330</v>
      </c>
      <c r="B3593" t="s">
        <v>11</v>
      </c>
      <c r="C3593" s="1">
        <v>42842</v>
      </c>
      <c r="D3593" s="2">
        <f t="shared" si="112"/>
        <v>1</v>
      </c>
      <c r="E3593" s="2">
        <f t="shared" si="113"/>
        <v>4</v>
      </c>
      <c r="F3593">
        <v>166.6627</v>
      </c>
      <c r="G3593">
        <v>166.6627</v>
      </c>
      <c r="H3593">
        <v>165.3399</v>
      </c>
      <c r="I3593">
        <v>165.3399</v>
      </c>
      <c r="J3593">
        <v>17111</v>
      </c>
      <c r="K3593">
        <v>-0.79679999999999995</v>
      </c>
      <c r="L3593">
        <v>0.8</v>
      </c>
    </row>
    <row r="3594" spans="1:12" x14ac:dyDescent="0.25">
      <c r="A3594">
        <v>2303</v>
      </c>
      <c r="B3594" t="s">
        <v>10</v>
      </c>
      <c r="C3594" s="1">
        <v>42843</v>
      </c>
      <c r="D3594" s="2">
        <f t="shared" si="112"/>
        <v>2</v>
      </c>
      <c r="E3594" s="2">
        <f t="shared" si="113"/>
        <v>4</v>
      </c>
      <c r="F3594">
        <v>10.718</v>
      </c>
      <c r="G3594">
        <v>10.940300000000001</v>
      </c>
      <c r="H3594">
        <v>10.673500000000001</v>
      </c>
      <c r="I3594">
        <v>10.762499999999999</v>
      </c>
      <c r="J3594">
        <v>38367</v>
      </c>
      <c r="K3594">
        <v>0.41410000000000002</v>
      </c>
      <c r="L3594">
        <v>2.5</v>
      </c>
    </row>
    <row r="3595" spans="1:12" hidden="1" x14ac:dyDescent="0.25">
      <c r="A3595">
        <v>2330</v>
      </c>
      <c r="B3595" t="s">
        <v>11</v>
      </c>
      <c r="C3595" s="1">
        <v>42843</v>
      </c>
      <c r="D3595" s="2">
        <f t="shared" si="112"/>
        <v>2</v>
      </c>
      <c r="E3595" s="2">
        <f t="shared" si="113"/>
        <v>4</v>
      </c>
      <c r="F3595">
        <v>165.7808</v>
      </c>
      <c r="G3595">
        <v>167.1036</v>
      </c>
      <c r="H3595">
        <v>165.3399</v>
      </c>
      <c r="I3595">
        <v>165.7808</v>
      </c>
      <c r="J3595">
        <v>28732</v>
      </c>
      <c r="K3595">
        <v>0.26629999999999998</v>
      </c>
      <c r="L3595">
        <v>1.0667</v>
      </c>
    </row>
    <row r="3596" spans="1:12" x14ac:dyDescent="0.25">
      <c r="A3596">
        <v>2303</v>
      </c>
      <c r="B3596" t="s">
        <v>10</v>
      </c>
      <c r="C3596" s="1">
        <v>42844</v>
      </c>
      <c r="D3596" s="2">
        <f t="shared" si="112"/>
        <v>3</v>
      </c>
      <c r="E3596" s="2">
        <f t="shared" si="113"/>
        <v>4</v>
      </c>
      <c r="F3596">
        <v>10.718</v>
      </c>
      <c r="G3596">
        <v>10.762499999999999</v>
      </c>
      <c r="H3596">
        <v>10.5846</v>
      </c>
      <c r="I3596">
        <v>10.629</v>
      </c>
      <c r="J3596">
        <v>29690</v>
      </c>
      <c r="K3596">
        <v>-1.2474000000000001</v>
      </c>
      <c r="L3596">
        <v>1.6807000000000001</v>
      </c>
    </row>
    <row r="3597" spans="1:12" hidden="1" x14ac:dyDescent="0.25">
      <c r="A3597">
        <v>2330</v>
      </c>
      <c r="B3597" t="s">
        <v>11</v>
      </c>
      <c r="C3597" s="1">
        <v>42844</v>
      </c>
      <c r="D3597" s="2">
        <f t="shared" si="112"/>
        <v>3</v>
      </c>
      <c r="E3597" s="2">
        <f t="shared" si="113"/>
        <v>4</v>
      </c>
      <c r="F3597">
        <v>165.3399</v>
      </c>
      <c r="G3597">
        <v>165.3399</v>
      </c>
      <c r="H3597">
        <v>164.4581</v>
      </c>
      <c r="I3597">
        <v>164.4581</v>
      </c>
      <c r="J3597">
        <v>31171</v>
      </c>
      <c r="K3597">
        <v>-0.80110000000000003</v>
      </c>
      <c r="L3597">
        <v>0.53620000000000001</v>
      </c>
    </row>
    <row r="3598" spans="1:12" x14ac:dyDescent="0.25">
      <c r="A3598">
        <v>2303</v>
      </c>
      <c r="B3598" t="s">
        <v>10</v>
      </c>
      <c r="C3598" s="1">
        <v>42845</v>
      </c>
      <c r="D3598" s="2">
        <f t="shared" si="112"/>
        <v>4</v>
      </c>
      <c r="E3598" s="2">
        <f t="shared" si="113"/>
        <v>4</v>
      </c>
      <c r="F3598">
        <v>10.5846</v>
      </c>
      <c r="G3598">
        <v>10.629</v>
      </c>
      <c r="H3598">
        <v>10.540100000000001</v>
      </c>
      <c r="I3598">
        <v>10.540100000000001</v>
      </c>
      <c r="J3598">
        <v>23794</v>
      </c>
      <c r="K3598">
        <v>-0.84030000000000005</v>
      </c>
      <c r="L3598">
        <v>0.84389999999999998</v>
      </c>
    </row>
    <row r="3599" spans="1:12" hidden="1" x14ac:dyDescent="0.25">
      <c r="A3599">
        <v>2330</v>
      </c>
      <c r="B3599" t="s">
        <v>11</v>
      </c>
      <c r="C3599" s="1">
        <v>42845</v>
      </c>
      <c r="D3599" s="2">
        <f t="shared" si="112"/>
        <v>4</v>
      </c>
      <c r="E3599" s="2">
        <f t="shared" si="113"/>
        <v>4</v>
      </c>
      <c r="F3599">
        <v>164.4581</v>
      </c>
      <c r="G3599">
        <v>165.7808</v>
      </c>
      <c r="H3599">
        <v>164.4581</v>
      </c>
      <c r="I3599">
        <v>164.899</v>
      </c>
      <c r="J3599">
        <v>32697</v>
      </c>
      <c r="K3599">
        <v>0.26769999999999999</v>
      </c>
      <c r="L3599">
        <v>0.80430000000000001</v>
      </c>
    </row>
    <row r="3600" spans="1:12" x14ac:dyDescent="0.25">
      <c r="A3600">
        <v>2303</v>
      </c>
      <c r="B3600" t="s">
        <v>10</v>
      </c>
      <c r="C3600" s="1">
        <v>42846</v>
      </c>
      <c r="D3600" s="2">
        <f t="shared" si="112"/>
        <v>5</v>
      </c>
      <c r="E3600" s="2">
        <f t="shared" si="113"/>
        <v>4</v>
      </c>
      <c r="F3600">
        <v>10.5846</v>
      </c>
      <c r="G3600">
        <v>10.629</v>
      </c>
      <c r="H3600">
        <v>10.540100000000001</v>
      </c>
      <c r="I3600">
        <v>10.5846</v>
      </c>
      <c r="J3600">
        <v>23892</v>
      </c>
      <c r="K3600">
        <v>0.42109999999999997</v>
      </c>
      <c r="L3600">
        <v>0.84389999999999998</v>
      </c>
    </row>
    <row r="3601" spans="1:12" hidden="1" x14ac:dyDescent="0.25">
      <c r="A3601">
        <v>2330</v>
      </c>
      <c r="B3601" t="s">
        <v>11</v>
      </c>
      <c r="C3601" s="1">
        <v>42846</v>
      </c>
      <c r="D3601" s="2">
        <f t="shared" si="112"/>
        <v>5</v>
      </c>
      <c r="E3601" s="2">
        <f t="shared" si="113"/>
        <v>4</v>
      </c>
      <c r="F3601">
        <v>165.3399</v>
      </c>
      <c r="G3601">
        <v>167.5445</v>
      </c>
      <c r="H3601">
        <v>165.3399</v>
      </c>
      <c r="I3601">
        <v>167.5445</v>
      </c>
      <c r="J3601">
        <v>19034</v>
      </c>
      <c r="K3601">
        <v>1.5914999999999999</v>
      </c>
      <c r="L3601">
        <v>1.3332999999999999</v>
      </c>
    </row>
    <row r="3602" spans="1:12" x14ac:dyDescent="0.25">
      <c r="A3602">
        <v>2303</v>
      </c>
      <c r="B3602" t="s">
        <v>10</v>
      </c>
      <c r="C3602" s="1">
        <v>42849</v>
      </c>
      <c r="D3602" s="2">
        <f t="shared" si="112"/>
        <v>1</v>
      </c>
      <c r="E3602" s="2">
        <f t="shared" si="113"/>
        <v>4</v>
      </c>
      <c r="F3602">
        <v>10.5846</v>
      </c>
      <c r="G3602">
        <v>10.629</v>
      </c>
      <c r="H3602">
        <v>10.540100000000001</v>
      </c>
      <c r="I3602">
        <v>10.5846</v>
      </c>
      <c r="J3602">
        <v>18824</v>
      </c>
      <c r="K3602">
        <v>0</v>
      </c>
      <c r="L3602">
        <v>0.84389999999999998</v>
      </c>
    </row>
    <row r="3603" spans="1:12" hidden="1" x14ac:dyDescent="0.25">
      <c r="A3603">
        <v>2330</v>
      </c>
      <c r="B3603" t="s">
        <v>11</v>
      </c>
      <c r="C3603" s="1">
        <v>42849</v>
      </c>
      <c r="D3603" s="2">
        <f t="shared" si="112"/>
        <v>1</v>
      </c>
      <c r="E3603" s="2">
        <f t="shared" si="113"/>
        <v>4</v>
      </c>
      <c r="F3603">
        <v>168.4263</v>
      </c>
      <c r="G3603">
        <v>168.8672</v>
      </c>
      <c r="H3603">
        <v>166.2218</v>
      </c>
      <c r="I3603">
        <v>167.5445</v>
      </c>
      <c r="J3603">
        <v>29572</v>
      </c>
      <c r="K3603">
        <v>0</v>
      </c>
      <c r="L3603">
        <v>1.5914999999999999</v>
      </c>
    </row>
    <row r="3604" spans="1:12" x14ac:dyDescent="0.25">
      <c r="A3604">
        <v>2303</v>
      </c>
      <c r="B3604" t="s">
        <v>10</v>
      </c>
      <c r="C3604" s="1">
        <v>42850</v>
      </c>
      <c r="D3604" s="2">
        <f t="shared" si="112"/>
        <v>2</v>
      </c>
      <c r="E3604" s="2">
        <f t="shared" si="113"/>
        <v>4</v>
      </c>
      <c r="F3604">
        <v>10.5846</v>
      </c>
      <c r="G3604">
        <v>10.718</v>
      </c>
      <c r="H3604">
        <v>10.540100000000001</v>
      </c>
      <c r="I3604">
        <v>10.673500000000001</v>
      </c>
      <c r="J3604">
        <v>24368</v>
      </c>
      <c r="K3604">
        <v>0.83679999999999999</v>
      </c>
      <c r="L3604">
        <v>1.6878</v>
      </c>
    </row>
    <row r="3605" spans="1:12" hidden="1" x14ac:dyDescent="0.25">
      <c r="A3605">
        <v>2330</v>
      </c>
      <c r="B3605" t="s">
        <v>11</v>
      </c>
      <c r="C3605" s="1">
        <v>42850</v>
      </c>
      <c r="D3605" s="2">
        <f t="shared" si="112"/>
        <v>2</v>
      </c>
      <c r="E3605" s="2">
        <f t="shared" si="113"/>
        <v>4</v>
      </c>
      <c r="F3605">
        <v>167.9854</v>
      </c>
      <c r="G3605">
        <v>169.3081</v>
      </c>
      <c r="H3605">
        <v>167.1036</v>
      </c>
      <c r="I3605">
        <v>169.3081</v>
      </c>
      <c r="J3605">
        <v>31952</v>
      </c>
      <c r="K3605">
        <v>1.0470999999999999</v>
      </c>
      <c r="L3605">
        <v>1.3192999999999999</v>
      </c>
    </row>
    <row r="3606" spans="1:12" x14ac:dyDescent="0.25">
      <c r="A3606">
        <v>2303</v>
      </c>
      <c r="B3606" t="s">
        <v>10</v>
      </c>
      <c r="C3606" s="1">
        <v>42851</v>
      </c>
      <c r="D3606" s="2">
        <f t="shared" si="112"/>
        <v>3</v>
      </c>
      <c r="E3606" s="2">
        <f t="shared" si="113"/>
        <v>4</v>
      </c>
      <c r="F3606">
        <v>10.673500000000001</v>
      </c>
      <c r="G3606">
        <v>10.762499999999999</v>
      </c>
      <c r="H3606">
        <v>10.629</v>
      </c>
      <c r="I3606">
        <v>10.762499999999999</v>
      </c>
      <c r="J3606">
        <v>23540</v>
      </c>
      <c r="K3606">
        <v>0.82989999999999997</v>
      </c>
      <c r="L3606">
        <v>1.2552000000000001</v>
      </c>
    </row>
    <row r="3607" spans="1:12" hidden="1" x14ac:dyDescent="0.25">
      <c r="A3607">
        <v>2330</v>
      </c>
      <c r="B3607" t="s">
        <v>11</v>
      </c>
      <c r="C3607" s="1">
        <v>42851</v>
      </c>
      <c r="D3607" s="2">
        <f t="shared" si="112"/>
        <v>3</v>
      </c>
      <c r="E3607" s="2">
        <f t="shared" si="113"/>
        <v>4</v>
      </c>
      <c r="F3607">
        <v>169.3081</v>
      </c>
      <c r="G3607">
        <v>169.3081</v>
      </c>
      <c r="H3607">
        <v>167.9854</v>
      </c>
      <c r="I3607">
        <v>168.4263</v>
      </c>
      <c r="J3607">
        <v>31119</v>
      </c>
      <c r="K3607">
        <v>-0.5222</v>
      </c>
      <c r="L3607">
        <v>0.78739999999999999</v>
      </c>
    </row>
    <row r="3608" spans="1:12" x14ac:dyDescent="0.25">
      <c r="A3608">
        <v>2303</v>
      </c>
      <c r="B3608" t="s">
        <v>10</v>
      </c>
      <c r="C3608" s="1">
        <v>42852</v>
      </c>
      <c r="D3608" s="2">
        <f t="shared" si="112"/>
        <v>4</v>
      </c>
      <c r="E3608" s="2">
        <f t="shared" si="113"/>
        <v>4</v>
      </c>
      <c r="F3608">
        <v>10.718</v>
      </c>
      <c r="G3608">
        <v>10.806900000000001</v>
      </c>
      <c r="H3608">
        <v>10.673500000000001</v>
      </c>
      <c r="I3608">
        <v>10.762499999999999</v>
      </c>
      <c r="J3608">
        <v>29987</v>
      </c>
      <c r="K3608">
        <v>0</v>
      </c>
      <c r="L3608">
        <v>1.25</v>
      </c>
    </row>
    <row r="3609" spans="1:12" hidden="1" x14ac:dyDescent="0.25">
      <c r="A3609">
        <v>2330</v>
      </c>
      <c r="B3609" t="s">
        <v>11</v>
      </c>
      <c r="C3609" s="1">
        <v>42852</v>
      </c>
      <c r="D3609" s="2">
        <f t="shared" si="112"/>
        <v>4</v>
      </c>
      <c r="E3609" s="2">
        <f t="shared" si="113"/>
        <v>4</v>
      </c>
      <c r="F3609">
        <v>169.3081</v>
      </c>
      <c r="G3609">
        <v>170.18989999999999</v>
      </c>
      <c r="H3609">
        <v>167.9854</v>
      </c>
      <c r="I3609">
        <v>170.18989999999999</v>
      </c>
      <c r="J3609">
        <v>35812</v>
      </c>
      <c r="K3609">
        <v>1.0417000000000001</v>
      </c>
      <c r="L3609">
        <v>1.3123</v>
      </c>
    </row>
    <row r="3610" spans="1:12" x14ac:dyDescent="0.25">
      <c r="A3610">
        <v>2303</v>
      </c>
      <c r="B3610" t="s">
        <v>10</v>
      </c>
      <c r="C3610" s="1">
        <v>42853</v>
      </c>
      <c r="D3610" s="2">
        <f t="shared" si="112"/>
        <v>5</v>
      </c>
      <c r="E3610" s="2">
        <f t="shared" si="113"/>
        <v>4</v>
      </c>
      <c r="F3610">
        <v>10.762499999999999</v>
      </c>
      <c r="G3610">
        <v>10.762499999999999</v>
      </c>
      <c r="H3610">
        <v>10.673500000000001</v>
      </c>
      <c r="I3610">
        <v>10.718</v>
      </c>
      <c r="J3610">
        <v>31481</v>
      </c>
      <c r="K3610">
        <v>-0.41410000000000002</v>
      </c>
      <c r="L3610">
        <v>0.83330000000000004</v>
      </c>
    </row>
    <row r="3611" spans="1:12" hidden="1" x14ac:dyDescent="0.25">
      <c r="A3611">
        <v>2330</v>
      </c>
      <c r="B3611" t="s">
        <v>11</v>
      </c>
      <c r="C3611" s="1">
        <v>42853</v>
      </c>
      <c r="D3611" s="2">
        <f t="shared" si="112"/>
        <v>5</v>
      </c>
      <c r="E3611" s="2">
        <f t="shared" si="113"/>
        <v>4</v>
      </c>
      <c r="F3611">
        <v>170.63079999999999</v>
      </c>
      <c r="G3611">
        <v>171.51259999999999</v>
      </c>
      <c r="H3611">
        <v>170.18989999999999</v>
      </c>
      <c r="I3611">
        <v>171.51259999999999</v>
      </c>
      <c r="J3611">
        <v>38381</v>
      </c>
      <c r="K3611">
        <v>0.7742</v>
      </c>
      <c r="L3611">
        <v>0.7772</v>
      </c>
    </row>
    <row r="3612" spans="1:12" x14ac:dyDescent="0.25">
      <c r="A3612">
        <v>2303</v>
      </c>
      <c r="B3612" t="s">
        <v>10</v>
      </c>
      <c r="C3612" s="1">
        <v>42857</v>
      </c>
      <c r="D3612" s="2">
        <f t="shared" si="112"/>
        <v>2</v>
      </c>
      <c r="E3612" s="2">
        <f t="shared" si="113"/>
        <v>5</v>
      </c>
      <c r="F3612">
        <v>10.762499999999999</v>
      </c>
      <c r="G3612">
        <v>10.806900000000001</v>
      </c>
      <c r="H3612">
        <v>10.718</v>
      </c>
      <c r="I3612">
        <v>10.718</v>
      </c>
      <c r="J3612">
        <v>22698</v>
      </c>
      <c r="K3612">
        <v>0</v>
      </c>
      <c r="L3612">
        <v>0.82989999999999997</v>
      </c>
    </row>
    <row r="3613" spans="1:12" hidden="1" x14ac:dyDescent="0.25">
      <c r="A3613">
        <v>2330</v>
      </c>
      <c r="B3613" t="s">
        <v>11</v>
      </c>
      <c r="C3613" s="1">
        <v>42857</v>
      </c>
      <c r="D3613" s="2">
        <f t="shared" si="112"/>
        <v>2</v>
      </c>
      <c r="E3613" s="2">
        <f t="shared" si="113"/>
        <v>5</v>
      </c>
      <c r="F3613">
        <v>175.03989999999999</v>
      </c>
      <c r="G3613">
        <v>175.48079999999999</v>
      </c>
      <c r="H3613">
        <v>172.39439999999999</v>
      </c>
      <c r="I3613">
        <v>173.27629999999999</v>
      </c>
      <c r="J3613">
        <v>45851</v>
      </c>
      <c r="K3613">
        <v>1.0229999999999999</v>
      </c>
      <c r="L3613">
        <v>1.7903</v>
      </c>
    </row>
    <row r="3614" spans="1:12" x14ac:dyDescent="0.25">
      <c r="A3614">
        <v>2303</v>
      </c>
      <c r="B3614" t="s">
        <v>10</v>
      </c>
      <c r="C3614" s="1">
        <v>42858</v>
      </c>
      <c r="D3614" s="2">
        <f t="shared" si="112"/>
        <v>3</v>
      </c>
      <c r="E3614" s="2">
        <f t="shared" si="113"/>
        <v>5</v>
      </c>
      <c r="F3614">
        <v>10.718</v>
      </c>
      <c r="G3614">
        <v>10.8514</v>
      </c>
      <c r="H3614">
        <v>10.673500000000001</v>
      </c>
      <c r="I3614">
        <v>10.718</v>
      </c>
      <c r="J3614">
        <v>33865</v>
      </c>
      <c r="K3614">
        <v>0</v>
      </c>
      <c r="L3614">
        <v>1.6667000000000001</v>
      </c>
    </row>
    <row r="3615" spans="1:12" hidden="1" x14ac:dyDescent="0.25">
      <c r="A3615">
        <v>2330</v>
      </c>
      <c r="B3615" t="s">
        <v>11</v>
      </c>
      <c r="C3615" s="1">
        <v>42858</v>
      </c>
      <c r="D3615" s="2">
        <f t="shared" si="112"/>
        <v>3</v>
      </c>
      <c r="E3615" s="2">
        <f t="shared" si="113"/>
        <v>5</v>
      </c>
      <c r="F3615">
        <v>174.59899999999999</v>
      </c>
      <c r="G3615">
        <v>175.03989999999999</v>
      </c>
      <c r="H3615">
        <v>173.71719999999999</v>
      </c>
      <c r="I3615">
        <v>174.59899999999999</v>
      </c>
      <c r="J3615">
        <v>27240</v>
      </c>
      <c r="K3615">
        <v>0.76049999999999995</v>
      </c>
      <c r="L3615">
        <v>0.76139999999999997</v>
      </c>
    </row>
    <row r="3616" spans="1:12" x14ac:dyDescent="0.25">
      <c r="A3616">
        <v>2303</v>
      </c>
      <c r="B3616" t="s">
        <v>10</v>
      </c>
      <c r="C3616" s="1">
        <v>42859</v>
      </c>
      <c r="D3616" s="2">
        <f t="shared" si="112"/>
        <v>4</v>
      </c>
      <c r="E3616" s="2">
        <f t="shared" si="113"/>
        <v>5</v>
      </c>
      <c r="F3616">
        <v>10.806900000000001</v>
      </c>
      <c r="G3616">
        <v>10.8514</v>
      </c>
      <c r="H3616">
        <v>10.718</v>
      </c>
      <c r="I3616">
        <v>10.8514</v>
      </c>
      <c r="J3616">
        <v>18642</v>
      </c>
      <c r="K3616">
        <v>1.2371000000000001</v>
      </c>
      <c r="L3616">
        <v>1.2447999999999999</v>
      </c>
    </row>
    <row r="3617" spans="1:12" hidden="1" x14ac:dyDescent="0.25">
      <c r="A3617">
        <v>2330</v>
      </c>
      <c r="B3617" t="s">
        <v>11</v>
      </c>
      <c r="C3617" s="1">
        <v>42859</v>
      </c>
      <c r="D3617" s="2">
        <f t="shared" si="112"/>
        <v>4</v>
      </c>
      <c r="E3617" s="2">
        <f t="shared" si="113"/>
        <v>5</v>
      </c>
      <c r="F3617">
        <v>175.03989999999999</v>
      </c>
      <c r="G3617">
        <v>175.48079999999999</v>
      </c>
      <c r="H3617">
        <v>173.71719999999999</v>
      </c>
      <c r="I3617">
        <v>174.59899999999999</v>
      </c>
      <c r="J3617">
        <v>22194</v>
      </c>
      <c r="K3617">
        <v>0</v>
      </c>
      <c r="L3617">
        <v>1.0152000000000001</v>
      </c>
    </row>
    <row r="3618" spans="1:12" x14ac:dyDescent="0.25">
      <c r="A3618">
        <v>2303</v>
      </c>
      <c r="B3618" t="s">
        <v>10</v>
      </c>
      <c r="C3618" s="1">
        <v>42860</v>
      </c>
      <c r="D3618" s="2">
        <f t="shared" si="112"/>
        <v>5</v>
      </c>
      <c r="E3618" s="2">
        <f t="shared" si="113"/>
        <v>5</v>
      </c>
      <c r="F3618">
        <v>10.895899999999999</v>
      </c>
      <c r="G3618">
        <v>10.895899999999999</v>
      </c>
      <c r="H3618">
        <v>10.762499999999999</v>
      </c>
      <c r="I3618">
        <v>10.762499999999999</v>
      </c>
      <c r="J3618">
        <v>23465</v>
      </c>
      <c r="K3618">
        <v>-0.82299999999999995</v>
      </c>
      <c r="L3618">
        <v>1.2397</v>
      </c>
    </row>
    <row r="3619" spans="1:12" hidden="1" x14ac:dyDescent="0.25">
      <c r="A3619">
        <v>2330</v>
      </c>
      <c r="B3619" t="s">
        <v>11</v>
      </c>
      <c r="C3619" s="1">
        <v>42860</v>
      </c>
      <c r="D3619" s="2">
        <f t="shared" si="112"/>
        <v>5</v>
      </c>
      <c r="E3619" s="2">
        <f t="shared" si="113"/>
        <v>5</v>
      </c>
      <c r="F3619">
        <v>173.71719999999999</v>
      </c>
      <c r="G3619">
        <v>175.03989999999999</v>
      </c>
      <c r="H3619">
        <v>173.71719999999999</v>
      </c>
      <c r="I3619">
        <v>174.15809999999999</v>
      </c>
      <c r="J3619">
        <v>17618</v>
      </c>
      <c r="K3619">
        <v>-0.25280000000000002</v>
      </c>
      <c r="L3619">
        <v>0.76139999999999997</v>
      </c>
    </row>
    <row r="3620" spans="1:12" x14ac:dyDescent="0.25">
      <c r="A3620">
        <v>2303</v>
      </c>
      <c r="B3620" t="s">
        <v>10</v>
      </c>
      <c r="C3620" s="1">
        <v>42863</v>
      </c>
      <c r="D3620" s="2">
        <f t="shared" si="112"/>
        <v>1</v>
      </c>
      <c r="E3620" s="2">
        <f t="shared" si="113"/>
        <v>5</v>
      </c>
      <c r="F3620">
        <v>10.8514</v>
      </c>
      <c r="G3620">
        <v>10.895899999999999</v>
      </c>
      <c r="H3620">
        <v>10.806900000000001</v>
      </c>
      <c r="I3620">
        <v>10.8514</v>
      </c>
      <c r="J3620">
        <v>25166</v>
      </c>
      <c r="K3620">
        <v>0.82299999999999995</v>
      </c>
      <c r="L3620">
        <v>0.82299999999999995</v>
      </c>
    </row>
    <row r="3621" spans="1:12" hidden="1" x14ac:dyDescent="0.25">
      <c r="A3621">
        <v>2330</v>
      </c>
      <c r="B3621" t="s">
        <v>11</v>
      </c>
      <c r="C3621" s="1">
        <v>42863</v>
      </c>
      <c r="D3621" s="2">
        <f t="shared" si="112"/>
        <v>1</v>
      </c>
      <c r="E3621" s="2">
        <f t="shared" si="113"/>
        <v>5</v>
      </c>
      <c r="F3621">
        <v>175.48079999999999</v>
      </c>
      <c r="G3621">
        <v>178.56710000000001</v>
      </c>
      <c r="H3621">
        <v>175.48079999999999</v>
      </c>
      <c r="I3621">
        <v>178.56710000000001</v>
      </c>
      <c r="J3621">
        <v>39591</v>
      </c>
      <c r="K3621">
        <v>2.5001000000000002</v>
      </c>
      <c r="L3621">
        <v>1.7587999999999999</v>
      </c>
    </row>
    <row r="3622" spans="1:12" x14ac:dyDescent="0.25">
      <c r="A3622">
        <v>2303</v>
      </c>
      <c r="B3622" t="s">
        <v>10</v>
      </c>
      <c r="C3622" s="1">
        <v>42864</v>
      </c>
      <c r="D3622" s="2">
        <f t="shared" si="112"/>
        <v>2</v>
      </c>
      <c r="E3622" s="2">
        <f t="shared" si="113"/>
        <v>5</v>
      </c>
      <c r="F3622">
        <v>10.895899999999999</v>
      </c>
      <c r="G3622">
        <v>10.940300000000001</v>
      </c>
      <c r="H3622">
        <v>10.762499999999999</v>
      </c>
      <c r="I3622">
        <v>10.762499999999999</v>
      </c>
      <c r="J3622">
        <v>18943</v>
      </c>
      <c r="K3622">
        <v>-0.82299999999999995</v>
      </c>
      <c r="L3622">
        <v>1.6529</v>
      </c>
    </row>
    <row r="3623" spans="1:12" hidden="1" x14ac:dyDescent="0.25">
      <c r="A3623">
        <v>2330</v>
      </c>
      <c r="B3623" t="s">
        <v>11</v>
      </c>
      <c r="C3623" s="1">
        <v>42864</v>
      </c>
      <c r="D3623" s="2">
        <f t="shared" si="112"/>
        <v>2</v>
      </c>
      <c r="E3623" s="2">
        <f t="shared" si="113"/>
        <v>5</v>
      </c>
      <c r="F3623">
        <v>181.21260000000001</v>
      </c>
      <c r="G3623">
        <v>182.53530000000001</v>
      </c>
      <c r="H3623">
        <v>179.44890000000001</v>
      </c>
      <c r="I3623">
        <v>179.44890000000001</v>
      </c>
      <c r="J3623">
        <v>48285</v>
      </c>
      <c r="K3623">
        <v>0.49259999999999998</v>
      </c>
      <c r="L3623">
        <v>1.7199</v>
      </c>
    </row>
    <row r="3624" spans="1:12" x14ac:dyDescent="0.25">
      <c r="A3624">
        <v>2303</v>
      </c>
      <c r="B3624" t="s">
        <v>10</v>
      </c>
      <c r="C3624" s="1">
        <v>42865</v>
      </c>
      <c r="D3624" s="2">
        <f t="shared" si="112"/>
        <v>3</v>
      </c>
      <c r="E3624" s="2">
        <f t="shared" si="113"/>
        <v>5</v>
      </c>
      <c r="F3624">
        <v>10.8514</v>
      </c>
      <c r="G3624">
        <v>10.940300000000001</v>
      </c>
      <c r="H3624">
        <v>10.806900000000001</v>
      </c>
      <c r="I3624">
        <v>10.895899999999999</v>
      </c>
      <c r="J3624">
        <v>35670</v>
      </c>
      <c r="K3624">
        <v>1.232</v>
      </c>
      <c r="L3624">
        <v>1.2345999999999999</v>
      </c>
    </row>
    <row r="3625" spans="1:12" hidden="1" x14ac:dyDescent="0.25">
      <c r="A3625">
        <v>2330</v>
      </c>
      <c r="B3625" t="s">
        <v>11</v>
      </c>
      <c r="C3625" s="1">
        <v>42865</v>
      </c>
      <c r="D3625" s="2">
        <f t="shared" si="112"/>
        <v>3</v>
      </c>
      <c r="E3625" s="2">
        <f t="shared" si="113"/>
        <v>5</v>
      </c>
      <c r="F3625">
        <v>179.88990000000001</v>
      </c>
      <c r="G3625">
        <v>181.65350000000001</v>
      </c>
      <c r="H3625">
        <v>179.88990000000001</v>
      </c>
      <c r="I3625">
        <v>181.21260000000001</v>
      </c>
      <c r="J3625">
        <v>31075</v>
      </c>
      <c r="K3625">
        <v>0.97799999999999998</v>
      </c>
      <c r="L3625">
        <v>0.98040000000000005</v>
      </c>
    </row>
    <row r="3626" spans="1:12" x14ac:dyDescent="0.25">
      <c r="A3626">
        <v>2303</v>
      </c>
      <c r="B3626" t="s">
        <v>10</v>
      </c>
      <c r="C3626" s="1">
        <v>42866</v>
      </c>
      <c r="D3626" s="2">
        <f t="shared" si="112"/>
        <v>4</v>
      </c>
      <c r="E3626" s="2">
        <f t="shared" si="113"/>
        <v>5</v>
      </c>
      <c r="F3626">
        <v>10.940300000000001</v>
      </c>
      <c r="G3626">
        <v>10.940300000000001</v>
      </c>
      <c r="H3626">
        <v>10.8514</v>
      </c>
      <c r="I3626">
        <v>10.8514</v>
      </c>
      <c r="J3626">
        <v>22797</v>
      </c>
      <c r="K3626">
        <v>-0.40899999999999997</v>
      </c>
      <c r="L3626">
        <v>0.81969999999999998</v>
      </c>
    </row>
    <row r="3627" spans="1:12" hidden="1" x14ac:dyDescent="0.25">
      <c r="A3627">
        <v>2330</v>
      </c>
      <c r="B3627" t="s">
        <v>11</v>
      </c>
      <c r="C3627" s="1">
        <v>42866</v>
      </c>
      <c r="D3627" s="2">
        <f t="shared" si="112"/>
        <v>4</v>
      </c>
      <c r="E3627" s="2">
        <f t="shared" si="113"/>
        <v>5</v>
      </c>
      <c r="F3627">
        <v>180.33080000000001</v>
      </c>
      <c r="G3627">
        <v>183.858</v>
      </c>
      <c r="H3627">
        <v>179.88990000000001</v>
      </c>
      <c r="I3627">
        <v>182.97620000000001</v>
      </c>
      <c r="J3627">
        <v>44286</v>
      </c>
      <c r="K3627">
        <v>0.96850000000000003</v>
      </c>
      <c r="L3627">
        <v>2.2059000000000002</v>
      </c>
    </row>
    <row r="3628" spans="1:12" x14ac:dyDescent="0.25">
      <c r="A3628">
        <v>2303</v>
      </c>
      <c r="B3628" t="s">
        <v>10</v>
      </c>
      <c r="C3628" s="1">
        <v>42867</v>
      </c>
      <c r="D3628" s="2">
        <f t="shared" si="112"/>
        <v>5</v>
      </c>
      <c r="E3628" s="2">
        <f t="shared" si="113"/>
        <v>5</v>
      </c>
      <c r="F3628">
        <v>10.895899999999999</v>
      </c>
      <c r="G3628">
        <v>10.940300000000001</v>
      </c>
      <c r="H3628">
        <v>10.8514</v>
      </c>
      <c r="I3628">
        <v>10.940300000000001</v>
      </c>
      <c r="J3628">
        <v>23892</v>
      </c>
      <c r="K3628">
        <v>0.81630000000000003</v>
      </c>
      <c r="L3628">
        <v>0.81969999999999998</v>
      </c>
    </row>
    <row r="3629" spans="1:12" hidden="1" x14ac:dyDescent="0.25">
      <c r="A3629">
        <v>2330</v>
      </c>
      <c r="B3629" t="s">
        <v>11</v>
      </c>
      <c r="C3629" s="1">
        <v>42867</v>
      </c>
      <c r="D3629" s="2">
        <f t="shared" si="112"/>
        <v>5</v>
      </c>
      <c r="E3629" s="2">
        <f t="shared" si="113"/>
        <v>5</v>
      </c>
      <c r="F3629">
        <v>180.77170000000001</v>
      </c>
      <c r="G3629">
        <v>182.53530000000001</v>
      </c>
      <c r="H3629">
        <v>180.77170000000001</v>
      </c>
      <c r="I3629">
        <v>181.65350000000001</v>
      </c>
      <c r="J3629">
        <v>25507</v>
      </c>
      <c r="K3629">
        <v>-0.72550000000000003</v>
      </c>
      <c r="L3629">
        <v>0.97560000000000002</v>
      </c>
    </row>
    <row r="3630" spans="1:12" x14ac:dyDescent="0.25">
      <c r="A3630">
        <v>2303</v>
      </c>
      <c r="B3630" t="s">
        <v>10</v>
      </c>
      <c r="C3630" s="1">
        <v>42870</v>
      </c>
      <c r="D3630" s="2">
        <f t="shared" si="112"/>
        <v>1</v>
      </c>
      <c r="E3630" s="2">
        <f t="shared" si="113"/>
        <v>5</v>
      </c>
      <c r="F3630">
        <v>10.940300000000001</v>
      </c>
      <c r="G3630">
        <v>10.940300000000001</v>
      </c>
      <c r="H3630">
        <v>10.8514</v>
      </c>
      <c r="I3630">
        <v>10.895899999999999</v>
      </c>
      <c r="J3630">
        <v>14180</v>
      </c>
      <c r="K3630">
        <v>-0.4073</v>
      </c>
      <c r="L3630">
        <v>0.81969999999999998</v>
      </c>
    </row>
    <row r="3631" spans="1:12" hidden="1" x14ac:dyDescent="0.25">
      <c r="A3631">
        <v>2330</v>
      </c>
      <c r="B3631" t="s">
        <v>11</v>
      </c>
      <c r="C3631" s="1">
        <v>42870</v>
      </c>
      <c r="D3631" s="2">
        <f t="shared" si="112"/>
        <v>1</v>
      </c>
      <c r="E3631" s="2">
        <f t="shared" si="113"/>
        <v>5</v>
      </c>
      <c r="F3631">
        <v>179.88990000000001</v>
      </c>
      <c r="G3631">
        <v>181.65350000000001</v>
      </c>
      <c r="H3631">
        <v>179.88990000000001</v>
      </c>
      <c r="I3631">
        <v>181.65350000000001</v>
      </c>
      <c r="J3631">
        <v>25922</v>
      </c>
      <c r="K3631">
        <v>0</v>
      </c>
      <c r="L3631">
        <v>0.98040000000000005</v>
      </c>
    </row>
    <row r="3632" spans="1:12" x14ac:dyDescent="0.25">
      <c r="A3632">
        <v>2303</v>
      </c>
      <c r="B3632" t="s">
        <v>10</v>
      </c>
      <c r="C3632" s="1">
        <v>42871</v>
      </c>
      <c r="D3632" s="2">
        <f t="shared" si="112"/>
        <v>2</v>
      </c>
      <c r="E3632" s="2">
        <f t="shared" si="113"/>
        <v>5</v>
      </c>
      <c r="F3632">
        <v>10.895899999999999</v>
      </c>
      <c r="G3632">
        <v>10.895899999999999</v>
      </c>
      <c r="H3632">
        <v>10.806900000000001</v>
      </c>
      <c r="I3632">
        <v>10.806900000000001</v>
      </c>
      <c r="J3632">
        <v>17113</v>
      </c>
      <c r="K3632">
        <v>-0.81969999999999998</v>
      </c>
      <c r="L3632">
        <v>0.82299999999999995</v>
      </c>
    </row>
    <row r="3633" spans="1:12" hidden="1" x14ac:dyDescent="0.25">
      <c r="A3633">
        <v>2330</v>
      </c>
      <c r="B3633" t="s">
        <v>11</v>
      </c>
      <c r="C3633" s="1">
        <v>42871</v>
      </c>
      <c r="D3633" s="2">
        <f t="shared" si="112"/>
        <v>2</v>
      </c>
      <c r="E3633" s="2">
        <f t="shared" si="113"/>
        <v>5</v>
      </c>
      <c r="F3633">
        <v>180.77170000000001</v>
      </c>
      <c r="G3633">
        <v>180.77170000000001</v>
      </c>
      <c r="H3633">
        <v>179.44890000000001</v>
      </c>
      <c r="I3633">
        <v>180.33080000000001</v>
      </c>
      <c r="J3633">
        <v>36604</v>
      </c>
      <c r="K3633">
        <v>-0.73080000000000001</v>
      </c>
      <c r="L3633">
        <v>0.73709999999999998</v>
      </c>
    </row>
    <row r="3634" spans="1:12" x14ac:dyDescent="0.25">
      <c r="A3634">
        <v>2303</v>
      </c>
      <c r="B3634" t="s">
        <v>10</v>
      </c>
      <c r="C3634" s="1">
        <v>42872</v>
      </c>
      <c r="D3634" s="2">
        <f t="shared" si="112"/>
        <v>3</v>
      </c>
      <c r="E3634" s="2">
        <f t="shared" si="113"/>
        <v>5</v>
      </c>
      <c r="F3634">
        <v>10.8514</v>
      </c>
      <c r="G3634">
        <v>10.895899999999999</v>
      </c>
      <c r="H3634">
        <v>10.762499999999999</v>
      </c>
      <c r="I3634">
        <v>10.8514</v>
      </c>
      <c r="J3634">
        <v>25439</v>
      </c>
      <c r="K3634">
        <v>0.41070000000000001</v>
      </c>
      <c r="L3634">
        <v>1.2397</v>
      </c>
    </row>
    <row r="3635" spans="1:12" hidden="1" x14ac:dyDescent="0.25">
      <c r="A3635">
        <v>2330</v>
      </c>
      <c r="B3635" t="s">
        <v>11</v>
      </c>
      <c r="C3635" s="1">
        <v>42872</v>
      </c>
      <c r="D3635" s="2">
        <f t="shared" si="112"/>
        <v>3</v>
      </c>
      <c r="E3635" s="2">
        <f t="shared" si="113"/>
        <v>5</v>
      </c>
      <c r="F3635">
        <v>179.00800000000001</v>
      </c>
      <c r="G3635">
        <v>179.88990000000001</v>
      </c>
      <c r="H3635">
        <v>179.00800000000001</v>
      </c>
      <c r="I3635">
        <v>179.88990000000001</v>
      </c>
      <c r="J3635">
        <v>22606</v>
      </c>
      <c r="K3635">
        <v>-0.24479999999999999</v>
      </c>
      <c r="L3635">
        <v>0.49259999999999998</v>
      </c>
    </row>
    <row r="3636" spans="1:12" x14ac:dyDescent="0.25">
      <c r="A3636">
        <v>2303</v>
      </c>
      <c r="B3636" t="s">
        <v>10</v>
      </c>
      <c r="C3636" s="1">
        <v>42873</v>
      </c>
      <c r="D3636" s="2">
        <f t="shared" si="112"/>
        <v>4</v>
      </c>
      <c r="E3636" s="2">
        <f t="shared" si="113"/>
        <v>5</v>
      </c>
      <c r="F3636">
        <v>10.762499999999999</v>
      </c>
      <c r="G3636">
        <v>10.895899999999999</v>
      </c>
      <c r="H3636">
        <v>10.718</v>
      </c>
      <c r="I3636">
        <v>10.895899999999999</v>
      </c>
      <c r="J3636">
        <v>16623</v>
      </c>
      <c r="K3636">
        <v>0.40899999999999997</v>
      </c>
      <c r="L3636">
        <v>1.6597999999999999</v>
      </c>
    </row>
    <row r="3637" spans="1:12" hidden="1" x14ac:dyDescent="0.25">
      <c r="A3637">
        <v>2330</v>
      </c>
      <c r="B3637" t="s">
        <v>11</v>
      </c>
      <c r="C3637" s="1">
        <v>42873</v>
      </c>
      <c r="D3637" s="2">
        <f t="shared" si="112"/>
        <v>4</v>
      </c>
      <c r="E3637" s="2">
        <f t="shared" si="113"/>
        <v>5</v>
      </c>
      <c r="F3637">
        <v>178.56710000000001</v>
      </c>
      <c r="G3637">
        <v>179.88990000000001</v>
      </c>
      <c r="H3637">
        <v>177.68530000000001</v>
      </c>
      <c r="I3637">
        <v>179.44890000000001</v>
      </c>
      <c r="J3637">
        <v>22490</v>
      </c>
      <c r="K3637">
        <v>-0.24540000000000001</v>
      </c>
      <c r="L3637">
        <v>1.2406999999999999</v>
      </c>
    </row>
    <row r="3638" spans="1:12" x14ac:dyDescent="0.25">
      <c r="A3638">
        <v>2303</v>
      </c>
      <c r="B3638" t="s">
        <v>10</v>
      </c>
      <c r="C3638" s="1">
        <v>42874</v>
      </c>
      <c r="D3638" s="2">
        <f t="shared" si="112"/>
        <v>5</v>
      </c>
      <c r="E3638" s="2">
        <f t="shared" si="113"/>
        <v>5</v>
      </c>
      <c r="F3638">
        <v>10.895899999999999</v>
      </c>
      <c r="G3638">
        <v>10.940300000000001</v>
      </c>
      <c r="H3638">
        <v>10.806900000000001</v>
      </c>
      <c r="I3638">
        <v>10.8514</v>
      </c>
      <c r="J3638">
        <v>18679</v>
      </c>
      <c r="K3638">
        <v>-0.40899999999999997</v>
      </c>
      <c r="L3638">
        <v>1.2345999999999999</v>
      </c>
    </row>
    <row r="3639" spans="1:12" hidden="1" x14ac:dyDescent="0.25">
      <c r="A3639">
        <v>2330</v>
      </c>
      <c r="B3639" t="s">
        <v>11</v>
      </c>
      <c r="C3639" s="1">
        <v>42874</v>
      </c>
      <c r="D3639" s="2">
        <f t="shared" si="112"/>
        <v>5</v>
      </c>
      <c r="E3639" s="2">
        <f t="shared" si="113"/>
        <v>5</v>
      </c>
      <c r="F3639">
        <v>179.44890000000001</v>
      </c>
      <c r="G3639">
        <v>180.33080000000001</v>
      </c>
      <c r="H3639">
        <v>178.56710000000001</v>
      </c>
      <c r="I3639">
        <v>179.00800000000001</v>
      </c>
      <c r="J3639">
        <v>17163</v>
      </c>
      <c r="K3639">
        <v>-0.246</v>
      </c>
      <c r="L3639">
        <v>0.98770000000000002</v>
      </c>
    </row>
    <row r="3640" spans="1:12" x14ac:dyDescent="0.25">
      <c r="A3640">
        <v>2303</v>
      </c>
      <c r="B3640" t="s">
        <v>10</v>
      </c>
      <c r="C3640" s="1">
        <v>42877</v>
      </c>
      <c r="D3640" s="2">
        <f t="shared" si="112"/>
        <v>1</v>
      </c>
      <c r="E3640" s="2">
        <f t="shared" si="113"/>
        <v>5</v>
      </c>
      <c r="F3640">
        <v>10.895899999999999</v>
      </c>
      <c r="G3640">
        <v>10.940300000000001</v>
      </c>
      <c r="H3640">
        <v>10.8514</v>
      </c>
      <c r="I3640">
        <v>10.895899999999999</v>
      </c>
      <c r="J3640">
        <v>12869</v>
      </c>
      <c r="K3640">
        <v>0.40899999999999997</v>
      </c>
      <c r="L3640">
        <v>0.81969999999999998</v>
      </c>
    </row>
    <row r="3641" spans="1:12" hidden="1" x14ac:dyDescent="0.25">
      <c r="A3641">
        <v>2330</v>
      </c>
      <c r="B3641" t="s">
        <v>11</v>
      </c>
      <c r="C3641" s="1">
        <v>42877</v>
      </c>
      <c r="D3641" s="2">
        <f t="shared" si="112"/>
        <v>1</v>
      </c>
      <c r="E3641" s="2">
        <f t="shared" si="113"/>
        <v>5</v>
      </c>
      <c r="F3641">
        <v>179.44890000000001</v>
      </c>
      <c r="G3641">
        <v>180.77170000000001</v>
      </c>
      <c r="H3641">
        <v>179.00800000000001</v>
      </c>
      <c r="I3641">
        <v>180.77170000000001</v>
      </c>
      <c r="J3641">
        <v>17419</v>
      </c>
      <c r="K3641">
        <v>0.98040000000000005</v>
      </c>
      <c r="L3641">
        <v>0.98519999999999996</v>
      </c>
    </row>
    <row r="3642" spans="1:12" x14ac:dyDescent="0.25">
      <c r="A3642">
        <v>2303</v>
      </c>
      <c r="B3642" t="s">
        <v>10</v>
      </c>
      <c r="C3642" s="1">
        <v>42878</v>
      </c>
      <c r="D3642" s="2">
        <f t="shared" si="112"/>
        <v>2</v>
      </c>
      <c r="E3642" s="2">
        <f t="shared" si="113"/>
        <v>5</v>
      </c>
      <c r="F3642">
        <v>10.895899999999999</v>
      </c>
      <c r="G3642">
        <v>10.9848</v>
      </c>
      <c r="H3642">
        <v>10.895899999999999</v>
      </c>
      <c r="I3642">
        <v>10.9848</v>
      </c>
      <c r="J3642">
        <v>30403</v>
      </c>
      <c r="K3642">
        <v>0.81299999999999994</v>
      </c>
      <c r="L3642">
        <v>0.81630000000000003</v>
      </c>
    </row>
    <row r="3643" spans="1:12" hidden="1" x14ac:dyDescent="0.25">
      <c r="A3643">
        <v>2330</v>
      </c>
      <c r="B3643" t="s">
        <v>11</v>
      </c>
      <c r="C3643" s="1">
        <v>42878</v>
      </c>
      <c r="D3643" s="2">
        <f t="shared" si="112"/>
        <v>2</v>
      </c>
      <c r="E3643" s="2">
        <f t="shared" si="113"/>
        <v>5</v>
      </c>
      <c r="F3643">
        <v>180.77170000000001</v>
      </c>
      <c r="G3643">
        <v>182.53530000000001</v>
      </c>
      <c r="H3643">
        <v>180.33080000000001</v>
      </c>
      <c r="I3643">
        <v>180.77170000000001</v>
      </c>
      <c r="J3643">
        <v>23028</v>
      </c>
      <c r="K3643">
        <v>0</v>
      </c>
      <c r="L3643">
        <v>1.2224999999999999</v>
      </c>
    </row>
    <row r="3644" spans="1:12" x14ac:dyDescent="0.25">
      <c r="A3644">
        <v>2303</v>
      </c>
      <c r="B3644" t="s">
        <v>10</v>
      </c>
      <c r="C3644" s="1">
        <v>42879</v>
      </c>
      <c r="D3644" s="2">
        <f t="shared" si="112"/>
        <v>3</v>
      </c>
      <c r="E3644" s="2">
        <f t="shared" si="113"/>
        <v>5</v>
      </c>
      <c r="F3644">
        <v>10.9848</v>
      </c>
      <c r="G3644">
        <v>11.0738</v>
      </c>
      <c r="H3644">
        <v>10.940300000000001</v>
      </c>
      <c r="I3644">
        <v>10.9848</v>
      </c>
      <c r="J3644">
        <v>23896</v>
      </c>
      <c r="K3644">
        <v>0</v>
      </c>
      <c r="L3644">
        <v>1.2195</v>
      </c>
    </row>
    <row r="3645" spans="1:12" hidden="1" x14ac:dyDescent="0.25">
      <c r="A3645">
        <v>2330</v>
      </c>
      <c r="B3645" t="s">
        <v>11</v>
      </c>
      <c r="C3645" s="1">
        <v>42879</v>
      </c>
      <c r="D3645" s="2">
        <f t="shared" si="112"/>
        <v>3</v>
      </c>
      <c r="E3645" s="2">
        <f t="shared" si="113"/>
        <v>5</v>
      </c>
      <c r="F3645">
        <v>180.77170000000001</v>
      </c>
      <c r="G3645">
        <v>181.65350000000001</v>
      </c>
      <c r="H3645">
        <v>180.77170000000001</v>
      </c>
      <c r="I3645">
        <v>181.21260000000001</v>
      </c>
      <c r="J3645">
        <v>18307</v>
      </c>
      <c r="K3645">
        <v>0.24360000000000001</v>
      </c>
      <c r="L3645">
        <v>0.48780000000000001</v>
      </c>
    </row>
    <row r="3646" spans="1:12" x14ac:dyDescent="0.25">
      <c r="A3646">
        <v>2303</v>
      </c>
      <c r="B3646" t="s">
        <v>10</v>
      </c>
      <c r="C3646" s="1">
        <v>42880</v>
      </c>
      <c r="D3646" s="2">
        <f t="shared" si="112"/>
        <v>4</v>
      </c>
      <c r="E3646" s="2">
        <f t="shared" si="113"/>
        <v>5</v>
      </c>
      <c r="F3646">
        <v>10.9848</v>
      </c>
      <c r="G3646">
        <v>11.0738</v>
      </c>
      <c r="H3646">
        <v>10.9848</v>
      </c>
      <c r="I3646">
        <v>11.029299999999999</v>
      </c>
      <c r="J3646">
        <v>20872</v>
      </c>
      <c r="K3646">
        <v>0.40400000000000003</v>
      </c>
      <c r="L3646">
        <v>0.80969999999999998</v>
      </c>
    </row>
    <row r="3647" spans="1:12" hidden="1" x14ac:dyDescent="0.25">
      <c r="A3647">
        <v>2330</v>
      </c>
      <c r="B3647" t="s">
        <v>11</v>
      </c>
      <c r="C3647" s="1">
        <v>42880</v>
      </c>
      <c r="D3647" s="2">
        <f t="shared" si="112"/>
        <v>4</v>
      </c>
      <c r="E3647" s="2">
        <f t="shared" si="113"/>
        <v>5</v>
      </c>
      <c r="F3647">
        <v>181.65350000000001</v>
      </c>
      <c r="G3647">
        <v>182.53530000000001</v>
      </c>
      <c r="H3647">
        <v>181.21260000000001</v>
      </c>
      <c r="I3647">
        <v>182.53530000000001</v>
      </c>
      <c r="J3647">
        <v>26088</v>
      </c>
      <c r="K3647">
        <v>0.72729999999999995</v>
      </c>
      <c r="L3647">
        <v>0.72989999999999999</v>
      </c>
    </row>
    <row r="3648" spans="1:12" x14ac:dyDescent="0.25">
      <c r="A3648">
        <v>2303</v>
      </c>
      <c r="B3648" t="s">
        <v>10</v>
      </c>
      <c r="C3648" s="1">
        <v>42881</v>
      </c>
      <c r="D3648" s="2">
        <f t="shared" si="112"/>
        <v>5</v>
      </c>
      <c r="E3648" s="2">
        <f t="shared" si="113"/>
        <v>5</v>
      </c>
      <c r="F3648">
        <v>11.029299999999999</v>
      </c>
      <c r="G3648">
        <v>11.0738</v>
      </c>
      <c r="H3648">
        <v>10.940300000000001</v>
      </c>
      <c r="I3648">
        <v>11.0738</v>
      </c>
      <c r="J3648">
        <v>16680</v>
      </c>
      <c r="K3648">
        <v>0.40239999999999998</v>
      </c>
      <c r="L3648">
        <v>1.2195</v>
      </c>
    </row>
    <row r="3649" spans="1:12" hidden="1" x14ac:dyDescent="0.25">
      <c r="A3649">
        <v>2330</v>
      </c>
      <c r="B3649" t="s">
        <v>11</v>
      </c>
      <c r="C3649" s="1">
        <v>42881</v>
      </c>
      <c r="D3649" s="2">
        <f t="shared" si="112"/>
        <v>5</v>
      </c>
      <c r="E3649" s="2">
        <f t="shared" si="113"/>
        <v>5</v>
      </c>
      <c r="F3649">
        <v>180.77170000000001</v>
      </c>
      <c r="G3649">
        <v>182.53530000000001</v>
      </c>
      <c r="H3649">
        <v>180.77170000000001</v>
      </c>
      <c r="I3649">
        <v>182.53530000000001</v>
      </c>
      <c r="J3649">
        <v>32976</v>
      </c>
      <c r="K3649">
        <v>0</v>
      </c>
      <c r="L3649">
        <v>0.97560000000000002</v>
      </c>
    </row>
    <row r="3650" spans="1:12" x14ac:dyDescent="0.25">
      <c r="A3650">
        <v>2303</v>
      </c>
      <c r="B3650" t="s">
        <v>10</v>
      </c>
      <c r="C3650" s="1">
        <v>42886</v>
      </c>
      <c r="D3650" s="2">
        <f t="shared" si="112"/>
        <v>3</v>
      </c>
      <c r="E3650" s="2">
        <f t="shared" si="113"/>
        <v>5</v>
      </c>
      <c r="F3650">
        <v>11.1182</v>
      </c>
      <c r="G3650">
        <v>11.162699999999999</v>
      </c>
      <c r="H3650">
        <v>10.9848</v>
      </c>
      <c r="I3650">
        <v>11.0738</v>
      </c>
      <c r="J3650">
        <v>31518</v>
      </c>
      <c r="K3650">
        <v>0</v>
      </c>
      <c r="L3650">
        <v>1.6194</v>
      </c>
    </row>
    <row r="3651" spans="1:12" hidden="1" x14ac:dyDescent="0.25">
      <c r="A3651">
        <v>2330</v>
      </c>
      <c r="B3651" t="s">
        <v>11</v>
      </c>
      <c r="C3651" s="1">
        <v>42886</v>
      </c>
      <c r="D3651" s="2">
        <f t="shared" ref="D3651:D3714" si="114">WEEKDAY(C3651,2)</f>
        <v>3</v>
      </c>
      <c r="E3651" s="2">
        <f t="shared" ref="E3651:E3714" si="115">MONTH(C3651)</f>
        <v>5</v>
      </c>
      <c r="F3651">
        <v>182.09440000000001</v>
      </c>
      <c r="G3651">
        <v>182.53530000000001</v>
      </c>
      <c r="H3651">
        <v>179.00800000000001</v>
      </c>
      <c r="I3651">
        <v>179.00800000000001</v>
      </c>
      <c r="J3651">
        <v>67935</v>
      </c>
      <c r="K3651">
        <v>-1.9513</v>
      </c>
      <c r="L3651">
        <v>1.9703999999999999</v>
      </c>
    </row>
    <row r="3652" spans="1:12" x14ac:dyDescent="0.25">
      <c r="A3652">
        <v>2303</v>
      </c>
      <c r="B3652" t="s">
        <v>10</v>
      </c>
      <c r="C3652" s="1">
        <v>42887</v>
      </c>
      <c r="D3652" s="2">
        <f t="shared" si="114"/>
        <v>4</v>
      </c>
      <c r="E3652" s="2">
        <f t="shared" si="115"/>
        <v>6</v>
      </c>
      <c r="F3652">
        <v>11.0738</v>
      </c>
      <c r="G3652">
        <v>11.1182</v>
      </c>
      <c r="H3652">
        <v>11.029299999999999</v>
      </c>
      <c r="I3652">
        <v>11.029299999999999</v>
      </c>
      <c r="J3652">
        <v>16729</v>
      </c>
      <c r="K3652">
        <v>-0.40239999999999998</v>
      </c>
      <c r="L3652">
        <v>0.80649999999999999</v>
      </c>
    </row>
    <row r="3653" spans="1:12" hidden="1" x14ac:dyDescent="0.25">
      <c r="A3653">
        <v>2330</v>
      </c>
      <c r="B3653" t="s">
        <v>11</v>
      </c>
      <c r="C3653" s="1">
        <v>42887</v>
      </c>
      <c r="D3653" s="2">
        <f t="shared" si="114"/>
        <v>4</v>
      </c>
      <c r="E3653" s="2">
        <f t="shared" si="115"/>
        <v>6</v>
      </c>
      <c r="F3653">
        <v>180.77170000000001</v>
      </c>
      <c r="G3653">
        <v>182.53530000000001</v>
      </c>
      <c r="H3653">
        <v>180.33080000000001</v>
      </c>
      <c r="I3653">
        <v>182.53530000000001</v>
      </c>
      <c r="J3653">
        <v>29623</v>
      </c>
      <c r="K3653">
        <v>1.9513</v>
      </c>
      <c r="L3653">
        <v>1.2224999999999999</v>
      </c>
    </row>
    <row r="3654" spans="1:12" x14ac:dyDescent="0.25">
      <c r="A3654">
        <v>2303</v>
      </c>
      <c r="B3654" t="s">
        <v>10</v>
      </c>
      <c r="C3654" s="1">
        <v>42888</v>
      </c>
      <c r="D3654" s="2">
        <f t="shared" si="114"/>
        <v>5</v>
      </c>
      <c r="E3654" s="2">
        <f t="shared" si="115"/>
        <v>6</v>
      </c>
      <c r="F3654">
        <v>11.0738</v>
      </c>
      <c r="G3654">
        <v>11.1182</v>
      </c>
      <c r="H3654">
        <v>10.9848</v>
      </c>
      <c r="I3654">
        <v>11.029299999999999</v>
      </c>
      <c r="J3654">
        <v>15861</v>
      </c>
      <c r="K3654">
        <v>0</v>
      </c>
      <c r="L3654">
        <v>1.2145999999999999</v>
      </c>
    </row>
    <row r="3655" spans="1:12" hidden="1" x14ac:dyDescent="0.25">
      <c r="A3655">
        <v>2330</v>
      </c>
      <c r="B3655" t="s">
        <v>11</v>
      </c>
      <c r="C3655" s="1">
        <v>42888</v>
      </c>
      <c r="D3655" s="2">
        <f t="shared" si="114"/>
        <v>5</v>
      </c>
      <c r="E3655" s="2">
        <f t="shared" si="115"/>
        <v>6</v>
      </c>
      <c r="F3655">
        <v>183.858</v>
      </c>
      <c r="G3655">
        <v>184.2989</v>
      </c>
      <c r="H3655">
        <v>182.97620000000001</v>
      </c>
      <c r="I3655">
        <v>184.2989</v>
      </c>
      <c r="J3655">
        <v>23265</v>
      </c>
      <c r="K3655">
        <v>0.96150000000000002</v>
      </c>
      <c r="L3655">
        <v>0.72289999999999999</v>
      </c>
    </row>
    <row r="3656" spans="1:12" x14ac:dyDescent="0.25">
      <c r="A3656">
        <v>2303</v>
      </c>
      <c r="B3656" t="s">
        <v>10</v>
      </c>
      <c r="C3656" s="1">
        <v>42889</v>
      </c>
      <c r="D3656" s="2">
        <f t="shared" si="114"/>
        <v>6</v>
      </c>
      <c r="E3656" s="2">
        <f t="shared" si="115"/>
        <v>6</v>
      </c>
      <c r="F3656">
        <v>11.0738</v>
      </c>
      <c r="G3656">
        <v>11.0738</v>
      </c>
      <c r="H3656">
        <v>10.9848</v>
      </c>
      <c r="I3656">
        <v>11.029299999999999</v>
      </c>
      <c r="J3656">
        <v>5733</v>
      </c>
      <c r="K3656">
        <v>0</v>
      </c>
      <c r="L3656">
        <v>0.80969999999999998</v>
      </c>
    </row>
    <row r="3657" spans="1:12" hidden="1" x14ac:dyDescent="0.25">
      <c r="A3657">
        <v>2330</v>
      </c>
      <c r="B3657" t="s">
        <v>11</v>
      </c>
      <c r="C3657" s="1">
        <v>42889</v>
      </c>
      <c r="D3657" s="2">
        <f t="shared" si="114"/>
        <v>6</v>
      </c>
      <c r="E3657" s="2">
        <f t="shared" si="115"/>
        <v>6</v>
      </c>
      <c r="F3657">
        <v>184.2989</v>
      </c>
      <c r="G3657">
        <v>184.2989</v>
      </c>
      <c r="H3657">
        <v>183.4171</v>
      </c>
      <c r="I3657">
        <v>184.2989</v>
      </c>
      <c r="J3657">
        <v>1535</v>
      </c>
      <c r="K3657">
        <v>0</v>
      </c>
      <c r="L3657">
        <v>0.48080000000000001</v>
      </c>
    </row>
    <row r="3658" spans="1:12" x14ac:dyDescent="0.25">
      <c r="A3658">
        <v>2303</v>
      </c>
      <c r="B3658" t="s">
        <v>10</v>
      </c>
      <c r="C3658" s="1">
        <v>42891</v>
      </c>
      <c r="D3658" s="2">
        <f t="shared" si="114"/>
        <v>1</v>
      </c>
      <c r="E3658" s="2">
        <f t="shared" si="115"/>
        <v>6</v>
      </c>
      <c r="F3658">
        <v>10.9848</v>
      </c>
      <c r="G3658">
        <v>11.0738</v>
      </c>
      <c r="H3658">
        <v>10.940300000000001</v>
      </c>
      <c r="I3658">
        <v>11.0738</v>
      </c>
      <c r="J3658">
        <v>19833</v>
      </c>
      <c r="K3658">
        <v>0.40239999999999998</v>
      </c>
      <c r="L3658">
        <v>1.2195</v>
      </c>
    </row>
    <row r="3659" spans="1:12" hidden="1" x14ac:dyDescent="0.25">
      <c r="A3659">
        <v>2330</v>
      </c>
      <c r="B3659" t="s">
        <v>11</v>
      </c>
      <c r="C3659" s="1">
        <v>42891</v>
      </c>
      <c r="D3659" s="2">
        <f t="shared" si="114"/>
        <v>1</v>
      </c>
      <c r="E3659" s="2">
        <f t="shared" si="115"/>
        <v>6</v>
      </c>
      <c r="F3659">
        <v>184.7398</v>
      </c>
      <c r="G3659">
        <v>186.9444</v>
      </c>
      <c r="H3659">
        <v>184.2989</v>
      </c>
      <c r="I3659">
        <v>186.9444</v>
      </c>
      <c r="J3659">
        <v>22545</v>
      </c>
      <c r="K3659">
        <v>1.4252</v>
      </c>
      <c r="L3659">
        <v>1.4354</v>
      </c>
    </row>
    <row r="3660" spans="1:12" x14ac:dyDescent="0.25">
      <c r="A3660">
        <v>2303</v>
      </c>
      <c r="B3660" t="s">
        <v>10</v>
      </c>
      <c r="C3660" s="1">
        <v>42892</v>
      </c>
      <c r="D3660" s="2">
        <f t="shared" si="114"/>
        <v>2</v>
      </c>
      <c r="E3660" s="2">
        <f t="shared" si="115"/>
        <v>6</v>
      </c>
      <c r="F3660">
        <v>11.0738</v>
      </c>
      <c r="G3660">
        <v>11.0738</v>
      </c>
      <c r="H3660">
        <v>10.9848</v>
      </c>
      <c r="I3660">
        <v>11.0738</v>
      </c>
      <c r="J3660">
        <v>11596</v>
      </c>
      <c r="K3660">
        <v>0</v>
      </c>
      <c r="L3660">
        <v>0.80969999999999998</v>
      </c>
    </row>
    <row r="3661" spans="1:12" hidden="1" x14ac:dyDescent="0.25">
      <c r="A3661">
        <v>2330</v>
      </c>
      <c r="B3661" t="s">
        <v>11</v>
      </c>
      <c r="C3661" s="1">
        <v>42892</v>
      </c>
      <c r="D3661" s="2">
        <f t="shared" si="114"/>
        <v>2</v>
      </c>
      <c r="E3661" s="2">
        <f t="shared" si="115"/>
        <v>6</v>
      </c>
      <c r="F3661">
        <v>185.6216</v>
      </c>
      <c r="G3661">
        <v>186.5034</v>
      </c>
      <c r="H3661">
        <v>185.6216</v>
      </c>
      <c r="I3661">
        <v>185.6216</v>
      </c>
      <c r="J3661">
        <v>15382</v>
      </c>
      <c r="K3661">
        <v>-0.71009999999999995</v>
      </c>
      <c r="L3661">
        <v>0.47510000000000002</v>
      </c>
    </row>
    <row r="3662" spans="1:12" x14ac:dyDescent="0.25">
      <c r="A3662">
        <v>2303</v>
      </c>
      <c r="B3662" t="s">
        <v>10</v>
      </c>
      <c r="C3662" s="1">
        <v>42893</v>
      </c>
      <c r="D3662" s="2">
        <f t="shared" si="114"/>
        <v>3</v>
      </c>
      <c r="E3662" s="2">
        <f t="shared" si="115"/>
        <v>6</v>
      </c>
      <c r="F3662">
        <v>11.0738</v>
      </c>
      <c r="G3662">
        <v>11.1182</v>
      </c>
      <c r="H3662">
        <v>11.029299999999999</v>
      </c>
      <c r="I3662">
        <v>11.0738</v>
      </c>
      <c r="J3662">
        <v>17606</v>
      </c>
      <c r="K3662">
        <v>0</v>
      </c>
      <c r="L3662">
        <v>0.80649999999999999</v>
      </c>
    </row>
    <row r="3663" spans="1:12" hidden="1" x14ac:dyDescent="0.25">
      <c r="A3663">
        <v>2330</v>
      </c>
      <c r="B3663" t="s">
        <v>11</v>
      </c>
      <c r="C3663" s="1">
        <v>42893</v>
      </c>
      <c r="D3663" s="2">
        <f t="shared" si="114"/>
        <v>3</v>
      </c>
      <c r="E3663" s="2">
        <f t="shared" si="115"/>
        <v>6</v>
      </c>
      <c r="F3663">
        <v>186.9444</v>
      </c>
      <c r="G3663">
        <v>187.3853</v>
      </c>
      <c r="H3663">
        <v>185.1807</v>
      </c>
      <c r="I3663">
        <v>186.5034</v>
      </c>
      <c r="J3663">
        <v>34729</v>
      </c>
      <c r="K3663">
        <v>0.47389999999999999</v>
      </c>
      <c r="L3663">
        <v>1.1904999999999999</v>
      </c>
    </row>
    <row r="3664" spans="1:12" x14ac:dyDescent="0.25">
      <c r="A3664">
        <v>2303</v>
      </c>
      <c r="B3664" t="s">
        <v>10</v>
      </c>
      <c r="C3664" s="1">
        <v>42894</v>
      </c>
      <c r="D3664" s="2">
        <f t="shared" si="114"/>
        <v>4</v>
      </c>
      <c r="E3664" s="2">
        <f t="shared" si="115"/>
        <v>6</v>
      </c>
      <c r="F3664">
        <v>10.9848</v>
      </c>
      <c r="G3664">
        <v>11.0738</v>
      </c>
      <c r="H3664">
        <v>10.9848</v>
      </c>
      <c r="I3664">
        <v>10.9848</v>
      </c>
      <c r="J3664">
        <v>17652</v>
      </c>
      <c r="K3664">
        <v>-0.80649999999999999</v>
      </c>
      <c r="L3664">
        <v>0.80969999999999998</v>
      </c>
    </row>
    <row r="3665" spans="1:12" hidden="1" x14ac:dyDescent="0.25">
      <c r="A3665">
        <v>2330</v>
      </c>
      <c r="B3665" t="s">
        <v>11</v>
      </c>
      <c r="C3665" s="1">
        <v>42894</v>
      </c>
      <c r="D3665" s="2">
        <f t="shared" si="114"/>
        <v>4</v>
      </c>
      <c r="E3665" s="2">
        <f t="shared" si="115"/>
        <v>6</v>
      </c>
      <c r="F3665">
        <v>186.9444</v>
      </c>
      <c r="G3665">
        <v>187.8262</v>
      </c>
      <c r="H3665">
        <v>186.5034</v>
      </c>
      <c r="I3665">
        <v>187.8262</v>
      </c>
      <c r="J3665">
        <v>21654</v>
      </c>
      <c r="K3665">
        <v>0.70669999999999999</v>
      </c>
      <c r="L3665">
        <v>0.70920000000000005</v>
      </c>
    </row>
    <row r="3666" spans="1:12" x14ac:dyDescent="0.25">
      <c r="A3666">
        <v>2303</v>
      </c>
      <c r="B3666" t="s">
        <v>10</v>
      </c>
      <c r="C3666" s="1">
        <v>42895</v>
      </c>
      <c r="D3666" s="2">
        <f t="shared" si="114"/>
        <v>5</v>
      </c>
      <c r="E3666" s="2">
        <f t="shared" si="115"/>
        <v>6</v>
      </c>
      <c r="F3666">
        <v>10.9848</v>
      </c>
      <c r="G3666">
        <v>11.0738</v>
      </c>
      <c r="H3666">
        <v>10.895899999999999</v>
      </c>
      <c r="I3666">
        <v>10.895899999999999</v>
      </c>
      <c r="J3666">
        <v>23368</v>
      </c>
      <c r="K3666">
        <v>-0.81299999999999994</v>
      </c>
      <c r="L3666">
        <v>1.6327</v>
      </c>
    </row>
    <row r="3667" spans="1:12" hidden="1" x14ac:dyDescent="0.25">
      <c r="A3667">
        <v>2330</v>
      </c>
      <c r="B3667" t="s">
        <v>11</v>
      </c>
      <c r="C3667" s="1">
        <v>42895</v>
      </c>
      <c r="D3667" s="2">
        <f t="shared" si="114"/>
        <v>5</v>
      </c>
      <c r="E3667" s="2">
        <f t="shared" si="115"/>
        <v>6</v>
      </c>
      <c r="F3667">
        <v>189.1489</v>
      </c>
      <c r="G3667">
        <v>189.5898</v>
      </c>
      <c r="H3667">
        <v>186.9444</v>
      </c>
      <c r="I3667">
        <v>186.9444</v>
      </c>
      <c r="J3667">
        <v>35190</v>
      </c>
      <c r="K3667">
        <v>-0.47060000000000002</v>
      </c>
      <c r="L3667">
        <v>1.4151</v>
      </c>
    </row>
    <row r="3668" spans="1:12" x14ac:dyDescent="0.25">
      <c r="A3668">
        <v>2303</v>
      </c>
      <c r="B3668" t="s">
        <v>10</v>
      </c>
      <c r="C3668" s="1">
        <v>42898</v>
      </c>
      <c r="D3668" s="2">
        <f t="shared" si="114"/>
        <v>1</v>
      </c>
      <c r="E3668" s="2">
        <f t="shared" si="115"/>
        <v>6</v>
      </c>
      <c r="F3668">
        <v>10.8514</v>
      </c>
      <c r="G3668">
        <v>10.895899999999999</v>
      </c>
      <c r="H3668">
        <v>10.806900000000001</v>
      </c>
      <c r="I3668">
        <v>10.806900000000001</v>
      </c>
      <c r="J3668">
        <v>18811</v>
      </c>
      <c r="K3668">
        <v>-0.81969999999999998</v>
      </c>
      <c r="L3668">
        <v>0.82299999999999995</v>
      </c>
    </row>
    <row r="3669" spans="1:12" hidden="1" x14ac:dyDescent="0.25">
      <c r="A3669">
        <v>2330</v>
      </c>
      <c r="B3669" t="s">
        <v>11</v>
      </c>
      <c r="C3669" s="1">
        <v>42898</v>
      </c>
      <c r="D3669" s="2">
        <f t="shared" si="114"/>
        <v>1</v>
      </c>
      <c r="E3669" s="2">
        <f t="shared" si="115"/>
        <v>6</v>
      </c>
      <c r="F3669">
        <v>182.53530000000001</v>
      </c>
      <c r="G3669">
        <v>185.1807</v>
      </c>
      <c r="H3669">
        <v>182.53530000000001</v>
      </c>
      <c r="I3669">
        <v>182.97620000000001</v>
      </c>
      <c r="J3669">
        <v>63111</v>
      </c>
      <c r="K3669">
        <v>-2.1455000000000002</v>
      </c>
      <c r="L3669">
        <v>1.4493</v>
      </c>
    </row>
    <row r="3670" spans="1:12" x14ac:dyDescent="0.25">
      <c r="A3670">
        <v>2303</v>
      </c>
      <c r="B3670" t="s">
        <v>10</v>
      </c>
      <c r="C3670" s="1">
        <v>42899</v>
      </c>
      <c r="D3670" s="2">
        <f t="shared" si="114"/>
        <v>2</v>
      </c>
      <c r="E3670" s="2">
        <f t="shared" si="115"/>
        <v>6</v>
      </c>
      <c r="F3670">
        <v>10.8514</v>
      </c>
      <c r="G3670">
        <v>10.895899999999999</v>
      </c>
      <c r="H3670">
        <v>10.762499999999999</v>
      </c>
      <c r="I3670">
        <v>10.8514</v>
      </c>
      <c r="J3670">
        <v>18400</v>
      </c>
      <c r="K3670">
        <v>0.41070000000000001</v>
      </c>
      <c r="L3670">
        <v>1.2397</v>
      </c>
    </row>
    <row r="3671" spans="1:12" hidden="1" x14ac:dyDescent="0.25">
      <c r="A3671">
        <v>2330</v>
      </c>
      <c r="B3671" t="s">
        <v>11</v>
      </c>
      <c r="C3671" s="1">
        <v>42899</v>
      </c>
      <c r="D3671" s="2">
        <f t="shared" si="114"/>
        <v>2</v>
      </c>
      <c r="E3671" s="2">
        <f t="shared" si="115"/>
        <v>6</v>
      </c>
      <c r="F3671">
        <v>182.53530000000001</v>
      </c>
      <c r="G3671">
        <v>183.858</v>
      </c>
      <c r="H3671">
        <v>182.09440000000001</v>
      </c>
      <c r="I3671">
        <v>183.4171</v>
      </c>
      <c r="J3671">
        <v>49983</v>
      </c>
      <c r="K3671">
        <v>0.2407</v>
      </c>
      <c r="L3671">
        <v>0.96850000000000003</v>
      </c>
    </row>
    <row r="3672" spans="1:12" x14ac:dyDescent="0.25">
      <c r="A3672">
        <v>2303</v>
      </c>
      <c r="B3672" t="s">
        <v>10</v>
      </c>
      <c r="C3672" s="1">
        <v>42900</v>
      </c>
      <c r="D3672" s="2">
        <f t="shared" si="114"/>
        <v>3</v>
      </c>
      <c r="E3672" s="2">
        <f t="shared" si="115"/>
        <v>6</v>
      </c>
      <c r="F3672">
        <v>10.895899999999999</v>
      </c>
      <c r="G3672">
        <v>10.895899999999999</v>
      </c>
      <c r="H3672">
        <v>10.673500000000001</v>
      </c>
      <c r="I3672">
        <v>10.806900000000001</v>
      </c>
      <c r="J3672">
        <v>23818</v>
      </c>
      <c r="K3672">
        <v>-0.41070000000000001</v>
      </c>
      <c r="L3672">
        <v>2.0832999999999999</v>
      </c>
    </row>
    <row r="3673" spans="1:12" hidden="1" x14ac:dyDescent="0.25">
      <c r="A3673">
        <v>2330</v>
      </c>
      <c r="B3673" t="s">
        <v>11</v>
      </c>
      <c r="C3673" s="1">
        <v>42900</v>
      </c>
      <c r="D3673" s="2">
        <f t="shared" si="114"/>
        <v>3</v>
      </c>
      <c r="E3673" s="2">
        <f t="shared" si="115"/>
        <v>6</v>
      </c>
      <c r="F3673">
        <v>183.858</v>
      </c>
      <c r="G3673">
        <v>184.7398</v>
      </c>
      <c r="H3673">
        <v>181.65350000000001</v>
      </c>
      <c r="I3673">
        <v>182.53530000000001</v>
      </c>
      <c r="J3673">
        <v>39083</v>
      </c>
      <c r="K3673">
        <v>-0.4819</v>
      </c>
      <c r="L3673">
        <v>1.6990000000000001</v>
      </c>
    </row>
    <row r="3674" spans="1:12" x14ac:dyDescent="0.25">
      <c r="A3674">
        <v>2303</v>
      </c>
      <c r="B3674" t="s">
        <v>10</v>
      </c>
      <c r="C3674" s="1">
        <v>42901</v>
      </c>
      <c r="D3674" s="2">
        <f t="shared" si="114"/>
        <v>4</v>
      </c>
      <c r="E3674" s="2">
        <f t="shared" si="115"/>
        <v>6</v>
      </c>
      <c r="F3674">
        <v>10.762499999999999</v>
      </c>
      <c r="G3674">
        <v>10.8514</v>
      </c>
      <c r="H3674">
        <v>10.762499999999999</v>
      </c>
      <c r="I3674">
        <v>10.8514</v>
      </c>
      <c r="J3674">
        <v>15676</v>
      </c>
      <c r="K3674">
        <v>0.41070000000000001</v>
      </c>
      <c r="L3674">
        <v>0.82640000000000002</v>
      </c>
    </row>
    <row r="3675" spans="1:12" hidden="1" x14ac:dyDescent="0.25">
      <c r="A3675">
        <v>2330</v>
      </c>
      <c r="B3675" t="s">
        <v>11</v>
      </c>
      <c r="C3675" s="1">
        <v>42901</v>
      </c>
      <c r="D3675" s="2">
        <f t="shared" si="114"/>
        <v>4</v>
      </c>
      <c r="E3675" s="2">
        <f t="shared" si="115"/>
        <v>6</v>
      </c>
      <c r="F3675">
        <v>182.97620000000001</v>
      </c>
      <c r="G3675">
        <v>183.4171</v>
      </c>
      <c r="H3675">
        <v>182.53530000000001</v>
      </c>
      <c r="I3675">
        <v>183.4171</v>
      </c>
      <c r="J3675">
        <v>19486</v>
      </c>
      <c r="K3675">
        <v>0.4819</v>
      </c>
      <c r="L3675">
        <v>0.48309999999999997</v>
      </c>
    </row>
    <row r="3676" spans="1:12" x14ac:dyDescent="0.25">
      <c r="A3676">
        <v>2303</v>
      </c>
      <c r="B3676" t="s">
        <v>10</v>
      </c>
      <c r="C3676" s="1">
        <v>42902</v>
      </c>
      <c r="D3676" s="2">
        <f t="shared" si="114"/>
        <v>5</v>
      </c>
      <c r="E3676" s="2">
        <f t="shared" si="115"/>
        <v>6</v>
      </c>
      <c r="F3676">
        <v>10.8514</v>
      </c>
      <c r="G3676">
        <v>10.895899999999999</v>
      </c>
      <c r="H3676">
        <v>10.806900000000001</v>
      </c>
      <c r="I3676">
        <v>10.8514</v>
      </c>
      <c r="J3676">
        <v>22341</v>
      </c>
      <c r="K3676">
        <v>0</v>
      </c>
      <c r="L3676">
        <v>0.82299999999999995</v>
      </c>
    </row>
    <row r="3677" spans="1:12" hidden="1" x14ac:dyDescent="0.25">
      <c r="A3677">
        <v>2330</v>
      </c>
      <c r="B3677" t="s">
        <v>11</v>
      </c>
      <c r="C3677" s="1">
        <v>42902</v>
      </c>
      <c r="D3677" s="2">
        <f t="shared" si="114"/>
        <v>5</v>
      </c>
      <c r="E3677" s="2">
        <f t="shared" si="115"/>
        <v>6</v>
      </c>
      <c r="F3677">
        <v>182.97620000000001</v>
      </c>
      <c r="G3677">
        <v>186.9444</v>
      </c>
      <c r="H3677">
        <v>182.53530000000001</v>
      </c>
      <c r="I3677">
        <v>186.5034</v>
      </c>
      <c r="J3677">
        <v>32856</v>
      </c>
      <c r="K3677">
        <v>1.6687000000000001</v>
      </c>
      <c r="L3677">
        <v>2.4155000000000002</v>
      </c>
    </row>
    <row r="3678" spans="1:12" x14ac:dyDescent="0.25">
      <c r="A3678">
        <v>2303</v>
      </c>
      <c r="B3678" t="s">
        <v>10</v>
      </c>
      <c r="C3678" s="1">
        <v>42905</v>
      </c>
      <c r="D3678" s="2">
        <f t="shared" si="114"/>
        <v>1</v>
      </c>
      <c r="E3678" s="2">
        <f t="shared" si="115"/>
        <v>6</v>
      </c>
      <c r="F3678">
        <v>10.8514</v>
      </c>
      <c r="G3678">
        <v>10.895899999999999</v>
      </c>
      <c r="H3678">
        <v>10.806900000000001</v>
      </c>
      <c r="I3678">
        <v>10.895899999999999</v>
      </c>
      <c r="J3678">
        <v>17387</v>
      </c>
      <c r="K3678">
        <v>0.40899999999999997</v>
      </c>
      <c r="L3678">
        <v>0.82299999999999995</v>
      </c>
    </row>
    <row r="3679" spans="1:12" hidden="1" x14ac:dyDescent="0.25">
      <c r="A3679">
        <v>2330</v>
      </c>
      <c r="B3679" t="s">
        <v>11</v>
      </c>
      <c r="C3679" s="1">
        <v>42905</v>
      </c>
      <c r="D3679" s="2">
        <f t="shared" si="114"/>
        <v>1</v>
      </c>
      <c r="E3679" s="2">
        <f t="shared" si="115"/>
        <v>6</v>
      </c>
      <c r="F3679">
        <v>186.0625</v>
      </c>
      <c r="G3679">
        <v>187.8262</v>
      </c>
      <c r="H3679">
        <v>185.6216</v>
      </c>
      <c r="I3679">
        <v>187.8262</v>
      </c>
      <c r="J3679">
        <v>17489</v>
      </c>
      <c r="K3679">
        <v>0.70669999999999999</v>
      </c>
      <c r="L3679">
        <v>1.1876</v>
      </c>
    </row>
    <row r="3680" spans="1:12" x14ac:dyDescent="0.25">
      <c r="A3680">
        <v>2303</v>
      </c>
      <c r="B3680" t="s">
        <v>10</v>
      </c>
      <c r="C3680" s="1">
        <v>42906</v>
      </c>
      <c r="D3680" s="2">
        <f t="shared" si="114"/>
        <v>2</v>
      </c>
      <c r="E3680" s="2">
        <f t="shared" si="115"/>
        <v>6</v>
      </c>
      <c r="F3680">
        <v>10.895899999999999</v>
      </c>
      <c r="G3680">
        <v>10.940300000000001</v>
      </c>
      <c r="H3680">
        <v>10.8514</v>
      </c>
      <c r="I3680">
        <v>10.940300000000001</v>
      </c>
      <c r="J3680">
        <v>10463</v>
      </c>
      <c r="K3680">
        <v>0.4073</v>
      </c>
      <c r="L3680">
        <v>0.81969999999999998</v>
      </c>
    </row>
    <row r="3681" spans="1:12" hidden="1" x14ac:dyDescent="0.25">
      <c r="A3681">
        <v>2330</v>
      </c>
      <c r="B3681" t="s">
        <v>11</v>
      </c>
      <c r="C3681" s="1">
        <v>42906</v>
      </c>
      <c r="D3681" s="2">
        <f t="shared" si="114"/>
        <v>2</v>
      </c>
      <c r="E3681" s="2">
        <f t="shared" si="115"/>
        <v>6</v>
      </c>
      <c r="F3681">
        <v>189.5898</v>
      </c>
      <c r="G3681">
        <v>192.23519999999999</v>
      </c>
      <c r="H3681">
        <v>189.1489</v>
      </c>
      <c r="I3681">
        <v>190.91249999999999</v>
      </c>
      <c r="J3681">
        <v>28784</v>
      </c>
      <c r="K3681">
        <v>1.6297999999999999</v>
      </c>
      <c r="L3681">
        <v>1.6316999999999999</v>
      </c>
    </row>
    <row r="3682" spans="1:12" x14ac:dyDescent="0.25">
      <c r="A3682">
        <v>2303</v>
      </c>
      <c r="B3682" t="s">
        <v>10</v>
      </c>
      <c r="C3682" s="1">
        <v>42907</v>
      </c>
      <c r="D3682" s="2">
        <f t="shared" si="114"/>
        <v>3</v>
      </c>
      <c r="E3682" s="2">
        <f t="shared" si="115"/>
        <v>6</v>
      </c>
      <c r="F3682">
        <v>10.895899999999999</v>
      </c>
      <c r="G3682">
        <v>11.162699999999999</v>
      </c>
      <c r="H3682">
        <v>10.8514</v>
      </c>
      <c r="I3682">
        <v>11.029299999999999</v>
      </c>
      <c r="J3682">
        <v>74633</v>
      </c>
      <c r="K3682">
        <v>0.80969999999999998</v>
      </c>
      <c r="L3682">
        <v>2.8689</v>
      </c>
    </row>
    <row r="3683" spans="1:12" hidden="1" x14ac:dyDescent="0.25">
      <c r="A3683">
        <v>2330</v>
      </c>
      <c r="B3683" t="s">
        <v>11</v>
      </c>
      <c r="C3683" s="1">
        <v>42907</v>
      </c>
      <c r="D3683" s="2">
        <f t="shared" si="114"/>
        <v>3</v>
      </c>
      <c r="E3683" s="2">
        <f t="shared" si="115"/>
        <v>6</v>
      </c>
      <c r="F3683">
        <v>190.4716</v>
      </c>
      <c r="G3683">
        <v>191.35339999999999</v>
      </c>
      <c r="H3683">
        <v>189.1489</v>
      </c>
      <c r="I3683">
        <v>190.0307</v>
      </c>
      <c r="J3683">
        <v>45384</v>
      </c>
      <c r="K3683">
        <v>-0.46300000000000002</v>
      </c>
      <c r="L3683">
        <v>1.1655</v>
      </c>
    </row>
    <row r="3684" spans="1:12" x14ac:dyDescent="0.25">
      <c r="A3684">
        <v>2303</v>
      </c>
      <c r="B3684" t="s">
        <v>10</v>
      </c>
      <c r="C3684" s="1">
        <v>42908</v>
      </c>
      <c r="D3684" s="2">
        <f t="shared" si="114"/>
        <v>4</v>
      </c>
      <c r="E3684" s="2">
        <f t="shared" si="115"/>
        <v>6</v>
      </c>
      <c r="F3684">
        <v>11.0738</v>
      </c>
      <c r="G3684">
        <v>11.1182</v>
      </c>
      <c r="H3684">
        <v>10.940300000000001</v>
      </c>
      <c r="I3684">
        <v>11.029299999999999</v>
      </c>
      <c r="J3684">
        <v>18503</v>
      </c>
      <c r="K3684">
        <v>0</v>
      </c>
      <c r="L3684">
        <v>1.6259999999999999</v>
      </c>
    </row>
    <row r="3685" spans="1:12" hidden="1" x14ac:dyDescent="0.25">
      <c r="A3685">
        <v>2330</v>
      </c>
      <c r="B3685" t="s">
        <v>11</v>
      </c>
      <c r="C3685" s="1">
        <v>42908</v>
      </c>
      <c r="D3685" s="2">
        <f t="shared" si="114"/>
        <v>4</v>
      </c>
      <c r="E3685" s="2">
        <f t="shared" si="115"/>
        <v>6</v>
      </c>
      <c r="F3685">
        <v>191.35339999999999</v>
      </c>
      <c r="G3685">
        <v>192.23519999999999</v>
      </c>
      <c r="H3685">
        <v>190.91249999999999</v>
      </c>
      <c r="I3685">
        <v>192.23519999999999</v>
      </c>
      <c r="J3685">
        <v>26094</v>
      </c>
      <c r="K3685">
        <v>1.1534</v>
      </c>
      <c r="L3685">
        <v>0.69279999999999997</v>
      </c>
    </row>
    <row r="3686" spans="1:12" x14ac:dyDescent="0.25">
      <c r="A3686">
        <v>2303</v>
      </c>
      <c r="B3686" t="s">
        <v>10</v>
      </c>
      <c r="C3686" s="1">
        <v>42909</v>
      </c>
      <c r="D3686" s="2">
        <f t="shared" si="114"/>
        <v>5</v>
      </c>
      <c r="E3686" s="2">
        <f t="shared" si="115"/>
        <v>6</v>
      </c>
      <c r="F3686">
        <v>11.0738</v>
      </c>
      <c r="G3686">
        <v>11.5185</v>
      </c>
      <c r="H3686">
        <v>11.029299999999999</v>
      </c>
      <c r="I3686">
        <v>11.3851</v>
      </c>
      <c r="J3686">
        <v>176325</v>
      </c>
      <c r="K3686">
        <v>3.1749000000000001</v>
      </c>
      <c r="L3686">
        <v>4.4355000000000002</v>
      </c>
    </row>
    <row r="3687" spans="1:12" hidden="1" x14ac:dyDescent="0.25">
      <c r="A3687">
        <v>2330</v>
      </c>
      <c r="B3687" t="s">
        <v>11</v>
      </c>
      <c r="C3687" s="1">
        <v>42909</v>
      </c>
      <c r="D3687" s="2">
        <f t="shared" si="114"/>
        <v>5</v>
      </c>
      <c r="E3687" s="2">
        <f t="shared" si="115"/>
        <v>6</v>
      </c>
      <c r="F3687">
        <v>192.23519999999999</v>
      </c>
      <c r="G3687">
        <v>192.67609999999999</v>
      </c>
      <c r="H3687">
        <v>191.35339999999999</v>
      </c>
      <c r="I3687">
        <v>191.35339999999999</v>
      </c>
      <c r="J3687">
        <v>39686</v>
      </c>
      <c r="K3687">
        <v>-0.45979999999999999</v>
      </c>
      <c r="L3687">
        <v>0.69120000000000004</v>
      </c>
    </row>
    <row r="3688" spans="1:12" x14ac:dyDescent="0.25">
      <c r="A3688">
        <v>2303</v>
      </c>
      <c r="B3688" t="s">
        <v>10</v>
      </c>
      <c r="C3688" s="1">
        <v>42912</v>
      </c>
      <c r="D3688" s="2">
        <f t="shared" si="114"/>
        <v>1</v>
      </c>
      <c r="E3688" s="2">
        <f t="shared" si="115"/>
        <v>6</v>
      </c>
      <c r="F3688">
        <v>11.429500000000001</v>
      </c>
      <c r="G3688">
        <v>11.963200000000001</v>
      </c>
      <c r="H3688">
        <v>11.429500000000001</v>
      </c>
      <c r="I3688">
        <v>11.829800000000001</v>
      </c>
      <c r="J3688">
        <v>190887</v>
      </c>
      <c r="K3688">
        <v>3.8319000000000001</v>
      </c>
      <c r="L3688">
        <v>4.6692999999999998</v>
      </c>
    </row>
    <row r="3689" spans="1:12" hidden="1" x14ac:dyDescent="0.25">
      <c r="A3689">
        <v>2330</v>
      </c>
      <c r="B3689" t="s">
        <v>11</v>
      </c>
      <c r="C3689" s="1">
        <v>42912</v>
      </c>
      <c r="D3689" s="2">
        <f t="shared" si="114"/>
        <v>1</v>
      </c>
      <c r="E3689" s="2">
        <f t="shared" si="115"/>
        <v>6</v>
      </c>
      <c r="F3689">
        <v>193.17609999999999</v>
      </c>
      <c r="G3689">
        <v>195.90969999999999</v>
      </c>
      <c r="H3689">
        <v>193.17609999999999</v>
      </c>
      <c r="I3689">
        <v>195.90969999999999</v>
      </c>
      <c r="J3689">
        <v>60140</v>
      </c>
      <c r="K3689">
        <v>2.278</v>
      </c>
      <c r="L3689">
        <v>1.4151</v>
      </c>
    </row>
    <row r="3690" spans="1:12" x14ac:dyDescent="0.25">
      <c r="A3690">
        <v>2303</v>
      </c>
      <c r="B3690" t="s">
        <v>10</v>
      </c>
      <c r="C3690" s="1">
        <v>42913</v>
      </c>
      <c r="D3690" s="2">
        <f t="shared" si="114"/>
        <v>2</v>
      </c>
      <c r="E3690" s="2">
        <f t="shared" si="115"/>
        <v>6</v>
      </c>
      <c r="F3690">
        <v>11.918799999999999</v>
      </c>
      <c r="G3690">
        <v>12.0966</v>
      </c>
      <c r="H3690">
        <v>11.696400000000001</v>
      </c>
      <c r="I3690">
        <v>11.696400000000001</v>
      </c>
      <c r="J3690">
        <v>105334</v>
      </c>
      <c r="K3690">
        <v>-1.1342000000000001</v>
      </c>
      <c r="L3690">
        <v>3.4220999999999999</v>
      </c>
    </row>
    <row r="3691" spans="1:12" hidden="1" x14ac:dyDescent="0.25">
      <c r="A3691">
        <v>2330</v>
      </c>
      <c r="B3691" t="s">
        <v>11</v>
      </c>
      <c r="C3691" s="1">
        <v>42913</v>
      </c>
      <c r="D3691" s="2">
        <f t="shared" si="114"/>
        <v>2</v>
      </c>
      <c r="E3691" s="2">
        <f t="shared" si="115"/>
        <v>6</v>
      </c>
      <c r="F3691">
        <v>194.99850000000001</v>
      </c>
      <c r="G3691">
        <v>194.99850000000001</v>
      </c>
      <c r="H3691">
        <v>192.26490000000001</v>
      </c>
      <c r="I3691">
        <v>192.72049999999999</v>
      </c>
      <c r="J3691">
        <v>44504</v>
      </c>
      <c r="K3691">
        <v>-1.6413</v>
      </c>
      <c r="L3691">
        <v>1.4218</v>
      </c>
    </row>
    <row r="3692" spans="1:12" x14ac:dyDescent="0.25">
      <c r="A3692">
        <v>2303</v>
      </c>
      <c r="B3692" t="s">
        <v>10</v>
      </c>
      <c r="C3692" s="1">
        <v>42914</v>
      </c>
      <c r="D3692" s="2">
        <f t="shared" si="114"/>
        <v>3</v>
      </c>
      <c r="E3692" s="2">
        <f t="shared" si="115"/>
        <v>6</v>
      </c>
      <c r="F3692">
        <v>12.0077</v>
      </c>
      <c r="G3692">
        <v>12.8527</v>
      </c>
      <c r="H3692">
        <v>12.0077</v>
      </c>
      <c r="I3692">
        <v>12.8527</v>
      </c>
      <c r="J3692">
        <v>517994</v>
      </c>
      <c r="K3692">
        <v>9.4273000000000007</v>
      </c>
      <c r="L3692">
        <v>7.0369999999999999</v>
      </c>
    </row>
    <row r="3693" spans="1:12" hidden="1" x14ac:dyDescent="0.25">
      <c r="A3693">
        <v>2330</v>
      </c>
      <c r="B3693" t="s">
        <v>11</v>
      </c>
      <c r="C3693" s="1">
        <v>42914</v>
      </c>
      <c r="D3693" s="2">
        <f t="shared" si="114"/>
        <v>3</v>
      </c>
      <c r="E3693" s="2">
        <f t="shared" si="115"/>
        <v>6</v>
      </c>
      <c r="F3693">
        <v>190.8981</v>
      </c>
      <c r="G3693">
        <v>191.3537</v>
      </c>
      <c r="H3693">
        <v>189.53129999999999</v>
      </c>
      <c r="I3693">
        <v>189.98689999999999</v>
      </c>
      <c r="J3693">
        <v>52273</v>
      </c>
      <c r="K3693">
        <v>-1.4286000000000001</v>
      </c>
      <c r="L3693">
        <v>0.96150000000000002</v>
      </c>
    </row>
    <row r="3694" spans="1:12" x14ac:dyDescent="0.25">
      <c r="A3694">
        <v>2303</v>
      </c>
      <c r="B3694" t="s">
        <v>10</v>
      </c>
      <c r="C3694" s="1">
        <v>42915</v>
      </c>
      <c r="D3694" s="2">
        <f t="shared" si="114"/>
        <v>4</v>
      </c>
      <c r="E3694" s="2">
        <f t="shared" si="115"/>
        <v>6</v>
      </c>
      <c r="F3694">
        <v>13.4308</v>
      </c>
      <c r="G3694">
        <v>13.5642</v>
      </c>
      <c r="H3694">
        <v>13.074999999999999</v>
      </c>
      <c r="I3694">
        <v>13.1195</v>
      </c>
      <c r="J3694">
        <v>439590</v>
      </c>
      <c r="K3694">
        <v>2.0548999999999999</v>
      </c>
      <c r="L3694">
        <v>3.7414999999999998</v>
      </c>
    </row>
    <row r="3695" spans="1:12" hidden="1" x14ac:dyDescent="0.25">
      <c r="A3695">
        <v>2330</v>
      </c>
      <c r="B3695" t="s">
        <v>11</v>
      </c>
      <c r="C3695" s="1">
        <v>42915</v>
      </c>
      <c r="D3695" s="2">
        <f t="shared" si="114"/>
        <v>4</v>
      </c>
      <c r="E3695" s="2">
        <f t="shared" si="115"/>
        <v>6</v>
      </c>
      <c r="F3695">
        <v>191.80930000000001</v>
      </c>
      <c r="G3695">
        <v>191.80930000000001</v>
      </c>
      <c r="H3695">
        <v>189.98689999999999</v>
      </c>
      <c r="I3695">
        <v>191.3537</v>
      </c>
      <c r="J3695">
        <v>27049</v>
      </c>
      <c r="K3695">
        <v>0.71679999999999999</v>
      </c>
      <c r="L3695">
        <v>0.95920000000000005</v>
      </c>
    </row>
    <row r="3696" spans="1:12" x14ac:dyDescent="0.25">
      <c r="A3696">
        <v>2303</v>
      </c>
      <c r="B3696" t="s">
        <v>10</v>
      </c>
      <c r="C3696" s="1">
        <v>42916</v>
      </c>
      <c r="D3696" s="2">
        <f t="shared" si="114"/>
        <v>5</v>
      </c>
      <c r="E3696" s="2">
        <f t="shared" si="115"/>
        <v>6</v>
      </c>
      <c r="F3696">
        <v>12.941599999999999</v>
      </c>
      <c r="G3696">
        <v>13.164</v>
      </c>
      <c r="H3696">
        <v>12.8972</v>
      </c>
      <c r="I3696">
        <v>13.1195</v>
      </c>
      <c r="J3696">
        <v>225871</v>
      </c>
      <c r="K3696">
        <v>0</v>
      </c>
      <c r="L3696">
        <v>2.069</v>
      </c>
    </row>
    <row r="3697" spans="1:12" hidden="1" x14ac:dyDescent="0.25">
      <c r="A3697">
        <v>2330</v>
      </c>
      <c r="B3697" t="s">
        <v>11</v>
      </c>
      <c r="C3697" s="1">
        <v>42916</v>
      </c>
      <c r="D3697" s="2">
        <f t="shared" si="114"/>
        <v>5</v>
      </c>
      <c r="E3697" s="2">
        <f t="shared" si="115"/>
        <v>6</v>
      </c>
      <c r="F3697">
        <v>188.1645</v>
      </c>
      <c r="G3697">
        <v>189.98689999999999</v>
      </c>
      <c r="H3697">
        <v>188.1645</v>
      </c>
      <c r="I3697">
        <v>189.98689999999999</v>
      </c>
      <c r="J3697">
        <v>31709</v>
      </c>
      <c r="K3697">
        <v>-0.71679999999999999</v>
      </c>
      <c r="L3697">
        <v>0.96850000000000003</v>
      </c>
    </row>
    <row r="3698" spans="1:12" x14ac:dyDescent="0.25">
      <c r="A3698">
        <v>2303</v>
      </c>
      <c r="B3698" t="s">
        <v>10</v>
      </c>
      <c r="C3698" s="1">
        <v>42919</v>
      </c>
      <c r="D3698" s="2">
        <f t="shared" si="114"/>
        <v>1</v>
      </c>
      <c r="E3698" s="2">
        <f t="shared" si="115"/>
        <v>7</v>
      </c>
      <c r="F3698">
        <v>13.164</v>
      </c>
      <c r="G3698">
        <v>13.208500000000001</v>
      </c>
      <c r="H3698">
        <v>12.7637</v>
      </c>
      <c r="I3698">
        <v>12.808199999999999</v>
      </c>
      <c r="J3698">
        <v>150889</v>
      </c>
      <c r="K3698">
        <v>-2.4015</v>
      </c>
      <c r="L3698">
        <v>3.4843000000000002</v>
      </c>
    </row>
    <row r="3699" spans="1:12" hidden="1" x14ac:dyDescent="0.25">
      <c r="A3699">
        <v>2330</v>
      </c>
      <c r="B3699" t="s">
        <v>11</v>
      </c>
      <c r="C3699" s="1">
        <v>42919</v>
      </c>
      <c r="D3699" s="2">
        <f t="shared" si="114"/>
        <v>1</v>
      </c>
      <c r="E3699" s="2">
        <f t="shared" si="115"/>
        <v>7</v>
      </c>
      <c r="F3699">
        <v>189.07570000000001</v>
      </c>
      <c r="G3699">
        <v>190.4425</v>
      </c>
      <c r="H3699">
        <v>188.62010000000001</v>
      </c>
      <c r="I3699">
        <v>190.4425</v>
      </c>
      <c r="J3699">
        <v>21066</v>
      </c>
      <c r="K3699">
        <v>0.23949999999999999</v>
      </c>
      <c r="L3699">
        <v>0.96619999999999995</v>
      </c>
    </row>
    <row r="3700" spans="1:12" x14ac:dyDescent="0.25">
      <c r="A3700">
        <v>2303</v>
      </c>
      <c r="B3700" t="s">
        <v>10</v>
      </c>
      <c r="C3700" s="1">
        <v>42920</v>
      </c>
      <c r="D3700" s="2">
        <f t="shared" si="114"/>
        <v>2</v>
      </c>
      <c r="E3700" s="2">
        <f t="shared" si="115"/>
        <v>7</v>
      </c>
      <c r="F3700">
        <v>12.8527</v>
      </c>
      <c r="G3700">
        <v>12.9861</v>
      </c>
      <c r="H3700">
        <v>12.6303</v>
      </c>
      <c r="I3700">
        <v>12.6303</v>
      </c>
      <c r="J3700">
        <v>99895</v>
      </c>
      <c r="K3700">
        <v>-1.3986000000000001</v>
      </c>
      <c r="L3700">
        <v>2.8169</v>
      </c>
    </row>
    <row r="3701" spans="1:12" hidden="1" x14ac:dyDescent="0.25">
      <c r="A3701">
        <v>2330</v>
      </c>
      <c r="B3701" t="s">
        <v>11</v>
      </c>
      <c r="C3701" s="1">
        <v>42920</v>
      </c>
      <c r="D3701" s="2">
        <f t="shared" si="114"/>
        <v>2</v>
      </c>
      <c r="E3701" s="2">
        <f t="shared" si="115"/>
        <v>7</v>
      </c>
      <c r="F3701">
        <v>189.53129999999999</v>
      </c>
      <c r="G3701">
        <v>189.98689999999999</v>
      </c>
      <c r="H3701">
        <v>188.62010000000001</v>
      </c>
      <c r="I3701">
        <v>188.62010000000001</v>
      </c>
      <c r="J3701">
        <v>21592</v>
      </c>
      <c r="K3701">
        <v>-0.96150000000000002</v>
      </c>
      <c r="L3701">
        <v>0.72460000000000002</v>
      </c>
    </row>
    <row r="3702" spans="1:12" x14ac:dyDescent="0.25">
      <c r="A3702">
        <v>2303</v>
      </c>
      <c r="B3702" t="s">
        <v>10</v>
      </c>
      <c r="C3702" s="1">
        <v>42921</v>
      </c>
      <c r="D3702" s="2">
        <f t="shared" si="114"/>
        <v>3</v>
      </c>
      <c r="E3702" s="2">
        <f t="shared" si="115"/>
        <v>7</v>
      </c>
      <c r="F3702">
        <v>12.7193</v>
      </c>
      <c r="G3702">
        <v>12.8527</v>
      </c>
      <c r="H3702">
        <v>12.674799999999999</v>
      </c>
      <c r="I3702">
        <v>12.808199999999999</v>
      </c>
      <c r="J3702">
        <v>116244</v>
      </c>
      <c r="K3702">
        <v>1.3986000000000001</v>
      </c>
      <c r="L3702">
        <v>1.4035</v>
      </c>
    </row>
    <row r="3703" spans="1:12" hidden="1" x14ac:dyDescent="0.25">
      <c r="A3703">
        <v>2330</v>
      </c>
      <c r="B3703" t="s">
        <v>11</v>
      </c>
      <c r="C3703" s="1">
        <v>42921</v>
      </c>
      <c r="D3703" s="2">
        <f t="shared" si="114"/>
        <v>3</v>
      </c>
      <c r="E3703" s="2">
        <f t="shared" si="115"/>
        <v>7</v>
      </c>
      <c r="F3703">
        <v>188.62010000000001</v>
      </c>
      <c r="G3703">
        <v>189.98689999999999</v>
      </c>
      <c r="H3703">
        <v>188.1645</v>
      </c>
      <c r="I3703">
        <v>189.98689999999999</v>
      </c>
      <c r="J3703">
        <v>23463</v>
      </c>
      <c r="K3703">
        <v>0.72199999999999998</v>
      </c>
      <c r="L3703">
        <v>0.96850000000000003</v>
      </c>
    </row>
    <row r="3704" spans="1:12" x14ac:dyDescent="0.25">
      <c r="A3704">
        <v>2303</v>
      </c>
      <c r="B3704" t="s">
        <v>10</v>
      </c>
      <c r="C3704" s="1">
        <v>42922</v>
      </c>
      <c r="D3704" s="2">
        <f t="shared" si="114"/>
        <v>4</v>
      </c>
      <c r="E3704" s="2">
        <f t="shared" si="115"/>
        <v>7</v>
      </c>
      <c r="F3704">
        <v>12.8527</v>
      </c>
      <c r="G3704">
        <v>12.8527</v>
      </c>
      <c r="H3704">
        <v>12.674799999999999</v>
      </c>
      <c r="I3704">
        <v>12.8527</v>
      </c>
      <c r="J3704">
        <v>66013</v>
      </c>
      <c r="K3704">
        <v>0.34660000000000002</v>
      </c>
      <c r="L3704">
        <v>1.4035</v>
      </c>
    </row>
    <row r="3705" spans="1:12" hidden="1" x14ac:dyDescent="0.25">
      <c r="A3705">
        <v>2330</v>
      </c>
      <c r="B3705" t="s">
        <v>11</v>
      </c>
      <c r="C3705" s="1">
        <v>42922</v>
      </c>
      <c r="D3705" s="2">
        <f t="shared" si="114"/>
        <v>4</v>
      </c>
      <c r="E3705" s="2">
        <f t="shared" si="115"/>
        <v>7</v>
      </c>
      <c r="F3705">
        <v>189.53129999999999</v>
      </c>
      <c r="G3705">
        <v>189.98689999999999</v>
      </c>
      <c r="H3705">
        <v>188.62010000000001</v>
      </c>
      <c r="I3705">
        <v>189.07570000000001</v>
      </c>
      <c r="J3705">
        <v>15260</v>
      </c>
      <c r="K3705">
        <v>-0.48080000000000001</v>
      </c>
      <c r="L3705">
        <v>0.72460000000000002</v>
      </c>
    </row>
    <row r="3706" spans="1:12" x14ac:dyDescent="0.25">
      <c r="A3706">
        <v>2303</v>
      </c>
      <c r="B3706" t="s">
        <v>10</v>
      </c>
      <c r="C3706" s="1">
        <v>42923</v>
      </c>
      <c r="D3706" s="2">
        <f t="shared" si="114"/>
        <v>5</v>
      </c>
      <c r="E3706" s="2">
        <f t="shared" si="115"/>
        <v>7</v>
      </c>
      <c r="F3706">
        <v>12.808199999999999</v>
      </c>
      <c r="G3706">
        <v>12.8527</v>
      </c>
      <c r="H3706">
        <v>12.7193</v>
      </c>
      <c r="I3706">
        <v>12.7637</v>
      </c>
      <c r="J3706">
        <v>78876</v>
      </c>
      <c r="K3706">
        <v>-0.69440000000000002</v>
      </c>
      <c r="L3706">
        <v>1.0489999999999999</v>
      </c>
    </row>
    <row r="3707" spans="1:12" hidden="1" x14ac:dyDescent="0.25">
      <c r="A3707">
        <v>2330</v>
      </c>
      <c r="B3707" t="s">
        <v>11</v>
      </c>
      <c r="C3707" s="1">
        <v>42923</v>
      </c>
      <c r="D3707" s="2">
        <f t="shared" si="114"/>
        <v>5</v>
      </c>
      <c r="E3707" s="2">
        <f t="shared" si="115"/>
        <v>7</v>
      </c>
      <c r="F3707">
        <v>188.62010000000001</v>
      </c>
      <c r="G3707">
        <v>189.07570000000001</v>
      </c>
      <c r="H3707">
        <v>187.25319999999999</v>
      </c>
      <c r="I3707">
        <v>187.7088</v>
      </c>
      <c r="J3707">
        <v>21567</v>
      </c>
      <c r="K3707">
        <v>-0.72550000000000003</v>
      </c>
      <c r="L3707">
        <v>0.97319999999999995</v>
      </c>
    </row>
    <row r="3708" spans="1:12" x14ac:dyDescent="0.25">
      <c r="A3708">
        <v>2303</v>
      </c>
      <c r="B3708" t="s">
        <v>10</v>
      </c>
      <c r="C3708" s="1">
        <v>42926</v>
      </c>
      <c r="D3708" s="2">
        <f t="shared" si="114"/>
        <v>1</v>
      </c>
      <c r="E3708" s="2">
        <f t="shared" si="115"/>
        <v>7</v>
      </c>
      <c r="F3708">
        <v>12.8527</v>
      </c>
      <c r="G3708">
        <v>12.8972</v>
      </c>
      <c r="H3708">
        <v>12.674799999999999</v>
      </c>
      <c r="I3708">
        <v>12.7193</v>
      </c>
      <c r="J3708">
        <v>136523</v>
      </c>
      <c r="K3708">
        <v>-0.34899999999999998</v>
      </c>
      <c r="L3708">
        <v>1.7544</v>
      </c>
    </row>
    <row r="3709" spans="1:12" hidden="1" x14ac:dyDescent="0.25">
      <c r="A3709">
        <v>2330</v>
      </c>
      <c r="B3709" t="s">
        <v>11</v>
      </c>
      <c r="C3709" s="1">
        <v>42926</v>
      </c>
      <c r="D3709" s="2">
        <f t="shared" si="114"/>
        <v>1</v>
      </c>
      <c r="E3709" s="2">
        <f t="shared" si="115"/>
        <v>7</v>
      </c>
      <c r="F3709">
        <v>188.1645</v>
      </c>
      <c r="G3709">
        <v>188.62010000000001</v>
      </c>
      <c r="H3709">
        <v>187.7088</v>
      </c>
      <c r="I3709">
        <v>187.7088</v>
      </c>
      <c r="J3709">
        <v>13326</v>
      </c>
      <c r="K3709">
        <v>0</v>
      </c>
      <c r="L3709">
        <v>0.4854</v>
      </c>
    </row>
    <row r="3710" spans="1:12" x14ac:dyDescent="0.25">
      <c r="A3710">
        <v>2303</v>
      </c>
      <c r="B3710" t="s">
        <v>10</v>
      </c>
      <c r="C3710" s="1">
        <v>42927</v>
      </c>
      <c r="D3710" s="2">
        <f t="shared" si="114"/>
        <v>2</v>
      </c>
      <c r="E3710" s="2">
        <f t="shared" si="115"/>
        <v>7</v>
      </c>
      <c r="F3710">
        <v>12.7193</v>
      </c>
      <c r="G3710">
        <v>12.995799999999999</v>
      </c>
      <c r="H3710">
        <v>12.6732</v>
      </c>
      <c r="I3710">
        <v>12.995799999999999</v>
      </c>
      <c r="J3710">
        <v>96298</v>
      </c>
      <c r="K3710">
        <v>2.0762</v>
      </c>
      <c r="L3710">
        <v>2.5455000000000001</v>
      </c>
    </row>
    <row r="3711" spans="1:12" hidden="1" x14ac:dyDescent="0.25">
      <c r="A3711">
        <v>2330</v>
      </c>
      <c r="B3711" t="s">
        <v>11</v>
      </c>
      <c r="C3711" s="1">
        <v>42927</v>
      </c>
      <c r="D3711" s="2">
        <f t="shared" si="114"/>
        <v>2</v>
      </c>
      <c r="E3711" s="2">
        <f t="shared" si="115"/>
        <v>7</v>
      </c>
      <c r="F3711">
        <v>189.53129999999999</v>
      </c>
      <c r="G3711">
        <v>193.17609999999999</v>
      </c>
      <c r="H3711">
        <v>189.07570000000001</v>
      </c>
      <c r="I3711">
        <v>193.17609999999999</v>
      </c>
      <c r="J3711">
        <v>34593</v>
      </c>
      <c r="K3711">
        <v>2.871</v>
      </c>
      <c r="L3711">
        <v>2.1686999999999999</v>
      </c>
    </row>
    <row r="3712" spans="1:12" x14ac:dyDescent="0.25">
      <c r="A3712">
        <v>2303</v>
      </c>
      <c r="B3712" t="s">
        <v>10</v>
      </c>
      <c r="C3712" s="1">
        <v>42928</v>
      </c>
      <c r="D3712" s="2">
        <f t="shared" si="114"/>
        <v>3</v>
      </c>
      <c r="E3712" s="2">
        <f t="shared" si="115"/>
        <v>7</v>
      </c>
      <c r="F3712">
        <v>13.0419</v>
      </c>
      <c r="G3712">
        <v>13.134</v>
      </c>
      <c r="H3712">
        <v>12.995799999999999</v>
      </c>
      <c r="I3712">
        <v>13.087899999999999</v>
      </c>
      <c r="J3712">
        <v>73168</v>
      </c>
      <c r="K3712">
        <v>0.70669999999999999</v>
      </c>
      <c r="L3712">
        <v>1.0638000000000001</v>
      </c>
    </row>
    <row r="3713" spans="1:12" hidden="1" x14ac:dyDescent="0.25">
      <c r="A3713">
        <v>2330</v>
      </c>
      <c r="B3713" t="s">
        <v>11</v>
      </c>
      <c r="C3713" s="1">
        <v>42928</v>
      </c>
      <c r="D3713" s="2">
        <f t="shared" si="114"/>
        <v>3</v>
      </c>
      <c r="E3713" s="2">
        <f t="shared" si="115"/>
        <v>7</v>
      </c>
      <c r="F3713">
        <v>192.26490000000001</v>
      </c>
      <c r="G3713">
        <v>193.6317</v>
      </c>
      <c r="H3713">
        <v>191.80930000000001</v>
      </c>
      <c r="I3713">
        <v>191.80930000000001</v>
      </c>
      <c r="J3713">
        <v>26887</v>
      </c>
      <c r="K3713">
        <v>-0.71009999999999995</v>
      </c>
      <c r="L3713">
        <v>0.95009999999999994</v>
      </c>
    </row>
    <row r="3714" spans="1:12" x14ac:dyDescent="0.25">
      <c r="A3714">
        <v>2303</v>
      </c>
      <c r="B3714" t="s">
        <v>10</v>
      </c>
      <c r="C3714" s="1">
        <v>42929</v>
      </c>
      <c r="D3714" s="2">
        <f t="shared" si="114"/>
        <v>4</v>
      </c>
      <c r="E3714" s="2">
        <f t="shared" si="115"/>
        <v>7</v>
      </c>
      <c r="F3714">
        <v>13.2262</v>
      </c>
      <c r="G3714">
        <v>13.7331</v>
      </c>
      <c r="H3714">
        <v>13.134</v>
      </c>
      <c r="I3714">
        <v>13.686999999999999</v>
      </c>
      <c r="J3714">
        <v>217680</v>
      </c>
      <c r="K3714">
        <v>4.4757999999999996</v>
      </c>
      <c r="L3714">
        <v>4.5613999999999999</v>
      </c>
    </row>
    <row r="3715" spans="1:12" hidden="1" x14ac:dyDescent="0.25">
      <c r="A3715">
        <v>2330</v>
      </c>
      <c r="B3715" t="s">
        <v>11</v>
      </c>
      <c r="C3715" s="1">
        <v>42929</v>
      </c>
      <c r="D3715" s="2">
        <f t="shared" ref="D3715:D3778" si="116">WEEKDAY(C3715,2)</f>
        <v>4</v>
      </c>
      <c r="E3715" s="2">
        <f t="shared" ref="E3715:E3778" si="117">MONTH(C3715)</f>
        <v>7</v>
      </c>
      <c r="F3715">
        <v>193.17609999999999</v>
      </c>
      <c r="G3715">
        <v>196.82089999999999</v>
      </c>
      <c r="H3715">
        <v>192.72049999999999</v>
      </c>
      <c r="I3715">
        <v>195.45410000000001</v>
      </c>
      <c r="J3715">
        <v>50136</v>
      </c>
      <c r="K3715">
        <v>1.8824000000000001</v>
      </c>
      <c r="L3715">
        <v>2.1276999999999999</v>
      </c>
    </row>
    <row r="3716" spans="1:12" x14ac:dyDescent="0.25">
      <c r="A3716">
        <v>2303</v>
      </c>
      <c r="B3716" t="s">
        <v>10</v>
      </c>
      <c r="C3716" s="1">
        <v>42930</v>
      </c>
      <c r="D3716" s="2">
        <f t="shared" si="116"/>
        <v>5</v>
      </c>
      <c r="E3716" s="2">
        <f t="shared" si="117"/>
        <v>7</v>
      </c>
      <c r="F3716">
        <v>13.7331</v>
      </c>
      <c r="G3716">
        <v>13.7331</v>
      </c>
      <c r="H3716">
        <v>13.410500000000001</v>
      </c>
      <c r="I3716">
        <v>13.410500000000001</v>
      </c>
      <c r="J3716">
        <v>85412</v>
      </c>
      <c r="K3716">
        <v>-2.0409000000000002</v>
      </c>
      <c r="L3716">
        <v>2.4055</v>
      </c>
    </row>
    <row r="3717" spans="1:12" hidden="1" x14ac:dyDescent="0.25">
      <c r="A3717">
        <v>2330</v>
      </c>
      <c r="B3717" t="s">
        <v>11</v>
      </c>
      <c r="C3717" s="1">
        <v>42930</v>
      </c>
      <c r="D3717" s="2">
        <f t="shared" si="116"/>
        <v>5</v>
      </c>
      <c r="E3717" s="2">
        <f t="shared" si="117"/>
        <v>7</v>
      </c>
      <c r="F3717">
        <v>194.0873</v>
      </c>
      <c r="G3717">
        <v>195.45410000000001</v>
      </c>
      <c r="H3717">
        <v>193.17609999999999</v>
      </c>
      <c r="I3717">
        <v>194.0873</v>
      </c>
      <c r="J3717">
        <v>22364</v>
      </c>
      <c r="K3717">
        <v>-0.70179999999999998</v>
      </c>
      <c r="L3717">
        <v>1.1792</v>
      </c>
    </row>
    <row r="3718" spans="1:12" x14ac:dyDescent="0.25">
      <c r="A3718">
        <v>2303</v>
      </c>
      <c r="B3718" t="s">
        <v>10</v>
      </c>
      <c r="C3718" s="1">
        <v>42933</v>
      </c>
      <c r="D3718" s="2">
        <f t="shared" si="116"/>
        <v>1</v>
      </c>
      <c r="E3718" s="2">
        <f t="shared" si="117"/>
        <v>7</v>
      </c>
      <c r="F3718">
        <v>13.5488</v>
      </c>
      <c r="G3718">
        <v>13.5488</v>
      </c>
      <c r="H3718">
        <v>13.2262</v>
      </c>
      <c r="I3718">
        <v>13.3184</v>
      </c>
      <c r="J3718">
        <v>46586</v>
      </c>
      <c r="K3718">
        <v>-0.68969999999999998</v>
      </c>
      <c r="L3718">
        <v>2.4390000000000001</v>
      </c>
    </row>
    <row r="3719" spans="1:12" hidden="1" x14ac:dyDescent="0.25">
      <c r="A3719">
        <v>2330</v>
      </c>
      <c r="B3719" t="s">
        <v>11</v>
      </c>
      <c r="C3719" s="1">
        <v>42933</v>
      </c>
      <c r="D3719" s="2">
        <f t="shared" si="116"/>
        <v>1</v>
      </c>
      <c r="E3719" s="2">
        <f t="shared" si="117"/>
        <v>7</v>
      </c>
      <c r="F3719">
        <v>195.90969999999999</v>
      </c>
      <c r="G3719">
        <v>196.36529999999999</v>
      </c>
      <c r="H3719">
        <v>192.72049999999999</v>
      </c>
      <c r="I3719">
        <v>194.0873</v>
      </c>
      <c r="J3719">
        <v>21400</v>
      </c>
      <c r="K3719">
        <v>0</v>
      </c>
      <c r="L3719">
        <v>1.8913</v>
      </c>
    </row>
    <row r="3720" spans="1:12" x14ac:dyDescent="0.25">
      <c r="A3720">
        <v>2303</v>
      </c>
      <c r="B3720" t="s">
        <v>10</v>
      </c>
      <c r="C3720" s="1">
        <v>42934</v>
      </c>
      <c r="D3720" s="2">
        <f t="shared" si="116"/>
        <v>2</v>
      </c>
      <c r="E3720" s="2">
        <f t="shared" si="117"/>
        <v>7</v>
      </c>
      <c r="F3720">
        <v>13.2723</v>
      </c>
      <c r="G3720">
        <v>13.3184</v>
      </c>
      <c r="H3720">
        <v>13.2262</v>
      </c>
      <c r="I3720">
        <v>13.3184</v>
      </c>
      <c r="J3720">
        <v>39035</v>
      </c>
      <c r="K3720">
        <v>0</v>
      </c>
      <c r="L3720">
        <v>0.69689999999999996</v>
      </c>
    </row>
    <row r="3721" spans="1:12" hidden="1" x14ac:dyDescent="0.25">
      <c r="A3721">
        <v>2330</v>
      </c>
      <c r="B3721" t="s">
        <v>11</v>
      </c>
      <c r="C3721" s="1">
        <v>42934</v>
      </c>
      <c r="D3721" s="2">
        <f t="shared" si="116"/>
        <v>2</v>
      </c>
      <c r="E3721" s="2">
        <f t="shared" si="117"/>
        <v>7</v>
      </c>
      <c r="F3721">
        <v>194.0873</v>
      </c>
      <c r="G3721">
        <v>194.99850000000001</v>
      </c>
      <c r="H3721">
        <v>193.17609999999999</v>
      </c>
      <c r="I3721">
        <v>194.99850000000001</v>
      </c>
      <c r="J3721">
        <v>18756</v>
      </c>
      <c r="K3721">
        <v>0.46839999999999998</v>
      </c>
      <c r="L3721">
        <v>0.94340000000000002</v>
      </c>
    </row>
    <row r="3722" spans="1:12" x14ac:dyDescent="0.25">
      <c r="A3722">
        <v>2303</v>
      </c>
      <c r="B3722" t="s">
        <v>10</v>
      </c>
      <c r="C3722" s="1">
        <v>42935</v>
      </c>
      <c r="D3722" s="2">
        <f t="shared" si="116"/>
        <v>3</v>
      </c>
      <c r="E3722" s="2">
        <f t="shared" si="117"/>
        <v>7</v>
      </c>
      <c r="F3722">
        <v>13.410500000000001</v>
      </c>
      <c r="G3722">
        <v>13.779199999999999</v>
      </c>
      <c r="H3722">
        <v>13.3644</v>
      </c>
      <c r="I3722">
        <v>13.641</v>
      </c>
      <c r="J3722">
        <v>110697</v>
      </c>
      <c r="K3722">
        <v>2.3933</v>
      </c>
      <c r="L3722">
        <v>3.1034000000000002</v>
      </c>
    </row>
    <row r="3723" spans="1:12" hidden="1" x14ac:dyDescent="0.25">
      <c r="A3723">
        <v>2330</v>
      </c>
      <c r="B3723" t="s">
        <v>11</v>
      </c>
      <c r="C3723" s="1">
        <v>42935</v>
      </c>
      <c r="D3723" s="2">
        <f t="shared" si="116"/>
        <v>3</v>
      </c>
      <c r="E3723" s="2">
        <f t="shared" si="117"/>
        <v>7</v>
      </c>
      <c r="F3723">
        <v>193.6317</v>
      </c>
      <c r="G3723">
        <v>195.90969999999999</v>
      </c>
      <c r="H3723">
        <v>193.6317</v>
      </c>
      <c r="I3723">
        <v>195.45410000000001</v>
      </c>
      <c r="J3723">
        <v>20661</v>
      </c>
      <c r="K3723">
        <v>0.2334</v>
      </c>
      <c r="L3723">
        <v>1.1765000000000001</v>
      </c>
    </row>
    <row r="3724" spans="1:12" x14ac:dyDescent="0.25">
      <c r="A3724">
        <v>2303</v>
      </c>
      <c r="B3724" t="s">
        <v>10</v>
      </c>
      <c r="C3724" s="1">
        <v>42936</v>
      </c>
      <c r="D3724" s="2">
        <f t="shared" si="116"/>
        <v>4</v>
      </c>
      <c r="E3724" s="2">
        <f t="shared" si="117"/>
        <v>7</v>
      </c>
      <c r="F3724">
        <v>13.8253</v>
      </c>
      <c r="G3724">
        <v>14.0557</v>
      </c>
      <c r="H3724">
        <v>13.7331</v>
      </c>
      <c r="I3724">
        <v>13.8714</v>
      </c>
      <c r="J3724">
        <v>153001</v>
      </c>
      <c r="K3724">
        <v>1.6751</v>
      </c>
      <c r="L3724">
        <v>2.3490000000000002</v>
      </c>
    </row>
    <row r="3725" spans="1:12" hidden="1" x14ac:dyDescent="0.25">
      <c r="A3725">
        <v>2330</v>
      </c>
      <c r="B3725" t="s">
        <v>11</v>
      </c>
      <c r="C3725" s="1">
        <v>42936</v>
      </c>
      <c r="D3725" s="2">
        <f t="shared" si="116"/>
        <v>4</v>
      </c>
      <c r="E3725" s="2">
        <f t="shared" si="117"/>
        <v>7</v>
      </c>
      <c r="F3725">
        <v>195.90969999999999</v>
      </c>
      <c r="G3725">
        <v>196.36529999999999</v>
      </c>
      <c r="H3725">
        <v>194.99850000000001</v>
      </c>
      <c r="I3725">
        <v>196.36529999999999</v>
      </c>
      <c r="J3725">
        <v>20795</v>
      </c>
      <c r="K3725">
        <v>0.46510000000000001</v>
      </c>
      <c r="L3725">
        <v>0.70089999999999997</v>
      </c>
    </row>
    <row r="3726" spans="1:12" x14ac:dyDescent="0.25">
      <c r="A3726">
        <v>2303</v>
      </c>
      <c r="B3726" t="s">
        <v>10</v>
      </c>
      <c r="C3726" s="1">
        <v>42937</v>
      </c>
      <c r="D3726" s="2">
        <f t="shared" si="116"/>
        <v>5</v>
      </c>
      <c r="E3726" s="2">
        <f t="shared" si="117"/>
        <v>7</v>
      </c>
      <c r="F3726">
        <v>13.8714</v>
      </c>
      <c r="G3726">
        <v>13.9175</v>
      </c>
      <c r="H3726">
        <v>13.502700000000001</v>
      </c>
      <c r="I3726">
        <v>13.594900000000001</v>
      </c>
      <c r="J3726">
        <v>65438</v>
      </c>
      <c r="K3726">
        <v>-2.0135000000000001</v>
      </c>
      <c r="L3726">
        <v>3.0716999999999999</v>
      </c>
    </row>
    <row r="3727" spans="1:12" hidden="1" x14ac:dyDescent="0.25">
      <c r="A3727">
        <v>2330</v>
      </c>
      <c r="B3727" t="s">
        <v>11</v>
      </c>
      <c r="C3727" s="1">
        <v>42937</v>
      </c>
      <c r="D3727" s="2">
        <f t="shared" si="116"/>
        <v>5</v>
      </c>
      <c r="E3727" s="2">
        <f t="shared" si="117"/>
        <v>7</v>
      </c>
      <c r="F3727">
        <v>194.99850000000001</v>
      </c>
      <c r="G3727">
        <v>195.90969999999999</v>
      </c>
      <c r="H3727">
        <v>194.5429</v>
      </c>
      <c r="I3727">
        <v>194.99850000000001</v>
      </c>
      <c r="J3727">
        <v>15422</v>
      </c>
      <c r="K3727">
        <v>-0.69850000000000001</v>
      </c>
      <c r="L3727">
        <v>0.7026</v>
      </c>
    </row>
    <row r="3728" spans="1:12" x14ac:dyDescent="0.25">
      <c r="A3728">
        <v>2303</v>
      </c>
      <c r="B3728" t="s">
        <v>10</v>
      </c>
      <c r="C3728" s="1">
        <v>42940</v>
      </c>
      <c r="D3728" s="2">
        <f t="shared" si="116"/>
        <v>1</v>
      </c>
      <c r="E3728" s="2">
        <f t="shared" si="117"/>
        <v>7</v>
      </c>
      <c r="F3728">
        <v>13.641</v>
      </c>
      <c r="G3728">
        <v>13.686999999999999</v>
      </c>
      <c r="H3728">
        <v>13.502700000000001</v>
      </c>
      <c r="I3728">
        <v>13.641</v>
      </c>
      <c r="J3728">
        <v>50249</v>
      </c>
      <c r="K3728">
        <v>0.33839999999999998</v>
      </c>
      <c r="L3728">
        <v>1.3652</v>
      </c>
    </row>
    <row r="3729" spans="1:12" hidden="1" x14ac:dyDescent="0.25">
      <c r="A3729">
        <v>2330</v>
      </c>
      <c r="B3729" t="s">
        <v>11</v>
      </c>
      <c r="C3729" s="1">
        <v>42940</v>
      </c>
      <c r="D3729" s="2">
        <f t="shared" si="116"/>
        <v>1</v>
      </c>
      <c r="E3729" s="2">
        <f t="shared" si="117"/>
        <v>7</v>
      </c>
      <c r="F3729">
        <v>194.5429</v>
      </c>
      <c r="G3729">
        <v>195.45410000000001</v>
      </c>
      <c r="H3729">
        <v>194.0873</v>
      </c>
      <c r="I3729">
        <v>195.45410000000001</v>
      </c>
      <c r="J3729">
        <v>20002</v>
      </c>
      <c r="K3729">
        <v>0.2334</v>
      </c>
      <c r="L3729">
        <v>0.70420000000000005</v>
      </c>
    </row>
    <row r="3730" spans="1:12" x14ac:dyDescent="0.25">
      <c r="A3730">
        <v>2303</v>
      </c>
      <c r="B3730" t="s">
        <v>10</v>
      </c>
      <c r="C3730" s="1">
        <v>42941</v>
      </c>
      <c r="D3730" s="2">
        <f t="shared" si="116"/>
        <v>2</v>
      </c>
      <c r="E3730" s="2">
        <f t="shared" si="117"/>
        <v>7</v>
      </c>
      <c r="F3730">
        <v>13.7331</v>
      </c>
      <c r="G3730">
        <v>13.779199999999999</v>
      </c>
      <c r="H3730">
        <v>13.594900000000001</v>
      </c>
      <c r="I3730">
        <v>13.7331</v>
      </c>
      <c r="J3730">
        <v>43400</v>
      </c>
      <c r="K3730">
        <v>0.6734</v>
      </c>
      <c r="L3730">
        <v>1.3559000000000001</v>
      </c>
    </row>
    <row r="3731" spans="1:12" hidden="1" x14ac:dyDescent="0.25">
      <c r="A3731">
        <v>2330</v>
      </c>
      <c r="B3731" t="s">
        <v>11</v>
      </c>
      <c r="C3731" s="1">
        <v>42941</v>
      </c>
      <c r="D3731" s="2">
        <f t="shared" si="116"/>
        <v>2</v>
      </c>
      <c r="E3731" s="2">
        <f t="shared" si="117"/>
        <v>7</v>
      </c>
      <c r="F3731">
        <v>194.99850000000001</v>
      </c>
      <c r="G3731">
        <v>195.45410000000001</v>
      </c>
      <c r="H3731">
        <v>194.5429</v>
      </c>
      <c r="I3731">
        <v>194.99850000000001</v>
      </c>
      <c r="J3731">
        <v>13853</v>
      </c>
      <c r="K3731">
        <v>-0.2334</v>
      </c>
      <c r="L3731">
        <v>0.46839999999999998</v>
      </c>
    </row>
    <row r="3732" spans="1:12" x14ac:dyDescent="0.25">
      <c r="A3732">
        <v>2303</v>
      </c>
      <c r="B3732" t="s">
        <v>10</v>
      </c>
      <c r="C3732" s="1">
        <v>42942</v>
      </c>
      <c r="D3732" s="2">
        <f t="shared" si="116"/>
        <v>3</v>
      </c>
      <c r="E3732" s="2">
        <f t="shared" si="117"/>
        <v>7</v>
      </c>
      <c r="F3732">
        <v>14.009600000000001</v>
      </c>
      <c r="G3732">
        <v>14.24</v>
      </c>
      <c r="H3732">
        <v>13.9175</v>
      </c>
      <c r="I3732">
        <v>14.194000000000001</v>
      </c>
      <c r="J3732">
        <v>208085</v>
      </c>
      <c r="K3732">
        <v>3.3006000000000002</v>
      </c>
      <c r="L3732">
        <v>2.3178999999999998</v>
      </c>
    </row>
    <row r="3733" spans="1:12" hidden="1" x14ac:dyDescent="0.25">
      <c r="A3733">
        <v>2330</v>
      </c>
      <c r="B3733" t="s">
        <v>11</v>
      </c>
      <c r="C3733" s="1">
        <v>42942</v>
      </c>
      <c r="D3733" s="2">
        <f t="shared" si="116"/>
        <v>3</v>
      </c>
      <c r="E3733" s="2">
        <f t="shared" si="117"/>
        <v>7</v>
      </c>
      <c r="F3733">
        <v>195.90969999999999</v>
      </c>
      <c r="G3733">
        <v>195.90969999999999</v>
      </c>
      <c r="H3733">
        <v>193.6317</v>
      </c>
      <c r="I3733">
        <v>194.0873</v>
      </c>
      <c r="J3733">
        <v>15900</v>
      </c>
      <c r="K3733">
        <v>-0.46839999999999998</v>
      </c>
      <c r="L3733">
        <v>1.1765000000000001</v>
      </c>
    </row>
    <row r="3734" spans="1:12" x14ac:dyDescent="0.25">
      <c r="A3734">
        <v>2303</v>
      </c>
      <c r="B3734" t="s">
        <v>10</v>
      </c>
      <c r="C3734" s="1">
        <v>42943</v>
      </c>
      <c r="D3734" s="2">
        <f t="shared" si="116"/>
        <v>4</v>
      </c>
      <c r="E3734" s="2">
        <f t="shared" si="117"/>
        <v>7</v>
      </c>
      <c r="F3734">
        <v>13.087899999999999</v>
      </c>
      <c r="G3734">
        <v>13.3644</v>
      </c>
      <c r="H3734">
        <v>12.903600000000001</v>
      </c>
      <c r="I3734">
        <v>13.134</v>
      </c>
      <c r="J3734">
        <v>299439</v>
      </c>
      <c r="K3734">
        <v>-7.7610999999999999</v>
      </c>
      <c r="L3734">
        <v>3.5714000000000001</v>
      </c>
    </row>
    <row r="3735" spans="1:12" hidden="1" x14ac:dyDescent="0.25">
      <c r="A3735">
        <v>2330</v>
      </c>
      <c r="B3735" t="s">
        <v>11</v>
      </c>
      <c r="C3735" s="1">
        <v>42943</v>
      </c>
      <c r="D3735" s="2">
        <f t="shared" si="116"/>
        <v>4</v>
      </c>
      <c r="E3735" s="2">
        <f t="shared" si="117"/>
        <v>7</v>
      </c>
      <c r="F3735">
        <v>194.5429</v>
      </c>
      <c r="G3735">
        <v>196.82089999999999</v>
      </c>
      <c r="H3735">
        <v>194.5429</v>
      </c>
      <c r="I3735">
        <v>196.36529999999999</v>
      </c>
      <c r="J3735">
        <v>23045</v>
      </c>
      <c r="K3735">
        <v>1.1669</v>
      </c>
      <c r="L3735">
        <v>1.171</v>
      </c>
    </row>
    <row r="3736" spans="1:12" x14ac:dyDescent="0.25">
      <c r="A3736">
        <v>2303</v>
      </c>
      <c r="B3736" t="s">
        <v>10</v>
      </c>
      <c r="C3736" s="1">
        <v>42944</v>
      </c>
      <c r="D3736" s="2">
        <f t="shared" si="116"/>
        <v>5</v>
      </c>
      <c r="E3736" s="2">
        <f t="shared" si="117"/>
        <v>7</v>
      </c>
      <c r="F3736">
        <v>12.995799999999999</v>
      </c>
      <c r="G3736">
        <v>13.087899999999999</v>
      </c>
      <c r="H3736">
        <v>12.7654</v>
      </c>
      <c r="I3736">
        <v>12.811400000000001</v>
      </c>
      <c r="J3736">
        <v>129135</v>
      </c>
      <c r="K3736">
        <v>-2.4868000000000001</v>
      </c>
      <c r="L3736">
        <v>2.5270999999999999</v>
      </c>
    </row>
    <row r="3737" spans="1:12" hidden="1" x14ac:dyDescent="0.25">
      <c r="A3737">
        <v>2330</v>
      </c>
      <c r="B3737" t="s">
        <v>11</v>
      </c>
      <c r="C3737" s="1">
        <v>42944</v>
      </c>
      <c r="D3737" s="2">
        <f t="shared" si="116"/>
        <v>5</v>
      </c>
      <c r="E3737" s="2">
        <f t="shared" si="117"/>
        <v>7</v>
      </c>
      <c r="F3737">
        <v>194.0873</v>
      </c>
      <c r="G3737">
        <v>194.99850000000001</v>
      </c>
      <c r="H3737">
        <v>193.6317</v>
      </c>
      <c r="I3737">
        <v>194.0873</v>
      </c>
      <c r="J3737">
        <v>21121</v>
      </c>
      <c r="K3737">
        <v>-1.1669</v>
      </c>
      <c r="L3737">
        <v>0.70589999999999997</v>
      </c>
    </row>
    <row r="3738" spans="1:12" x14ac:dyDescent="0.25">
      <c r="A3738">
        <v>2303</v>
      </c>
      <c r="B3738" t="s">
        <v>10</v>
      </c>
      <c r="C3738" s="1">
        <v>42947</v>
      </c>
      <c r="D3738" s="2">
        <f t="shared" si="116"/>
        <v>1</v>
      </c>
      <c r="E3738" s="2">
        <f t="shared" si="117"/>
        <v>7</v>
      </c>
      <c r="F3738">
        <v>12.811400000000001</v>
      </c>
      <c r="G3738">
        <v>12.9497</v>
      </c>
      <c r="H3738">
        <v>12.7193</v>
      </c>
      <c r="I3738">
        <v>12.811400000000001</v>
      </c>
      <c r="J3738">
        <v>77484</v>
      </c>
      <c r="K3738">
        <v>0</v>
      </c>
      <c r="L3738">
        <v>1.8116000000000001</v>
      </c>
    </row>
    <row r="3739" spans="1:12" hidden="1" x14ac:dyDescent="0.25">
      <c r="A3739">
        <v>2330</v>
      </c>
      <c r="B3739" t="s">
        <v>11</v>
      </c>
      <c r="C3739" s="1">
        <v>42947</v>
      </c>
      <c r="D3739" s="2">
        <f t="shared" si="116"/>
        <v>1</v>
      </c>
      <c r="E3739" s="2">
        <f t="shared" si="117"/>
        <v>7</v>
      </c>
      <c r="F3739">
        <v>192.72049999999999</v>
      </c>
      <c r="G3739">
        <v>195.45410000000001</v>
      </c>
      <c r="H3739">
        <v>192.72049999999999</v>
      </c>
      <c r="I3739">
        <v>195.45410000000001</v>
      </c>
      <c r="J3739">
        <v>20363</v>
      </c>
      <c r="K3739">
        <v>0.70179999999999998</v>
      </c>
      <c r="L3739">
        <v>1.4184000000000001</v>
      </c>
    </row>
    <row r="3740" spans="1:12" x14ac:dyDescent="0.25">
      <c r="A3740">
        <v>2303</v>
      </c>
      <c r="B3740" t="s">
        <v>10</v>
      </c>
      <c r="C3740" s="1">
        <v>42948</v>
      </c>
      <c r="D3740" s="2">
        <f t="shared" si="116"/>
        <v>2</v>
      </c>
      <c r="E3740" s="2">
        <f t="shared" si="117"/>
        <v>8</v>
      </c>
      <c r="F3740">
        <v>12.7654</v>
      </c>
      <c r="G3740">
        <v>12.811400000000001</v>
      </c>
      <c r="H3740">
        <v>12.581</v>
      </c>
      <c r="I3740">
        <v>12.581</v>
      </c>
      <c r="J3740">
        <v>57761</v>
      </c>
      <c r="K3740">
        <v>-1.8149</v>
      </c>
      <c r="L3740">
        <v>1.8314999999999999</v>
      </c>
    </row>
    <row r="3741" spans="1:12" hidden="1" x14ac:dyDescent="0.25">
      <c r="A3741">
        <v>2330</v>
      </c>
      <c r="B3741" t="s">
        <v>11</v>
      </c>
      <c r="C3741" s="1">
        <v>42948</v>
      </c>
      <c r="D3741" s="2">
        <f t="shared" si="116"/>
        <v>2</v>
      </c>
      <c r="E3741" s="2">
        <f t="shared" si="117"/>
        <v>8</v>
      </c>
      <c r="F3741">
        <v>193.6317</v>
      </c>
      <c r="G3741">
        <v>194.99850000000001</v>
      </c>
      <c r="H3741">
        <v>193.17609999999999</v>
      </c>
      <c r="I3741">
        <v>193.17609999999999</v>
      </c>
      <c r="J3741">
        <v>20314</v>
      </c>
      <c r="K3741">
        <v>-1.1722999999999999</v>
      </c>
      <c r="L3741">
        <v>0.94340000000000002</v>
      </c>
    </row>
    <row r="3742" spans="1:12" x14ac:dyDescent="0.25">
      <c r="A3742">
        <v>2303</v>
      </c>
      <c r="B3742" t="s">
        <v>10</v>
      </c>
      <c r="C3742" s="1">
        <v>42949</v>
      </c>
      <c r="D3742" s="2">
        <f t="shared" si="116"/>
        <v>3</v>
      </c>
      <c r="E3742" s="2">
        <f t="shared" si="117"/>
        <v>8</v>
      </c>
      <c r="F3742">
        <v>12.6271</v>
      </c>
      <c r="G3742">
        <v>12.7654</v>
      </c>
      <c r="H3742">
        <v>12.5349</v>
      </c>
      <c r="I3742">
        <v>12.581</v>
      </c>
      <c r="J3742">
        <v>55716</v>
      </c>
      <c r="K3742">
        <v>0</v>
      </c>
      <c r="L3742">
        <v>1.8382000000000001</v>
      </c>
    </row>
    <row r="3743" spans="1:12" hidden="1" x14ac:dyDescent="0.25">
      <c r="A3743">
        <v>2330</v>
      </c>
      <c r="B3743" t="s">
        <v>11</v>
      </c>
      <c r="C3743" s="1">
        <v>42949</v>
      </c>
      <c r="D3743" s="2">
        <f t="shared" si="116"/>
        <v>3</v>
      </c>
      <c r="E3743" s="2">
        <f t="shared" si="117"/>
        <v>8</v>
      </c>
      <c r="F3743">
        <v>194.99850000000001</v>
      </c>
      <c r="G3743">
        <v>196.82089999999999</v>
      </c>
      <c r="H3743">
        <v>194.99850000000001</v>
      </c>
      <c r="I3743">
        <v>196.82089999999999</v>
      </c>
      <c r="J3743">
        <v>30528</v>
      </c>
      <c r="K3743">
        <v>1.8692</v>
      </c>
      <c r="L3743">
        <v>0.93459999999999999</v>
      </c>
    </row>
    <row r="3744" spans="1:12" x14ac:dyDescent="0.25">
      <c r="A3744">
        <v>2303</v>
      </c>
      <c r="B3744" t="s">
        <v>10</v>
      </c>
      <c r="C3744" s="1">
        <v>42950</v>
      </c>
      <c r="D3744" s="2">
        <f t="shared" si="116"/>
        <v>4</v>
      </c>
      <c r="E3744" s="2">
        <f t="shared" si="117"/>
        <v>8</v>
      </c>
      <c r="F3744">
        <v>12.488799999999999</v>
      </c>
      <c r="G3744">
        <v>12.5349</v>
      </c>
      <c r="H3744">
        <v>12.3506</v>
      </c>
      <c r="I3744">
        <v>12.3506</v>
      </c>
      <c r="J3744">
        <v>58963</v>
      </c>
      <c r="K3744">
        <v>-1.8485</v>
      </c>
      <c r="L3744">
        <v>1.4924999999999999</v>
      </c>
    </row>
    <row r="3745" spans="1:12" hidden="1" x14ac:dyDescent="0.25">
      <c r="A3745">
        <v>2330</v>
      </c>
      <c r="B3745" t="s">
        <v>11</v>
      </c>
      <c r="C3745" s="1">
        <v>42950</v>
      </c>
      <c r="D3745" s="2">
        <f t="shared" si="116"/>
        <v>4</v>
      </c>
      <c r="E3745" s="2">
        <f t="shared" si="117"/>
        <v>8</v>
      </c>
      <c r="F3745">
        <v>194.0873</v>
      </c>
      <c r="G3745">
        <v>194.99850000000001</v>
      </c>
      <c r="H3745">
        <v>193.6317</v>
      </c>
      <c r="I3745">
        <v>194.5429</v>
      </c>
      <c r="J3745">
        <v>27097</v>
      </c>
      <c r="K3745">
        <v>-1.1641999999999999</v>
      </c>
      <c r="L3745">
        <v>0.70589999999999997</v>
      </c>
    </row>
    <row r="3746" spans="1:12" x14ac:dyDescent="0.25">
      <c r="A3746">
        <v>2303</v>
      </c>
      <c r="B3746" t="s">
        <v>10</v>
      </c>
      <c r="C3746" s="1">
        <v>42951</v>
      </c>
      <c r="D3746" s="2">
        <f t="shared" si="116"/>
        <v>5</v>
      </c>
      <c r="E3746" s="2">
        <f t="shared" si="117"/>
        <v>8</v>
      </c>
      <c r="F3746">
        <v>12.3506</v>
      </c>
      <c r="G3746">
        <v>12.7654</v>
      </c>
      <c r="H3746">
        <v>12.3506</v>
      </c>
      <c r="I3746">
        <v>12.7654</v>
      </c>
      <c r="J3746">
        <v>109015</v>
      </c>
      <c r="K3746">
        <v>3.3031000000000001</v>
      </c>
      <c r="L3746">
        <v>3.3582000000000001</v>
      </c>
    </row>
    <row r="3747" spans="1:12" hidden="1" x14ac:dyDescent="0.25">
      <c r="A3747">
        <v>2330</v>
      </c>
      <c r="B3747" t="s">
        <v>11</v>
      </c>
      <c r="C3747" s="1">
        <v>42951</v>
      </c>
      <c r="D3747" s="2">
        <f t="shared" si="116"/>
        <v>5</v>
      </c>
      <c r="E3747" s="2">
        <f t="shared" si="117"/>
        <v>8</v>
      </c>
      <c r="F3747">
        <v>194.5429</v>
      </c>
      <c r="G3747">
        <v>194.99850000000001</v>
      </c>
      <c r="H3747">
        <v>193.6317</v>
      </c>
      <c r="I3747">
        <v>194.0873</v>
      </c>
      <c r="J3747">
        <v>22187</v>
      </c>
      <c r="K3747">
        <v>-0.23449999999999999</v>
      </c>
      <c r="L3747">
        <v>0.70589999999999997</v>
      </c>
    </row>
    <row r="3748" spans="1:12" x14ac:dyDescent="0.25">
      <c r="A3748">
        <v>2303</v>
      </c>
      <c r="B3748" t="s">
        <v>10</v>
      </c>
      <c r="C3748" s="1">
        <v>42954</v>
      </c>
      <c r="D3748" s="2">
        <f t="shared" si="116"/>
        <v>1</v>
      </c>
      <c r="E3748" s="2">
        <f t="shared" si="117"/>
        <v>8</v>
      </c>
      <c r="F3748">
        <v>12.7654</v>
      </c>
      <c r="G3748">
        <v>12.8575</v>
      </c>
      <c r="H3748">
        <v>12.6732</v>
      </c>
      <c r="I3748">
        <v>12.811400000000001</v>
      </c>
      <c r="J3748">
        <v>52277</v>
      </c>
      <c r="K3748">
        <v>0.3604</v>
      </c>
      <c r="L3748">
        <v>1.4544999999999999</v>
      </c>
    </row>
    <row r="3749" spans="1:12" hidden="1" x14ac:dyDescent="0.25">
      <c r="A3749">
        <v>2330</v>
      </c>
      <c r="B3749" t="s">
        <v>11</v>
      </c>
      <c r="C3749" s="1">
        <v>42954</v>
      </c>
      <c r="D3749" s="2">
        <f t="shared" si="116"/>
        <v>1</v>
      </c>
      <c r="E3749" s="2">
        <f t="shared" si="117"/>
        <v>8</v>
      </c>
      <c r="F3749">
        <v>194.5429</v>
      </c>
      <c r="G3749">
        <v>197.2765</v>
      </c>
      <c r="H3749">
        <v>194.5429</v>
      </c>
      <c r="I3749">
        <v>196.82089999999999</v>
      </c>
      <c r="J3749">
        <v>21594</v>
      </c>
      <c r="K3749">
        <v>1.3986000000000001</v>
      </c>
      <c r="L3749">
        <v>1.4052</v>
      </c>
    </row>
    <row r="3750" spans="1:12" x14ac:dyDescent="0.25">
      <c r="A3750">
        <v>2303</v>
      </c>
      <c r="B3750" t="s">
        <v>10</v>
      </c>
      <c r="C3750" s="1">
        <v>42955</v>
      </c>
      <c r="D3750" s="2">
        <f t="shared" si="116"/>
        <v>2</v>
      </c>
      <c r="E3750" s="2">
        <f t="shared" si="117"/>
        <v>8</v>
      </c>
      <c r="F3750">
        <v>12.9497</v>
      </c>
      <c r="G3750">
        <v>12.995799999999999</v>
      </c>
      <c r="H3750">
        <v>12.811400000000001</v>
      </c>
      <c r="I3750">
        <v>12.903600000000001</v>
      </c>
      <c r="J3750">
        <v>50427</v>
      </c>
      <c r="K3750">
        <v>0.71679999999999999</v>
      </c>
      <c r="L3750">
        <v>1.4388000000000001</v>
      </c>
    </row>
    <row r="3751" spans="1:12" hidden="1" x14ac:dyDescent="0.25">
      <c r="A3751">
        <v>2330</v>
      </c>
      <c r="B3751" t="s">
        <v>11</v>
      </c>
      <c r="C3751" s="1">
        <v>42955</v>
      </c>
      <c r="D3751" s="2">
        <f t="shared" si="116"/>
        <v>2</v>
      </c>
      <c r="E3751" s="2">
        <f t="shared" si="117"/>
        <v>8</v>
      </c>
      <c r="F3751">
        <v>198.18770000000001</v>
      </c>
      <c r="G3751">
        <v>199.55459999999999</v>
      </c>
      <c r="H3751">
        <v>196.82089999999999</v>
      </c>
      <c r="I3751">
        <v>198.18770000000001</v>
      </c>
      <c r="J3751">
        <v>25223</v>
      </c>
      <c r="K3751">
        <v>0.69199999999999995</v>
      </c>
      <c r="L3751">
        <v>1.3889</v>
      </c>
    </row>
    <row r="3752" spans="1:12" x14ac:dyDescent="0.25">
      <c r="A3752">
        <v>2303</v>
      </c>
      <c r="B3752" t="s">
        <v>10</v>
      </c>
      <c r="C3752" s="1">
        <v>42956</v>
      </c>
      <c r="D3752" s="2">
        <f t="shared" si="116"/>
        <v>3</v>
      </c>
      <c r="E3752" s="2">
        <f t="shared" si="117"/>
        <v>8</v>
      </c>
      <c r="F3752">
        <v>12.903600000000001</v>
      </c>
      <c r="G3752">
        <v>12.903600000000001</v>
      </c>
      <c r="H3752">
        <v>12.811400000000001</v>
      </c>
      <c r="I3752">
        <v>12.811400000000001</v>
      </c>
      <c r="J3752">
        <v>40279</v>
      </c>
      <c r="K3752">
        <v>-0.71679999999999999</v>
      </c>
      <c r="L3752">
        <v>0.71940000000000004</v>
      </c>
    </row>
    <row r="3753" spans="1:12" hidden="1" x14ac:dyDescent="0.25">
      <c r="A3753">
        <v>2330</v>
      </c>
      <c r="B3753" t="s">
        <v>11</v>
      </c>
      <c r="C3753" s="1">
        <v>42956</v>
      </c>
      <c r="D3753" s="2">
        <f t="shared" si="116"/>
        <v>3</v>
      </c>
      <c r="E3753" s="2">
        <f t="shared" si="117"/>
        <v>8</v>
      </c>
      <c r="F3753">
        <v>195.90969999999999</v>
      </c>
      <c r="G3753">
        <v>196.36529999999999</v>
      </c>
      <c r="H3753">
        <v>194.5429</v>
      </c>
      <c r="I3753">
        <v>195.45410000000001</v>
      </c>
      <c r="J3753">
        <v>28129</v>
      </c>
      <c r="K3753">
        <v>-1.3889</v>
      </c>
      <c r="L3753">
        <v>0.93679999999999997</v>
      </c>
    </row>
    <row r="3754" spans="1:12" x14ac:dyDescent="0.25">
      <c r="A3754">
        <v>2303</v>
      </c>
      <c r="B3754" t="s">
        <v>10</v>
      </c>
      <c r="C3754" s="1">
        <v>42957</v>
      </c>
      <c r="D3754" s="2">
        <f t="shared" si="116"/>
        <v>4</v>
      </c>
      <c r="E3754" s="2">
        <f t="shared" si="117"/>
        <v>8</v>
      </c>
      <c r="F3754">
        <v>12.8575</v>
      </c>
      <c r="G3754">
        <v>13.087899999999999</v>
      </c>
      <c r="H3754">
        <v>12.811400000000001</v>
      </c>
      <c r="I3754">
        <v>12.903600000000001</v>
      </c>
      <c r="J3754">
        <v>124671</v>
      </c>
      <c r="K3754">
        <v>0.71679999999999999</v>
      </c>
      <c r="L3754">
        <v>2.1583000000000001</v>
      </c>
    </row>
    <row r="3755" spans="1:12" hidden="1" x14ac:dyDescent="0.25">
      <c r="A3755">
        <v>2330</v>
      </c>
      <c r="B3755" t="s">
        <v>11</v>
      </c>
      <c r="C3755" s="1">
        <v>42957</v>
      </c>
      <c r="D3755" s="2">
        <f t="shared" si="116"/>
        <v>4</v>
      </c>
      <c r="E3755" s="2">
        <f t="shared" si="117"/>
        <v>8</v>
      </c>
      <c r="F3755">
        <v>196.36529999999999</v>
      </c>
      <c r="G3755">
        <v>196.36529999999999</v>
      </c>
      <c r="H3755">
        <v>193.6317</v>
      </c>
      <c r="I3755">
        <v>194.99850000000001</v>
      </c>
      <c r="J3755">
        <v>27440</v>
      </c>
      <c r="K3755">
        <v>-0.2334</v>
      </c>
      <c r="L3755">
        <v>1.4117999999999999</v>
      </c>
    </row>
    <row r="3756" spans="1:12" x14ac:dyDescent="0.25">
      <c r="A3756">
        <v>2303</v>
      </c>
      <c r="B3756" t="s">
        <v>10</v>
      </c>
      <c r="C3756" s="1">
        <v>42958</v>
      </c>
      <c r="D3756" s="2">
        <f t="shared" si="116"/>
        <v>5</v>
      </c>
      <c r="E3756" s="2">
        <f t="shared" si="117"/>
        <v>8</v>
      </c>
      <c r="F3756">
        <v>12.7193</v>
      </c>
      <c r="G3756">
        <v>12.995799999999999</v>
      </c>
      <c r="H3756">
        <v>12.7193</v>
      </c>
      <c r="I3756">
        <v>12.9497</v>
      </c>
      <c r="J3756">
        <v>81554</v>
      </c>
      <c r="K3756">
        <v>0.35649999999999998</v>
      </c>
      <c r="L3756">
        <v>2.1739000000000002</v>
      </c>
    </row>
    <row r="3757" spans="1:12" hidden="1" x14ac:dyDescent="0.25">
      <c r="A3757">
        <v>2330</v>
      </c>
      <c r="B3757" t="s">
        <v>11</v>
      </c>
      <c r="C3757" s="1">
        <v>42958</v>
      </c>
      <c r="D3757" s="2">
        <f t="shared" si="116"/>
        <v>5</v>
      </c>
      <c r="E3757" s="2">
        <f t="shared" si="117"/>
        <v>8</v>
      </c>
      <c r="F3757">
        <v>192.26490000000001</v>
      </c>
      <c r="G3757">
        <v>194.5429</v>
      </c>
      <c r="H3757">
        <v>191.80930000000001</v>
      </c>
      <c r="I3757">
        <v>193.6317</v>
      </c>
      <c r="J3757">
        <v>41592</v>
      </c>
      <c r="K3757">
        <v>-0.70340000000000003</v>
      </c>
      <c r="L3757">
        <v>1.4252</v>
      </c>
    </row>
    <row r="3758" spans="1:12" x14ac:dyDescent="0.25">
      <c r="A3758">
        <v>2303</v>
      </c>
      <c r="B3758" t="s">
        <v>10</v>
      </c>
      <c r="C3758" s="1">
        <v>42961</v>
      </c>
      <c r="D3758" s="2">
        <f t="shared" si="116"/>
        <v>1</v>
      </c>
      <c r="E3758" s="2">
        <f t="shared" si="117"/>
        <v>8</v>
      </c>
      <c r="F3758">
        <v>13.0419</v>
      </c>
      <c r="G3758">
        <v>13.0419</v>
      </c>
      <c r="H3758">
        <v>12.8575</v>
      </c>
      <c r="I3758">
        <v>12.9497</v>
      </c>
      <c r="J3758">
        <v>45665</v>
      </c>
      <c r="K3758">
        <v>0</v>
      </c>
      <c r="L3758">
        <v>1.4337</v>
      </c>
    </row>
    <row r="3759" spans="1:12" hidden="1" x14ac:dyDescent="0.25">
      <c r="A3759">
        <v>2330</v>
      </c>
      <c r="B3759" t="s">
        <v>11</v>
      </c>
      <c r="C3759" s="1">
        <v>42961</v>
      </c>
      <c r="D3759" s="2">
        <f t="shared" si="116"/>
        <v>1</v>
      </c>
      <c r="E3759" s="2">
        <f t="shared" si="117"/>
        <v>8</v>
      </c>
      <c r="F3759">
        <v>194.5429</v>
      </c>
      <c r="G3759">
        <v>194.99850000000001</v>
      </c>
      <c r="H3759">
        <v>191.3537</v>
      </c>
      <c r="I3759">
        <v>192.26490000000001</v>
      </c>
      <c r="J3759">
        <v>29414</v>
      </c>
      <c r="K3759">
        <v>-0.70840000000000003</v>
      </c>
      <c r="L3759">
        <v>1.9048</v>
      </c>
    </row>
    <row r="3760" spans="1:12" x14ac:dyDescent="0.25">
      <c r="A3760">
        <v>2303</v>
      </c>
      <c r="B3760" t="s">
        <v>10</v>
      </c>
      <c r="C3760" s="1">
        <v>42962</v>
      </c>
      <c r="D3760" s="2">
        <f t="shared" si="116"/>
        <v>2</v>
      </c>
      <c r="E3760" s="2">
        <f t="shared" si="117"/>
        <v>8</v>
      </c>
      <c r="F3760">
        <v>13.0419</v>
      </c>
      <c r="G3760">
        <v>13.0419</v>
      </c>
      <c r="H3760">
        <v>12.811400000000001</v>
      </c>
      <c r="I3760">
        <v>12.995799999999999</v>
      </c>
      <c r="J3760">
        <v>64115</v>
      </c>
      <c r="K3760">
        <v>0.35520000000000002</v>
      </c>
      <c r="L3760">
        <v>1.7986</v>
      </c>
    </row>
    <row r="3761" spans="1:12" hidden="1" x14ac:dyDescent="0.25">
      <c r="A3761">
        <v>2330</v>
      </c>
      <c r="B3761" t="s">
        <v>11</v>
      </c>
      <c r="C3761" s="1">
        <v>42962</v>
      </c>
      <c r="D3761" s="2">
        <f t="shared" si="116"/>
        <v>2</v>
      </c>
      <c r="E3761" s="2">
        <f t="shared" si="117"/>
        <v>8</v>
      </c>
      <c r="F3761">
        <v>194.0873</v>
      </c>
      <c r="G3761">
        <v>195.45410000000001</v>
      </c>
      <c r="H3761">
        <v>194.0873</v>
      </c>
      <c r="I3761">
        <v>194.99850000000001</v>
      </c>
      <c r="J3761">
        <v>14385</v>
      </c>
      <c r="K3761">
        <v>1.4117999999999999</v>
      </c>
      <c r="L3761">
        <v>0.70420000000000005</v>
      </c>
    </row>
    <row r="3762" spans="1:12" x14ac:dyDescent="0.25">
      <c r="A3762">
        <v>2303</v>
      </c>
      <c r="B3762" t="s">
        <v>10</v>
      </c>
      <c r="C3762" s="1">
        <v>42963</v>
      </c>
      <c r="D3762" s="2">
        <f t="shared" si="116"/>
        <v>3</v>
      </c>
      <c r="E3762" s="2">
        <f t="shared" si="117"/>
        <v>8</v>
      </c>
      <c r="F3762">
        <v>12.903600000000001</v>
      </c>
      <c r="G3762">
        <v>13.0419</v>
      </c>
      <c r="H3762">
        <v>12.903600000000001</v>
      </c>
      <c r="I3762">
        <v>12.9497</v>
      </c>
      <c r="J3762">
        <v>44862</v>
      </c>
      <c r="K3762">
        <v>-0.35520000000000002</v>
      </c>
      <c r="L3762">
        <v>1.0713999999999999</v>
      </c>
    </row>
    <row r="3763" spans="1:12" hidden="1" x14ac:dyDescent="0.25">
      <c r="A3763">
        <v>2330</v>
      </c>
      <c r="B3763" t="s">
        <v>11</v>
      </c>
      <c r="C3763" s="1">
        <v>42963</v>
      </c>
      <c r="D3763" s="2">
        <f t="shared" si="116"/>
        <v>3</v>
      </c>
      <c r="E3763" s="2">
        <f t="shared" si="117"/>
        <v>8</v>
      </c>
      <c r="F3763">
        <v>195.45410000000001</v>
      </c>
      <c r="G3763">
        <v>195.45410000000001</v>
      </c>
      <c r="H3763">
        <v>192.26490000000001</v>
      </c>
      <c r="I3763">
        <v>194.0873</v>
      </c>
      <c r="J3763">
        <v>25206</v>
      </c>
      <c r="K3763">
        <v>-0.46839999999999998</v>
      </c>
      <c r="L3763">
        <v>1.6588000000000001</v>
      </c>
    </row>
    <row r="3764" spans="1:12" x14ac:dyDescent="0.25">
      <c r="A3764">
        <v>2303</v>
      </c>
      <c r="B3764" t="s">
        <v>10</v>
      </c>
      <c r="C3764" s="1">
        <v>42964</v>
      </c>
      <c r="D3764" s="2">
        <f t="shared" si="116"/>
        <v>4</v>
      </c>
      <c r="E3764" s="2">
        <f t="shared" si="117"/>
        <v>8</v>
      </c>
      <c r="F3764">
        <v>12.995799999999999</v>
      </c>
      <c r="G3764">
        <v>13.087899999999999</v>
      </c>
      <c r="H3764">
        <v>12.9497</v>
      </c>
      <c r="I3764">
        <v>13.0419</v>
      </c>
      <c r="J3764">
        <v>30038</v>
      </c>
      <c r="K3764">
        <v>0.70920000000000005</v>
      </c>
      <c r="L3764">
        <v>1.0676000000000001</v>
      </c>
    </row>
    <row r="3765" spans="1:12" hidden="1" x14ac:dyDescent="0.25">
      <c r="A3765">
        <v>2330</v>
      </c>
      <c r="B3765" t="s">
        <v>11</v>
      </c>
      <c r="C3765" s="1">
        <v>42964</v>
      </c>
      <c r="D3765" s="2">
        <f t="shared" si="116"/>
        <v>4</v>
      </c>
      <c r="E3765" s="2">
        <f t="shared" si="117"/>
        <v>8</v>
      </c>
      <c r="F3765">
        <v>194.5429</v>
      </c>
      <c r="G3765">
        <v>194.99850000000001</v>
      </c>
      <c r="H3765">
        <v>194.0873</v>
      </c>
      <c r="I3765">
        <v>194.99850000000001</v>
      </c>
      <c r="J3765">
        <v>8353</v>
      </c>
      <c r="K3765">
        <v>0.46839999999999998</v>
      </c>
      <c r="L3765">
        <v>0.46949999999999997</v>
      </c>
    </row>
    <row r="3766" spans="1:12" x14ac:dyDescent="0.25">
      <c r="A3766">
        <v>2303</v>
      </c>
      <c r="B3766" t="s">
        <v>10</v>
      </c>
      <c r="C3766" s="1">
        <v>42965</v>
      </c>
      <c r="D3766" s="2">
        <f t="shared" si="116"/>
        <v>5</v>
      </c>
      <c r="E3766" s="2">
        <f t="shared" si="117"/>
        <v>8</v>
      </c>
      <c r="F3766">
        <v>12.903600000000001</v>
      </c>
      <c r="G3766">
        <v>12.995799999999999</v>
      </c>
      <c r="H3766">
        <v>12.903600000000001</v>
      </c>
      <c r="I3766">
        <v>12.995799999999999</v>
      </c>
      <c r="J3766">
        <v>22984</v>
      </c>
      <c r="K3766">
        <v>-0.35399999999999998</v>
      </c>
      <c r="L3766">
        <v>0.71430000000000005</v>
      </c>
    </row>
    <row r="3767" spans="1:12" hidden="1" x14ac:dyDescent="0.25">
      <c r="A3767">
        <v>2330</v>
      </c>
      <c r="B3767" t="s">
        <v>11</v>
      </c>
      <c r="C3767" s="1">
        <v>42965</v>
      </c>
      <c r="D3767" s="2">
        <f t="shared" si="116"/>
        <v>5</v>
      </c>
      <c r="E3767" s="2">
        <f t="shared" si="117"/>
        <v>8</v>
      </c>
      <c r="F3767">
        <v>193.17609999999999</v>
      </c>
      <c r="G3767">
        <v>194.0873</v>
      </c>
      <c r="H3767">
        <v>192.26490000000001</v>
      </c>
      <c r="I3767">
        <v>193.6317</v>
      </c>
      <c r="J3767">
        <v>14363</v>
      </c>
      <c r="K3767">
        <v>-0.70340000000000003</v>
      </c>
      <c r="L3767">
        <v>0.94789999999999996</v>
      </c>
    </row>
    <row r="3768" spans="1:12" x14ac:dyDescent="0.25">
      <c r="A3768">
        <v>2303</v>
      </c>
      <c r="B3768" t="s">
        <v>10</v>
      </c>
      <c r="C3768" s="1">
        <v>42968</v>
      </c>
      <c r="D3768" s="2">
        <f t="shared" si="116"/>
        <v>1</v>
      </c>
      <c r="E3768" s="2">
        <f t="shared" si="117"/>
        <v>8</v>
      </c>
      <c r="F3768">
        <v>12.995799999999999</v>
      </c>
      <c r="G3768">
        <v>13.180099999999999</v>
      </c>
      <c r="H3768">
        <v>12.9497</v>
      </c>
      <c r="I3768">
        <v>13.0419</v>
      </c>
      <c r="J3768">
        <v>39046</v>
      </c>
      <c r="K3768">
        <v>0.35399999999999998</v>
      </c>
      <c r="L3768">
        <v>1.7794000000000001</v>
      </c>
    </row>
    <row r="3769" spans="1:12" hidden="1" x14ac:dyDescent="0.25">
      <c r="A3769">
        <v>2330</v>
      </c>
      <c r="B3769" t="s">
        <v>11</v>
      </c>
      <c r="C3769" s="1">
        <v>42968</v>
      </c>
      <c r="D3769" s="2">
        <f t="shared" si="116"/>
        <v>1</v>
      </c>
      <c r="E3769" s="2">
        <f t="shared" si="117"/>
        <v>8</v>
      </c>
      <c r="F3769">
        <v>193.6317</v>
      </c>
      <c r="G3769">
        <v>194.0873</v>
      </c>
      <c r="H3769">
        <v>192.72049999999999</v>
      </c>
      <c r="I3769">
        <v>192.72049999999999</v>
      </c>
      <c r="J3769">
        <v>13847</v>
      </c>
      <c r="K3769">
        <v>-0.47170000000000001</v>
      </c>
      <c r="L3769">
        <v>0.70920000000000005</v>
      </c>
    </row>
    <row r="3770" spans="1:12" x14ac:dyDescent="0.25">
      <c r="A3770">
        <v>2303</v>
      </c>
      <c r="B3770" t="s">
        <v>10</v>
      </c>
      <c r="C3770" s="1">
        <v>42969</v>
      </c>
      <c r="D3770" s="2">
        <f t="shared" si="116"/>
        <v>2</v>
      </c>
      <c r="E3770" s="2">
        <f t="shared" si="117"/>
        <v>8</v>
      </c>
      <c r="F3770">
        <v>13.180099999999999</v>
      </c>
      <c r="G3770">
        <v>13.180099999999999</v>
      </c>
      <c r="H3770">
        <v>13.0419</v>
      </c>
      <c r="I3770">
        <v>13.180099999999999</v>
      </c>
      <c r="J3770">
        <v>29141</v>
      </c>
      <c r="K3770">
        <v>1.0545</v>
      </c>
      <c r="L3770">
        <v>1.0601</v>
      </c>
    </row>
    <row r="3771" spans="1:12" hidden="1" x14ac:dyDescent="0.25">
      <c r="A3771">
        <v>2330</v>
      </c>
      <c r="B3771" t="s">
        <v>11</v>
      </c>
      <c r="C3771" s="1">
        <v>42969</v>
      </c>
      <c r="D3771" s="2">
        <f t="shared" si="116"/>
        <v>2</v>
      </c>
      <c r="E3771" s="2">
        <f t="shared" si="117"/>
        <v>8</v>
      </c>
      <c r="F3771">
        <v>194.5429</v>
      </c>
      <c r="G3771">
        <v>195.45410000000001</v>
      </c>
      <c r="H3771">
        <v>194.0873</v>
      </c>
      <c r="I3771">
        <v>195.45410000000001</v>
      </c>
      <c r="J3771">
        <v>17330</v>
      </c>
      <c r="K3771">
        <v>1.4085000000000001</v>
      </c>
      <c r="L3771">
        <v>0.70420000000000005</v>
      </c>
    </row>
    <row r="3772" spans="1:12" x14ac:dyDescent="0.25">
      <c r="A3772">
        <v>2303</v>
      </c>
      <c r="B3772" t="s">
        <v>10</v>
      </c>
      <c r="C3772" s="1">
        <v>42970</v>
      </c>
      <c r="D3772" s="2">
        <f t="shared" si="116"/>
        <v>3</v>
      </c>
      <c r="E3772" s="2">
        <f t="shared" si="117"/>
        <v>8</v>
      </c>
      <c r="F3772">
        <v>13.2723</v>
      </c>
      <c r="G3772">
        <v>13.2723</v>
      </c>
      <c r="H3772">
        <v>13.0419</v>
      </c>
      <c r="I3772">
        <v>13.087899999999999</v>
      </c>
      <c r="J3772">
        <v>30575</v>
      </c>
      <c r="K3772">
        <v>-0.70179999999999998</v>
      </c>
      <c r="L3772">
        <v>1.7667999999999999</v>
      </c>
    </row>
    <row r="3773" spans="1:12" hidden="1" x14ac:dyDescent="0.25">
      <c r="A3773">
        <v>2330</v>
      </c>
      <c r="B3773" t="s">
        <v>11</v>
      </c>
      <c r="C3773" s="1">
        <v>42970</v>
      </c>
      <c r="D3773" s="2">
        <f t="shared" si="116"/>
        <v>3</v>
      </c>
      <c r="E3773" s="2">
        <f t="shared" si="117"/>
        <v>8</v>
      </c>
      <c r="F3773">
        <v>196.36529999999999</v>
      </c>
      <c r="G3773">
        <v>196.82089999999999</v>
      </c>
      <c r="H3773">
        <v>194.99850000000001</v>
      </c>
      <c r="I3773">
        <v>196.36529999999999</v>
      </c>
      <c r="J3773">
        <v>11757</v>
      </c>
      <c r="K3773">
        <v>0.46510000000000001</v>
      </c>
      <c r="L3773">
        <v>0.93459999999999999</v>
      </c>
    </row>
    <row r="3774" spans="1:12" x14ac:dyDescent="0.25">
      <c r="A3774">
        <v>2303</v>
      </c>
      <c r="B3774" t="s">
        <v>10</v>
      </c>
      <c r="C3774" s="1">
        <v>42971</v>
      </c>
      <c r="D3774" s="2">
        <f t="shared" si="116"/>
        <v>4</v>
      </c>
      <c r="E3774" s="2">
        <f t="shared" si="117"/>
        <v>8</v>
      </c>
      <c r="F3774">
        <v>13.2262</v>
      </c>
      <c r="G3774">
        <v>13.8253</v>
      </c>
      <c r="H3774">
        <v>13.180099999999999</v>
      </c>
      <c r="I3774">
        <v>13.779199999999999</v>
      </c>
      <c r="J3774">
        <v>149395</v>
      </c>
      <c r="K3774">
        <v>5.1468999999999996</v>
      </c>
      <c r="L3774">
        <v>4.8951000000000002</v>
      </c>
    </row>
    <row r="3775" spans="1:12" hidden="1" x14ac:dyDescent="0.25">
      <c r="A3775">
        <v>2330</v>
      </c>
      <c r="B3775" t="s">
        <v>11</v>
      </c>
      <c r="C3775" s="1">
        <v>42971</v>
      </c>
      <c r="D3775" s="2">
        <f t="shared" si="116"/>
        <v>4</v>
      </c>
      <c r="E3775" s="2">
        <f t="shared" si="117"/>
        <v>8</v>
      </c>
      <c r="F3775">
        <v>196.82089999999999</v>
      </c>
      <c r="G3775">
        <v>197.7321</v>
      </c>
      <c r="H3775">
        <v>196.36529999999999</v>
      </c>
      <c r="I3775">
        <v>197.7321</v>
      </c>
      <c r="J3775">
        <v>15426</v>
      </c>
      <c r="K3775">
        <v>0.69359999999999999</v>
      </c>
      <c r="L3775">
        <v>0.69610000000000005</v>
      </c>
    </row>
    <row r="3776" spans="1:12" x14ac:dyDescent="0.25">
      <c r="A3776">
        <v>2303</v>
      </c>
      <c r="B3776" t="s">
        <v>10</v>
      </c>
      <c r="C3776" s="1">
        <v>42972</v>
      </c>
      <c r="D3776" s="2">
        <f t="shared" si="116"/>
        <v>5</v>
      </c>
      <c r="E3776" s="2">
        <f t="shared" si="117"/>
        <v>8</v>
      </c>
      <c r="F3776">
        <v>13.8253</v>
      </c>
      <c r="G3776">
        <v>13.8253</v>
      </c>
      <c r="H3776">
        <v>13.5488</v>
      </c>
      <c r="I3776">
        <v>13.7331</v>
      </c>
      <c r="J3776">
        <v>61559</v>
      </c>
      <c r="K3776">
        <v>-0.33500000000000002</v>
      </c>
      <c r="L3776">
        <v>2.0407999999999999</v>
      </c>
    </row>
    <row r="3777" spans="1:12" hidden="1" x14ac:dyDescent="0.25">
      <c r="A3777">
        <v>2330</v>
      </c>
      <c r="B3777" t="s">
        <v>11</v>
      </c>
      <c r="C3777" s="1">
        <v>42972</v>
      </c>
      <c r="D3777" s="2">
        <f t="shared" si="116"/>
        <v>5</v>
      </c>
      <c r="E3777" s="2">
        <f t="shared" si="117"/>
        <v>8</v>
      </c>
      <c r="F3777">
        <v>198.18770000000001</v>
      </c>
      <c r="G3777">
        <v>198.18770000000001</v>
      </c>
      <c r="H3777">
        <v>196.82089999999999</v>
      </c>
      <c r="I3777">
        <v>198.18770000000001</v>
      </c>
      <c r="J3777">
        <v>10975</v>
      </c>
      <c r="K3777">
        <v>0.2301</v>
      </c>
      <c r="L3777">
        <v>0.69440000000000002</v>
      </c>
    </row>
    <row r="3778" spans="1:12" x14ac:dyDescent="0.25">
      <c r="A3778">
        <v>2303</v>
      </c>
      <c r="B3778" t="s">
        <v>10</v>
      </c>
      <c r="C3778" s="1">
        <v>42975</v>
      </c>
      <c r="D3778" s="2">
        <f t="shared" si="116"/>
        <v>1</v>
      </c>
      <c r="E3778" s="2">
        <f t="shared" si="117"/>
        <v>8</v>
      </c>
      <c r="F3778">
        <v>13.8253</v>
      </c>
      <c r="G3778">
        <v>13.9635</v>
      </c>
      <c r="H3778">
        <v>13.7331</v>
      </c>
      <c r="I3778">
        <v>13.7331</v>
      </c>
      <c r="J3778">
        <v>50027</v>
      </c>
      <c r="K3778">
        <v>0</v>
      </c>
      <c r="L3778">
        <v>1.6778999999999999</v>
      </c>
    </row>
    <row r="3779" spans="1:12" hidden="1" x14ac:dyDescent="0.25">
      <c r="A3779">
        <v>2330</v>
      </c>
      <c r="B3779" t="s">
        <v>11</v>
      </c>
      <c r="C3779" s="1">
        <v>42975</v>
      </c>
      <c r="D3779" s="2">
        <f t="shared" ref="D3779:D3842" si="118">WEEKDAY(C3779,2)</f>
        <v>1</v>
      </c>
      <c r="E3779" s="2">
        <f t="shared" ref="E3779:E3842" si="119">MONTH(C3779)</f>
        <v>8</v>
      </c>
      <c r="F3779">
        <v>195.90969999999999</v>
      </c>
      <c r="G3779">
        <v>197.2765</v>
      </c>
      <c r="H3779">
        <v>195.90969999999999</v>
      </c>
      <c r="I3779">
        <v>196.82089999999999</v>
      </c>
      <c r="J3779">
        <v>16512</v>
      </c>
      <c r="K3779">
        <v>-0.69199999999999995</v>
      </c>
      <c r="L3779">
        <v>0.69769999999999999</v>
      </c>
    </row>
    <row r="3780" spans="1:12" x14ac:dyDescent="0.25">
      <c r="A3780">
        <v>2303</v>
      </c>
      <c r="B3780" t="s">
        <v>10</v>
      </c>
      <c r="C3780" s="1">
        <v>42976</v>
      </c>
      <c r="D3780" s="2">
        <f t="shared" si="118"/>
        <v>2</v>
      </c>
      <c r="E3780" s="2">
        <f t="shared" si="119"/>
        <v>8</v>
      </c>
      <c r="F3780">
        <v>13.8253</v>
      </c>
      <c r="G3780">
        <v>13.9175</v>
      </c>
      <c r="H3780">
        <v>13.641</v>
      </c>
      <c r="I3780">
        <v>13.7331</v>
      </c>
      <c r="J3780">
        <v>43363</v>
      </c>
      <c r="K3780">
        <v>0</v>
      </c>
      <c r="L3780">
        <v>2.0270000000000001</v>
      </c>
    </row>
    <row r="3781" spans="1:12" hidden="1" x14ac:dyDescent="0.25">
      <c r="A3781">
        <v>2330</v>
      </c>
      <c r="B3781" t="s">
        <v>11</v>
      </c>
      <c r="C3781" s="1">
        <v>42976</v>
      </c>
      <c r="D3781" s="2">
        <f t="shared" si="118"/>
        <v>2</v>
      </c>
      <c r="E3781" s="2">
        <f t="shared" si="119"/>
        <v>8</v>
      </c>
      <c r="F3781">
        <v>196.82089999999999</v>
      </c>
      <c r="G3781">
        <v>196.82089999999999</v>
      </c>
      <c r="H3781">
        <v>195.90969999999999</v>
      </c>
      <c r="I3781">
        <v>196.82089999999999</v>
      </c>
      <c r="J3781">
        <v>16561</v>
      </c>
      <c r="K3781">
        <v>0</v>
      </c>
      <c r="L3781">
        <v>0.46510000000000001</v>
      </c>
    </row>
    <row r="3782" spans="1:12" x14ac:dyDescent="0.25">
      <c r="A3782">
        <v>2303</v>
      </c>
      <c r="B3782" t="s">
        <v>10</v>
      </c>
      <c r="C3782" s="1">
        <v>42977</v>
      </c>
      <c r="D3782" s="2">
        <f t="shared" si="118"/>
        <v>3</v>
      </c>
      <c r="E3782" s="2">
        <f t="shared" si="119"/>
        <v>8</v>
      </c>
      <c r="F3782">
        <v>13.8253</v>
      </c>
      <c r="G3782">
        <v>13.8714</v>
      </c>
      <c r="H3782">
        <v>13.5488</v>
      </c>
      <c r="I3782">
        <v>13.686999999999999</v>
      </c>
      <c r="J3782">
        <v>37189</v>
      </c>
      <c r="K3782">
        <v>-0.33610000000000001</v>
      </c>
      <c r="L3782">
        <v>2.3809999999999998</v>
      </c>
    </row>
    <row r="3783" spans="1:12" hidden="1" x14ac:dyDescent="0.25">
      <c r="A3783">
        <v>2330</v>
      </c>
      <c r="B3783" t="s">
        <v>11</v>
      </c>
      <c r="C3783" s="1">
        <v>42977</v>
      </c>
      <c r="D3783" s="2">
        <f t="shared" si="118"/>
        <v>3</v>
      </c>
      <c r="E3783" s="2">
        <f t="shared" si="119"/>
        <v>8</v>
      </c>
      <c r="F3783">
        <v>196.82089999999999</v>
      </c>
      <c r="G3783">
        <v>198.64330000000001</v>
      </c>
      <c r="H3783">
        <v>196.82089999999999</v>
      </c>
      <c r="I3783">
        <v>198.18770000000001</v>
      </c>
      <c r="J3783">
        <v>19674</v>
      </c>
      <c r="K3783">
        <v>0.69199999999999995</v>
      </c>
      <c r="L3783">
        <v>0.92589999999999995</v>
      </c>
    </row>
    <row r="3784" spans="1:12" x14ac:dyDescent="0.25">
      <c r="A3784">
        <v>2303</v>
      </c>
      <c r="B3784" t="s">
        <v>10</v>
      </c>
      <c r="C3784" s="1">
        <v>42978</v>
      </c>
      <c r="D3784" s="2">
        <f t="shared" si="118"/>
        <v>4</v>
      </c>
      <c r="E3784" s="2">
        <f t="shared" si="119"/>
        <v>8</v>
      </c>
      <c r="F3784">
        <v>13.779199999999999</v>
      </c>
      <c r="G3784">
        <v>14.1479</v>
      </c>
      <c r="H3784">
        <v>13.7331</v>
      </c>
      <c r="I3784">
        <v>13.8714</v>
      </c>
      <c r="J3784">
        <v>141684</v>
      </c>
      <c r="K3784">
        <v>1.3378000000000001</v>
      </c>
      <c r="L3784">
        <v>3.0200999999999998</v>
      </c>
    </row>
    <row r="3785" spans="1:12" hidden="1" x14ac:dyDescent="0.25">
      <c r="A3785">
        <v>2330</v>
      </c>
      <c r="B3785" t="s">
        <v>11</v>
      </c>
      <c r="C3785" s="1">
        <v>42978</v>
      </c>
      <c r="D3785" s="2">
        <f t="shared" si="118"/>
        <v>4</v>
      </c>
      <c r="E3785" s="2">
        <f t="shared" si="119"/>
        <v>8</v>
      </c>
      <c r="F3785">
        <v>198.18770000000001</v>
      </c>
      <c r="G3785">
        <v>198.64330000000001</v>
      </c>
      <c r="H3785">
        <v>196.36529999999999</v>
      </c>
      <c r="I3785">
        <v>197.2765</v>
      </c>
      <c r="J3785">
        <v>26945</v>
      </c>
      <c r="K3785">
        <v>-0.46079999999999999</v>
      </c>
      <c r="L3785">
        <v>1.1600999999999999</v>
      </c>
    </row>
    <row r="3786" spans="1:12" x14ac:dyDescent="0.25">
      <c r="A3786">
        <v>2303</v>
      </c>
      <c r="B3786" t="s">
        <v>10</v>
      </c>
      <c r="C3786" s="1">
        <v>42979</v>
      </c>
      <c r="D3786" s="2">
        <f t="shared" si="118"/>
        <v>5</v>
      </c>
      <c r="E3786" s="2">
        <f t="shared" si="119"/>
        <v>9</v>
      </c>
      <c r="F3786">
        <v>14.101800000000001</v>
      </c>
      <c r="G3786">
        <v>15.207800000000001</v>
      </c>
      <c r="H3786">
        <v>13.9635</v>
      </c>
      <c r="I3786">
        <v>14.793100000000001</v>
      </c>
      <c r="J3786">
        <v>373330</v>
      </c>
      <c r="K3786">
        <v>6.4330999999999996</v>
      </c>
      <c r="L3786">
        <v>8.9108999999999998</v>
      </c>
    </row>
    <row r="3787" spans="1:12" hidden="1" x14ac:dyDescent="0.25">
      <c r="A3787">
        <v>2330</v>
      </c>
      <c r="B3787" t="s">
        <v>11</v>
      </c>
      <c r="C3787" s="1">
        <v>42979</v>
      </c>
      <c r="D3787" s="2">
        <f t="shared" si="118"/>
        <v>5</v>
      </c>
      <c r="E3787" s="2">
        <f t="shared" si="119"/>
        <v>9</v>
      </c>
      <c r="F3787">
        <v>195.90969999999999</v>
      </c>
      <c r="G3787">
        <v>198.18770000000001</v>
      </c>
      <c r="H3787">
        <v>195.90969999999999</v>
      </c>
      <c r="I3787">
        <v>197.2765</v>
      </c>
      <c r="J3787">
        <v>17805</v>
      </c>
      <c r="K3787">
        <v>0</v>
      </c>
      <c r="L3787">
        <v>1.1628000000000001</v>
      </c>
    </row>
    <row r="3788" spans="1:12" x14ac:dyDescent="0.25">
      <c r="A3788">
        <v>2303</v>
      </c>
      <c r="B3788" t="s">
        <v>10</v>
      </c>
      <c r="C3788" s="1">
        <v>42982</v>
      </c>
      <c r="D3788" s="2">
        <f t="shared" si="118"/>
        <v>1</v>
      </c>
      <c r="E3788" s="2">
        <f t="shared" si="119"/>
        <v>9</v>
      </c>
      <c r="F3788">
        <v>14.885199999999999</v>
      </c>
      <c r="G3788">
        <v>15.4382</v>
      </c>
      <c r="H3788">
        <v>14.8391</v>
      </c>
      <c r="I3788">
        <v>15.207800000000001</v>
      </c>
      <c r="J3788">
        <v>220970</v>
      </c>
      <c r="K3788">
        <v>2.7652000000000001</v>
      </c>
      <c r="L3788">
        <v>4.0373000000000001</v>
      </c>
    </row>
    <row r="3789" spans="1:12" hidden="1" x14ac:dyDescent="0.25">
      <c r="A3789">
        <v>2330</v>
      </c>
      <c r="B3789" t="s">
        <v>11</v>
      </c>
      <c r="C3789" s="1">
        <v>42982</v>
      </c>
      <c r="D3789" s="2">
        <f t="shared" si="118"/>
        <v>1</v>
      </c>
      <c r="E3789" s="2">
        <f t="shared" si="119"/>
        <v>9</v>
      </c>
      <c r="F3789">
        <v>197.2765</v>
      </c>
      <c r="G3789">
        <v>198.64330000000001</v>
      </c>
      <c r="H3789">
        <v>196.36529999999999</v>
      </c>
      <c r="I3789">
        <v>198.18770000000001</v>
      </c>
      <c r="J3789">
        <v>15053</v>
      </c>
      <c r="K3789">
        <v>0.46079999999999999</v>
      </c>
      <c r="L3789">
        <v>1.1600999999999999</v>
      </c>
    </row>
    <row r="3790" spans="1:12" x14ac:dyDescent="0.25">
      <c r="A3790">
        <v>2303</v>
      </c>
      <c r="B3790" t="s">
        <v>10</v>
      </c>
      <c r="C3790" s="1">
        <v>42983</v>
      </c>
      <c r="D3790" s="2">
        <f t="shared" si="118"/>
        <v>2</v>
      </c>
      <c r="E3790" s="2">
        <f t="shared" si="119"/>
        <v>9</v>
      </c>
      <c r="F3790">
        <v>15.1157</v>
      </c>
      <c r="G3790">
        <v>15.207800000000001</v>
      </c>
      <c r="H3790">
        <v>14.885199999999999</v>
      </c>
      <c r="I3790">
        <v>15.207800000000001</v>
      </c>
      <c r="J3790">
        <v>111389</v>
      </c>
      <c r="K3790">
        <v>0</v>
      </c>
      <c r="L3790">
        <v>2.1671999999999998</v>
      </c>
    </row>
    <row r="3791" spans="1:12" hidden="1" x14ac:dyDescent="0.25">
      <c r="A3791">
        <v>2330</v>
      </c>
      <c r="B3791" t="s">
        <v>11</v>
      </c>
      <c r="C3791" s="1">
        <v>42983</v>
      </c>
      <c r="D3791" s="2">
        <f t="shared" si="118"/>
        <v>2</v>
      </c>
      <c r="E3791" s="2">
        <f t="shared" si="119"/>
        <v>9</v>
      </c>
      <c r="F3791">
        <v>198.64330000000001</v>
      </c>
      <c r="G3791">
        <v>198.64330000000001</v>
      </c>
      <c r="H3791">
        <v>197.2765</v>
      </c>
      <c r="I3791">
        <v>198.64330000000001</v>
      </c>
      <c r="J3791">
        <v>34514</v>
      </c>
      <c r="K3791">
        <v>0.2296</v>
      </c>
      <c r="L3791">
        <v>0.69279999999999997</v>
      </c>
    </row>
    <row r="3792" spans="1:12" x14ac:dyDescent="0.25">
      <c r="A3792">
        <v>2303</v>
      </c>
      <c r="B3792" t="s">
        <v>10</v>
      </c>
      <c r="C3792" s="1">
        <v>42984</v>
      </c>
      <c r="D3792" s="2">
        <f t="shared" si="118"/>
        <v>3</v>
      </c>
      <c r="E3792" s="2">
        <f t="shared" si="119"/>
        <v>9</v>
      </c>
      <c r="F3792">
        <v>15.0235</v>
      </c>
      <c r="G3792">
        <v>15.1157</v>
      </c>
      <c r="H3792">
        <v>14.700900000000001</v>
      </c>
      <c r="I3792">
        <v>14.793100000000001</v>
      </c>
      <c r="J3792">
        <v>111772</v>
      </c>
      <c r="K3792">
        <v>-2.7652000000000001</v>
      </c>
      <c r="L3792">
        <v>2.8212999999999999</v>
      </c>
    </row>
    <row r="3793" spans="1:12" hidden="1" x14ac:dyDescent="0.25">
      <c r="A3793">
        <v>2330</v>
      </c>
      <c r="B3793" t="s">
        <v>11</v>
      </c>
      <c r="C3793" s="1">
        <v>42984</v>
      </c>
      <c r="D3793" s="2">
        <f t="shared" si="118"/>
        <v>3</v>
      </c>
      <c r="E3793" s="2">
        <f t="shared" si="119"/>
        <v>9</v>
      </c>
      <c r="F3793">
        <v>197.2765</v>
      </c>
      <c r="G3793">
        <v>198.64330000000001</v>
      </c>
      <c r="H3793">
        <v>196.82089999999999</v>
      </c>
      <c r="I3793">
        <v>197.7321</v>
      </c>
      <c r="J3793">
        <v>28148</v>
      </c>
      <c r="K3793">
        <v>-0.45979999999999999</v>
      </c>
      <c r="L3793">
        <v>0.92589999999999995</v>
      </c>
    </row>
    <row r="3794" spans="1:12" x14ac:dyDescent="0.25">
      <c r="A3794">
        <v>2303</v>
      </c>
      <c r="B3794" t="s">
        <v>10</v>
      </c>
      <c r="C3794" s="1">
        <v>42985</v>
      </c>
      <c r="D3794" s="2">
        <f t="shared" si="118"/>
        <v>4</v>
      </c>
      <c r="E3794" s="2">
        <f t="shared" si="119"/>
        <v>9</v>
      </c>
      <c r="F3794">
        <v>14.793100000000001</v>
      </c>
      <c r="G3794">
        <v>15.484299999999999</v>
      </c>
      <c r="H3794">
        <v>14.793100000000001</v>
      </c>
      <c r="I3794">
        <v>15.0235</v>
      </c>
      <c r="J3794">
        <v>208678</v>
      </c>
      <c r="K3794">
        <v>1.5456000000000001</v>
      </c>
      <c r="L3794">
        <v>4.6729000000000003</v>
      </c>
    </row>
    <row r="3795" spans="1:12" hidden="1" x14ac:dyDescent="0.25">
      <c r="A3795">
        <v>2330</v>
      </c>
      <c r="B3795" t="s">
        <v>11</v>
      </c>
      <c r="C3795" s="1">
        <v>42985</v>
      </c>
      <c r="D3795" s="2">
        <f t="shared" si="118"/>
        <v>4</v>
      </c>
      <c r="E3795" s="2">
        <f t="shared" si="119"/>
        <v>9</v>
      </c>
      <c r="F3795">
        <v>198.64330000000001</v>
      </c>
      <c r="G3795">
        <v>199.09889999999999</v>
      </c>
      <c r="H3795">
        <v>196.82089999999999</v>
      </c>
      <c r="I3795">
        <v>197.7321</v>
      </c>
      <c r="J3795">
        <v>19198</v>
      </c>
      <c r="K3795">
        <v>0</v>
      </c>
      <c r="L3795">
        <v>1.1574</v>
      </c>
    </row>
    <row r="3796" spans="1:12" x14ac:dyDescent="0.25">
      <c r="A3796">
        <v>2303</v>
      </c>
      <c r="B3796" t="s">
        <v>10</v>
      </c>
      <c r="C3796" s="1">
        <v>42986</v>
      </c>
      <c r="D3796" s="2">
        <f t="shared" si="118"/>
        <v>5</v>
      </c>
      <c r="E3796" s="2">
        <f t="shared" si="119"/>
        <v>9</v>
      </c>
      <c r="F3796">
        <v>15.1157</v>
      </c>
      <c r="G3796">
        <v>15.207800000000001</v>
      </c>
      <c r="H3796">
        <v>14.9313</v>
      </c>
      <c r="I3796">
        <v>14.977399999999999</v>
      </c>
      <c r="J3796">
        <v>67429</v>
      </c>
      <c r="K3796">
        <v>-0.30719999999999997</v>
      </c>
      <c r="L3796">
        <v>1.8519000000000001</v>
      </c>
    </row>
    <row r="3797" spans="1:12" hidden="1" x14ac:dyDescent="0.25">
      <c r="A3797">
        <v>2330</v>
      </c>
      <c r="B3797" t="s">
        <v>11</v>
      </c>
      <c r="C3797" s="1">
        <v>42986</v>
      </c>
      <c r="D3797" s="2">
        <f t="shared" si="118"/>
        <v>5</v>
      </c>
      <c r="E3797" s="2">
        <f t="shared" si="119"/>
        <v>9</v>
      </c>
      <c r="F3797">
        <v>197.7321</v>
      </c>
      <c r="G3797">
        <v>198.64330000000001</v>
      </c>
      <c r="H3797">
        <v>197.2765</v>
      </c>
      <c r="I3797">
        <v>198.64330000000001</v>
      </c>
      <c r="J3797">
        <v>25512</v>
      </c>
      <c r="K3797">
        <v>0.45979999999999999</v>
      </c>
      <c r="L3797">
        <v>0.69279999999999997</v>
      </c>
    </row>
    <row r="3798" spans="1:12" x14ac:dyDescent="0.25">
      <c r="A3798">
        <v>2303</v>
      </c>
      <c r="B3798" t="s">
        <v>10</v>
      </c>
      <c r="C3798" s="1">
        <v>42989</v>
      </c>
      <c r="D3798" s="2">
        <f t="shared" si="118"/>
        <v>1</v>
      </c>
      <c r="E3798" s="2">
        <f t="shared" si="119"/>
        <v>9</v>
      </c>
      <c r="F3798">
        <v>14.977399999999999</v>
      </c>
      <c r="G3798">
        <v>15.1157</v>
      </c>
      <c r="H3798">
        <v>14.793100000000001</v>
      </c>
      <c r="I3798">
        <v>14.793100000000001</v>
      </c>
      <c r="J3798">
        <v>39683</v>
      </c>
      <c r="K3798">
        <v>-1.2383999999999999</v>
      </c>
      <c r="L3798">
        <v>2.1806999999999999</v>
      </c>
    </row>
    <row r="3799" spans="1:12" hidden="1" x14ac:dyDescent="0.25">
      <c r="A3799">
        <v>2330</v>
      </c>
      <c r="B3799" t="s">
        <v>11</v>
      </c>
      <c r="C3799" s="1">
        <v>42989</v>
      </c>
      <c r="D3799" s="2">
        <f t="shared" si="118"/>
        <v>1</v>
      </c>
      <c r="E3799" s="2">
        <f t="shared" si="119"/>
        <v>9</v>
      </c>
      <c r="F3799">
        <v>199.55459999999999</v>
      </c>
      <c r="G3799">
        <v>200.0102</v>
      </c>
      <c r="H3799">
        <v>197.2765</v>
      </c>
      <c r="I3799">
        <v>197.7321</v>
      </c>
      <c r="J3799">
        <v>19387</v>
      </c>
      <c r="K3799">
        <v>-0.45979999999999999</v>
      </c>
      <c r="L3799">
        <v>1.3856999999999999</v>
      </c>
    </row>
    <row r="3800" spans="1:12" x14ac:dyDescent="0.25">
      <c r="A3800">
        <v>2303</v>
      </c>
      <c r="B3800" t="s">
        <v>10</v>
      </c>
      <c r="C3800" s="1">
        <v>42990</v>
      </c>
      <c r="D3800" s="2">
        <f t="shared" si="118"/>
        <v>2</v>
      </c>
      <c r="E3800" s="2">
        <f t="shared" si="119"/>
        <v>9</v>
      </c>
      <c r="F3800">
        <v>14.8391</v>
      </c>
      <c r="G3800">
        <v>14.9313</v>
      </c>
      <c r="H3800">
        <v>14.5626</v>
      </c>
      <c r="I3800">
        <v>14.6548</v>
      </c>
      <c r="J3800">
        <v>68864</v>
      </c>
      <c r="K3800">
        <v>-0.93899999999999995</v>
      </c>
      <c r="L3800">
        <v>2.5316000000000001</v>
      </c>
    </row>
    <row r="3801" spans="1:12" hidden="1" x14ac:dyDescent="0.25">
      <c r="A3801">
        <v>2330</v>
      </c>
      <c r="B3801" t="s">
        <v>11</v>
      </c>
      <c r="C3801" s="1">
        <v>42990</v>
      </c>
      <c r="D3801" s="2">
        <f t="shared" si="118"/>
        <v>2</v>
      </c>
      <c r="E3801" s="2">
        <f t="shared" si="119"/>
        <v>9</v>
      </c>
      <c r="F3801">
        <v>199.55459999999999</v>
      </c>
      <c r="G3801">
        <v>200.0102</v>
      </c>
      <c r="H3801">
        <v>198.18770000000001</v>
      </c>
      <c r="I3801">
        <v>199.55459999999999</v>
      </c>
      <c r="J3801">
        <v>24862</v>
      </c>
      <c r="K3801">
        <v>0.91739999999999999</v>
      </c>
      <c r="L3801">
        <v>0.91949999999999998</v>
      </c>
    </row>
    <row r="3802" spans="1:12" x14ac:dyDescent="0.25">
      <c r="A3802">
        <v>2303</v>
      </c>
      <c r="B3802" t="s">
        <v>10</v>
      </c>
      <c r="C3802" s="1">
        <v>42991</v>
      </c>
      <c r="D3802" s="2">
        <f t="shared" si="118"/>
        <v>3</v>
      </c>
      <c r="E3802" s="2">
        <f t="shared" si="119"/>
        <v>9</v>
      </c>
      <c r="F3802">
        <v>14.700900000000001</v>
      </c>
      <c r="G3802">
        <v>14.8391</v>
      </c>
      <c r="H3802">
        <v>14.470499999999999</v>
      </c>
      <c r="I3802">
        <v>14.470499999999999</v>
      </c>
      <c r="J3802">
        <v>49706</v>
      </c>
      <c r="K3802">
        <v>-1.2658</v>
      </c>
      <c r="L3802">
        <v>2.5478000000000001</v>
      </c>
    </row>
    <row r="3803" spans="1:12" hidden="1" x14ac:dyDescent="0.25">
      <c r="A3803">
        <v>2330</v>
      </c>
      <c r="B3803" t="s">
        <v>11</v>
      </c>
      <c r="C3803" s="1">
        <v>42991</v>
      </c>
      <c r="D3803" s="2">
        <f t="shared" si="118"/>
        <v>3</v>
      </c>
      <c r="E3803" s="2">
        <f t="shared" si="119"/>
        <v>9</v>
      </c>
      <c r="F3803">
        <v>198.18770000000001</v>
      </c>
      <c r="G3803">
        <v>199.55459999999999</v>
      </c>
      <c r="H3803">
        <v>198.18770000000001</v>
      </c>
      <c r="I3803">
        <v>198.64330000000001</v>
      </c>
      <c r="J3803">
        <v>18336</v>
      </c>
      <c r="K3803">
        <v>-0.4577</v>
      </c>
      <c r="L3803">
        <v>0.68969999999999998</v>
      </c>
    </row>
    <row r="3804" spans="1:12" x14ac:dyDescent="0.25">
      <c r="A3804">
        <v>2303</v>
      </c>
      <c r="B3804" t="s">
        <v>10</v>
      </c>
      <c r="C3804" s="1">
        <v>42992</v>
      </c>
      <c r="D3804" s="2">
        <f t="shared" si="118"/>
        <v>4</v>
      </c>
      <c r="E3804" s="2">
        <f t="shared" si="119"/>
        <v>9</v>
      </c>
      <c r="F3804">
        <v>14.5626</v>
      </c>
      <c r="G3804">
        <v>14.8391</v>
      </c>
      <c r="H3804">
        <v>14.378299999999999</v>
      </c>
      <c r="I3804">
        <v>14.6548</v>
      </c>
      <c r="J3804">
        <v>55352</v>
      </c>
      <c r="K3804">
        <v>1.2658</v>
      </c>
      <c r="L3804">
        <v>3.2050999999999998</v>
      </c>
    </row>
    <row r="3805" spans="1:12" hidden="1" x14ac:dyDescent="0.25">
      <c r="A3805">
        <v>2330</v>
      </c>
      <c r="B3805" t="s">
        <v>11</v>
      </c>
      <c r="C3805" s="1">
        <v>42992</v>
      </c>
      <c r="D3805" s="2">
        <f t="shared" si="118"/>
        <v>4</v>
      </c>
      <c r="E3805" s="2">
        <f t="shared" si="119"/>
        <v>9</v>
      </c>
      <c r="F3805">
        <v>199.09889999999999</v>
      </c>
      <c r="G3805">
        <v>199.55459999999999</v>
      </c>
      <c r="H3805">
        <v>198.18770000000001</v>
      </c>
      <c r="I3805">
        <v>199.09889999999999</v>
      </c>
      <c r="J3805">
        <v>21508</v>
      </c>
      <c r="K3805">
        <v>0.2291</v>
      </c>
      <c r="L3805">
        <v>0.68969999999999998</v>
      </c>
    </row>
    <row r="3806" spans="1:12" x14ac:dyDescent="0.25">
      <c r="A3806">
        <v>2303</v>
      </c>
      <c r="B3806" t="s">
        <v>10</v>
      </c>
      <c r="C3806" s="1">
        <v>42993</v>
      </c>
      <c r="D3806" s="2">
        <f t="shared" si="118"/>
        <v>5</v>
      </c>
      <c r="E3806" s="2">
        <f t="shared" si="119"/>
        <v>9</v>
      </c>
      <c r="F3806">
        <v>14.6548</v>
      </c>
      <c r="G3806">
        <v>14.6548</v>
      </c>
      <c r="H3806">
        <v>14.3322</v>
      </c>
      <c r="I3806">
        <v>14.3322</v>
      </c>
      <c r="J3806">
        <v>66947</v>
      </c>
      <c r="K3806">
        <v>-2.2258</v>
      </c>
      <c r="L3806">
        <v>2.2507999999999999</v>
      </c>
    </row>
    <row r="3807" spans="1:12" hidden="1" x14ac:dyDescent="0.25">
      <c r="A3807">
        <v>2330</v>
      </c>
      <c r="B3807" t="s">
        <v>11</v>
      </c>
      <c r="C3807" s="1">
        <v>42993</v>
      </c>
      <c r="D3807" s="2">
        <f t="shared" si="118"/>
        <v>5</v>
      </c>
      <c r="E3807" s="2">
        <f t="shared" si="119"/>
        <v>9</v>
      </c>
      <c r="F3807">
        <v>199.09889999999999</v>
      </c>
      <c r="G3807">
        <v>199.55459999999999</v>
      </c>
      <c r="H3807">
        <v>197.7321</v>
      </c>
      <c r="I3807">
        <v>199.09889999999999</v>
      </c>
      <c r="J3807">
        <v>48901</v>
      </c>
      <c r="K3807">
        <v>0</v>
      </c>
      <c r="L3807">
        <v>0.92169999999999996</v>
      </c>
    </row>
    <row r="3808" spans="1:12" x14ac:dyDescent="0.25">
      <c r="A3808">
        <v>2303</v>
      </c>
      <c r="B3808" t="s">
        <v>10</v>
      </c>
      <c r="C3808" s="1">
        <v>42996</v>
      </c>
      <c r="D3808" s="2">
        <f t="shared" si="118"/>
        <v>1</v>
      </c>
      <c r="E3808" s="2">
        <f t="shared" si="119"/>
        <v>9</v>
      </c>
      <c r="F3808">
        <v>14.4244</v>
      </c>
      <c r="G3808">
        <v>14.747</v>
      </c>
      <c r="H3808">
        <v>14.378299999999999</v>
      </c>
      <c r="I3808">
        <v>14.6548</v>
      </c>
      <c r="J3808">
        <v>50776</v>
      </c>
      <c r="K3808">
        <v>2.2258</v>
      </c>
      <c r="L3808">
        <v>2.5640999999999998</v>
      </c>
    </row>
    <row r="3809" spans="1:12" hidden="1" x14ac:dyDescent="0.25">
      <c r="A3809">
        <v>2330</v>
      </c>
      <c r="B3809" t="s">
        <v>11</v>
      </c>
      <c r="C3809" s="1">
        <v>42996</v>
      </c>
      <c r="D3809" s="2">
        <f t="shared" si="118"/>
        <v>1</v>
      </c>
      <c r="E3809" s="2">
        <f t="shared" si="119"/>
        <v>9</v>
      </c>
      <c r="F3809">
        <v>199.55459999999999</v>
      </c>
      <c r="G3809">
        <v>200.4658</v>
      </c>
      <c r="H3809">
        <v>198.64330000000001</v>
      </c>
      <c r="I3809">
        <v>200.0102</v>
      </c>
      <c r="J3809">
        <v>17812</v>
      </c>
      <c r="K3809">
        <v>0.45660000000000001</v>
      </c>
      <c r="L3809">
        <v>0.91739999999999999</v>
      </c>
    </row>
    <row r="3810" spans="1:12" x14ac:dyDescent="0.25">
      <c r="A3810">
        <v>2303</v>
      </c>
      <c r="B3810" t="s">
        <v>10</v>
      </c>
      <c r="C3810" s="1">
        <v>42997</v>
      </c>
      <c r="D3810" s="2">
        <f t="shared" si="118"/>
        <v>2</v>
      </c>
      <c r="E3810" s="2">
        <f t="shared" si="119"/>
        <v>9</v>
      </c>
      <c r="F3810">
        <v>14.793100000000001</v>
      </c>
      <c r="G3810">
        <v>14.9313</v>
      </c>
      <c r="H3810">
        <v>14.608700000000001</v>
      </c>
      <c r="I3810">
        <v>14.747</v>
      </c>
      <c r="J3810">
        <v>64293</v>
      </c>
      <c r="K3810">
        <v>0.627</v>
      </c>
      <c r="L3810">
        <v>2.2082000000000002</v>
      </c>
    </row>
    <row r="3811" spans="1:12" hidden="1" x14ac:dyDescent="0.25">
      <c r="A3811">
        <v>2330</v>
      </c>
      <c r="B3811" t="s">
        <v>11</v>
      </c>
      <c r="C3811" s="1">
        <v>42997</v>
      </c>
      <c r="D3811" s="2">
        <f t="shared" si="118"/>
        <v>2</v>
      </c>
      <c r="E3811" s="2">
        <f t="shared" si="119"/>
        <v>9</v>
      </c>
      <c r="F3811">
        <v>201.83260000000001</v>
      </c>
      <c r="G3811">
        <v>201.83260000000001</v>
      </c>
      <c r="H3811">
        <v>200.4658</v>
      </c>
      <c r="I3811">
        <v>201.83260000000001</v>
      </c>
      <c r="J3811">
        <v>26255</v>
      </c>
      <c r="K3811">
        <v>0.90700000000000003</v>
      </c>
      <c r="L3811">
        <v>0.68179999999999996</v>
      </c>
    </row>
    <row r="3812" spans="1:12" x14ac:dyDescent="0.25">
      <c r="A3812">
        <v>2303</v>
      </c>
      <c r="B3812" t="s">
        <v>10</v>
      </c>
      <c r="C3812" s="1">
        <v>42998</v>
      </c>
      <c r="D3812" s="2">
        <f t="shared" si="118"/>
        <v>3</v>
      </c>
      <c r="E3812" s="2">
        <f t="shared" si="119"/>
        <v>9</v>
      </c>
      <c r="F3812">
        <v>14.747</v>
      </c>
      <c r="G3812">
        <v>14.747</v>
      </c>
      <c r="H3812">
        <v>14.3322</v>
      </c>
      <c r="I3812">
        <v>14.4244</v>
      </c>
      <c r="J3812">
        <v>38000</v>
      </c>
      <c r="K3812">
        <v>-2.2118000000000002</v>
      </c>
      <c r="L3812">
        <v>2.8938999999999999</v>
      </c>
    </row>
    <row r="3813" spans="1:12" hidden="1" x14ac:dyDescent="0.25">
      <c r="A3813">
        <v>2330</v>
      </c>
      <c r="B3813" t="s">
        <v>11</v>
      </c>
      <c r="C3813" s="1">
        <v>42998</v>
      </c>
      <c r="D3813" s="2">
        <f t="shared" si="118"/>
        <v>3</v>
      </c>
      <c r="E3813" s="2">
        <f t="shared" si="119"/>
        <v>9</v>
      </c>
      <c r="F3813">
        <v>201.37700000000001</v>
      </c>
      <c r="G3813">
        <v>202.28819999999999</v>
      </c>
      <c r="H3813">
        <v>200.4658</v>
      </c>
      <c r="I3813">
        <v>201.83260000000001</v>
      </c>
      <c r="J3813">
        <v>23434</v>
      </c>
      <c r="K3813">
        <v>0</v>
      </c>
      <c r="L3813">
        <v>0.90910000000000002</v>
      </c>
    </row>
    <row r="3814" spans="1:12" x14ac:dyDescent="0.25">
      <c r="A3814">
        <v>2303</v>
      </c>
      <c r="B3814" t="s">
        <v>10</v>
      </c>
      <c r="C3814" s="1">
        <v>42999</v>
      </c>
      <c r="D3814" s="2">
        <f t="shared" si="118"/>
        <v>4</v>
      </c>
      <c r="E3814" s="2">
        <f t="shared" si="119"/>
        <v>9</v>
      </c>
      <c r="F3814">
        <v>14.4244</v>
      </c>
      <c r="G3814">
        <v>14.6548</v>
      </c>
      <c r="H3814">
        <v>14.378299999999999</v>
      </c>
      <c r="I3814">
        <v>14.608700000000001</v>
      </c>
      <c r="J3814">
        <v>44092</v>
      </c>
      <c r="K3814">
        <v>1.2699</v>
      </c>
      <c r="L3814">
        <v>1.9231</v>
      </c>
    </row>
    <row r="3815" spans="1:12" hidden="1" x14ac:dyDescent="0.25">
      <c r="A3815">
        <v>2330</v>
      </c>
      <c r="B3815" t="s">
        <v>11</v>
      </c>
      <c r="C3815" s="1">
        <v>42999</v>
      </c>
      <c r="D3815" s="2">
        <f t="shared" si="118"/>
        <v>4</v>
      </c>
      <c r="E3815" s="2">
        <f t="shared" si="119"/>
        <v>9</v>
      </c>
      <c r="F3815">
        <v>201.37700000000001</v>
      </c>
      <c r="G3815">
        <v>203.1994</v>
      </c>
      <c r="H3815">
        <v>200.4658</v>
      </c>
      <c r="I3815">
        <v>201.37700000000001</v>
      </c>
      <c r="J3815">
        <v>18645</v>
      </c>
      <c r="K3815">
        <v>-0.22600000000000001</v>
      </c>
      <c r="L3815">
        <v>1.3635999999999999</v>
      </c>
    </row>
    <row r="3816" spans="1:12" x14ac:dyDescent="0.25">
      <c r="A3816">
        <v>2303</v>
      </c>
      <c r="B3816" t="s">
        <v>10</v>
      </c>
      <c r="C3816" s="1">
        <v>43000</v>
      </c>
      <c r="D3816" s="2">
        <f t="shared" si="118"/>
        <v>5</v>
      </c>
      <c r="E3816" s="2">
        <f t="shared" si="119"/>
        <v>9</v>
      </c>
      <c r="F3816">
        <v>14.608700000000001</v>
      </c>
      <c r="G3816">
        <v>14.6548</v>
      </c>
      <c r="H3816">
        <v>14.194000000000001</v>
      </c>
      <c r="I3816">
        <v>14.286099999999999</v>
      </c>
      <c r="J3816">
        <v>38645</v>
      </c>
      <c r="K3816">
        <v>-2.2328999999999999</v>
      </c>
      <c r="L3816">
        <v>3.2467999999999999</v>
      </c>
    </row>
    <row r="3817" spans="1:12" hidden="1" x14ac:dyDescent="0.25">
      <c r="A3817">
        <v>2330</v>
      </c>
      <c r="B3817" t="s">
        <v>11</v>
      </c>
      <c r="C3817" s="1">
        <v>43000</v>
      </c>
      <c r="D3817" s="2">
        <f t="shared" si="118"/>
        <v>5</v>
      </c>
      <c r="E3817" s="2">
        <f t="shared" si="119"/>
        <v>9</v>
      </c>
      <c r="F3817">
        <v>201.83260000000001</v>
      </c>
      <c r="G3817">
        <v>202.28819999999999</v>
      </c>
      <c r="H3817">
        <v>199.09889999999999</v>
      </c>
      <c r="I3817">
        <v>199.09889999999999</v>
      </c>
      <c r="J3817">
        <v>22456</v>
      </c>
      <c r="K3817">
        <v>-1.1376999999999999</v>
      </c>
      <c r="L3817">
        <v>1.6017999999999999</v>
      </c>
    </row>
    <row r="3818" spans="1:12" x14ac:dyDescent="0.25">
      <c r="A3818">
        <v>2303</v>
      </c>
      <c r="B3818" t="s">
        <v>10</v>
      </c>
      <c r="C3818" s="1">
        <v>43003</v>
      </c>
      <c r="D3818" s="2">
        <f t="shared" si="118"/>
        <v>1</v>
      </c>
      <c r="E3818" s="2">
        <f t="shared" si="119"/>
        <v>9</v>
      </c>
      <c r="F3818">
        <v>14.3322</v>
      </c>
      <c r="G3818">
        <v>14.4244</v>
      </c>
      <c r="H3818">
        <v>13.9635</v>
      </c>
      <c r="I3818">
        <v>14.009600000000001</v>
      </c>
      <c r="J3818">
        <v>42904</v>
      </c>
      <c r="K3818">
        <v>-1.9544999999999999</v>
      </c>
      <c r="L3818">
        <v>3.3003</v>
      </c>
    </row>
    <row r="3819" spans="1:12" hidden="1" x14ac:dyDescent="0.25">
      <c r="A3819">
        <v>2330</v>
      </c>
      <c r="B3819" t="s">
        <v>11</v>
      </c>
      <c r="C3819" s="1">
        <v>43003</v>
      </c>
      <c r="D3819" s="2">
        <f t="shared" si="118"/>
        <v>1</v>
      </c>
      <c r="E3819" s="2">
        <f t="shared" si="119"/>
        <v>9</v>
      </c>
      <c r="F3819">
        <v>198.18770000000001</v>
      </c>
      <c r="G3819">
        <v>199.09889999999999</v>
      </c>
      <c r="H3819">
        <v>197.7321</v>
      </c>
      <c r="I3819">
        <v>197.7321</v>
      </c>
      <c r="J3819">
        <v>17458</v>
      </c>
      <c r="K3819">
        <v>-0.68889999999999996</v>
      </c>
      <c r="L3819">
        <v>0.69120000000000004</v>
      </c>
    </row>
    <row r="3820" spans="1:12" x14ac:dyDescent="0.25">
      <c r="A3820">
        <v>2303</v>
      </c>
      <c r="B3820" t="s">
        <v>10</v>
      </c>
      <c r="C3820" s="1">
        <v>43004</v>
      </c>
      <c r="D3820" s="2">
        <f t="shared" si="118"/>
        <v>2</v>
      </c>
      <c r="E3820" s="2">
        <f t="shared" si="119"/>
        <v>9</v>
      </c>
      <c r="F3820">
        <v>13.9635</v>
      </c>
      <c r="G3820">
        <v>14.286099999999999</v>
      </c>
      <c r="H3820">
        <v>13.9175</v>
      </c>
      <c r="I3820">
        <v>14.0557</v>
      </c>
      <c r="J3820">
        <v>39562</v>
      </c>
      <c r="K3820">
        <v>0.32840000000000003</v>
      </c>
      <c r="L3820">
        <v>2.649</v>
      </c>
    </row>
    <row r="3821" spans="1:12" hidden="1" x14ac:dyDescent="0.25">
      <c r="A3821">
        <v>2330</v>
      </c>
      <c r="B3821" t="s">
        <v>11</v>
      </c>
      <c r="C3821" s="1">
        <v>43004</v>
      </c>
      <c r="D3821" s="2">
        <f t="shared" si="118"/>
        <v>2</v>
      </c>
      <c r="E3821" s="2">
        <f t="shared" si="119"/>
        <v>9</v>
      </c>
      <c r="F3821">
        <v>198.18770000000001</v>
      </c>
      <c r="G3821">
        <v>198.64330000000001</v>
      </c>
      <c r="H3821">
        <v>194.99850000000001</v>
      </c>
      <c r="I3821">
        <v>194.99850000000001</v>
      </c>
      <c r="J3821">
        <v>25003</v>
      </c>
      <c r="K3821">
        <v>-1.3920999999999999</v>
      </c>
      <c r="L3821">
        <v>1.8692</v>
      </c>
    </row>
    <row r="3822" spans="1:12" x14ac:dyDescent="0.25">
      <c r="A3822">
        <v>2303</v>
      </c>
      <c r="B3822" t="s">
        <v>10</v>
      </c>
      <c r="C3822" s="1">
        <v>43005</v>
      </c>
      <c r="D3822" s="2">
        <f t="shared" si="118"/>
        <v>3</v>
      </c>
      <c r="E3822" s="2">
        <f t="shared" si="119"/>
        <v>9</v>
      </c>
      <c r="F3822">
        <v>14.101800000000001</v>
      </c>
      <c r="G3822">
        <v>14.24</v>
      </c>
      <c r="H3822">
        <v>14.0557</v>
      </c>
      <c r="I3822">
        <v>14.0557</v>
      </c>
      <c r="J3822">
        <v>30568</v>
      </c>
      <c r="K3822">
        <v>0</v>
      </c>
      <c r="L3822">
        <v>1.3115000000000001</v>
      </c>
    </row>
    <row r="3823" spans="1:12" hidden="1" x14ac:dyDescent="0.25">
      <c r="A3823">
        <v>2330</v>
      </c>
      <c r="B3823" t="s">
        <v>11</v>
      </c>
      <c r="C3823" s="1">
        <v>43005</v>
      </c>
      <c r="D3823" s="2">
        <f t="shared" si="118"/>
        <v>3</v>
      </c>
      <c r="E3823" s="2">
        <f t="shared" si="119"/>
        <v>9</v>
      </c>
      <c r="F3823">
        <v>198.18770000000001</v>
      </c>
      <c r="G3823">
        <v>198.18770000000001</v>
      </c>
      <c r="H3823">
        <v>195.90969999999999</v>
      </c>
      <c r="I3823">
        <v>195.90969999999999</v>
      </c>
      <c r="J3823">
        <v>24794</v>
      </c>
      <c r="K3823">
        <v>0.4662</v>
      </c>
      <c r="L3823">
        <v>1.1628000000000001</v>
      </c>
    </row>
    <row r="3824" spans="1:12" x14ac:dyDescent="0.25">
      <c r="A3824">
        <v>2303</v>
      </c>
      <c r="B3824" t="s">
        <v>10</v>
      </c>
      <c r="C3824" s="1">
        <v>43006</v>
      </c>
      <c r="D3824" s="2">
        <f t="shared" si="118"/>
        <v>4</v>
      </c>
      <c r="E3824" s="2">
        <f t="shared" si="119"/>
        <v>9</v>
      </c>
      <c r="F3824">
        <v>14.24</v>
      </c>
      <c r="G3824">
        <v>14.286099999999999</v>
      </c>
      <c r="H3824">
        <v>14.0557</v>
      </c>
      <c r="I3824">
        <v>14.24</v>
      </c>
      <c r="J3824">
        <v>31420</v>
      </c>
      <c r="K3824">
        <v>1.3029999999999999</v>
      </c>
      <c r="L3824">
        <v>1.6393</v>
      </c>
    </row>
    <row r="3825" spans="1:12" hidden="1" x14ac:dyDescent="0.25">
      <c r="A3825">
        <v>2330</v>
      </c>
      <c r="B3825" t="s">
        <v>11</v>
      </c>
      <c r="C3825" s="1">
        <v>43006</v>
      </c>
      <c r="D3825" s="2">
        <f t="shared" si="118"/>
        <v>4</v>
      </c>
      <c r="E3825" s="2">
        <f t="shared" si="119"/>
        <v>9</v>
      </c>
      <c r="F3825">
        <v>195.90969999999999</v>
      </c>
      <c r="G3825">
        <v>196.82089999999999</v>
      </c>
      <c r="H3825">
        <v>194.5429</v>
      </c>
      <c r="I3825">
        <v>194.99850000000001</v>
      </c>
      <c r="J3825">
        <v>31616</v>
      </c>
      <c r="K3825">
        <v>-0.4662</v>
      </c>
      <c r="L3825">
        <v>1.171</v>
      </c>
    </row>
    <row r="3826" spans="1:12" x14ac:dyDescent="0.25">
      <c r="A3826">
        <v>2303</v>
      </c>
      <c r="B3826" t="s">
        <v>10</v>
      </c>
      <c r="C3826" s="1">
        <v>43007</v>
      </c>
      <c r="D3826" s="2">
        <f t="shared" si="118"/>
        <v>5</v>
      </c>
      <c r="E3826" s="2">
        <f t="shared" si="119"/>
        <v>9</v>
      </c>
      <c r="F3826">
        <v>14.24</v>
      </c>
      <c r="G3826">
        <v>14.24</v>
      </c>
      <c r="H3826">
        <v>13.9175</v>
      </c>
      <c r="I3826">
        <v>13.9635</v>
      </c>
      <c r="J3826">
        <v>50910</v>
      </c>
      <c r="K3826">
        <v>-1.9608000000000001</v>
      </c>
      <c r="L3826">
        <v>2.3178999999999998</v>
      </c>
    </row>
    <row r="3827" spans="1:12" hidden="1" x14ac:dyDescent="0.25">
      <c r="A3827">
        <v>2330</v>
      </c>
      <c r="B3827" t="s">
        <v>11</v>
      </c>
      <c r="C3827" s="1">
        <v>43007</v>
      </c>
      <c r="D3827" s="2">
        <f t="shared" si="118"/>
        <v>5</v>
      </c>
      <c r="E3827" s="2">
        <f t="shared" si="119"/>
        <v>9</v>
      </c>
      <c r="F3827">
        <v>196.82089999999999</v>
      </c>
      <c r="G3827">
        <v>198.18770000000001</v>
      </c>
      <c r="H3827">
        <v>196.36529999999999</v>
      </c>
      <c r="I3827">
        <v>197.2765</v>
      </c>
      <c r="J3827">
        <v>23954</v>
      </c>
      <c r="K3827">
        <v>1.1615</v>
      </c>
      <c r="L3827">
        <v>0.92810000000000004</v>
      </c>
    </row>
    <row r="3828" spans="1:12" x14ac:dyDescent="0.25">
      <c r="A3828">
        <v>2303</v>
      </c>
      <c r="B3828" t="s">
        <v>10</v>
      </c>
      <c r="C3828" s="1">
        <v>43008</v>
      </c>
      <c r="D3828" s="2">
        <f t="shared" si="118"/>
        <v>6</v>
      </c>
      <c r="E3828" s="2">
        <f t="shared" si="119"/>
        <v>9</v>
      </c>
      <c r="F3828">
        <v>13.9635</v>
      </c>
      <c r="G3828">
        <v>14.101800000000001</v>
      </c>
      <c r="H3828">
        <v>13.779199999999999</v>
      </c>
      <c r="I3828">
        <v>13.8253</v>
      </c>
      <c r="J3828">
        <v>17333</v>
      </c>
      <c r="K3828">
        <v>-0.995</v>
      </c>
      <c r="L3828">
        <v>2.3411</v>
      </c>
    </row>
    <row r="3829" spans="1:12" hidden="1" x14ac:dyDescent="0.25">
      <c r="A3829">
        <v>2330</v>
      </c>
      <c r="B3829" t="s">
        <v>11</v>
      </c>
      <c r="C3829" s="1">
        <v>43008</v>
      </c>
      <c r="D3829" s="2">
        <f t="shared" si="118"/>
        <v>6</v>
      </c>
      <c r="E3829" s="2">
        <f t="shared" si="119"/>
        <v>9</v>
      </c>
      <c r="F3829">
        <v>198.64330000000001</v>
      </c>
      <c r="G3829">
        <v>199.09889999999999</v>
      </c>
      <c r="H3829">
        <v>197.2765</v>
      </c>
      <c r="I3829">
        <v>197.2765</v>
      </c>
      <c r="J3829">
        <v>4254</v>
      </c>
      <c r="K3829">
        <v>0</v>
      </c>
      <c r="L3829">
        <v>0.92379999999999995</v>
      </c>
    </row>
    <row r="3830" spans="1:12" x14ac:dyDescent="0.25">
      <c r="A3830">
        <v>2303</v>
      </c>
      <c r="B3830" t="s">
        <v>10</v>
      </c>
      <c r="C3830" s="1">
        <v>43010</v>
      </c>
      <c r="D3830" s="2">
        <f t="shared" si="118"/>
        <v>1</v>
      </c>
      <c r="E3830" s="2">
        <f t="shared" si="119"/>
        <v>10</v>
      </c>
      <c r="F3830">
        <v>13.9175</v>
      </c>
      <c r="G3830">
        <v>14.0557</v>
      </c>
      <c r="H3830">
        <v>13.8714</v>
      </c>
      <c r="I3830">
        <v>13.9635</v>
      </c>
      <c r="J3830">
        <v>20672</v>
      </c>
      <c r="K3830">
        <v>0.995</v>
      </c>
      <c r="L3830">
        <v>1.3289</v>
      </c>
    </row>
    <row r="3831" spans="1:12" hidden="1" x14ac:dyDescent="0.25">
      <c r="A3831">
        <v>2330</v>
      </c>
      <c r="B3831" t="s">
        <v>11</v>
      </c>
      <c r="C3831" s="1">
        <v>43010</v>
      </c>
      <c r="D3831" s="2">
        <f t="shared" si="118"/>
        <v>1</v>
      </c>
      <c r="E3831" s="2">
        <f t="shared" si="119"/>
        <v>10</v>
      </c>
      <c r="F3831">
        <v>200.0102</v>
      </c>
      <c r="G3831">
        <v>200.92140000000001</v>
      </c>
      <c r="H3831">
        <v>199.09889999999999</v>
      </c>
      <c r="I3831">
        <v>200.92140000000001</v>
      </c>
      <c r="J3831">
        <v>28360</v>
      </c>
      <c r="K3831">
        <v>1.8307</v>
      </c>
      <c r="L3831">
        <v>0.9153</v>
      </c>
    </row>
    <row r="3832" spans="1:12" x14ac:dyDescent="0.25">
      <c r="A3832">
        <v>2303</v>
      </c>
      <c r="B3832" t="s">
        <v>10</v>
      </c>
      <c r="C3832" s="1">
        <v>43011</v>
      </c>
      <c r="D3832" s="2">
        <f t="shared" si="118"/>
        <v>2</v>
      </c>
      <c r="E3832" s="2">
        <f t="shared" si="119"/>
        <v>10</v>
      </c>
      <c r="F3832">
        <v>14.101800000000001</v>
      </c>
      <c r="G3832">
        <v>14.8391</v>
      </c>
      <c r="H3832">
        <v>14.0557</v>
      </c>
      <c r="I3832">
        <v>14.5626</v>
      </c>
      <c r="J3832">
        <v>121011</v>
      </c>
      <c r="K3832">
        <v>4.2008999999999999</v>
      </c>
      <c r="L3832">
        <v>5.5738000000000003</v>
      </c>
    </row>
    <row r="3833" spans="1:12" hidden="1" x14ac:dyDescent="0.25">
      <c r="A3833">
        <v>2330</v>
      </c>
      <c r="B3833" t="s">
        <v>11</v>
      </c>
      <c r="C3833" s="1">
        <v>43011</v>
      </c>
      <c r="D3833" s="2">
        <f t="shared" si="118"/>
        <v>2</v>
      </c>
      <c r="E3833" s="2">
        <f t="shared" si="119"/>
        <v>10</v>
      </c>
      <c r="F3833">
        <v>199.55459999999999</v>
      </c>
      <c r="G3833">
        <v>203.1994</v>
      </c>
      <c r="H3833">
        <v>199.55459999999999</v>
      </c>
      <c r="I3833">
        <v>202.74379999999999</v>
      </c>
      <c r="J3833">
        <v>38330</v>
      </c>
      <c r="K3833">
        <v>0.90290000000000004</v>
      </c>
      <c r="L3833">
        <v>1.8265</v>
      </c>
    </row>
    <row r="3834" spans="1:12" x14ac:dyDescent="0.25">
      <c r="A3834">
        <v>2303</v>
      </c>
      <c r="B3834" t="s">
        <v>10</v>
      </c>
      <c r="C3834" s="1">
        <v>43013</v>
      </c>
      <c r="D3834" s="2">
        <f t="shared" si="118"/>
        <v>4</v>
      </c>
      <c r="E3834" s="2">
        <f t="shared" si="119"/>
        <v>10</v>
      </c>
      <c r="F3834">
        <v>14.6548</v>
      </c>
      <c r="G3834">
        <v>14.747</v>
      </c>
      <c r="H3834">
        <v>14.4244</v>
      </c>
      <c r="I3834">
        <v>14.470499999999999</v>
      </c>
      <c r="J3834">
        <v>48563</v>
      </c>
      <c r="K3834">
        <v>-0.63490000000000002</v>
      </c>
      <c r="L3834">
        <v>2.2364000000000002</v>
      </c>
    </row>
    <row r="3835" spans="1:12" hidden="1" x14ac:dyDescent="0.25">
      <c r="A3835">
        <v>2330</v>
      </c>
      <c r="B3835" t="s">
        <v>11</v>
      </c>
      <c r="C3835" s="1">
        <v>43013</v>
      </c>
      <c r="D3835" s="2">
        <f t="shared" si="118"/>
        <v>4</v>
      </c>
      <c r="E3835" s="2">
        <f t="shared" si="119"/>
        <v>10</v>
      </c>
      <c r="F3835">
        <v>202.28819999999999</v>
      </c>
      <c r="G3835">
        <v>205.47739999999999</v>
      </c>
      <c r="H3835">
        <v>202.28819999999999</v>
      </c>
      <c r="I3835">
        <v>204.56620000000001</v>
      </c>
      <c r="J3835">
        <v>25397</v>
      </c>
      <c r="K3835">
        <v>0.89490000000000003</v>
      </c>
      <c r="L3835">
        <v>1.5766</v>
      </c>
    </row>
    <row r="3836" spans="1:12" x14ac:dyDescent="0.25">
      <c r="A3836">
        <v>2303</v>
      </c>
      <c r="B3836" t="s">
        <v>10</v>
      </c>
      <c r="C3836" s="1">
        <v>43014</v>
      </c>
      <c r="D3836" s="2">
        <f t="shared" si="118"/>
        <v>5</v>
      </c>
      <c r="E3836" s="2">
        <f t="shared" si="119"/>
        <v>10</v>
      </c>
      <c r="F3836">
        <v>14.470499999999999</v>
      </c>
      <c r="G3836">
        <v>14.5626</v>
      </c>
      <c r="H3836">
        <v>14.286099999999999</v>
      </c>
      <c r="I3836">
        <v>14.3322</v>
      </c>
      <c r="J3836">
        <v>38165</v>
      </c>
      <c r="K3836">
        <v>-0.96</v>
      </c>
      <c r="L3836">
        <v>1.9355</v>
      </c>
    </row>
    <row r="3837" spans="1:12" hidden="1" x14ac:dyDescent="0.25">
      <c r="A3837">
        <v>2330</v>
      </c>
      <c r="B3837" t="s">
        <v>11</v>
      </c>
      <c r="C3837" s="1">
        <v>43014</v>
      </c>
      <c r="D3837" s="2">
        <f t="shared" si="118"/>
        <v>5</v>
      </c>
      <c r="E3837" s="2">
        <f t="shared" si="119"/>
        <v>10</v>
      </c>
      <c r="F3837">
        <v>205.02180000000001</v>
      </c>
      <c r="G3837">
        <v>205.47739999999999</v>
      </c>
      <c r="H3837">
        <v>203.655</v>
      </c>
      <c r="I3837">
        <v>204.56620000000001</v>
      </c>
      <c r="J3837">
        <v>16040</v>
      </c>
      <c r="K3837">
        <v>0</v>
      </c>
      <c r="L3837">
        <v>0.89490000000000003</v>
      </c>
    </row>
    <row r="3838" spans="1:12" x14ac:dyDescent="0.25">
      <c r="A3838">
        <v>2303</v>
      </c>
      <c r="B3838" t="s">
        <v>10</v>
      </c>
      <c r="C3838" s="1">
        <v>43019</v>
      </c>
      <c r="D3838" s="2">
        <f t="shared" si="118"/>
        <v>3</v>
      </c>
      <c r="E3838" s="2">
        <f t="shared" si="119"/>
        <v>10</v>
      </c>
      <c r="F3838">
        <v>14.470499999999999</v>
      </c>
      <c r="G3838">
        <v>14.8391</v>
      </c>
      <c r="H3838">
        <v>14.4244</v>
      </c>
      <c r="I3838">
        <v>14.5626</v>
      </c>
      <c r="J3838">
        <v>71759</v>
      </c>
      <c r="K3838">
        <v>1.5949</v>
      </c>
      <c r="L3838">
        <v>2.8754</v>
      </c>
    </row>
    <row r="3839" spans="1:12" hidden="1" x14ac:dyDescent="0.25">
      <c r="A3839">
        <v>2330</v>
      </c>
      <c r="B3839" t="s">
        <v>11</v>
      </c>
      <c r="C3839" s="1">
        <v>43019</v>
      </c>
      <c r="D3839" s="2">
        <f t="shared" si="118"/>
        <v>3</v>
      </c>
      <c r="E3839" s="2">
        <f t="shared" si="119"/>
        <v>10</v>
      </c>
      <c r="F3839">
        <v>206.3886</v>
      </c>
      <c r="G3839">
        <v>212.7671</v>
      </c>
      <c r="H3839">
        <v>206.3886</v>
      </c>
      <c r="I3839">
        <v>212.3115</v>
      </c>
      <c r="J3839">
        <v>67649</v>
      </c>
      <c r="K3839">
        <v>3.7162999999999999</v>
      </c>
      <c r="L3839">
        <v>3.0905</v>
      </c>
    </row>
    <row r="3840" spans="1:12" x14ac:dyDescent="0.25">
      <c r="A3840">
        <v>2303</v>
      </c>
      <c r="B3840" t="s">
        <v>10</v>
      </c>
      <c r="C3840" s="1">
        <v>43020</v>
      </c>
      <c r="D3840" s="2">
        <f t="shared" si="118"/>
        <v>4</v>
      </c>
      <c r="E3840" s="2">
        <f t="shared" si="119"/>
        <v>10</v>
      </c>
      <c r="F3840">
        <v>14.700900000000001</v>
      </c>
      <c r="G3840">
        <v>14.8391</v>
      </c>
      <c r="H3840">
        <v>14.608700000000001</v>
      </c>
      <c r="I3840">
        <v>14.6548</v>
      </c>
      <c r="J3840">
        <v>43136</v>
      </c>
      <c r="K3840">
        <v>0.63090000000000002</v>
      </c>
      <c r="L3840">
        <v>1.5772999999999999</v>
      </c>
    </row>
    <row r="3841" spans="1:12" hidden="1" x14ac:dyDescent="0.25">
      <c r="A3841">
        <v>2330</v>
      </c>
      <c r="B3841" t="s">
        <v>11</v>
      </c>
      <c r="C3841" s="1">
        <v>43020</v>
      </c>
      <c r="D3841" s="2">
        <f t="shared" si="118"/>
        <v>4</v>
      </c>
      <c r="E3841" s="2">
        <f t="shared" si="119"/>
        <v>10</v>
      </c>
      <c r="F3841">
        <v>214.13390000000001</v>
      </c>
      <c r="G3841">
        <v>216.4119</v>
      </c>
      <c r="H3841">
        <v>213.67830000000001</v>
      </c>
      <c r="I3841">
        <v>216.4119</v>
      </c>
      <c r="J3841">
        <v>44176</v>
      </c>
      <c r="K3841">
        <v>1.9129</v>
      </c>
      <c r="L3841">
        <v>1.2793000000000001</v>
      </c>
    </row>
    <row r="3842" spans="1:12" x14ac:dyDescent="0.25">
      <c r="A3842">
        <v>2303</v>
      </c>
      <c r="B3842" t="s">
        <v>10</v>
      </c>
      <c r="C3842" s="1">
        <v>43021</v>
      </c>
      <c r="D3842" s="2">
        <f t="shared" si="118"/>
        <v>5</v>
      </c>
      <c r="E3842" s="2">
        <f t="shared" si="119"/>
        <v>10</v>
      </c>
      <c r="F3842">
        <v>14.6548</v>
      </c>
      <c r="G3842">
        <v>14.885199999999999</v>
      </c>
      <c r="H3842">
        <v>14.608700000000001</v>
      </c>
      <c r="I3842">
        <v>14.700900000000001</v>
      </c>
      <c r="J3842">
        <v>70840</v>
      </c>
      <c r="K3842">
        <v>0.314</v>
      </c>
      <c r="L3842">
        <v>1.8927</v>
      </c>
    </row>
    <row r="3843" spans="1:12" hidden="1" x14ac:dyDescent="0.25">
      <c r="A3843">
        <v>2330</v>
      </c>
      <c r="B3843" t="s">
        <v>11</v>
      </c>
      <c r="C3843" s="1">
        <v>43021</v>
      </c>
      <c r="D3843" s="2">
        <f t="shared" ref="D3843:D3906" si="120">WEEKDAY(C3843,2)</f>
        <v>5</v>
      </c>
      <c r="E3843" s="2">
        <f t="shared" ref="E3843:E3906" si="121">MONTH(C3843)</f>
        <v>10</v>
      </c>
      <c r="F3843">
        <v>216.4119</v>
      </c>
      <c r="G3843">
        <v>216.4119</v>
      </c>
      <c r="H3843">
        <v>213.67830000000001</v>
      </c>
      <c r="I3843">
        <v>216.4119</v>
      </c>
      <c r="J3843">
        <v>23145</v>
      </c>
      <c r="K3843">
        <v>0</v>
      </c>
      <c r="L3843">
        <v>1.2793000000000001</v>
      </c>
    </row>
    <row r="3844" spans="1:12" x14ac:dyDescent="0.25">
      <c r="A3844">
        <v>2303</v>
      </c>
      <c r="B3844" t="s">
        <v>10</v>
      </c>
      <c r="C3844" s="1">
        <v>43024</v>
      </c>
      <c r="D3844" s="2">
        <f t="shared" si="120"/>
        <v>1</v>
      </c>
      <c r="E3844" s="2">
        <f t="shared" si="121"/>
        <v>10</v>
      </c>
      <c r="F3844">
        <v>14.747</v>
      </c>
      <c r="G3844">
        <v>14.793100000000001</v>
      </c>
      <c r="H3844">
        <v>14.6548</v>
      </c>
      <c r="I3844">
        <v>14.700900000000001</v>
      </c>
      <c r="J3844">
        <v>42692</v>
      </c>
      <c r="K3844">
        <v>0</v>
      </c>
      <c r="L3844">
        <v>0.94340000000000002</v>
      </c>
    </row>
    <row r="3845" spans="1:12" hidden="1" x14ac:dyDescent="0.25">
      <c r="A3845">
        <v>2330</v>
      </c>
      <c r="B3845" t="s">
        <v>11</v>
      </c>
      <c r="C3845" s="1">
        <v>43024</v>
      </c>
      <c r="D3845" s="2">
        <f t="shared" si="120"/>
        <v>1</v>
      </c>
      <c r="E3845" s="2">
        <f t="shared" si="121"/>
        <v>10</v>
      </c>
      <c r="F3845">
        <v>216.4119</v>
      </c>
      <c r="G3845">
        <v>216.86750000000001</v>
      </c>
      <c r="H3845">
        <v>215.04509999999999</v>
      </c>
      <c r="I3845">
        <v>216.86750000000001</v>
      </c>
      <c r="J3845">
        <v>20673</v>
      </c>
      <c r="K3845">
        <v>0.21029999999999999</v>
      </c>
      <c r="L3845">
        <v>0.84750000000000003</v>
      </c>
    </row>
    <row r="3846" spans="1:12" x14ac:dyDescent="0.25">
      <c r="A3846">
        <v>2303</v>
      </c>
      <c r="B3846" t="s">
        <v>10</v>
      </c>
      <c r="C3846" s="1">
        <v>43025</v>
      </c>
      <c r="D3846" s="2">
        <f t="shared" si="120"/>
        <v>2</v>
      </c>
      <c r="E3846" s="2">
        <f t="shared" si="121"/>
        <v>10</v>
      </c>
      <c r="F3846">
        <v>14.747</v>
      </c>
      <c r="G3846">
        <v>14.747</v>
      </c>
      <c r="H3846">
        <v>14.608700000000001</v>
      </c>
      <c r="I3846">
        <v>14.6548</v>
      </c>
      <c r="J3846">
        <v>24207</v>
      </c>
      <c r="K3846">
        <v>-0.314</v>
      </c>
      <c r="L3846">
        <v>0.94640000000000002</v>
      </c>
    </row>
    <row r="3847" spans="1:12" hidden="1" x14ac:dyDescent="0.25">
      <c r="A3847">
        <v>2330</v>
      </c>
      <c r="B3847" t="s">
        <v>11</v>
      </c>
      <c r="C3847" s="1">
        <v>43025</v>
      </c>
      <c r="D3847" s="2">
        <f t="shared" si="120"/>
        <v>2</v>
      </c>
      <c r="E3847" s="2">
        <f t="shared" si="121"/>
        <v>10</v>
      </c>
      <c r="F3847">
        <v>216.86750000000001</v>
      </c>
      <c r="G3847">
        <v>216.86750000000001</v>
      </c>
      <c r="H3847">
        <v>214.13390000000001</v>
      </c>
      <c r="I3847">
        <v>214.58949999999999</v>
      </c>
      <c r="J3847">
        <v>17652</v>
      </c>
      <c r="K3847">
        <v>-1.056</v>
      </c>
      <c r="L3847">
        <v>1.2766</v>
      </c>
    </row>
    <row r="3848" spans="1:12" x14ac:dyDescent="0.25">
      <c r="A3848">
        <v>2303</v>
      </c>
      <c r="B3848" t="s">
        <v>10</v>
      </c>
      <c r="C3848" s="1">
        <v>43026</v>
      </c>
      <c r="D3848" s="2">
        <f t="shared" si="120"/>
        <v>3</v>
      </c>
      <c r="E3848" s="2">
        <f t="shared" si="121"/>
        <v>10</v>
      </c>
      <c r="F3848">
        <v>14.747</v>
      </c>
      <c r="G3848">
        <v>14.885199999999999</v>
      </c>
      <c r="H3848">
        <v>14.6548</v>
      </c>
      <c r="I3848">
        <v>14.700900000000001</v>
      </c>
      <c r="J3848">
        <v>33201</v>
      </c>
      <c r="K3848">
        <v>0.314</v>
      </c>
      <c r="L3848">
        <v>1.5723</v>
      </c>
    </row>
    <row r="3849" spans="1:12" hidden="1" x14ac:dyDescent="0.25">
      <c r="A3849">
        <v>2330</v>
      </c>
      <c r="B3849" t="s">
        <v>11</v>
      </c>
      <c r="C3849" s="1">
        <v>43026</v>
      </c>
      <c r="D3849" s="2">
        <f t="shared" si="120"/>
        <v>3</v>
      </c>
      <c r="E3849" s="2">
        <f t="shared" si="121"/>
        <v>10</v>
      </c>
      <c r="F3849">
        <v>218.23429999999999</v>
      </c>
      <c r="G3849">
        <v>218.23429999999999</v>
      </c>
      <c r="H3849">
        <v>215.9563</v>
      </c>
      <c r="I3849">
        <v>216.4119</v>
      </c>
      <c r="J3849">
        <v>28970</v>
      </c>
      <c r="K3849">
        <v>0.84570000000000001</v>
      </c>
      <c r="L3849">
        <v>1.0548999999999999</v>
      </c>
    </row>
    <row r="3850" spans="1:12" x14ac:dyDescent="0.25">
      <c r="A3850">
        <v>2303</v>
      </c>
      <c r="B3850" t="s">
        <v>10</v>
      </c>
      <c r="C3850" s="1">
        <v>43027</v>
      </c>
      <c r="D3850" s="2">
        <f t="shared" si="120"/>
        <v>4</v>
      </c>
      <c r="E3850" s="2">
        <f t="shared" si="121"/>
        <v>10</v>
      </c>
      <c r="F3850">
        <v>14.747</v>
      </c>
      <c r="G3850">
        <v>14.8391</v>
      </c>
      <c r="H3850">
        <v>14.4244</v>
      </c>
      <c r="I3850">
        <v>14.4244</v>
      </c>
      <c r="J3850">
        <v>50698</v>
      </c>
      <c r="K3850">
        <v>-1.8988</v>
      </c>
      <c r="L3850">
        <v>2.8754</v>
      </c>
    </row>
    <row r="3851" spans="1:12" hidden="1" x14ac:dyDescent="0.25">
      <c r="A3851">
        <v>2330</v>
      </c>
      <c r="B3851" t="s">
        <v>11</v>
      </c>
      <c r="C3851" s="1">
        <v>43027</v>
      </c>
      <c r="D3851" s="2">
        <f t="shared" si="120"/>
        <v>4</v>
      </c>
      <c r="E3851" s="2">
        <f t="shared" si="121"/>
        <v>10</v>
      </c>
      <c r="F3851">
        <v>218.23429999999999</v>
      </c>
      <c r="G3851">
        <v>220.05670000000001</v>
      </c>
      <c r="H3851">
        <v>217.77869999999999</v>
      </c>
      <c r="I3851">
        <v>217.77869999999999</v>
      </c>
      <c r="J3851">
        <v>23481</v>
      </c>
      <c r="K3851">
        <v>0.62960000000000005</v>
      </c>
      <c r="L3851">
        <v>1.046</v>
      </c>
    </row>
    <row r="3852" spans="1:12" x14ac:dyDescent="0.25">
      <c r="A3852">
        <v>2303</v>
      </c>
      <c r="B3852" t="s">
        <v>10</v>
      </c>
      <c r="C3852" s="1">
        <v>43028</v>
      </c>
      <c r="D3852" s="2">
        <f t="shared" si="120"/>
        <v>5</v>
      </c>
      <c r="E3852" s="2">
        <f t="shared" si="121"/>
        <v>10</v>
      </c>
      <c r="F3852">
        <v>14.378299999999999</v>
      </c>
      <c r="G3852">
        <v>14.4244</v>
      </c>
      <c r="H3852">
        <v>14.194000000000001</v>
      </c>
      <c r="I3852">
        <v>14.3322</v>
      </c>
      <c r="J3852">
        <v>43608</v>
      </c>
      <c r="K3852">
        <v>-0.64100000000000001</v>
      </c>
      <c r="L3852">
        <v>1.6234</v>
      </c>
    </row>
    <row r="3853" spans="1:12" hidden="1" x14ac:dyDescent="0.25">
      <c r="A3853">
        <v>2330</v>
      </c>
      <c r="B3853" t="s">
        <v>11</v>
      </c>
      <c r="C3853" s="1">
        <v>43028</v>
      </c>
      <c r="D3853" s="2">
        <f t="shared" si="120"/>
        <v>5</v>
      </c>
      <c r="E3853" s="2">
        <f t="shared" si="121"/>
        <v>10</v>
      </c>
      <c r="F3853">
        <v>216.86750000000001</v>
      </c>
      <c r="G3853">
        <v>218.23429999999999</v>
      </c>
      <c r="H3853">
        <v>216.4119</v>
      </c>
      <c r="I3853">
        <v>216.4119</v>
      </c>
      <c r="J3853">
        <v>27056</v>
      </c>
      <c r="K3853">
        <v>-0.62960000000000005</v>
      </c>
      <c r="L3853">
        <v>0.84209999999999996</v>
      </c>
    </row>
    <row r="3854" spans="1:12" x14ac:dyDescent="0.25">
      <c r="A3854">
        <v>2303</v>
      </c>
      <c r="B3854" t="s">
        <v>10</v>
      </c>
      <c r="C3854" s="1">
        <v>43031</v>
      </c>
      <c r="D3854" s="2">
        <f t="shared" si="120"/>
        <v>1</v>
      </c>
      <c r="E3854" s="2">
        <f t="shared" si="121"/>
        <v>10</v>
      </c>
      <c r="F3854">
        <v>14.470499999999999</v>
      </c>
      <c r="G3854">
        <v>14.608700000000001</v>
      </c>
      <c r="H3854">
        <v>14.3322</v>
      </c>
      <c r="I3854">
        <v>14.378299999999999</v>
      </c>
      <c r="J3854">
        <v>31161</v>
      </c>
      <c r="K3854">
        <v>0.32100000000000001</v>
      </c>
      <c r="L3854">
        <v>1.9293</v>
      </c>
    </row>
    <row r="3855" spans="1:12" hidden="1" x14ac:dyDescent="0.25">
      <c r="A3855">
        <v>2330</v>
      </c>
      <c r="B3855" t="s">
        <v>11</v>
      </c>
      <c r="C3855" s="1">
        <v>43031</v>
      </c>
      <c r="D3855" s="2">
        <f t="shared" si="120"/>
        <v>1</v>
      </c>
      <c r="E3855" s="2">
        <f t="shared" si="121"/>
        <v>10</v>
      </c>
      <c r="F3855">
        <v>217.77869999999999</v>
      </c>
      <c r="G3855">
        <v>218.68989999999999</v>
      </c>
      <c r="H3855">
        <v>217.32310000000001</v>
      </c>
      <c r="I3855">
        <v>217.77869999999999</v>
      </c>
      <c r="J3855">
        <v>15959</v>
      </c>
      <c r="K3855">
        <v>0.62960000000000005</v>
      </c>
      <c r="L3855">
        <v>0.62890000000000001</v>
      </c>
    </row>
    <row r="3856" spans="1:12" x14ac:dyDescent="0.25">
      <c r="A3856">
        <v>2303</v>
      </c>
      <c r="B3856" t="s">
        <v>10</v>
      </c>
      <c r="C3856" s="1">
        <v>43032</v>
      </c>
      <c r="D3856" s="2">
        <f t="shared" si="120"/>
        <v>2</v>
      </c>
      <c r="E3856" s="2">
        <f t="shared" si="121"/>
        <v>10</v>
      </c>
      <c r="F3856">
        <v>14.4244</v>
      </c>
      <c r="G3856">
        <v>14.470499999999999</v>
      </c>
      <c r="H3856">
        <v>14.286099999999999</v>
      </c>
      <c r="I3856">
        <v>14.3322</v>
      </c>
      <c r="J3856">
        <v>18592</v>
      </c>
      <c r="K3856">
        <v>-0.32100000000000001</v>
      </c>
      <c r="L3856">
        <v>1.2903</v>
      </c>
    </row>
    <row r="3857" spans="1:12" hidden="1" x14ac:dyDescent="0.25">
      <c r="A3857">
        <v>2330</v>
      </c>
      <c r="B3857" t="s">
        <v>11</v>
      </c>
      <c r="C3857" s="1">
        <v>43032</v>
      </c>
      <c r="D3857" s="2">
        <f t="shared" si="120"/>
        <v>2</v>
      </c>
      <c r="E3857" s="2">
        <f t="shared" si="121"/>
        <v>10</v>
      </c>
      <c r="F3857">
        <v>218.68989999999999</v>
      </c>
      <c r="G3857">
        <v>218.68989999999999</v>
      </c>
      <c r="H3857">
        <v>216.86750000000001</v>
      </c>
      <c r="I3857">
        <v>216.86750000000001</v>
      </c>
      <c r="J3857">
        <v>16100</v>
      </c>
      <c r="K3857">
        <v>-0.41930000000000001</v>
      </c>
      <c r="L3857">
        <v>0.84030000000000005</v>
      </c>
    </row>
    <row r="3858" spans="1:12" x14ac:dyDescent="0.25">
      <c r="A3858">
        <v>2303</v>
      </c>
      <c r="B3858" t="s">
        <v>10</v>
      </c>
      <c r="C3858" s="1">
        <v>43033</v>
      </c>
      <c r="D3858" s="2">
        <f t="shared" si="120"/>
        <v>3</v>
      </c>
      <c r="E3858" s="2">
        <f t="shared" si="121"/>
        <v>10</v>
      </c>
      <c r="F3858">
        <v>14.4244</v>
      </c>
      <c r="G3858">
        <v>14.470499999999999</v>
      </c>
      <c r="H3858">
        <v>14.24</v>
      </c>
      <c r="I3858">
        <v>14.286099999999999</v>
      </c>
      <c r="J3858">
        <v>22519</v>
      </c>
      <c r="K3858">
        <v>-0.3221</v>
      </c>
      <c r="L3858">
        <v>1.6181000000000001</v>
      </c>
    </row>
    <row r="3859" spans="1:12" hidden="1" x14ac:dyDescent="0.25">
      <c r="A3859">
        <v>2330</v>
      </c>
      <c r="B3859" t="s">
        <v>11</v>
      </c>
      <c r="C3859" s="1">
        <v>43033</v>
      </c>
      <c r="D3859" s="2">
        <f t="shared" si="120"/>
        <v>3</v>
      </c>
      <c r="E3859" s="2">
        <f t="shared" si="121"/>
        <v>10</v>
      </c>
      <c r="F3859">
        <v>217.32310000000001</v>
      </c>
      <c r="G3859">
        <v>217.77869999999999</v>
      </c>
      <c r="H3859">
        <v>216.4119</v>
      </c>
      <c r="I3859">
        <v>216.86750000000001</v>
      </c>
      <c r="J3859">
        <v>17205</v>
      </c>
      <c r="K3859">
        <v>0</v>
      </c>
      <c r="L3859">
        <v>0.63160000000000005</v>
      </c>
    </row>
    <row r="3860" spans="1:12" x14ac:dyDescent="0.25">
      <c r="A3860">
        <v>2303</v>
      </c>
      <c r="B3860" t="s">
        <v>10</v>
      </c>
      <c r="C3860" s="1">
        <v>43034</v>
      </c>
      <c r="D3860" s="2">
        <f t="shared" si="120"/>
        <v>4</v>
      </c>
      <c r="E3860" s="2">
        <f t="shared" si="121"/>
        <v>10</v>
      </c>
      <c r="F3860">
        <v>14.101800000000001</v>
      </c>
      <c r="G3860">
        <v>14.378299999999999</v>
      </c>
      <c r="H3860">
        <v>13.8714</v>
      </c>
      <c r="I3860">
        <v>14.3322</v>
      </c>
      <c r="J3860">
        <v>86021</v>
      </c>
      <c r="K3860">
        <v>0.3221</v>
      </c>
      <c r="L3860">
        <v>3.6545000000000001</v>
      </c>
    </row>
    <row r="3861" spans="1:12" hidden="1" x14ac:dyDescent="0.25">
      <c r="A3861">
        <v>2330</v>
      </c>
      <c r="B3861" t="s">
        <v>11</v>
      </c>
      <c r="C3861" s="1">
        <v>43034</v>
      </c>
      <c r="D3861" s="2">
        <f t="shared" si="120"/>
        <v>4</v>
      </c>
      <c r="E3861" s="2">
        <f t="shared" si="121"/>
        <v>10</v>
      </c>
      <c r="F3861">
        <v>215.9563</v>
      </c>
      <c r="G3861">
        <v>216.86750000000001</v>
      </c>
      <c r="H3861">
        <v>215.04509999999999</v>
      </c>
      <c r="I3861">
        <v>215.04509999999999</v>
      </c>
      <c r="J3861">
        <v>12959</v>
      </c>
      <c r="K3861">
        <v>-0.84389999999999998</v>
      </c>
      <c r="L3861">
        <v>0.84750000000000003</v>
      </c>
    </row>
    <row r="3862" spans="1:12" x14ac:dyDescent="0.25">
      <c r="A3862">
        <v>2303</v>
      </c>
      <c r="B3862" t="s">
        <v>10</v>
      </c>
      <c r="C3862" s="1">
        <v>43035</v>
      </c>
      <c r="D3862" s="2">
        <f t="shared" si="120"/>
        <v>5</v>
      </c>
      <c r="E3862" s="2">
        <f t="shared" si="121"/>
        <v>10</v>
      </c>
      <c r="F3862">
        <v>14.3322</v>
      </c>
      <c r="G3862">
        <v>14.4244</v>
      </c>
      <c r="H3862">
        <v>14.194000000000001</v>
      </c>
      <c r="I3862">
        <v>14.24</v>
      </c>
      <c r="J3862">
        <v>33936</v>
      </c>
      <c r="K3862">
        <v>-0.6452</v>
      </c>
      <c r="L3862">
        <v>1.6234</v>
      </c>
    </row>
    <row r="3863" spans="1:12" hidden="1" x14ac:dyDescent="0.25">
      <c r="A3863">
        <v>2330</v>
      </c>
      <c r="B3863" t="s">
        <v>11</v>
      </c>
      <c r="C3863" s="1">
        <v>43035</v>
      </c>
      <c r="D3863" s="2">
        <f t="shared" si="120"/>
        <v>5</v>
      </c>
      <c r="E3863" s="2">
        <f t="shared" si="121"/>
        <v>10</v>
      </c>
      <c r="F3863">
        <v>216.4119</v>
      </c>
      <c r="G3863">
        <v>218.68989999999999</v>
      </c>
      <c r="H3863">
        <v>216.4119</v>
      </c>
      <c r="I3863">
        <v>217.77869999999999</v>
      </c>
      <c r="J3863">
        <v>18040</v>
      </c>
      <c r="K3863">
        <v>1.2632000000000001</v>
      </c>
      <c r="L3863">
        <v>1.0526</v>
      </c>
    </row>
    <row r="3864" spans="1:12" x14ac:dyDescent="0.25">
      <c r="A3864">
        <v>2303</v>
      </c>
      <c r="B3864" t="s">
        <v>10</v>
      </c>
      <c r="C3864" s="1">
        <v>43038</v>
      </c>
      <c r="D3864" s="2">
        <f t="shared" si="120"/>
        <v>1</v>
      </c>
      <c r="E3864" s="2">
        <f t="shared" si="121"/>
        <v>10</v>
      </c>
      <c r="F3864">
        <v>14.3322</v>
      </c>
      <c r="G3864">
        <v>14.608700000000001</v>
      </c>
      <c r="H3864">
        <v>14.3322</v>
      </c>
      <c r="I3864">
        <v>14.5626</v>
      </c>
      <c r="J3864">
        <v>49192</v>
      </c>
      <c r="K3864">
        <v>2.2401</v>
      </c>
      <c r="L3864">
        <v>1.9293</v>
      </c>
    </row>
    <row r="3865" spans="1:12" hidden="1" x14ac:dyDescent="0.25">
      <c r="A3865">
        <v>2330</v>
      </c>
      <c r="B3865" t="s">
        <v>11</v>
      </c>
      <c r="C3865" s="1">
        <v>43038</v>
      </c>
      <c r="D3865" s="2">
        <f t="shared" si="120"/>
        <v>1</v>
      </c>
      <c r="E3865" s="2">
        <f t="shared" si="121"/>
        <v>10</v>
      </c>
      <c r="F3865">
        <v>220.51230000000001</v>
      </c>
      <c r="G3865">
        <v>223.24600000000001</v>
      </c>
      <c r="H3865">
        <v>220.05670000000001</v>
      </c>
      <c r="I3865">
        <v>221.42349999999999</v>
      </c>
      <c r="J3865">
        <v>30241</v>
      </c>
      <c r="K3865">
        <v>1.6597999999999999</v>
      </c>
      <c r="L3865">
        <v>1.4493</v>
      </c>
    </row>
    <row r="3866" spans="1:12" x14ac:dyDescent="0.25">
      <c r="A3866">
        <v>2303</v>
      </c>
      <c r="B3866" t="s">
        <v>10</v>
      </c>
      <c r="C3866" s="1">
        <v>43039</v>
      </c>
      <c r="D3866" s="2">
        <f t="shared" si="120"/>
        <v>2</v>
      </c>
      <c r="E3866" s="2">
        <f t="shared" si="121"/>
        <v>10</v>
      </c>
      <c r="F3866">
        <v>14.5626</v>
      </c>
      <c r="G3866">
        <v>14.608700000000001</v>
      </c>
      <c r="H3866">
        <v>14.286099999999999</v>
      </c>
      <c r="I3866">
        <v>14.286099999999999</v>
      </c>
      <c r="J3866">
        <v>57658</v>
      </c>
      <c r="K3866">
        <v>-1.917</v>
      </c>
      <c r="L3866">
        <v>2.2581000000000002</v>
      </c>
    </row>
    <row r="3867" spans="1:12" hidden="1" x14ac:dyDescent="0.25">
      <c r="A3867">
        <v>2330</v>
      </c>
      <c r="B3867" t="s">
        <v>11</v>
      </c>
      <c r="C3867" s="1">
        <v>43039</v>
      </c>
      <c r="D3867" s="2">
        <f t="shared" si="120"/>
        <v>2</v>
      </c>
      <c r="E3867" s="2">
        <f t="shared" si="121"/>
        <v>10</v>
      </c>
      <c r="F3867">
        <v>221.87909999999999</v>
      </c>
      <c r="G3867">
        <v>223.24600000000001</v>
      </c>
      <c r="H3867">
        <v>220.05670000000001</v>
      </c>
      <c r="I3867">
        <v>221.42349999999999</v>
      </c>
      <c r="J3867">
        <v>22582</v>
      </c>
      <c r="K3867">
        <v>0</v>
      </c>
      <c r="L3867">
        <v>1.4493</v>
      </c>
    </row>
    <row r="3868" spans="1:12" x14ac:dyDescent="0.25">
      <c r="A3868">
        <v>2303</v>
      </c>
      <c r="B3868" t="s">
        <v>10</v>
      </c>
      <c r="C3868" s="1">
        <v>43040</v>
      </c>
      <c r="D3868" s="2">
        <f t="shared" si="120"/>
        <v>3</v>
      </c>
      <c r="E3868" s="2">
        <f t="shared" si="121"/>
        <v>11</v>
      </c>
      <c r="F3868">
        <v>14.4244</v>
      </c>
      <c r="G3868">
        <v>14.470499999999999</v>
      </c>
      <c r="H3868">
        <v>14.286099999999999</v>
      </c>
      <c r="I3868">
        <v>14.286099999999999</v>
      </c>
      <c r="J3868">
        <v>27554</v>
      </c>
      <c r="K3868">
        <v>0</v>
      </c>
      <c r="L3868">
        <v>1.2903</v>
      </c>
    </row>
    <row r="3869" spans="1:12" hidden="1" x14ac:dyDescent="0.25">
      <c r="A3869">
        <v>2330</v>
      </c>
      <c r="B3869" t="s">
        <v>11</v>
      </c>
      <c r="C3869" s="1">
        <v>43040</v>
      </c>
      <c r="D3869" s="2">
        <f t="shared" si="120"/>
        <v>3</v>
      </c>
      <c r="E3869" s="2">
        <f t="shared" si="121"/>
        <v>11</v>
      </c>
      <c r="F3869">
        <v>221.87909999999999</v>
      </c>
      <c r="G3869">
        <v>223.24600000000001</v>
      </c>
      <c r="H3869">
        <v>220.05670000000001</v>
      </c>
      <c r="I3869">
        <v>220.96789999999999</v>
      </c>
      <c r="J3869">
        <v>20465</v>
      </c>
      <c r="K3869">
        <v>-0.20599999999999999</v>
      </c>
      <c r="L3869">
        <v>1.4493</v>
      </c>
    </row>
    <row r="3870" spans="1:12" x14ac:dyDescent="0.25">
      <c r="A3870">
        <v>2303</v>
      </c>
      <c r="B3870" t="s">
        <v>10</v>
      </c>
      <c r="C3870" s="1">
        <v>43041</v>
      </c>
      <c r="D3870" s="2">
        <f t="shared" si="120"/>
        <v>4</v>
      </c>
      <c r="E3870" s="2">
        <f t="shared" si="121"/>
        <v>11</v>
      </c>
      <c r="F3870">
        <v>14.3322</v>
      </c>
      <c r="G3870">
        <v>14.378299999999999</v>
      </c>
      <c r="H3870">
        <v>14.24</v>
      </c>
      <c r="I3870">
        <v>14.286099999999999</v>
      </c>
      <c r="J3870">
        <v>23476</v>
      </c>
      <c r="K3870">
        <v>0</v>
      </c>
      <c r="L3870">
        <v>0.97089999999999999</v>
      </c>
    </row>
    <row r="3871" spans="1:12" hidden="1" x14ac:dyDescent="0.25">
      <c r="A3871">
        <v>2330</v>
      </c>
      <c r="B3871" t="s">
        <v>11</v>
      </c>
      <c r="C3871" s="1">
        <v>43041</v>
      </c>
      <c r="D3871" s="2">
        <f t="shared" si="120"/>
        <v>4</v>
      </c>
      <c r="E3871" s="2">
        <f t="shared" si="121"/>
        <v>11</v>
      </c>
      <c r="F3871">
        <v>220.51230000000001</v>
      </c>
      <c r="G3871">
        <v>220.96789999999999</v>
      </c>
      <c r="H3871">
        <v>219.1455</v>
      </c>
      <c r="I3871">
        <v>219.6011</v>
      </c>
      <c r="J3871">
        <v>16309</v>
      </c>
      <c r="K3871">
        <v>-0.62050000000000005</v>
      </c>
      <c r="L3871">
        <v>0.83160000000000001</v>
      </c>
    </row>
    <row r="3872" spans="1:12" x14ac:dyDescent="0.25">
      <c r="A3872">
        <v>2303</v>
      </c>
      <c r="B3872" t="s">
        <v>10</v>
      </c>
      <c r="C3872" s="1">
        <v>43042</v>
      </c>
      <c r="D3872" s="2">
        <f t="shared" si="120"/>
        <v>5</v>
      </c>
      <c r="E3872" s="2">
        <f t="shared" si="121"/>
        <v>11</v>
      </c>
      <c r="F3872">
        <v>14.378299999999999</v>
      </c>
      <c r="G3872">
        <v>14.378299999999999</v>
      </c>
      <c r="H3872">
        <v>14.24</v>
      </c>
      <c r="I3872">
        <v>14.24</v>
      </c>
      <c r="J3872">
        <v>21385</v>
      </c>
      <c r="K3872">
        <v>-0.3231</v>
      </c>
      <c r="L3872">
        <v>0.97089999999999999</v>
      </c>
    </row>
    <row r="3873" spans="1:12" hidden="1" x14ac:dyDescent="0.25">
      <c r="A3873">
        <v>2330</v>
      </c>
      <c r="B3873" t="s">
        <v>11</v>
      </c>
      <c r="C3873" s="1">
        <v>43042</v>
      </c>
      <c r="D3873" s="2">
        <f t="shared" si="120"/>
        <v>5</v>
      </c>
      <c r="E3873" s="2">
        <f t="shared" si="121"/>
        <v>11</v>
      </c>
      <c r="F3873">
        <v>219.1455</v>
      </c>
      <c r="G3873">
        <v>219.6011</v>
      </c>
      <c r="H3873">
        <v>217.32310000000001</v>
      </c>
      <c r="I3873">
        <v>217.77869999999999</v>
      </c>
      <c r="J3873">
        <v>18327</v>
      </c>
      <c r="K3873">
        <v>-0.83330000000000004</v>
      </c>
      <c r="L3873">
        <v>1.0482</v>
      </c>
    </row>
    <row r="3874" spans="1:12" x14ac:dyDescent="0.25">
      <c r="A3874">
        <v>2303</v>
      </c>
      <c r="B3874" t="s">
        <v>10</v>
      </c>
      <c r="C3874" s="1">
        <v>43045</v>
      </c>
      <c r="D3874" s="2">
        <f t="shared" si="120"/>
        <v>1</v>
      </c>
      <c r="E3874" s="2">
        <f t="shared" si="121"/>
        <v>11</v>
      </c>
      <c r="F3874">
        <v>14.24</v>
      </c>
      <c r="G3874">
        <v>14.286099999999999</v>
      </c>
      <c r="H3874">
        <v>14.009600000000001</v>
      </c>
      <c r="I3874">
        <v>14.0557</v>
      </c>
      <c r="J3874">
        <v>46148</v>
      </c>
      <c r="K3874">
        <v>-1.3029999999999999</v>
      </c>
      <c r="L3874">
        <v>1.9737</v>
      </c>
    </row>
    <row r="3875" spans="1:12" hidden="1" x14ac:dyDescent="0.25">
      <c r="A3875">
        <v>2330</v>
      </c>
      <c r="B3875" t="s">
        <v>11</v>
      </c>
      <c r="C3875" s="1">
        <v>43045</v>
      </c>
      <c r="D3875" s="2">
        <f t="shared" si="120"/>
        <v>1</v>
      </c>
      <c r="E3875" s="2">
        <f t="shared" si="121"/>
        <v>11</v>
      </c>
      <c r="F3875">
        <v>221.87909999999999</v>
      </c>
      <c r="G3875">
        <v>222.3348</v>
      </c>
      <c r="H3875">
        <v>217.77869999999999</v>
      </c>
      <c r="I3875">
        <v>218.23429999999999</v>
      </c>
      <c r="J3875">
        <v>21029</v>
      </c>
      <c r="K3875">
        <v>0.20899999999999999</v>
      </c>
      <c r="L3875">
        <v>2.0920999999999998</v>
      </c>
    </row>
    <row r="3876" spans="1:12" x14ac:dyDescent="0.25">
      <c r="A3876">
        <v>2303</v>
      </c>
      <c r="B3876" t="s">
        <v>10</v>
      </c>
      <c r="C3876" s="1">
        <v>43046</v>
      </c>
      <c r="D3876" s="2">
        <f t="shared" si="120"/>
        <v>2</v>
      </c>
      <c r="E3876" s="2">
        <f t="shared" si="121"/>
        <v>11</v>
      </c>
      <c r="F3876">
        <v>14.101800000000001</v>
      </c>
      <c r="G3876">
        <v>14.194000000000001</v>
      </c>
      <c r="H3876">
        <v>14.0557</v>
      </c>
      <c r="I3876">
        <v>14.194000000000001</v>
      </c>
      <c r="J3876">
        <v>17279</v>
      </c>
      <c r="K3876">
        <v>0.9788</v>
      </c>
      <c r="L3876">
        <v>0.98360000000000003</v>
      </c>
    </row>
    <row r="3877" spans="1:12" hidden="1" x14ac:dyDescent="0.25">
      <c r="A3877">
        <v>2330</v>
      </c>
      <c r="B3877" t="s">
        <v>11</v>
      </c>
      <c r="C3877" s="1">
        <v>43046</v>
      </c>
      <c r="D3877" s="2">
        <f t="shared" si="120"/>
        <v>2</v>
      </c>
      <c r="E3877" s="2">
        <f t="shared" si="121"/>
        <v>11</v>
      </c>
      <c r="F3877">
        <v>220.51230000000001</v>
      </c>
      <c r="G3877">
        <v>222.3348</v>
      </c>
      <c r="H3877">
        <v>220.05670000000001</v>
      </c>
      <c r="I3877">
        <v>222.3348</v>
      </c>
      <c r="J3877">
        <v>21689</v>
      </c>
      <c r="K3877">
        <v>1.8614999999999999</v>
      </c>
      <c r="L3877">
        <v>1.0351999999999999</v>
      </c>
    </row>
    <row r="3878" spans="1:12" x14ac:dyDescent="0.25">
      <c r="A3878">
        <v>2303</v>
      </c>
      <c r="B3878" t="s">
        <v>10</v>
      </c>
      <c r="C3878" s="1">
        <v>43047</v>
      </c>
      <c r="D3878" s="2">
        <f t="shared" si="120"/>
        <v>3</v>
      </c>
      <c r="E3878" s="2">
        <f t="shared" si="121"/>
        <v>11</v>
      </c>
      <c r="F3878">
        <v>14.194000000000001</v>
      </c>
      <c r="G3878">
        <v>14.194000000000001</v>
      </c>
      <c r="H3878">
        <v>14.101800000000001</v>
      </c>
      <c r="I3878">
        <v>14.1479</v>
      </c>
      <c r="J3878">
        <v>12630</v>
      </c>
      <c r="K3878">
        <v>-0.32519999999999999</v>
      </c>
      <c r="L3878">
        <v>0.65359999999999996</v>
      </c>
    </row>
    <row r="3879" spans="1:12" hidden="1" x14ac:dyDescent="0.25">
      <c r="A3879">
        <v>2330</v>
      </c>
      <c r="B3879" t="s">
        <v>11</v>
      </c>
      <c r="C3879" s="1">
        <v>43047</v>
      </c>
      <c r="D3879" s="2">
        <f t="shared" si="120"/>
        <v>3</v>
      </c>
      <c r="E3879" s="2">
        <f t="shared" si="121"/>
        <v>11</v>
      </c>
      <c r="F3879">
        <v>221.42349999999999</v>
      </c>
      <c r="G3879">
        <v>221.87909999999999</v>
      </c>
      <c r="H3879">
        <v>220.51230000000001</v>
      </c>
      <c r="I3879">
        <v>220.96789999999999</v>
      </c>
      <c r="J3879">
        <v>14579</v>
      </c>
      <c r="K3879">
        <v>-0.61670000000000003</v>
      </c>
      <c r="L3879">
        <v>0.61980000000000002</v>
      </c>
    </row>
    <row r="3880" spans="1:12" x14ac:dyDescent="0.25">
      <c r="A3880">
        <v>2303</v>
      </c>
      <c r="B3880" t="s">
        <v>10</v>
      </c>
      <c r="C3880" s="1">
        <v>43048</v>
      </c>
      <c r="D3880" s="2">
        <f t="shared" si="120"/>
        <v>4</v>
      </c>
      <c r="E3880" s="2">
        <f t="shared" si="121"/>
        <v>11</v>
      </c>
      <c r="F3880">
        <v>14.24</v>
      </c>
      <c r="G3880">
        <v>14.700900000000001</v>
      </c>
      <c r="H3880">
        <v>14.194000000000001</v>
      </c>
      <c r="I3880">
        <v>14.470499999999999</v>
      </c>
      <c r="J3880">
        <v>93048</v>
      </c>
      <c r="K3880">
        <v>2.2545000000000002</v>
      </c>
      <c r="L3880">
        <v>3.5714000000000001</v>
      </c>
    </row>
    <row r="3881" spans="1:12" hidden="1" x14ac:dyDescent="0.25">
      <c r="A3881">
        <v>2330</v>
      </c>
      <c r="B3881" t="s">
        <v>11</v>
      </c>
      <c r="C3881" s="1">
        <v>43048</v>
      </c>
      <c r="D3881" s="2">
        <f t="shared" si="120"/>
        <v>4</v>
      </c>
      <c r="E3881" s="2">
        <f t="shared" si="121"/>
        <v>11</v>
      </c>
      <c r="F3881">
        <v>219.1455</v>
      </c>
      <c r="G3881">
        <v>221.42349999999999</v>
      </c>
      <c r="H3881">
        <v>218.68989999999999</v>
      </c>
      <c r="I3881">
        <v>219.6011</v>
      </c>
      <c r="J3881">
        <v>21366</v>
      </c>
      <c r="K3881">
        <v>-0.62050000000000005</v>
      </c>
      <c r="L3881">
        <v>1.25</v>
      </c>
    </row>
    <row r="3882" spans="1:12" x14ac:dyDescent="0.25">
      <c r="A3882">
        <v>2303</v>
      </c>
      <c r="B3882" t="s">
        <v>10</v>
      </c>
      <c r="C3882" s="1">
        <v>43049</v>
      </c>
      <c r="D3882" s="2">
        <f t="shared" si="120"/>
        <v>5</v>
      </c>
      <c r="E3882" s="2">
        <f t="shared" si="121"/>
        <v>11</v>
      </c>
      <c r="F3882">
        <v>14.470499999999999</v>
      </c>
      <c r="G3882">
        <v>14.6548</v>
      </c>
      <c r="H3882">
        <v>14.378299999999999</v>
      </c>
      <c r="I3882">
        <v>14.608700000000001</v>
      </c>
      <c r="J3882">
        <v>37575</v>
      </c>
      <c r="K3882">
        <v>0.95089999999999997</v>
      </c>
      <c r="L3882">
        <v>1.9231</v>
      </c>
    </row>
    <row r="3883" spans="1:12" hidden="1" x14ac:dyDescent="0.25">
      <c r="A3883">
        <v>2330</v>
      </c>
      <c r="B3883" t="s">
        <v>11</v>
      </c>
      <c r="C3883" s="1">
        <v>43049</v>
      </c>
      <c r="D3883" s="2">
        <f t="shared" si="120"/>
        <v>5</v>
      </c>
      <c r="E3883" s="2">
        <f t="shared" si="121"/>
        <v>11</v>
      </c>
      <c r="F3883">
        <v>218.68989999999999</v>
      </c>
      <c r="G3883">
        <v>220.51230000000001</v>
      </c>
      <c r="H3883">
        <v>218.23429999999999</v>
      </c>
      <c r="I3883">
        <v>219.1455</v>
      </c>
      <c r="J3883">
        <v>15061</v>
      </c>
      <c r="K3883">
        <v>-0.2077</v>
      </c>
      <c r="L3883">
        <v>1.0438000000000001</v>
      </c>
    </row>
    <row r="3884" spans="1:12" x14ac:dyDescent="0.25">
      <c r="A3884">
        <v>2303</v>
      </c>
      <c r="B3884" t="s">
        <v>10</v>
      </c>
      <c r="C3884" s="1">
        <v>43052</v>
      </c>
      <c r="D3884" s="2">
        <f t="shared" si="120"/>
        <v>1</v>
      </c>
      <c r="E3884" s="2">
        <f t="shared" si="121"/>
        <v>11</v>
      </c>
      <c r="F3884">
        <v>14.5626</v>
      </c>
      <c r="G3884">
        <v>14.5626</v>
      </c>
      <c r="H3884">
        <v>14.378299999999999</v>
      </c>
      <c r="I3884">
        <v>14.4244</v>
      </c>
      <c r="J3884">
        <v>38438</v>
      </c>
      <c r="K3884">
        <v>-1.2699</v>
      </c>
      <c r="L3884">
        <v>1.2821</v>
      </c>
    </row>
    <row r="3885" spans="1:12" hidden="1" x14ac:dyDescent="0.25">
      <c r="A3885">
        <v>2330</v>
      </c>
      <c r="B3885" t="s">
        <v>11</v>
      </c>
      <c r="C3885" s="1">
        <v>43052</v>
      </c>
      <c r="D3885" s="2">
        <f t="shared" si="120"/>
        <v>1</v>
      </c>
      <c r="E3885" s="2">
        <f t="shared" si="121"/>
        <v>11</v>
      </c>
      <c r="F3885">
        <v>218.68989999999999</v>
      </c>
      <c r="G3885">
        <v>220.05670000000001</v>
      </c>
      <c r="H3885">
        <v>218.23429999999999</v>
      </c>
      <c r="I3885">
        <v>218.23429999999999</v>
      </c>
      <c r="J3885">
        <v>12087</v>
      </c>
      <c r="K3885">
        <v>-0.41670000000000001</v>
      </c>
      <c r="L3885">
        <v>0.83509999999999995</v>
      </c>
    </row>
    <row r="3886" spans="1:12" x14ac:dyDescent="0.25">
      <c r="A3886">
        <v>2303</v>
      </c>
      <c r="B3886" t="s">
        <v>10</v>
      </c>
      <c r="C3886" s="1">
        <v>43053</v>
      </c>
      <c r="D3886" s="2">
        <f t="shared" si="120"/>
        <v>2</v>
      </c>
      <c r="E3886" s="2">
        <f t="shared" si="121"/>
        <v>11</v>
      </c>
      <c r="F3886">
        <v>14.470499999999999</v>
      </c>
      <c r="G3886">
        <v>14.608700000000001</v>
      </c>
      <c r="H3886">
        <v>14.378299999999999</v>
      </c>
      <c r="I3886">
        <v>14.5166</v>
      </c>
      <c r="J3886">
        <v>39630</v>
      </c>
      <c r="K3886">
        <v>0.63690000000000002</v>
      </c>
      <c r="L3886">
        <v>1.6026</v>
      </c>
    </row>
    <row r="3887" spans="1:12" hidden="1" x14ac:dyDescent="0.25">
      <c r="A3887">
        <v>2330</v>
      </c>
      <c r="B3887" t="s">
        <v>11</v>
      </c>
      <c r="C3887" s="1">
        <v>43053</v>
      </c>
      <c r="D3887" s="2">
        <f t="shared" si="120"/>
        <v>2</v>
      </c>
      <c r="E3887" s="2">
        <f t="shared" si="121"/>
        <v>11</v>
      </c>
      <c r="F3887">
        <v>219.6011</v>
      </c>
      <c r="G3887">
        <v>219.6011</v>
      </c>
      <c r="H3887">
        <v>217.77869999999999</v>
      </c>
      <c r="I3887">
        <v>218.68989999999999</v>
      </c>
      <c r="J3887">
        <v>17229</v>
      </c>
      <c r="K3887">
        <v>0.20860000000000001</v>
      </c>
      <c r="L3887">
        <v>0.83679999999999999</v>
      </c>
    </row>
    <row r="3888" spans="1:12" x14ac:dyDescent="0.25">
      <c r="A3888">
        <v>2303</v>
      </c>
      <c r="B3888" t="s">
        <v>10</v>
      </c>
      <c r="C3888" s="1">
        <v>43054</v>
      </c>
      <c r="D3888" s="2">
        <f t="shared" si="120"/>
        <v>3</v>
      </c>
      <c r="E3888" s="2">
        <f t="shared" si="121"/>
        <v>11</v>
      </c>
      <c r="F3888">
        <v>14.470499999999999</v>
      </c>
      <c r="G3888">
        <v>14.5166</v>
      </c>
      <c r="H3888">
        <v>14.286099999999999</v>
      </c>
      <c r="I3888">
        <v>14.378299999999999</v>
      </c>
      <c r="J3888">
        <v>38238</v>
      </c>
      <c r="K3888">
        <v>-0.95689999999999997</v>
      </c>
      <c r="L3888">
        <v>1.6129</v>
      </c>
    </row>
    <row r="3889" spans="1:12" hidden="1" x14ac:dyDescent="0.25">
      <c r="A3889">
        <v>2330</v>
      </c>
      <c r="B3889" t="s">
        <v>11</v>
      </c>
      <c r="C3889" s="1">
        <v>43054</v>
      </c>
      <c r="D3889" s="2">
        <f t="shared" si="120"/>
        <v>3</v>
      </c>
      <c r="E3889" s="2">
        <f t="shared" si="121"/>
        <v>11</v>
      </c>
      <c r="F3889">
        <v>217.77869999999999</v>
      </c>
      <c r="G3889">
        <v>218.23429999999999</v>
      </c>
      <c r="H3889">
        <v>215.04509999999999</v>
      </c>
      <c r="I3889">
        <v>216.4119</v>
      </c>
      <c r="J3889">
        <v>29720</v>
      </c>
      <c r="K3889">
        <v>-1.0470999999999999</v>
      </c>
      <c r="L3889">
        <v>1.4831000000000001</v>
      </c>
    </row>
    <row r="3890" spans="1:12" x14ac:dyDescent="0.25">
      <c r="A3890">
        <v>2303</v>
      </c>
      <c r="B3890" t="s">
        <v>10</v>
      </c>
      <c r="C3890" s="1">
        <v>43055</v>
      </c>
      <c r="D3890" s="2">
        <f t="shared" si="120"/>
        <v>4</v>
      </c>
      <c r="E3890" s="2">
        <f t="shared" si="121"/>
        <v>11</v>
      </c>
      <c r="F3890">
        <v>14.378299999999999</v>
      </c>
      <c r="G3890">
        <v>14.5166</v>
      </c>
      <c r="H3890">
        <v>14.286099999999999</v>
      </c>
      <c r="I3890">
        <v>14.378299999999999</v>
      </c>
      <c r="J3890">
        <v>35151</v>
      </c>
      <c r="K3890">
        <v>0</v>
      </c>
      <c r="L3890">
        <v>1.6129</v>
      </c>
    </row>
    <row r="3891" spans="1:12" hidden="1" x14ac:dyDescent="0.25">
      <c r="A3891">
        <v>2330</v>
      </c>
      <c r="B3891" t="s">
        <v>11</v>
      </c>
      <c r="C3891" s="1">
        <v>43055</v>
      </c>
      <c r="D3891" s="2">
        <f t="shared" si="120"/>
        <v>4</v>
      </c>
      <c r="E3891" s="2">
        <f t="shared" si="121"/>
        <v>11</v>
      </c>
      <c r="F3891">
        <v>216.86750000000001</v>
      </c>
      <c r="G3891">
        <v>218.68989999999999</v>
      </c>
      <c r="H3891">
        <v>216.4119</v>
      </c>
      <c r="I3891">
        <v>216.86750000000001</v>
      </c>
      <c r="J3891">
        <v>17274</v>
      </c>
      <c r="K3891">
        <v>0.21029999999999999</v>
      </c>
      <c r="L3891">
        <v>1.0526</v>
      </c>
    </row>
    <row r="3892" spans="1:12" x14ac:dyDescent="0.25">
      <c r="A3892">
        <v>2303</v>
      </c>
      <c r="B3892" t="s">
        <v>10</v>
      </c>
      <c r="C3892" s="1">
        <v>43056</v>
      </c>
      <c r="D3892" s="2">
        <f t="shared" si="120"/>
        <v>5</v>
      </c>
      <c r="E3892" s="2">
        <f t="shared" si="121"/>
        <v>11</v>
      </c>
      <c r="F3892">
        <v>14.470499999999999</v>
      </c>
      <c r="G3892">
        <v>14.5626</v>
      </c>
      <c r="H3892">
        <v>14.378299999999999</v>
      </c>
      <c r="I3892">
        <v>14.4244</v>
      </c>
      <c r="J3892">
        <v>33105</v>
      </c>
      <c r="K3892">
        <v>0.32</v>
      </c>
      <c r="L3892">
        <v>1.2821</v>
      </c>
    </row>
    <row r="3893" spans="1:12" hidden="1" x14ac:dyDescent="0.25">
      <c r="A3893">
        <v>2330</v>
      </c>
      <c r="B3893" t="s">
        <v>11</v>
      </c>
      <c r="C3893" s="1">
        <v>43056</v>
      </c>
      <c r="D3893" s="2">
        <f t="shared" si="120"/>
        <v>5</v>
      </c>
      <c r="E3893" s="2">
        <f t="shared" si="121"/>
        <v>11</v>
      </c>
      <c r="F3893">
        <v>219.1455</v>
      </c>
      <c r="G3893">
        <v>220.96789999999999</v>
      </c>
      <c r="H3893">
        <v>219.1455</v>
      </c>
      <c r="I3893">
        <v>220.05670000000001</v>
      </c>
      <c r="J3893">
        <v>18741</v>
      </c>
      <c r="K3893">
        <v>1.4599</v>
      </c>
      <c r="L3893">
        <v>0.83160000000000001</v>
      </c>
    </row>
    <row r="3894" spans="1:12" x14ac:dyDescent="0.25">
      <c r="A3894">
        <v>2303</v>
      </c>
      <c r="B3894" t="s">
        <v>10</v>
      </c>
      <c r="C3894" s="1">
        <v>43059</v>
      </c>
      <c r="D3894" s="2">
        <f t="shared" si="120"/>
        <v>1</v>
      </c>
      <c r="E3894" s="2">
        <f t="shared" si="121"/>
        <v>11</v>
      </c>
      <c r="F3894">
        <v>14.4244</v>
      </c>
      <c r="G3894">
        <v>14.747</v>
      </c>
      <c r="H3894">
        <v>14.4244</v>
      </c>
      <c r="I3894">
        <v>14.6548</v>
      </c>
      <c r="J3894">
        <v>49301</v>
      </c>
      <c r="K3894">
        <v>1.5848</v>
      </c>
      <c r="L3894">
        <v>2.2364000000000002</v>
      </c>
    </row>
    <row r="3895" spans="1:12" hidden="1" x14ac:dyDescent="0.25">
      <c r="A3895">
        <v>2330</v>
      </c>
      <c r="B3895" t="s">
        <v>11</v>
      </c>
      <c r="C3895" s="1">
        <v>43059</v>
      </c>
      <c r="D3895" s="2">
        <f t="shared" si="120"/>
        <v>1</v>
      </c>
      <c r="E3895" s="2">
        <f t="shared" si="121"/>
        <v>11</v>
      </c>
      <c r="F3895">
        <v>219.6011</v>
      </c>
      <c r="G3895">
        <v>220.05670000000001</v>
      </c>
      <c r="H3895">
        <v>216.86750000000001</v>
      </c>
      <c r="I3895">
        <v>217.32310000000001</v>
      </c>
      <c r="J3895">
        <v>19811</v>
      </c>
      <c r="K3895">
        <v>-1.25</v>
      </c>
      <c r="L3895">
        <v>1.4705999999999999</v>
      </c>
    </row>
    <row r="3896" spans="1:12" x14ac:dyDescent="0.25">
      <c r="A3896">
        <v>2303</v>
      </c>
      <c r="B3896" t="s">
        <v>10</v>
      </c>
      <c r="C3896" s="1">
        <v>43060</v>
      </c>
      <c r="D3896" s="2">
        <f t="shared" si="120"/>
        <v>2</v>
      </c>
      <c r="E3896" s="2">
        <f t="shared" si="121"/>
        <v>11</v>
      </c>
      <c r="F3896">
        <v>14.6548</v>
      </c>
      <c r="G3896">
        <v>15.069599999999999</v>
      </c>
      <c r="H3896">
        <v>14.608700000000001</v>
      </c>
      <c r="I3896">
        <v>14.885199999999999</v>
      </c>
      <c r="J3896">
        <v>88638</v>
      </c>
      <c r="K3896">
        <v>1.5601</v>
      </c>
      <c r="L3896">
        <v>3.1545999999999998</v>
      </c>
    </row>
    <row r="3897" spans="1:12" hidden="1" x14ac:dyDescent="0.25">
      <c r="A3897">
        <v>2330</v>
      </c>
      <c r="B3897" t="s">
        <v>11</v>
      </c>
      <c r="C3897" s="1">
        <v>43060</v>
      </c>
      <c r="D3897" s="2">
        <f t="shared" si="120"/>
        <v>2</v>
      </c>
      <c r="E3897" s="2">
        <f t="shared" si="121"/>
        <v>11</v>
      </c>
      <c r="F3897">
        <v>218.68989999999999</v>
      </c>
      <c r="G3897">
        <v>221.42349999999999</v>
      </c>
      <c r="H3897">
        <v>218.23429999999999</v>
      </c>
      <c r="I3897">
        <v>221.42349999999999</v>
      </c>
      <c r="J3897">
        <v>22878</v>
      </c>
      <c r="K3897">
        <v>1.8692</v>
      </c>
      <c r="L3897">
        <v>1.4614</v>
      </c>
    </row>
    <row r="3898" spans="1:12" x14ac:dyDescent="0.25">
      <c r="A3898">
        <v>2303</v>
      </c>
      <c r="B3898" t="s">
        <v>10</v>
      </c>
      <c r="C3898" s="1">
        <v>43061</v>
      </c>
      <c r="D3898" s="2">
        <f t="shared" si="120"/>
        <v>3</v>
      </c>
      <c r="E3898" s="2">
        <f t="shared" si="121"/>
        <v>11</v>
      </c>
      <c r="F3898">
        <v>14.977399999999999</v>
      </c>
      <c r="G3898">
        <v>15.069599999999999</v>
      </c>
      <c r="H3898">
        <v>14.8391</v>
      </c>
      <c r="I3898">
        <v>14.8391</v>
      </c>
      <c r="J3898">
        <v>77239</v>
      </c>
      <c r="K3898">
        <v>-0.31009999999999999</v>
      </c>
      <c r="L3898">
        <v>1.5528</v>
      </c>
    </row>
    <row r="3899" spans="1:12" hidden="1" x14ac:dyDescent="0.25">
      <c r="A3899">
        <v>2330</v>
      </c>
      <c r="B3899" t="s">
        <v>11</v>
      </c>
      <c r="C3899" s="1">
        <v>43061</v>
      </c>
      <c r="D3899" s="2">
        <f t="shared" si="120"/>
        <v>3</v>
      </c>
      <c r="E3899" s="2">
        <f t="shared" si="121"/>
        <v>11</v>
      </c>
      <c r="F3899">
        <v>222.79040000000001</v>
      </c>
      <c r="G3899">
        <v>222.79040000000001</v>
      </c>
      <c r="H3899">
        <v>220.51230000000001</v>
      </c>
      <c r="I3899">
        <v>220.51230000000001</v>
      </c>
      <c r="J3899">
        <v>27251</v>
      </c>
      <c r="K3899">
        <v>-0.41239999999999999</v>
      </c>
      <c r="L3899">
        <v>1.0330999999999999</v>
      </c>
    </row>
    <row r="3900" spans="1:12" x14ac:dyDescent="0.25">
      <c r="A3900">
        <v>2303</v>
      </c>
      <c r="B3900" t="s">
        <v>10</v>
      </c>
      <c r="C3900" s="1">
        <v>43062</v>
      </c>
      <c r="D3900" s="2">
        <f t="shared" si="120"/>
        <v>4</v>
      </c>
      <c r="E3900" s="2">
        <f t="shared" si="121"/>
        <v>11</v>
      </c>
      <c r="F3900">
        <v>14.8391</v>
      </c>
      <c r="G3900">
        <v>14.885199999999999</v>
      </c>
      <c r="H3900">
        <v>14.6548</v>
      </c>
      <c r="I3900">
        <v>14.700900000000001</v>
      </c>
      <c r="J3900">
        <v>51589</v>
      </c>
      <c r="K3900">
        <v>-0.93600000000000005</v>
      </c>
      <c r="L3900">
        <v>1.5723</v>
      </c>
    </row>
    <row r="3901" spans="1:12" hidden="1" x14ac:dyDescent="0.25">
      <c r="A3901">
        <v>2330</v>
      </c>
      <c r="B3901" t="s">
        <v>11</v>
      </c>
      <c r="C3901" s="1">
        <v>43062</v>
      </c>
      <c r="D3901" s="2">
        <f t="shared" si="120"/>
        <v>4</v>
      </c>
      <c r="E3901" s="2">
        <f t="shared" si="121"/>
        <v>11</v>
      </c>
      <c r="F3901">
        <v>220.51230000000001</v>
      </c>
      <c r="G3901">
        <v>221.87909999999999</v>
      </c>
      <c r="H3901">
        <v>220.05670000000001</v>
      </c>
      <c r="I3901">
        <v>220.96789999999999</v>
      </c>
      <c r="J3901">
        <v>9562</v>
      </c>
      <c r="K3901">
        <v>0.2064</v>
      </c>
      <c r="L3901">
        <v>0.82820000000000005</v>
      </c>
    </row>
    <row r="3902" spans="1:12" x14ac:dyDescent="0.25">
      <c r="A3902">
        <v>2303</v>
      </c>
      <c r="B3902" t="s">
        <v>10</v>
      </c>
      <c r="C3902" s="1">
        <v>43063</v>
      </c>
      <c r="D3902" s="2">
        <f t="shared" si="120"/>
        <v>5</v>
      </c>
      <c r="E3902" s="2">
        <f t="shared" si="121"/>
        <v>11</v>
      </c>
      <c r="F3902">
        <v>14.747</v>
      </c>
      <c r="G3902">
        <v>14.8391</v>
      </c>
      <c r="H3902">
        <v>14.700900000000001</v>
      </c>
      <c r="I3902">
        <v>14.700900000000001</v>
      </c>
      <c r="J3902">
        <v>47073</v>
      </c>
      <c r="K3902">
        <v>0</v>
      </c>
      <c r="L3902">
        <v>0.94040000000000001</v>
      </c>
    </row>
    <row r="3903" spans="1:12" hidden="1" x14ac:dyDescent="0.25">
      <c r="A3903">
        <v>2330</v>
      </c>
      <c r="B3903" t="s">
        <v>11</v>
      </c>
      <c r="C3903" s="1">
        <v>43063</v>
      </c>
      <c r="D3903" s="2">
        <f t="shared" si="120"/>
        <v>5</v>
      </c>
      <c r="E3903" s="2">
        <f t="shared" si="121"/>
        <v>11</v>
      </c>
      <c r="F3903">
        <v>220.51230000000001</v>
      </c>
      <c r="G3903">
        <v>222.79040000000001</v>
      </c>
      <c r="H3903">
        <v>220.05670000000001</v>
      </c>
      <c r="I3903">
        <v>222.3348</v>
      </c>
      <c r="J3903">
        <v>11404</v>
      </c>
      <c r="K3903">
        <v>0.61670000000000003</v>
      </c>
      <c r="L3903">
        <v>1.2422</v>
      </c>
    </row>
    <row r="3904" spans="1:12" x14ac:dyDescent="0.25">
      <c r="A3904">
        <v>2303</v>
      </c>
      <c r="B3904" t="s">
        <v>10</v>
      </c>
      <c r="C3904" s="1">
        <v>43066</v>
      </c>
      <c r="D3904" s="2">
        <f t="shared" si="120"/>
        <v>1</v>
      </c>
      <c r="E3904" s="2">
        <f t="shared" si="121"/>
        <v>11</v>
      </c>
      <c r="F3904">
        <v>14.747</v>
      </c>
      <c r="G3904">
        <v>14.793100000000001</v>
      </c>
      <c r="H3904">
        <v>14.470499999999999</v>
      </c>
      <c r="I3904">
        <v>14.5626</v>
      </c>
      <c r="J3904">
        <v>29931</v>
      </c>
      <c r="K3904">
        <v>-0.94489999999999996</v>
      </c>
      <c r="L3904">
        <v>2.2292999999999998</v>
      </c>
    </row>
    <row r="3905" spans="1:12" hidden="1" x14ac:dyDescent="0.25">
      <c r="A3905">
        <v>2330</v>
      </c>
      <c r="B3905" t="s">
        <v>11</v>
      </c>
      <c r="C3905" s="1">
        <v>43066</v>
      </c>
      <c r="D3905" s="2">
        <f t="shared" si="120"/>
        <v>1</v>
      </c>
      <c r="E3905" s="2">
        <f t="shared" si="121"/>
        <v>11</v>
      </c>
      <c r="F3905">
        <v>218.68989999999999</v>
      </c>
      <c r="G3905">
        <v>218.68989999999999</v>
      </c>
      <c r="H3905">
        <v>215.9563</v>
      </c>
      <c r="I3905">
        <v>215.9563</v>
      </c>
      <c r="J3905">
        <v>32247</v>
      </c>
      <c r="K3905">
        <v>-2.9108000000000001</v>
      </c>
      <c r="L3905">
        <v>1.2658</v>
      </c>
    </row>
    <row r="3906" spans="1:12" x14ac:dyDescent="0.25">
      <c r="A3906">
        <v>2303</v>
      </c>
      <c r="B3906" t="s">
        <v>10</v>
      </c>
      <c r="C3906" s="1">
        <v>43067</v>
      </c>
      <c r="D3906" s="2">
        <f t="shared" si="120"/>
        <v>2</v>
      </c>
      <c r="E3906" s="2">
        <f t="shared" si="121"/>
        <v>11</v>
      </c>
      <c r="F3906">
        <v>14.6548</v>
      </c>
      <c r="G3906">
        <v>14.700900000000001</v>
      </c>
      <c r="H3906">
        <v>14.470499999999999</v>
      </c>
      <c r="I3906">
        <v>14.608700000000001</v>
      </c>
      <c r="J3906">
        <v>22794</v>
      </c>
      <c r="K3906">
        <v>0.316</v>
      </c>
      <c r="L3906">
        <v>1.5924</v>
      </c>
    </row>
    <row r="3907" spans="1:12" hidden="1" x14ac:dyDescent="0.25">
      <c r="A3907">
        <v>2330</v>
      </c>
      <c r="B3907" t="s">
        <v>11</v>
      </c>
      <c r="C3907" s="1">
        <v>43067</v>
      </c>
      <c r="D3907" s="2">
        <f t="shared" ref="D3907:D3970" si="122">WEEKDAY(C3907,2)</f>
        <v>2</v>
      </c>
      <c r="E3907" s="2">
        <f t="shared" ref="E3907:E3970" si="123">MONTH(C3907)</f>
        <v>11</v>
      </c>
      <c r="F3907">
        <v>213.67830000000001</v>
      </c>
      <c r="G3907">
        <v>214.13390000000001</v>
      </c>
      <c r="H3907">
        <v>212.3115</v>
      </c>
      <c r="I3907">
        <v>213.2227</v>
      </c>
      <c r="J3907">
        <v>47834</v>
      </c>
      <c r="K3907">
        <v>-1.2739</v>
      </c>
      <c r="L3907">
        <v>0.85840000000000005</v>
      </c>
    </row>
    <row r="3908" spans="1:12" x14ac:dyDescent="0.25">
      <c r="A3908">
        <v>2303</v>
      </c>
      <c r="B3908" t="s">
        <v>10</v>
      </c>
      <c r="C3908" s="1">
        <v>43068</v>
      </c>
      <c r="D3908" s="2">
        <f t="shared" si="122"/>
        <v>3</v>
      </c>
      <c r="E3908" s="2">
        <f t="shared" si="123"/>
        <v>11</v>
      </c>
      <c r="F3908">
        <v>14.6548</v>
      </c>
      <c r="G3908">
        <v>14.700900000000001</v>
      </c>
      <c r="H3908">
        <v>14.378299999999999</v>
      </c>
      <c r="I3908">
        <v>14.470499999999999</v>
      </c>
      <c r="J3908">
        <v>31143</v>
      </c>
      <c r="K3908">
        <v>-0.95089999999999997</v>
      </c>
      <c r="L3908">
        <v>2.2435999999999998</v>
      </c>
    </row>
    <row r="3909" spans="1:12" hidden="1" x14ac:dyDescent="0.25">
      <c r="A3909">
        <v>2330</v>
      </c>
      <c r="B3909" t="s">
        <v>11</v>
      </c>
      <c r="C3909" s="1">
        <v>43068</v>
      </c>
      <c r="D3909" s="2">
        <f t="shared" si="122"/>
        <v>3</v>
      </c>
      <c r="E3909" s="2">
        <f t="shared" si="123"/>
        <v>11</v>
      </c>
      <c r="F3909">
        <v>214.13390000000001</v>
      </c>
      <c r="G3909">
        <v>215.04509999999999</v>
      </c>
      <c r="H3909">
        <v>213.67830000000001</v>
      </c>
      <c r="I3909">
        <v>213.67830000000001</v>
      </c>
      <c r="J3909">
        <v>26535</v>
      </c>
      <c r="K3909">
        <v>0.21340000000000001</v>
      </c>
      <c r="L3909">
        <v>0.63970000000000005</v>
      </c>
    </row>
    <row r="3910" spans="1:12" x14ac:dyDescent="0.25">
      <c r="A3910">
        <v>2303</v>
      </c>
      <c r="B3910" t="s">
        <v>10</v>
      </c>
      <c r="C3910" s="1">
        <v>43069</v>
      </c>
      <c r="D3910" s="2">
        <f t="shared" si="122"/>
        <v>4</v>
      </c>
      <c r="E3910" s="2">
        <f t="shared" si="123"/>
        <v>11</v>
      </c>
      <c r="F3910">
        <v>14.286099999999999</v>
      </c>
      <c r="G3910">
        <v>14.378299999999999</v>
      </c>
      <c r="H3910">
        <v>14.101800000000001</v>
      </c>
      <c r="I3910">
        <v>14.101800000000001</v>
      </c>
      <c r="J3910">
        <v>76813</v>
      </c>
      <c r="K3910">
        <v>-2.5808</v>
      </c>
      <c r="L3910">
        <v>1.9608000000000001</v>
      </c>
    </row>
    <row r="3911" spans="1:12" hidden="1" x14ac:dyDescent="0.25">
      <c r="A3911">
        <v>2330</v>
      </c>
      <c r="B3911" t="s">
        <v>11</v>
      </c>
      <c r="C3911" s="1">
        <v>43069</v>
      </c>
      <c r="D3911" s="2">
        <f t="shared" si="122"/>
        <v>4</v>
      </c>
      <c r="E3911" s="2">
        <f t="shared" si="123"/>
        <v>11</v>
      </c>
      <c r="F3911">
        <v>206.3886</v>
      </c>
      <c r="G3911">
        <v>210.0334</v>
      </c>
      <c r="H3911">
        <v>205.93299999999999</v>
      </c>
      <c r="I3911">
        <v>205.93299999999999</v>
      </c>
      <c r="J3911">
        <v>112262</v>
      </c>
      <c r="K3911">
        <v>-3.6920999999999999</v>
      </c>
      <c r="L3911">
        <v>1.9912000000000001</v>
      </c>
    </row>
    <row r="3912" spans="1:12" x14ac:dyDescent="0.25">
      <c r="A3912">
        <v>2303</v>
      </c>
      <c r="B3912" t="s">
        <v>10</v>
      </c>
      <c r="C3912" s="1">
        <v>43070</v>
      </c>
      <c r="D3912" s="2">
        <f t="shared" si="122"/>
        <v>5</v>
      </c>
      <c r="E3912" s="2">
        <f t="shared" si="123"/>
        <v>12</v>
      </c>
      <c r="F3912">
        <v>14.194000000000001</v>
      </c>
      <c r="G3912">
        <v>14.3322</v>
      </c>
      <c r="H3912">
        <v>13.9175</v>
      </c>
      <c r="I3912">
        <v>14.1479</v>
      </c>
      <c r="J3912">
        <v>38098</v>
      </c>
      <c r="K3912">
        <v>0.32629999999999998</v>
      </c>
      <c r="L3912">
        <v>2.9801000000000002</v>
      </c>
    </row>
    <row r="3913" spans="1:12" hidden="1" x14ac:dyDescent="0.25">
      <c r="A3913">
        <v>2330</v>
      </c>
      <c r="B3913" t="s">
        <v>11</v>
      </c>
      <c r="C3913" s="1">
        <v>43070</v>
      </c>
      <c r="D3913" s="2">
        <f t="shared" si="122"/>
        <v>5</v>
      </c>
      <c r="E3913" s="2">
        <f t="shared" si="123"/>
        <v>12</v>
      </c>
      <c r="F3913">
        <v>208.21100000000001</v>
      </c>
      <c r="G3913">
        <v>212.7671</v>
      </c>
      <c r="H3913">
        <v>207.2998</v>
      </c>
      <c r="I3913">
        <v>210.489</v>
      </c>
      <c r="J3913">
        <v>38356</v>
      </c>
      <c r="K3913">
        <v>2.1882999999999999</v>
      </c>
      <c r="L3913">
        <v>2.6374</v>
      </c>
    </row>
    <row r="3914" spans="1:12" x14ac:dyDescent="0.25">
      <c r="A3914">
        <v>2303</v>
      </c>
      <c r="B3914" t="s">
        <v>10</v>
      </c>
      <c r="C3914" s="1">
        <v>43073</v>
      </c>
      <c r="D3914" s="2">
        <f t="shared" si="122"/>
        <v>1</v>
      </c>
      <c r="E3914" s="2">
        <f t="shared" si="123"/>
        <v>12</v>
      </c>
      <c r="F3914">
        <v>14.24</v>
      </c>
      <c r="G3914">
        <v>14.470499999999999</v>
      </c>
      <c r="H3914">
        <v>14.1479</v>
      </c>
      <c r="I3914">
        <v>14.470499999999999</v>
      </c>
      <c r="J3914">
        <v>29442</v>
      </c>
      <c r="K3914">
        <v>2.2545000000000002</v>
      </c>
      <c r="L3914">
        <v>2.2801</v>
      </c>
    </row>
    <row r="3915" spans="1:12" hidden="1" x14ac:dyDescent="0.25">
      <c r="A3915">
        <v>2330</v>
      </c>
      <c r="B3915" t="s">
        <v>11</v>
      </c>
      <c r="C3915" s="1">
        <v>43073</v>
      </c>
      <c r="D3915" s="2">
        <f t="shared" si="122"/>
        <v>1</v>
      </c>
      <c r="E3915" s="2">
        <f t="shared" si="123"/>
        <v>12</v>
      </c>
      <c r="F3915">
        <v>211.85589999999999</v>
      </c>
      <c r="G3915">
        <v>213.67830000000001</v>
      </c>
      <c r="H3915">
        <v>210.489</v>
      </c>
      <c r="I3915">
        <v>213.2227</v>
      </c>
      <c r="J3915">
        <v>22939</v>
      </c>
      <c r="K3915">
        <v>1.2903</v>
      </c>
      <c r="L3915">
        <v>1.5152000000000001</v>
      </c>
    </row>
    <row r="3916" spans="1:12" x14ac:dyDescent="0.25">
      <c r="A3916">
        <v>2303</v>
      </c>
      <c r="B3916" t="s">
        <v>10</v>
      </c>
      <c r="C3916" s="1">
        <v>43074</v>
      </c>
      <c r="D3916" s="2">
        <f t="shared" si="122"/>
        <v>2</v>
      </c>
      <c r="E3916" s="2">
        <f t="shared" si="123"/>
        <v>12</v>
      </c>
      <c r="F3916">
        <v>14.4244</v>
      </c>
      <c r="G3916">
        <v>14.4244</v>
      </c>
      <c r="H3916">
        <v>14.24</v>
      </c>
      <c r="I3916">
        <v>14.3322</v>
      </c>
      <c r="J3916">
        <v>24366</v>
      </c>
      <c r="K3916">
        <v>-0.96</v>
      </c>
      <c r="L3916">
        <v>1.2945</v>
      </c>
    </row>
    <row r="3917" spans="1:12" hidden="1" x14ac:dyDescent="0.25">
      <c r="A3917">
        <v>2330</v>
      </c>
      <c r="B3917" t="s">
        <v>11</v>
      </c>
      <c r="C3917" s="1">
        <v>43074</v>
      </c>
      <c r="D3917" s="2">
        <f t="shared" si="122"/>
        <v>2</v>
      </c>
      <c r="E3917" s="2">
        <f t="shared" si="123"/>
        <v>12</v>
      </c>
      <c r="F3917">
        <v>210.489</v>
      </c>
      <c r="G3917">
        <v>210.489</v>
      </c>
      <c r="H3917">
        <v>208.21100000000001</v>
      </c>
      <c r="I3917">
        <v>209.12219999999999</v>
      </c>
      <c r="J3917">
        <v>30189</v>
      </c>
      <c r="K3917">
        <v>-1.9418</v>
      </c>
      <c r="L3917">
        <v>1.0941000000000001</v>
      </c>
    </row>
    <row r="3918" spans="1:12" x14ac:dyDescent="0.25">
      <c r="A3918">
        <v>2303</v>
      </c>
      <c r="B3918" t="s">
        <v>10</v>
      </c>
      <c r="C3918" s="1">
        <v>43075</v>
      </c>
      <c r="D3918" s="2">
        <f t="shared" si="122"/>
        <v>3</v>
      </c>
      <c r="E3918" s="2">
        <f t="shared" si="123"/>
        <v>12</v>
      </c>
      <c r="F3918">
        <v>14.24</v>
      </c>
      <c r="G3918">
        <v>14.286099999999999</v>
      </c>
      <c r="H3918">
        <v>13.7331</v>
      </c>
      <c r="I3918">
        <v>13.8253</v>
      </c>
      <c r="J3918">
        <v>54783</v>
      </c>
      <c r="K3918">
        <v>-3.601</v>
      </c>
      <c r="L3918">
        <v>4.0267999999999997</v>
      </c>
    </row>
    <row r="3919" spans="1:12" hidden="1" x14ac:dyDescent="0.25">
      <c r="A3919">
        <v>2330</v>
      </c>
      <c r="B3919" t="s">
        <v>11</v>
      </c>
      <c r="C3919" s="1">
        <v>43075</v>
      </c>
      <c r="D3919" s="2">
        <f t="shared" si="122"/>
        <v>3</v>
      </c>
      <c r="E3919" s="2">
        <f t="shared" si="123"/>
        <v>12</v>
      </c>
      <c r="F3919">
        <v>207.75540000000001</v>
      </c>
      <c r="G3919">
        <v>209.12219999999999</v>
      </c>
      <c r="H3919">
        <v>206.3886</v>
      </c>
      <c r="I3919">
        <v>206.8442</v>
      </c>
      <c r="J3919">
        <v>34031</v>
      </c>
      <c r="K3919">
        <v>-1.0952999999999999</v>
      </c>
      <c r="L3919">
        <v>1.3245</v>
      </c>
    </row>
    <row r="3920" spans="1:12" x14ac:dyDescent="0.25">
      <c r="A3920">
        <v>2303</v>
      </c>
      <c r="B3920" t="s">
        <v>10</v>
      </c>
      <c r="C3920" s="1">
        <v>43076</v>
      </c>
      <c r="D3920" s="2">
        <f t="shared" si="122"/>
        <v>4</v>
      </c>
      <c r="E3920" s="2">
        <f t="shared" si="123"/>
        <v>12</v>
      </c>
      <c r="F3920">
        <v>13.8714</v>
      </c>
      <c r="G3920">
        <v>14.0557</v>
      </c>
      <c r="H3920">
        <v>13.410500000000001</v>
      </c>
      <c r="I3920">
        <v>13.502700000000001</v>
      </c>
      <c r="J3920">
        <v>57685</v>
      </c>
      <c r="K3920">
        <v>-2.3610000000000002</v>
      </c>
      <c r="L3920">
        <v>4.8109999999999999</v>
      </c>
    </row>
    <row r="3921" spans="1:12" hidden="1" x14ac:dyDescent="0.25">
      <c r="A3921">
        <v>2330</v>
      </c>
      <c r="B3921" t="s">
        <v>11</v>
      </c>
      <c r="C3921" s="1">
        <v>43076</v>
      </c>
      <c r="D3921" s="2">
        <f t="shared" si="122"/>
        <v>4</v>
      </c>
      <c r="E3921" s="2">
        <f t="shared" si="123"/>
        <v>12</v>
      </c>
      <c r="F3921">
        <v>206.3886</v>
      </c>
      <c r="G3921">
        <v>206.3886</v>
      </c>
      <c r="H3921">
        <v>202.74379999999999</v>
      </c>
      <c r="I3921">
        <v>206.3886</v>
      </c>
      <c r="J3921">
        <v>41619</v>
      </c>
      <c r="K3921">
        <v>-0.2205</v>
      </c>
      <c r="L3921">
        <v>1.7978000000000001</v>
      </c>
    </row>
    <row r="3922" spans="1:12" x14ac:dyDescent="0.25">
      <c r="A3922">
        <v>2303</v>
      </c>
      <c r="B3922" t="s">
        <v>10</v>
      </c>
      <c r="C3922" s="1">
        <v>43077</v>
      </c>
      <c r="D3922" s="2">
        <f t="shared" si="122"/>
        <v>5</v>
      </c>
      <c r="E3922" s="2">
        <f t="shared" si="123"/>
        <v>12</v>
      </c>
      <c r="F3922">
        <v>13.641</v>
      </c>
      <c r="G3922">
        <v>13.686999999999999</v>
      </c>
      <c r="H3922">
        <v>13.410500000000001</v>
      </c>
      <c r="I3922">
        <v>13.502700000000001</v>
      </c>
      <c r="J3922">
        <v>36748</v>
      </c>
      <c r="K3922">
        <v>0</v>
      </c>
      <c r="L3922">
        <v>2.0619000000000001</v>
      </c>
    </row>
    <row r="3923" spans="1:12" hidden="1" x14ac:dyDescent="0.25">
      <c r="A3923">
        <v>2330</v>
      </c>
      <c r="B3923" t="s">
        <v>11</v>
      </c>
      <c r="C3923" s="1">
        <v>43077</v>
      </c>
      <c r="D3923" s="2">
        <f t="shared" si="122"/>
        <v>5</v>
      </c>
      <c r="E3923" s="2">
        <f t="shared" si="123"/>
        <v>12</v>
      </c>
      <c r="F3923">
        <v>210.489</v>
      </c>
      <c r="G3923">
        <v>210.489</v>
      </c>
      <c r="H3923">
        <v>204.56620000000001</v>
      </c>
      <c r="I3923">
        <v>206.8442</v>
      </c>
      <c r="J3923">
        <v>38183</v>
      </c>
      <c r="K3923">
        <v>0.2205</v>
      </c>
      <c r="L3923">
        <v>2.8953000000000002</v>
      </c>
    </row>
    <row r="3924" spans="1:12" x14ac:dyDescent="0.25">
      <c r="A3924">
        <v>2303</v>
      </c>
      <c r="B3924" t="s">
        <v>10</v>
      </c>
      <c r="C3924" s="1">
        <v>43080</v>
      </c>
      <c r="D3924" s="2">
        <f t="shared" si="122"/>
        <v>1</v>
      </c>
      <c r="E3924" s="2">
        <f t="shared" si="123"/>
        <v>12</v>
      </c>
      <c r="F3924">
        <v>13.686999999999999</v>
      </c>
      <c r="G3924">
        <v>13.9635</v>
      </c>
      <c r="H3924">
        <v>13.641</v>
      </c>
      <c r="I3924">
        <v>13.9635</v>
      </c>
      <c r="J3924">
        <v>33189</v>
      </c>
      <c r="K3924">
        <v>3.3559999999999999</v>
      </c>
      <c r="L3924">
        <v>2.3649</v>
      </c>
    </row>
    <row r="3925" spans="1:12" hidden="1" x14ac:dyDescent="0.25">
      <c r="A3925">
        <v>2330</v>
      </c>
      <c r="B3925" t="s">
        <v>11</v>
      </c>
      <c r="C3925" s="1">
        <v>43080</v>
      </c>
      <c r="D3925" s="2">
        <f t="shared" si="122"/>
        <v>1</v>
      </c>
      <c r="E3925" s="2">
        <f t="shared" si="123"/>
        <v>12</v>
      </c>
      <c r="F3925">
        <v>208.21100000000001</v>
      </c>
      <c r="G3925">
        <v>208.66659999999999</v>
      </c>
      <c r="H3925">
        <v>206.8442</v>
      </c>
      <c r="I3925">
        <v>207.2998</v>
      </c>
      <c r="J3925">
        <v>20649</v>
      </c>
      <c r="K3925">
        <v>0.22</v>
      </c>
      <c r="L3925">
        <v>0.88109999999999999</v>
      </c>
    </row>
    <row r="3926" spans="1:12" x14ac:dyDescent="0.25">
      <c r="A3926">
        <v>2303</v>
      </c>
      <c r="B3926" t="s">
        <v>10</v>
      </c>
      <c r="C3926" s="1">
        <v>43081</v>
      </c>
      <c r="D3926" s="2">
        <f t="shared" si="122"/>
        <v>2</v>
      </c>
      <c r="E3926" s="2">
        <f t="shared" si="123"/>
        <v>12</v>
      </c>
      <c r="F3926">
        <v>13.9635</v>
      </c>
      <c r="G3926">
        <v>13.9635</v>
      </c>
      <c r="H3926">
        <v>13.686999999999999</v>
      </c>
      <c r="I3926">
        <v>13.779199999999999</v>
      </c>
      <c r="J3926">
        <v>19606</v>
      </c>
      <c r="K3926">
        <v>-1.3289</v>
      </c>
      <c r="L3926">
        <v>2.0202</v>
      </c>
    </row>
    <row r="3927" spans="1:12" hidden="1" x14ac:dyDescent="0.25">
      <c r="A3927">
        <v>2330</v>
      </c>
      <c r="B3927" t="s">
        <v>11</v>
      </c>
      <c r="C3927" s="1">
        <v>43081</v>
      </c>
      <c r="D3927" s="2">
        <f t="shared" si="122"/>
        <v>2</v>
      </c>
      <c r="E3927" s="2">
        <f t="shared" si="123"/>
        <v>12</v>
      </c>
      <c r="F3927">
        <v>209.12219999999999</v>
      </c>
      <c r="G3927">
        <v>209.12219999999999</v>
      </c>
      <c r="H3927">
        <v>205.02180000000001</v>
      </c>
      <c r="I3927">
        <v>207.2998</v>
      </c>
      <c r="J3927">
        <v>28188</v>
      </c>
      <c r="K3927">
        <v>0</v>
      </c>
      <c r="L3927">
        <v>2</v>
      </c>
    </row>
    <row r="3928" spans="1:12" x14ac:dyDescent="0.25">
      <c r="A3928">
        <v>2303</v>
      </c>
      <c r="B3928" t="s">
        <v>10</v>
      </c>
      <c r="C3928" s="1">
        <v>43082</v>
      </c>
      <c r="D3928" s="2">
        <f t="shared" si="122"/>
        <v>3</v>
      </c>
      <c r="E3928" s="2">
        <f t="shared" si="123"/>
        <v>12</v>
      </c>
      <c r="F3928">
        <v>13.7331</v>
      </c>
      <c r="G3928">
        <v>13.779199999999999</v>
      </c>
      <c r="H3928">
        <v>13.641</v>
      </c>
      <c r="I3928">
        <v>13.641</v>
      </c>
      <c r="J3928">
        <v>11375</v>
      </c>
      <c r="K3928">
        <v>-1.0084</v>
      </c>
      <c r="L3928">
        <v>1.0135000000000001</v>
      </c>
    </row>
    <row r="3929" spans="1:12" hidden="1" x14ac:dyDescent="0.25">
      <c r="A3929">
        <v>2330</v>
      </c>
      <c r="B3929" t="s">
        <v>11</v>
      </c>
      <c r="C3929" s="1">
        <v>43082</v>
      </c>
      <c r="D3929" s="2">
        <f t="shared" si="122"/>
        <v>3</v>
      </c>
      <c r="E3929" s="2">
        <f t="shared" si="123"/>
        <v>12</v>
      </c>
      <c r="F3929">
        <v>207.2998</v>
      </c>
      <c r="G3929">
        <v>207.75540000000001</v>
      </c>
      <c r="H3929">
        <v>206.3886</v>
      </c>
      <c r="I3929">
        <v>206.8442</v>
      </c>
      <c r="J3929">
        <v>19619</v>
      </c>
      <c r="K3929">
        <v>-0.22</v>
      </c>
      <c r="L3929">
        <v>0.6623</v>
      </c>
    </row>
    <row r="3930" spans="1:12" x14ac:dyDescent="0.25">
      <c r="A3930">
        <v>2303</v>
      </c>
      <c r="B3930" t="s">
        <v>10</v>
      </c>
      <c r="C3930" s="1">
        <v>43083</v>
      </c>
      <c r="D3930" s="2">
        <f t="shared" si="122"/>
        <v>4</v>
      </c>
      <c r="E3930" s="2">
        <f t="shared" si="123"/>
        <v>12</v>
      </c>
      <c r="F3930">
        <v>13.7331</v>
      </c>
      <c r="G3930">
        <v>13.9635</v>
      </c>
      <c r="H3930">
        <v>13.686999999999999</v>
      </c>
      <c r="I3930">
        <v>13.7331</v>
      </c>
      <c r="J3930">
        <v>41188</v>
      </c>
      <c r="K3930">
        <v>0.6734</v>
      </c>
      <c r="L3930">
        <v>2.0202</v>
      </c>
    </row>
    <row r="3931" spans="1:12" hidden="1" x14ac:dyDescent="0.25">
      <c r="A3931">
        <v>2330</v>
      </c>
      <c r="B3931" t="s">
        <v>11</v>
      </c>
      <c r="C3931" s="1">
        <v>43083</v>
      </c>
      <c r="D3931" s="2">
        <f t="shared" si="122"/>
        <v>4</v>
      </c>
      <c r="E3931" s="2">
        <f t="shared" si="123"/>
        <v>12</v>
      </c>
      <c r="F3931">
        <v>207.75540000000001</v>
      </c>
      <c r="G3931">
        <v>210.0334</v>
      </c>
      <c r="H3931">
        <v>207.2998</v>
      </c>
      <c r="I3931">
        <v>210.0334</v>
      </c>
      <c r="J3931">
        <v>17263</v>
      </c>
      <c r="K3931">
        <v>1.5301</v>
      </c>
      <c r="L3931">
        <v>1.3187</v>
      </c>
    </row>
    <row r="3932" spans="1:12" x14ac:dyDescent="0.25">
      <c r="A3932">
        <v>2303</v>
      </c>
      <c r="B3932" t="s">
        <v>10</v>
      </c>
      <c r="C3932" s="1">
        <v>43084</v>
      </c>
      <c r="D3932" s="2">
        <f t="shared" si="122"/>
        <v>5</v>
      </c>
      <c r="E3932" s="2">
        <f t="shared" si="123"/>
        <v>12</v>
      </c>
      <c r="F3932">
        <v>13.686999999999999</v>
      </c>
      <c r="G3932">
        <v>13.7331</v>
      </c>
      <c r="H3932">
        <v>13.502700000000001</v>
      </c>
      <c r="I3932">
        <v>13.502700000000001</v>
      </c>
      <c r="J3932">
        <v>38377</v>
      </c>
      <c r="K3932">
        <v>-1.6920999999999999</v>
      </c>
      <c r="L3932">
        <v>1.7064999999999999</v>
      </c>
    </row>
    <row r="3933" spans="1:12" hidden="1" x14ac:dyDescent="0.25">
      <c r="A3933">
        <v>2330</v>
      </c>
      <c r="B3933" t="s">
        <v>11</v>
      </c>
      <c r="C3933" s="1">
        <v>43084</v>
      </c>
      <c r="D3933" s="2">
        <f t="shared" si="122"/>
        <v>5</v>
      </c>
      <c r="E3933" s="2">
        <f t="shared" si="123"/>
        <v>12</v>
      </c>
      <c r="F3933">
        <v>208.21100000000001</v>
      </c>
      <c r="G3933">
        <v>209.5778</v>
      </c>
      <c r="H3933">
        <v>206.3886</v>
      </c>
      <c r="I3933">
        <v>209.5778</v>
      </c>
      <c r="J3933">
        <v>42725</v>
      </c>
      <c r="K3933">
        <v>-0.2172</v>
      </c>
      <c r="L3933">
        <v>1.5452999999999999</v>
      </c>
    </row>
    <row r="3934" spans="1:12" x14ac:dyDescent="0.25">
      <c r="A3934">
        <v>2303</v>
      </c>
      <c r="B3934" t="s">
        <v>10</v>
      </c>
      <c r="C3934" s="1">
        <v>43087</v>
      </c>
      <c r="D3934" s="2">
        <f t="shared" si="122"/>
        <v>1</v>
      </c>
      <c r="E3934" s="2">
        <f t="shared" si="123"/>
        <v>12</v>
      </c>
      <c r="F3934">
        <v>13.594900000000001</v>
      </c>
      <c r="G3934">
        <v>13.641</v>
      </c>
      <c r="H3934">
        <v>13.3644</v>
      </c>
      <c r="I3934">
        <v>13.3644</v>
      </c>
      <c r="J3934">
        <v>27103</v>
      </c>
      <c r="K3934">
        <v>-1.0291999999999999</v>
      </c>
      <c r="L3934">
        <v>2.069</v>
      </c>
    </row>
    <row r="3935" spans="1:12" hidden="1" x14ac:dyDescent="0.25">
      <c r="A3935">
        <v>2330</v>
      </c>
      <c r="B3935" t="s">
        <v>11</v>
      </c>
      <c r="C3935" s="1">
        <v>43087</v>
      </c>
      <c r="D3935" s="2">
        <f t="shared" si="122"/>
        <v>1</v>
      </c>
      <c r="E3935" s="2">
        <f t="shared" si="123"/>
        <v>12</v>
      </c>
      <c r="F3935">
        <v>206.8442</v>
      </c>
      <c r="G3935">
        <v>207.75540000000001</v>
      </c>
      <c r="H3935">
        <v>206.3886</v>
      </c>
      <c r="I3935">
        <v>206.8442</v>
      </c>
      <c r="J3935">
        <v>15702</v>
      </c>
      <c r="K3935">
        <v>-1.3129</v>
      </c>
      <c r="L3935">
        <v>0.6623</v>
      </c>
    </row>
    <row r="3936" spans="1:12" x14ac:dyDescent="0.25">
      <c r="A3936">
        <v>2303</v>
      </c>
      <c r="B3936" t="s">
        <v>10</v>
      </c>
      <c r="C3936" s="1">
        <v>43088</v>
      </c>
      <c r="D3936" s="2">
        <f t="shared" si="122"/>
        <v>2</v>
      </c>
      <c r="E3936" s="2">
        <f t="shared" si="123"/>
        <v>12</v>
      </c>
      <c r="F3936">
        <v>13.4566</v>
      </c>
      <c r="G3936">
        <v>13.594900000000001</v>
      </c>
      <c r="H3936">
        <v>13.410500000000001</v>
      </c>
      <c r="I3936">
        <v>13.410500000000001</v>
      </c>
      <c r="J3936">
        <v>26186</v>
      </c>
      <c r="K3936">
        <v>0.34420000000000001</v>
      </c>
      <c r="L3936">
        <v>1.3746</v>
      </c>
    </row>
    <row r="3937" spans="1:12" hidden="1" x14ac:dyDescent="0.25">
      <c r="A3937">
        <v>2330</v>
      </c>
      <c r="B3937" t="s">
        <v>11</v>
      </c>
      <c r="C3937" s="1">
        <v>43088</v>
      </c>
      <c r="D3937" s="2">
        <f t="shared" si="122"/>
        <v>2</v>
      </c>
      <c r="E3937" s="2">
        <f t="shared" si="123"/>
        <v>12</v>
      </c>
      <c r="F3937">
        <v>206.3886</v>
      </c>
      <c r="G3937">
        <v>208.21100000000001</v>
      </c>
      <c r="H3937">
        <v>204.11060000000001</v>
      </c>
      <c r="I3937">
        <v>205.02180000000001</v>
      </c>
      <c r="J3937">
        <v>25899</v>
      </c>
      <c r="K3937">
        <v>-0.88500000000000001</v>
      </c>
      <c r="L3937">
        <v>2.0089000000000001</v>
      </c>
    </row>
    <row r="3938" spans="1:12" x14ac:dyDescent="0.25">
      <c r="A3938">
        <v>2303</v>
      </c>
      <c r="B3938" t="s">
        <v>10</v>
      </c>
      <c r="C3938" s="1">
        <v>43089</v>
      </c>
      <c r="D3938" s="2">
        <f t="shared" si="122"/>
        <v>3</v>
      </c>
      <c r="E3938" s="2">
        <f t="shared" si="123"/>
        <v>12</v>
      </c>
      <c r="F3938">
        <v>13.410500000000001</v>
      </c>
      <c r="G3938">
        <v>13.5488</v>
      </c>
      <c r="H3938">
        <v>13.3644</v>
      </c>
      <c r="I3938">
        <v>13.4566</v>
      </c>
      <c r="J3938">
        <v>17598</v>
      </c>
      <c r="K3938">
        <v>0.34310000000000002</v>
      </c>
      <c r="L3938">
        <v>1.3793</v>
      </c>
    </row>
    <row r="3939" spans="1:12" hidden="1" x14ac:dyDescent="0.25">
      <c r="A3939">
        <v>2330</v>
      </c>
      <c r="B3939" t="s">
        <v>11</v>
      </c>
      <c r="C3939" s="1">
        <v>43089</v>
      </c>
      <c r="D3939" s="2">
        <f t="shared" si="122"/>
        <v>3</v>
      </c>
      <c r="E3939" s="2">
        <f t="shared" si="123"/>
        <v>12</v>
      </c>
      <c r="F3939">
        <v>205.02180000000001</v>
      </c>
      <c r="G3939">
        <v>205.47739999999999</v>
      </c>
      <c r="H3939">
        <v>203.655</v>
      </c>
      <c r="I3939">
        <v>204.56620000000001</v>
      </c>
      <c r="J3939">
        <v>34514</v>
      </c>
      <c r="K3939">
        <v>-0.2225</v>
      </c>
      <c r="L3939">
        <v>0.89490000000000003</v>
      </c>
    </row>
    <row r="3940" spans="1:12" x14ac:dyDescent="0.25">
      <c r="A3940">
        <v>2303</v>
      </c>
      <c r="B3940" t="s">
        <v>10</v>
      </c>
      <c r="C3940" s="1">
        <v>43090</v>
      </c>
      <c r="D3940" s="2">
        <f t="shared" si="122"/>
        <v>4</v>
      </c>
      <c r="E3940" s="2">
        <f t="shared" si="123"/>
        <v>12</v>
      </c>
      <c r="F3940">
        <v>13.4566</v>
      </c>
      <c r="G3940">
        <v>13.5488</v>
      </c>
      <c r="H3940">
        <v>13.2723</v>
      </c>
      <c r="I3940">
        <v>13.3184</v>
      </c>
      <c r="J3940">
        <v>34815</v>
      </c>
      <c r="K3940">
        <v>-1.0327</v>
      </c>
      <c r="L3940">
        <v>2.0832999999999999</v>
      </c>
    </row>
    <row r="3941" spans="1:12" hidden="1" x14ac:dyDescent="0.25">
      <c r="A3941">
        <v>2330</v>
      </c>
      <c r="B3941" t="s">
        <v>11</v>
      </c>
      <c r="C3941" s="1">
        <v>43090</v>
      </c>
      <c r="D3941" s="2">
        <f t="shared" si="122"/>
        <v>4</v>
      </c>
      <c r="E3941" s="2">
        <f t="shared" si="123"/>
        <v>12</v>
      </c>
      <c r="F3941">
        <v>206.3886</v>
      </c>
      <c r="G3941">
        <v>206.8442</v>
      </c>
      <c r="H3941">
        <v>204.56620000000001</v>
      </c>
      <c r="I3941">
        <v>205.02180000000001</v>
      </c>
      <c r="J3941">
        <v>20826</v>
      </c>
      <c r="K3941">
        <v>0.2225</v>
      </c>
      <c r="L3941">
        <v>1.1135999999999999</v>
      </c>
    </row>
    <row r="3942" spans="1:12" x14ac:dyDescent="0.25">
      <c r="A3942">
        <v>2303</v>
      </c>
      <c r="B3942" t="s">
        <v>10</v>
      </c>
      <c r="C3942" s="1">
        <v>43091</v>
      </c>
      <c r="D3942" s="2">
        <f t="shared" si="122"/>
        <v>5</v>
      </c>
      <c r="E3942" s="2">
        <f t="shared" si="123"/>
        <v>12</v>
      </c>
      <c r="F3942">
        <v>13.3644</v>
      </c>
      <c r="G3942">
        <v>13.3644</v>
      </c>
      <c r="H3942">
        <v>13.180099999999999</v>
      </c>
      <c r="I3942">
        <v>13.2723</v>
      </c>
      <c r="J3942">
        <v>32325</v>
      </c>
      <c r="K3942">
        <v>-0.34660000000000002</v>
      </c>
      <c r="L3942">
        <v>1.3986000000000001</v>
      </c>
    </row>
    <row r="3943" spans="1:12" hidden="1" x14ac:dyDescent="0.25">
      <c r="A3943">
        <v>2330</v>
      </c>
      <c r="B3943" t="s">
        <v>11</v>
      </c>
      <c r="C3943" s="1">
        <v>43091</v>
      </c>
      <c r="D3943" s="2">
        <f t="shared" si="122"/>
        <v>5</v>
      </c>
      <c r="E3943" s="2">
        <f t="shared" si="123"/>
        <v>12</v>
      </c>
      <c r="F3943">
        <v>205.02180000000001</v>
      </c>
      <c r="G3943">
        <v>207.2998</v>
      </c>
      <c r="H3943">
        <v>204.11060000000001</v>
      </c>
      <c r="I3943">
        <v>207.2998</v>
      </c>
      <c r="J3943">
        <v>19106</v>
      </c>
      <c r="K3943">
        <v>1.105</v>
      </c>
      <c r="L3943">
        <v>1.5625</v>
      </c>
    </row>
    <row r="3944" spans="1:12" x14ac:dyDescent="0.25">
      <c r="A3944">
        <v>2303</v>
      </c>
      <c r="B3944" t="s">
        <v>10</v>
      </c>
      <c r="C3944" s="1">
        <v>43094</v>
      </c>
      <c r="D3944" s="2">
        <f t="shared" si="122"/>
        <v>1</v>
      </c>
      <c r="E3944" s="2">
        <f t="shared" si="123"/>
        <v>12</v>
      </c>
      <c r="F3944">
        <v>13.3184</v>
      </c>
      <c r="G3944">
        <v>13.3644</v>
      </c>
      <c r="H3944">
        <v>13.2723</v>
      </c>
      <c r="I3944">
        <v>13.3184</v>
      </c>
      <c r="J3944">
        <v>8019</v>
      </c>
      <c r="K3944">
        <v>0.34660000000000002</v>
      </c>
      <c r="L3944">
        <v>0.69440000000000002</v>
      </c>
    </row>
    <row r="3945" spans="1:12" hidden="1" x14ac:dyDescent="0.25">
      <c r="A3945">
        <v>2330</v>
      </c>
      <c r="B3945" t="s">
        <v>11</v>
      </c>
      <c r="C3945" s="1">
        <v>43094</v>
      </c>
      <c r="D3945" s="2">
        <f t="shared" si="122"/>
        <v>1</v>
      </c>
      <c r="E3945" s="2">
        <f t="shared" si="123"/>
        <v>12</v>
      </c>
      <c r="F3945">
        <v>207.75540000000001</v>
      </c>
      <c r="G3945">
        <v>209.12219999999999</v>
      </c>
      <c r="H3945">
        <v>206.3886</v>
      </c>
      <c r="I3945">
        <v>208.21100000000001</v>
      </c>
      <c r="J3945">
        <v>4579</v>
      </c>
      <c r="K3945">
        <v>0.43859999999999999</v>
      </c>
      <c r="L3945">
        <v>1.3245</v>
      </c>
    </row>
    <row r="3946" spans="1:12" x14ac:dyDescent="0.25">
      <c r="A3946">
        <v>2303</v>
      </c>
      <c r="B3946" t="s">
        <v>10</v>
      </c>
      <c r="C3946" s="1">
        <v>43095</v>
      </c>
      <c r="D3946" s="2">
        <f t="shared" si="122"/>
        <v>2</v>
      </c>
      <c r="E3946" s="2">
        <f t="shared" si="123"/>
        <v>12</v>
      </c>
      <c r="F3946">
        <v>13.3184</v>
      </c>
      <c r="G3946">
        <v>13.3644</v>
      </c>
      <c r="H3946">
        <v>12.9497</v>
      </c>
      <c r="I3946">
        <v>12.9497</v>
      </c>
      <c r="J3946">
        <v>29369</v>
      </c>
      <c r="K3946">
        <v>-2.8071999999999999</v>
      </c>
      <c r="L3946">
        <v>3.2027999999999999</v>
      </c>
    </row>
    <row r="3947" spans="1:12" hidden="1" x14ac:dyDescent="0.25">
      <c r="A3947">
        <v>2330</v>
      </c>
      <c r="B3947" t="s">
        <v>11</v>
      </c>
      <c r="C3947" s="1">
        <v>43095</v>
      </c>
      <c r="D3947" s="2">
        <f t="shared" si="122"/>
        <v>2</v>
      </c>
      <c r="E3947" s="2">
        <f t="shared" si="123"/>
        <v>12</v>
      </c>
      <c r="F3947">
        <v>208.66659999999999</v>
      </c>
      <c r="G3947">
        <v>208.66659999999999</v>
      </c>
      <c r="H3947">
        <v>205.02180000000001</v>
      </c>
      <c r="I3947">
        <v>205.93299999999999</v>
      </c>
      <c r="J3947">
        <v>13755</v>
      </c>
      <c r="K3947">
        <v>-1.1001000000000001</v>
      </c>
      <c r="L3947">
        <v>1.7778</v>
      </c>
    </row>
    <row r="3948" spans="1:12" x14ac:dyDescent="0.25">
      <c r="A3948">
        <v>2303</v>
      </c>
      <c r="B3948" t="s">
        <v>10</v>
      </c>
      <c r="C3948" s="1">
        <v>43096</v>
      </c>
      <c r="D3948" s="2">
        <f t="shared" si="122"/>
        <v>3</v>
      </c>
      <c r="E3948" s="2">
        <f t="shared" si="123"/>
        <v>12</v>
      </c>
      <c r="F3948">
        <v>12.995799999999999</v>
      </c>
      <c r="G3948">
        <v>13.134</v>
      </c>
      <c r="H3948">
        <v>12.995799999999999</v>
      </c>
      <c r="I3948">
        <v>13.087899999999999</v>
      </c>
      <c r="J3948">
        <v>16454</v>
      </c>
      <c r="K3948">
        <v>1.0620000000000001</v>
      </c>
      <c r="L3948">
        <v>1.0638000000000001</v>
      </c>
    </row>
    <row r="3949" spans="1:12" hidden="1" x14ac:dyDescent="0.25">
      <c r="A3949">
        <v>2330</v>
      </c>
      <c r="B3949" t="s">
        <v>11</v>
      </c>
      <c r="C3949" s="1">
        <v>43096</v>
      </c>
      <c r="D3949" s="2">
        <f t="shared" si="122"/>
        <v>3</v>
      </c>
      <c r="E3949" s="2">
        <f t="shared" si="123"/>
        <v>12</v>
      </c>
      <c r="F3949">
        <v>205.02180000000001</v>
      </c>
      <c r="G3949">
        <v>205.93299999999999</v>
      </c>
      <c r="H3949">
        <v>205.02180000000001</v>
      </c>
      <c r="I3949">
        <v>205.02180000000001</v>
      </c>
      <c r="J3949">
        <v>12515</v>
      </c>
      <c r="K3949">
        <v>-0.44350000000000001</v>
      </c>
      <c r="L3949">
        <v>0.44440000000000002</v>
      </c>
    </row>
    <row r="3950" spans="1:12" x14ac:dyDescent="0.25">
      <c r="A3950">
        <v>2303</v>
      </c>
      <c r="B3950" t="s">
        <v>10</v>
      </c>
      <c r="C3950" s="1">
        <v>43097</v>
      </c>
      <c r="D3950" s="2">
        <f t="shared" si="122"/>
        <v>4</v>
      </c>
      <c r="E3950" s="2">
        <f t="shared" si="123"/>
        <v>12</v>
      </c>
      <c r="F3950">
        <v>13.087899999999999</v>
      </c>
      <c r="G3950">
        <v>13.2723</v>
      </c>
      <c r="H3950">
        <v>13.0419</v>
      </c>
      <c r="I3950">
        <v>13.180099999999999</v>
      </c>
      <c r="J3950">
        <v>20198</v>
      </c>
      <c r="K3950">
        <v>0.70179999999999998</v>
      </c>
      <c r="L3950">
        <v>1.7667999999999999</v>
      </c>
    </row>
    <row r="3951" spans="1:12" hidden="1" x14ac:dyDescent="0.25">
      <c r="A3951">
        <v>2330</v>
      </c>
      <c r="B3951" t="s">
        <v>11</v>
      </c>
      <c r="C3951" s="1">
        <v>43097</v>
      </c>
      <c r="D3951" s="2">
        <f t="shared" si="122"/>
        <v>4</v>
      </c>
      <c r="E3951" s="2">
        <f t="shared" si="123"/>
        <v>12</v>
      </c>
      <c r="F3951">
        <v>206.3886</v>
      </c>
      <c r="G3951">
        <v>207.75540000000001</v>
      </c>
      <c r="H3951">
        <v>205.02180000000001</v>
      </c>
      <c r="I3951">
        <v>205.93299999999999</v>
      </c>
      <c r="J3951">
        <v>24370</v>
      </c>
      <c r="K3951">
        <v>0.44350000000000001</v>
      </c>
      <c r="L3951">
        <v>1.3332999999999999</v>
      </c>
    </row>
    <row r="3952" spans="1:12" x14ac:dyDescent="0.25">
      <c r="A3952">
        <v>2303</v>
      </c>
      <c r="B3952" t="s">
        <v>10</v>
      </c>
      <c r="C3952" s="1">
        <v>43098</v>
      </c>
      <c r="D3952" s="2">
        <f t="shared" si="122"/>
        <v>5</v>
      </c>
      <c r="E3952" s="2">
        <f t="shared" si="123"/>
        <v>12</v>
      </c>
      <c r="F3952">
        <v>13.180099999999999</v>
      </c>
      <c r="G3952">
        <v>13.3184</v>
      </c>
      <c r="H3952">
        <v>13.0419</v>
      </c>
      <c r="I3952">
        <v>13.087899999999999</v>
      </c>
      <c r="J3952">
        <v>33797</v>
      </c>
      <c r="K3952">
        <v>-0.70179999999999998</v>
      </c>
      <c r="L3952">
        <v>2.1200999999999999</v>
      </c>
    </row>
    <row r="3953" spans="1:12" hidden="1" x14ac:dyDescent="0.25">
      <c r="A3953">
        <v>2330</v>
      </c>
      <c r="B3953" t="s">
        <v>11</v>
      </c>
      <c r="C3953" s="1">
        <v>43098</v>
      </c>
      <c r="D3953" s="2">
        <f t="shared" si="122"/>
        <v>5</v>
      </c>
      <c r="E3953" s="2">
        <f t="shared" si="123"/>
        <v>12</v>
      </c>
      <c r="F3953">
        <v>207.2998</v>
      </c>
      <c r="G3953">
        <v>209.5778</v>
      </c>
      <c r="H3953">
        <v>206.3886</v>
      </c>
      <c r="I3953">
        <v>209.12219999999999</v>
      </c>
      <c r="J3953">
        <v>25610</v>
      </c>
      <c r="K3953">
        <v>1.5367999999999999</v>
      </c>
      <c r="L3953">
        <v>1.5452999999999999</v>
      </c>
    </row>
    <row r="3954" spans="1:12" x14ac:dyDescent="0.25">
      <c r="A3954">
        <v>2303</v>
      </c>
      <c r="B3954" t="s">
        <v>10</v>
      </c>
      <c r="C3954" s="1">
        <v>43102</v>
      </c>
      <c r="D3954" s="2">
        <f t="shared" si="122"/>
        <v>2</v>
      </c>
      <c r="E3954" s="2">
        <f t="shared" si="123"/>
        <v>1</v>
      </c>
      <c r="F3954">
        <v>13.087899999999999</v>
      </c>
      <c r="G3954">
        <v>13.180099999999999</v>
      </c>
      <c r="H3954">
        <v>13.0419</v>
      </c>
      <c r="I3954">
        <v>13.134</v>
      </c>
      <c r="J3954">
        <v>16608</v>
      </c>
      <c r="K3954">
        <v>0.35149999999999998</v>
      </c>
      <c r="L3954">
        <v>1.0601</v>
      </c>
    </row>
    <row r="3955" spans="1:12" hidden="1" x14ac:dyDescent="0.25">
      <c r="A3955">
        <v>2330</v>
      </c>
      <c r="B3955" t="s">
        <v>11</v>
      </c>
      <c r="C3955" s="1">
        <v>43102</v>
      </c>
      <c r="D3955" s="2">
        <f t="shared" si="122"/>
        <v>2</v>
      </c>
      <c r="E3955" s="2">
        <f t="shared" si="123"/>
        <v>1</v>
      </c>
      <c r="F3955">
        <v>210.94470000000001</v>
      </c>
      <c r="G3955">
        <v>211.85589999999999</v>
      </c>
      <c r="H3955">
        <v>210.489</v>
      </c>
      <c r="I3955">
        <v>211.85589999999999</v>
      </c>
      <c r="J3955">
        <v>18055</v>
      </c>
      <c r="K3955">
        <v>1.2987</v>
      </c>
      <c r="L3955">
        <v>0.64939999999999998</v>
      </c>
    </row>
    <row r="3956" spans="1:12" x14ac:dyDescent="0.25">
      <c r="A3956">
        <v>2303</v>
      </c>
      <c r="B3956" t="s">
        <v>10</v>
      </c>
      <c r="C3956" s="1">
        <v>43103</v>
      </c>
      <c r="D3956" s="2">
        <f t="shared" si="122"/>
        <v>3</v>
      </c>
      <c r="E3956" s="2">
        <f t="shared" si="123"/>
        <v>1</v>
      </c>
      <c r="F3956">
        <v>13.2723</v>
      </c>
      <c r="G3956">
        <v>13.4566</v>
      </c>
      <c r="H3956">
        <v>13.2262</v>
      </c>
      <c r="I3956">
        <v>13.2723</v>
      </c>
      <c r="J3956">
        <v>56967</v>
      </c>
      <c r="K3956">
        <v>1.0470999999999999</v>
      </c>
      <c r="L3956">
        <v>1.7422</v>
      </c>
    </row>
    <row r="3957" spans="1:12" hidden="1" x14ac:dyDescent="0.25">
      <c r="A3957">
        <v>2330</v>
      </c>
      <c r="B3957" t="s">
        <v>11</v>
      </c>
      <c r="C3957" s="1">
        <v>43103</v>
      </c>
      <c r="D3957" s="2">
        <f t="shared" si="122"/>
        <v>3</v>
      </c>
      <c r="E3957" s="2">
        <f t="shared" si="123"/>
        <v>1</v>
      </c>
      <c r="F3957">
        <v>215.04509999999999</v>
      </c>
      <c r="G3957">
        <v>216.86750000000001</v>
      </c>
      <c r="H3957">
        <v>214.58949999999999</v>
      </c>
      <c r="I3957">
        <v>215.9563</v>
      </c>
      <c r="J3957">
        <v>31706</v>
      </c>
      <c r="K3957">
        <v>1.917</v>
      </c>
      <c r="L3957">
        <v>1.0616000000000001</v>
      </c>
    </row>
    <row r="3958" spans="1:12" x14ac:dyDescent="0.25">
      <c r="A3958">
        <v>2303</v>
      </c>
      <c r="B3958" t="s">
        <v>10</v>
      </c>
      <c r="C3958" s="1">
        <v>43104</v>
      </c>
      <c r="D3958" s="2">
        <f t="shared" si="122"/>
        <v>4</v>
      </c>
      <c r="E3958" s="2">
        <f t="shared" si="123"/>
        <v>1</v>
      </c>
      <c r="F3958">
        <v>13.2723</v>
      </c>
      <c r="G3958">
        <v>13.3644</v>
      </c>
      <c r="H3958">
        <v>13.134</v>
      </c>
      <c r="I3958">
        <v>13.2262</v>
      </c>
      <c r="J3958">
        <v>32656</v>
      </c>
      <c r="K3958">
        <v>-0.3478</v>
      </c>
      <c r="L3958">
        <v>1.7544</v>
      </c>
    </row>
    <row r="3959" spans="1:12" hidden="1" x14ac:dyDescent="0.25">
      <c r="A3959">
        <v>2330</v>
      </c>
      <c r="B3959" t="s">
        <v>11</v>
      </c>
      <c r="C3959" s="1">
        <v>43104</v>
      </c>
      <c r="D3959" s="2">
        <f t="shared" si="122"/>
        <v>4</v>
      </c>
      <c r="E3959" s="2">
        <f t="shared" si="123"/>
        <v>1</v>
      </c>
      <c r="F3959">
        <v>218.68989999999999</v>
      </c>
      <c r="G3959">
        <v>218.68989999999999</v>
      </c>
      <c r="H3959">
        <v>215.50069999999999</v>
      </c>
      <c r="I3959">
        <v>218.23429999999999</v>
      </c>
      <c r="J3959">
        <v>29179</v>
      </c>
      <c r="K3959">
        <v>1.0492999999999999</v>
      </c>
      <c r="L3959">
        <v>1.4799</v>
      </c>
    </row>
    <row r="3960" spans="1:12" x14ac:dyDescent="0.25">
      <c r="A3960">
        <v>2303</v>
      </c>
      <c r="B3960" t="s">
        <v>10</v>
      </c>
      <c r="C3960" s="1">
        <v>43105</v>
      </c>
      <c r="D3960" s="2">
        <f t="shared" si="122"/>
        <v>5</v>
      </c>
      <c r="E3960" s="2">
        <f t="shared" si="123"/>
        <v>1</v>
      </c>
      <c r="F3960">
        <v>13.2723</v>
      </c>
      <c r="G3960">
        <v>13.410500000000001</v>
      </c>
      <c r="H3960">
        <v>13.2262</v>
      </c>
      <c r="I3960">
        <v>13.410500000000001</v>
      </c>
      <c r="J3960">
        <v>41523</v>
      </c>
      <c r="K3960">
        <v>1.3841000000000001</v>
      </c>
      <c r="L3960">
        <v>1.3936999999999999</v>
      </c>
    </row>
    <row r="3961" spans="1:12" hidden="1" x14ac:dyDescent="0.25">
      <c r="A3961">
        <v>2330</v>
      </c>
      <c r="B3961" t="s">
        <v>11</v>
      </c>
      <c r="C3961" s="1">
        <v>43105</v>
      </c>
      <c r="D3961" s="2">
        <f t="shared" si="122"/>
        <v>5</v>
      </c>
      <c r="E3961" s="2">
        <f t="shared" si="123"/>
        <v>1</v>
      </c>
      <c r="F3961">
        <v>218.68989999999999</v>
      </c>
      <c r="G3961">
        <v>218.68989999999999</v>
      </c>
      <c r="H3961">
        <v>216.86750000000001</v>
      </c>
      <c r="I3961">
        <v>218.68989999999999</v>
      </c>
      <c r="J3961">
        <v>23721</v>
      </c>
      <c r="K3961">
        <v>0.20860000000000001</v>
      </c>
      <c r="L3961">
        <v>0.84030000000000005</v>
      </c>
    </row>
    <row r="3962" spans="1:12" x14ac:dyDescent="0.25">
      <c r="A3962">
        <v>2303</v>
      </c>
      <c r="B3962" t="s">
        <v>10</v>
      </c>
      <c r="C3962" s="1">
        <v>43108</v>
      </c>
      <c r="D3962" s="2">
        <f t="shared" si="122"/>
        <v>1</v>
      </c>
      <c r="E3962" s="2">
        <f t="shared" si="123"/>
        <v>1</v>
      </c>
      <c r="F3962">
        <v>13.410500000000001</v>
      </c>
      <c r="G3962">
        <v>13.5488</v>
      </c>
      <c r="H3962">
        <v>13.3184</v>
      </c>
      <c r="I3962">
        <v>13.5488</v>
      </c>
      <c r="J3962">
        <v>49586</v>
      </c>
      <c r="K3962">
        <v>1.0257000000000001</v>
      </c>
      <c r="L3962">
        <v>1.7301</v>
      </c>
    </row>
    <row r="3963" spans="1:12" hidden="1" x14ac:dyDescent="0.25">
      <c r="A3963">
        <v>2330</v>
      </c>
      <c r="B3963" t="s">
        <v>11</v>
      </c>
      <c r="C3963" s="1">
        <v>43108</v>
      </c>
      <c r="D3963" s="2">
        <f t="shared" si="122"/>
        <v>1</v>
      </c>
      <c r="E3963" s="2">
        <f t="shared" si="123"/>
        <v>1</v>
      </c>
      <c r="F3963">
        <v>220.51230000000001</v>
      </c>
      <c r="G3963">
        <v>220.96789999999999</v>
      </c>
      <c r="H3963">
        <v>219.1455</v>
      </c>
      <c r="I3963">
        <v>220.51230000000001</v>
      </c>
      <c r="J3963">
        <v>21846</v>
      </c>
      <c r="K3963">
        <v>0.82989999999999997</v>
      </c>
      <c r="L3963">
        <v>0.83160000000000001</v>
      </c>
    </row>
    <row r="3964" spans="1:12" x14ac:dyDescent="0.25">
      <c r="A3964">
        <v>2303</v>
      </c>
      <c r="B3964" t="s">
        <v>10</v>
      </c>
      <c r="C3964" s="1">
        <v>43109</v>
      </c>
      <c r="D3964" s="2">
        <f t="shared" si="122"/>
        <v>2</v>
      </c>
      <c r="E3964" s="2">
        <f t="shared" si="123"/>
        <v>1</v>
      </c>
      <c r="F3964">
        <v>13.502700000000001</v>
      </c>
      <c r="G3964">
        <v>13.594900000000001</v>
      </c>
      <c r="H3964">
        <v>13.410500000000001</v>
      </c>
      <c r="I3964">
        <v>13.594900000000001</v>
      </c>
      <c r="J3964">
        <v>27627</v>
      </c>
      <c r="K3964">
        <v>0.33960000000000001</v>
      </c>
      <c r="L3964">
        <v>1.3746</v>
      </c>
    </row>
    <row r="3965" spans="1:12" hidden="1" x14ac:dyDescent="0.25">
      <c r="A3965">
        <v>2330</v>
      </c>
      <c r="B3965" t="s">
        <v>11</v>
      </c>
      <c r="C3965" s="1">
        <v>43109</v>
      </c>
      <c r="D3965" s="2">
        <f t="shared" si="122"/>
        <v>2</v>
      </c>
      <c r="E3965" s="2">
        <f t="shared" si="123"/>
        <v>1</v>
      </c>
      <c r="F3965">
        <v>220.51230000000001</v>
      </c>
      <c r="G3965">
        <v>220.51230000000001</v>
      </c>
      <c r="H3965">
        <v>218.23429999999999</v>
      </c>
      <c r="I3965">
        <v>220.51230000000001</v>
      </c>
      <c r="J3965">
        <v>19043</v>
      </c>
      <c r="K3965">
        <v>0</v>
      </c>
      <c r="L3965">
        <v>1.0438000000000001</v>
      </c>
    </row>
    <row r="3966" spans="1:12" x14ac:dyDescent="0.25">
      <c r="A3966">
        <v>2303</v>
      </c>
      <c r="B3966" t="s">
        <v>10</v>
      </c>
      <c r="C3966" s="1">
        <v>43110</v>
      </c>
      <c r="D3966" s="2">
        <f t="shared" si="122"/>
        <v>3</v>
      </c>
      <c r="E3966" s="2">
        <f t="shared" si="123"/>
        <v>1</v>
      </c>
      <c r="F3966">
        <v>13.502700000000001</v>
      </c>
      <c r="G3966">
        <v>13.5488</v>
      </c>
      <c r="H3966">
        <v>12.995799999999999</v>
      </c>
      <c r="I3966">
        <v>13.087899999999999</v>
      </c>
      <c r="J3966">
        <v>55622</v>
      </c>
      <c r="K3966">
        <v>-3.8001</v>
      </c>
      <c r="L3966">
        <v>4.2553000000000001</v>
      </c>
    </row>
    <row r="3967" spans="1:12" hidden="1" x14ac:dyDescent="0.25">
      <c r="A3967">
        <v>2330</v>
      </c>
      <c r="B3967" t="s">
        <v>11</v>
      </c>
      <c r="C3967" s="1">
        <v>43110</v>
      </c>
      <c r="D3967" s="2">
        <f t="shared" si="122"/>
        <v>3</v>
      </c>
      <c r="E3967" s="2">
        <f t="shared" si="123"/>
        <v>1</v>
      </c>
      <c r="F3967">
        <v>220.05670000000001</v>
      </c>
      <c r="G3967">
        <v>220.51230000000001</v>
      </c>
      <c r="H3967">
        <v>215.04509999999999</v>
      </c>
      <c r="I3967">
        <v>215.50069999999999</v>
      </c>
      <c r="J3967">
        <v>25716</v>
      </c>
      <c r="K3967">
        <v>-2.2989999999999999</v>
      </c>
      <c r="L3967">
        <v>2.5424000000000002</v>
      </c>
    </row>
    <row r="3968" spans="1:12" x14ac:dyDescent="0.25">
      <c r="A3968">
        <v>2303</v>
      </c>
      <c r="B3968" t="s">
        <v>10</v>
      </c>
      <c r="C3968" s="1">
        <v>43111</v>
      </c>
      <c r="D3968" s="2">
        <f t="shared" si="122"/>
        <v>4</v>
      </c>
      <c r="E3968" s="2">
        <f t="shared" si="123"/>
        <v>1</v>
      </c>
      <c r="F3968">
        <v>13.0419</v>
      </c>
      <c r="G3968">
        <v>13.087899999999999</v>
      </c>
      <c r="H3968">
        <v>12.811400000000001</v>
      </c>
      <c r="I3968">
        <v>12.903600000000001</v>
      </c>
      <c r="J3968">
        <v>51795</v>
      </c>
      <c r="K3968">
        <v>-1.4185000000000001</v>
      </c>
      <c r="L3968">
        <v>2.1583000000000001</v>
      </c>
    </row>
    <row r="3969" spans="1:12" hidden="1" x14ac:dyDescent="0.25">
      <c r="A3969">
        <v>2330</v>
      </c>
      <c r="B3969" t="s">
        <v>11</v>
      </c>
      <c r="C3969" s="1">
        <v>43111</v>
      </c>
      <c r="D3969" s="2">
        <f t="shared" si="122"/>
        <v>4</v>
      </c>
      <c r="E3969" s="2">
        <f t="shared" si="123"/>
        <v>1</v>
      </c>
      <c r="F3969">
        <v>214.13390000000001</v>
      </c>
      <c r="G3969">
        <v>215.04509999999999</v>
      </c>
      <c r="H3969">
        <v>211.85589999999999</v>
      </c>
      <c r="I3969">
        <v>214.13390000000001</v>
      </c>
      <c r="J3969">
        <v>32070</v>
      </c>
      <c r="K3969">
        <v>-0.63629999999999998</v>
      </c>
      <c r="L3969">
        <v>1.5054000000000001</v>
      </c>
    </row>
    <row r="3970" spans="1:12" x14ac:dyDescent="0.25">
      <c r="A3970">
        <v>2303</v>
      </c>
      <c r="B3970" t="s">
        <v>10</v>
      </c>
      <c r="C3970" s="1">
        <v>43112</v>
      </c>
      <c r="D3970" s="2">
        <f t="shared" si="122"/>
        <v>5</v>
      </c>
      <c r="E3970" s="2">
        <f t="shared" si="123"/>
        <v>1</v>
      </c>
      <c r="F3970">
        <v>12.9497</v>
      </c>
      <c r="G3970">
        <v>13.180099999999999</v>
      </c>
      <c r="H3970">
        <v>12.903600000000001</v>
      </c>
      <c r="I3970">
        <v>13.087899999999999</v>
      </c>
      <c r="J3970">
        <v>51589</v>
      </c>
      <c r="K3970">
        <v>1.4185000000000001</v>
      </c>
      <c r="L3970">
        <v>2.1429</v>
      </c>
    </row>
    <row r="3971" spans="1:12" hidden="1" x14ac:dyDescent="0.25">
      <c r="A3971">
        <v>2330</v>
      </c>
      <c r="B3971" t="s">
        <v>11</v>
      </c>
      <c r="C3971" s="1">
        <v>43112</v>
      </c>
      <c r="D3971" s="2">
        <f t="shared" ref="D3971:D4034" si="124">WEEKDAY(C3971,2)</f>
        <v>5</v>
      </c>
      <c r="E3971" s="2">
        <f t="shared" ref="E3971:E4034" si="125">MONTH(C3971)</f>
        <v>1</v>
      </c>
      <c r="F3971">
        <v>213.67830000000001</v>
      </c>
      <c r="G3971">
        <v>216.86750000000001</v>
      </c>
      <c r="H3971">
        <v>212.7671</v>
      </c>
      <c r="I3971">
        <v>215.9563</v>
      </c>
      <c r="J3971">
        <v>23141</v>
      </c>
      <c r="K3971">
        <v>0.84750000000000003</v>
      </c>
      <c r="L3971">
        <v>1.9272</v>
      </c>
    </row>
    <row r="3972" spans="1:12" x14ac:dyDescent="0.25">
      <c r="A3972">
        <v>2303</v>
      </c>
      <c r="B3972" t="s">
        <v>10</v>
      </c>
      <c r="C3972" s="1">
        <v>43115</v>
      </c>
      <c r="D3972" s="2">
        <f t="shared" si="124"/>
        <v>1</v>
      </c>
      <c r="E3972" s="2">
        <f t="shared" si="125"/>
        <v>1</v>
      </c>
      <c r="F3972">
        <v>13.134</v>
      </c>
      <c r="G3972">
        <v>13.2262</v>
      </c>
      <c r="H3972">
        <v>13.087899999999999</v>
      </c>
      <c r="I3972">
        <v>13.180099999999999</v>
      </c>
      <c r="J3972">
        <v>21464</v>
      </c>
      <c r="K3972">
        <v>0.70179999999999998</v>
      </c>
      <c r="L3972">
        <v>1.0563</v>
      </c>
    </row>
    <row r="3973" spans="1:12" hidden="1" x14ac:dyDescent="0.25">
      <c r="A3973">
        <v>2330</v>
      </c>
      <c r="B3973" t="s">
        <v>11</v>
      </c>
      <c r="C3973" s="1">
        <v>43115</v>
      </c>
      <c r="D3973" s="2">
        <f t="shared" si="124"/>
        <v>1</v>
      </c>
      <c r="E3973" s="2">
        <f t="shared" si="125"/>
        <v>1</v>
      </c>
      <c r="F3973">
        <v>218.68989999999999</v>
      </c>
      <c r="G3973">
        <v>218.68989999999999</v>
      </c>
      <c r="H3973">
        <v>216.86750000000001</v>
      </c>
      <c r="I3973">
        <v>218.68989999999999</v>
      </c>
      <c r="J3973">
        <v>28576</v>
      </c>
      <c r="K3973">
        <v>1.2579</v>
      </c>
      <c r="L3973">
        <v>0.84030000000000005</v>
      </c>
    </row>
    <row r="3974" spans="1:12" x14ac:dyDescent="0.25">
      <c r="A3974">
        <v>2303</v>
      </c>
      <c r="B3974" t="s">
        <v>10</v>
      </c>
      <c r="C3974" s="1">
        <v>43116</v>
      </c>
      <c r="D3974" s="2">
        <f t="shared" si="124"/>
        <v>2</v>
      </c>
      <c r="E3974" s="2">
        <f t="shared" si="125"/>
        <v>1</v>
      </c>
      <c r="F3974">
        <v>13.180099999999999</v>
      </c>
      <c r="G3974">
        <v>13.180099999999999</v>
      </c>
      <c r="H3974">
        <v>13.0419</v>
      </c>
      <c r="I3974">
        <v>13.180099999999999</v>
      </c>
      <c r="J3974">
        <v>26699</v>
      </c>
      <c r="K3974">
        <v>0</v>
      </c>
      <c r="L3974">
        <v>1.0601</v>
      </c>
    </row>
    <row r="3975" spans="1:12" hidden="1" x14ac:dyDescent="0.25">
      <c r="A3975">
        <v>2330</v>
      </c>
      <c r="B3975" t="s">
        <v>11</v>
      </c>
      <c r="C3975" s="1">
        <v>43116</v>
      </c>
      <c r="D3975" s="2">
        <f t="shared" si="124"/>
        <v>2</v>
      </c>
      <c r="E3975" s="2">
        <f t="shared" si="125"/>
        <v>1</v>
      </c>
      <c r="F3975">
        <v>218.68989999999999</v>
      </c>
      <c r="G3975">
        <v>219.1455</v>
      </c>
      <c r="H3975">
        <v>216.86750000000001</v>
      </c>
      <c r="I3975">
        <v>219.1455</v>
      </c>
      <c r="J3975">
        <v>23407</v>
      </c>
      <c r="K3975">
        <v>0.20810000000000001</v>
      </c>
      <c r="L3975">
        <v>1.0504</v>
      </c>
    </row>
    <row r="3976" spans="1:12" x14ac:dyDescent="0.25">
      <c r="A3976">
        <v>2303</v>
      </c>
      <c r="B3976" t="s">
        <v>10</v>
      </c>
      <c r="C3976" s="1">
        <v>43117</v>
      </c>
      <c r="D3976" s="2">
        <f t="shared" si="124"/>
        <v>3</v>
      </c>
      <c r="E3976" s="2">
        <f t="shared" si="125"/>
        <v>1</v>
      </c>
      <c r="F3976">
        <v>13.087899999999999</v>
      </c>
      <c r="G3976">
        <v>13.2262</v>
      </c>
      <c r="H3976">
        <v>13.0419</v>
      </c>
      <c r="I3976">
        <v>13.180099999999999</v>
      </c>
      <c r="J3976">
        <v>26465</v>
      </c>
      <c r="K3976">
        <v>0</v>
      </c>
      <c r="L3976">
        <v>1.4134</v>
      </c>
    </row>
    <row r="3977" spans="1:12" hidden="1" x14ac:dyDescent="0.25">
      <c r="A3977">
        <v>2330</v>
      </c>
      <c r="B3977" t="s">
        <v>11</v>
      </c>
      <c r="C3977" s="1">
        <v>43117</v>
      </c>
      <c r="D3977" s="2">
        <f t="shared" si="124"/>
        <v>3</v>
      </c>
      <c r="E3977" s="2">
        <f t="shared" si="125"/>
        <v>1</v>
      </c>
      <c r="F3977">
        <v>219.1455</v>
      </c>
      <c r="G3977">
        <v>221.42349999999999</v>
      </c>
      <c r="H3977">
        <v>217.77869999999999</v>
      </c>
      <c r="I3977">
        <v>220.51230000000001</v>
      </c>
      <c r="J3977">
        <v>38118</v>
      </c>
      <c r="K3977">
        <v>0.62180000000000002</v>
      </c>
      <c r="L3977">
        <v>1.6736</v>
      </c>
    </row>
    <row r="3978" spans="1:12" x14ac:dyDescent="0.25">
      <c r="A3978">
        <v>2303</v>
      </c>
      <c r="B3978" t="s">
        <v>10</v>
      </c>
      <c r="C3978" s="1">
        <v>43118</v>
      </c>
      <c r="D3978" s="2">
        <f t="shared" si="124"/>
        <v>4</v>
      </c>
      <c r="E3978" s="2">
        <f t="shared" si="125"/>
        <v>1</v>
      </c>
      <c r="F3978">
        <v>13.180099999999999</v>
      </c>
      <c r="G3978">
        <v>13.2723</v>
      </c>
      <c r="H3978">
        <v>13.180099999999999</v>
      </c>
      <c r="I3978">
        <v>13.180099999999999</v>
      </c>
      <c r="J3978">
        <v>40184</v>
      </c>
      <c r="K3978">
        <v>0</v>
      </c>
      <c r="L3978">
        <v>0.69930000000000003</v>
      </c>
    </row>
    <row r="3979" spans="1:12" hidden="1" x14ac:dyDescent="0.25">
      <c r="A3979">
        <v>2330</v>
      </c>
      <c r="B3979" t="s">
        <v>11</v>
      </c>
      <c r="C3979" s="1">
        <v>43118</v>
      </c>
      <c r="D3979" s="2">
        <f t="shared" si="124"/>
        <v>4</v>
      </c>
      <c r="E3979" s="2">
        <f t="shared" si="125"/>
        <v>1</v>
      </c>
      <c r="F3979">
        <v>223.24600000000001</v>
      </c>
      <c r="G3979">
        <v>227.80199999999999</v>
      </c>
      <c r="H3979">
        <v>223.24600000000001</v>
      </c>
      <c r="I3979">
        <v>226.43520000000001</v>
      </c>
      <c r="J3979">
        <v>50119</v>
      </c>
      <c r="K3979">
        <v>2.6505000000000001</v>
      </c>
      <c r="L3979">
        <v>2.0407999999999999</v>
      </c>
    </row>
    <row r="3980" spans="1:12" x14ac:dyDescent="0.25">
      <c r="A3980">
        <v>2303</v>
      </c>
      <c r="B3980" t="s">
        <v>10</v>
      </c>
      <c r="C3980" s="1">
        <v>43119</v>
      </c>
      <c r="D3980" s="2">
        <f t="shared" si="124"/>
        <v>5</v>
      </c>
      <c r="E3980" s="2">
        <f t="shared" si="125"/>
        <v>1</v>
      </c>
      <c r="F3980">
        <v>13.2262</v>
      </c>
      <c r="G3980">
        <v>13.2262</v>
      </c>
      <c r="H3980">
        <v>12.9497</v>
      </c>
      <c r="I3980">
        <v>13.087899999999999</v>
      </c>
      <c r="J3980">
        <v>33002</v>
      </c>
      <c r="K3980">
        <v>-0.70179999999999998</v>
      </c>
      <c r="L3980">
        <v>2.1352000000000002</v>
      </c>
    </row>
    <row r="3981" spans="1:12" hidden="1" x14ac:dyDescent="0.25">
      <c r="A3981">
        <v>2330</v>
      </c>
      <c r="B3981" t="s">
        <v>11</v>
      </c>
      <c r="C3981" s="1">
        <v>43119</v>
      </c>
      <c r="D3981" s="2">
        <f t="shared" si="124"/>
        <v>5</v>
      </c>
      <c r="E3981" s="2">
        <f t="shared" si="125"/>
        <v>1</v>
      </c>
      <c r="F3981">
        <v>230.99119999999999</v>
      </c>
      <c r="G3981">
        <v>232.81360000000001</v>
      </c>
      <c r="H3981">
        <v>229.1688</v>
      </c>
      <c r="I3981">
        <v>232.81360000000001</v>
      </c>
      <c r="J3981">
        <v>55061</v>
      </c>
      <c r="K3981">
        <v>2.778</v>
      </c>
      <c r="L3981">
        <v>1.5905</v>
      </c>
    </row>
    <row r="3982" spans="1:12" x14ac:dyDescent="0.25">
      <c r="A3982">
        <v>2303</v>
      </c>
      <c r="B3982" t="s">
        <v>10</v>
      </c>
      <c r="C3982" s="1">
        <v>43122</v>
      </c>
      <c r="D3982" s="2">
        <f t="shared" si="124"/>
        <v>1</v>
      </c>
      <c r="E3982" s="2">
        <f t="shared" si="125"/>
        <v>1</v>
      </c>
      <c r="F3982">
        <v>13.0419</v>
      </c>
      <c r="G3982">
        <v>13.134</v>
      </c>
      <c r="H3982">
        <v>12.8575</v>
      </c>
      <c r="I3982">
        <v>12.903600000000001</v>
      </c>
      <c r="J3982">
        <v>79063</v>
      </c>
      <c r="K3982">
        <v>-1.4185000000000001</v>
      </c>
      <c r="L3982">
        <v>2.1505000000000001</v>
      </c>
    </row>
    <row r="3983" spans="1:12" hidden="1" x14ac:dyDescent="0.25">
      <c r="A3983">
        <v>2330</v>
      </c>
      <c r="B3983" t="s">
        <v>11</v>
      </c>
      <c r="C3983" s="1">
        <v>43122</v>
      </c>
      <c r="D3983" s="2">
        <f t="shared" si="124"/>
        <v>1</v>
      </c>
      <c r="E3983" s="2">
        <f t="shared" si="125"/>
        <v>1</v>
      </c>
      <c r="F3983">
        <v>234.6361</v>
      </c>
      <c r="G3983">
        <v>238.73650000000001</v>
      </c>
      <c r="H3983">
        <v>234.18049999999999</v>
      </c>
      <c r="I3983">
        <v>238.2809</v>
      </c>
      <c r="J3983">
        <v>45907</v>
      </c>
      <c r="K3983">
        <v>2.3212000000000002</v>
      </c>
      <c r="L3983">
        <v>1.9455</v>
      </c>
    </row>
    <row r="3984" spans="1:12" x14ac:dyDescent="0.25">
      <c r="A3984">
        <v>2303</v>
      </c>
      <c r="B3984" t="s">
        <v>10</v>
      </c>
      <c r="C3984" s="1">
        <v>43123</v>
      </c>
      <c r="D3984" s="2">
        <f t="shared" si="124"/>
        <v>2</v>
      </c>
      <c r="E3984" s="2">
        <f t="shared" si="125"/>
        <v>1</v>
      </c>
      <c r="F3984">
        <v>12.995799999999999</v>
      </c>
      <c r="G3984">
        <v>13.686999999999999</v>
      </c>
      <c r="H3984">
        <v>12.9497</v>
      </c>
      <c r="I3984">
        <v>13.4566</v>
      </c>
      <c r="J3984">
        <v>149322</v>
      </c>
      <c r="K3984">
        <v>4.1963999999999997</v>
      </c>
      <c r="L3984">
        <v>5.694</v>
      </c>
    </row>
    <row r="3985" spans="1:12" hidden="1" x14ac:dyDescent="0.25">
      <c r="A3985">
        <v>2330</v>
      </c>
      <c r="B3985" t="s">
        <v>11</v>
      </c>
      <c r="C3985" s="1">
        <v>43123</v>
      </c>
      <c r="D3985" s="2">
        <f t="shared" si="124"/>
        <v>2</v>
      </c>
      <c r="E3985" s="2">
        <f t="shared" si="125"/>
        <v>1</v>
      </c>
      <c r="F3985">
        <v>239.19210000000001</v>
      </c>
      <c r="G3985">
        <v>242.38130000000001</v>
      </c>
      <c r="H3985">
        <v>239.19210000000001</v>
      </c>
      <c r="I3985">
        <v>242.38130000000001</v>
      </c>
      <c r="J3985">
        <v>34606</v>
      </c>
      <c r="K3985">
        <v>1.7061999999999999</v>
      </c>
      <c r="L3985">
        <v>1.3332999999999999</v>
      </c>
    </row>
    <row r="3986" spans="1:12" x14ac:dyDescent="0.25">
      <c r="A3986">
        <v>2303</v>
      </c>
      <c r="B3986" t="s">
        <v>10</v>
      </c>
      <c r="C3986" s="1">
        <v>43124</v>
      </c>
      <c r="D3986" s="2">
        <f t="shared" si="124"/>
        <v>3</v>
      </c>
      <c r="E3986" s="2">
        <f t="shared" si="125"/>
        <v>1</v>
      </c>
      <c r="F3986">
        <v>13.3644</v>
      </c>
      <c r="G3986">
        <v>13.4566</v>
      </c>
      <c r="H3986">
        <v>13.180099999999999</v>
      </c>
      <c r="I3986">
        <v>13.2723</v>
      </c>
      <c r="J3986">
        <v>69620</v>
      </c>
      <c r="K3986">
        <v>-1.3793</v>
      </c>
      <c r="L3986">
        <v>2.0979000000000001</v>
      </c>
    </row>
    <row r="3987" spans="1:12" hidden="1" x14ac:dyDescent="0.25">
      <c r="A3987">
        <v>2330</v>
      </c>
      <c r="B3987" t="s">
        <v>11</v>
      </c>
      <c r="C3987" s="1">
        <v>43124</v>
      </c>
      <c r="D3987" s="2">
        <f t="shared" si="124"/>
        <v>3</v>
      </c>
      <c r="E3987" s="2">
        <f t="shared" si="125"/>
        <v>1</v>
      </c>
      <c r="F3987">
        <v>239.64769999999999</v>
      </c>
      <c r="G3987">
        <v>239.64769999999999</v>
      </c>
      <c r="H3987">
        <v>233.72489999999999</v>
      </c>
      <c r="I3987">
        <v>235.0917</v>
      </c>
      <c r="J3987">
        <v>42600</v>
      </c>
      <c r="K3987">
        <v>-3.0537000000000001</v>
      </c>
      <c r="L3987">
        <v>2.5341</v>
      </c>
    </row>
    <row r="3988" spans="1:12" x14ac:dyDescent="0.25">
      <c r="A3988">
        <v>2303</v>
      </c>
      <c r="B3988" t="s">
        <v>10</v>
      </c>
      <c r="C3988" s="1">
        <v>43125</v>
      </c>
      <c r="D3988" s="2">
        <f t="shared" si="124"/>
        <v>4</v>
      </c>
      <c r="E3988" s="2">
        <f t="shared" si="125"/>
        <v>1</v>
      </c>
      <c r="F3988">
        <v>13.4566</v>
      </c>
      <c r="G3988">
        <v>13.9175</v>
      </c>
      <c r="H3988">
        <v>13.3644</v>
      </c>
      <c r="I3988">
        <v>13.3644</v>
      </c>
      <c r="J3988">
        <v>162032</v>
      </c>
      <c r="K3988">
        <v>0.69199999999999995</v>
      </c>
      <c r="L3988">
        <v>4.1379000000000001</v>
      </c>
    </row>
    <row r="3989" spans="1:12" hidden="1" x14ac:dyDescent="0.25">
      <c r="A3989">
        <v>2330</v>
      </c>
      <c r="B3989" t="s">
        <v>11</v>
      </c>
      <c r="C3989" s="1">
        <v>43125</v>
      </c>
      <c r="D3989" s="2">
        <f t="shared" si="124"/>
        <v>4</v>
      </c>
      <c r="E3989" s="2">
        <f t="shared" si="125"/>
        <v>1</v>
      </c>
      <c r="F3989">
        <v>235.0917</v>
      </c>
      <c r="G3989">
        <v>240.55889999999999</v>
      </c>
      <c r="H3989">
        <v>233.72489999999999</v>
      </c>
      <c r="I3989">
        <v>235.0917</v>
      </c>
      <c r="J3989">
        <v>46214</v>
      </c>
      <c r="K3989">
        <v>0</v>
      </c>
      <c r="L3989">
        <v>2.9239999999999999</v>
      </c>
    </row>
    <row r="3990" spans="1:12" x14ac:dyDescent="0.25">
      <c r="A3990">
        <v>2303</v>
      </c>
      <c r="B3990" t="s">
        <v>10</v>
      </c>
      <c r="C3990" s="1">
        <v>43126</v>
      </c>
      <c r="D3990" s="2">
        <f t="shared" si="124"/>
        <v>5</v>
      </c>
      <c r="E3990" s="2">
        <f t="shared" si="125"/>
        <v>1</v>
      </c>
      <c r="F3990">
        <v>13.4566</v>
      </c>
      <c r="G3990">
        <v>13.502700000000001</v>
      </c>
      <c r="H3990">
        <v>13.2262</v>
      </c>
      <c r="I3990">
        <v>13.4566</v>
      </c>
      <c r="J3990">
        <v>75870</v>
      </c>
      <c r="K3990">
        <v>0.68730000000000002</v>
      </c>
      <c r="L3990">
        <v>2.0905999999999998</v>
      </c>
    </row>
    <row r="3991" spans="1:12" hidden="1" x14ac:dyDescent="0.25">
      <c r="A3991">
        <v>2330</v>
      </c>
      <c r="B3991" t="s">
        <v>11</v>
      </c>
      <c r="C3991" s="1">
        <v>43126</v>
      </c>
      <c r="D3991" s="2">
        <f t="shared" si="124"/>
        <v>5</v>
      </c>
      <c r="E3991" s="2">
        <f t="shared" si="125"/>
        <v>1</v>
      </c>
      <c r="F3991">
        <v>233.72489999999999</v>
      </c>
      <c r="G3991">
        <v>234.6361</v>
      </c>
      <c r="H3991">
        <v>230.99119999999999</v>
      </c>
      <c r="I3991">
        <v>232.358</v>
      </c>
      <c r="J3991">
        <v>43514</v>
      </c>
      <c r="K3991">
        <v>-1.1696</v>
      </c>
      <c r="L3991">
        <v>1.5779000000000001</v>
      </c>
    </row>
    <row r="3992" spans="1:12" x14ac:dyDescent="0.25">
      <c r="A3992">
        <v>2303</v>
      </c>
      <c r="B3992" t="s">
        <v>10</v>
      </c>
      <c r="C3992" s="1">
        <v>43129</v>
      </c>
      <c r="D3992" s="2">
        <f t="shared" si="124"/>
        <v>1</v>
      </c>
      <c r="E3992" s="2">
        <f t="shared" si="125"/>
        <v>1</v>
      </c>
      <c r="F3992">
        <v>13.594900000000001</v>
      </c>
      <c r="G3992">
        <v>13.686999999999999</v>
      </c>
      <c r="H3992">
        <v>13.3184</v>
      </c>
      <c r="I3992">
        <v>13.410500000000001</v>
      </c>
      <c r="J3992">
        <v>60472</v>
      </c>
      <c r="K3992">
        <v>-0.34310000000000002</v>
      </c>
      <c r="L3992">
        <v>2.7682000000000002</v>
      </c>
    </row>
    <row r="3993" spans="1:12" hidden="1" x14ac:dyDescent="0.25">
      <c r="A3993">
        <v>2330</v>
      </c>
      <c r="B3993" t="s">
        <v>11</v>
      </c>
      <c r="C3993" s="1">
        <v>43129</v>
      </c>
      <c r="D3993" s="2">
        <f t="shared" si="124"/>
        <v>1</v>
      </c>
      <c r="E3993" s="2">
        <f t="shared" si="125"/>
        <v>1</v>
      </c>
      <c r="F3993">
        <v>236.00290000000001</v>
      </c>
      <c r="G3993">
        <v>238.2809</v>
      </c>
      <c r="H3993">
        <v>232.358</v>
      </c>
      <c r="I3993">
        <v>235.54730000000001</v>
      </c>
      <c r="J3993">
        <v>31306</v>
      </c>
      <c r="K3993">
        <v>1.3632</v>
      </c>
      <c r="L3993">
        <v>2.5489999999999999</v>
      </c>
    </row>
    <row r="3994" spans="1:12" x14ac:dyDescent="0.25">
      <c r="A3994">
        <v>2303</v>
      </c>
      <c r="B3994" t="s">
        <v>10</v>
      </c>
      <c r="C3994" s="1">
        <v>43130</v>
      </c>
      <c r="D3994" s="2">
        <f t="shared" si="124"/>
        <v>2</v>
      </c>
      <c r="E3994" s="2">
        <f t="shared" si="125"/>
        <v>1</v>
      </c>
      <c r="F3994">
        <v>13.410500000000001</v>
      </c>
      <c r="G3994">
        <v>13.502700000000001</v>
      </c>
      <c r="H3994">
        <v>13.2723</v>
      </c>
      <c r="I3994">
        <v>13.3184</v>
      </c>
      <c r="J3994">
        <v>33310</v>
      </c>
      <c r="K3994">
        <v>-0.68969999999999998</v>
      </c>
      <c r="L3994">
        <v>1.7361</v>
      </c>
    </row>
    <row r="3995" spans="1:12" hidden="1" x14ac:dyDescent="0.25">
      <c r="A3995">
        <v>2330</v>
      </c>
      <c r="B3995" t="s">
        <v>11</v>
      </c>
      <c r="C3995" s="1">
        <v>43130</v>
      </c>
      <c r="D3995" s="2">
        <f t="shared" si="124"/>
        <v>2</v>
      </c>
      <c r="E3995" s="2">
        <f t="shared" si="125"/>
        <v>1</v>
      </c>
      <c r="F3995">
        <v>233.26920000000001</v>
      </c>
      <c r="G3995">
        <v>234.6361</v>
      </c>
      <c r="H3995">
        <v>230.08</v>
      </c>
      <c r="I3995">
        <v>230.53559999999999</v>
      </c>
      <c r="J3995">
        <v>37410</v>
      </c>
      <c r="K3995">
        <v>-2.1505999999999998</v>
      </c>
      <c r="L3995">
        <v>1.9802</v>
      </c>
    </row>
    <row r="3996" spans="1:12" x14ac:dyDescent="0.25">
      <c r="A3996">
        <v>2303</v>
      </c>
      <c r="B3996" t="s">
        <v>10</v>
      </c>
      <c r="C3996" s="1">
        <v>43131</v>
      </c>
      <c r="D3996" s="2">
        <f t="shared" si="124"/>
        <v>3</v>
      </c>
      <c r="E3996" s="2">
        <f t="shared" si="125"/>
        <v>1</v>
      </c>
      <c r="F3996">
        <v>13.2723</v>
      </c>
      <c r="G3996">
        <v>13.2723</v>
      </c>
      <c r="H3996">
        <v>13.087899999999999</v>
      </c>
      <c r="I3996">
        <v>13.134</v>
      </c>
      <c r="J3996">
        <v>75685</v>
      </c>
      <c r="K3996">
        <v>-1.3937999999999999</v>
      </c>
      <c r="L3996">
        <v>1.4085000000000001</v>
      </c>
    </row>
    <row r="3997" spans="1:12" hidden="1" x14ac:dyDescent="0.25">
      <c r="A3997">
        <v>2330</v>
      </c>
      <c r="B3997" t="s">
        <v>11</v>
      </c>
      <c r="C3997" s="1">
        <v>43131</v>
      </c>
      <c r="D3997" s="2">
        <f t="shared" si="124"/>
        <v>3</v>
      </c>
      <c r="E3997" s="2">
        <f t="shared" si="125"/>
        <v>1</v>
      </c>
      <c r="F3997">
        <v>230.53559999999999</v>
      </c>
      <c r="G3997">
        <v>234.6361</v>
      </c>
      <c r="H3997">
        <v>229.62440000000001</v>
      </c>
      <c r="I3997">
        <v>232.358</v>
      </c>
      <c r="J3997">
        <v>45807</v>
      </c>
      <c r="K3997">
        <v>0.78739999999999999</v>
      </c>
      <c r="L3997">
        <v>2.1825000000000001</v>
      </c>
    </row>
    <row r="3998" spans="1:12" x14ac:dyDescent="0.25">
      <c r="A3998">
        <v>2303</v>
      </c>
      <c r="B3998" t="s">
        <v>10</v>
      </c>
      <c r="C3998" s="1">
        <v>43132</v>
      </c>
      <c r="D3998" s="2">
        <f t="shared" si="124"/>
        <v>4</v>
      </c>
      <c r="E3998" s="2">
        <f t="shared" si="125"/>
        <v>2</v>
      </c>
      <c r="F3998">
        <v>13.134</v>
      </c>
      <c r="G3998">
        <v>13.410500000000001</v>
      </c>
      <c r="H3998">
        <v>13.134</v>
      </c>
      <c r="I3998">
        <v>13.2723</v>
      </c>
      <c r="J3998">
        <v>37161</v>
      </c>
      <c r="K3998">
        <v>1.0470999999999999</v>
      </c>
      <c r="L3998">
        <v>2.1053000000000002</v>
      </c>
    </row>
    <row r="3999" spans="1:12" hidden="1" x14ac:dyDescent="0.25">
      <c r="A3999">
        <v>2330</v>
      </c>
      <c r="B3999" t="s">
        <v>11</v>
      </c>
      <c r="C3999" s="1">
        <v>43132</v>
      </c>
      <c r="D3999" s="2">
        <f t="shared" si="124"/>
        <v>4</v>
      </c>
      <c r="E3999" s="2">
        <f t="shared" si="125"/>
        <v>2</v>
      </c>
      <c r="F3999">
        <v>234.6361</v>
      </c>
      <c r="G3999">
        <v>237.8253</v>
      </c>
      <c r="H3999">
        <v>234.18049999999999</v>
      </c>
      <c r="I3999">
        <v>236.45849999999999</v>
      </c>
      <c r="J3999">
        <v>30900</v>
      </c>
      <c r="K3999">
        <v>1.7493000000000001</v>
      </c>
      <c r="L3999">
        <v>1.5564</v>
      </c>
    </row>
    <row r="4000" spans="1:12" x14ac:dyDescent="0.25">
      <c r="A4000">
        <v>2303</v>
      </c>
      <c r="B4000" t="s">
        <v>10</v>
      </c>
      <c r="C4000" s="1">
        <v>43133</v>
      </c>
      <c r="D4000" s="2">
        <f t="shared" si="124"/>
        <v>5</v>
      </c>
      <c r="E4000" s="2">
        <f t="shared" si="125"/>
        <v>2</v>
      </c>
      <c r="F4000">
        <v>13.2262</v>
      </c>
      <c r="G4000">
        <v>13.4566</v>
      </c>
      <c r="H4000">
        <v>13.180099999999999</v>
      </c>
      <c r="I4000">
        <v>13.410500000000001</v>
      </c>
      <c r="J4000">
        <v>54740</v>
      </c>
      <c r="K4000">
        <v>1.0363</v>
      </c>
      <c r="L4000">
        <v>2.0979000000000001</v>
      </c>
    </row>
    <row r="4001" spans="1:12" hidden="1" x14ac:dyDescent="0.25">
      <c r="A4001">
        <v>2330</v>
      </c>
      <c r="B4001" t="s">
        <v>11</v>
      </c>
      <c r="C4001" s="1">
        <v>43133</v>
      </c>
      <c r="D4001" s="2">
        <f t="shared" si="124"/>
        <v>5</v>
      </c>
      <c r="E4001" s="2">
        <f t="shared" si="125"/>
        <v>2</v>
      </c>
      <c r="F4001">
        <v>236.00290000000001</v>
      </c>
      <c r="G4001">
        <v>236.91409999999999</v>
      </c>
      <c r="H4001">
        <v>232.358</v>
      </c>
      <c r="I4001">
        <v>236.45849999999999</v>
      </c>
      <c r="J4001">
        <v>25707</v>
      </c>
      <c r="K4001">
        <v>0</v>
      </c>
      <c r="L4001">
        <v>1.9608000000000001</v>
      </c>
    </row>
    <row r="4002" spans="1:12" x14ac:dyDescent="0.25">
      <c r="A4002">
        <v>2303</v>
      </c>
      <c r="B4002" t="s">
        <v>10</v>
      </c>
      <c r="C4002" s="1">
        <v>43136</v>
      </c>
      <c r="D4002" s="2">
        <f t="shared" si="124"/>
        <v>1</v>
      </c>
      <c r="E4002" s="2">
        <f t="shared" si="125"/>
        <v>2</v>
      </c>
      <c r="F4002">
        <v>13.087899999999999</v>
      </c>
      <c r="G4002">
        <v>13.3644</v>
      </c>
      <c r="H4002">
        <v>13.087899999999999</v>
      </c>
      <c r="I4002">
        <v>13.2723</v>
      </c>
      <c r="J4002">
        <v>37215</v>
      </c>
      <c r="K4002">
        <v>-1.0363</v>
      </c>
      <c r="L4002">
        <v>2.1126999999999998</v>
      </c>
    </row>
    <row r="4003" spans="1:12" hidden="1" x14ac:dyDescent="0.25">
      <c r="A4003">
        <v>2330</v>
      </c>
      <c r="B4003" t="s">
        <v>11</v>
      </c>
      <c r="C4003" s="1">
        <v>43136</v>
      </c>
      <c r="D4003" s="2">
        <f t="shared" si="124"/>
        <v>1</v>
      </c>
      <c r="E4003" s="2">
        <f t="shared" si="125"/>
        <v>2</v>
      </c>
      <c r="F4003">
        <v>228.7132</v>
      </c>
      <c r="G4003">
        <v>231.9024</v>
      </c>
      <c r="H4003">
        <v>228.2576</v>
      </c>
      <c r="I4003">
        <v>230.53559999999999</v>
      </c>
      <c r="J4003">
        <v>46554</v>
      </c>
      <c r="K4003">
        <v>-2.5367000000000002</v>
      </c>
      <c r="L4003">
        <v>1.5968</v>
      </c>
    </row>
    <row r="4004" spans="1:12" x14ac:dyDescent="0.25">
      <c r="A4004">
        <v>2303</v>
      </c>
      <c r="B4004" t="s">
        <v>10</v>
      </c>
      <c r="C4004" s="1">
        <v>43137</v>
      </c>
      <c r="D4004" s="2">
        <f t="shared" si="124"/>
        <v>2</v>
      </c>
      <c r="E4004" s="2">
        <f t="shared" si="125"/>
        <v>2</v>
      </c>
      <c r="F4004">
        <v>12.995799999999999</v>
      </c>
      <c r="G4004">
        <v>13.087899999999999</v>
      </c>
      <c r="H4004">
        <v>12.6732</v>
      </c>
      <c r="I4004">
        <v>12.8575</v>
      </c>
      <c r="J4004">
        <v>110514</v>
      </c>
      <c r="K4004">
        <v>-3.1749000000000001</v>
      </c>
      <c r="L4004">
        <v>3.2726999999999999</v>
      </c>
    </row>
    <row r="4005" spans="1:12" hidden="1" x14ac:dyDescent="0.25">
      <c r="A4005">
        <v>2330</v>
      </c>
      <c r="B4005" t="s">
        <v>11</v>
      </c>
      <c r="C4005" s="1">
        <v>43137</v>
      </c>
      <c r="D4005" s="2">
        <f t="shared" si="124"/>
        <v>2</v>
      </c>
      <c r="E4005" s="2">
        <f t="shared" si="125"/>
        <v>2</v>
      </c>
      <c r="F4005">
        <v>220.96789999999999</v>
      </c>
      <c r="G4005">
        <v>221.87909999999999</v>
      </c>
      <c r="H4005">
        <v>213.2227</v>
      </c>
      <c r="I4005">
        <v>217.77869999999999</v>
      </c>
      <c r="J4005">
        <v>104448</v>
      </c>
      <c r="K4005">
        <v>-5.6925999999999997</v>
      </c>
      <c r="L4005">
        <v>4.0598000000000001</v>
      </c>
    </row>
    <row r="4006" spans="1:12" x14ac:dyDescent="0.25">
      <c r="A4006">
        <v>2303</v>
      </c>
      <c r="B4006" t="s">
        <v>10</v>
      </c>
      <c r="C4006" s="1">
        <v>43138</v>
      </c>
      <c r="D4006" s="2">
        <f t="shared" si="124"/>
        <v>3</v>
      </c>
      <c r="E4006" s="2">
        <f t="shared" si="125"/>
        <v>2</v>
      </c>
      <c r="F4006">
        <v>13.0419</v>
      </c>
      <c r="G4006">
        <v>13.180099999999999</v>
      </c>
      <c r="H4006">
        <v>12.995799999999999</v>
      </c>
      <c r="I4006">
        <v>13.087899999999999</v>
      </c>
      <c r="J4006">
        <v>54288</v>
      </c>
      <c r="K4006">
        <v>1.7762</v>
      </c>
      <c r="L4006">
        <v>1.4184000000000001</v>
      </c>
    </row>
    <row r="4007" spans="1:12" hidden="1" x14ac:dyDescent="0.25">
      <c r="A4007">
        <v>2330</v>
      </c>
      <c r="B4007" t="s">
        <v>11</v>
      </c>
      <c r="C4007" s="1">
        <v>43138</v>
      </c>
      <c r="D4007" s="2">
        <f t="shared" si="124"/>
        <v>3</v>
      </c>
      <c r="E4007" s="2">
        <f t="shared" si="125"/>
        <v>2</v>
      </c>
      <c r="F4007">
        <v>223.24600000000001</v>
      </c>
      <c r="G4007">
        <v>223.70160000000001</v>
      </c>
      <c r="H4007">
        <v>218.23429999999999</v>
      </c>
      <c r="I4007">
        <v>218.68989999999999</v>
      </c>
      <c r="J4007">
        <v>82299</v>
      </c>
      <c r="K4007">
        <v>0.41749999999999998</v>
      </c>
      <c r="L4007">
        <v>2.5051999999999999</v>
      </c>
    </row>
    <row r="4008" spans="1:12" x14ac:dyDescent="0.25">
      <c r="A4008">
        <v>2303</v>
      </c>
      <c r="B4008" t="s">
        <v>10</v>
      </c>
      <c r="C4008" s="1">
        <v>43139</v>
      </c>
      <c r="D4008" s="2">
        <f t="shared" si="124"/>
        <v>4</v>
      </c>
      <c r="E4008" s="2">
        <f t="shared" si="125"/>
        <v>2</v>
      </c>
      <c r="F4008">
        <v>12.995799999999999</v>
      </c>
      <c r="G4008">
        <v>13.134</v>
      </c>
      <c r="H4008">
        <v>12.995799999999999</v>
      </c>
      <c r="I4008">
        <v>13.0419</v>
      </c>
      <c r="J4008">
        <v>36045</v>
      </c>
      <c r="K4008">
        <v>-0.35270000000000001</v>
      </c>
      <c r="L4008">
        <v>1.0638000000000001</v>
      </c>
    </row>
    <row r="4009" spans="1:12" hidden="1" x14ac:dyDescent="0.25">
      <c r="A4009">
        <v>2330</v>
      </c>
      <c r="B4009" t="s">
        <v>11</v>
      </c>
      <c r="C4009" s="1">
        <v>43139</v>
      </c>
      <c r="D4009" s="2">
        <f t="shared" si="124"/>
        <v>4</v>
      </c>
      <c r="E4009" s="2">
        <f t="shared" si="125"/>
        <v>2</v>
      </c>
      <c r="F4009">
        <v>218.23429999999999</v>
      </c>
      <c r="G4009">
        <v>220.51230000000001</v>
      </c>
      <c r="H4009">
        <v>216.86750000000001</v>
      </c>
      <c r="I4009">
        <v>217.32310000000001</v>
      </c>
      <c r="J4009">
        <v>31192</v>
      </c>
      <c r="K4009">
        <v>-0.627</v>
      </c>
      <c r="L4009">
        <v>1.6807000000000001</v>
      </c>
    </row>
    <row r="4010" spans="1:12" x14ac:dyDescent="0.25">
      <c r="A4010">
        <v>2303</v>
      </c>
      <c r="B4010" t="s">
        <v>10</v>
      </c>
      <c r="C4010" s="1">
        <v>43140</v>
      </c>
      <c r="D4010" s="2">
        <f t="shared" si="124"/>
        <v>5</v>
      </c>
      <c r="E4010" s="2">
        <f t="shared" si="125"/>
        <v>2</v>
      </c>
      <c r="F4010">
        <v>12.8575</v>
      </c>
      <c r="G4010">
        <v>13.087899999999999</v>
      </c>
      <c r="H4010">
        <v>12.6732</v>
      </c>
      <c r="I4010">
        <v>12.9497</v>
      </c>
      <c r="J4010">
        <v>82496</v>
      </c>
      <c r="K4010">
        <v>-0.70920000000000005</v>
      </c>
      <c r="L4010">
        <v>3.2726999999999999</v>
      </c>
    </row>
    <row r="4011" spans="1:12" hidden="1" x14ac:dyDescent="0.25">
      <c r="A4011">
        <v>2330</v>
      </c>
      <c r="B4011" t="s">
        <v>11</v>
      </c>
      <c r="C4011" s="1">
        <v>43140</v>
      </c>
      <c r="D4011" s="2">
        <f t="shared" si="124"/>
        <v>5</v>
      </c>
      <c r="E4011" s="2">
        <f t="shared" si="125"/>
        <v>2</v>
      </c>
      <c r="F4011">
        <v>209.5778</v>
      </c>
      <c r="G4011">
        <v>212.3115</v>
      </c>
      <c r="H4011">
        <v>208.21100000000001</v>
      </c>
      <c r="I4011">
        <v>211.85589999999999</v>
      </c>
      <c r="J4011">
        <v>65939</v>
      </c>
      <c r="K4011">
        <v>-2.5478999999999998</v>
      </c>
      <c r="L4011">
        <v>1.9694</v>
      </c>
    </row>
    <row r="4012" spans="1:12" x14ac:dyDescent="0.25">
      <c r="A4012">
        <v>2303</v>
      </c>
      <c r="B4012" t="s">
        <v>10</v>
      </c>
      <c r="C4012" s="1">
        <v>43143</v>
      </c>
      <c r="D4012" s="2">
        <f t="shared" si="124"/>
        <v>1</v>
      </c>
      <c r="E4012" s="2">
        <f t="shared" si="125"/>
        <v>2</v>
      </c>
      <c r="F4012">
        <v>12.9497</v>
      </c>
      <c r="G4012">
        <v>13.0419</v>
      </c>
      <c r="H4012">
        <v>12.7654</v>
      </c>
      <c r="I4012">
        <v>12.7654</v>
      </c>
      <c r="J4012">
        <v>50923</v>
      </c>
      <c r="K4012">
        <v>-1.4337</v>
      </c>
      <c r="L4012">
        <v>2.1661000000000001</v>
      </c>
    </row>
    <row r="4013" spans="1:12" hidden="1" x14ac:dyDescent="0.25">
      <c r="A4013">
        <v>2330</v>
      </c>
      <c r="B4013" t="s">
        <v>11</v>
      </c>
      <c r="C4013" s="1">
        <v>43143</v>
      </c>
      <c r="D4013" s="2">
        <f t="shared" si="124"/>
        <v>1</v>
      </c>
      <c r="E4013" s="2">
        <f t="shared" si="125"/>
        <v>2</v>
      </c>
      <c r="F4013">
        <v>214.58949999999999</v>
      </c>
      <c r="G4013">
        <v>216.4119</v>
      </c>
      <c r="H4013">
        <v>214.13390000000001</v>
      </c>
      <c r="I4013">
        <v>215.50069999999999</v>
      </c>
      <c r="J4013">
        <v>42917</v>
      </c>
      <c r="K4013">
        <v>1.7058</v>
      </c>
      <c r="L4013">
        <v>1.0638000000000001</v>
      </c>
    </row>
    <row r="4014" spans="1:12" x14ac:dyDescent="0.25">
      <c r="A4014">
        <v>2303</v>
      </c>
      <c r="B4014" t="s">
        <v>10</v>
      </c>
      <c r="C4014" s="1">
        <v>43152</v>
      </c>
      <c r="D4014" s="2">
        <f t="shared" si="124"/>
        <v>3</v>
      </c>
      <c r="E4014" s="2">
        <f t="shared" si="125"/>
        <v>2</v>
      </c>
      <c r="F4014">
        <v>12.9497</v>
      </c>
      <c r="G4014">
        <v>13.0419</v>
      </c>
      <c r="H4014">
        <v>12.8575</v>
      </c>
      <c r="I4014">
        <v>12.995799999999999</v>
      </c>
      <c r="J4014">
        <v>117876</v>
      </c>
      <c r="K4014">
        <v>1.7889999999999999</v>
      </c>
      <c r="L4014">
        <v>1.4337</v>
      </c>
    </row>
    <row r="4015" spans="1:12" hidden="1" x14ac:dyDescent="0.25">
      <c r="A4015">
        <v>2330</v>
      </c>
      <c r="B4015" t="s">
        <v>11</v>
      </c>
      <c r="C4015" s="1">
        <v>43152</v>
      </c>
      <c r="D4015" s="2">
        <f t="shared" si="124"/>
        <v>3</v>
      </c>
      <c r="E4015" s="2">
        <f t="shared" si="125"/>
        <v>2</v>
      </c>
      <c r="F4015">
        <v>222.79040000000001</v>
      </c>
      <c r="G4015">
        <v>222.79040000000001</v>
      </c>
      <c r="H4015">
        <v>220.51230000000001</v>
      </c>
      <c r="I4015">
        <v>220.96789999999999</v>
      </c>
      <c r="J4015">
        <v>76396</v>
      </c>
      <c r="K4015">
        <v>2.5053999999999998</v>
      </c>
      <c r="L4015">
        <v>1.0330999999999999</v>
      </c>
    </row>
    <row r="4016" spans="1:12" x14ac:dyDescent="0.25">
      <c r="A4016">
        <v>2303</v>
      </c>
      <c r="B4016" t="s">
        <v>10</v>
      </c>
      <c r="C4016" s="1">
        <v>43153</v>
      </c>
      <c r="D4016" s="2">
        <f t="shared" si="124"/>
        <v>4</v>
      </c>
      <c r="E4016" s="2">
        <f t="shared" si="125"/>
        <v>2</v>
      </c>
      <c r="F4016">
        <v>12.903600000000001</v>
      </c>
      <c r="G4016">
        <v>12.9497</v>
      </c>
      <c r="H4016">
        <v>12.811400000000001</v>
      </c>
      <c r="I4016">
        <v>12.8575</v>
      </c>
      <c r="J4016">
        <v>190247</v>
      </c>
      <c r="K4016">
        <v>-1.0694999999999999</v>
      </c>
      <c r="L4016">
        <v>1.0790999999999999</v>
      </c>
    </row>
    <row r="4017" spans="1:12" hidden="1" x14ac:dyDescent="0.25">
      <c r="A4017">
        <v>2330</v>
      </c>
      <c r="B4017" t="s">
        <v>11</v>
      </c>
      <c r="C4017" s="1">
        <v>43153</v>
      </c>
      <c r="D4017" s="2">
        <f t="shared" si="124"/>
        <v>4</v>
      </c>
      <c r="E4017" s="2">
        <f t="shared" si="125"/>
        <v>2</v>
      </c>
      <c r="F4017">
        <v>222.3348</v>
      </c>
      <c r="G4017">
        <v>222.3348</v>
      </c>
      <c r="H4017">
        <v>217.77869999999999</v>
      </c>
      <c r="I4017">
        <v>218.23429999999999</v>
      </c>
      <c r="J4017">
        <v>45492</v>
      </c>
      <c r="K4017">
        <v>-1.2447999999999999</v>
      </c>
      <c r="L4017">
        <v>2.0920999999999998</v>
      </c>
    </row>
    <row r="4018" spans="1:12" x14ac:dyDescent="0.25">
      <c r="A4018">
        <v>2303</v>
      </c>
      <c r="B4018" t="s">
        <v>10</v>
      </c>
      <c r="C4018" s="1">
        <v>43154</v>
      </c>
      <c r="D4018" s="2">
        <f t="shared" si="124"/>
        <v>5</v>
      </c>
      <c r="E4018" s="2">
        <f t="shared" si="125"/>
        <v>2</v>
      </c>
      <c r="F4018">
        <v>12.903600000000001</v>
      </c>
      <c r="G4018">
        <v>13.0419</v>
      </c>
      <c r="H4018">
        <v>12.903600000000001</v>
      </c>
      <c r="I4018">
        <v>13.0419</v>
      </c>
      <c r="J4018">
        <v>26398</v>
      </c>
      <c r="K4018">
        <v>1.4235</v>
      </c>
      <c r="L4018">
        <v>1.0713999999999999</v>
      </c>
    </row>
    <row r="4019" spans="1:12" hidden="1" x14ac:dyDescent="0.25">
      <c r="A4019">
        <v>2330</v>
      </c>
      <c r="B4019" t="s">
        <v>11</v>
      </c>
      <c r="C4019" s="1">
        <v>43154</v>
      </c>
      <c r="D4019" s="2">
        <f t="shared" si="124"/>
        <v>5</v>
      </c>
      <c r="E4019" s="2">
        <f t="shared" si="125"/>
        <v>2</v>
      </c>
      <c r="F4019">
        <v>219.6011</v>
      </c>
      <c r="G4019">
        <v>223.24600000000001</v>
      </c>
      <c r="H4019">
        <v>219.6011</v>
      </c>
      <c r="I4019">
        <v>223.24600000000001</v>
      </c>
      <c r="J4019">
        <v>26985</v>
      </c>
      <c r="K4019">
        <v>2.2705000000000002</v>
      </c>
      <c r="L4019">
        <v>1.6597999999999999</v>
      </c>
    </row>
    <row r="4020" spans="1:12" x14ac:dyDescent="0.25">
      <c r="A4020">
        <v>2303</v>
      </c>
      <c r="B4020" t="s">
        <v>10</v>
      </c>
      <c r="C4020" s="1">
        <v>43157</v>
      </c>
      <c r="D4020" s="2">
        <f t="shared" si="124"/>
        <v>1</v>
      </c>
      <c r="E4020" s="2">
        <f t="shared" si="125"/>
        <v>2</v>
      </c>
      <c r="F4020">
        <v>13.087899999999999</v>
      </c>
      <c r="G4020">
        <v>13.134</v>
      </c>
      <c r="H4020">
        <v>12.995799999999999</v>
      </c>
      <c r="I4020">
        <v>12.995799999999999</v>
      </c>
      <c r="J4020">
        <v>19235</v>
      </c>
      <c r="K4020">
        <v>-0.35399999999999998</v>
      </c>
      <c r="L4020">
        <v>1.0638000000000001</v>
      </c>
    </row>
    <row r="4021" spans="1:12" hidden="1" x14ac:dyDescent="0.25">
      <c r="A4021">
        <v>2330</v>
      </c>
      <c r="B4021" t="s">
        <v>11</v>
      </c>
      <c r="C4021" s="1">
        <v>43157</v>
      </c>
      <c r="D4021" s="2">
        <f t="shared" si="124"/>
        <v>1</v>
      </c>
      <c r="E4021" s="2">
        <f t="shared" si="125"/>
        <v>2</v>
      </c>
      <c r="F4021">
        <v>225.0684</v>
      </c>
      <c r="G4021">
        <v>225.524</v>
      </c>
      <c r="H4021">
        <v>223.24600000000001</v>
      </c>
      <c r="I4021">
        <v>224.61279999999999</v>
      </c>
      <c r="J4021">
        <v>36165</v>
      </c>
      <c r="K4021">
        <v>0.61040000000000005</v>
      </c>
      <c r="L4021">
        <v>1.0204</v>
      </c>
    </row>
    <row r="4022" spans="1:12" x14ac:dyDescent="0.25">
      <c r="A4022">
        <v>2303</v>
      </c>
      <c r="B4022" t="s">
        <v>10</v>
      </c>
      <c r="C4022" s="1">
        <v>43158</v>
      </c>
      <c r="D4022" s="2">
        <f t="shared" si="124"/>
        <v>2</v>
      </c>
      <c r="E4022" s="2">
        <f t="shared" si="125"/>
        <v>2</v>
      </c>
      <c r="F4022">
        <v>13.0419</v>
      </c>
      <c r="G4022">
        <v>13.134</v>
      </c>
      <c r="H4022">
        <v>13.0419</v>
      </c>
      <c r="I4022">
        <v>13.0419</v>
      </c>
      <c r="J4022">
        <v>25142</v>
      </c>
      <c r="K4022">
        <v>0.35399999999999998</v>
      </c>
      <c r="L4022">
        <v>0.70669999999999999</v>
      </c>
    </row>
    <row r="4023" spans="1:12" hidden="1" x14ac:dyDescent="0.25">
      <c r="A4023">
        <v>2330</v>
      </c>
      <c r="B4023" t="s">
        <v>11</v>
      </c>
      <c r="C4023" s="1">
        <v>43158</v>
      </c>
      <c r="D4023" s="2">
        <f t="shared" si="124"/>
        <v>2</v>
      </c>
      <c r="E4023" s="2">
        <f t="shared" si="125"/>
        <v>2</v>
      </c>
      <c r="F4023">
        <v>228.2576</v>
      </c>
      <c r="G4023">
        <v>228.2576</v>
      </c>
      <c r="H4023">
        <v>224.15719999999999</v>
      </c>
      <c r="I4023">
        <v>224.15719999999999</v>
      </c>
      <c r="J4023">
        <v>44699</v>
      </c>
      <c r="K4023">
        <v>-0.20300000000000001</v>
      </c>
      <c r="L4023">
        <v>1.8292999999999999</v>
      </c>
    </row>
    <row r="4024" spans="1:12" x14ac:dyDescent="0.25">
      <c r="A4024">
        <v>2303</v>
      </c>
      <c r="B4024" t="s">
        <v>10</v>
      </c>
      <c r="C4024" s="1">
        <v>43160</v>
      </c>
      <c r="D4024" s="2">
        <f t="shared" si="124"/>
        <v>4</v>
      </c>
      <c r="E4024" s="2">
        <f t="shared" si="125"/>
        <v>3</v>
      </c>
      <c r="F4024">
        <v>12.995799999999999</v>
      </c>
      <c r="G4024">
        <v>12.995799999999999</v>
      </c>
      <c r="H4024">
        <v>12.8575</v>
      </c>
      <c r="I4024">
        <v>12.903600000000001</v>
      </c>
      <c r="J4024">
        <v>31311</v>
      </c>
      <c r="K4024">
        <v>-1.0657000000000001</v>
      </c>
      <c r="L4024">
        <v>1.0752999999999999</v>
      </c>
    </row>
    <row r="4025" spans="1:12" hidden="1" x14ac:dyDescent="0.25">
      <c r="A4025">
        <v>2330</v>
      </c>
      <c r="B4025" t="s">
        <v>11</v>
      </c>
      <c r="C4025" s="1">
        <v>43160</v>
      </c>
      <c r="D4025" s="2">
        <f t="shared" si="124"/>
        <v>4</v>
      </c>
      <c r="E4025" s="2">
        <f t="shared" si="125"/>
        <v>3</v>
      </c>
      <c r="F4025">
        <v>222.3348</v>
      </c>
      <c r="G4025">
        <v>223.24600000000001</v>
      </c>
      <c r="H4025">
        <v>220.51230000000001</v>
      </c>
      <c r="I4025">
        <v>221.42349999999999</v>
      </c>
      <c r="J4025">
        <v>43847</v>
      </c>
      <c r="K4025">
        <v>-1.2270000000000001</v>
      </c>
      <c r="L4025">
        <v>1.2397</v>
      </c>
    </row>
    <row r="4026" spans="1:12" x14ac:dyDescent="0.25">
      <c r="A4026">
        <v>2303</v>
      </c>
      <c r="B4026" t="s">
        <v>10</v>
      </c>
      <c r="C4026" s="1">
        <v>43161</v>
      </c>
      <c r="D4026" s="2">
        <f t="shared" si="124"/>
        <v>5</v>
      </c>
      <c r="E4026" s="2">
        <f t="shared" si="125"/>
        <v>3</v>
      </c>
      <c r="F4026">
        <v>12.811400000000001</v>
      </c>
      <c r="G4026">
        <v>12.903600000000001</v>
      </c>
      <c r="H4026">
        <v>12.7654</v>
      </c>
      <c r="I4026">
        <v>12.903600000000001</v>
      </c>
      <c r="J4026">
        <v>24219</v>
      </c>
      <c r="K4026">
        <v>0</v>
      </c>
      <c r="L4026">
        <v>1.083</v>
      </c>
    </row>
    <row r="4027" spans="1:12" hidden="1" x14ac:dyDescent="0.25">
      <c r="A4027">
        <v>2330</v>
      </c>
      <c r="B4027" t="s">
        <v>11</v>
      </c>
      <c r="C4027" s="1">
        <v>43161</v>
      </c>
      <c r="D4027" s="2">
        <f t="shared" si="124"/>
        <v>5</v>
      </c>
      <c r="E4027" s="2">
        <f t="shared" si="125"/>
        <v>3</v>
      </c>
      <c r="F4027">
        <v>218.68989999999999</v>
      </c>
      <c r="G4027">
        <v>219.6011</v>
      </c>
      <c r="H4027">
        <v>217.32310000000001</v>
      </c>
      <c r="I4027">
        <v>218.68989999999999</v>
      </c>
      <c r="J4027">
        <v>35289</v>
      </c>
      <c r="K4027">
        <v>-1.2423</v>
      </c>
      <c r="L4027">
        <v>1.0482</v>
      </c>
    </row>
    <row r="4028" spans="1:12" x14ac:dyDescent="0.25">
      <c r="A4028">
        <v>2303</v>
      </c>
      <c r="B4028" t="s">
        <v>10</v>
      </c>
      <c r="C4028" s="1">
        <v>43164</v>
      </c>
      <c r="D4028" s="2">
        <f t="shared" si="124"/>
        <v>1</v>
      </c>
      <c r="E4028" s="2">
        <f t="shared" si="125"/>
        <v>3</v>
      </c>
      <c r="F4028">
        <v>12.903600000000001</v>
      </c>
      <c r="G4028">
        <v>12.9497</v>
      </c>
      <c r="H4028">
        <v>12.7654</v>
      </c>
      <c r="I4028">
        <v>12.811400000000001</v>
      </c>
      <c r="J4028">
        <v>18923</v>
      </c>
      <c r="K4028">
        <v>-0.71679999999999999</v>
      </c>
      <c r="L4028">
        <v>1.444</v>
      </c>
    </row>
    <row r="4029" spans="1:12" hidden="1" x14ac:dyDescent="0.25">
      <c r="A4029">
        <v>2330</v>
      </c>
      <c r="B4029" t="s">
        <v>11</v>
      </c>
      <c r="C4029" s="1">
        <v>43164</v>
      </c>
      <c r="D4029" s="2">
        <f t="shared" si="124"/>
        <v>1</v>
      </c>
      <c r="E4029" s="2">
        <f t="shared" si="125"/>
        <v>3</v>
      </c>
      <c r="F4029">
        <v>220.96789999999999</v>
      </c>
      <c r="G4029">
        <v>221.42349999999999</v>
      </c>
      <c r="H4029">
        <v>219.1455</v>
      </c>
      <c r="I4029">
        <v>220.05670000000001</v>
      </c>
      <c r="J4029">
        <v>27337</v>
      </c>
      <c r="K4029">
        <v>0.62309999999999999</v>
      </c>
      <c r="L4029">
        <v>1.0395000000000001</v>
      </c>
    </row>
    <row r="4030" spans="1:12" x14ac:dyDescent="0.25">
      <c r="A4030">
        <v>2303</v>
      </c>
      <c r="B4030" t="s">
        <v>10</v>
      </c>
      <c r="C4030" s="1">
        <v>43165</v>
      </c>
      <c r="D4030" s="2">
        <f t="shared" si="124"/>
        <v>2</v>
      </c>
      <c r="E4030" s="2">
        <f t="shared" si="125"/>
        <v>3</v>
      </c>
      <c r="F4030">
        <v>12.903600000000001</v>
      </c>
      <c r="G4030">
        <v>13.087899999999999</v>
      </c>
      <c r="H4030">
        <v>12.8575</v>
      </c>
      <c r="I4030">
        <v>13.0419</v>
      </c>
      <c r="J4030">
        <v>38196</v>
      </c>
      <c r="K4030">
        <v>1.7826</v>
      </c>
      <c r="L4030">
        <v>1.7921</v>
      </c>
    </row>
    <row r="4031" spans="1:12" hidden="1" x14ac:dyDescent="0.25">
      <c r="A4031">
        <v>2330</v>
      </c>
      <c r="B4031" t="s">
        <v>11</v>
      </c>
      <c r="C4031" s="1">
        <v>43165</v>
      </c>
      <c r="D4031" s="2">
        <f t="shared" si="124"/>
        <v>2</v>
      </c>
      <c r="E4031" s="2">
        <f t="shared" si="125"/>
        <v>3</v>
      </c>
      <c r="F4031">
        <v>223.70160000000001</v>
      </c>
      <c r="G4031">
        <v>227.80199999999999</v>
      </c>
      <c r="H4031">
        <v>223.70160000000001</v>
      </c>
      <c r="I4031">
        <v>227.80199999999999</v>
      </c>
      <c r="J4031">
        <v>36945</v>
      </c>
      <c r="K4031">
        <v>3.4590999999999998</v>
      </c>
      <c r="L4031">
        <v>1.833</v>
      </c>
    </row>
    <row r="4032" spans="1:12" x14ac:dyDescent="0.25">
      <c r="A4032">
        <v>2303</v>
      </c>
      <c r="B4032" t="s">
        <v>10</v>
      </c>
      <c r="C4032" s="1">
        <v>43166</v>
      </c>
      <c r="D4032" s="2">
        <f t="shared" si="124"/>
        <v>3</v>
      </c>
      <c r="E4032" s="2">
        <f t="shared" si="125"/>
        <v>3</v>
      </c>
      <c r="F4032">
        <v>12.995799999999999</v>
      </c>
      <c r="G4032">
        <v>13.087899999999999</v>
      </c>
      <c r="H4032">
        <v>12.903600000000001</v>
      </c>
      <c r="I4032">
        <v>12.9497</v>
      </c>
      <c r="J4032">
        <v>23556</v>
      </c>
      <c r="K4032">
        <v>-0.70920000000000005</v>
      </c>
      <c r="L4032">
        <v>1.4286000000000001</v>
      </c>
    </row>
    <row r="4033" spans="1:12" hidden="1" x14ac:dyDescent="0.25">
      <c r="A4033">
        <v>2330</v>
      </c>
      <c r="B4033" t="s">
        <v>11</v>
      </c>
      <c r="C4033" s="1">
        <v>43166</v>
      </c>
      <c r="D4033" s="2">
        <f t="shared" si="124"/>
        <v>3</v>
      </c>
      <c r="E4033" s="2">
        <f t="shared" si="125"/>
        <v>3</v>
      </c>
      <c r="F4033">
        <v>225.9796</v>
      </c>
      <c r="G4033">
        <v>226.43520000000001</v>
      </c>
      <c r="H4033">
        <v>224.15719999999999</v>
      </c>
      <c r="I4033">
        <v>225.0684</v>
      </c>
      <c r="J4033">
        <v>30391</v>
      </c>
      <c r="K4033">
        <v>-1.2073</v>
      </c>
      <c r="L4033">
        <v>1.0163</v>
      </c>
    </row>
    <row r="4034" spans="1:12" x14ac:dyDescent="0.25">
      <c r="A4034">
        <v>2303</v>
      </c>
      <c r="B4034" t="s">
        <v>10</v>
      </c>
      <c r="C4034" s="1">
        <v>43167</v>
      </c>
      <c r="D4034" s="2">
        <f t="shared" si="124"/>
        <v>4</v>
      </c>
      <c r="E4034" s="2">
        <f t="shared" si="125"/>
        <v>3</v>
      </c>
      <c r="F4034">
        <v>13.641</v>
      </c>
      <c r="G4034">
        <v>14.24</v>
      </c>
      <c r="H4034">
        <v>13.594900000000001</v>
      </c>
      <c r="I4034">
        <v>14.24</v>
      </c>
      <c r="J4034">
        <v>192883</v>
      </c>
      <c r="K4034">
        <v>9.4986999999999995</v>
      </c>
      <c r="L4034">
        <v>4.7458</v>
      </c>
    </row>
    <row r="4035" spans="1:12" hidden="1" x14ac:dyDescent="0.25">
      <c r="A4035">
        <v>2330</v>
      </c>
      <c r="B4035" t="s">
        <v>11</v>
      </c>
      <c r="C4035" s="1">
        <v>43167</v>
      </c>
      <c r="D4035" s="2">
        <f t="shared" ref="D4035:D4098" si="126">WEEKDAY(C4035,2)</f>
        <v>4</v>
      </c>
      <c r="E4035" s="2">
        <f t="shared" ref="E4035:E4098" si="127">MONTH(C4035)</f>
        <v>3</v>
      </c>
      <c r="F4035">
        <v>227.34639999999999</v>
      </c>
      <c r="G4035">
        <v>229.1688</v>
      </c>
      <c r="H4035">
        <v>226.89080000000001</v>
      </c>
      <c r="I4035">
        <v>227.34639999999999</v>
      </c>
      <c r="J4035">
        <v>20645</v>
      </c>
      <c r="K4035">
        <v>1.0071000000000001</v>
      </c>
      <c r="L4035">
        <v>1.004</v>
      </c>
    </row>
    <row r="4036" spans="1:12" x14ac:dyDescent="0.25">
      <c r="A4036">
        <v>2303</v>
      </c>
      <c r="B4036" t="s">
        <v>10</v>
      </c>
      <c r="C4036" s="1">
        <v>43168</v>
      </c>
      <c r="D4036" s="2">
        <f t="shared" si="126"/>
        <v>5</v>
      </c>
      <c r="E4036" s="2">
        <f t="shared" si="127"/>
        <v>3</v>
      </c>
      <c r="F4036">
        <v>14.378299999999999</v>
      </c>
      <c r="G4036">
        <v>14.470499999999999</v>
      </c>
      <c r="H4036">
        <v>13.8714</v>
      </c>
      <c r="I4036">
        <v>13.9175</v>
      </c>
      <c r="J4036">
        <v>171989</v>
      </c>
      <c r="K4036">
        <v>-2.2913999999999999</v>
      </c>
      <c r="L4036">
        <v>4.3189000000000002</v>
      </c>
    </row>
    <row r="4037" spans="1:12" hidden="1" x14ac:dyDescent="0.25">
      <c r="A4037">
        <v>2330</v>
      </c>
      <c r="B4037" t="s">
        <v>11</v>
      </c>
      <c r="C4037" s="1">
        <v>43168</v>
      </c>
      <c r="D4037" s="2">
        <f t="shared" si="126"/>
        <v>5</v>
      </c>
      <c r="E4037" s="2">
        <f t="shared" si="127"/>
        <v>3</v>
      </c>
      <c r="F4037">
        <v>227.80199999999999</v>
      </c>
      <c r="G4037">
        <v>228.7132</v>
      </c>
      <c r="H4037">
        <v>226.43520000000001</v>
      </c>
      <c r="I4037">
        <v>228.2576</v>
      </c>
      <c r="J4037">
        <v>22887</v>
      </c>
      <c r="K4037">
        <v>0.4</v>
      </c>
      <c r="L4037">
        <v>1.006</v>
      </c>
    </row>
    <row r="4038" spans="1:12" x14ac:dyDescent="0.25">
      <c r="A4038">
        <v>2303</v>
      </c>
      <c r="B4038" t="s">
        <v>10</v>
      </c>
      <c r="C4038" s="1">
        <v>43171</v>
      </c>
      <c r="D4038" s="2">
        <f t="shared" si="126"/>
        <v>1</v>
      </c>
      <c r="E4038" s="2">
        <f t="shared" si="127"/>
        <v>3</v>
      </c>
      <c r="F4038">
        <v>14.101800000000001</v>
      </c>
      <c r="G4038">
        <v>14.24</v>
      </c>
      <c r="H4038">
        <v>14.009600000000001</v>
      </c>
      <c r="I4038">
        <v>14.0557</v>
      </c>
      <c r="J4038">
        <v>53982</v>
      </c>
      <c r="K4038">
        <v>0.98850000000000005</v>
      </c>
      <c r="L4038">
        <v>1.6447000000000001</v>
      </c>
    </row>
    <row r="4039" spans="1:12" hidden="1" x14ac:dyDescent="0.25">
      <c r="A4039">
        <v>2330</v>
      </c>
      <c r="B4039" t="s">
        <v>11</v>
      </c>
      <c r="C4039" s="1">
        <v>43171</v>
      </c>
      <c r="D4039" s="2">
        <f t="shared" si="126"/>
        <v>1</v>
      </c>
      <c r="E4039" s="2">
        <f t="shared" si="127"/>
        <v>3</v>
      </c>
      <c r="F4039">
        <v>229.62440000000001</v>
      </c>
      <c r="G4039">
        <v>232.358</v>
      </c>
      <c r="H4039">
        <v>229.1688</v>
      </c>
      <c r="I4039">
        <v>231.4468</v>
      </c>
      <c r="J4039">
        <v>25100</v>
      </c>
      <c r="K4039">
        <v>1.3875</v>
      </c>
      <c r="L4039">
        <v>1.3916999999999999</v>
      </c>
    </row>
    <row r="4040" spans="1:12" x14ac:dyDescent="0.25">
      <c r="A4040">
        <v>2303</v>
      </c>
      <c r="B4040" t="s">
        <v>10</v>
      </c>
      <c r="C4040" s="1">
        <v>43172</v>
      </c>
      <c r="D4040" s="2">
        <f t="shared" si="126"/>
        <v>2</v>
      </c>
      <c r="E4040" s="2">
        <f t="shared" si="127"/>
        <v>3</v>
      </c>
      <c r="F4040">
        <v>14.009600000000001</v>
      </c>
      <c r="G4040">
        <v>14.0557</v>
      </c>
      <c r="H4040">
        <v>13.9175</v>
      </c>
      <c r="I4040">
        <v>14.0557</v>
      </c>
      <c r="J4040">
        <v>41466</v>
      </c>
      <c r="K4040">
        <v>0</v>
      </c>
      <c r="L4040">
        <v>0.99339999999999995</v>
      </c>
    </row>
    <row r="4041" spans="1:12" hidden="1" x14ac:dyDescent="0.25">
      <c r="A4041">
        <v>2330</v>
      </c>
      <c r="B4041" t="s">
        <v>11</v>
      </c>
      <c r="C4041" s="1">
        <v>43172</v>
      </c>
      <c r="D4041" s="2">
        <f t="shared" si="126"/>
        <v>2</v>
      </c>
      <c r="E4041" s="2">
        <f t="shared" si="127"/>
        <v>3</v>
      </c>
      <c r="F4041">
        <v>232.81360000000001</v>
      </c>
      <c r="G4041">
        <v>236.00290000000001</v>
      </c>
      <c r="H4041">
        <v>232.358</v>
      </c>
      <c r="I4041">
        <v>236.00290000000001</v>
      </c>
      <c r="J4041">
        <v>34264</v>
      </c>
      <c r="K4041">
        <v>1.9494</v>
      </c>
      <c r="L4041">
        <v>1.5686</v>
      </c>
    </row>
    <row r="4042" spans="1:12" x14ac:dyDescent="0.25">
      <c r="A4042">
        <v>2303</v>
      </c>
      <c r="B4042" t="s">
        <v>10</v>
      </c>
      <c r="C4042" s="1">
        <v>43173</v>
      </c>
      <c r="D4042" s="2">
        <f t="shared" si="126"/>
        <v>3</v>
      </c>
      <c r="E4042" s="2">
        <f t="shared" si="127"/>
        <v>3</v>
      </c>
      <c r="F4042">
        <v>14.009600000000001</v>
      </c>
      <c r="G4042">
        <v>14.0557</v>
      </c>
      <c r="H4042">
        <v>13.8714</v>
      </c>
      <c r="I4042">
        <v>13.9175</v>
      </c>
      <c r="J4042">
        <v>30406</v>
      </c>
      <c r="K4042">
        <v>-0.98850000000000005</v>
      </c>
      <c r="L4042">
        <v>1.3289</v>
      </c>
    </row>
    <row r="4043" spans="1:12" hidden="1" x14ac:dyDescent="0.25">
      <c r="A4043">
        <v>2330</v>
      </c>
      <c r="B4043" t="s">
        <v>11</v>
      </c>
      <c r="C4043" s="1">
        <v>43173</v>
      </c>
      <c r="D4043" s="2">
        <f t="shared" si="126"/>
        <v>3</v>
      </c>
      <c r="E4043" s="2">
        <f t="shared" si="127"/>
        <v>3</v>
      </c>
      <c r="F4043">
        <v>233.72489999999999</v>
      </c>
      <c r="G4043">
        <v>234.6361</v>
      </c>
      <c r="H4043">
        <v>232.81360000000001</v>
      </c>
      <c r="I4043">
        <v>234.18049999999999</v>
      </c>
      <c r="J4043">
        <v>24254</v>
      </c>
      <c r="K4043">
        <v>-0.7752</v>
      </c>
      <c r="L4043">
        <v>0.78280000000000005</v>
      </c>
    </row>
    <row r="4044" spans="1:12" x14ac:dyDescent="0.25">
      <c r="A4044">
        <v>2303</v>
      </c>
      <c r="B4044" t="s">
        <v>10</v>
      </c>
      <c r="C4044" s="1">
        <v>43174</v>
      </c>
      <c r="D4044" s="2">
        <f t="shared" si="126"/>
        <v>4</v>
      </c>
      <c r="E4044" s="2">
        <f t="shared" si="127"/>
        <v>3</v>
      </c>
      <c r="F4044">
        <v>13.8714</v>
      </c>
      <c r="G4044">
        <v>14.009600000000001</v>
      </c>
      <c r="H4044">
        <v>13.8714</v>
      </c>
      <c r="I4044">
        <v>13.9175</v>
      </c>
      <c r="J4044">
        <v>26807</v>
      </c>
      <c r="K4044">
        <v>0</v>
      </c>
      <c r="L4044">
        <v>0.99670000000000003</v>
      </c>
    </row>
    <row r="4045" spans="1:12" hidden="1" x14ac:dyDescent="0.25">
      <c r="A4045">
        <v>2330</v>
      </c>
      <c r="B4045" t="s">
        <v>11</v>
      </c>
      <c r="C4045" s="1">
        <v>43174</v>
      </c>
      <c r="D4045" s="2">
        <f t="shared" si="126"/>
        <v>4</v>
      </c>
      <c r="E4045" s="2">
        <f t="shared" si="127"/>
        <v>3</v>
      </c>
      <c r="F4045">
        <v>235.0917</v>
      </c>
      <c r="G4045">
        <v>235.0917</v>
      </c>
      <c r="H4045">
        <v>232.358</v>
      </c>
      <c r="I4045">
        <v>232.358</v>
      </c>
      <c r="J4045">
        <v>19396</v>
      </c>
      <c r="K4045">
        <v>-0.78129999999999999</v>
      </c>
      <c r="L4045">
        <v>1.1765000000000001</v>
      </c>
    </row>
    <row r="4046" spans="1:12" x14ac:dyDescent="0.25">
      <c r="A4046">
        <v>2303</v>
      </c>
      <c r="B4046" t="s">
        <v>10</v>
      </c>
      <c r="C4046" s="1">
        <v>43175</v>
      </c>
      <c r="D4046" s="2">
        <f t="shared" si="126"/>
        <v>5</v>
      </c>
      <c r="E4046" s="2">
        <f t="shared" si="127"/>
        <v>3</v>
      </c>
      <c r="F4046">
        <v>13.8714</v>
      </c>
      <c r="G4046">
        <v>14.009600000000001</v>
      </c>
      <c r="H4046">
        <v>13.8253</v>
      </c>
      <c r="I4046">
        <v>14.009600000000001</v>
      </c>
      <c r="J4046">
        <v>40546</v>
      </c>
      <c r="K4046">
        <v>0.66010000000000002</v>
      </c>
      <c r="L4046">
        <v>1.3332999999999999</v>
      </c>
    </row>
    <row r="4047" spans="1:12" hidden="1" x14ac:dyDescent="0.25">
      <c r="A4047">
        <v>2330</v>
      </c>
      <c r="B4047" t="s">
        <v>11</v>
      </c>
      <c r="C4047" s="1">
        <v>43175</v>
      </c>
      <c r="D4047" s="2">
        <f t="shared" si="126"/>
        <v>5</v>
      </c>
      <c r="E4047" s="2">
        <f t="shared" si="127"/>
        <v>3</v>
      </c>
      <c r="F4047">
        <v>230.53559999999999</v>
      </c>
      <c r="G4047">
        <v>233.26920000000001</v>
      </c>
      <c r="H4047">
        <v>227.34639999999999</v>
      </c>
      <c r="I4047">
        <v>232.358</v>
      </c>
      <c r="J4047">
        <v>62989</v>
      </c>
      <c r="K4047">
        <v>0</v>
      </c>
      <c r="L4047">
        <v>2.6052</v>
      </c>
    </row>
    <row r="4048" spans="1:12" x14ac:dyDescent="0.25">
      <c r="A4048">
        <v>2303</v>
      </c>
      <c r="B4048" t="s">
        <v>10</v>
      </c>
      <c r="C4048" s="1">
        <v>43178</v>
      </c>
      <c r="D4048" s="2">
        <f t="shared" si="126"/>
        <v>1</v>
      </c>
      <c r="E4048" s="2">
        <f t="shared" si="127"/>
        <v>3</v>
      </c>
      <c r="F4048">
        <v>13.9635</v>
      </c>
      <c r="G4048">
        <v>14.1479</v>
      </c>
      <c r="H4048">
        <v>13.9175</v>
      </c>
      <c r="I4048">
        <v>14.0557</v>
      </c>
      <c r="J4048">
        <v>26548</v>
      </c>
      <c r="K4048">
        <v>0.32840000000000003</v>
      </c>
      <c r="L4048">
        <v>1.6556</v>
      </c>
    </row>
    <row r="4049" spans="1:12" hidden="1" x14ac:dyDescent="0.25">
      <c r="A4049">
        <v>2330</v>
      </c>
      <c r="B4049" t="s">
        <v>11</v>
      </c>
      <c r="C4049" s="1">
        <v>43178</v>
      </c>
      <c r="D4049" s="2">
        <f t="shared" si="126"/>
        <v>1</v>
      </c>
      <c r="E4049" s="2">
        <f t="shared" si="127"/>
        <v>3</v>
      </c>
      <c r="F4049">
        <v>230.08</v>
      </c>
      <c r="G4049">
        <v>232.81360000000001</v>
      </c>
      <c r="H4049">
        <v>228.7132</v>
      </c>
      <c r="I4049">
        <v>232.358</v>
      </c>
      <c r="J4049">
        <v>22440</v>
      </c>
      <c r="K4049">
        <v>0</v>
      </c>
      <c r="L4049">
        <v>1.7927999999999999</v>
      </c>
    </row>
    <row r="4050" spans="1:12" x14ac:dyDescent="0.25">
      <c r="A4050">
        <v>2303</v>
      </c>
      <c r="B4050" t="s">
        <v>10</v>
      </c>
      <c r="C4050" s="1">
        <v>43179</v>
      </c>
      <c r="D4050" s="2">
        <f t="shared" si="126"/>
        <v>2</v>
      </c>
      <c r="E4050" s="2">
        <f t="shared" si="127"/>
        <v>3</v>
      </c>
      <c r="F4050">
        <v>14.009600000000001</v>
      </c>
      <c r="G4050">
        <v>14.009600000000001</v>
      </c>
      <c r="H4050">
        <v>13.9175</v>
      </c>
      <c r="I4050">
        <v>14.009600000000001</v>
      </c>
      <c r="J4050">
        <v>22326</v>
      </c>
      <c r="K4050">
        <v>-0.32840000000000003</v>
      </c>
      <c r="L4050">
        <v>0.6623</v>
      </c>
    </row>
    <row r="4051" spans="1:12" hidden="1" x14ac:dyDescent="0.25">
      <c r="A4051">
        <v>2330</v>
      </c>
      <c r="B4051" t="s">
        <v>11</v>
      </c>
      <c r="C4051" s="1">
        <v>43179</v>
      </c>
      <c r="D4051" s="2">
        <f t="shared" si="126"/>
        <v>2</v>
      </c>
      <c r="E4051" s="2">
        <f t="shared" si="127"/>
        <v>3</v>
      </c>
      <c r="F4051">
        <v>230.53559999999999</v>
      </c>
      <c r="G4051">
        <v>231.4468</v>
      </c>
      <c r="H4051">
        <v>229.1688</v>
      </c>
      <c r="I4051">
        <v>230.53559999999999</v>
      </c>
      <c r="J4051">
        <v>22335</v>
      </c>
      <c r="K4051">
        <v>-0.78739999999999999</v>
      </c>
      <c r="L4051">
        <v>0.99399999999999999</v>
      </c>
    </row>
    <row r="4052" spans="1:12" x14ac:dyDescent="0.25">
      <c r="A4052">
        <v>2303</v>
      </c>
      <c r="B4052" t="s">
        <v>10</v>
      </c>
      <c r="C4052" s="1">
        <v>43180</v>
      </c>
      <c r="D4052" s="2">
        <f t="shared" si="126"/>
        <v>3</v>
      </c>
      <c r="E4052" s="2">
        <f t="shared" si="127"/>
        <v>3</v>
      </c>
      <c r="F4052">
        <v>14.009600000000001</v>
      </c>
      <c r="G4052">
        <v>14.0557</v>
      </c>
      <c r="H4052">
        <v>13.9175</v>
      </c>
      <c r="I4052">
        <v>14.009600000000001</v>
      </c>
      <c r="J4052">
        <v>30837</v>
      </c>
      <c r="K4052">
        <v>0</v>
      </c>
      <c r="L4052">
        <v>0.99339999999999995</v>
      </c>
    </row>
    <row r="4053" spans="1:12" hidden="1" x14ac:dyDescent="0.25">
      <c r="A4053">
        <v>2330</v>
      </c>
      <c r="B4053" t="s">
        <v>11</v>
      </c>
      <c r="C4053" s="1">
        <v>43180</v>
      </c>
      <c r="D4053" s="2">
        <f t="shared" si="126"/>
        <v>3</v>
      </c>
      <c r="E4053" s="2">
        <f t="shared" si="127"/>
        <v>3</v>
      </c>
      <c r="F4053">
        <v>232.358</v>
      </c>
      <c r="G4053">
        <v>232.358</v>
      </c>
      <c r="H4053">
        <v>228.7132</v>
      </c>
      <c r="I4053">
        <v>230.08</v>
      </c>
      <c r="J4053">
        <v>32977</v>
      </c>
      <c r="K4053">
        <v>-0.1978</v>
      </c>
      <c r="L4053">
        <v>1.5935999999999999</v>
      </c>
    </row>
    <row r="4054" spans="1:12" x14ac:dyDescent="0.25">
      <c r="A4054">
        <v>2303</v>
      </c>
      <c r="B4054" t="s">
        <v>10</v>
      </c>
      <c r="C4054" s="1">
        <v>43181</v>
      </c>
      <c r="D4054" s="2">
        <f t="shared" si="126"/>
        <v>4</v>
      </c>
      <c r="E4054" s="2">
        <f t="shared" si="127"/>
        <v>3</v>
      </c>
      <c r="F4054">
        <v>14.101800000000001</v>
      </c>
      <c r="G4054">
        <v>14.1479</v>
      </c>
      <c r="H4054">
        <v>13.9635</v>
      </c>
      <c r="I4054">
        <v>14.0557</v>
      </c>
      <c r="J4054">
        <v>30331</v>
      </c>
      <c r="K4054">
        <v>0.32840000000000003</v>
      </c>
      <c r="L4054">
        <v>1.3201000000000001</v>
      </c>
    </row>
    <row r="4055" spans="1:12" hidden="1" x14ac:dyDescent="0.25">
      <c r="A4055">
        <v>2330</v>
      </c>
      <c r="B4055" t="s">
        <v>11</v>
      </c>
      <c r="C4055" s="1">
        <v>43181</v>
      </c>
      <c r="D4055" s="2">
        <f t="shared" si="126"/>
        <v>4</v>
      </c>
      <c r="E4055" s="2">
        <f t="shared" si="127"/>
        <v>3</v>
      </c>
      <c r="F4055">
        <v>231.9024</v>
      </c>
      <c r="G4055">
        <v>231.9024</v>
      </c>
      <c r="H4055">
        <v>227.34639999999999</v>
      </c>
      <c r="I4055">
        <v>229.1688</v>
      </c>
      <c r="J4055">
        <v>27000</v>
      </c>
      <c r="K4055">
        <v>-0.39679999999999999</v>
      </c>
      <c r="L4055">
        <v>2.004</v>
      </c>
    </row>
    <row r="4056" spans="1:12" x14ac:dyDescent="0.25">
      <c r="A4056">
        <v>2303</v>
      </c>
      <c r="B4056" t="s">
        <v>10</v>
      </c>
      <c r="C4056" s="1">
        <v>43182</v>
      </c>
      <c r="D4056" s="2">
        <f t="shared" si="126"/>
        <v>5</v>
      </c>
      <c r="E4056" s="2">
        <f t="shared" si="127"/>
        <v>3</v>
      </c>
      <c r="F4056">
        <v>13.8714</v>
      </c>
      <c r="G4056">
        <v>14.009600000000001</v>
      </c>
      <c r="H4056">
        <v>13.8253</v>
      </c>
      <c r="I4056">
        <v>14.009600000000001</v>
      </c>
      <c r="J4056">
        <v>50157</v>
      </c>
      <c r="K4056">
        <v>-0.32840000000000003</v>
      </c>
      <c r="L4056">
        <v>1.3332999999999999</v>
      </c>
    </row>
    <row r="4057" spans="1:12" hidden="1" x14ac:dyDescent="0.25">
      <c r="A4057">
        <v>2330</v>
      </c>
      <c r="B4057" t="s">
        <v>11</v>
      </c>
      <c r="C4057" s="1">
        <v>43182</v>
      </c>
      <c r="D4057" s="2">
        <f t="shared" si="126"/>
        <v>5</v>
      </c>
      <c r="E4057" s="2">
        <f t="shared" si="127"/>
        <v>3</v>
      </c>
      <c r="F4057">
        <v>223.24600000000001</v>
      </c>
      <c r="G4057">
        <v>225.0684</v>
      </c>
      <c r="H4057">
        <v>222.3348</v>
      </c>
      <c r="I4057">
        <v>223.24600000000001</v>
      </c>
      <c r="J4057">
        <v>52974</v>
      </c>
      <c r="K4057">
        <v>-2.6185</v>
      </c>
      <c r="L4057">
        <v>1.2295</v>
      </c>
    </row>
    <row r="4058" spans="1:12" x14ac:dyDescent="0.25">
      <c r="A4058">
        <v>2303</v>
      </c>
      <c r="B4058" t="s">
        <v>10</v>
      </c>
      <c r="C4058" s="1">
        <v>43185</v>
      </c>
      <c r="D4058" s="2">
        <f t="shared" si="126"/>
        <v>1</v>
      </c>
      <c r="E4058" s="2">
        <f t="shared" si="127"/>
        <v>3</v>
      </c>
      <c r="F4058">
        <v>13.8714</v>
      </c>
      <c r="G4058">
        <v>14.009600000000001</v>
      </c>
      <c r="H4058">
        <v>13.8714</v>
      </c>
      <c r="I4058">
        <v>13.9635</v>
      </c>
      <c r="J4058">
        <v>34810</v>
      </c>
      <c r="K4058">
        <v>-0.32950000000000002</v>
      </c>
      <c r="L4058">
        <v>0.99670000000000003</v>
      </c>
    </row>
    <row r="4059" spans="1:12" hidden="1" x14ac:dyDescent="0.25">
      <c r="A4059">
        <v>2330</v>
      </c>
      <c r="B4059" t="s">
        <v>11</v>
      </c>
      <c r="C4059" s="1">
        <v>43185</v>
      </c>
      <c r="D4059" s="2">
        <f t="shared" si="126"/>
        <v>1</v>
      </c>
      <c r="E4059" s="2">
        <f t="shared" si="127"/>
        <v>3</v>
      </c>
      <c r="F4059">
        <v>220.05670000000001</v>
      </c>
      <c r="G4059">
        <v>222.79040000000001</v>
      </c>
      <c r="H4059">
        <v>220.05670000000001</v>
      </c>
      <c r="I4059">
        <v>221.87909999999999</v>
      </c>
      <c r="J4059">
        <v>39487</v>
      </c>
      <c r="K4059">
        <v>-0.61409999999999998</v>
      </c>
      <c r="L4059">
        <v>1.2422</v>
      </c>
    </row>
    <row r="4060" spans="1:12" x14ac:dyDescent="0.25">
      <c r="A4060">
        <v>2303</v>
      </c>
      <c r="B4060" t="s">
        <v>10</v>
      </c>
      <c r="C4060" s="1">
        <v>43186</v>
      </c>
      <c r="D4060" s="2">
        <f t="shared" si="126"/>
        <v>2</v>
      </c>
      <c r="E4060" s="2">
        <f t="shared" si="127"/>
        <v>3</v>
      </c>
      <c r="F4060">
        <v>14.009600000000001</v>
      </c>
      <c r="G4060">
        <v>14.4244</v>
      </c>
      <c r="H4060">
        <v>13.9635</v>
      </c>
      <c r="I4060">
        <v>14.3322</v>
      </c>
      <c r="J4060">
        <v>60879</v>
      </c>
      <c r="K4060">
        <v>2.6059999999999999</v>
      </c>
      <c r="L4060">
        <v>3.3003</v>
      </c>
    </row>
    <row r="4061" spans="1:12" hidden="1" x14ac:dyDescent="0.25">
      <c r="A4061">
        <v>2330</v>
      </c>
      <c r="B4061" t="s">
        <v>11</v>
      </c>
      <c r="C4061" s="1">
        <v>43186</v>
      </c>
      <c r="D4061" s="2">
        <f t="shared" si="126"/>
        <v>2</v>
      </c>
      <c r="E4061" s="2">
        <f t="shared" si="127"/>
        <v>3</v>
      </c>
      <c r="F4061">
        <v>225.9796</v>
      </c>
      <c r="G4061">
        <v>228.7132</v>
      </c>
      <c r="H4061">
        <v>225.0684</v>
      </c>
      <c r="I4061">
        <v>228.7132</v>
      </c>
      <c r="J4061">
        <v>31100</v>
      </c>
      <c r="K4061">
        <v>3.0335999999999999</v>
      </c>
      <c r="L4061">
        <v>1.6194</v>
      </c>
    </row>
    <row r="4062" spans="1:12" x14ac:dyDescent="0.25">
      <c r="A4062">
        <v>2303</v>
      </c>
      <c r="B4062" t="s">
        <v>10</v>
      </c>
      <c r="C4062" s="1">
        <v>43187</v>
      </c>
      <c r="D4062" s="2">
        <f t="shared" si="126"/>
        <v>3</v>
      </c>
      <c r="E4062" s="2">
        <f t="shared" si="127"/>
        <v>3</v>
      </c>
      <c r="F4062">
        <v>14.1479</v>
      </c>
      <c r="G4062">
        <v>14.286099999999999</v>
      </c>
      <c r="H4062">
        <v>14.101800000000001</v>
      </c>
      <c r="I4062">
        <v>14.194000000000001</v>
      </c>
      <c r="J4062">
        <v>19099</v>
      </c>
      <c r="K4062">
        <v>-0.96930000000000005</v>
      </c>
      <c r="L4062">
        <v>1.3071999999999999</v>
      </c>
    </row>
    <row r="4063" spans="1:12" hidden="1" x14ac:dyDescent="0.25">
      <c r="A4063">
        <v>2330</v>
      </c>
      <c r="B4063" t="s">
        <v>11</v>
      </c>
      <c r="C4063" s="1">
        <v>43187</v>
      </c>
      <c r="D4063" s="2">
        <f t="shared" si="126"/>
        <v>3</v>
      </c>
      <c r="E4063" s="2">
        <f t="shared" si="127"/>
        <v>3</v>
      </c>
      <c r="F4063">
        <v>225.524</v>
      </c>
      <c r="G4063">
        <v>225.9796</v>
      </c>
      <c r="H4063">
        <v>222.3348</v>
      </c>
      <c r="I4063">
        <v>223.24600000000001</v>
      </c>
      <c r="J4063">
        <v>29924</v>
      </c>
      <c r="K4063">
        <v>-2.4195000000000002</v>
      </c>
      <c r="L4063">
        <v>1.6393</v>
      </c>
    </row>
    <row r="4064" spans="1:12" x14ac:dyDescent="0.25">
      <c r="A4064">
        <v>2303</v>
      </c>
      <c r="B4064" t="s">
        <v>10</v>
      </c>
      <c r="C4064" s="1">
        <v>43188</v>
      </c>
      <c r="D4064" s="2">
        <f t="shared" si="126"/>
        <v>4</v>
      </c>
      <c r="E4064" s="2">
        <f t="shared" si="127"/>
        <v>3</v>
      </c>
      <c r="F4064">
        <v>14.1479</v>
      </c>
      <c r="G4064">
        <v>14.24</v>
      </c>
      <c r="H4064">
        <v>14.009600000000001</v>
      </c>
      <c r="I4064">
        <v>14.101800000000001</v>
      </c>
      <c r="J4064">
        <v>37000</v>
      </c>
      <c r="K4064">
        <v>-0.65149999999999997</v>
      </c>
      <c r="L4064">
        <v>1.6447000000000001</v>
      </c>
    </row>
    <row r="4065" spans="1:12" hidden="1" x14ac:dyDescent="0.25">
      <c r="A4065">
        <v>2330</v>
      </c>
      <c r="B4065" t="s">
        <v>11</v>
      </c>
      <c r="C4065" s="1">
        <v>43188</v>
      </c>
      <c r="D4065" s="2">
        <f t="shared" si="126"/>
        <v>4</v>
      </c>
      <c r="E4065" s="2">
        <f t="shared" si="127"/>
        <v>3</v>
      </c>
      <c r="F4065">
        <v>221.42349999999999</v>
      </c>
      <c r="G4065">
        <v>225.0684</v>
      </c>
      <c r="H4065">
        <v>220.96789999999999</v>
      </c>
      <c r="I4065">
        <v>222.3348</v>
      </c>
      <c r="J4065">
        <v>36427</v>
      </c>
      <c r="K4065">
        <v>-0.40899999999999997</v>
      </c>
      <c r="L4065">
        <v>1.8556999999999999</v>
      </c>
    </row>
    <row r="4066" spans="1:12" x14ac:dyDescent="0.25">
      <c r="A4066">
        <v>2303</v>
      </c>
      <c r="B4066" t="s">
        <v>10</v>
      </c>
      <c r="C4066" s="1">
        <v>43189</v>
      </c>
      <c r="D4066" s="2">
        <f t="shared" si="126"/>
        <v>5</v>
      </c>
      <c r="E4066" s="2">
        <f t="shared" si="127"/>
        <v>3</v>
      </c>
      <c r="F4066">
        <v>14.101800000000001</v>
      </c>
      <c r="G4066">
        <v>14.24</v>
      </c>
      <c r="H4066">
        <v>14.009600000000001</v>
      </c>
      <c r="I4066">
        <v>14.194000000000001</v>
      </c>
      <c r="J4066">
        <v>29931</v>
      </c>
      <c r="K4066">
        <v>0.65149999999999997</v>
      </c>
      <c r="L4066">
        <v>1.6447000000000001</v>
      </c>
    </row>
    <row r="4067" spans="1:12" hidden="1" x14ac:dyDescent="0.25">
      <c r="A4067">
        <v>2330</v>
      </c>
      <c r="B4067" t="s">
        <v>11</v>
      </c>
      <c r="C4067" s="1">
        <v>43189</v>
      </c>
      <c r="D4067" s="2">
        <f t="shared" si="126"/>
        <v>5</v>
      </c>
      <c r="E4067" s="2">
        <f t="shared" si="127"/>
        <v>3</v>
      </c>
      <c r="F4067">
        <v>225.524</v>
      </c>
      <c r="G4067">
        <v>227.34639999999999</v>
      </c>
      <c r="H4067">
        <v>224.15719999999999</v>
      </c>
      <c r="I4067">
        <v>224.15719999999999</v>
      </c>
      <c r="J4067">
        <v>16996</v>
      </c>
      <c r="K4067">
        <v>0.81630000000000003</v>
      </c>
      <c r="L4067">
        <v>1.4228000000000001</v>
      </c>
    </row>
    <row r="4068" spans="1:12" x14ac:dyDescent="0.25">
      <c r="A4068">
        <v>2303</v>
      </c>
      <c r="B4068" t="s">
        <v>10</v>
      </c>
      <c r="C4068" s="1">
        <v>43190</v>
      </c>
      <c r="D4068" s="2">
        <f t="shared" si="126"/>
        <v>6</v>
      </c>
      <c r="E4068" s="2">
        <f t="shared" si="127"/>
        <v>3</v>
      </c>
      <c r="F4068">
        <v>14.286099999999999</v>
      </c>
      <c r="G4068">
        <v>14.4244</v>
      </c>
      <c r="H4068">
        <v>14.194000000000001</v>
      </c>
      <c r="I4068">
        <v>14.286099999999999</v>
      </c>
      <c r="J4068">
        <v>17906</v>
      </c>
      <c r="K4068">
        <v>0.64729999999999999</v>
      </c>
      <c r="L4068">
        <v>1.6234</v>
      </c>
    </row>
    <row r="4069" spans="1:12" hidden="1" x14ac:dyDescent="0.25">
      <c r="A4069">
        <v>2330</v>
      </c>
      <c r="B4069" t="s">
        <v>11</v>
      </c>
      <c r="C4069" s="1">
        <v>43190</v>
      </c>
      <c r="D4069" s="2">
        <f t="shared" si="126"/>
        <v>6</v>
      </c>
      <c r="E4069" s="2">
        <f t="shared" si="127"/>
        <v>3</v>
      </c>
      <c r="F4069">
        <v>225.524</v>
      </c>
      <c r="G4069">
        <v>226.89080000000001</v>
      </c>
      <c r="H4069">
        <v>224.61279999999999</v>
      </c>
      <c r="I4069">
        <v>225.524</v>
      </c>
      <c r="J4069">
        <v>3603</v>
      </c>
      <c r="K4069">
        <v>0.6079</v>
      </c>
      <c r="L4069">
        <v>1.0142</v>
      </c>
    </row>
    <row r="4070" spans="1:12" x14ac:dyDescent="0.25">
      <c r="A4070">
        <v>2303</v>
      </c>
      <c r="B4070" t="s">
        <v>10</v>
      </c>
      <c r="C4070" s="1">
        <v>43192</v>
      </c>
      <c r="D4070" s="2">
        <f t="shared" si="126"/>
        <v>1</v>
      </c>
      <c r="E4070" s="2">
        <f t="shared" si="127"/>
        <v>4</v>
      </c>
      <c r="F4070">
        <v>14.286099999999999</v>
      </c>
      <c r="G4070">
        <v>14.5166</v>
      </c>
      <c r="H4070">
        <v>14.194000000000001</v>
      </c>
      <c r="I4070">
        <v>14.24</v>
      </c>
      <c r="J4070">
        <v>28643</v>
      </c>
      <c r="K4070">
        <v>-0.3231</v>
      </c>
      <c r="L4070">
        <v>2.2726999999999999</v>
      </c>
    </row>
    <row r="4071" spans="1:12" hidden="1" x14ac:dyDescent="0.25">
      <c r="A4071">
        <v>2330</v>
      </c>
      <c r="B4071" t="s">
        <v>11</v>
      </c>
      <c r="C4071" s="1">
        <v>43192</v>
      </c>
      <c r="D4071" s="2">
        <f t="shared" si="126"/>
        <v>1</v>
      </c>
      <c r="E4071" s="2">
        <f t="shared" si="127"/>
        <v>4</v>
      </c>
      <c r="F4071">
        <v>226.43520000000001</v>
      </c>
      <c r="G4071">
        <v>226.89080000000001</v>
      </c>
      <c r="H4071">
        <v>223.24600000000001</v>
      </c>
      <c r="I4071">
        <v>224.61279999999999</v>
      </c>
      <c r="J4071">
        <v>19029</v>
      </c>
      <c r="K4071">
        <v>-0.40489999999999998</v>
      </c>
      <c r="L4071">
        <v>1.6327</v>
      </c>
    </row>
    <row r="4072" spans="1:12" x14ac:dyDescent="0.25">
      <c r="A4072">
        <v>2303</v>
      </c>
      <c r="B4072" t="s">
        <v>10</v>
      </c>
      <c r="C4072" s="1">
        <v>43193</v>
      </c>
      <c r="D4072" s="2">
        <f t="shared" si="126"/>
        <v>2</v>
      </c>
      <c r="E4072" s="2">
        <f t="shared" si="127"/>
        <v>4</v>
      </c>
      <c r="F4072">
        <v>14.1479</v>
      </c>
      <c r="G4072">
        <v>14.24</v>
      </c>
      <c r="H4072">
        <v>14.101800000000001</v>
      </c>
      <c r="I4072">
        <v>14.194000000000001</v>
      </c>
      <c r="J4072">
        <v>27692</v>
      </c>
      <c r="K4072">
        <v>-0.3241</v>
      </c>
      <c r="L4072">
        <v>0.98040000000000005</v>
      </c>
    </row>
    <row r="4073" spans="1:12" hidden="1" x14ac:dyDescent="0.25">
      <c r="A4073">
        <v>2330</v>
      </c>
      <c r="B4073" t="s">
        <v>11</v>
      </c>
      <c r="C4073" s="1">
        <v>43193</v>
      </c>
      <c r="D4073" s="2">
        <f t="shared" si="126"/>
        <v>2</v>
      </c>
      <c r="E4073" s="2">
        <f t="shared" si="127"/>
        <v>4</v>
      </c>
      <c r="F4073">
        <v>221.42349999999999</v>
      </c>
      <c r="G4073">
        <v>222.79040000000001</v>
      </c>
      <c r="H4073">
        <v>220.51230000000001</v>
      </c>
      <c r="I4073">
        <v>222.3348</v>
      </c>
      <c r="J4073">
        <v>35813</v>
      </c>
      <c r="K4073">
        <v>-1.0194000000000001</v>
      </c>
      <c r="L4073">
        <v>1.0330999999999999</v>
      </c>
    </row>
    <row r="4074" spans="1:12" x14ac:dyDescent="0.25">
      <c r="A4074">
        <v>2303</v>
      </c>
      <c r="B4074" t="s">
        <v>10</v>
      </c>
      <c r="C4074" s="1">
        <v>43199</v>
      </c>
      <c r="D4074" s="2">
        <f t="shared" si="126"/>
        <v>1</v>
      </c>
      <c r="E4074" s="2">
        <f t="shared" si="127"/>
        <v>4</v>
      </c>
      <c r="F4074">
        <v>14.101800000000001</v>
      </c>
      <c r="G4074">
        <v>14.194000000000001</v>
      </c>
      <c r="H4074">
        <v>14.009600000000001</v>
      </c>
      <c r="I4074">
        <v>14.0557</v>
      </c>
      <c r="J4074">
        <v>44828</v>
      </c>
      <c r="K4074">
        <v>-0.9788</v>
      </c>
      <c r="L4074">
        <v>1.3158000000000001</v>
      </c>
    </row>
    <row r="4075" spans="1:12" hidden="1" x14ac:dyDescent="0.25">
      <c r="A4075">
        <v>2330</v>
      </c>
      <c r="B4075" t="s">
        <v>11</v>
      </c>
      <c r="C4075" s="1">
        <v>43199</v>
      </c>
      <c r="D4075" s="2">
        <f t="shared" si="126"/>
        <v>1</v>
      </c>
      <c r="E4075" s="2">
        <f t="shared" si="127"/>
        <v>4</v>
      </c>
      <c r="F4075">
        <v>225.9796</v>
      </c>
      <c r="G4075">
        <v>225.9796</v>
      </c>
      <c r="H4075">
        <v>221.87909999999999</v>
      </c>
      <c r="I4075">
        <v>223.24600000000001</v>
      </c>
      <c r="J4075">
        <v>35465</v>
      </c>
      <c r="K4075">
        <v>0.40899999999999997</v>
      </c>
      <c r="L4075">
        <v>1.8480000000000001</v>
      </c>
    </row>
    <row r="4076" spans="1:12" x14ac:dyDescent="0.25">
      <c r="A4076">
        <v>2303</v>
      </c>
      <c r="B4076" t="s">
        <v>10</v>
      </c>
      <c r="C4076" s="1">
        <v>43200</v>
      </c>
      <c r="D4076" s="2">
        <f t="shared" si="126"/>
        <v>2</v>
      </c>
      <c r="E4076" s="2">
        <f t="shared" si="127"/>
        <v>4</v>
      </c>
      <c r="F4076">
        <v>14.101800000000001</v>
      </c>
      <c r="G4076">
        <v>14.194000000000001</v>
      </c>
      <c r="H4076">
        <v>14.009600000000001</v>
      </c>
      <c r="I4076">
        <v>14.101800000000001</v>
      </c>
      <c r="J4076">
        <v>43687</v>
      </c>
      <c r="K4076">
        <v>0.32729999999999998</v>
      </c>
      <c r="L4076">
        <v>1.3158000000000001</v>
      </c>
    </row>
    <row r="4077" spans="1:12" hidden="1" x14ac:dyDescent="0.25">
      <c r="A4077">
        <v>2330</v>
      </c>
      <c r="B4077" t="s">
        <v>11</v>
      </c>
      <c r="C4077" s="1">
        <v>43200</v>
      </c>
      <c r="D4077" s="2">
        <f t="shared" si="126"/>
        <v>2</v>
      </c>
      <c r="E4077" s="2">
        <f t="shared" si="127"/>
        <v>4</v>
      </c>
      <c r="F4077">
        <v>222.79040000000001</v>
      </c>
      <c r="G4077">
        <v>226.89080000000001</v>
      </c>
      <c r="H4077">
        <v>221.87909999999999</v>
      </c>
      <c r="I4077">
        <v>223.70160000000001</v>
      </c>
      <c r="J4077">
        <v>25268</v>
      </c>
      <c r="K4077">
        <v>0.2039</v>
      </c>
      <c r="L4077">
        <v>2.2587000000000002</v>
      </c>
    </row>
    <row r="4078" spans="1:12" x14ac:dyDescent="0.25">
      <c r="A4078">
        <v>2303</v>
      </c>
      <c r="B4078" t="s">
        <v>10</v>
      </c>
      <c r="C4078" s="1">
        <v>43201</v>
      </c>
      <c r="D4078" s="2">
        <f t="shared" si="126"/>
        <v>3</v>
      </c>
      <c r="E4078" s="2">
        <f t="shared" si="127"/>
        <v>4</v>
      </c>
      <c r="F4078">
        <v>14.1479</v>
      </c>
      <c r="G4078">
        <v>14.378299999999999</v>
      </c>
      <c r="H4078">
        <v>14.101800000000001</v>
      </c>
      <c r="I4078">
        <v>14.194000000000001</v>
      </c>
      <c r="J4078">
        <v>29420</v>
      </c>
      <c r="K4078">
        <v>0.65149999999999997</v>
      </c>
      <c r="L4078">
        <v>1.9608000000000001</v>
      </c>
    </row>
    <row r="4079" spans="1:12" hidden="1" x14ac:dyDescent="0.25">
      <c r="A4079">
        <v>2330</v>
      </c>
      <c r="B4079" t="s">
        <v>11</v>
      </c>
      <c r="C4079" s="1">
        <v>43201</v>
      </c>
      <c r="D4079" s="2">
        <f t="shared" si="126"/>
        <v>3</v>
      </c>
      <c r="E4079" s="2">
        <f t="shared" si="127"/>
        <v>4</v>
      </c>
      <c r="F4079">
        <v>224.61279999999999</v>
      </c>
      <c r="G4079">
        <v>226.43520000000001</v>
      </c>
      <c r="H4079">
        <v>224.61279999999999</v>
      </c>
      <c r="I4079">
        <v>225.9796</v>
      </c>
      <c r="J4079">
        <v>21777</v>
      </c>
      <c r="K4079">
        <v>1.0132000000000001</v>
      </c>
      <c r="L4079">
        <v>0.81140000000000001</v>
      </c>
    </row>
    <row r="4080" spans="1:12" x14ac:dyDescent="0.25">
      <c r="A4080">
        <v>2303</v>
      </c>
      <c r="B4080" t="s">
        <v>10</v>
      </c>
      <c r="C4080" s="1">
        <v>43202</v>
      </c>
      <c r="D4080" s="2">
        <f t="shared" si="126"/>
        <v>4</v>
      </c>
      <c r="E4080" s="2">
        <f t="shared" si="127"/>
        <v>4</v>
      </c>
      <c r="F4080">
        <v>14.194000000000001</v>
      </c>
      <c r="G4080">
        <v>14.286099999999999</v>
      </c>
      <c r="H4080">
        <v>14.1479</v>
      </c>
      <c r="I4080">
        <v>14.24</v>
      </c>
      <c r="J4080">
        <v>24395</v>
      </c>
      <c r="K4080">
        <v>0.3241</v>
      </c>
      <c r="L4080">
        <v>0.97719999999999996</v>
      </c>
    </row>
    <row r="4081" spans="1:12" hidden="1" x14ac:dyDescent="0.25">
      <c r="A4081">
        <v>2330</v>
      </c>
      <c r="B4081" t="s">
        <v>11</v>
      </c>
      <c r="C4081" s="1">
        <v>43202</v>
      </c>
      <c r="D4081" s="2">
        <f t="shared" si="126"/>
        <v>4</v>
      </c>
      <c r="E4081" s="2">
        <f t="shared" si="127"/>
        <v>4</v>
      </c>
      <c r="F4081">
        <v>226.43520000000001</v>
      </c>
      <c r="G4081">
        <v>226.43520000000001</v>
      </c>
      <c r="H4081">
        <v>222.3348</v>
      </c>
      <c r="I4081">
        <v>223.24600000000001</v>
      </c>
      <c r="J4081">
        <v>20476</v>
      </c>
      <c r="K4081">
        <v>-1.2171000000000001</v>
      </c>
      <c r="L4081">
        <v>1.8443000000000001</v>
      </c>
    </row>
    <row r="4082" spans="1:12" x14ac:dyDescent="0.25">
      <c r="A4082">
        <v>2303</v>
      </c>
      <c r="B4082" t="s">
        <v>10</v>
      </c>
      <c r="C4082" s="1">
        <v>43203</v>
      </c>
      <c r="D4082" s="2">
        <f t="shared" si="126"/>
        <v>5</v>
      </c>
      <c r="E4082" s="2">
        <f t="shared" si="127"/>
        <v>4</v>
      </c>
      <c r="F4082">
        <v>14.194000000000001</v>
      </c>
      <c r="G4082">
        <v>14.286099999999999</v>
      </c>
      <c r="H4082">
        <v>14.194000000000001</v>
      </c>
      <c r="I4082">
        <v>14.194000000000001</v>
      </c>
      <c r="J4082">
        <v>19916</v>
      </c>
      <c r="K4082">
        <v>-0.3241</v>
      </c>
      <c r="L4082">
        <v>0.64939999999999998</v>
      </c>
    </row>
    <row r="4083" spans="1:12" hidden="1" x14ac:dyDescent="0.25">
      <c r="A4083">
        <v>2330</v>
      </c>
      <c r="B4083" t="s">
        <v>11</v>
      </c>
      <c r="C4083" s="1">
        <v>43203</v>
      </c>
      <c r="D4083" s="2">
        <f t="shared" si="126"/>
        <v>5</v>
      </c>
      <c r="E4083" s="2">
        <f t="shared" si="127"/>
        <v>4</v>
      </c>
      <c r="F4083">
        <v>224.15719999999999</v>
      </c>
      <c r="G4083">
        <v>224.15719999999999</v>
      </c>
      <c r="H4083">
        <v>222.3348</v>
      </c>
      <c r="I4083">
        <v>222.79040000000001</v>
      </c>
      <c r="J4083">
        <v>19946</v>
      </c>
      <c r="K4083">
        <v>-0.20430000000000001</v>
      </c>
      <c r="L4083">
        <v>0.81969999999999998</v>
      </c>
    </row>
    <row r="4084" spans="1:12" x14ac:dyDescent="0.25">
      <c r="A4084">
        <v>2303</v>
      </c>
      <c r="B4084" t="s">
        <v>10</v>
      </c>
      <c r="C4084" s="1">
        <v>43206</v>
      </c>
      <c r="D4084" s="2">
        <f t="shared" si="126"/>
        <v>1</v>
      </c>
      <c r="E4084" s="2">
        <f t="shared" si="127"/>
        <v>4</v>
      </c>
      <c r="F4084">
        <v>14.194000000000001</v>
      </c>
      <c r="G4084">
        <v>14.24</v>
      </c>
      <c r="H4084">
        <v>14.1479</v>
      </c>
      <c r="I4084">
        <v>14.1479</v>
      </c>
      <c r="J4084">
        <v>16106</v>
      </c>
      <c r="K4084">
        <v>-0.32519999999999999</v>
      </c>
      <c r="L4084">
        <v>0.65149999999999997</v>
      </c>
    </row>
    <row r="4085" spans="1:12" hidden="1" x14ac:dyDescent="0.25">
      <c r="A4085">
        <v>2330</v>
      </c>
      <c r="B4085" t="s">
        <v>11</v>
      </c>
      <c r="C4085" s="1">
        <v>43206</v>
      </c>
      <c r="D4085" s="2">
        <f t="shared" si="126"/>
        <v>1</v>
      </c>
      <c r="E4085" s="2">
        <f t="shared" si="127"/>
        <v>4</v>
      </c>
      <c r="F4085">
        <v>221.42349999999999</v>
      </c>
      <c r="G4085">
        <v>222.3348</v>
      </c>
      <c r="H4085">
        <v>220.51230000000001</v>
      </c>
      <c r="I4085">
        <v>221.87909999999999</v>
      </c>
      <c r="J4085">
        <v>21608</v>
      </c>
      <c r="K4085">
        <v>-0.4098</v>
      </c>
      <c r="L4085">
        <v>0.82640000000000002</v>
      </c>
    </row>
    <row r="4086" spans="1:12" x14ac:dyDescent="0.25">
      <c r="A4086">
        <v>2303</v>
      </c>
      <c r="B4086" t="s">
        <v>10</v>
      </c>
      <c r="C4086" s="1">
        <v>43207</v>
      </c>
      <c r="D4086" s="2">
        <f t="shared" si="126"/>
        <v>2</v>
      </c>
      <c r="E4086" s="2">
        <f t="shared" si="127"/>
        <v>4</v>
      </c>
      <c r="F4086">
        <v>14.1479</v>
      </c>
      <c r="G4086">
        <v>14.286099999999999</v>
      </c>
      <c r="H4086">
        <v>14.101800000000001</v>
      </c>
      <c r="I4086">
        <v>14.1479</v>
      </c>
      <c r="J4086">
        <v>33941</v>
      </c>
      <c r="K4086">
        <v>0</v>
      </c>
      <c r="L4086">
        <v>1.3071999999999999</v>
      </c>
    </row>
    <row r="4087" spans="1:12" hidden="1" x14ac:dyDescent="0.25">
      <c r="A4087">
        <v>2330</v>
      </c>
      <c r="B4087" t="s">
        <v>11</v>
      </c>
      <c r="C4087" s="1">
        <v>43207</v>
      </c>
      <c r="D4087" s="2">
        <f t="shared" si="126"/>
        <v>2</v>
      </c>
      <c r="E4087" s="2">
        <f t="shared" si="127"/>
        <v>4</v>
      </c>
      <c r="F4087">
        <v>221.42349999999999</v>
      </c>
      <c r="G4087">
        <v>221.87909999999999</v>
      </c>
      <c r="H4087">
        <v>216.4119</v>
      </c>
      <c r="I4087">
        <v>216.86750000000001</v>
      </c>
      <c r="J4087">
        <v>42756</v>
      </c>
      <c r="K4087">
        <v>-2.2846000000000002</v>
      </c>
      <c r="L4087">
        <v>2.5263</v>
      </c>
    </row>
    <row r="4088" spans="1:12" x14ac:dyDescent="0.25">
      <c r="A4088">
        <v>2303</v>
      </c>
      <c r="B4088" t="s">
        <v>10</v>
      </c>
      <c r="C4088" s="1">
        <v>43208</v>
      </c>
      <c r="D4088" s="2">
        <f t="shared" si="126"/>
        <v>3</v>
      </c>
      <c r="E4088" s="2">
        <f t="shared" si="127"/>
        <v>4</v>
      </c>
      <c r="F4088">
        <v>14.24</v>
      </c>
      <c r="G4088">
        <v>14.378299999999999</v>
      </c>
      <c r="H4088">
        <v>14.1479</v>
      </c>
      <c r="I4088">
        <v>14.378299999999999</v>
      </c>
      <c r="J4088">
        <v>43266</v>
      </c>
      <c r="K4088">
        <v>1.6154999999999999</v>
      </c>
      <c r="L4088">
        <v>1.6287</v>
      </c>
    </row>
    <row r="4089" spans="1:12" hidden="1" x14ac:dyDescent="0.25">
      <c r="A4089">
        <v>2330</v>
      </c>
      <c r="B4089" t="s">
        <v>11</v>
      </c>
      <c r="C4089" s="1">
        <v>43208</v>
      </c>
      <c r="D4089" s="2">
        <f t="shared" si="126"/>
        <v>3</v>
      </c>
      <c r="E4089" s="2">
        <f t="shared" si="127"/>
        <v>4</v>
      </c>
      <c r="F4089">
        <v>218.23429999999999</v>
      </c>
      <c r="G4089">
        <v>220.05670000000001</v>
      </c>
      <c r="H4089">
        <v>215.50069999999999</v>
      </c>
      <c r="I4089">
        <v>216.86750000000001</v>
      </c>
      <c r="J4089">
        <v>44768</v>
      </c>
      <c r="K4089">
        <v>0</v>
      </c>
      <c r="L4089">
        <v>2.1141999999999999</v>
      </c>
    </row>
    <row r="4090" spans="1:12" x14ac:dyDescent="0.25">
      <c r="A4090">
        <v>2303</v>
      </c>
      <c r="B4090" t="s">
        <v>10</v>
      </c>
      <c r="C4090" s="1">
        <v>43209</v>
      </c>
      <c r="D4090" s="2">
        <f t="shared" si="126"/>
        <v>4</v>
      </c>
      <c r="E4090" s="2">
        <f t="shared" si="127"/>
        <v>4</v>
      </c>
      <c r="F4090">
        <v>14.4244</v>
      </c>
      <c r="G4090">
        <v>14.747</v>
      </c>
      <c r="H4090">
        <v>14.378299999999999</v>
      </c>
      <c r="I4090">
        <v>14.608700000000001</v>
      </c>
      <c r="J4090">
        <v>57239</v>
      </c>
      <c r="K4090">
        <v>1.5899000000000001</v>
      </c>
      <c r="L4090">
        <v>2.5640999999999998</v>
      </c>
    </row>
    <row r="4091" spans="1:12" hidden="1" x14ac:dyDescent="0.25">
      <c r="A4091">
        <v>2330</v>
      </c>
      <c r="B4091" t="s">
        <v>11</v>
      </c>
      <c r="C4091" s="1">
        <v>43209</v>
      </c>
      <c r="D4091" s="2">
        <f t="shared" si="126"/>
        <v>4</v>
      </c>
      <c r="E4091" s="2">
        <f t="shared" si="127"/>
        <v>4</v>
      </c>
      <c r="F4091">
        <v>220.51230000000001</v>
      </c>
      <c r="G4091">
        <v>222.79040000000001</v>
      </c>
      <c r="H4091">
        <v>219.6011</v>
      </c>
      <c r="I4091">
        <v>222.79040000000001</v>
      </c>
      <c r="J4091">
        <v>33230</v>
      </c>
      <c r="K4091">
        <v>2.6945000000000001</v>
      </c>
      <c r="L4091">
        <v>1.4522999999999999</v>
      </c>
    </row>
    <row r="4092" spans="1:12" x14ac:dyDescent="0.25">
      <c r="A4092">
        <v>2303</v>
      </c>
      <c r="B4092" t="s">
        <v>10</v>
      </c>
      <c r="C4092" s="1">
        <v>43210</v>
      </c>
      <c r="D4092" s="2">
        <f t="shared" si="126"/>
        <v>5</v>
      </c>
      <c r="E4092" s="2">
        <f t="shared" si="127"/>
        <v>4</v>
      </c>
      <c r="F4092">
        <v>14.5166</v>
      </c>
      <c r="G4092">
        <v>14.5626</v>
      </c>
      <c r="H4092">
        <v>14.286099999999999</v>
      </c>
      <c r="I4092">
        <v>14.378299999999999</v>
      </c>
      <c r="J4092">
        <v>34122</v>
      </c>
      <c r="K4092">
        <v>-1.5899000000000001</v>
      </c>
      <c r="L4092">
        <v>1.9355</v>
      </c>
    </row>
    <row r="4093" spans="1:12" hidden="1" x14ac:dyDescent="0.25">
      <c r="A4093">
        <v>2330</v>
      </c>
      <c r="B4093" t="s">
        <v>11</v>
      </c>
      <c r="C4093" s="1">
        <v>43210</v>
      </c>
      <c r="D4093" s="2">
        <f t="shared" si="126"/>
        <v>5</v>
      </c>
      <c r="E4093" s="2">
        <f t="shared" si="127"/>
        <v>4</v>
      </c>
      <c r="F4093">
        <v>207.75540000000001</v>
      </c>
      <c r="G4093">
        <v>210.94470000000001</v>
      </c>
      <c r="H4093">
        <v>207.75540000000001</v>
      </c>
      <c r="I4093">
        <v>208.66659999999999</v>
      </c>
      <c r="J4093">
        <v>129890</v>
      </c>
      <c r="K4093">
        <v>-6.5492999999999997</v>
      </c>
      <c r="L4093">
        <v>1.5350999999999999</v>
      </c>
    </row>
    <row r="4094" spans="1:12" x14ac:dyDescent="0.25">
      <c r="A4094">
        <v>2303</v>
      </c>
      <c r="B4094" t="s">
        <v>10</v>
      </c>
      <c r="C4094" s="1">
        <v>43213</v>
      </c>
      <c r="D4094" s="2">
        <f t="shared" si="126"/>
        <v>1</v>
      </c>
      <c r="E4094" s="2">
        <f t="shared" si="127"/>
        <v>4</v>
      </c>
      <c r="F4094">
        <v>14.3322</v>
      </c>
      <c r="G4094">
        <v>14.5626</v>
      </c>
      <c r="H4094">
        <v>14.286099999999999</v>
      </c>
      <c r="I4094">
        <v>14.3322</v>
      </c>
      <c r="J4094">
        <v>20121</v>
      </c>
      <c r="K4094">
        <v>-0.32100000000000001</v>
      </c>
      <c r="L4094">
        <v>1.9355</v>
      </c>
    </row>
    <row r="4095" spans="1:12" hidden="1" x14ac:dyDescent="0.25">
      <c r="A4095">
        <v>2330</v>
      </c>
      <c r="B4095" t="s">
        <v>11</v>
      </c>
      <c r="C4095" s="1">
        <v>43213</v>
      </c>
      <c r="D4095" s="2">
        <f t="shared" si="126"/>
        <v>1</v>
      </c>
      <c r="E4095" s="2">
        <f t="shared" si="127"/>
        <v>4</v>
      </c>
      <c r="F4095">
        <v>206.3886</v>
      </c>
      <c r="G4095">
        <v>207.2998</v>
      </c>
      <c r="H4095">
        <v>205.02180000000001</v>
      </c>
      <c r="I4095">
        <v>206.3886</v>
      </c>
      <c r="J4095">
        <v>71901</v>
      </c>
      <c r="K4095">
        <v>-1.0976999999999999</v>
      </c>
      <c r="L4095">
        <v>1.1111</v>
      </c>
    </row>
    <row r="4096" spans="1:12" x14ac:dyDescent="0.25">
      <c r="A4096">
        <v>2303</v>
      </c>
      <c r="B4096" t="s">
        <v>10</v>
      </c>
      <c r="C4096" s="1">
        <v>43214</v>
      </c>
      <c r="D4096" s="2">
        <f t="shared" si="126"/>
        <v>2</v>
      </c>
      <c r="E4096" s="2">
        <f t="shared" si="127"/>
        <v>4</v>
      </c>
      <c r="F4096">
        <v>14.3322</v>
      </c>
      <c r="G4096">
        <v>14.4244</v>
      </c>
      <c r="H4096">
        <v>14.009600000000001</v>
      </c>
      <c r="I4096">
        <v>14.1479</v>
      </c>
      <c r="J4096">
        <v>57837</v>
      </c>
      <c r="K4096">
        <v>-1.2945</v>
      </c>
      <c r="L4096">
        <v>2.9605000000000001</v>
      </c>
    </row>
    <row r="4097" spans="1:12" hidden="1" x14ac:dyDescent="0.25">
      <c r="A4097">
        <v>2330</v>
      </c>
      <c r="B4097" t="s">
        <v>11</v>
      </c>
      <c r="C4097" s="1">
        <v>43214</v>
      </c>
      <c r="D4097" s="2">
        <f t="shared" si="126"/>
        <v>2</v>
      </c>
      <c r="E4097" s="2">
        <f t="shared" si="127"/>
        <v>4</v>
      </c>
      <c r="F4097">
        <v>205.02180000000001</v>
      </c>
      <c r="G4097">
        <v>207.2998</v>
      </c>
      <c r="H4097">
        <v>205.02180000000001</v>
      </c>
      <c r="I4097">
        <v>206.8442</v>
      </c>
      <c r="J4097">
        <v>45206</v>
      </c>
      <c r="K4097">
        <v>0.2205</v>
      </c>
      <c r="L4097">
        <v>1.1111</v>
      </c>
    </row>
    <row r="4098" spans="1:12" x14ac:dyDescent="0.25">
      <c r="A4098">
        <v>2303</v>
      </c>
      <c r="B4098" t="s">
        <v>10</v>
      </c>
      <c r="C4098" s="1">
        <v>43215</v>
      </c>
      <c r="D4098" s="2">
        <f t="shared" si="126"/>
        <v>3</v>
      </c>
      <c r="E4098" s="2">
        <f t="shared" si="127"/>
        <v>4</v>
      </c>
      <c r="F4098">
        <v>14.101800000000001</v>
      </c>
      <c r="G4098">
        <v>14.378299999999999</v>
      </c>
      <c r="H4098">
        <v>14.101800000000001</v>
      </c>
      <c r="I4098">
        <v>14.286099999999999</v>
      </c>
      <c r="J4098">
        <v>50347</v>
      </c>
      <c r="K4098">
        <v>0.97250000000000003</v>
      </c>
      <c r="L4098">
        <v>1.9608000000000001</v>
      </c>
    </row>
    <row r="4099" spans="1:12" hidden="1" x14ac:dyDescent="0.25">
      <c r="A4099">
        <v>2330</v>
      </c>
      <c r="B4099" t="s">
        <v>11</v>
      </c>
      <c r="C4099" s="1">
        <v>43215</v>
      </c>
      <c r="D4099" s="2">
        <f t="shared" ref="D4099:D4162" si="128">WEEKDAY(C4099,2)</f>
        <v>3</v>
      </c>
      <c r="E4099" s="2">
        <f t="shared" ref="E4099:E4162" si="129">MONTH(C4099)</f>
        <v>4</v>
      </c>
      <c r="F4099">
        <v>205.47739999999999</v>
      </c>
      <c r="G4099">
        <v>205.93299999999999</v>
      </c>
      <c r="H4099">
        <v>204.11060000000001</v>
      </c>
      <c r="I4099">
        <v>205.02180000000001</v>
      </c>
      <c r="J4099">
        <v>48975</v>
      </c>
      <c r="K4099">
        <v>-0.88500000000000001</v>
      </c>
      <c r="L4099">
        <v>0.89290000000000003</v>
      </c>
    </row>
    <row r="4100" spans="1:12" x14ac:dyDescent="0.25">
      <c r="A4100">
        <v>2303</v>
      </c>
      <c r="B4100" t="s">
        <v>10</v>
      </c>
      <c r="C4100" s="1">
        <v>43216</v>
      </c>
      <c r="D4100" s="2">
        <f t="shared" si="128"/>
        <v>4</v>
      </c>
      <c r="E4100" s="2">
        <f t="shared" si="129"/>
        <v>4</v>
      </c>
      <c r="F4100">
        <v>14.286099999999999</v>
      </c>
      <c r="G4100">
        <v>14.608700000000001</v>
      </c>
      <c r="H4100">
        <v>14.194000000000001</v>
      </c>
      <c r="I4100">
        <v>14.470499999999999</v>
      </c>
      <c r="J4100">
        <v>79246</v>
      </c>
      <c r="K4100">
        <v>1.2821</v>
      </c>
      <c r="L4100">
        <v>2.9220999999999999</v>
      </c>
    </row>
    <row r="4101" spans="1:12" hidden="1" x14ac:dyDescent="0.25">
      <c r="A4101">
        <v>2330</v>
      </c>
      <c r="B4101" t="s">
        <v>11</v>
      </c>
      <c r="C4101" s="1">
        <v>43216</v>
      </c>
      <c r="D4101" s="2">
        <f t="shared" si="128"/>
        <v>4</v>
      </c>
      <c r="E4101" s="2">
        <f t="shared" si="129"/>
        <v>4</v>
      </c>
      <c r="F4101">
        <v>205.02180000000001</v>
      </c>
      <c r="G4101">
        <v>205.47739999999999</v>
      </c>
      <c r="H4101">
        <v>201.37700000000001</v>
      </c>
      <c r="I4101">
        <v>202.28819999999999</v>
      </c>
      <c r="J4101">
        <v>48176</v>
      </c>
      <c r="K4101">
        <v>-1.3423</v>
      </c>
      <c r="L4101">
        <v>2.0362</v>
      </c>
    </row>
    <row r="4102" spans="1:12" x14ac:dyDescent="0.25">
      <c r="A4102">
        <v>2303</v>
      </c>
      <c r="B4102" t="s">
        <v>10</v>
      </c>
      <c r="C4102" s="1">
        <v>43217</v>
      </c>
      <c r="D4102" s="2">
        <f t="shared" si="128"/>
        <v>5</v>
      </c>
      <c r="E4102" s="2">
        <f t="shared" si="129"/>
        <v>4</v>
      </c>
      <c r="F4102">
        <v>14.470499999999999</v>
      </c>
      <c r="G4102">
        <v>14.700900000000001</v>
      </c>
      <c r="H4102">
        <v>14.378299999999999</v>
      </c>
      <c r="I4102">
        <v>14.470499999999999</v>
      </c>
      <c r="J4102">
        <v>70981</v>
      </c>
      <c r="K4102">
        <v>0</v>
      </c>
      <c r="L4102">
        <v>2.2435999999999998</v>
      </c>
    </row>
    <row r="4103" spans="1:12" hidden="1" x14ac:dyDescent="0.25">
      <c r="A4103">
        <v>2330</v>
      </c>
      <c r="B4103" t="s">
        <v>11</v>
      </c>
      <c r="C4103" s="1">
        <v>43217</v>
      </c>
      <c r="D4103" s="2">
        <f t="shared" si="128"/>
        <v>5</v>
      </c>
      <c r="E4103" s="2">
        <f t="shared" si="129"/>
        <v>4</v>
      </c>
      <c r="F4103">
        <v>205.02180000000001</v>
      </c>
      <c r="G4103">
        <v>205.47739999999999</v>
      </c>
      <c r="H4103">
        <v>201.37700000000001</v>
      </c>
      <c r="I4103">
        <v>203.655</v>
      </c>
      <c r="J4103">
        <v>34443</v>
      </c>
      <c r="K4103">
        <v>0.6734</v>
      </c>
      <c r="L4103">
        <v>2.0362</v>
      </c>
    </row>
    <row r="4104" spans="1:12" x14ac:dyDescent="0.25">
      <c r="A4104">
        <v>2303</v>
      </c>
      <c r="B4104" t="s">
        <v>10</v>
      </c>
      <c r="C4104" s="1">
        <v>43220</v>
      </c>
      <c r="D4104" s="2">
        <f t="shared" si="128"/>
        <v>1</v>
      </c>
      <c r="E4104" s="2">
        <f t="shared" si="129"/>
        <v>4</v>
      </c>
      <c r="F4104">
        <v>14.470499999999999</v>
      </c>
      <c r="G4104">
        <v>14.8391</v>
      </c>
      <c r="H4104">
        <v>14.470499999999999</v>
      </c>
      <c r="I4104">
        <v>14.747</v>
      </c>
      <c r="J4104">
        <v>60872</v>
      </c>
      <c r="K4104">
        <v>1.8928</v>
      </c>
      <c r="L4104">
        <v>2.5478000000000001</v>
      </c>
    </row>
    <row r="4105" spans="1:12" hidden="1" x14ac:dyDescent="0.25">
      <c r="A4105">
        <v>2330</v>
      </c>
      <c r="B4105" t="s">
        <v>11</v>
      </c>
      <c r="C4105" s="1">
        <v>43220</v>
      </c>
      <c r="D4105" s="2">
        <f t="shared" si="128"/>
        <v>1</v>
      </c>
      <c r="E4105" s="2">
        <f t="shared" si="129"/>
        <v>4</v>
      </c>
      <c r="F4105">
        <v>204.56620000000001</v>
      </c>
      <c r="G4105">
        <v>207.75540000000001</v>
      </c>
      <c r="H4105">
        <v>202.74379999999999</v>
      </c>
      <c r="I4105">
        <v>206.8442</v>
      </c>
      <c r="J4105">
        <v>28500</v>
      </c>
      <c r="K4105">
        <v>1.5539000000000001</v>
      </c>
      <c r="L4105">
        <v>2.4719000000000002</v>
      </c>
    </row>
    <row r="4106" spans="1:12" x14ac:dyDescent="0.25">
      <c r="A4106">
        <v>2303</v>
      </c>
      <c r="B4106" t="s">
        <v>10</v>
      </c>
      <c r="C4106" s="1">
        <v>43222</v>
      </c>
      <c r="D4106" s="2">
        <f t="shared" si="128"/>
        <v>3</v>
      </c>
      <c r="E4106" s="2">
        <f t="shared" si="129"/>
        <v>5</v>
      </c>
      <c r="F4106">
        <v>14.747</v>
      </c>
      <c r="G4106">
        <v>15.5304</v>
      </c>
      <c r="H4106">
        <v>14.747</v>
      </c>
      <c r="I4106">
        <v>14.977399999999999</v>
      </c>
      <c r="J4106">
        <v>105765</v>
      </c>
      <c r="K4106">
        <v>1.5504</v>
      </c>
      <c r="L4106">
        <v>5.3125</v>
      </c>
    </row>
    <row r="4107" spans="1:12" hidden="1" x14ac:dyDescent="0.25">
      <c r="A4107">
        <v>2330</v>
      </c>
      <c r="B4107" t="s">
        <v>11</v>
      </c>
      <c r="C4107" s="1">
        <v>43222</v>
      </c>
      <c r="D4107" s="2">
        <f t="shared" si="128"/>
        <v>3</v>
      </c>
      <c r="E4107" s="2">
        <f t="shared" si="129"/>
        <v>5</v>
      </c>
      <c r="F4107">
        <v>206.8442</v>
      </c>
      <c r="G4107">
        <v>207.2998</v>
      </c>
      <c r="H4107">
        <v>202.74379999999999</v>
      </c>
      <c r="I4107">
        <v>203.1994</v>
      </c>
      <c r="J4107">
        <v>38436</v>
      </c>
      <c r="K4107">
        <v>-1.7778</v>
      </c>
      <c r="L4107">
        <v>2.2471999999999999</v>
      </c>
    </row>
    <row r="4108" spans="1:12" x14ac:dyDescent="0.25">
      <c r="A4108">
        <v>2303</v>
      </c>
      <c r="B4108" t="s">
        <v>10</v>
      </c>
      <c r="C4108" s="1">
        <v>43223</v>
      </c>
      <c r="D4108" s="2">
        <f t="shared" si="128"/>
        <v>4</v>
      </c>
      <c r="E4108" s="2">
        <f t="shared" si="129"/>
        <v>5</v>
      </c>
      <c r="F4108">
        <v>14.977399999999999</v>
      </c>
      <c r="G4108">
        <v>14.977399999999999</v>
      </c>
      <c r="H4108">
        <v>14.700900000000001</v>
      </c>
      <c r="I4108">
        <v>14.793100000000001</v>
      </c>
      <c r="J4108">
        <v>53928</v>
      </c>
      <c r="K4108">
        <v>-1.2383999999999999</v>
      </c>
      <c r="L4108">
        <v>1.8809</v>
      </c>
    </row>
    <row r="4109" spans="1:12" hidden="1" x14ac:dyDescent="0.25">
      <c r="A4109">
        <v>2330</v>
      </c>
      <c r="B4109" t="s">
        <v>11</v>
      </c>
      <c r="C4109" s="1">
        <v>43223</v>
      </c>
      <c r="D4109" s="2">
        <f t="shared" si="128"/>
        <v>4</v>
      </c>
      <c r="E4109" s="2">
        <f t="shared" si="129"/>
        <v>5</v>
      </c>
      <c r="F4109">
        <v>201.37700000000001</v>
      </c>
      <c r="G4109">
        <v>202.74379999999999</v>
      </c>
      <c r="H4109">
        <v>200.4658</v>
      </c>
      <c r="I4109">
        <v>200.92140000000001</v>
      </c>
      <c r="J4109">
        <v>33507</v>
      </c>
      <c r="K4109">
        <v>-1.1274</v>
      </c>
      <c r="L4109">
        <v>1.1364000000000001</v>
      </c>
    </row>
    <row r="4110" spans="1:12" x14ac:dyDescent="0.25">
      <c r="A4110">
        <v>2303</v>
      </c>
      <c r="B4110" t="s">
        <v>10</v>
      </c>
      <c r="C4110" s="1">
        <v>43224</v>
      </c>
      <c r="D4110" s="2">
        <f t="shared" si="128"/>
        <v>5</v>
      </c>
      <c r="E4110" s="2">
        <f t="shared" si="129"/>
        <v>5</v>
      </c>
      <c r="F4110">
        <v>14.747</v>
      </c>
      <c r="G4110">
        <v>15.1157</v>
      </c>
      <c r="H4110">
        <v>14.700900000000001</v>
      </c>
      <c r="I4110">
        <v>14.747</v>
      </c>
      <c r="J4110">
        <v>49075</v>
      </c>
      <c r="K4110">
        <v>-0.312</v>
      </c>
      <c r="L4110">
        <v>2.8212999999999999</v>
      </c>
    </row>
    <row r="4111" spans="1:12" hidden="1" x14ac:dyDescent="0.25">
      <c r="A4111">
        <v>2330</v>
      </c>
      <c r="B4111" t="s">
        <v>11</v>
      </c>
      <c r="C4111" s="1">
        <v>43224</v>
      </c>
      <c r="D4111" s="2">
        <f t="shared" si="128"/>
        <v>5</v>
      </c>
      <c r="E4111" s="2">
        <f t="shared" si="129"/>
        <v>5</v>
      </c>
      <c r="F4111">
        <v>201.37700000000001</v>
      </c>
      <c r="G4111">
        <v>204.11060000000001</v>
      </c>
      <c r="H4111">
        <v>200.92140000000001</v>
      </c>
      <c r="I4111">
        <v>203.1994</v>
      </c>
      <c r="J4111">
        <v>28477</v>
      </c>
      <c r="K4111">
        <v>1.1274</v>
      </c>
      <c r="L4111">
        <v>1.5872999999999999</v>
      </c>
    </row>
    <row r="4112" spans="1:12" x14ac:dyDescent="0.25">
      <c r="A4112">
        <v>2303</v>
      </c>
      <c r="B4112" t="s">
        <v>10</v>
      </c>
      <c r="C4112" s="1">
        <v>43227</v>
      </c>
      <c r="D4112" s="2">
        <f t="shared" si="128"/>
        <v>1</v>
      </c>
      <c r="E4112" s="2">
        <f t="shared" si="129"/>
        <v>5</v>
      </c>
      <c r="F4112">
        <v>14.8391</v>
      </c>
      <c r="G4112">
        <v>14.885199999999999</v>
      </c>
      <c r="H4112">
        <v>14.4244</v>
      </c>
      <c r="I4112">
        <v>14.4244</v>
      </c>
      <c r="J4112">
        <v>41618</v>
      </c>
      <c r="K4112">
        <v>-2.2118000000000002</v>
      </c>
      <c r="L4112">
        <v>3.1949000000000001</v>
      </c>
    </row>
    <row r="4113" spans="1:12" hidden="1" x14ac:dyDescent="0.25">
      <c r="A4113">
        <v>2330</v>
      </c>
      <c r="B4113" t="s">
        <v>11</v>
      </c>
      <c r="C4113" s="1">
        <v>43227</v>
      </c>
      <c r="D4113" s="2">
        <f t="shared" si="128"/>
        <v>1</v>
      </c>
      <c r="E4113" s="2">
        <f t="shared" si="129"/>
        <v>5</v>
      </c>
      <c r="F4113">
        <v>205.02180000000001</v>
      </c>
      <c r="G4113">
        <v>205.47739999999999</v>
      </c>
      <c r="H4113">
        <v>201.83260000000001</v>
      </c>
      <c r="I4113">
        <v>203.655</v>
      </c>
      <c r="J4113">
        <v>23751</v>
      </c>
      <c r="K4113">
        <v>0.224</v>
      </c>
      <c r="L4113">
        <v>1.8059000000000001</v>
      </c>
    </row>
    <row r="4114" spans="1:12" x14ac:dyDescent="0.25">
      <c r="A4114">
        <v>2303</v>
      </c>
      <c r="B4114" t="s">
        <v>10</v>
      </c>
      <c r="C4114" s="1">
        <v>43228</v>
      </c>
      <c r="D4114" s="2">
        <f t="shared" si="128"/>
        <v>2</v>
      </c>
      <c r="E4114" s="2">
        <f t="shared" si="129"/>
        <v>5</v>
      </c>
      <c r="F4114">
        <v>14.5626</v>
      </c>
      <c r="G4114">
        <v>14.608700000000001</v>
      </c>
      <c r="H4114">
        <v>14.4244</v>
      </c>
      <c r="I4114">
        <v>14.608700000000001</v>
      </c>
      <c r="J4114">
        <v>25284</v>
      </c>
      <c r="K4114">
        <v>1.2699</v>
      </c>
      <c r="L4114">
        <v>1.278</v>
      </c>
    </row>
    <row r="4115" spans="1:12" hidden="1" x14ac:dyDescent="0.25">
      <c r="A4115">
        <v>2330</v>
      </c>
      <c r="B4115" t="s">
        <v>11</v>
      </c>
      <c r="C4115" s="1">
        <v>43228</v>
      </c>
      <c r="D4115" s="2">
        <f t="shared" si="128"/>
        <v>2</v>
      </c>
      <c r="E4115" s="2">
        <f t="shared" si="129"/>
        <v>5</v>
      </c>
      <c r="F4115">
        <v>204.11060000000001</v>
      </c>
      <c r="G4115">
        <v>208.21100000000001</v>
      </c>
      <c r="H4115">
        <v>203.655</v>
      </c>
      <c r="I4115">
        <v>207.75540000000001</v>
      </c>
      <c r="J4115">
        <v>40324</v>
      </c>
      <c r="K4115">
        <v>1.9934000000000001</v>
      </c>
      <c r="L4115">
        <v>2.2370999999999999</v>
      </c>
    </row>
    <row r="4116" spans="1:12" x14ac:dyDescent="0.25">
      <c r="A4116">
        <v>2303</v>
      </c>
      <c r="B4116" t="s">
        <v>10</v>
      </c>
      <c r="C4116" s="1">
        <v>43229</v>
      </c>
      <c r="D4116" s="2">
        <f t="shared" si="128"/>
        <v>3</v>
      </c>
      <c r="E4116" s="2">
        <f t="shared" si="129"/>
        <v>5</v>
      </c>
      <c r="F4116">
        <v>14.608700000000001</v>
      </c>
      <c r="G4116">
        <v>15.2539</v>
      </c>
      <c r="H4116">
        <v>14.5166</v>
      </c>
      <c r="I4116">
        <v>14.9313</v>
      </c>
      <c r="J4116">
        <v>48096</v>
      </c>
      <c r="K4116">
        <v>2.1842000000000001</v>
      </c>
      <c r="L4116">
        <v>5.0793999999999997</v>
      </c>
    </row>
    <row r="4117" spans="1:12" hidden="1" x14ac:dyDescent="0.25">
      <c r="A4117">
        <v>2330</v>
      </c>
      <c r="B4117" t="s">
        <v>11</v>
      </c>
      <c r="C4117" s="1">
        <v>43229</v>
      </c>
      <c r="D4117" s="2">
        <f t="shared" si="128"/>
        <v>3</v>
      </c>
      <c r="E4117" s="2">
        <f t="shared" si="129"/>
        <v>5</v>
      </c>
      <c r="F4117">
        <v>208.21100000000001</v>
      </c>
      <c r="G4117">
        <v>211.40029999999999</v>
      </c>
      <c r="H4117">
        <v>208.21100000000001</v>
      </c>
      <c r="I4117">
        <v>209.12219999999999</v>
      </c>
      <c r="J4117">
        <v>35597</v>
      </c>
      <c r="K4117">
        <v>0.65569999999999995</v>
      </c>
      <c r="L4117">
        <v>1.5317000000000001</v>
      </c>
    </row>
    <row r="4118" spans="1:12" x14ac:dyDescent="0.25">
      <c r="A4118">
        <v>2303</v>
      </c>
      <c r="B4118" t="s">
        <v>10</v>
      </c>
      <c r="C4118" s="1">
        <v>43230</v>
      </c>
      <c r="D4118" s="2">
        <f t="shared" si="128"/>
        <v>4</v>
      </c>
      <c r="E4118" s="2">
        <f t="shared" si="129"/>
        <v>5</v>
      </c>
      <c r="F4118">
        <v>15.069599999999999</v>
      </c>
      <c r="G4118">
        <v>15.1617</v>
      </c>
      <c r="H4118">
        <v>14.700900000000001</v>
      </c>
      <c r="I4118">
        <v>14.700900000000001</v>
      </c>
      <c r="J4118">
        <v>23378</v>
      </c>
      <c r="K4118">
        <v>-1.5551999999999999</v>
      </c>
      <c r="L4118">
        <v>3.1347999999999998</v>
      </c>
    </row>
    <row r="4119" spans="1:12" hidden="1" x14ac:dyDescent="0.25">
      <c r="A4119">
        <v>2330</v>
      </c>
      <c r="B4119" t="s">
        <v>11</v>
      </c>
      <c r="C4119" s="1">
        <v>43230</v>
      </c>
      <c r="D4119" s="2">
        <f t="shared" si="128"/>
        <v>4</v>
      </c>
      <c r="E4119" s="2">
        <f t="shared" si="129"/>
        <v>5</v>
      </c>
      <c r="F4119">
        <v>210.489</v>
      </c>
      <c r="G4119">
        <v>210.94470000000001</v>
      </c>
      <c r="H4119">
        <v>208.66659999999999</v>
      </c>
      <c r="I4119">
        <v>209.12219999999999</v>
      </c>
      <c r="J4119">
        <v>27530</v>
      </c>
      <c r="K4119">
        <v>0</v>
      </c>
      <c r="L4119">
        <v>1.0916999999999999</v>
      </c>
    </row>
    <row r="4120" spans="1:12" x14ac:dyDescent="0.25">
      <c r="A4120">
        <v>2303</v>
      </c>
      <c r="B4120" t="s">
        <v>10</v>
      </c>
      <c r="C4120" s="1">
        <v>43231</v>
      </c>
      <c r="D4120" s="2">
        <f t="shared" si="128"/>
        <v>5</v>
      </c>
      <c r="E4120" s="2">
        <f t="shared" si="129"/>
        <v>5</v>
      </c>
      <c r="F4120">
        <v>14.8391</v>
      </c>
      <c r="G4120">
        <v>14.9313</v>
      </c>
      <c r="H4120">
        <v>14.747</v>
      </c>
      <c r="I4120">
        <v>14.885199999999999</v>
      </c>
      <c r="J4120">
        <v>31393</v>
      </c>
      <c r="K4120">
        <v>1.2461</v>
      </c>
      <c r="L4120">
        <v>1.25</v>
      </c>
    </row>
    <row r="4121" spans="1:12" hidden="1" x14ac:dyDescent="0.25">
      <c r="A4121">
        <v>2330</v>
      </c>
      <c r="B4121" t="s">
        <v>11</v>
      </c>
      <c r="C4121" s="1">
        <v>43231</v>
      </c>
      <c r="D4121" s="2">
        <f t="shared" si="128"/>
        <v>5</v>
      </c>
      <c r="E4121" s="2">
        <f t="shared" si="129"/>
        <v>5</v>
      </c>
      <c r="F4121">
        <v>211.40029999999999</v>
      </c>
      <c r="G4121">
        <v>213.2227</v>
      </c>
      <c r="H4121">
        <v>210.0334</v>
      </c>
      <c r="I4121">
        <v>212.3115</v>
      </c>
      <c r="J4121">
        <v>30693</v>
      </c>
      <c r="K4121">
        <v>1.5135000000000001</v>
      </c>
      <c r="L4121">
        <v>1.5184</v>
      </c>
    </row>
    <row r="4122" spans="1:12" x14ac:dyDescent="0.25">
      <c r="A4122">
        <v>2303</v>
      </c>
      <c r="B4122" t="s">
        <v>10</v>
      </c>
      <c r="C4122" s="1">
        <v>43234</v>
      </c>
      <c r="D4122" s="2">
        <f t="shared" si="128"/>
        <v>1</v>
      </c>
      <c r="E4122" s="2">
        <f t="shared" si="129"/>
        <v>5</v>
      </c>
      <c r="F4122">
        <v>14.9313</v>
      </c>
      <c r="G4122">
        <v>15.1157</v>
      </c>
      <c r="H4122">
        <v>14.747</v>
      </c>
      <c r="I4122">
        <v>15.1157</v>
      </c>
      <c r="J4122">
        <v>32914</v>
      </c>
      <c r="K4122">
        <v>1.5361</v>
      </c>
      <c r="L4122">
        <v>2.5</v>
      </c>
    </row>
    <row r="4123" spans="1:12" hidden="1" x14ac:dyDescent="0.25">
      <c r="A4123">
        <v>2330</v>
      </c>
      <c r="B4123" t="s">
        <v>11</v>
      </c>
      <c r="C4123" s="1">
        <v>43234</v>
      </c>
      <c r="D4123" s="2">
        <f t="shared" si="128"/>
        <v>1</v>
      </c>
      <c r="E4123" s="2">
        <f t="shared" si="129"/>
        <v>5</v>
      </c>
      <c r="F4123">
        <v>213.67830000000001</v>
      </c>
      <c r="G4123">
        <v>213.67830000000001</v>
      </c>
      <c r="H4123">
        <v>211.85589999999999</v>
      </c>
      <c r="I4123">
        <v>212.3115</v>
      </c>
      <c r="J4123">
        <v>23577</v>
      </c>
      <c r="K4123">
        <v>0</v>
      </c>
      <c r="L4123">
        <v>0.86019999999999996</v>
      </c>
    </row>
    <row r="4124" spans="1:12" x14ac:dyDescent="0.25">
      <c r="A4124">
        <v>2303</v>
      </c>
      <c r="B4124" t="s">
        <v>10</v>
      </c>
      <c r="C4124" s="1">
        <v>43235</v>
      </c>
      <c r="D4124" s="2">
        <f t="shared" si="128"/>
        <v>2</v>
      </c>
      <c r="E4124" s="2">
        <f t="shared" si="129"/>
        <v>5</v>
      </c>
      <c r="F4124">
        <v>15.069599999999999</v>
      </c>
      <c r="G4124">
        <v>15.2539</v>
      </c>
      <c r="H4124">
        <v>14.9313</v>
      </c>
      <c r="I4124">
        <v>15.1617</v>
      </c>
      <c r="J4124">
        <v>42548</v>
      </c>
      <c r="K4124">
        <v>0.3044</v>
      </c>
      <c r="L4124">
        <v>2.1604999999999999</v>
      </c>
    </row>
    <row r="4125" spans="1:12" hidden="1" x14ac:dyDescent="0.25">
      <c r="A4125">
        <v>2330</v>
      </c>
      <c r="B4125" t="s">
        <v>11</v>
      </c>
      <c r="C4125" s="1">
        <v>43235</v>
      </c>
      <c r="D4125" s="2">
        <f t="shared" si="128"/>
        <v>2</v>
      </c>
      <c r="E4125" s="2">
        <f t="shared" si="129"/>
        <v>5</v>
      </c>
      <c r="F4125">
        <v>212.7671</v>
      </c>
      <c r="G4125">
        <v>213.2227</v>
      </c>
      <c r="H4125">
        <v>209.12219999999999</v>
      </c>
      <c r="I4125">
        <v>210.0334</v>
      </c>
      <c r="J4125">
        <v>23771</v>
      </c>
      <c r="K4125">
        <v>-1.0788</v>
      </c>
      <c r="L4125">
        <v>1.9608000000000001</v>
      </c>
    </row>
    <row r="4126" spans="1:12" x14ac:dyDescent="0.25">
      <c r="A4126">
        <v>2303</v>
      </c>
      <c r="B4126" t="s">
        <v>10</v>
      </c>
      <c r="C4126" s="1">
        <v>43236</v>
      </c>
      <c r="D4126" s="2">
        <f t="shared" si="128"/>
        <v>3</v>
      </c>
      <c r="E4126" s="2">
        <f t="shared" si="129"/>
        <v>5</v>
      </c>
      <c r="F4126">
        <v>15.1157</v>
      </c>
      <c r="G4126">
        <v>15.2539</v>
      </c>
      <c r="H4126">
        <v>14.9313</v>
      </c>
      <c r="I4126">
        <v>15.0235</v>
      </c>
      <c r="J4126">
        <v>33701</v>
      </c>
      <c r="K4126">
        <v>-0.91600000000000004</v>
      </c>
      <c r="L4126">
        <v>2.1604999999999999</v>
      </c>
    </row>
    <row r="4127" spans="1:12" hidden="1" x14ac:dyDescent="0.25">
      <c r="A4127">
        <v>2330</v>
      </c>
      <c r="B4127" t="s">
        <v>11</v>
      </c>
      <c r="C4127" s="1">
        <v>43236</v>
      </c>
      <c r="D4127" s="2">
        <f t="shared" si="128"/>
        <v>3</v>
      </c>
      <c r="E4127" s="2">
        <f t="shared" si="129"/>
        <v>5</v>
      </c>
      <c r="F4127">
        <v>209.12219999999999</v>
      </c>
      <c r="G4127">
        <v>210.0334</v>
      </c>
      <c r="H4127">
        <v>208.21100000000001</v>
      </c>
      <c r="I4127">
        <v>210.0334</v>
      </c>
      <c r="J4127">
        <v>14834</v>
      </c>
      <c r="K4127">
        <v>0</v>
      </c>
      <c r="L4127">
        <v>0.87529999999999997</v>
      </c>
    </row>
    <row r="4128" spans="1:12" x14ac:dyDescent="0.25">
      <c r="A4128">
        <v>2303</v>
      </c>
      <c r="B4128" t="s">
        <v>10</v>
      </c>
      <c r="C4128" s="1">
        <v>43237</v>
      </c>
      <c r="D4128" s="2">
        <f t="shared" si="128"/>
        <v>4</v>
      </c>
      <c r="E4128" s="2">
        <f t="shared" si="129"/>
        <v>5</v>
      </c>
      <c r="F4128">
        <v>15.069599999999999</v>
      </c>
      <c r="G4128">
        <v>15.207800000000001</v>
      </c>
      <c r="H4128">
        <v>14.793100000000001</v>
      </c>
      <c r="I4128">
        <v>14.793100000000001</v>
      </c>
      <c r="J4128">
        <v>26416</v>
      </c>
      <c r="K4128">
        <v>-1.5456000000000001</v>
      </c>
      <c r="L4128">
        <v>2.8037000000000001</v>
      </c>
    </row>
    <row r="4129" spans="1:12" hidden="1" x14ac:dyDescent="0.25">
      <c r="A4129">
        <v>2330</v>
      </c>
      <c r="B4129" t="s">
        <v>11</v>
      </c>
      <c r="C4129" s="1">
        <v>43237</v>
      </c>
      <c r="D4129" s="2">
        <f t="shared" si="128"/>
        <v>4</v>
      </c>
      <c r="E4129" s="2">
        <f t="shared" si="129"/>
        <v>5</v>
      </c>
      <c r="F4129">
        <v>210.489</v>
      </c>
      <c r="G4129">
        <v>210.94470000000001</v>
      </c>
      <c r="H4129">
        <v>206.3886</v>
      </c>
      <c r="I4129">
        <v>206.3886</v>
      </c>
      <c r="J4129">
        <v>27702</v>
      </c>
      <c r="K4129">
        <v>-1.7505999999999999</v>
      </c>
      <c r="L4129">
        <v>2.2075</v>
      </c>
    </row>
    <row r="4130" spans="1:12" x14ac:dyDescent="0.25">
      <c r="A4130">
        <v>2303</v>
      </c>
      <c r="B4130" t="s">
        <v>10</v>
      </c>
      <c r="C4130" s="1">
        <v>43238</v>
      </c>
      <c r="D4130" s="2">
        <f t="shared" si="128"/>
        <v>5</v>
      </c>
      <c r="E4130" s="2">
        <f t="shared" si="129"/>
        <v>5</v>
      </c>
      <c r="F4130">
        <v>14.885199999999999</v>
      </c>
      <c r="G4130">
        <v>14.885199999999999</v>
      </c>
      <c r="H4130">
        <v>14.700900000000001</v>
      </c>
      <c r="I4130">
        <v>14.793100000000001</v>
      </c>
      <c r="J4130">
        <v>22129</v>
      </c>
      <c r="K4130">
        <v>0</v>
      </c>
      <c r="L4130">
        <v>1.2539</v>
      </c>
    </row>
    <row r="4131" spans="1:12" hidden="1" x14ac:dyDescent="0.25">
      <c r="A4131">
        <v>2330</v>
      </c>
      <c r="B4131" t="s">
        <v>11</v>
      </c>
      <c r="C4131" s="1">
        <v>43238</v>
      </c>
      <c r="D4131" s="2">
        <f t="shared" si="128"/>
        <v>5</v>
      </c>
      <c r="E4131" s="2">
        <f t="shared" si="129"/>
        <v>5</v>
      </c>
      <c r="F4131">
        <v>205.47739999999999</v>
      </c>
      <c r="G4131">
        <v>207.2998</v>
      </c>
      <c r="H4131">
        <v>203.655</v>
      </c>
      <c r="I4131">
        <v>203.655</v>
      </c>
      <c r="J4131">
        <v>28187</v>
      </c>
      <c r="K4131">
        <v>-1.3333999999999999</v>
      </c>
      <c r="L4131">
        <v>1.7897000000000001</v>
      </c>
    </row>
    <row r="4132" spans="1:12" x14ac:dyDescent="0.25">
      <c r="A4132">
        <v>2303</v>
      </c>
      <c r="B4132" t="s">
        <v>10</v>
      </c>
      <c r="C4132" s="1">
        <v>43241</v>
      </c>
      <c r="D4132" s="2">
        <f t="shared" si="128"/>
        <v>1</v>
      </c>
      <c r="E4132" s="2">
        <f t="shared" si="129"/>
        <v>5</v>
      </c>
      <c r="F4132">
        <v>14.793100000000001</v>
      </c>
      <c r="G4132">
        <v>14.885199999999999</v>
      </c>
      <c r="H4132">
        <v>14.747</v>
      </c>
      <c r="I4132">
        <v>14.793100000000001</v>
      </c>
      <c r="J4132">
        <v>10344</v>
      </c>
      <c r="K4132">
        <v>0</v>
      </c>
      <c r="L4132">
        <v>0.9375</v>
      </c>
    </row>
    <row r="4133" spans="1:12" hidden="1" x14ac:dyDescent="0.25">
      <c r="A4133">
        <v>2330</v>
      </c>
      <c r="B4133" t="s">
        <v>11</v>
      </c>
      <c r="C4133" s="1">
        <v>43241</v>
      </c>
      <c r="D4133" s="2">
        <f t="shared" si="128"/>
        <v>1</v>
      </c>
      <c r="E4133" s="2">
        <f t="shared" si="129"/>
        <v>5</v>
      </c>
      <c r="F4133">
        <v>205.02180000000001</v>
      </c>
      <c r="G4133">
        <v>209.5778</v>
      </c>
      <c r="H4133">
        <v>205.02180000000001</v>
      </c>
      <c r="I4133">
        <v>208.66659999999999</v>
      </c>
      <c r="J4133">
        <v>16417</v>
      </c>
      <c r="K4133">
        <v>2.4310999999999998</v>
      </c>
      <c r="L4133">
        <v>2.2222</v>
      </c>
    </row>
    <row r="4134" spans="1:12" x14ac:dyDescent="0.25">
      <c r="A4134">
        <v>2303</v>
      </c>
      <c r="B4134" t="s">
        <v>10</v>
      </c>
      <c r="C4134" s="1">
        <v>43242</v>
      </c>
      <c r="D4134" s="2">
        <f t="shared" si="128"/>
        <v>2</v>
      </c>
      <c r="E4134" s="2">
        <f t="shared" si="129"/>
        <v>5</v>
      </c>
      <c r="F4134">
        <v>14.977399999999999</v>
      </c>
      <c r="G4134">
        <v>15.3461</v>
      </c>
      <c r="H4134">
        <v>14.9313</v>
      </c>
      <c r="I4134">
        <v>14.9313</v>
      </c>
      <c r="J4134">
        <v>43275</v>
      </c>
      <c r="K4134">
        <v>0.93020000000000003</v>
      </c>
      <c r="L4134">
        <v>2.7778</v>
      </c>
    </row>
    <row r="4135" spans="1:12" hidden="1" x14ac:dyDescent="0.25">
      <c r="A4135">
        <v>2330</v>
      </c>
      <c r="B4135" t="s">
        <v>11</v>
      </c>
      <c r="C4135" s="1">
        <v>43242</v>
      </c>
      <c r="D4135" s="2">
        <f t="shared" si="128"/>
        <v>2</v>
      </c>
      <c r="E4135" s="2">
        <f t="shared" si="129"/>
        <v>5</v>
      </c>
      <c r="F4135">
        <v>209.5778</v>
      </c>
      <c r="G4135">
        <v>212.7671</v>
      </c>
      <c r="H4135">
        <v>208.66659999999999</v>
      </c>
      <c r="I4135">
        <v>208.66659999999999</v>
      </c>
      <c r="J4135">
        <v>22422</v>
      </c>
      <c r="K4135">
        <v>0</v>
      </c>
      <c r="L4135">
        <v>1.9651000000000001</v>
      </c>
    </row>
    <row r="4136" spans="1:12" x14ac:dyDescent="0.25">
      <c r="A4136">
        <v>2303</v>
      </c>
      <c r="B4136" t="s">
        <v>10</v>
      </c>
      <c r="C4136" s="1">
        <v>43243</v>
      </c>
      <c r="D4136" s="2">
        <f t="shared" si="128"/>
        <v>3</v>
      </c>
      <c r="E4136" s="2">
        <f t="shared" si="129"/>
        <v>5</v>
      </c>
      <c r="F4136">
        <v>15.069599999999999</v>
      </c>
      <c r="G4136">
        <v>15.1157</v>
      </c>
      <c r="H4136">
        <v>14.8391</v>
      </c>
      <c r="I4136">
        <v>14.9313</v>
      </c>
      <c r="J4136">
        <v>21014</v>
      </c>
      <c r="K4136">
        <v>0</v>
      </c>
      <c r="L4136">
        <v>1.8633999999999999</v>
      </c>
    </row>
    <row r="4137" spans="1:12" hidden="1" x14ac:dyDescent="0.25">
      <c r="A4137">
        <v>2330</v>
      </c>
      <c r="B4137" t="s">
        <v>11</v>
      </c>
      <c r="C4137" s="1">
        <v>43243</v>
      </c>
      <c r="D4137" s="2">
        <f t="shared" si="128"/>
        <v>3</v>
      </c>
      <c r="E4137" s="2">
        <f t="shared" si="129"/>
        <v>5</v>
      </c>
      <c r="F4137">
        <v>210.94470000000001</v>
      </c>
      <c r="G4137">
        <v>210.94470000000001</v>
      </c>
      <c r="H4137">
        <v>208.21100000000001</v>
      </c>
      <c r="I4137">
        <v>208.21100000000001</v>
      </c>
      <c r="J4137">
        <v>26737</v>
      </c>
      <c r="K4137">
        <v>-0.21859999999999999</v>
      </c>
      <c r="L4137">
        <v>1.3129</v>
      </c>
    </row>
    <row r="4138" spans="1:12" x14ac:dyDescent="0.25">
      <c r="A4138">
        <v>2303</v>
      </c>
      <c r="B4138" t="s">
        <v>10</v>
      </c>
      <c r="C4138" s="1">
        <v>43244</v>
      </c>
      <c r="D4138" s="2">
        <f t="shared" si="128"/>
        <v>4</v>
      </c>
      <c r="E4138" s="2">
        <f t="shared" si="129"/>
        <v>5</v>
      </c>
      <c r="F4138">
        <v>14.9313</v>
      </c>
      <c r="G4138">
        <v>15.0235</v>
      </c>
      <c r="H4138">
        <v>14.793100000000001</v>
      </c>
      <c r="I4138">
        <v>14.9313</v>
      </c>
      <c r="J4138">
        <v>13951</v>
      </c>
      <c r="K4138">
        <v>0</v>
      </c>
      <c r="L4138">
        <v>1.5576000000000001</v>
      </c>
    </row>
    <row r="4139" spans="1:12" hidden="1" x14ac:dyDescent="0.25">
      <c r="A4139">
        <v>2330</v>
      </c>
      <c r="B4139" t="s">
        <v>11</v>
      </c>
      <c r="C4139" s="1">
        <v>43244</v>
      </c>
      <c r="D4139" s="2">
        <f t="shared" si="128"/>
        <v>4</v>
      </c>
      <c r="E4139" s="2">
        <f t="shared" si="129"/>
        <v>5</v>
      </c>
      <c r="F4139">
        <v>209.12219999999999</v>
      </c>
      <c r="G4139">
        <v>209.5778</v>
      </c>
      <c r="H4139">
        <v>208.21100000000001</v>
      </c>
      <c r="I4139">
        <v>208.66659999999999</v>
      </c>
      <c r="J4139">
        <v>13450</v>
      </c>
      <c r="K4139">
        <v>0.21859999999999999</v>
      </c>
      <c r="L4139">
        <v>0.65649999999999997</v>
      </c>
    </row>
    <row r="4140" spans="1:12" x14ac:dyDescent="0.25">
      <c r="A4140">
        <v>2303</v>
      </c>
      <c r="B4140" t="s">
        <v>10</v>
      </c>
      <c r="C4140" s="1">
        <v>43245</v>
      </c>
      <c r="D4140" s="2">
        <f t="shared" si="128"/>
        <v>5</v>
      </c>
      <c r="E4140" s="2">
        <f t="shared" si="129"/>
        <v>5</v>
      </c>
      <c r="F4140">
        <v>14.9313</v>
      </c>
      <c r="G4140">
        <v>15.0235</v>
      </c>
      <c r="H4140">
        <v>14.885199999999999</v>
      </c>
      <c r="I4140">
        <v>14.977399999999999</v>
      </c>
      <c r="J4140">
        <v>25392</v>
      </c>
      <c r="K4140">
        <v>0.30819999999999997</v>
      </c>
      <c r="L4140">
        <v>0.92879999999999996</v>
      </c>
    </row>
    <row r="4141" spans="1:12" hidden="1" x14ac:dyDescent="0.25">
      <c r="A4141">
        <v>2330</v>
      </c>
      <c r="B4141" t="s">
        <v>11</v>
      </c>
      <c r="C4141" s="1">
        <v>43245</v>
      </c>
      <c r="D4141" s="2">
        <f t="shared" si="128"/>
        <v>5</v>
      </c>
      <c r="E4141" s="2">
        <f t="shared" si="129"/>
        <v>5</v>
      </c>
      <c r="F4141">
        <v>208.21100000000001</v>
      </c>
      <c r="G4141">
        <v>209.12219999999999</v>
      </c>
      <c r="H4141">
        <v>207.75540000000001</v>
      </c>
      <c r="I4141">
        <v>208.21100000000001</v>
      </c>
      <c r="J4141">
        <v>16486</v>
      </c>
      <c r="K4141">
        <v>-0.21859999999999999</v>
      </c>
      <c r="L4141">
        <v>0.65790000000000004</v>
      </c>
    </row>
    <row r="4142" spans="1:12" x14ac:dyDescent="0.25">
      <c r="A4142">
        <v>2303</v>
      </c>
      <c r="B4142" t="s">
        <v>10</v>
      </c>
      <c r="C4142" s="1">
        <v>43248</v>
      </c>
      <c r="D4142" s="2">
        <f t="shared" si="128"/>
        <v>1</v>
      </c>
      <c r="E4142" s="2">
        <f t="shared" si="129"/>
        <v>5</v>
      </c>
      <c r="F4142">
        <v>15.1617</v>
      </c>
      <c r="G4142">
        <v>15.207800000000001</v>
      </c>
      <c r="H4142">
        <v>14.977399999999999</v>
      </c>
      <c r="I4142">
        <v>15.1157</v>
      </c>
      <c r="J4142">
        <v>34010</v>
      </c>
      <c r="K4142">
        <v>0.91879999999999995</v>
      </c>
      <c r="L4142">
        <v>1.5385</v>
      </c>
    </row>
    <row r="4143" spans="1:12" hidden="1" x14ac:dyDescent="0.25">
      <c r="A4143">
        <v>2330</v>
      </c>
      <c r="B4143" t="s">
        <v>11</v>
      </c>
      <c r="C4143" s="1">
        <v>43248</v>
      </c>
      <c r="D4143" s="2">
        <f t="shared" si="128"/>
        <v>1</v>
      </c>
      <c r="E4143" s="2">
        <f t="shared" si="129"/>
        <v>5</v>
      </c>
      <c r="F4143">
        <v>209.12219999999999</v>
      </c>
      <c r="G4143">
        <v>209.5778</v>
      </c>
      <c r="H4143">
        <v>206.3886</v>
      </c>
      <c r="I4143">
        <v>206.8442</v>
      </c>
      <c r="J4143">
        <v>17673</v>
      </c>
      <c r="K4143">
        <v>-0.65859999999999996</v>
      </c>
      <c r="L4143">
        <v>1.5452999999999999</v>
      </c>
    </row>
    <row r="4144" spans="1:12" x14ac:dyDescent="0.25">
      <c r="A4144">
        <v>2303</v>
      </c>
      <c r="B4144" t="s">
        <v>10</v>
      </c>
      <c r="C4144" s="1">
        <v>43249</v>
      </c>
      <c r="D4144" s="2">
        <f t="shared" si="128"/>
        <v>2</v>
      </c>
      <c r="E4144" s="2">
        <f t="shared" si="129"/>
        <v>5</v>
      </c>
      <c r="F4144">
        <v>15.207800000000001</v>
      </c>
      <c r="G4144">
        <v>15.3</v>
      </c>
      <c r="H4144">
        <v>15.069599999999999</v>
      </c>
      <c r="I4144">
        <v>15.1617</v>
      </c>
      <c r="J4144">
        <v>33254</v>
      </c>
      <c r="K4144">
        <v>0.3044</v>
      </c>
      <c r="L4144">
        <v>1.5290999999999999</v>
      </c>
    </row>
    <row r="4145" spans="1:12" hidden="1" x14ac:dyDescent="0.25">
      <c r="A4145">
        <v>2330</v>
      </c>
      <c r="B4145" t="s">
        <v>11</v>
      </c>
      <c r="C4145" s="1">
        <v>43249</v>
      </c>
      <c r="D4145" s="2">
        <f t="shared" si="128"/>
        <v>2</v>
      </c>
      <c r="E4145" s="2">
        <f t="shared" si="129"/>
        <v>5</v>
      </c>
      <c r="F4145">
        <v>206.3886</v>
      </c>
      <c r="G4145">
        <v>206.3886</v>
      </c>
      <c r="H4145">
        <v>203.655</v>
      </c>
      <c r="I4145">
        <v>205.02180000000001</v>
      </c>
      <c r="J4145">
        <v>25770</v>
      </c>
      <c r="K4145">
        <v>-0.88500000000000001</v>
      </c>
      <c r="L4145">
        <v>1.3423</v>
      </c>
    </row>
    <row r="4146" spans="1:12" x14ac:dyDescent="0.25">
      <c r="A4146">
        <v>2303</v>
      </c>
      <c r="B4146" t="s">
        <v>10</v>
      </c>
      <c r="C4146" s="1">
        <v>43250</v>
      </c>
      <c r="D4146" s="2">
        <f t="shared" si="128"/>
        <v>3</v>
      </c>
      <c r="E4146" s="2">
        <f t="shared" si="129"/>
        <v>5</v>
      </c>
      <c r="F4146">
        <v>15.0235</v>
      </c>
      <c r="G4146">
        <v>15.392200000000001</v>
      </c>
      <c r="H4146">
        <v>14.977399999999999</v>
      </c>
      <c r="I4146">
        <v>15.1157</v>
      </c>
      <c r="J4146">
        <v>54574</v>
      </c>
      <c r="K4146">
        <v>-0.3044</v>
      </c>
      <c r="L4146">
        <v>2.7692000000000001</v>
      </c>
    </row>
    <row r="4147" spans="1:12" hidden="1" x14ac:dyDescent="0.25">
      <c r="A4147">
        <v>2330</v>
      </c>
      <c r="B4147" t="s">
        <v>11</v>
      </c>
      <c r="C4147" s="1">
        <v>43250</v>
      </c>
      <c r="D4147" s="2">
        <f t="shared" si="128"/>
        <v>3</v>
      </c>
      <c r="E4147" s="2">
        <f t="shared" si="129"/>
        <v>5</v>
      </c>
      <c r="F4147">
        <v>204.11060000000001</v>
      </c>
      <c r="G4147">
        <v>204.11060000000001</v>
      </c>
      <c r="H4147">
        <v>200.92140000000001</v>
      </c>
      <c r="I4147">
        <v>201.37700000000001</v>
      </c>
      <c r="J4147">
        <v>49667</v>
      </c>
      <c r="K4147">
        <v>-1.7938000000000001</v>
      </c>
      <c r="L4147">
        <v>1.5872999999999999</v>
      </c>
    </row>
    <row r="4148" spans="1:12" x14ac:dyDescent="0.25">
      <c r="A4148">
        <v>2303</v>
      </c>
      <c r="B4148" t="s">
        <v>10</v>
      </c>
      <c r="C4148" s="1">
        <v>43251</v>
      </c>
      <c r="D4148" s="2">
        <f t="shared" si="128"/>
        <v>4</v>
      </c>
      <c r="E4148" s="2">
        <f t="shared" si="129"/>
        <v>5</v>
      </c>
      <c r="F4148">
        <v>15.2539</v>
      </c>
      <c r="G4148">
        <v>15.3461</v>
      </c>
      <c r="H4148">
        <v>15.1157</v>
      </c>
      <c r="I4148">
        <v>15.3461</v>
      </c>
      <c r="J4148">
        <v>97295</v>
      </c>
      <c r="K4148">
        <v>1.5128999999999999</v>
      </c>
      <c r="L4148">
        <v>1.5244</v>
      </c>
    </row>
    <row r="4149" spans="1:12" hidden="1" x14ac:dyDescent="0.25">
      <c r="A4149">
        <v>2330</v>
      </c>
      <c r="B4149" t="s">
        <v>11</v>
      </c>
      <c r="C4149" s="1">
        <v>43251</v>
      </c>
      <c r="D4149" s="2">
        <f t="shared" si="128"/>
        <v>4</v>
      </c>
      <c r="E4149" s="2">
        <f t="shared" si="129"/>
        <v>5</v>
      </c>
      <c r="F4149">
        <v>201.83260000000001</v>
      </c>
      <c r="G4149">
        <v>204.11060000000001</v>
      </c>
      <c r="H4149">
        <v>200.92140000000001</v>
      </c>
      <c r="I4149">
        <v>204.11060000000001</v>
      </c>
      <c r="J4149">
        <v>96587</v>
      </c>
      <c r="K4149">
        <v>1.3483000000000001</v>
      </c>
      <c r="L4149">
        <v>1.5872999999999999</v>
      </c>
    </row>
    <row r="4150" spans="1:12" x14ac:dyDescent="0.25">
      <c r="A4150">
        <v>2303</v>
      </c>
      <c r="B4150" t="s">
        <v>10</v>
      </c>
      <c r="C4150" s="1">
        <v>43252</v>
      </c>
      <c r="D4150" s="2">
        <f t="shared" si="128"/>
        <v>5</v>
      </c>
      <c r="E4150" s="2">
        <f t="shared" si="129"/>
        <v>6</v>
      </c>
      <c r="F4150">
        <v>15.3461</v>
      </c>
      <c r="G4150">
        <v>15.392200000000001</v>
      </c>
      <c r="H4150">
        <v>15.1157</v>
      </c>
      <c r="I4150">
        <v>15.1617</v>
      </c>
      <c r="J4150">
        <v>52546</v>
      </c>
      <c r="K4150">
        <v>-1.2084999999999999</v>
      </c>
      <c r="L4150">
        <v>1.8292999999999999</v>
      </c>
    </row>
    <row r="4151" spans="1:12" hidden="1" x14ac:dyDescent="0.25">
      <c r="A4151">
        <v>2330</v>
      </c>
      <c r="B4151" t="s">
        <v>11</v>
      </c>
      <c r="C4151" s="1">
        <v>43252</v>
      </c>
      <c r="D4151" s="2">
        <f t="shared" si="128"/>
        <v>5</v>
      </c>
      <c r="E4151" s="2">
        <f t="shared" si="129"/>
        <v>6</v>
      </c>
      <c r="F4151">
        <v>204.56620000000001</v>
      </c>
      <c r="G4151">
        <v>206.3886</v>
      </c>
      <c r="H4151">
        <v>204.11060000000001</v>
      </c>
      <c r="I4151">
        <v>204.11060000000001</v>
      </c>
      <c r="J4151">
        <v>36652</v>
      </c>
      <c r="K4151">
        <v>0</v>
      </c>
      <c r="L4151">
        <v>1.1161000000000001</v>
      </c>
    </row>
    <row r="4152" spans="1:12" x14ac:dyDescent="0.25">
      <c r="A4152">
        <v>2303</v>
      </c>
      <c r="B4152" t="s">
        <v>10</v>
      </c>
      <c r="C4152" s="1">
        <v>43255</v>
      </c>
      <c r="D4152" s="2">
        <f t="shared" si="128"/>
        <v>1</v>
      </c>
      <c r="E4152" s="2">
        <f t="shared" si="129"/>
        <v>6</v>
      </c>
      <c r="F4152">
        <v>15.207800000000001</v>
      </c>
      <c r="G4152">
        <v>15.2539</v>
      </c>
      <c r="H4152">
        <v>15.1157</v>
      </c>
      <c r="I4152">
        <v>15.207800000000001</v>
      </c>
      <c r="J4152">
        <v>33403</v>
      </c>
      <c r="K4152">
        <v>0.30349999999999999</v>
      </c>
      <c r="L4152">
        <v>0.91459999999999997</v>
      </c>
    </row>
    <row r="4153" spans="1:12" hidden="1" x14ac:dyDescent="0.25">
      <c r="A4153">
        <v>2330</v>
      </c>
      <c r="B4153" t="s">
        <v>11</v>
      </c>
      <c r="C4153" s="1">
        <v>43255</v>
      </c>
      <c r="D4153" s="2">
        <f t="shared" si="128"/>
        <v>1</v>
      </c>
      <c r="E4153" s="2">
        <f t="shared" si="129"/>
        <v>6</v>
      </c>
      <c r="F4153">
        <v>207.2998</v>
      </c>
      <c r="G4153">
        <v>208.66659999999999</v>
      </c>
      <c r="H4153">
        <v>206.8442</v>
      </c>
      <c r="I4153">
        <v>208.66659999999999</v>
      </c>
      <c r="J4153">
        <v>31257</v>
      </c>
      <c r="K4153">
        <v>2.2075999999999998</v>
      </c>
      <c r="L4153">
        <v>0.88109999999999999</v>
      </c>
    </row>
    <row r="4154" spans="1:12" x14ac:dyDescent="0.25">
      <c r="A4154">
        <v>2303</v>
      </c>
      <c r="B4154" t="s">
        <v>10</v>
      </c>
      <c r="C4154" s="1">
        <v>43256</v>
      </c>
      <c r="D4154" s="2">
        <f t="shared" si="128"/>
        <v>2</v>
      </c>
      <c r="E4154" s="2">
        <f t="shared" si="129"/>
        <v>6</v>
      </c>
      <c r="F4154">
        <v>15.3</v>
      </c>
      <c r="G4154">
        <v>15.3461</v>
      </c>
      <c r="H4154">
        <v>15.1617</v>
      </c>
      <c r="I4154">
        <v>15.207800000000001</v>
      </c>
      <c r="J4154">
        <v>34025</v>
      </c>
      <c r="K4154">
        <v>0</v>
      </c>
      <c r="L4154">
        <v>1.2158</v>
      </c>
    </row>
    <row r="4155" spans="1:12" hidden="1" x14ac:dyDescent="0.25">
      <c r="A4155">
        <v>2330</v>
      </c>
      <c r="B4155" t="s">
        <v>11</v>
      </c>
      <c r="C4155" s="1">
        <v>43256</v>
      </c>
      <c r="D4155" s="2">
        <f t="shared" si="128"/>
        <v>2</v>
      </c>
      <c r="E4155" s="2">
        <f t="shared" si="129"/>
        <v>6</v>
      </c>
      <c r="F4155">
        <v>209.5778</v>
      </c>
      <c r="G4155">
        <v>209.5778</v>
      </c>
      <c r="H4155">
        <v>206.3886</v>
      </c>
      <c r="I4155">
        <v>208.66659999999999</v>
      </c>
      <c r="J4155">
        <v>27714</v>
      </c>
      <c r="K4155">
        <v>0</v>
      </c>
      <c r="L4155">
        <v>1.5452999999999999</v>
      </c>
    </row>
    <row r="4156" spans="1:12" x14ac:dyDescent="0.25">
      <c r="A4156">
        <v>2303</v>
      </c>
      <c r="B4156" t="s">
        <v>10</v>
      </c>
      <c r="C4156" s="1">
        <v>43257</v>
      </c>
      <c r="D4156" s="2">
        <f t="shared" si="128"/>
        <v>3</v>
      </c>
      <c r="E4156" s="2">
        <f t="shared" si="129"/>
        <v>6</v>
      </c>
      <c r="F4156">
        <v>15.207800000000001</v>
      </c>
      <c r="G4156">
        <v>15.2539</v>
      </c>
      <c r="H4156">
        <v>15.069599999999999</v>
      </c>
      <c r="I4156">
        <v>15.1157</v>
      </c>
      <c r="J4156">
        <v>42224</v>
      </c>
      <c r="K4156">
        <v>-0.6079</v>
      </c>
      <c r="L4156">
        <v>1.2232000000000001</v>
      </c>
    </row>
    <row r="4157" spans="1:12" hidden="1" x14ac:dyDescent="0.25">
      <c r="A4157">
        <v>2330</v>
      </c>
      <c r="B4157" t="s">
        <v>11</v>
      </c>
      <c r="C4157" s="1">
        <v>43257</v>
      </c>
      <c r="D4157" s="2">
        <f t="shared" si="128"/>
        <v>3</v>
      </c>
      <c r="E4157" s="2">
        <f t="shared" si="129"/>
        <v>6</v>
      </c>
      <c r="F4157">
        <v>208.66659999999999</v>
      </c>
      <c r="G4157">
        <v>209.5778</v>
      </c>
      <c r="H4157">
        <v>206.8442</v>
      </c>
      <c r="I4157">
        <v>209.5778</v>
      </c>
      <c r="J4157">
        <v>30375</v>
      </c>
      <c r="K4157">
        <v>0.43569999999999998</v>
      </c>
      <c r="L4157">
        <v>1.3216000000000001</v>
      </c>
    </row>
    <row r="4158" spans="1:12" x14ac:dyDescent="0.25">
      <c r="A4158">
        <v>2303</v>
      </c>
      <c r="B4158" t="s">
        <v>10</v>
      </c>
      <c r="C4158" s="1">
        <v>43258</v>
      </c>
      <c r="D4158" s="2">
        <f t="shared" si="128"/>
        <v>4</v>
      </c>
      <c r="E4158" s="2">
        <f t="shared" si="129"/>
        <v>6</v>
      </c>
      <c r="F4158">
        <v>15.1617</v>
      </c>
      <c r="G4158">
        <v>15.3</v>
      </c>
      <c r="H4158">
        <v>15.1157</v>
      </c>
      <c r="I4158">
        <v>15.3</v>
      </c>
      <c r="J4158">
        <v>38502</v>
      </c>
      <c r="K4158">
        <v>1.2121</v>
      </c>
      <c r="L4158">
        <v>1.2195</v>
      </c>
    </row>
    <row r="4159" spans="1:12" hidden="1" x14ac:dyDescent="0.25">
      <c r="A4159">
        <v>2330</v>
      </c>
      <c r="B4159" t="s">
        <v>11</v>
      </c>
      <c r="C4159" s="1">
        <v>43258</v>
      </c>
      <c r="D4159" s="2">
        <f t="shared" si="128"/>
        <v>4</v>
      </c>
      <c r="E4159" s="2">
        <f t="shared" si="129"/>
        <v>6</v>
      </c>
      <c r="F4159">
        <v>210.489</v>
      </c>
      <c r="G4159">
        <v>210.94470000000001</v>
      </c>
      <c r="H4159">
        <v>207.75540000000001</v>
      </c>
      <c r="I4159">
        <v>209.5778</v>
      </c>
      <c r="J4159">
        <v>25277</v>
      </c>
      <c r="K4159">
        <v>0</v>
      </c>
      <c r="L4159">
        <v>1.5350999999999999</v>
      </c>
    </row>
    <row r="4160" spans="1:12" x14ac:dyDescent="0.25">
      <c r="A4160">
        <v>2303</v>
      </c>
      <c r="B4160" t="s">
        <v>10</v>
      </c>
      <c r="C4160" s="1">
        <v>43259</v>
      </c>
      <c r="D4160" s="2">
        <f t="shared" si="128"/>
        <v>5</v>
      </c>
      <c r="E4160" s="2">
        <f t="shared" si="129"/>
        <v>6</v>
      </c>
      <c r="F4160">
        <v>15.2539</v>
      </c>
      <c r="G4160">
        <v>15.3</v>
      </c>
      <c r="H4160">
        <v>15.069599999999999</v>
      </c>
      <c r="I4160">
        <v>15.1157</v>
      </c>
      <c r="J4160">
        <v>29749</v>
      </c>
      <c r="K4160">
        <v>-1.2121</v>
      </c>
      <c r="L4160">
        <v>1.5290999999999999</v>
      </c>
    </row>
    <row r="4161" spans="1:12" hidden="1" x14ac:dyDescent="0.25">
      <c r="A4161">
        <v>2330</v>
      </c>
      <c r="B4161" t="s">
        <v>11</v>
      </c>
      <c r="C4161" s="1">
        <v>43259</v>
      </c>
      <c r="D4161" s="2">
        <f t="shared" si="128"/>
        <v>5</v>
      </c>
      <c r="E4161" s="2">
        <f t="shared" si="129"/>
        <v>6</v>
      </c>
      <c r="F4161">
        <v>208.66659999999999</v>
      </c>
      <c r="G4161">
        <v>208.66659999999999</v>
      </c>
      <c r="H4161">
        <v>205.93299999999999</v>
      </c>
      <c r="I4161">
        <v>206.8442</v>
      </c>
      <c r="J4161">
        <v>24192</v>
      </c>
      <c r="K4161">
        <v>-1.3129</v>
      </c>
      <c r="L4161">
        <v>1.3273999999999999</v>
      </c>
    </row>
    <row r="4162" spans="1:12" x14ac:dyDescent="0.25">
      <c r="A4162">
        <v>2303</v>
      </c>
      <c r="B4162" t="s">
        <v>10</v>
      </c>
      <c r="C4162" s="1">
        <v>43262</v>
      </c>
      <c r="D4162" s="2">
        <f t="shared" si="128"/>
        <v>1</v>
      </c>
      <c r="E4162" s="2">
        <f t="shared" si="129"/>
        <v>6</v>
      </c>
      <c r="F4162">
        <v>15.2539</v>
      </c>
      <c r="G4162">
        <v>15.484299999999999</v>
      </c>
      <c r="H4162">
        <v>15.207800000000001</v>
      </c>
      <c r="I4162">
        <v>15.484299999999999</v>
      </c>
      <c r="J4162">
        <v>99224</v>
      </c>
      <c r="K4162">
        <v>2.4098000000000002</v>
      </c>
      <c r="L4162">
        <v>1.8182</v>
      </c>
    </row>
    <row r="4163" spans="1:12" hidden="1" x14ac:dyDescent="0.25">
      <c r="A4163">
        <v>2330</v>
      </c>
      <c r="B4163" t="s">
        <v>11</v>
      </c>
      <c r="C4163" s="1">
        <v>43262</v>
      </c>
      <c r="D4163" s="2">
        <f t="shared" ref="D4163:D4226" si="130">WEEKDAY(C4163,2)</f>
        <v>1</v>
      </c>
      <c r="E4163" s="2">
        <f t="shared" ref="E4163:E4226" si="131">MONTH(C4163)</f>
        <v>6</v>
      </c>
      <c r="F4163">
        <v>206.3886</v>
      </c>
      <c r="G4163">
        <v>206.8442</v>
      </c>
      <c r="H4163">
        <v>205.02180000000001</v>
      </c>
      <c r="I4163">
        <v>205.93299999999999</v>
      </c>
      <c r="J4163">
        <v>22028</v>
      </c>
      <c r="K4163">
        <v>-0.4415</v>
      </c>
      <c r="L4163">
        <v>0.88890000000000002</v>
      </c>
    </row>
    <row r="4164" spans="1:12" x14ac:dyDescent="0.25">
      <c r="A4164">
        <v>2303</v>
      </c>
      <c r="B4164" t="s">
        <v>10</v>
      </c>
      <c r="C4164" s="1">
        <v>43263</v>
      </c>
      <c r="D4164" s="2">
        <f t="shared" si="130"/>
        <v>2</v>
      </c>
      <c r="E4164" s="2">
        <f t="shared" si="131"/>
        <v>6</v>
      </c>
      <c r="F4164">
        <v>15.5304</v>
      </c>
      <c r="G4164">
        <v>15.668699999999999</v>
      </c>
      <c r="H4164">
        <v>15.4382</v>
      </c>
      <c r="I4164">
        <v>15.5304</v>
      </c>
      <c r="J4164">
        <v>177424</v>
      </c>
      <c r="K4164">
        <v>0.29720000000000002</v>
      </c>
      <c r="L4164">
        <v>1.4924999999999999</v>
      </c>
    </row>
    <row r="4165" spans="1:12" hidden="1" x14ac:dyDescent="0.25">
      <c r="A4165">
        <v>2330</v>
      </c>
      <c r="B4165" t="s">
        <v>11</v>
      </c>
      <c r="C4165" s="1">
        <v>43263</v>
      </c>
      <c r="D4165" s="2">
        <f t="shared" si="130"/>
        <v>2</v>
      </c>
      <c r="E4165" s="2">
        <f t="shared" si="131"/>
        <v>6</v>
      </c>
      <c r="F4165">
        <v>205.02180000000001</v>
      </c>
      <c r="G4165">
        <v>208.66659999999999</v>
      </c>
      <c r="H4165">
        <v>204.11060000000001</v>
      </c>
      <c r="I4165">
        <v>208.66659999999999</v>
      </c>
      <c r="J4165">
        <v>30189</v>
      </c>
      <c r="K4165">
        <v>1.3187</v>
      </c>
      <c r="L4165">
        <v>2.2321</v>
      </c>
    </row>
    <row r="4166" spans="1:12" x14ac:dyDescent="0.25">
      <c r="A4166">
        <v>2303</v>
      </c>
      <c r="B4166" t="s">
        <v>10</v>
      </c>
      <c r="C4166" s="1">
        <v>43264</v>
      </c>
      <c r="D4166" s="2">
        <f t="shared" si="130"/>
        <v>3</v>
      </c>
      <c r="E4166" s="2">
        <f t="shared" si="131"/>
        <v>6</v>
      </c>
      <c r="F4166">
        <v>16.037299999999998</v>
      </c>
      <c r="G4166">
        <v>17.051200000000001</v>
      </c>
      <c r="H4166">
        <v>15.853</v>
      </c>
      <c r="I4166">
        <v>17.051200000000001</v>
      </c>
      <c r="J4166">
        <v>350536</v>
      </c>
      <c r="K4166">
        <v>9.3420000000000005</v>
      </c>
      <c r="L4166">
        <v>7.5580999999999996</v>
      </c>
    </row>
    <row r="4167" spans="1:12" hidden="1" x14ac:dyDescent="0.25">
      <c r="A4167">
        <v>2330</v>
      </c>
      <c r="B4167" t="s">
        <v>11</v>
      </c>
      <c r="C4167" s="1">
        <v>43264</v>
      </c>
      <c r="D4167" s="2">
        <f t="shared" si="130"/>
        <v>3</v>
      </c>
      <c r="E4167" s="2">
        <f t="shared" si="131"/>
        <v>6</v>
      </c>
      <c r="F4167">
        <v>208.66659999999999</v>
      </c>
      <c r="G4167">
        <v>211.40029999999999</v>
      </c>
      <c r="H4167">
        <v>207.75540000000001</v>
      </c>
      <c r="I4167">
        <v>211.40029999999999</v>
      </c>
      <c r="J4167">
        <v>36081</v>
      </c>
      <c r="K4167">
        <v>1.3015000000000001</v>
      </c>
      <c r="L4167">
        <v>1.7544</v>
      </c>
    </row>
    <row r="4168" spans="1:12" x14ac:dyDescent="0.25">
      <c r="A4168">
        <v>2303</v>
      </c>
      <c r="B4168" t="s">
        <v>10</v>
      </c>
      <c r="C4168" s="1">
        <v>43265</v>
      </c>
      <c r="D4168" s="2">
        <f t="shared" si="130"/>
        <v>4</v>
      </c>
      <c r="E4168" s="2">
        <f t="shared" si="131"/>
        <v>6</v>
      </c>
      <c r="F4168">
        <v>16.9129</v>
      </c>
      <c r="G4168">
        <v>17.097300000000001</v>
      </c>
      <c r="H4168">
        <v>16.498200000000001</v>
      </c>
      <c r="I4168">
        <v>16.682500000000001</v>
      </c>
      <c r="J4168">
        <v>181043</v>
      </c>
      <c r="K4168">
        <v>-2.1859000000000002</v>
      </c>
      <c r="L4168">
        <v>3.6313</v>
      </c>
    </row>
    <row r="4169" spans="1:12" hidden="1" x14ac:dyDescent="0.25">
      <c r="A4169">
        <v>2330</v>
      </c>
      <c r="B4169" t="s">
        <v>11</v>
      </c>
      <c r="C4169" s="1">
        <v>43265</v>
      </c>
      <c r="D4169" s="2">
        <f t="shared" si="130"/>
        <v>4</v>
      </c>
      <c r="E4169" s="2">
        <f t="shared" si="131"/>
        <v>6</v>
      </c>
      <c r="F4169">
        <v>209.5778</v>
      </c>
      <c r="G4169">
        <v>209.5778</v>
      </c>
      <c r="H4169">
        <v>206.3886</v>
      </c>
      <c r="I4169">
        <v>206.3886</v>
      </c>
      <c r="J4169">
        <v>36932</v>
      </c>
      <c r="K4169">
        <v>-2.3992</v>
      </c>
      <c r="L4169">
        <v>1.5452999999999999</v>
      </c>
    </row>
    <row r="4170" spans="1:12" x14ac:dyDescent="0.25">
      <c r="A4170">
        <v>2303</v>
      </c>
      <c r="B4170" t="s">
        <v>10</v>
      </c>
      <c r="C4170" s="1">
        <v>43266</v>
      </c>
      <c r="D4170" s="2">
        <f t="shared" si="130"/>
        <v>5</v>
      </c>
      <c r="E4170" s="2">
        <f t="shared" si="131"/>
        <v>6</v>
      </c>
      <c r="F4170">
        <v>16.590299999999999</v>
      </c>
      <c r="G4170">
        <v>17.189399999999999</v>
      </c>
      <c r="H4170">
        <v>16.5443</v>
      </c>
      <c r="I4170">
        <v>17.189399999999999</v>
      </c>
      <c r="J4170">
        <v>96507</v>
      </c>
      <c r="K4170">
        <v>2.9933999999999998</v>
      </c>
      <c r="L4170">
        <v>3.8997000000000002</v>
      </c>
    </row>
    <row r="4171" spans="1:12" hidden="1" x14ac:dyDescent="0.25">
      <c r="A4171">
        <v>2330</v>
      </c>
      <c r="B4171" t="s">
        <v>11</v>
      </c>
      <c r="C4171" s="1">
        <v>43266</v>
      </c>
      <c r="D4171" s="2">
        <f t="shared" si="130"/>
        <v>5</v>
      </c>
      <c r="E4171" s="2">
        <f t="shared" si="131"/>
        <v>6</v>
      </c>
      <c r="F4171">
        <v>205.02180000000001</v>
      </c>
      <c r="G4171">
        <v>210.489</v>
      </c>
      <c r="H4171">
        <v>204.11060000000001</v>
      </c>
      <c r="I4171">
        <v>210.489</v>
      </c>
      <c r="J4171">
        <v>49506</v>
      </c>
      <c r="K4171">
        <v>1.9673</v>
      </c>
      <c r="L4171">
        <v>3.125</v>
      </c>
    </row>
    <row r="4172" spans="1:12" x14ac:dyDescent="0.25">
      <c r="A4172">
        <v>2303</v>
      </c>
      <c r="B4172" t="s">
        <v>10</v>
      </c>
      <c r="C4172" s="1">
        <v>43270</v>
      </c>
      <c r="D4172" s="2">
        <f t="shared" si="130"/>
        <v>2</v>
      </c>
      <c r="E4172" s="2">
        <f t="shared" si="131"/>
        <v>6</v>
      </c>
      <c r="F4172">
        <v>17.005099999999999</v>
      </c>
      <c r="G4172">
        <v>17.051200000000001</v>
      </c>
      <c r="H4172">
        <v>16.774699999999999</v>
      </c>
      <c r="I4172">
        <v>16.774699999999999</v>
      </c>
      <c r="J4172">
        <v>91259</v>
      </c>
      <c r="K4172">
        <v>-2.4424999999999999</v>
      </c>
      <c r="L4172">
        <v>1.6484000000000001</v>
      </c>
    </row>
    <row r="4173" spans="1:12" hidden="1" x14ac:dyDescent="0.25">
      <c r="A4173">
        <v>2330</v>
      </c>
      <c r="B4173" t="s">
        <v>11</v>
      </c>
      <c r="C4173" s="1">
        <v>43270</v>
      </c>
      <c r="D4173" s="2">
        <f t="shared" si="130"/>
        <v>2</v>
      </c>
      <c r="E4173" s="2">
        <f t="shared" si="131"/>
        <v>6</v>
      </c>
      <c r="F4173">
        <v>205.47739999999999</v>
      </c>
      <c r="G4173">
        <v>205.93299999999999</v>
      </c>
      <c r="H4173">
        <v>204.11060000000001</v>
      </c>
      <c r="I4173">
        <v>205.02180000000001</v>
      </c>
      <c r="J4173">
        <v>61142</v>
      </c>
      <c r="K4173">
        <v>-2.6316999999999999</v>
      </c>
      <c r="L4173">
        <v>0.89290000000000003</v>
      </c>
    </row>
    <row r="4174" spans="1:12" x14ac:dyDescent="0.25">
      <c r="A4174">
        <v>2303</v>
      </c>
      <c r="B4174" t="s">
        <v>10</v>
      </c>
      <c r="C4174" s="1">
        <v>43271</v>
      </c>
      <c r="D4174" s="2">
        <f t="shared" si="130"/>
        <v>3</v>
      </c>
      <c r="E4174" s="2">
        <f t="shared" si="131"/>
        <v>6</v>
      </c>
      <c r="F4174">
        <v>16.774699999999999</v>
      </c>
      <c r="G4174">
        <v>16.820799999999998</v>
      </c>
      <c r="H4174">
        <v>16.267800000000001</v>
      </c>
      <c r="I4174">
        <v>16.636399999999998</v>
      </c>
      <c r="J4174">
        <v>90050</v>
      </c>
      <c r="K4174">
        <v>-0.8276</v>
      </c>
      <c r="L4174">
        <v>3.3994</v>
      </c>
    </row>
    <row r="4175" spans="1:12" hidden="1" x14ac:dyDescent="0.25">
      <c r="A4175">
        <v>2330</v>
      </c>
      <c r="B4175" t="s">
        <v>11</v>
      </c>
      <c r="C4175" s="1">
        <v>43271</v>
      </c>
      <c r="D4175" s="2">
        <f t="shared" si="130"/>
        <v>3</v>
      </c>
      <c r="E4175" s="2">
        <f t="shared" si="131"/>
        <v>6</v>
      </c>
      <c r="F4175">
        <v>204.56620000000001</v>
      </c>
      <c r="G4175">
        <v>207.2998</v>
      </c>
      <c r="H4175">
        <v>203.655</v>
      </c>
      <c r="I4175">
        <v>205.93299999999999</v>
      </c>
      <c r="J4175">
        <v>40708</v>
      </c>
      <c r="K4175">
        <v>0.44350000000000001</v>
      </c>
      <c r="L4175">
        <v>1.7897000000000001</v>
      </c>
    </row>
    <row r="4176" spans="1:12" x14ac:dyDescent="0.25">
      <c r="A4176">
        <v>2303</v>
      </c>
      <c r="B4176" t="s">
        <v>10</v>
      </c>
      <c r="C4176" s="1">
        <v>43272</v>
      </c>
      <c r="D4176" s="2">
        <f t="shared" si="130"/>
        <v>4</v>
      </c>
      <c r="E4176" s="2">
        <f t="shared" si="131"/>
        <v>6</v>
      </c>
      <c r="F4176">
        <v>16.590299999999999</v>
      </c>
      <c r="G4176">
        <v>16.590299999999999</v>
      </c>
      <c r="H4176">
        <v>16.267800000000001</v>
      </c>
      <c r="I4176">
        <v>16.267800000000001</v>
      </c>
      <c r="J4176">
        <v>49753</v>
      </c>
      <c r="K4176">
        <v>-2.2410000000000001</v>
      </c>
      <c r="L4176">
        <v>1.9830000000000001</v>
      </c>
    </row>
    <row r="4177" spans="1:12" hidden="1" x14ac:dyDescent="0.25">
      <c r="A4177">
        <v>2330</v>
      </c>
      <c r="B4177" t="s">
        <v>11</v>
      </c>
      <c r="C4177" s="1">
        <v>43272</v>
      </c>
      <c r="D4177" s="2">
        <f t="shared" si="130"/>
        <v>4</v>
      </c>
      <c r="E4177" s="2">
        <f t="shared" si="131"/>
        <v>6</v>
      </c>
      <c r="F4177">
        <v>207.2998</v>
      </c>
      <c r="G4177">
        <v>207.75540000000001</v>
      </c>
      <c r="H4177">
        <v>205.93299999999999</v>
      </c>
      <c r="I4177">
        <v>206.3886</v>
      </c>
      <c r="J4177">
        <v>32572</v>
      </c>
      <c r="K4177">
        <v>0.221</v>
      </c>
      <c r="L4177">
        <v>0.88500000000000001</v>
      </c>
    </row>
    <row r="4178" spans="1:12" x14ac:dyDescent="0.25">
      <c r="A4178">
        <v>2303</v>
      </c>
      <c r="B4178" t="s">
        <v>10</v>
      </c>
      <c r="C4178" s="1">
        <v>43273</v>
      </c>
      <c r="D4178" s="2">
        <f t="shared" si="130"/>
        <v>5</v>
      </c>
      <c r="E4178" s="2">
        <f t="shared" si="131"/>
        <v>6</v>
      </c>
      <c r="F4178">
        <v>16.1295</v>
      </c>
      <c r="G4178">
        <v>16.498200000000001</v>
      </c>
      <c r="H4178">
        <v>15.853</v>
      </c>
      <c r="I4178">
        <v>16.405999999999999</v>
      </c>
      <c r="J4178">
        <v>58142</v>
      </c>
      <c r="K4178">
        <v>0.84630000000000005</v>
      </c>
      <c r="L4178">
        <v>4.0697999999999999</v>
      </c>
    </row>
    <row r="4179" spans="1:12" hidden="1" x14ac:dyDescent="0.25">
      <c r="A4179">
        <v>2330</v>
      </c>
      <c r="B4179" t="s">
        <v>11</v>
      </c>
      <c r="C4179" s="1">
        <v>43273</v>
      </c>
      <c r="D4179" s="2">
        <f t="shared" si="130"/>
        <v>5</v>
      </c>
      <c r="E4179" s="2">
        <f t="shared" si="131"/>
        <v>6</v>
      </c>
      <c r="F4179">
        <v>204.56620000000001</v>
      </c>
      <c r="G4179">
        <v>207.2998</v>
      </c>
      <c r="H4179">
        <v>204.11060000000001</v>
      </c>
      <c r="I4179">
        <v>207.2998</v>
      </c>
      <c r="J4179">
        <v>44211</v>
      </c>
      <c r="K4179">
        <v>0.4405</v>
      </c>
      <c r="L4179">
        <v>1.5625</v>
      </c>
    </row>
    <row r="4180" spans="1:12" x14ac:dyDescent="0.25">
      <c r="A4180">
        <v>2303</v>
      </c>
      <c r="B4180" t="s">
        <v>10</v>
      </c>
      <c r="C4180" s="1">
        <v>43276</v>
      </c>
      <c r="D4180" s="2">
        <f t="shared" si="130"/>
        <v>1</v>
      </c>
      <c r="E4180" s="2">
        <f t="shared" si="131"/>
        <v>6</v>
      </c>
      <c r="F4180">
        <v>16.3599</v>
      </c>
      <c r="G4180">
        <v>16.452100000000002</v>
      </c>
      <c r="H4180">
        <v>16.037299999999998</v>
      </c>
      <c r="I4180">
        <v>16.405999999999999</v>
      </c>
      <c r="J4180">
        <v>31182</v>
      </c>
      <c r="K4180">
        <v>0</v>
      </c>
      <c r="L4180">
        <v>2.5861999999999998</v>
      </c>
    </row>
    <row r="4181" spans="1:12" hidden="1" x14ac:dyDescent="0.25">
      <c r="A4181">
        <v>2330</v>
      </c>
      <c r="B4181" t="s">
        <v>11</v>
      </c>
      <c r="C4181" s="1">
        <v>43276</v>
      </c>
      <c r="D4181" s="2">
        <f t="shared" si="130"/>
        <v>1</v>
      </c>
      <c r="E4181" s="2">
        <f t="shared" si="131"/>
        <v>6</v>
      </c>
      <c r="F4181">
        <v>207.77199999999999</v>
      </c>
      <c r="G4181">
        <v>208.24420000000001</v>
      </c>
      <c r="H4181">
        <v>205.88310000000001</v>
      </c>
      <c r="I4181">
        <v>205.88310000000001</v>
      </c>
      <c r="J4181">
        <v>49058</v>
      </c>
      <c r="K4181">
        <v>-0.66149999999999998</v>
      </c>
      <c r="L4181">
        <v>1.1468</v>
      </c>
    </row>
    <row r="4182" spans="1:12" x14ac:dyDescent="0.25">
      <c r="A4182">
        <v>2303</v>
      </c>
      <c r="B4182" t="s">
        <v>10</v>
      </c>
      <c r="C4182" s="1">
        <v>43277</v>
      </c>
      <c r="D4182" s="2">
        <f t="shared" si="130"/>
        <v>2</v>
      </c>
      <c r="E4182" s="2">
        <f t="shared" si="131"/>
        <v>6</v>
      </c>
      <c r="F4182">
        <v>16.1295</v>
      </c>
      <c r="G4182">
        <v>16.267800000000001</v>
      </c>
      <c r="H4182">
        <v>16.037299999999998</v>
      </c>
      <c r="I4182">
        <v>16.221699999999998</v>
      </c>
      <c r="J4182">
        <v>30096</v>
      </c>
      <c r="K4182">
        <v>-1.1299999999999999</v>
      </c>
      <c r="L4182">
        <v>1.4368000000000001</v>
      </c>
    </row>
    <row r="4183" spans="1:12" hidden="1" x14ac:dyDescent="0.25">
      <c r="A4183">
        <v>2330</v>
      </c>
      <c r="B4183" t="s">
        <v>11</v>
      </c>
      <c r="C4183" s="1">
        <v>43277</v>
      </c>
      <c r="D4183" s="2">
        <f t="shared" si="130"/>
        <v>2</v>
      </c>
      <c r="E4183" s="2">
        <f t="shared" si="131"/>
        <v>6</v>
      </c>
      <c r="F4183">
        <v>203.52209999999999</v>
      </c>
      <c r="G4183">
        <v>203.99430000000001</v>
      </c>
      <c r="H4183">
        <v>200.68879999999999</v>
      </c>
      <c r="I4183">
        <v>202.57769999999999</v>
      </c>
      <c r="J4183">
        <v>43080</v>
      </c>
      <c r="K4183">
        <v>-1.6185</v>
      </c>
      <c r="L4183">
        <v>1.6471</v>
      </c>
    </row>
    <row r="4184" spans="1:12" x14ac:dyDescent="0.25">
      <c r="A4184">
        <v>2303</v>
      </c>
      <c r="B4184" t="s">
        <v>10</v>
      </c>
      <c r="C4184" s="1">
        <v>43278</v>
      </c>
      <c r="D4184" s="2">
        <f t="shared" si="130"/>
        <v>3</v>
      </c>
      <c r="E4184" s="2">
        <f t="shared" si="131"/>
        <v>6</v>
      </c>
      <c r="F4184">
        <v>16.313800000000001</v>
      </c>
      <c r="G4184">
        <v>16.590299999999999</v>
      </c>
      <c r="H4184">
        <v>16.1295</v>
      </c>
      <c r="I4184">
        <v>16.221699999999998</v>
      </c>
      <c r="J4184">
        <v>52024</v>
      </c>
      <c r="K4184">
        <v>0</v>
      </c>
      <c r="L4184">
        <v>2.8571</v>
      </c>
    </row>
    <row r="4185" spans="1:12" hidden="1" x14ac:dyDescent="0.25">
      <c r="A4185">
        <v>2330</v>
      </c>
      <c r="B4185" t="s">
        <v>11</v>
      </c>
      <c r="C4185" s="1">
        <v>43278</v>
      </c>
      <c r="D4185" s="2">
        <f t="shared" si="130"/>
        <v>3</v>
      </c>
      <c r="E4185" s="2">
        <f t="shared" si="131"/>
        <v>6</v>
      </c>
      <c r="F4185">
        <v>203.99430000000001</v>
      </c>
      <c r="G4185">
        <v>203.99430000000001</v>
      </c>
      <c r="H4185">
        <v>200.68879999999999</v>
      </c>
      <c r="I4185">
        <v>201.161</v>
      </c>
      <c r="J4185">
        <v>40863</v>
      </c>
      <c r="K4185">
        <v>-0.70179999999999998</v>
      </c>
      <c r="L4185">
        <v>1.6471</v>
      </c>
    </row>
    <row r="4186" spans="1:12" x14ac:dyDescent="0.25">
      <c r="A4186">
        <v>2303</v>
      </c>
      <c r="B4186" t="s">
        <v>10</v>
      </c>
      <c r="C4186" s="1">
        <v>43279</v>
      </c>
      <c r="D4186" s="2">
        <f t="shared" si="130"/>
        <v>4</v>
      </c>
      <c r="E4186" s="2">
        <f t="shared" si="131"/>
        <v>6</v>
      </c>
      <c r="F4186">
        <v>15.991300000000001</v>
      </c>
      <c r="G4186">
        <v>15.991300000000001</v>
      </c>
      <c r="H4186">
        <v>15.576499999999999</v>
      </c>
      <c r="I4186">
        <v>15.6226</v>
      </c>
      <c r="J4186">
        <v>70476</v>
      </c>
      <c r="K4186">
        <v>-3.7631000000000001</v>
      </c>
      <c r="L4186">
        <v>2.6627000000000001</v>
      </c>
    </row>
    <row r="4187" spans="1:12" hidden="1" x14ac:dyDescent="0.25">
      <c r="A4187">
        <v>2330</v>
      </c>
      <c r="B4187" t="s">
        <v>11</v>
      </c>
      <c r="C4187" s="1">
        <v>43279</v>
      </c>
      <c r="D4187" s="2">
        <f t="shared" si="130"/>
        <v>4</v>
      </c>
      <c r="E4187" s="2">
        <f t="shared" si="131"/>
        <v>6</v>
      </c>
      <c r="F4187">
        <v>199.2722</v>
      </c>
      <c r="G4187">
        <v>202.57769999999999</v>
      </c>
      <c r="H4187">
        <v>198.3278</v>
      </c>
      <c r="I4187">
        <v>200.2166</v>
      </c>
      <c r="J4187">
        <v>38816</v>
      </c>
      <c r="K4187">
        <v>-0.47060000000000002</v>
      </c>
      <c r="L4187">
        <v>2.1429</v>
      </c>
    </row>
    <row r="4188" spans="1:12" x14ac:dyDescent="0.25">
      <c r="A4188">
        <v>2303</v>
      </c>
      <c r="B4188" t="s">
        <v>10</v>
      </c>
      <c r="C4188" s="1">
        <v>43280</v>
      </c>
      <c r="D4188" s="2">
        <f t="shared" si="130"/>
        <v>5</v>
      </c>
      <c r="E4188" s="2">
        <f t="shared" si="131"/>
        <v>6</v>
      </c>
      <c r="F4188">
        <v>15.6226</v>
      </c>
      <c r="G4188">
        <v>15.6226</v>
      </c>
      <c r="H4188">
        <v>15.6226</v>
      </c>
      <c r="I4188">
        <v>15.6226</v>
      </c>
      <c r="J4188">
        <v>0</v>
      </c>
      <c r="K4188">
        <v>0</v>
      </c>
      <c r="L4188">
        <v>0</v>
      </c>
    </row>
    <row r="4189" spans="1:12" hidden="1" x14ac:dyDescent="0.25">
      <c r="A4189">
        <v>2330</v>
      </c>
      <c r="B4189" t="s">
        <v>11</v>
      </c>
      <c r="C4189" s="1">
        <v>43280</v>
      </c>
      <c r="D4189" s="2">
        <f t="shared" si="130"/>
        <v>5</v>
      </c>
      <c r="E4189" s="2">
        <f t="shared" si="131"/>
        <v>6</v>
      </c>
      <c r="F4189">
        <v>200.2166</v>
      </c>
      <c r="G4189">
        <v>204.93870000000001</v>
      </c>
      <c r="H4189">
        <v>200.2166</v>
      </c>
      <c r="I4189">
        <v>204.4665</v>
      </c>
      <c r="J4189">
        <v>36848</v>
      </c>
      <c r="K4189">
        <v>2.1004</v>
      </c>
      <c r="L4189">
        <v>2.3584999999999998</v>
      </c>
    </row>
    <row r="4190" spans="1:12" x14ac:dyDescent="0.25">
      <c r="A4190">
        <v>2303</v>
      </c>
      <c r="B4190" t="s">
        <v>10</v>
      </c>
      <c r="C4190" s="1">
        <v>43283</v>
      </c>
      <c r="D4190" s="2">
        <f t="shared" si="130"/>
        <v>1</v>
      </c>
      <c r="E4190" s="2">
        <f t="shared" si="131"/>
        <v>7</v>
      </c>
      <c r="F4190">
        <v>16.682500000000001</v>
      </c>
      <c r="G4190">
        <v>16.9129</v>
      </c>
      <c r="H4190">
        <v>16.452100000000002</v>
      </c>
      <c r="I4190">
        <v>16.774699999999999</v>
      </c>
      <c r="J4190">
        <v>162123</v>
      </c>
      <c r="K4190">
        <v>7.1154000000000002</v>
      </c>
      <c r="L4190">
        <v>2.8010999999999999</v>
      </c>
    </row>
    <row r="4191" spans="1:12" hidden="1" x14ac:dyDescent="0.25">
      <c r="A4191">
        <v>2330</v>
      </c>
      <c r="B4191" t="s">
        <v>11</v>
      </c>
      <c r="C4191" s="1">
        <v>43283</v>
      </c>
      <c r="D4191" s="2">
        <f t="shared" si="130"/>
        <v>1</v>
      </c>
      <c r="E4191" s="2">
        <f t="shared" si="131"/>
        <v>7</v>
      </c>
      <c r="F4191">
        <v>206.3553</v>
      </c>
      <c r="G4191">
        <v>206.82749999999999</v>
      </c>
      <c r="H4191">
        <v>202.10550000000001</v>
      </c>
      <c r="I4191">
        <v>202.10550000000001</v>
      </c>
      <c r="J4191">
        <v>33496</v>
      </c>
      <c r="K4191">
        <v>-1.1615</v>
      </c>
      <c r="L4191">
        <v>2.3363999999999998</v>
      </c>
    </row>
    <row r="4192" spans="1:12" x14ac:dyDescent="0.25">
      <c r="A4192">
        <v>2303</v>
      </c>
      <c r="B4192" t="s">
        <v>10</v>
      </c>
      <c r="C4192" s="1">
        <v>43284</v>
      </c>
      <c r="D4192" s="2">
        <f t="shared" si="130"/>
        <v>2</v>
      </c>
      <c r="E4192" s="2">
        <f t="shared" si="131"/>
        <v>7</v>
      </c>
      <c r="F4192">
        <v>16.590299999999999</v>
      </c>
      <c r="G4192">
        <v>16.7286</v>
      </c>
      <c r="H4192">
        <v>16.3599</v>
      </c>
      <c r="I4192">
        <v>16.5443</v>
      </c>
      <c r="J4192">
        <v>98406</v>
      </c>
      <c r="K4192">
        <v>-1.3831</v>
      </c>
      <c r="L4192">
        <v>2.2534999999999998</v>
      </c>
    </row>
    <row r="4193" spans="1:12" hidden="1" x14ac:dyDescent="0.25">
      <c r="A4193">
        <v>2330</v>
      </c>
      <c r="B4193" t="s">
        <v>11</v>
      </c>
      <c r="C4193" s="1">
        <v>43284</v>
      </c>
      <c r="D4193" s="2">
        <f t="shared" si="130"/>
        <v>2</v>
      </c>
      <c r="E4193" s="2">
        <f t="shared" si="131"/>
        <v>7</v>
      </c>
      <c r="F4193">
        <v>203.52209999999999</v>
      </c>
      <c r="G4193">
        <v>205.88310000000001</v>
      </c>
      <c r="H4193">
        <v>201.63319999999999</v>
      </c>
      <c r="I4193">
        <v>202.57769999999999</v>
      </c>
      <c r="J4193">
        <v>28663</v>
      </c>
      <c r="K4193">
        <v>0.2334</v>
      </c>
      <c r="L4193">
        <v>2.1076999999999999</v>
      </c>
    </row>
    <row r="4194" spans="1:12" x14ac:dyDescent="0.25">
      <c r="A4194">
        <v>2303</v>
      </c>
      <c r="B4194" t="s">
        <v>10</v>
      </c>
      <c r="C4194" s="1">
        <v>43285</v>
      </c>
      <c r="D4194" s="2">
        <f t="shared" si="130"/>
        <v>3</v>
      </c>
      <c r="E4194" s="2">
        <f t="shared" si="131"/>
        <v>7</v>
      </c>
      <c r="F4194">
        <v>16.774699999999999</v>
      </c>
      <c r="G4194">
        <v>17.189399999999999</v>
      </c>
      <c r="H4194">
        <v>16.452100000000002</v>
      </c>
      <c r="I4194">
        <v>16.5443</v>
      </c>
      <c r="J4194">
        <v>105768</v>
      </c>
      <c r="K4194">
        <v>0</v>
      </c>
      <c r="L4194">
        <v>4.4817999999999998</v>
      </c>
    </row>
    <row r="4195" spans="1:12" hidden="1" x14ac:dyDescent="0.25">
      <c r="A4195">
        <v>2330</v>
      </c>
      <c r="B4195" t="s">
        <v>11</v>
      </c>
      <c r="C4195" s="1">
        <v>43285</v>
      </c>
      <c r="D4195" s="2">
        <f t="shared" si="130"/>
        <v>3</v>
      </c>
      <c r="E4195" s="2">
        <f t="shared" si="131"/>
        <v>7</v>
      </c>
      <c r="F4195">
        <v>204.93870000000001</v>
      </c>
      <c r="G4195">
        <v>205.4109</v>
      </c>
      <c r="H4195">
        <v>203.52209999999999</v>
      </c>
      <c r="I4195">
        <v>203.99430000000001</v>
      </c>
      <c r="J4195">
        <v>15359</v>
      </c>
      <c r="K4195">
        <v>0.69689999999999996</v>
      </c>
      <c r="L4195">
        <v>0.92810000000000004</v>
      </c>
    </row>
    <row r="4196" spans="1:12" x14ac:dyDescent="0.25">
      <c r="A4196">
        <v>2303</v>
      </c>
      <c r="B4196" t="s">
        <v>10</v>
      </c>
      <c r="C4196" s="1">
        <v>43286</v>
      </c>
      <c r="D4196" s="2">
        <f t="shared" si="130"/>
        <v>4</v>
      </c>
      <c r="E4196" s="2">
        <f t="shared" si="131"/>
        <v>7</v>
      </c>
      <c r="F4196">
        <v>16.590299999999999</v>
      </c>
      <c r="G4196">
        <v>16.590299999999999</v>
      </c>
      <c r="H4196">
        <v>16.175599999999999</v>
      </c>
      <c r="I4196">
        <v>16.5443</v>
      </c>
      <c r="J4196">
        <v>56808</v>
      </c>
      <c r="K4196">
        <v>0</v>
      </c>
      <c r="L4196">
        <v>2.5640999999999998</v>
      </c>
    </row>
    <row r="4197" spans="1:12" hidden="1" x14ac:dyDescent="0.25">
      <c r="A4197">
        <v>2330</v>
      </c>
      <c r="B4197" t="s">
        <v>11</v>
      </c>
      <c r="C4197" s="1">
        <v>43286</v>
      </c>
      <c r="D4197" s="2">
        <f t="shared" si="130"/>
        <v>4</v>
      </c>
      <c r="E4197" s="2">
        <f t="shared" si="131"/>
        <v>7</v>
      </c>
      <c r="F4197">
        <v>202.10550000000001</v>
      </c>
      <c r="G4197">
        <v>203.04990000000001</v>
      </c>
      <c r="H4197">
        <v>201.161</v>
      </c>
      <c r="I4197">
        <v>202.57769999999999</v>
      </c>
      <c r="J4197">
        <v>18225</v>
      </c>
      <c r="K4197">
        <v>-0.69689999999999996</v>
      </c>
      <c r="L4197">
        <v>0.93899999999999995</v>
      </c>
    </row>
    <row r="4198" spans="1:12" x14ac:dyDescent="0.25">
      <c r="A4198">
        <v>2303</v>
      </c>
      <c r="B4198" t="s">
        <v>10</v>
      </c>
      <c r="C4198" s="1">
        <v>43287</v>
      </c>
      <c r="D4198" s="2">
        <f t="shared" si="130"/>
        <v>5</v>
      </c>
      <c r="E4198" s="2">
        <f t="shared" si="131"/>
        <v>7</v>
      </c>
      <c r="F4198">
        <v>16.3599</v>
      </c>
      <c r="G4198">
        <v>16.452100000000002</v>
      </c>
      <c r="H4198">
        <v>16.037299999999998</v>
      </c>
      <c r="I4198">
        <v>16.221699999999998</v>
      </c>
      <c r="J4198">
        <v>65571</v>
      </c>
      <c r="K4198">
        <v>-1.9691000000000001</v>
      </c>
      <c r="L4198">
        <v>2.5861999999999998</v>
      </c>
    </row>
    <row r="4199" spans="1:12" hidden="1" x14ac:dyDescent="0.25">
      <c r="A4199">
        <v>2330</v>
      </c>
      <c r="B4199" t="s">
        <v>11</v>
      </c>
      <c r="C4199" s="1">
        <v>43287</v>
      </c>
      <c r="D4199" s="2">
        <f t="shared" si="130"/>
        <v>5</v>
      </c>
      <c r="E4199" s="2">
        <f t="shared" si="131"/>
        <v>7</v>
      </c>
      <c r="F4199">
        <v>205.4109</v>
      </c>
      <c r="G4199">
        <v>205.4109</v>
      </c>
      <c r="H4199">
        <v>203.04990000000001</v>
      </c>
      <c r="I4199">
        <v>204.93870000000001</v>
      </c>
      <c r="J4199">
        <v>31344</v>
      </c>
      <c r="K4199">
        <v>1.1588000000000001</v>
      </c>
      <c r="L4199">
        <v>1.1628000000000001</v>
      </c>
    </row>
    <row r="4200" spans="1:12" x14ac:dyDescent="0.25">
      <c r="A4200">
        <v>2303</v>
      </c>
      <c r="B4200" t="s">
        <v>10</v>
      </c>
      <c r="C4200" s="1">
        <v>43290</v>
      </c>
      <c r="D4200" s="2">
        <f t="shared" si="130"/>
        <v>1</v>
      </c>
      <c r="E4200" s="2">
        <f t="shared" si="131"/>
        <v>7</v>
      </c>
      <c r="F4200">
        <v>16.221699999999998</v>
      </c>
      <c r="G4200">
        <v>16.313800000000001</v>
      </c>
      <c r="H4200">
        <v>16.1295</v>
      </c>
      <c r="I4200">
        <v>16.267800000000001</v>
      </c>
      <c r="J4200">
        <v>63985</v>
      </c>
      <c r="K4200">
        <v>0.28370000000000001</v>
      </c>
      <c r="L4200">
        <v>1.1429</v>
      </c>
    </row>
    <row r="4201" spans="1:12" hidden="1" x14ac:dyDescent="0.25">
      <c r="A4201">
        <v>2330</v>
      </c>
      <c r="B4201" t="s">
        <v>11</v>
      </c>
      <c r="C4201" s="1">
        <v>43290</v>
      </c>
      <c r="D4201" s="2">
        <f t="shared" si="130"/>
        <v>1</v>
      </c>
      <c r="E4201" s="2">
        <f t="shared" si="131"/>
        <v>7</v>
      </c>
      <c r="F4201">
        <v>207.2998</v>
      </c>
      <c r="G4201">
        <v>210.6052</v>
      </c>
      <c r="H4201">
        <v>206.3553</v>
      </c>
      <c r="I4201">
        <v>209.18860000000001</v>
      </c>
      <c r="J4201">
        <v>41165</v>
      </c>
      <c r="K4201">
        <v>2.0525000000000002</v>
      </c>
      <c r="L4201">
        <v>2.0594999999999999</v>
      </c>
    </row>
    <row r="4202" spans="1:12" x14ac:dyDescent="0.25">
      <c r="A4202">
        <v>2303</v>
      </c>
      <c r="B4202" t="s">
        <v>10</v>
      </c>
      <c r="C4202" s="1">
        <v>43291</v>
      </c>
      <c r="D4202" s="2">
        <f t="shared" si="130"/>
        <v>2</v>
      </c>
      <c r="E4202" s="2">
        <f t="shared" si="131"/>
        <v>7</v>
      </c>
      <c r="F4202">
        <v>16.519100000000002</v>
      </c>
      <c r="G4202">
        <v>16.5671</v>
      </c>
      <c r="H4202">
        <v>16.2789</v>
      </c>
      <c r="I4202">
        <v>16.327000000000002</v>
      </c>
      <c r="J4202">
        <v>58360</v>
      </c>
      <c r="K4202">
        <v>0.34860000000000002</v>
      </c>
      <c r="L4202">
        <v>1.7699</v>
      </c>
    </row>
    <row r="4203" spans="1:12" hidden="1" x14ac:dyDescent="0.25">
      <c r="A4203">
        <v>2330</v>
      </c>
      <c r="B4203" t="s">
        <v>11</v>
      </c>
      <c r="C4203" s="1">
        <v>43291</v>
      </c>
      <c r="D4203" s="2">
        <f t="shared" si="130"/>
        <v>2</v>
      </c>
      <c r="E4203" s="2">
        <f t="shared" si="131"/>
        <v>7</v>
      </c>
      <c r="F4203">
        <v>210.6052</v>
      </c>
      <c r="G4203">
        <v>211.5496</v>
      </c>
      <c r="H4203">
        <v>209.66079999999999</v>
      </c>
      <c r="I4203">
        <v>209.66079999999999</v>
      </c>
      <c r="J4203">
        <v>20196</v>
      </c>
      <c r="K4203">
        <v>0.22550000000000001</v>
      </c>
      <c r="L4203">
        <v>0.90090000000000003</v>
      </c>
    </row>
    <row r="4204" spans="1:12" x14ac:dyDescent="0.25">
      <c r="A4204">
        <v>2303</v>
      </c>
      <c r="B4204" t="s">
        <v>10</v>
      </c>
      <c r="C4204" s="1">
        <v>43292</v>
      </c>
      <c r="D4204" s="2">
        <f t="shared" si="130"/>
        <v>3</v>
      </c>
      <c r="E4204" s="2">
        <f t="shared" si="131"/>
        <v>7</v>
      </c>
      <c r="F4204">
        <v>16.2789</v>
      </c>
      <c r="G4204">
        <v>16.327000000000002</v>
      </c>
      <c r="H4204">
        <v>16.038799999999998</v>
      </c>
      <c r="I4204">
        <v>16.230899999999998</v>
      </c>
      <c r="J4204">
        <v>39298</v>
      </c>
      <c r="K4204">
        <v>-0.59</v>
      </c>
      <c r="L4204">
        <v>1.7964</v>
      </c>
    </row>
    <row r="4205" spans="1:12" hidden="1" x14ac:dyDescent="0.25">
      <c r="A4205">
        <v>2330</v>
      </c>
      <c r="B4205" t="s">
        <v>11</v>
      </c>
      <c r="C4205" s="1">
        <v>43292</v>
      </c>
      <c r="D4205" s="2">
        <f t="shared" si="130"/>
        <v>3</v>
      </c>
      <c r="E4205" s="2">
        <f t="shared" si="131"/>
        <v>7</v>
      </c>
      <c r="F4205">
        <v>207.77199999999999</v>
      </c>
      <c r="G4205">
        <v>207.77199999999999</v>
      </c>
      <c r="H4205">
        <v>205.88310000000001</v>
      </c>
      <c r="I4205">
        <v>207.77199999999999</v>
      </c>
      <c r="J4205">
        <v>19854</v>
      </c>
      <c r="K4205">
        <v>-0.90500000000000003</v>
      </c>
      <c r="L4205">
        <v>0.91739999999999999</v>
      </c>
    </row>
    <row r="4206" spans="1:12" x14ac:dyDescent="0.25">
      <c r="A4206">
        <v>2303</v>
      </c>
      <c r="B4206" t="s">
        <v>10</v>
      </c>
      <c r="C4206" s="1">
        <v>43293</v>
      </c>
      <c r="D4206" s="2">
        <f t="shared" si="130"/>
        <v>4</v>
      </c>
      <c r="E4206" s="2">
        <f t="shared" si="131"/>
        <v>7</v>
      </c>
      <c r="F4206">
        <v>16.327000000000002</v>
      </c>
      <c r="G4206">
        <v>16.903199999999998</v>
      </c>
      <c r="H4206">
        <v>16.2789</v>
      </c>
      <c r="I4206">
        <v>16.7592</v>
      </c>
      <c r="J4206">
        <v>75916</v>
      </c>
      <c r="K4206">
        <v>3.2025999999999999</v>
      </c>
      <c r="L4206">
        <v>3.8348</v>
      </c>
    </row>
    <row r="4207" spans="1:12" hidden="1" x14ac:dyDescent="0.25">
      <c r="A4207">
        <v>2330</v>
      </c>
      <c r="B4207" t="s">
        <v>11</v>
      </c>
      <c r="C4207" s="1">
        <v>43293</v>
      </c>
      <c r="D4207" s="2">
        <f t="shared" si="130"/>
        <v>4</v>
      </c>
      <c r="E4207" s="2">
        <f t="shared" si="131"/>
        <v>7</v>
      </c>
      <c r="F4207">
        <v>205.88310000000001</v>
      </c>
      <c r="G4207">
        <v>209.66079999999999</v>
      </c>
      <c r="H4207">
        <v>205.88310000000001</v>
      </c>
      <c r="I4207">
        <v>208.24420000000001</v>
      </c>
      <c r="J4207">
        <v>23806</v>
      </c>
      <c r="K4207">
        <v>0.22700000000000001</v>
      </c>
      <c r="L4207">
        <v>1.8349</v>
      </c>
    </row>
    <row r="4208" spans="1:12" x14ac:dyDescent="0.25">
      <c r="A4208">
        <v>2303</v>
      </c>
      <c r="B4208" t="s">
        <v>10</v>
      </c>
      <c r="C4208" s="1">
        <v>43294</v>
      </c>
      <c r="D4208" s="2">
        <f t="shared" si="130"/>
        <v>5</v>
      </c>
      <c r="E4208" s="2">
        <f t="shared" si="131"/>
        <v>7</v>
      </c>
      <c r="F4208">
        <v>16.8552</v>
      </c>
      <c r="G4208">
        <v>16.903199999999998</v>
      </c>
      <c r="H4208">
        <v>16.615100000000002</v>
      </c>
      <c r="I4208">
        <v>16.711099999999998</v>
      </c>
      <c r="J4208">
        <v>39393</v>
      </c>
      <c r="K4208">
        <v>-0.28689999999999999</v>
      </c>
      <c r="L4208">
        <v>1.7341</v>
      </c>
    </row>
    <row r="4209" spans="1:12" hidden="1" x14ac:dyDescent="0.25">
      <c r="A4209">
        <v>2330</v>
      </c>
      <c r="B4209" t="s">
        <v>11</v>
      </c>
      <c r="C4209" s="1">
        <v>43294</v>
      </c>
      <c r="D4209" s="2">
        <f t="shared" si="130"/>
        <v>5</v>
      </c>
      <c r="E4209" s="2">
        <f t="shared" si="131"/>
        <v>7</v>
      </c>
      <c r="F4209">
        <v>210.13300000000001</v>
      </c>
      <c r="G4209">
        <v>212.02180000000001</v>
      </c>
      <c r="H4209">
        <v>210.13300000000001</v>
      </c>
      <c r="I4209">
        <v>212.02180000000001</v>
      </c>
      <c r="J4209">
        <v>30419</v>
      </c>
      <c r="K4209">
        <v>1.7978000000000001</v>
      </c>
      <c r="L4209">
        <v>0.89890000000000003</v>
      </c>
    </row>
    <row r="4210" spans="1:12" x14ac:dyDescent="0.25">
      <c r="A4210">
        <v>2303</v>
      </c>
      <c r="B4210" t="s">
        <v>10</v>
      </c>
      <c r="C4210" s="1">
        <v>43297</v>
      </c>
      <c r="D4210" s="2">
        <f t="shared" si="130"/>
        <v>1</v>
      </c>
      <c r="E4210" s="2">
        <f t="shared" si="131"/>
        <v>7</v>
      </c>
      <c r="F4210">
        <v>16.7592</v>
      </c>
      <c r="G4210">
        <v>16.807200000000002</v>
      </c>
      <c r="H4210">
        <v>16.471</v>
      </c>
      <c r="I4210">
        <v>16.5671</v>
      </c>
      <c r="J4210">
        <v>35453</v>
      </c>
      <c r="K4210">
        <v>-0.86580000000000001</v>
      </c>
      <c r="L4210">
        <v>2.0407999999999999</v>
      </c>
    </row>
    <row r="4211" spans="1:12" hidden="1" x14ac:dyDescent="0.25">
      <c r="A4211">
        <v>2330</v>
      </c>
      <c r="B4211" t="s">
        <v>11</v>
      </c>
      <c r="C4211" s="1">
        <v>43297</v>
      </c>
      <c r="D4211" s="2">
        <f t="shared" si="130"/>
        <v>1</v>
      </c>
      <c r="E4211" s="2">
        <f t="shared" si="131"/>
        <v>7</v>
      </c>
      <c r="F4211">
        <v>212.02180000000001</v>
      </c>
      <c r="G4211">
        <v>212.494</v>
      </c>
      <c r="H4211">
        <v>211.07740000000001</v>
      </c>
      <c r="I4211">
        <v>211.07740000000001</v>
      </c>
      <c r="J4211">
        <v>16107</v>
      </c>
      <c r="K4211">
        <v>-0.44640000000000002</v>
      </c>
      <c r="L4211">
        <v>0.67110000000000003</v>
      </c>
    </row>
    <row r="4212" spans="1:12" x14ac:dyDescent="0.25">
      <c r="A4212">
        <v>2303</v>
      </c>
      <c r="B4212" t="s">
        <v>10</v>
      </c>
      <c r="C4212" s="1">
        <v>43298</v>
      </c>
      <c r="D4212" s="2">
        <f t="shared" si="130"/>
        <v>2</v>
      </c>
      <c r="E4212" s="2">
        <f t="shared" si="131"/>
        <v>7</v>
      </c>
      <c r="F4212">
        <v>16.519100000000002</v>
      </c>
      <c r="G4212">
        <v>16.6631</v>
      </c>
      <c r="H4212">
        <v>16.375</v>
      </c>
      <c r="I4212">
        <v>16.5671</v>
      </c>
      <c r="J4212">
        <v>33440</v>
      </c>
      <c r="K4212">
        <v>0</v>
      </c>
      <c r="L4212">
        <v>1.7595000000000001</v>
      </c>
    </row>
    <row r="4213" spans="1:12" hidden="1" x14ac:dyDescent="0.25">
      <c r="A4213">
        <v>2330</v>
      </c>
      <c r="B4213" t="s">
        <v>11</v>
      </c>
      <c r="C4213" s="1">
        <v>43298</v>
      </c>
      <c r="D4213" s="2">
        <f t="shared" si="130"/>
        <v>2</v>
      </c>
      <c r="E4213" s="2">
        <f t="shared" si="131"/>
        <v>7</v>
      </c>
      <c r="F4213">
        <v>210.13300000000001</v>
      </c>
      <c r="G4213">
        <v>211.07740000000001</v>
      </c>
      <c r="H4213">
        <v>208.71639999999999</v>
      </c>
      <c r="I4213">
        <v>209.18860000000001</v>
      </c>
      <c r="J4213">
        <v>22554</v>
      </c>
      <c r="K4213">
        <v>-0.89890000000000003</v>
      </c>
      <c r="L4213">
        <v>1.1312</v>
      </c>
    </row>
    <row r="4214" spans="1:12" x14ac:dyDescent="0.25">
      <c r="A4214">
        <v>2303</v>
      </c>
      <c r="B4214" t="s">
        <v>10</v>
      </c>
      <c r="C4214" s="1">
        <v>43299</v>
      </c>
      <c r="D4214" s="2">
        <f t="shared" si="130"/>
        <v>3</v>
      </c>
      <c r="E4214" s="2">
        <f t="shared" si="131"/>
        <v>7</v>
      </c>
      <c r="F4214">
        <v>16.5671</v>
      </c>
      <c r="G4214">
        <v>17.0473</v>
      </c>
      <c r="H4214">
        <v>16.471</v>
      </c>
      <c r="I4214">
        <v>16.711099999999998</v>
      </c>
      <c r="J4214">
        <v>69527</v>
      </c>
      <c r="K4214">
        <v>0.86580000000000001</v>
      </c>
      <c r="L4214">
        <v>3.4984999999999999</v>
      </c>
    </row>
    <row r="4215" spans="1:12" hidden="1" x14ac:dyDescent="0.25">
      <c r="A4215">
        <v>2330</v>
      </c>
      <c r="B4215" t="s">
        <v>11</v>
      </c>
      <c r="C4215" s="1">
        <v>43299</v>
      </c>
      <c r="D4215" s="2">
        <f t="shared" si="130"/>
        <v>3</v>
      </c>
      <c r="E4215" s="2">
        <f t="shared" si="131"/>
        <v>7</v>
      </c>
      <c r="F4215">
        <v>210.6052</v>
      </c>
      <c r="G4215">
        <v>211.5496</v>
      </c>
      <c r="H4215">
        <v>209.66079999999999</v>
      </c>
      <c r="I4215">
        <v>210.6052</v>
      </c>
      <c r="J4215">
        <v>45802</v>
      </c>
      <c r="K4215">
        <v>0.67490000000000006</v>
      </c>
      <c r="L4215">
        <v>0.90090000000000003</v>
      </c>
    </row>
    <row r="4216" spans="1:12" x14ac:dyDescent="0.25">
      <c r="A4216">
        <v>2303</v>
      </c>
      <c r="B4216" t="s">
        <v>10</v>
      </c>
      <c r="C4216" s="1">
        <v>43300</v>
      </c>
      <c r="D4216" s="2">
        <f t="shared" si="130"/>
        <v>4</v>
      </c>
      <c r="E4216" s="2">
        <f t="shared" si="131"/>
        <v>7</v>
      </c>
      <c r="F4216">
        <v>16.903199999999998</v>
      </c>
      <c r="G4216">
        <v>17.0473</v>
      </c>
      <c r="H4216">
        <v>16.807200000000002</v>
      </c>
      <c r="I4216">
        <v>16.903199999999998</v>
      </c>
      <c r="J4216">
        <v>59100</v>
      </c>
      <c r="K4216">
        <v>1.1429</v>
      </c>
      <c r="L4216">
        <v>1.4286000000000001</v>
      </c>
    </row>
    <row r="4217" spans="1:12" hidden="1" x14ac:dyDescent="0.25">
      <c r="A4217">
        <v>2330</v>
      </c>
      <c r="B4217" t="s">
        <v>11</v>
      </c>
      <c r="C4217" s="1">
        <v>43300</v>
      </c>
      <c r="D4217" s="2">
        <f t="shared" si="130"/>
        <v>4</v>
      </c>
      <c r="E4217" s="2">
        <f t="shared" si="131"/>
        <v>7</v>
      </c>
      <c r="F4217">
        <v>212.96629999999999</v>
      </c>
      <c r="G4217">
        <v>214.38290000000001</v>
      </c>
      <c r="H4217">
        <v>212.02180000000001</v>
      </c>
      <c r="I4217">
        <v>212.02180000000001</v>
      </c>
      <c r="J4217">
        <v>43976</v>
      </c>
      <c r="K4217">
        <v>0.6704</v>
      </c>
      <c r="L4217">
        <v>1.1135999999999999</v>
      </c>
    </row>
    <row r="4218" spans="1:12" x14ac:dyDescent="0.25">
      <c r="A4218">
        <v>2303</v>
      </c>
      <c r="B4218" t="s">
        <v>10</v>
      </c>
      <c r="C4218" s="1">
        <v>43301</v>
      </c>
      <c r="D4218" s="2">
        <f t="shared" si="130"/>
        <v>5</v>
      </c>
      <c r="E4218" s="2">
        <f t="shared" si="131"/>
        <v>7</v>
      </c>
      <c r="F4218">
        <v>17.1433</v>
      </c>
      <c r="G4218">
        <v>17.383400000000002</v>
      </c>
      <c r="H4218">
        <v>17.0473</v>
      </c>
      <c r="I4218">
        <v>17.1433</v>
      </c>
      <c r="J4218">
        <v>97511</v>
      </c>
      <c r="K4218">
        <v>1.4105000000000001</v>
      </c>
      <c r="L4218">
        <v>1.9718</v>
      </c>
    </row>
    <row r="4219" spans="1:12" hidden="1" x14ac:dyDescent="0.25">
      <c r="A4219">
        <v>2330</v>
      </c>
      <c r="B4219" t="s">
        <v>11</v>
      </c>
      <c r="C4219" s="1">
        <v>43301</v>
      </c>
      <c r="D4219" s="2">
        <f t="shared" si="130"/>
        <v>5</v>
      </c>
      <c r="E4219" s="2">
        <f t="shared" si="131"/>
        <v>7</v>
      </c>
      <c r="F4219">
        <v>221.93819999999999</v>
      </c>
      <c r="G4219">
        <v>224.29929999999999</v>
      </c>
      <c r="H4219">
        <v>220.04939999999999</v>
      </c>
      <c r="I4219">
        <v>224.29929999999999</v>
      </c>
      <c r="J4219">
        <v>103652</v>
      </c>
      <c r="K4219">
        <v>5.6292</v>
      </c>
      <c r="L4219">
        <v>1.9313</v>
      </c>
    </row>
    <row r="4220" spans="1:12" x14ac:dyDescent="0.25">
      <c r="A4220">
        <v>2303</v>
      </c>
      <c r="B4220" t="s">
        <v>10</v>
      </c>
      <c r="C4220" s="1">
        <v>43304</v>
      </c>
      <c r="D4220" s="2">
        <f t="shared" si="130"/>
        <v>1</v>
      </c>
      <c r="E4220" s="2">
        <f t="shared" si="131"/>
        <v>7</v>
      </c>
      <c r="F4220">
        <v>17.671500000000002</v>
      </c>
      <c r="G4220">
        <v>17.9116</v>
      </c>
      <c r="H4220">
        <v>17.3354</v>
      </c>
      <c r="I4220">
        <v>17.5275</v>
      </c>
      <c r="J4220">
        <v>106322</v>
      </c>
      <c r="K4220">
        <v>2.2162000000000002</v>
      </c>
      <c r="L4220">
        <v>3.3241000000000001</v>
      </c>
    </row>
    <row r="4221" spans="1:12" hidden="1" x14ac:dyDescent="0.25">
      <c r="A4221">
        <v>2330</v>
      </c>
      <c r="B4221" t="s">
        <v>11</v>
      </c>
      <c r="C4221" s="1">
        <v>43304</v>
      </c>
      <c r="D4221" s="2">
        <f t="shared" si="130"/>
        <v>1</v>
      </c>
      <c r="E4221" s="2">
        <f t="shared" si="131"/>
        <v>7</v>
      </c>
      <c r="F4221">
        <v>225.7159</v>
      </c>
      <c r="G4221">
        <v>231.38239999999999</v>
      </c>
      <c r="H4221">
        <v>225.24369999999999</v>
      </c>
      <c r="I4221">
        <v>227.60470000000001</v>
      </c>
      <c r="J4221">
        <v>52269</v>
      </c>
      <c r="K4221">
        <v>1.4629000000000001</v>
      </c>
      <c r="L4221">
        <v>2.7254</v>
      </c>
    </row>
    <row r="4222" spans="1:12" x14ac:dyDescent="0.25">
      <c r="A4222">
        <v>2303</v>
      </c>
      <c r="B4222" t="s">
        <v>10</v>
      </c>
      <c r="C4222" s="1">
        <v>43305</v>
      </c>
      <c r="D4222" s="2">
        <f t="shared" si="130"/>
        <v>2</v>
      </c>
      <c r="E4222" s="2">
        <f t="shared" si="131"/>
        <v>7</v>
      </c>
      <c r="F4222">
        <v>17.287400000000002</v>
      </c>
      <c r="G4222">
        <v>17.6235</v>
      </c>
      <c r="H4222">
        <v>17.191299999999998</v>
      </c>
      <c r="I4222">
        <v>17.479500000000002</v>
      </c>
      <c r="J4222">
        <v>73162</v>
      </c>
      <c r="K4222">
        <v>-0.27429999999999999</v>
      </c>
      <c r="L4222">
        <v>2.5139999999999998</v>
      </c>
    </row>
    <row r="4223" spans="1:12" hidden="1" x14ac:dyDescent="0.25">
      <c r="A4223">
        <v>2330</v>
      </c>
      <c r="B4223" t="s">
        <v>11</v>
      </c>
      <c r="C4223" s="1">
        <v>43305</v>
      </c>
      <c r="D4223" s="2">
        <f t="shared" si="130"/>
        <v>2</v>
      </c>
      <c r="E4223" s="2">
        <f t="shared" si="131"/>
        <v>7</v>
      </c>
      <c r="F4223">
        <v>226.66030000000001</v>
      </c>
      <c r="G4223">
        <v>228.07689999999999</v>
      </c>
      <c r="H4223">
        <v>225.24369999999999</v>
      </c>
      <c r="I4223">
        <v>227.60470000000001</v>
      </c>
      <c r="J4223">
        <v>27468</v>
      </c>
      <c r="K4223">
        <v>0</v>
      </c>
      <c r="L4223">
        <v>1.2579</v>
      </c>
    </row>
    <row r="4224" spans="1:12" x14ac:dyDescent="0.25">
      <c r="A4224">
        <v>2303</v>
      </c>
      <c r="B4224" t="s">
        <v>10</v>
      </c>
      <c r="C4224" s="1">
        <v>43306</v>
      </c>
      <c r="D4224" s="2">
        <f t="shared" si="130"/>
        <v>3</v>
      </c>
      <c r="E4224" s="2">
        <f t="shared" si="131"/>
        <v>7</v>
      </c>
      <c r="F4224">
        <v>17.4314</v>
      </c>
      <c r="G4224">
        <v>17.7196</v>
      </c>
      <c r="H4224">
        <v>17.2394</v>
      </c>
      <c r="I4224">
        <v>17.479500000000002</v>
      </c>
      <c r="J4224">
        <v>84335</v>
      </c>
      <c r="K4224">
        <v>0</v>
      </c>
      <c r="L4224">
        <v>2.7854999999999999</v>
      </c>
    </row>
    <row r="4225" spans="1:12" hidden="1" x14ac:dyDescent="0.25">
      <c r="A4225">
        <v>2330</v>
      </c>
      <c r="B4225" t="s">
        <v>11</v>
      </c>
      <c r="C4225" s="1">
        <v>43306</v>
      </c>
      <c r="D4225" s="2">
        <f t="shared" si="130"/>
        <v>3</v>
      </c>
      <c r="E4225" s="2">
        <f t="shared" si="131"/>
        <v>7</v>
      </c>
      <c r="F4225">
        <v>225.7159</v>
      </c>
      <c r="G4225">
        <v>227.60470000000001</v>
      </c>
      <c r="H4225">
        <v>225.7159</v>
      </c>
      <c r="I4225">
        <v>227.13249999999999</v>
      </c>
      <c r="J4225">
        <v>21530</v>
      </c>
      <c r="K4225">
        <v>-0.2077</v>
      </c>
      <c r="L4225">
        <v>0.83679999999999999</v>
      </c>
    </row>
    <row r="4226" spans="1:12" x14ac:dyDescent="0.25">
      <c r="A4226">
        <v>2303</v>
      </c>
      <c r="B4226" t="s">
        <v>10</v>
      </c>
      <c r="C4226" s="1">
        <v>43307</v>
      </c>
      <c r="D4226" s="2">
        <f t="shared" si="130"/>
        <v>4</v>
      </c>
      <c r="E4226" s="2">
        <f t="shared" si="131"/>
        <v>7</v>
      </c>
      <c r="F4226">
        <v>16.6631</v>
      </c>
      <c r="G4226">
        <v>16.8552</v>
      </c>
      <c r="H4226">
        <v>16.327000000000002</v>
      </c>
      <c r="I4226">
        <v>16.807200000000002</v>
      </c>
      <c r="J4226">
        <v>196330</v>
      </c>
      <c r="K4226">
        <v>-3.9220999999999999</v>
      </c>
      <c r="L4226">
        <v>3.2353000000000001</v>
      </c>
    </row>
    <row r="4227" spans="1:12" hidden="1" x14ac:dyDescent="0.25">
      <c r="A4227">
        <v>2330</v>
      </c>
      <c r="B4227" t="s">
        <v>11</v>
      </c>
      <c r="C4227" s="1">
        <v>43307</v>
      </c>
      <c r="D4227" s="2">
        <f t="shared" ref="D4227:D4290" si="132">WEEKDAY(C4227,2)</f>
        <v>4</v>
      </c>
      <c r="E4227" s="2">
        <f t="shared" ref="E4227:E4290" si="133">MONTH(C4227)</f>
        <v>7</v>
      </c>
      <c r="F4227">
        <v>227.60470000000001</v>
      </c>
      <c r="G4227">
        <v>229.0214</v>
      </c>
      <c r="H4227">
        <v>226.18809999999999</v>
      </c>
      <c r="I4227">
        <v>227.60470000000001</v>
      </c>
      <c r="J4227">
        <v>30856</v>
      </c>
      <c r="K4227">
        <v>0.2077</v>
      </c>
      <c r="L4227">
        <v>1.2525999999999999</v>
      </c>
    </row>
    <row r="4228" spans="1:12" x14ac:dyDescent="0.25">
      <c r="A4228">
        <v>2303</v>
      </c>
      <c r="B4228" t="s">
        <v>10</v>
      </c>
      <c r="C4228" s="1">
        <v>43308</v>
      </c>
      <c r="D4228" s="2">
        <f t="shared" si="132"/>
        <v>5</v>
      </c>
      <c r="E4228" s="2">
        <f t="shared" si="133"/>
        <v>7</v>
      </c>
      <c r="F4228">
        <v>16.7592</v>
      </c>
      <c r="G4228">
        <v>16.8552</v>
      </c>
      <c r="H4228">
        <v>16.5671</v>
      </c>
      <c r="I4228">
        <v>16.615100000000002</v>
      </c>
      <c r="J4228">
        <v>58505</v>
      </c>
      <c r="K4228">
        <v>-1.1494</v>
      </c>
      <c r="L4228">
        <v>1.7391000000000001</v>
      </c>
    </row>
    <row r="4229" spans="1:12" hidden="1" x14ac:dyDescent="0.25">
      <c r="A4229">
        <v>2330</v>
      </c>
      <c r="B4229" t="s">
        <v>11</v>
      </c>
      <c r="C4229" s="1">
        <v>43308</v>
      </c>
      <c r="D4229" s="2">
        <f t="shared" si="132"/>
        <v>5</v>
      </c>
      <c r="E4229" s="2">
        <f t="shared" si="133"/>
        <v>7</v>
      </c>
      <c r="F4229">
        <v>228.54920000000001</v>
      </c>
      <c r="G4229">
        <v>230.9102</v>
      </c>
      <c r="H4229">
        <v>227.60470000000001</v>
      </c>
      <c r="I4229">
        <v>230.9102</v>
      </c>
      <c r="J4229">
        <v>27129</v>
      </c>
      <c r="K4229">
        <v>1.4418</v>
      </c>
      <c r="L4229">
        <v>1.4522999999999999</v>
      </c>
    </row>
    <row r="4230" spans="1:12" x14ac:dyDescent="0.25">
      <c r="A4230">
        <v>2303</v>
      </c>
      <c r="B4230" t="s">
        <v>10</v>
      </c>
      <c r="C4230" s="1">
        <v>43311</v>
      </c>
      <c r="D4230" s="2">
        <f t="shared" si="132"/>
        <v>1</v>
      </c>
      <c r="E4230" s="2">
        <f t="shared" si="133"/>
        <v>7</v>
      </c>
      <c r="F4230">
        <v>16.519100000000002</v>
      </c>
      <c r="G4230">
        <v>16.615100000000002</v>
      </c>
      <c r="H4230">
        <v>16.327000000000002</v>
      </c>
      <c r="I4230">
        <v>16.519100000000002</v>
      </c>
      <c r="J4230">
        <v>56184</v>
      </c>
      <c r="K4230">
        <v>-0.57969999999999999</v>
      </c>
      <c r="L4230">
        <v>1.7646999999999999</v>
      </c>
    </row>
    <row r="4231" spans="1:12" hidden="1" x14ac:dyDescent="0.25">
      <c r="A4231">
        <v>2330</v>
      </c>
      <c r="B4231" t="s">
        <v>11</v>
      </c>
      <c r="C4231" s="1">
        <v>43311</v>
      </c>
      <c r="D4231" s="2">
        <f t="shared" si="132"/>
        <v>1</v>
      </c>
      <c r="E4231" s="2">
        <f t="shared" si="133"/>
        <v>7</v>
      </c>
      <c r="F4231">
        <v>230.9102</v>
      </c>
      <c r="G4231">
        <v>231.8546</v>
      </c>
      <c r="H4231">
        <v>230.43799999999999</v>
      </c>
      <c r="I4231">
        <v>231.8546</v>
      </c>
      <c r="J4231">
        <v>22803</v>
      </c>
      <c r="K4231">
        <v>0.40820000000000001</v>
      </c>
      <c r="L4231">
        <v>0.61480000000000001</v>
      </c>
    </row>
    <row r="4232" spans="1:12" x14ac:dyDescent="0.25">
      <c r="A4232">
        <v>2303</v>
      </c>
      <c r="B4232" t="s">
        <v>10</v>
      </c>
      <c r="C4232" s="1">
        <v>43312</v>
      </c>
      <c r="D4232" s="2">
        <f t="shared" si="132"/>
        <v>2</v>
      </c>
      <c r="E4232" s="2">
        <f t="shared" si="133"/>
        <v>7</v>
      </c>
      <c r="F4232">
        <v>16.519100000000002</v>
      </c>
      <c r="G4232">
        <v>16.8552</v>
      </c>
      <c r="H4232">
        <v>16.471</v>
      </c>
      <c r="I4232">
        <v>16.8552</v>
      </c>
      <c r="J4232">
        <v>120093</v>
      </c>
      <c r="K4232">
        <v>2.0145</v>
      </c>
      <c r="L4232">
        <v>2.3323999999999998</v>
      </c>
    </row>
    <row r="4233" spans="1:12" hidden="1" x14ac:dyDescent="0.25">
      <c r="A4233">
        <v>2330</v>
      </c>
      <c r="B4233" t="s">
        <v>11</v>
      </c>
      <c r="C4233" s="1">
        <v>43312</v>
      </c>
      <c r="D4233" s="2">
        <f t="shared" si="132"/>
        <v>2</v>
      </c>
      <c r="E4233" s="2">
        <f t="shared" si="133"/>
        <v>7</v>
      </c>
      <c r="F4233">
        <v>229.9658</v>
      </c>
      <c r="G4233">
        <v>232.32679999999999</v>
      </c>
      <c r="H4233">
        <v>228.54920000000001</v>
      </c>
      <c r="I4233">
        <v>232.32679999999999</v>
      </c>
      <c r="J4233">
        <v>28202</v>
      </c>
      <c r="K4233">
        <v>0.20349999999999999</v>
      </c>
      <c r="L4233">
        <v>1.6529</v>
      </c>
    </row>
    <row r="4234" spans="1:12" x14ac:dyDescent="0.25">
      <c r="A4234">
        <v>2303</v>
      </c>
      <c r="B4234" t="s">
        <v>10</v>
      </c>
      <c r="C4234" s="1">
        <v>43313</v>
      </c>
      <c r="D4234" s="2">
        <f t="shared" si="132"/>
        <v>3</v>
      </c>
      <c r="E4234" s="2">
        <f t="shared" si="133"/>
        <v>8</v>
      </c>
      <c r="F4234">
        <v>16.807200000000002</v>
      </c>
      <c r="G4234">
        <v>16.807200000000002</v>
      </c>
      <c r="H4234">
        <v>16.519100000000002</v>
      </c>
      <c r="I4234">
        <v>16.711099999999998</v>
      </c>
      <c r="J4234">
        <v>32256</v>
      </c>
      <c r="K4234">
        <v>-0.85840000000000005</v>
      </c>
      <c r="L4234">
        <v>1.7442</v>
      </c>
    </row>
    <row r="4235" spans="1:12" hidden="1" x14ac:dyDescent="0.25">
      <c r="A4235">
        <v>2330</v>
      </c>
      <c r="B4235" t="s">
        <v>11</v>
      </c>
      <c r="C4235" s="1">
        <v>43313</v>
      </c>
      <c r="D4235" s="2">
        <f t="shared" si="132"/>
        <v>3</v>
      </c>
      <c r="E4235" s="2">
        <f t="shared" si="133"/>
        <v>8</v>
      </c>
      <c r="F4235">
        <v>233.27119999999999</v>
      </c>
      <c r="G4235">
        <v>234.2157</v>
      </c>
      <c r="H4235">
        <v>232.79900000000001</v>
      </c>
      <c r="I4235">
        <v>234.2157</v>
      </c>
      <c r="J4235">
        <v>29777</v>
      </c>
      <c r="K4235">
        <v>0.80969999999999998</v>
      </c>
      <c r="L4235">
        <v>0.60850000000000004</v>
      </c>
    </row>
    <row r="4236" spans="1:12" x14ac:dyDescent="0.25">
      <c r="A4236">
        <v>2303</v>
      </c>
      <c r="B4236" t="s">
        <v>10</v>
      </c>
      <c r="C4236" s="1">
        <v>43314</v>
      </c>
      <c r="D4236" s="2">
        <f t="shared" si="132"/>
        <v>4</v>
      </c>
      <c r="E4236" s="2">
        <f t="shared" si="133"/>
        <v>8</v>
      </c>
      <c r="F4236">
        <v>16.807200000000002</v>
      </c>
      <c r="G4236">
        <v>16.807200000000002</v>
      </c>
      <c r="H4236">
        <v>16.519100000000002</v>
      </c>
      <c r="I4236">
        <v>16.615100000000002</v>
      </c>
      <c r="J4236">
        <v>30848</v>
      </c>
      <c r="K4236">
        <v>-0.57640000000000002</v>
      </c>
      <c r="L4236">
        <v>1.7442</v>
      </c>
    </row>
    <row r="4237" spans="1:12" hidden="1" x14ac:dyDescent="0.25">
      <c r="A4237">
        <v>2330</v>
      </c>
      <c r="B4237" t="s">
        <v>11</v>
      </c>
      <c r="C4237" s="1">
        <v>43314</v>
      </c>
      <c r="D4237" s="2">
        <f t="shared" si="132"/>
        <v>4</v>
      </c>
      <c r="E4237" s="2">
        <f t="shared" si="133"/>
        <v>8</v>
      </c>
      <c r="F4237">
        <v>235.1601</v>
      </c>
      <c r="G4237">
        <v>235.63229999999999</v>
      </c>
      <c r="H4237">
        <v>229.9658</v>
      </c>
      <c r="I4237">
        <v>230.9102</v>
      </c>
      <c r="J4237">
        <v>22775</v>
      </c>
      <c r="K4237">
        <v>-1.4213</v>
      </c>
      <c r="L4237">
        <v>2.4641000000000002</v>
      </c>
    </row>
    <row r="4238" spans="1:12" x14ac:dyDescent="0.25">
      <c r="A4238">
        <v>2303</v>
      </c>
      <c r="B4238" t="s">
        <v>10</v>
      </c>
      <c r="C4238" s="1">
        <v>43315</v>
      </c>
      <c r="D4238" s="2">
        <f t="shared" si="132"/>
        <v>5</v>
      </c>
      <c r="E4238" s="2">
        <f t="shared" si="133"/>
        <v>8</v>
      </c>
      <c r="F4238">
        <v>16.711099999999998</v>
      </c>
      <c r="G4238">
        <v>17.0473</v>
      </c>
      <c r="H4238">
        <v>16.711099999999998</v>
      </c>
      <c r="I4238">
        <v>16.999300000000002</v>
      </c>
      <c r="J4238">
        <v>59521</v>
      </c>
      <c r="K4238">
        <v>2.2858000000000001</v>
      </c>
      <c r="L4238">
        <v>2.0114999999999998</v>
      </c>
    </row>
    <row r="4239" spans="1:12" hidden="1" x14ac:dyDescent="0.25">
      <c r="A4239">
        <v>2330</v>
      </c>
      <c r="B4239" t="s">
        <v>11</v>
      </c>
      <c r="C4239" s="1">
        <v>43315</v>
      </c>
      <c r="D4239" s="2">
        <f t="shared" si="132"/>
        <v>5</v>
      </c>
      <c r="E4239" s="2">
        <f t="shared" si="133"/>
        <v>8</v>
      </c>
      <c r="F4239">
        <v>232.32679999999999</v>
      </c>
      <c r="G4239">
        <v>234.2157</v>
      </c>
      <c r="H4239">
        <v>231.38239999999999</v>
      </c>
      <c r="I4239">
        <v>233.27119999999999</v>
      </c>
      <c r="J4239">
        <v>25165</v>
      </c>
      <c r="K4239">
        <v>1.0173000000000001</v>
      </c>
      <c r="L4239">
        <v>1.2244999999999999</v>
      </c>
    </row>
    <row r="4240" spans="1:12" x14ac:dyDescent="0.25">
      <c r="A4240">
        <v>2303</v>
      </c>
      <c r="B4240" t="s">
        <v>10</v>
      </c>
      <c r="C4240" s="1">
        <v>43318</v>
      </c>
      <c r="D4240" s="2">
        <f t="shared" si="132"/>
        <v>1</v>
      </c>
      <c r="E4240" s="2">
        <f t="shared" si="133"/>
        <v>8</v>
      </c>
      <c r="F4240">
        <v>17.095300000000002</v>
      </c>
      <c r="G4240">
        <v>17.3354</v>
      </c>
      <c r="H4240">
        <v>17.0473</v>
      </c>
      <c r="I4240">
        <v>17.2394</v>
      </c>
      <c r="J4240">
        <v>62004</v>
      </c>
      <c r="K4240">
        <v>1.4025000000000001</v>
      </c>
      <c r="L4240">
        <v>1.6900999999999999</v>
      </c>
    </row>
    <row r="4241" spans="1:12" hidden="1" x14ac:dyDescent="0.25">
      <c r="A4241">
        <v>2330</v>
      </c>
      <c r="B4241" t="s">
        <v>11</v>
      </c>
      <c r="C4241" s="1">
        <v>43318</v>
      </c>
      <c r="D4241" s="2">
        <f t="shared" si="132"/>
        <v>1</v>
      </c>
      <c r="E4241" s="2">
        <f t="shared" si="133"/>
        <v>8</v>
      </c>
      <c r="F4241">
        <v>231.38239999999999</v>
      </c>
      <c r="G4241">
        <v>233.27119999999999</v>
      </c>
      <c r="H4241">
        <v>230.43799999999999</v>
      </c>
      <c r="I4241">
        <v>231.8546</v>
      </c>
      <c r="J4241">
        <v>22364</v>
      </c>
      <c r="K4241">
        <v>-0.60909999999999997</v>
      </c>
      <c r="L4241">
        <v>1.2295</v>
      </c>
    </row>
    <row r="4242" spans="1:12" x14ac:dyDescent="0.25">
      <c r="A4242">
        <v>2303</v>
      </c>
      <c r="B4242" t="s">
        <v>10</v>
      </c>
      <c r="C4242" s="1">
        <v>43319</v>
      </c>
      <c r="D4242" s="2">
        <f t="shared" si="132"/>
        <v>2</v>
      </c>
      <c r="E4242" s="2">
        <f t="shared" si="133"/>
        <v>8</v>
      </c>
      <c r="F4242">
        <v>17.095300000000002</v>
      </c>
      <c r="G4242">
        <v>17.2394</v>
      </c>
      <c r="H4242">
        <v>16.999300000000002</v>
      </c>
      <c r="I4242">
        <v>17.1433</v>
      </c>
      <c r="J4242">
        <v>33961</v>
      </c>
      <c r="K4242">
        <v>-0.55869999999999997</v>
      </c>
      <c r="L4242">
        <v>1.4124000000000001</v>
      </c>
    </row>
    <row r="4243" spans="1:12" hidden="1" x14ac:dyDescent="0.25">
      <c r="A4243">
        <v>2330</v>
      </c>
      <c r="B4243" t="s">
        <v>11</v>
      </c>
      <c r="C4243" s="1">
        <v>43319</v>
      </c>
      <c r="D4243" s="2">
        <f t="shared" si="132"/>
        <v>2</v>
      </c>
      <c r="E4243" s="2">
        <f t="shared" si="133"/>
        <v>8</v>
      </c>
      <c r="F4243">
        <v>231.38239999999999</v>
      </c>
      <c r="G4243">
        <v>231.8546</v>
      </c>
      <c r="H4243">
        <v>228.07689999999999</v>
      </c>
      <c r="I4243">
        <v>228.07689999999999</v>
      </c>
      <c r="J4243">
        <v>24352</v>
      </c>
      <c r="K4243">
        <v>-1.6427</v>
      </c>
      <c r="L4243">
        <v>1.6563000000000001</v>
      </c>
    </row>
    <row r="4244" spans="1:12" x14ac:dyDescent="0.25">
      <c r="A4244">
        <v>2303</v>
      </c>
      <c r="B4244" t="s">
        <v>10</v>
      </c>
      <c r="C4244" s="1">
        <v>43320</v>
      </c>
      <c r="D4244" s="2">
        <f t="shared" si="132"/>
        <v>3</v>
      </c>
      <c r="E4244" s="2">
        <f t="shared" si="133"/>
        <v>8</v>
      </c>
      <c r="F4244">
        <v>17.2394</v>
      </c>
      <c r="G4244">
        <v>17.287400000000002</v>
      </c>
      <c r="H4244">
        <v>17.0473</v>
      </c>
      <c r="I4244">
        <v>17.2394</v>
      </c>
      <c r="J4244">
        <v>49063</v>
      </c>
      <c r="K4244">
        <v>0.55869999999999997</v>
      </c>
      <c r="L4244">
        <v>1.4085000000000001</v>
      </c>
    </row>
    <row r="4245" spans="1:12" hidden="1" x14ac:dyDescent="0.25">
      <c r="A4245">
        <v>2330</v>
      </c>
      <c r="B4245" t="s">
        <v>11</v>
      </c>
      <c r="C4245" s="1">
        <v>43320</v>
      </c>
      <c r="D4245" s="2">
        <f t="shared" si="132"/>
        <v>3</v>
      </c>
      <c r="E4245" s="2">
        <f t="shared" si="133"/>
        <v>8</v>
      </c>
      <c r="F4245">
        <v>231.38239999999999</v>
      </c>
      <c r="G4245">
        <v>233.74350000000001</v>
      </c>
      <c r="H4245">
        <v>230.9102</v>
      </c>
      <c r="I4245">
        <v>233.74350000000001</v>
      </c>
      <c r="J4245">
        <v>24382</v>
      </c>
      <c r="K4245">
        <v>2.4540999999999999</v>
      </c>
      <c r="L4245">
        <v>1.2270000000000001</v>
      </c>
    </row>
    <row r="4246" spans="1:12" x14ac:dyDescent="0.25">
      <c r="A4246">
        <v>2303</v>
      </c>
      <c r="B4246" t="s">
        <v>10</v>
      </c>
      <c r="C4246" s="1">
        <v>43321</v>
      </c>
      <c r="D4246" s="2">
        <f t="shared" si="132"/>
        <v>4</v>
      </c>
      <c r="E4246" s="2">
        <f t="shared" si="133"/>
        <v>8</v>
      </c>
      <c r="F4246">
        <v>17.1433</v>
      </c>
      <c r="G4246">
        <v>17.3354</v>
      </c>
      <c r="H4246">
        <v>16.999300000000002</v>
      </c>
      <c r="I4246">
        <v>17.1433</v>
      </c>
      <c r="J4246">
        <v>71095</v>
      </c>
      <c r="K4246">
        <v>-0.55869999999999997</v>
      </c>
      <c r="L4246">
        <v>1.9774</v>
      </c>
    </row>
    <row r="4247" spans="1:12" hidden="1" x14ac:dyDescent="0.25">
      <c r="A4247">
        <v>2330</v>
      </c>
      <c r="B4247" t="s">
        <v>11</v>
      </c>
      <c r="C4247" s="1">
        <v>43321</v>
      </c>
      <c r="D4247" s="2">
        <f t="shared" si="132"/>
        <v>4</v>
      </c>
      <c r="E4247" s="2">
        <f t="shared" si="133"/>
        <v>8</v>
      </c>
      <c r="F4247">
        <v>233.27119999999999</v>
      </c>
      <c r="G4247">
        <v>234.2157</v>
      </c>
      <c r="H4247">
        <v>232.32679999999999</v>
      </c>
      <c r="I4247">
        <v>233.27119999999999</v>
      </c>
      <c r="J4247">
        <v>15128</v>
      </c>
      <c r="K4247">
        <v>-0.20219999999999999</v>
      </c>
      <c r="L4247">
        <v>0.81299999999999994</v>
      </c>
    </row>
    <row r="4248" spans="1:12" x14ac:dyDescent="0.25">
      <c r="A4248">
        <v>2303</v>
      </c>
      <c r="B4248" t="s">
        <v>10</v>
      </c>
      <c r="C4248" s="1">
        <v>43322</v>
      </c>
      <c r="D4248" s="2">
        <f t="shared" si="132"/>
        <v>5</v>
      </c>
      <c r="E4248" s="2">
        <f t="shared" si="133"/>
        <v>8</v>
      </c>
      <c r="F4248">
        <v>17.095300000000002</v>
      </c>
      <c r="G4248">
        <v>17.3354</v>
      </c>
      <c r="H4248">
        <v>17.0473</v>
      </c>
      <c r="I4248">
        <v>17.2394</v>
      </c>
      <c r="J4248">
        <v>51563</v>
      </c>
      <c r="K4248">
        <v>0.55869999999999997</v>
      </c>
      <c r="L4248">
        <v>1.6900999999999999</v>
      </c>
    </row>
    <row r="4249" spans="1:12" hidden="1" x14ac:dyDescent="0.25">
      <c r="A4249">
        <v>2330</v>
      </c>
      <c r="B4249" t="s">
        <v>11</v>
      </c>
      <c r="C4249" s="1">
        <v>43322</v>
      </c>
      <c r="D4249" s="2">
        <f t="shared" si="132"/>
        <v>5</v>
      </c>
      <c r="E4249" s="2">
        <f t="shared" si="133"/>
        <v>8</v>
      </c>
      <c r="F4249">
        <v>232.79900000000001</v>
      </c>
      <c r="G4249">
        <v>233.27119999999999</v>
      </c>
      <c r="H4249">
        <v>230.9102</v>
      </c>
      <c r="I4249">
        <v>231.38239999999999</v>
      </c>
      <c r="J4249">
        <v>16125</v>
      </c>
      <c r="K4249">
        <v>-0.81299999999999994</v>
      </c>
      <c r="L4249">
        <v>1.0225</v>
      </c>
    </row>
    <row r="4250" spans="1:12" x14ac:dyDescent="0.25">
      <c r="A4250">
        <v>2303</v>
      </c>
      <c r="B4250" t="s">
        <v>10</v>
      </c>
      <c r="C4250" s="1">
        <v>43325</v>
      </c>
      <c r="D4250" s="2">
        <f t="shared" si="132"/>
        <v>1</v>
      </c>
      <c r="E4250" s="2">
        <f t="shared" si="133"/>
        <v>8</v>
      </c>
      <c r="F4250">
        <v>17.095300000000002</v>
      </c>
      <c r="G4250">
        <v>17.1433</v>
      </c>
      <c r="H4250">
        <v>16.615100000000002</v>
      </c>
      <c r="I4250">
        <v>16.615100000000002</v>
      </c>
      <c r="J4250">
        <v>56243</v>
      </c>
      <c r="K4250">
        <v>-3.6884000000000001</v>
      </c>
      <c r="L4250">
        <v>3.1791999999999998</v>
      </c>
    </row>
    <row r="4251" spans="1:12" hidden="1" x14ac:dyDescent="0.25">
      <c r="A4251">
        <v>2330</v>
      </c>
      <c r="B4251" t="s">
        <v>11</v>
      </c>
      <c r="C4251" s="1">
        <v>43325</v>
      </c>
      <c r="D4251" s="2">
        <f t="shared" si="132"/>
        <v>1</v>
      </c>
      <c r="E4251" s="2">
        <f t="shared" si="133"/>
        <v>8</v>
      </c>
      <c r="F4251">
        <v>228.07689999999999</v>
      </c>
      <c r="G4251">
        <v>229.49359999999999</v>
      </c>
      <c r="H4251">
        <v>225.7159</v>
      </c>
      <c r="I4251">
        <v>227.13249999999999</v>
      </c>
      <c r="J4251">
        <v>17881</v>
      </c>
      <c r="K4251">
        <v>-1.8537999999999999</v>
      </c>
      <c r="L4251">
        <v>1.6736</v>
      </c>
    </row>
    <row r="4252" spans="1:12" x14ac:dyDescent="0.25">
      <c r="A4252">
        <v>2303</v>
      </c>
      <c r="B4252" t="s">
        <v>10</v>
      </c>
      <c r="C4252" s="1">
        <v>43326</v>
      </c>
      <c r="D4252" s="2">
        <f t="shared" si="132"/>
        <v>2</v>
      </c>
      <c r="E4252" s="2">
        <f t="shared" si="133"/>
        <v>8</v>
      </c>
      <c r="F4252">
        <v>16.615100000000002</v>
      </c>
      <c r="G4252">
        <v>16.7592</v>
      </c>
      <c r="H4252">
        <v>16.5671</v>
      </c>
      <c r="I4252">
        <v>16.711099999999998</v>
      </c>
      <c r="J4252">
        <v>28349</v>
      </c>
      <c r="K4252">
        <v>0.57640000000000002</v>
      </c>
      <c r="L4252">
        <v>1.1594</v>
      </c>
    </row>
    <row r="4253" spans="1:12" hidden="1" x14ac:dyDescent="0.25">
      <c r="A4253">
        <v>2330</v>
      </c>
      <c r="B4253" t="s">
        <v>11</v>
      </c>
      <c r="C4253" s="1">
        <v>43326</v>
      </c>
      <c r="D4253" s="2">
        <f t="shared" si="132"/>
        <v>2</v>
      </c>
      <c r="E4253" s="2">
        <f t="shared" si="133"/>
        <v>8</v>
      </c>
      <c r="F4253">
        <v>231.38239999999999</v>
      </c>
      <c r="G4253">
        <v>231.38239999999999</v>
      </c>
      <c r="H4253">
        <v>229.0214</v>
      </c>
      <c r="I4253">
        <v>229.9658</v>
      </c>
      <c r="J4253">
        <v>17488</v>
      </c>
      <c r="K4253">
        <v>1.2397</v>
      </c>
      <c r="L4253">
        <v>1.0308999999999999</v>
      </c>
    </row>
    <row r="4254" spans="1:12" x14ac:dyDescent="0.25">
      <c r="A4254">
        <v>2303</v>
      </c>
      <c r="B4254" t="s">
        <v>10</v>
      </c>
      <c r="C4254" s="1">
        <v>43327</v>
      </c>
      <c r="D4254" s="2">
        <f t="shared" si="132"/>
        <v>3</v>
      </c>
      <c r="E4254" s="2">
        <f t="shared" si="133"/>
        <v>8</v>
      </c>
      <c r="F4254">
        <v>16.711099999999998</v>
      </c>
      <c r="G4254">
        <v>16.7592</v>
      </c>
      <c r="H4254">
        <v>16.2789</v>
      </c>
      <c r="I4254">
        <v>16.2789</v>
      </c>
      <c r="J4254">
        <v>54972</v>
      </c>
      <c r="K4254">
        <v>-2.6202000000000001</v>
      </c>
      <c r="L4254">
        <v>2.9499</v>
      </c>
    </row>
    <row r="4255" spans="1:12" hidden="1" x14ac:dyDescent="0.25">
      <c r="A4255">
        <v>2330</v>
      </c>
      <c r="B4255" t="s">
        <v>11</v>
      </c>
      <c r="C4255" s="1">
        <v>43327</v>
      </c>
      <c r="D4255" s="2">
        <f t="shared" si="132"/>
        <v>3</v>
      </c>
      <c r="E4255" s="2">
        <f t="shared" si="133"/>
        <v>8</v>
      </c>
      <c r="F4255">
        <v>230.9102</v>
      </c>
      <c r="G4255">
        <v>230.9102</v>
      </c>
      <c r="H4255">
        <v>226.18809999999999</v>
      </c>
      <c r="I4255">
        <v>228.07689999999999</v>
      </c>
      <c r="J4255">
        <v>19236</v>
      </c>
      <c r="K4255">
        <v>-0.82469999999999999</v>
      </c>
      <c r="L4255">
        <v>2.0876999999999999</v>
      </c>
    </row>
    <row r="4256" spans="1:12" x14ac:dyDescent="0.25">
      <c r="A4256">
        <v>2303</v>
      </c>
      <c r="B4256" t="s">
        <v>10</v>
      </c>
      <c r="C4256" s="1">
        <v>43328</v>
      </c>
      <c r="D4256" s="2">
        <f t="shared" si="132"/>
        <v>4</v>
      </c>
      <c r="E4256" s="2">
        <f t="shared" si="133"/>
        <v>8</v>
      </c>
      <c r="F4256">
        <v>16.0869</v>
      </c>
      <c r="G4256">
        <v>16.519100000000002</v>
      </c>
      <c r="H4256">
        <v>16.038799999999998</v>
      </c>
      <c r="I4256">
        <v>16.471</v>
      </c>
      <c r="J4256">
        <v>35998</v>
      </c>
      <c r="K4256">
        <v>1.173</v>
      </c>
      <c r="L4256">
        <v>2.9940000000000002</v>
      </c>
    </row>
    <row r="4257" spans="1:12" hidden="1" x14ac:dyDescent="0.25">
      <c r="A4257">
        <v>2330</v>
      </c>
      <c r="B4257" t="s">
        <v>11</v>
      </c>
      <c r="C4257" s="1">
        <v>43328</v>
      </c>
      <c r="D4257" s="2">
        <f t="shared" si="132"/>
        <v>4</v>
      </c>
      <c r="E4257" s="2">
        <f t="shared" si="133"/>
        <v>8</v>
      </c>
      <c r="F4257">
        <v>224.7715</v>
      </c>
      <c r="G4257">
        <v>228.07689999999999</v>
      </c>
      <c r="H4257">
        <v>224.7715</v>
      </c>
      <c r="I4257">
        <v>225.7159</v>
      </c>
      <c r="J4257">
        <v>19155</v>
      </c>
      <c r="K4257">
        <v>-1.0406</v>
      </c>
      <c r="L4257">
        <v>1.4705999999999999</v>
      </c>
    </row>
    <row r="4258" spans="1:12" x14ac:dyDescent="0.25">
      <c r="A4258">
        <v>2303</v>
      </c>
      <c r="B4258" t="s">
        <v>10</v>
      </c>
      <c r="C4258" s="1">
        <v>43329</v>
      </c>
      <c r="D4258" s="2">
        <f t="shared" si="132"/>
        <v>5</v>
      </c>
      <c r="E4258" s="2">
        <f t="shared" si="133"/>
        <v>8</v>
      </c>
      <c r="F4258">
        <v>16.471</v>
      </c>
      <c r="G4258">
        <v>16.5671</v>
      </c>
      <c r="H4258">
        <v>16.422999999999998</v>
      </c>
      <c r="I4258">
        <v>16.519100000000002</v>
      </c>
      <c r="J4258">
        <v>34151</v>
      </c>
      <c r="K4258">
        <v>0.29110000000000003</v>
      </c>
      <c r="L4258">
        <v>0.87719999999999998</v>
      </c>
    </row>
    <row r="4259" spans="1:12" hidden="1" x14ac:dyDescent="0.25">
      <c r="A4259">
        <v>2330</v>
      </c>
      <c r="B4259" t="s">
        <v>11</v>
      </c>
      <c r="C4259" s="1">
        <v>43329</v>
      </c>
      <c r="D4259" s="2">
        <f t="shared" si="132"/>
        <v>5</v>
      </c>
      <c r="E4259" s="2">
        <f t="shared" si="133"/>
        <v>8</v>
      </c>
      <c r="F4259">
        <v>226.18809999999999</v>
      </c>
      <c r="G4259">
        <v>227.60470000000001</v>
      </c>
      <c r="H4259">
        <v>225.7159</v>
      </c>
      <c r="I4259">
        <v>226.18809999999999</v>
      </c>
      <c r="J4259">
        <v>19634</v>
      </c>
      <c r="K4259">
        <v>0.20899999999999999</v>
      </c>
      <c r="L4259">
        <v>0.83679999999999999</v>
      </c>
    </row>
    <row r="4260" spans="1:12" x14ac:dyDescent="0.25">
      <c r="A4260">
        <v>2303</v>
      </c>
      <c r="B4260" t="s">
        <v>10</v>
      </c>
      <c r="C4260" s="1">
        <v>43332</v>
      </c>
      <c r="D4260" s="2">
        <f t="shared" si="132"/>
        <v>1</v>
      </c>
      <c r="E4260" s="2">
        <f t="shared" si="133"/>
        <v>8</v>
      </c>
      <c r="F4260">
        <v>16.5671</v>
      </c>
      <c r="G4260">
        <v>16.9512</v>
      </c>
      <c r="H4260">
        <v>16.519100000000002</v>
      </c>
      <c r="I4260">
        <v>16.8552</v>
      </c>
      <c r="J4260">
        <v>38445</v>
      </c>
      <c r="K4260">
        <v>2.0145</v>
      </c>
      <c r="L4260">
        <v>2.6162999999999998</v>
      </c>
    </row>
    <row r="4261" spans="1:12" hidden="1" x14ac:dyDescent="0.25">
      <c r="A4261">
        <v>2330</v>
      </c>
      <c r="B4261" t="s">
        <v>11</v>
      </c>
      <c r="C4261" s="1">
        <v>43332</v>
      </c>
      <c r="D4261" s="2">
        <f t="shared" si="132"/>
        <v>1</v>
      </c>
      <c r="E4261" s="2">
        <f t="shared" si="133"/>
        <v>8</v>
      </c>
      <c r="F4261">
        <v>226.18809999999999</v>
      </c>
      <c r="G4261">
        <v>226.66030000000001</v>
      </c>
      <c r="H4261">
        <v>224.7715</v>
      </c>
      <c r="I4261">
        <v>226.18809999999999</v>
      </c>
      <c r="J4261">
        <v>17014</v>
      </c>
      <c r="K4261">
        <v>0</v>
      </c>
      <c r="L4261">
        <v>0.84030000000000005</v>
      </c>
    </row>
    <row r="4262" spans="1:12" x14ac:dyDescent="0.25">
      <c r="A4262">
        <v>2303</v>
      </c>
      <c r="B4262" t="s">
        <v>10</v>
      </c>
      <c r="C4262" s="1">
        <v>43333</v>
      </c>
      <c r="D4262" s="2">
        <f t="shared" si="132"/>
        <v>2</v>
      </c>
      <c r="E4262" s="2">
        <f t="shared" si="133"/>
        <v>8</v>
      </c>
      <c r="F4262">
        <v>16.903199999999998</v>
      </c>
      <c r="G4262">
        <v>17.287400000000002</v>
      </c>
      <c r="H4262">
        <v>16.8552</v>
      </c>
      <c r="I4262">
        <v>17.287400000000002</v>
      </c>
      <c r="J4262">
        <v>80748</v>
      </c>
      <c r="K4262">
        <v>2.5318000000000001</v>
      </c>
      <c r="L4262">
        <v>2.5640999999999998</v>
      </c>
    </row>
    <row r="4263" spans="1:12" hidden="1" x14ac:dyDescent="0.25">
      <c r="A4263">
        <v>2330</v>
      </c>
      <c r="B4263" t="s">
        <v>11</v>
      </c>
      <c r="C4263" s="1">
        <v>43333</v>
      </c>
      <c r="D4263" s="2">
        <f t="shared" si="132"/>
        <v>2</v>
      </c>
      <c r="E4263" s="2">
        <f t="shared" si="133"/>
        <v>8</v>
      </c>
      <c r="F4263">
        <v>225.7159</v>
      </c>
      <c r="G4263">
        <v>227.60470000000001</v>
      </c>
      <c r="H4263">
        <v>225.24369999999999</v>
      </c>
      <c r="I4263">
        <v>227.60470000000001</v>
      </c>
      <c r="J4263">
        <v>13871</v>
      </c>
      <c r="K4263">
        <v>0.62439999999999996</v>
      </c>
      <c r="L4263">
        <v>1.0482</v>
      </c>
    </row>
    <row r="4264" spans="1:12" x14ac:dyDescent="0.25">
      <c r="A4264">
        <v>2303</v>
      </c>
      <c r="B4264" t="s">
        <v>10</v>
      </c>
      <c r="C4264" s="1">
        <v>43334</v>
      </c>
      <c r="D4264" s="2">
        <f t="shared" si="132"/>
        <v>3</v>
      </c>
      <c r="E4264" s="2">
        <f t="shared" si="133"/>
        <v>8</v>
      </c>
      <c r="F4264">
        <v>17.191299999999998</v>
      </c>
      <c r="G4264">
        <v>17.191299999999998</v>
      </c>
      <c r="H4264">
        <v>16.807200000000002</v>
      </c>
      <c r="I4264">
        <v>16.807200000000002</v>
      </c>
      <c r="J4264">
        <v>36992</v>
      </c>
      <c r="K4264">
        <v>-2.8170999999999999</v>
      </c>
      <c r="L4264">
        <v>2.2856999999999998</v>
      </c>
    </row>
    <row r="4265" spans="1:12" hidden="1" x14ac:dyDescent="0.25">
      <c r="A4265">
        <v>2330</v>
      </c>
      <c r="B4265" t="s">
        <v>11</v>
      </c>
      <c r="C4265" s="1">
        <v>43334</v>
      </c>
      <c r="D4265" s="2">
        <f t="shared" si="132"/>
        <v>3</v>
      </c>
      <c r="E4265" s="2">
        <f t="shared" si="133"/>
        <v>8</v>
      </c>
      <c r="F4265">
        <v>228.07689999999999</v>
      </c>
      <c r="G4265">
        <v>229.0214</v>
      </c>
      <c r="H4265">
        <v>227.13249999999999</v>
      </c>
      <c r="I4265">
        <v>228.54920000000001</v>
      </c>
      <c r="J4265">
        <v>12679</v>
      </c>
      <c r="K4265">
        <v>0.41410000000000002</v>
      </c>
      <c r="L4265">
        <v>0.83160000000000001</v>
      </c>
    </row>
    <row r="4266" spans="1:12" x14ac:dyDescent="0.25">
      <c r="A4266">
        <v>2303</v>
      </c>
      <c r="B4266" t="s">
        <v>10</v>
      </c>
      <c r="C4266" s="1">
        <v>43335</v>
      </c>
      <c r="D4266" s="2">
        <f t="shared" si="132"/>
        <v>4</v>
      </c>
      <c r="E4266" s="2">
        <f t="shared" si="133"/>
        <v>8</v>
      </c>
      <c r="F4266">
        <v>16.8552</v>
      </c>
      <c r="G4266">
        <v>16.9512</v>
      </c>
      <c r="H4266">
        <v>16.7592</v>
      </c>
      <c r="I4266">
        <v>16.9512</v>
      </c>
      <c r="J4266">
        <v>18832</v>
      </c>
      <c r="K4266">
        <v>0.85350000000000004</v>
      </c>
      <c r="L4266">
        <v>1.1460999999999999</v>
      </c>
    </row>
    <row r="4267" spans="1:12" hidden="1" x14ac:dyDescent="0.25">
      <c r="A4267">
        <v>2330</v>
      </c>
      <c r="B4267" t="s">
        <v>11</v>
      </c>
      <c r="C4267" s="1">
        <v>43335</v>
      </c>
      <c r="D4267" s="2">
        <f t="shared" si="132"/>
        <v>4</v>
      </c>
      <c r="E4267" s="2">
        <f t="shared" si="133"/>
        <v>8</v>
      </c>
      <c r="F4267">
        <v>229.49359999999999</v>
      </c>
      <c r="G4267">
        <v>230.9102</v>
      </c>
      <c r="H4267">
        <v>229.49359999999999</v>
      </c>
      <c r="I4267">
        <v>230.9102</v>
      </c>
      <c r="J4267">
        <v>17216</v>
      </c>
      <c r="K4267">
        <v>1.0278</v>
      </c>
      <c r="L4267">
        <v>0.61729999999999996</v>
      </c>
    </row>
    <row r="4268" spans="1:12" x14ac:dyDescent="0.25">
      <c r="A4268">
        <v>2303</v>
      </c>
      <c r="B4268" t="s">
        <v>10</v>
      </c>
      <c r="C4268" s="1">
        <v>43336</v>
      </c>
      <c r="D4268" s="2">
        <f t="shared" si="132"/>
        <v>5</v>
      </c>
      <c r="E4268" s="2">
        <f t="shared" si="133"/>
        <v>8</v>
      </c>
      <c r="F4268">
        <v>16.8552</v>
      </c>
      <c r="G4268">
        <v>16.9512</v>
      </c>
      <c r="H4268">
        <v>16.519100000000002</v>
      </c>
      <c r="I4268">
        <v>16.615100000000002</v>
      </c>
      <c r="J4268">
        <v>26098</v>
      </c>
      <c r="K4268">
        <v>-2.0028999999999999</v>
      </c>
      <c r="L4268">
        <v>2.6162999999999998</v>
      </c>
    </row>
    <row r="4269" spans="1:12" hidden="1" x14ac:dyDescent="0.25">
      <c r="A4269">
        <v>2330</v>
      </c>
      <c r="B4269" t="s">
        <v>11</v>
      </c>
      <c r="C4269" s="1">
        <v>43336</v>
      </c>
      <c r="D4269" s="2">
        <f t="shared" si="132"/>
        <v>5</v>
      </c>
      <c r="E4269" s="2">
        <f t="shared" si="133"/>
        <v>8</v>
      </c>
      <c r="F4269">
        <v>231.8546</v>
      </c>
      <c r="G4269">
        <v>232.32679999999999</v>
      </c>
      <c r="H4269">
        <v>229.49359999999999</v>
      </c>
      <c r="I4269">
        <v>229.9658</v>
      </c>
      <c r="J4269">
        <v>15446</v>
      </c>
      <c r="K4269">
        <v>-0.4098</v>
      </c>
      <c r="L4269">
        <v>1.2345999999999999</v>
      </c>
    </row>
    <row r="4270" spans="1:12" x14ac:dyDescent="0.25">
      <c r="A4270">
        <v>2303</v>
      </c>
      <c r="B4270" t="s">
        <v>10</v>
      </c>
      <c r="C4270" s="1">
        <v>43339</v>
      </c>
      <c r="D4270" s="2">
        <f t="shared" si="132"/>
        <v>1</v>
      </c>
      <c r="E4270" s="2">
        <f t="shared" si="133"/>
        <v>8</v>
      </c>
      <c r="F4270">
        <v>16.7592</v>
      </c>
      <c r="G4270">
        <v>16.7592</v>
      </c>
      <c r="H4270">
        <v>16.519100000000002</v>
      </c>
      <c r="I4270">
        <v>16.711099999999998</v>
      </c>
      <c r="J4270">
        <v>23325</v>
      </c>
      <c r="K4270">
        <v>0.57640000000000002</v>
      </c>
      <c r="L4270">
        <v>1.4535</v>
      </c>
    </row>
    <row r="4271" spans="1:12" hidden="1" x14ac:dyDescent="0.25">
      <c r="A4271">
        <v>2330</v>
      </c>
      <c r="B4271" t="s">
        <v>11</v>
      </c>
      <c r="C4271" s="1">
        <v>43339</v>
      </c>
      <c r="D4271" s="2">
        <f t="shared" si="132"/>
        <v>1</v>
      </c>
      <c r="E4271" s="2">
        <f t="shared" si="133"/>
        <v>8</v>
      </c>
      <c r="F4271">
        <v>232.32679999999999</v>
      </c>
      <c r="G4271">
        <v>232.79900000000001</v>
      </c>
      <c r="H4271">
        <v>230.9102</v>
      </c>
      <c r="I4271">
        <v>231.38239999999999</v>
      </c>
      <c r="J4271">
        <v>15579</v>
      </c>
      <c r="K4271">
        <v>0.61409999999999998</v>
      </c>
      <c r="L4271">
        <v>0.81799999999999995</v>
      </c>
    </row>
    <row r="4272" spans="1:12" x14ac:dyDescent="0.25">
      <c r="A4272">
        <v>2303</v>
      </c>
      <c r="B4272" t="s">
        <v>10</v>
      </c>
      <c r="C4272" s="1">
        <v>43340</v>
      </c>
      <c r="D4272" s="2">
        <f t="shared" si="132"/>
        <v>2</v>
      </c>
      <c r="E4272" s="2">
        <f t="shared" si="133"/>
        <v>8</v>
      </c>
      <c r="F4272">
        <v>16.711099999999998</v>
      </c>
      <c r="G4272">
        <v>16.999300000000002</v>
      </c>
      <c r="H4272">
        <v>16.6631</v>
      </c>
      <c r="I4272">
        <v>16.807200000000002</v>
      </c>
      <c r="J4272">
        <v>24876</v>
      </c>
      <c r="K4272">
        <v>0.57310000000000005</v>
      </c>
      <c r="L4272">
        <v>2.0173000000000001</v>
      </c>
    </row>
    <row r="4273" spans="1:12" hidden="1" x14ac:dyDescent="0.25">
      <c r="A4273">
        <v>2330</v>
      </c>
      <c r="B4273" t="s">
        <v>11</v>
      </c>
      <c r="C4273" s="1">
        <v>43340</v>
      </c>
      <c r="D4273" s="2">
        <f t="shared" si="132"/>
        <v>2</v>
      </c>
      <c r="E4273" s="2">
        <f t="shared" si="133"/>
        <v>8</v>
      </c>
      <c r="F4273">
        <v>234.68790000000001</v>
      </c>
      <c r="G4273">
        <v>236.1045</v>
      </c>
      <c r="H4273">
        <v>234.2157</v>
      </c>
      <c r="I4273">
        <v>235.63229999999999</v>
      </c>
      <c r="J4273">
        <v>40410</v>
      </c>
      <c r="K4273">
        <v>1.8201000000000001</v>
      </c>
      <c r="L4273">
        <v>0.80649999999999999</v>
      </c>
    </row>
    <row r="4274" spans="1:12" x14ac:dyDescent="0.25">
      <c r="A4274">
        <v>2303</v>
      </c>
      <c r="B4274" t="s">
        <v>10</v>
      </c>
      <c r="C4274" s="1">
        <v>43341</v>
      </c>
      <c r="D4274" s="2">
        <f t="shared" si="132"/>
        <v>3</v>
      </c>
      <c r="E4274" s="2">
        <f t="shared" si="133"/>
        <v>8</v>
      </c>
      <c r="F4274">
        <v>16.807200000000002</v>
      </c>
      <c r="G4274">
        <v>16.903199999999998</v>
      </c>
      <c r="H4274">
        <v>16.6631</v>
      </c>
      <c r="I4274">
        <v>16.8552</v>
      </c>
      <c r="J4274">
        <v>28640</v>
      </c>
      <c r="K4274">
        <v>0.2853</v>
      </c>
      <c r="L4274">
        <v>1.4409000000000001</v>
      </c>
    </row>
    <row r="4275" spans="1:12" hidden="1" x14ac:dyDescent="0.25">
      <c r="A4275">
        <v>2330</v>
      </c>
      <c r="B4275" t="s">
        <v>11</v>
      </c>
      <c r="C4275" s="1">
        <v>43341</v>
      </c>
      <c r="D4275" s="2">
        <f t="shared" si="132"/>
        <v>3</v>
      </c>
      <c r="E4275" s="2">
        <f t="shared" si="133"/>
        <v>8</v>
      </c>
      <c r="F4275">
        <v>239.41</v>
      </c>
      <c r="G4275">
        <v>244.60429999999999</v>
      </c>
      <c r="H4275">
        <v>239.41</v>
      </c>
      <c r="I4275">
        <v>244.60429999999999</v>
      </c>
      <c r="J4275">
        <v>57633</v>
      </c>
      <c r="K4275">
        <v>3.7368999999999999</v>
      </c>
      <c r="L4275">
        <v>2.1696</v>
      </c>
    </row>
    <row r="4276" spans="1:12" x14ac:dyDescent="0.25">
      <c r="A4276">
        <v>2303</v>
      </c>
      <c r="B4276" t="s">
        <v>10</v>
      </c>
      <c r="C4276" s="1">
        <v>43342</v>
      </c>
      <c r="D4276" s="2">
        <f t="shared" si="132"/>
        <v>4</v>
      </c>
      <c r="E4276" s="2">
        <f t="shared" si="133"/>
        <v>8</v>
      </c>
      <c r="F4276">
        <v>16.807200000000002</v>
      </c>
      <c r="G4276">
        <v>16.8552</v>
      </c>
      <c r="H4276">
        <v>16.6631</v>
      </c>
      <c r="I4276">
        <v>16.6631</v>
      </c>
      <c r="J4276">
        <v>25952</v>
      </c>
      <c r="K4276">
        <v>-1.1460999999999999</v>
      </c>
      <c r="L4276">
        <v>1.1527000000000001</v>
      </c>
    </row>
    <row r="4277" spans="1:12" hidden="1" x14ac:dyDescent="0.25">
      <c r="A4277">
        <v>2330</v>
      </c>
      <c r="B4277" t="s">
        <v>11</v>
      </c>
      <c r="C4277" s="1">
        <v>43342</v>
      </c>
      <c r="D4277" s="2">
        <f t="shared" si="132"/>
        <v>4</v>
      </c>
      <c r="E4277" s="2">
        <f t="shared" si="133"/>
        <v>8</v>
      </c>
      <c r="F4277">
        <v>249.79859999999999</v>
      </c>
      <c r="G4277">
        <v>253.10400000000001</v>
      </c>
      <c r="H4277">
        <v>247.90969999999999</v>
      </c>
      <c r="I4277">
        <v>248.85409999999999</v>
      </c>
      <c r="J4277">
        <v>52622</v>
      </c>
      <c r="K4277">
        <v>1.7224999999999999</v>
      </c>
      <c r="L4277">
        <v>2.0952000000000002</v>
      </c>
    </row>
    <row r="4278" spans="1:12" x14ac:dyDescent="0.25">
      <c r="A4278">
        <v>2303</v>
      </c>
      <c r="B4278" t="s">
        <v>10</v>
      </c>
      <c r="C4278" s="1">
        <v>43343</v>
      </c>
      <c r="D4278" s="2">
        <f t="shared" si="132"/>
        <v>5</v>
      </c>
      <c r="E4278" s="2">
        <f t="shared" si="133"/>
        <v>8</v>
      </c>
      <c r="F4278">
        <v>16.5671</v>
      </c>
      <c r="G4278">
        <v>16.6631</v>
      </c>
      <c r="H4278">
        <v>16.422999999999998</v>
      </c>
      <c r="I4278">
        <v>16.6631</v>
      </c>
      <c r="J4278">
        <v>43748</v>
      </c>
      <c r="K4278">
        <v>0</v>
      </c>
      <c r="L4278">
        <v>1.462</v>
      </c>
    </row>
    <row r="4279" spans="1:12" hidden="1" x14ac:dyDescent="0.25">
      <c r="A4279">
        <v>2330</v>
      </c>
      <c r="B4279" t="s">
        <v>11</v>
      </c>
      <c r="C4279" s="1">
        <v>43343</v>
      </c>
      <c r="D4279" s="2">
        <f t="shared" si="132"/>
        <v>5</v>
      </c>
      <c r="E4279" s="2">
        <f t="shared" si="133"/>
        <v>8</v>
      </c>
      <c r="F4279">
        <v>243.1876</v>
      </c>
      <c r="G4279">
        <v>244.60429999999999</v>
      </c>
      <c r="H4279">
        <v>239.88220000000001</v>
      </c>
      <c r="I4279">
        <v>241.77099999999999</v>
      </c>
      <c r="J4279">
        <v>70000</v>
      </c>
      <c r="K4279">
        <v>-2.8875999999999999</v>
      </c>
      <c r="L4279">
        <v>1.9684999999999999</v>
      </c>
    </row>
    <row r="4280" spans="1:12" x14ac:dyDescent="0.25">
      <c r="A4280">
        <v>2303</v>
      </c>
      <c r="B4280" t="s">
        <v>10</v>
      </c>
      <c r="C4280" s="1">
        <v>43346</v>
      </c>
      <c r="D4280" s="2">
        <f t="shared" si="132"/>
        <v>1</v>
      </c>
      <c r="E4280" s="2">
        <f t="shared" si="133"/>
        <v>9</v>
      </c>
      <c r="F4280">
        <v>16.519100000000002</v>
      </c>
      <c r="G4280">
        <v>16.615100000000002</v>
      </c>
      <c r="H4280">
        <v>16.375</v>
      </c>
      <c r="I4280">
        <v>16.422999999999998</v>
      </c>
      <c r="J4280">
        <v>25144</v>
      </c>
      <c r="K4280">
        <v>-1.4514</v>
      </c>
      <c r="L4280">
        <v>1.4662999999999999</v>
      </c>
    </row>
    <row r="4281" spans="1:12" hidden="1" x14ac:dyDescent="0.25">
      <c r="A4281">
        <v>2330</v>
      </c>
      <c r="B4281" t="s">
        <v>11</v>
      </c>
      <c r="C4281" s="1">
        <v>43346</v>
      </c>
      <c r="D4281" s="2">
        <f t="shared" si="132"/>
        <v>1</v>
      </c>
      <c r="E4281" s="2">
        <f t="shared" si="133"/>
        <v>9</v>
      </c>
      <c r="F4281">
        <v>244.60429999999999</v>
      </c>
      <c r="G4281">
        <v>245.5487</v>
      </c>
      <c r="H4281">
        <v>242.2432</v>
      </c>
      <c r="I4281">
        <v>242.71539999999999</v>
      </c>
      <c r="J4281">
        <v>34510</v>
      </c>
      <c r="K4281">
        <v>0.38990000000000002</v>
      </c>
      <c r="L4281">
        <v>1.3645</v>
      </c>
    </row>
    <row r="4282" spans="1:12" x14ac:dyDescent="0.25">
      <c r="A4282">
        <v>2303</v>
      </c>
      <c r="B4282" t="s">
        <v>10</v>
      </c>
      <c r="C4282" s="1">
        <v>43347</v>
      </c>
      <c r="D4282" s="2">
        <f t="shared" si="132"/>
        <v>2</v>
      </c>
      <c r="E4282" s="2">
        <f t="shared" si="133"/>
        <v>9</v>
      </c>
      <c r="F4282">
        <v>16.471</v>
      </c>
      <c r="G4282">
        <v>16.5671</v>
      </c>
      <c r="H4282">
        <v>16.422999999999998</v>
      </c>
      <c r="I4282">
        <v>16.519100000000002</v>
      </c>
      <c r="J4282">
        <v>16189</v>
      </c>
      <c r="K4282">
        <v>0.58309999999999995</v>
      </c>
      <c r="L4282">
        <v>0.87719999999999998</v>
      </c>
    </row>
    <row r="4283" spans="1:12" hidden="1" x14ac:dyDescent="0.25">
      <c r="A4283">
        <v>2330</v>
      </c>
      <c r="B4283" t="s">
        <v>11</v>
      </c>
      <c r="C4283" s="1">
        <v>43347</v>
      </c>
      <c r="D4283" s="2">
        <f t="shared" si="132"/>
        <v>2</v>
      </c>
      <c r="E4283" s="2">
        <f t="shared" si="133"/>
        <v>9</v>
      </c>
      <c r="F4283">
        <v>244.13210000000001</v>
      </c>
      <c r="G4283">
        <v>245.07650000000001</v>
      </c>
      <c r="H4283">
        <v>241.2988</v>
      </c>
      <c r="I4283">
        <v>243.1876</v>
      </c>
      <c r="J4283">
        <v>41455</v>
      </c>
      <c r="K4283">
        <v>0.19439999999999999</v>
      </c>
      <c r="L4283">
        <v>1.5656000000000001</v>
      </c>
    </row>
    <row r="4284" spans="1:12" x14ac:dyDescent="0.25">
      <c r="A4284">
        <v>2303</v>
      </c>
      <c r="B4284" t="s">
        <v>10</v>
      </c>
      <c r="C4284" s="1">
        <v>43348</v>
      </c>
      <c r="D4284" s="2">
        <f t="shared" si="132"/>
        <v>3</v>
      </c>
      <c r="E4284" s="2">
        <f t="shared" si="133"/>
        <v>9</v>
      </c>
      <c r="F4284">
        <v>16.422999999999998</v>
      </c>
      <c r="G4284">
        <v>16.471</v>
      </c>
      <c r="H4284">
        <v>16.327000000000002</v>
      </c>
      <c r="I4284">
        <v>16.327000000000002</v>
      </c>
      <c r="J4284">
        <v>33116</v>
      </c>
      <c r="K4284">
        <v>-1.1696</v>
      </c>
      <c r="L4284">
        <v>0.88239999999999996</v>
      </c>
    </row>
    <row r="4285" spans="1:12" hidden="1" x14ac:dyDescent="0.25">
      <c r="A4285">
        <v>2330</v>
      </c>
      <c r="B4285" t="s">
        <v>11</v>
      </c>
      <c r="C4285" s="1">
        <v>43348</v>
      </c>
      <c r="D4285" s="2">
        <f t="shared" si="132"/>
        <v>3</v>
      </c>
      <c r="E4285" s="2">
        <f t="shared" si="133"/>
        <v>9</v>
      </c>
      <c r="F4285">
        <v>245.5487</v>
      </c>
      <c r="G4285">
        <v>249.79859999999999</v>
      </c>
      <c r="H4285">
        <v>244.60429999999999</v>
      </c>
      <c r="I4285">
        <v>249.32640000000001</v>
      </c>
      <c r="J4285">
        <v>52706</v>
      </c>
      <c r="K4285">
        <v>2.4929000000000001</v>
      </c>
      <c r="L4285">
        <v>2.1236000000000002</v>
      </c>
    </row>
    <row r="4286" spans="1:12" x14ac:dyDescent="0.25">
      <c r="A4286">
        <v>2303</v>
      </c>
      <c r="B4286" t="s">
        <v>10</v>
      </c>
      <c r="C4286" s="1">
        <v>43349</v>
      </c>
      <c r="D4286" s="2">
        <f t="shared" si="132"/>
        <v>4</v>
      </c>
      <c r="E4286" s="2">
        <f t="shared" si="133"/>
        <v>9</v>
      </c>
      <c r="F4286">
        <v>16.1829</v>
      </c>
      <c r="G4286">
        <v>16.2789</v>
      </c>
      <c r="H4286">
        <v>16.0869</v>
      </c>
      <c r="I4286">
        <v>16.230899999999998</v>
      </c>
      <c r="J4286">
        <v>31933</v>
      </c>
      <c r="K4286">
        <v>-0.59</v>
      </c>
      <c r="L4286">
        <v>1.194</v>
      </c>
    </row>
    <row r="4287" spans="1:12" hidden="1" x14ac:dyDescent="0.25">
      <c r="A4287">
        <v>2330</v>
      </c>
      <c r="B4287" t="s">
        <v>11</v>
      </c>
      <c r="C4287" s="1">
        <v>43349</v>
      </c>
      <c r="D4287" s="2">
        <f t="shared" si="132"/>
        <v>4</v>
      </c>
      <c r="E4287" s="2">
        <f t="shared" si="133"/>
        <v>9</v>
      </c>
      <c r="F4287">
        <v>253.10400000000001</v>
      </c>
      <c r="G4287">
        <v>253.10400000000001</v>
      </c>
      <c r="H4287">
        <v>246.4931</v>
      </c>
      <c r="I4287">
        <v>246.4931</v>
      </c>
      <c r="J4287">
        <v>39779</v>
      </c>
      <c r="K4287">
        <v>-1.1429</v>
      </c>
      <c r="L4287">
        <v>2.6819999999999999</v>
      </c>
    </row>
    <row r="4288" spans="1:12" x14ac:dyDescent="0.25">
      <c r="A4288">
        <v>2303</v>
      </c>
      <c r="B4288" t="s">
        <v>10</v>
      </c>
      <c r="C4288" s="1">
        <v>43350</v>
      </c>
      <c r="D4288" s="2">
        <f t="shared" si="132"/>
        <v>5</v>
      </c>
      <c r="E4288" s="2">
        <f t="shared" si="133"/>
        <v>9</v>
      </c>
      <c r="F4288">
        <v>16.0869</v>
      </c>
      <c r="G4288">
        <v>16.1829</v>
      </c>
      <c r="H4288">
        <v>15.5106</v>
      </c>
      <c r="I4288">
        <v>15.6547</v>
      </c>
      <c r="J4288">
        <v>50782</v>
      </c>
      <c r="K4288">
        <v>-3.6149</v>
      </c>
      <c r="L4288">
        <v>4.3343999999999996</v>
      </c>
    </row>
    <row r="4289" spans="1:12" hidden="1" x14ac:dyDescent="0.25">
      <c r="A4289">
        <v>2330</v>
      </c>
      <c r="B4289" t="s">
        <v>11</v>
      </c>
      <c r="C4289" s="1">
        <v>43350</v>
      </c>
      <c r="D4289" s="2">
        <f t="shared" si="132"/>
        <v>5</v>
      </c>
      <c r="E4289" s="2">
        <f t="shared" si="133"/>
        <v>9</v>
      </c>
      <c r="F4289">
        <v>248.3819</v>
      </c>
      <c r="G4289">
        <v>249.32640000000001</v>
      </c>
      <c r="H4289">
        <v>246.02090000000001</v>
      </c>
      <c r="I4289">
        <v>249.32640000000001</v>
      </c>
      <c r="J4289">
        <v>44746</v>
      </c>
      <c r="K4289">
        <v>1.1429</v>
      </c>
      <c r="L4289">
        <v>1.3435999999999999</v>
      </c>
    </row>
    <row r="4290" spans="1:12" x14ac:dyDescent="0.25">
      <c r="A4290">
        <v>2303</v>
      </c>
      <c r="B4290" t="s">
        <v>10</v>
      </c>
      <c r="C4290" s="1">
        <v>43353</v>
      </c>
      <c r="D4290" s="2">
        <f t="shared" si="132"/>
        <v>1</v>
      </c>
      <c r="E4290" s="2">
        <f t="shared" si="133"/>
        <v>9</v>
      </c>
      <c r="F4290">
        <v>15.5586</v>
      </c>
      <c r="G4290">
        <v>15.6067</v>
      </c>
      <c r="H4290">
        <v>14.8864</v>
      </c>
      <c r="I4290">
        <v>14.9344</v>
      </c>
      <c r="J4290">
        <v>119456</v>
      </c>
      <c r="K4290">
        <v>-4.7103999999999999</v>
      </c>
      <c r="L4290">
        <v>4.8387000000000002</v>
      </c>
    </row>
    <row r="4291" spans="1:12" hidden="1" x14ac:dyDescent="0.25">
      <c r="A4291">
        <v>2330</v>
      </c>
      <c r="B4291" t="s">
        <v>11</v>
      </c>
      <c r="C4291" s="1">
        <v>43353</v>
      </c>
      <c r="D4291" s="2">
        <f t="shared" ref="D4291:D4354" si="134">WEEKDAY(C4291,2)</f>
        <v>1</v>
      </c>
      <c r="E4291" s="2">
        <f t="shared" ref="E4291:E4354" si="135">MONTH(C4291)</f>
        <v>9</v>
      </c>
      <c r="F4291">
        <v>251.6874</v>
      </c>
      <c r="G4291">
        <v>251.6874</v>
      </c>
      <c r="H4291">
        <v>247.90969999999999</v>
      </c>
      <c r="I4291">
        <v>249.79859999999999</v>
      </c>
      <c r="J4291">
        <v>62851</v>
      </c>
      <c r="K4291">
        <v>0.18920000000000001</v>
      </c>
      <c r="L4291">
        <v>1.5238</v>
      </c>
    </row>
    <row r="4292" spans="1:12" x14ac:dyDescent="0.25">
      <c r="A4292">
        <v>2303</v>
      </c>
      <c r="B4292" t="s">
        <v>10</v>
      </c>
      <c r="C4292" s="1">
        <v>43354</v>
      </c>
      <c r="D4292" s="2">
        <f t="shared" si="134"/>
        <v>2</v>
      </c>
      <c r="E4292" s="2">
        <f t="shared" si="135"/>
        <v>9</v>
      </c>
      <c r="F4292">
        <v>14.8864</v>
      </c>
      <c r="G4292">
        <v>15.0784</v>
      </c>
      <c r="H4292">
        <v>14.7423</v>
      </c>
      <c r="I4292">
        <v>15.0304</v>
      </c>
      <c r="J4292">
        <v>68393</v>
      </c>
      <c r="K4292">
        <v>0.64100000000000001</v>
      </c>
      <c r="L4292">
        <v>2.2801</v>
      </c>
    </row>
    <row r="4293" spans="1:12" hidden="1" x14ac:dyDescent="0.25">
      <c r="A4293">
        <v>2330</v>
      </c>
      <c r="B4293" t="s">
        <v>11</v>
      </c>
      <c r="C4293" s="1">
        <v>43354</v>
      </c>
      <c r="D4293" s="2">
        <f t="shared" si="134"/>
        <v>2</v>
      </c>
      <c r="E4293" s="2">
        <f t="shared" si="135"/>
        <v>9</v>
      </c>
      <c r="F4293">
        <v>248.3819</v>
      </c>
      <c r="G4293">
        <v>248.85409999999999</v>
      </c>
      <c r="H4293">
        <v>243.65979999999999</v>
      </c>
      <c r="I4293">
        <v>245.5487</v>
      </c>
      <c r="J4293">
        <v>44981</v>
      </c>
      <c r="K4293">
        <v>-1.716</v>
      </c>
      <c r="L4293">
        <v>2.1318000000000001</v>
      </c>
    </row>
    <row r="4294" spans="1:12" x14ac:dyDescent="0.25">
      <c r="A4294">
        <v>2303</v>
      </c>
      <c r="B4294" t="s">
        <v>10</v>
      </c>
      <c r="C4294" s="1">
        <v>43355</v>
      </c>
      <c r="D4294" s="2">
        <f t="shared" si="134"/>
        <v>3</v>
      </c>
      <c r="E4294" s="2">
        <f t="shared" si="135"/>
        <v>9</v>
      </c>
      <c r="F4294">
        <v>15.0784</v>
      </c>
      <c r="G4294">
        <v>15.1265</v>
      </c>
      <c r="H4294">
        <v>14.6943</v>
      </c>
      <c r="I4294">
        <v>14.7903</v>
      </c>
      <c r="J4294">
        <v>36269</v>
      </c>
      <c r="K4294">
        <v>-1.6103000000000001</v>
      </c>
      <c r="L4294">
        <v>2.9411999999999998</v>
      </c>
    </row>
    <row r="4295" spans="1:12" hidden="1" x14ac:dyDescent="0.25">
      <c r="A4295">
        <v>2330</v>
      </c>
      <c r="B4295" t="s">
        <v>11</v>
      </c>
      <c r="C4295" s="1">
        <v>43355</v>
      </c>
      <c r="D4295" s="2">
        <f t="shared" si="134"/>
        <v>3</v>
      </c>
      <c r="E4295" s="2">
        <f t="shared" si="135"/>
        <v>9</v>
      </c>
      <c r="F4295">
        <v>246.4931</v>
      </c>
      <c r="G4295">
        <v>247.4375</v>
      </c>
      <c r="H4295">
        <v>243.65979999999999</v>
      </c>
      <c r="I4295">
        <v>246.02090000000001</v>
      </c>
      <c r="J4295">
        <v>38415</v>
      </c>
      <c r="K4295">
        <v>0.19209999999999999</v>
      </c>
      <c r="L4295">
        <v>1.5504</v>
      </c>
    </row>
    <row r="4296" spans="1:12" x14ac:dyDescent="0.25">
      <c r="A4296">
        <v>2303</v>
      </c>
      <c r="B4296" t="s">
        <v>10</v>
      </c>
      <c r="C4296" s="1">
        <v>43356</v>
      </c>
      <c r="D4296" s="2">
        <f t="shared" si="134"/>
        <v>4</v>
      </c>
      <c r="E4296" s="2">
        <f t="shared" si="135"/>
        <v>9</v>
      </c>
      <c r="F4296">
        <v>14.7903</v>
      </c>
      <c r="G4296">
        <v>14.9824</v>
      </c>
      <c r="H4296">
        <v>14.5982</v>
      </c>
      <c r="I4296">
        <v>14.9824</v>
      </c>
      <c r="J4296">
        <v>35107</v>
      </c>
      <c r="K4296">
        <v>1.2903</v>
      </c>
      <c r="L4296">
        <v>2.6316000000000002</v>
      </c>
    </row>
    <row r="4297" spans="1:12" hidden="1" x14ac:dyDescent="0.25">
      <c r="A4297">
        <v>2330</v>
      </c>
      <c r="B4297" t="s">
        <v>11</v>
      </c>
      <c r="C4297" s="1">
        <v>43356</v>
      </c>
      <c r="D4297" s="2">
        <f t="shared" si="134"/>
        <v>4</v>
      </c>
      <c r="E4297" s="2">
        <f t="shared" si="135"/>
        <v>9</v>
      </c>
      <c r="F4297">
        <v>245.5487</v>
      </c>
      <c r="G4297">
        <v>245.5487</v>
      </c>
      <c r="H4297">
        <v>239.41</v>
      </c>
      <c r="I4297">
        <v>240.82660000000001</v>
      </c>
      <c r="J4297">
        <v>37959</v>
      </c>
      <c r="K4297">
        <v>-2.1339000000000001</v>
      </c>
      <c r="L4297">
        <v>2.5640999999999998</v>
      </c>
    </row>
    <row r="4298" spans="1:12" x14ac:dyDescent="0.25">
      <c r="A4298">
        <v>2303</v>
      </c>
      <c r="B4298" t="s">
        <v>10</v>
      </c>
      <c r="C4298" s="1">
        <v>43357</v>
      </c>
      <c r="D4298" s="2">
        <f t="shared" si="134"/>
        <v>5</v>
      </c>
      <c r="E4298" s="2">
        <f t="shared" si="135"/>
        <v>9</v>
      </c>
      <c r="F4298">
        <v>15.0784</v>
      </c>
      <c r="G4298">
        <v>15.1745</v>
      </c>
      <c r="H4298">
        <v>14.9824</v>
      </c>
      <c r="I4298">
        <v>15.0784</v>
      </c>
      <c r="J4298">
        <v>34909</v>
      </c>
      <c r="K4298">
        <v>0.63900000000000001</v>
      </c>
      <c r="L4298">
        <v>1.2821</v>
      </c>
    </row>
    <row r="4299" spans="1:12" hidden="1" x14ac:dyDescent="0.25">
      <c r="A4299">
        <v>2330</v>
      </c>
      <c r="B4299" t="s">
        <v>11</v>
      </c>
      <c r="C4299" s="1">
        <v>43357</v>
      </c>
      <c r="D4299" s="2">
        <f t="shared" si="134"/>
        <v>5</v>
      </c>
      <c r="E4299" s="2">
        <f t="shared" si="135"/>
        <v>9</v>
      </c>
      <c r="F4299">
        <v>242.71539999999999</v>
      </c>
      <c r="G4299">
        <v>246.96530000000001</v>
      </c>
      <c r="H4299">
        <v>242.71539999999999</v>
      </c>
      <c r="I4299">
        <v>246.4931</v>
      </c>
      <c r="J4299">
        <v>40034</v>
      </c>
      <c r="K4299">
        <v>2.3256999999999999</v>
      </c>
      <c r="L4299">
        <v>1.7509999999999999</v>
      </c>
    </row>
    <row r="4300" spans="1:12" x14ac:dyDescent="0.25">
      <c r="A4300">
        <v>2303</v>
      </c>
      <c r="B4300" t="s">
        <v>10</v>
      </c>
      <c r="C4300" s="1">
        <v>43360</v>
      </c>
      <c r="D4300" s="2">
        <f t="shared" si="134"/>
        <v>1</v>
      </c>
      <c r="E4300" s="2">
        <f t="shared" si="135"/>
        <v>9</v>
      </c>
      <c r="F4300">
        <v>15.0784</v>
      </c>
      <c r="G4300">
        <v>15.0784</v>
      </c>
      <c r="H4300">
        <v>14.9344</v>
      </c>
      <c r="I4300">
        <v>14.9824</v>
      </c>
      <c r="J4300">
        <v>17324</v>
      </c>
      <c r="K4300">
        <v>-0.63900000000000001</v>
      </c>
      <c r="L4300">
        <v>0.96460000000000001</v>
      </c>
    </row>
    <row r="4301" spans="1:12" hidden="1" x14ac:dyDescent="0.25">
      <c r="A4301">
        <v>2330</v>
      </c>
      <c r="B4301" t="s">
        <v>11</v>
      </c>
      <c r="C4301" s="1">
        <v>43360</v>
      </c>
      <c r="D4301" s="2">
        <f t="shared" si="134"/>
        <v>1</v>
      </c>
      <c r="E4301" s="2">
        <f t="shared" si="135"/>
        <v>9</v>
      </c>
      <c r="F4301">
        <v>247.90969999999999</v>
      </c>
      <c r="G4301">
        <v>247.90969999999999</v>
      </c>
      <c r="H4301">
        <v>242.71539999999999</v>
      </c>
      <c r="I4301">
        <v>243.65979999999999</v>
      </c>
      <c r="J4301">
        <v>25041</v>
      </c>
      <c r="K4301">
        <v>-1.1560999999999999</v>
      </c>
      <c r="L4301">
        <v>2.1400999999999999</v>
      </c>
    </row>
    <row r="4302" spans="1:12" x14ac:dyDescent="0.25">
      <c r="A4302">
        <v>2303</v>
      </c>
      <c r="B4302" t="s">
        <v>10</v>
      </c>
      <c r="C4302" s="1">
        <v>43361</v>
      </c>
      <c r="D4302" s="2">
        <f t="shared" si="134"/>
        <v>2</v>
      </c>
      <c r="E4302" s="2">
        <f t="shared" si="135"/>
        <v>9</v>
      </c>
      <c r="F4302">
        <v>14.8864</v>
      </c>
      <c r="G4302">
        <v>14.9344</v>
      </c>
      <c r="H4302">
        <v>14.5982</v>
      </c>
      <c r="I4302">
        <v>14.6943</v>
      </c>
      <c r="J4302">
        <v>26206</v>
      </c>
      <c r="K4302">
        <v>-1.9418</v>
      </c>
      <c r="L4302">
        <v>2.3026</v>
      </c>
    </row>
    <row r="4303" spans="1:12" hidden="1" x14ac:dyDescent="0.25">
      <c r="A4303">
        <v>2330</v>
      </c>
      <c r="B4303" t="s">
        <v>11</v>
      </c>
      <c r="C4303" s="1">
        <v>43361</v>
      </c>
      <c r="D4303" s="2">
        <f t="shared" si="134"/>
        <v>2</v>
      </c>
      <c r="E4303" s="2">
        <f t="shared" si="135"/>
        <v>9</v>
      </c>
      <c r="F4303">
        <v>242.2432</v>
      </c>
      <c r="G4303">
        <v>242.71539999999999</v>
      </c>
      <c r="H4303">
        <v>239.88220000000001</v>
      </c>
      <c r="I4303">
        <v>240.3544</v>
      </c>
      <c r="J4303">
        <v>34381</v>
      </c>
      <c r="K4303">
        <v>-1.3658999999999999</v>
      </c>
      <c r="L4303">
        <v>1.1811</v>
      </c>
    </row>
    <row r="4304" spans="1:12" x14ac:dyDescent="0.25">
      <c r="A4304">
        <v>2303</v>
      </c>
      <c r="B4304" t="s">
        <v>10</v>
      </c>
      <c r="C4304" s="1">
        <v>43362</v>
      </c>
      <c r="D4304" s="2">
        <f t="shared" si="134"/>
        <v>3</v>
      </c>
      <c r="E4304" s="2">
        <f t="shared" si="135"/>
        <v>9</v>
      </c>
      <c r="F4304">
        <v>14.8383</v>
      </c>
      <c r="G4304">
        <v>15.0304</v>
      </c>
      <c r="H4304">
        <v>14.7423</v>
      </c>
      <c r="I4304">
        <v>14.9824</v>
      </c>
      <c r="J4304">
        <v>31600</v>
      </c>
      <c r="K4304">
        <v>1.9418</v>
      </c>
      <c r="L4304">
        <v>1.9543999999999999</v>
      </c>
    </row>
    <row r="4305" spans="1:12" hidden="1" x14ac:dyDescent="0.25">
      <c r="A4305">
        <v>2330</v>
      </c>
      <c r="B4305" t="s">
        <v>11</v>
      </c>
      <c r="C4305" s="1">
        <v>43362</v>
      </c>
      <c r="D4305" s="2">
        <f t="shared" si="134"/>
        <v>3</v>
      </c>
      <c r="E4305" s="2">
        <f t="shared" si="135"/>
        <v>9</v>
      </c>
      <c r="F4305">
        <v>243.65979999999999</v>
      </c>
      <c r="G4305">
        <v>245.5487</v>
      </c>
      <c r="H4305">
        <v>242.71539999999999</v>
      </c>
      <c r="I4305">
        <v>243.65979999999999</v>
      </c>
      <c r="J4305">
        <v>69978</v>
      </c>
      <c r="K4305">
        <v>1.3658999999999999</v>
      </c>
      <c r="L4305">
        <v>1.1673</v>
      </c>
    </row>
    <row r="4306" spans="1:12" x14ac:dyDescent="0.25">
      <c r="A4306">
        <v>2303</v>
      </c>
      <c r="B4306" t="s">
        <v>10</v>
      </c>
      <c r="C4306" s="1">
        <v>43363</v>
      </c>
      <c r="D4306" s="2">
        <f t="shared" si="134"/>
        <v>4</v>
      </c>
      <c r="E4306" s="2">
        <f t="shared" si="135"/>
        <v>9</v>
      </c>
      <c r="F4306">
        <v>14.9824</v>
      </c>
      <c r="G4306">
        <v>14.9824</v>
      </c>
      <c r="H4306">
        <v>14.7903</v>
      </c>
      <c r="I4306">
        <v>14.8383</v>
      </c>
      <c r="J4306">
        <v>23341</v>
      </c>
      <c r="K4306">
        <v>-0.96619999999999995</v>
      </c>
      <c r="L4306">
        <v>1.2987</v>
      </c>
    </row>
    <row r="4307" spans="1:12" hidden="1" x14ac:dyDescent="0.25">
      <c r="A4307">
        <v>2330</v>
      </c>
      <c r="B4307" t="s">
        <v>11</v>
      </c>
      <c r="C4307" s="1">
        <v>43363</v>
      </c>
      <c r="D4307" s="2">
        <f t="shared" si="134"/>
        <v>4</v>
      </c>
      <c r="E4307" s="2">
        <f t="shared" si="135"/>
        <v>9</v>
      </c>
      <c r="F4307">
        <v>246.96530000000001</v>
      </c>
      <c r="G4307">
        <v>246.96530000000001</v>
      </c>
      <c r="H4307">
        <v>243.1876</v>
      </c>
      <c r="I4307">
        <v>245.5487</v>
      </c>
      <c r="J4307">
        <v>35577</v>
      </c>
      <c r="K4307">
        <v>0.7722</v>
      </c>
      <c r="L4307">
        <v>1.5533999999999999</v>
      </c>
    </row>
    <row r="4308" spans="1:12" x14ac:dyDescent="0.25">
      <c r="A4308">
        <v>2303</v>
      </c>
      <c r="B4308" t="s">
        <v>10</v>
      </c>
      <c r="C4308" s="1">
        <v>43364</v>
      </c>
      <c r="D4308" s="2">
        <f t="shared" si="134"/>
        <v>5</v>
      </c>
      <c r="E4308" s="2">
        <f t="shared" si="135"/>
        <v>9</v>
      </c>
      <c r="F4308">
        <v>14.9344</v>
      </c>
      <c r="G4308">
        <v>15.2225</v>
      </c>
      <c r="H4308">
        <v>14.8383</v>
      </c>
      <c r="I4308">
        <v>15.2225</v>
      </c>
      <c r="J4308">
        <v>45287</v>
      </c>
      <c r="K4308">
        <v>2.556</v>
      </c>
      <c r="L4308">
        <v>2.589</v>
      </c>
    </row>
    <row r="4309" spans="1:12" hidden="1" x14ac:dyDescent="0.25">
      <c r="A4309">
        <v>2330</v>
      </c>
      <c r="B4309" t="s">
        <v>11</v>
      </c>
      <c r="C4309" s="1">
        <v>43364</v>
      </c>
      <c r="D4309" s="2">
        <f t="shared" si="134"/>
        <v>5</v>
      </c>
      <c r="E4309" s="2">
        <f t="shared" si="135"/>
        <v>9</v>
      </c>
      <c r="F4309">
        <v>246.96530000000001</v>
      </c>
      <c r="G4309">
        <v>246.96530000000001</v>
      </c>
      <c r="H4309">
        <v>243.65979999999999</v>
      </c>
      <c r="I4309">
        <v>246.96530000000001</v>
      </c>
      <c r="J4309">
        <v>36500</v>
      </c>
      <c r="K4309">
        <v>0.57530000000000003</v>
      </c>
      <c r="L4309">
        <v>1.3566</v>
      </c>
    </row>
    <row r="4310" spans="1:12" x14ac:dyDescent="0.25">
      <c r="A4310">
        <v>2303</v>
      </c>
      <c r="B4310" t="s">
        <v>10</v>
      </c>
      <c r="C4310" s="1">
        <v>43368</v>
      </c>
      <c r="D4310" s="2">
        <f t="shared" si="134"/>
        <v>2</v>
      </c>
      <c r="E4310" s="2">
        <f t="shared" si="135"/>
        <v>9</v>
      </c>
      <c r="F4310">
        <v>15.2705</v>
      </c>
      <c r="G4310">
        <v>15.2705</v>
      </c>
      <c r="H4310">
        <v>14.9824</v>
      </c>
      <c r="I4310">
        <v>15.0304</v>
      </c>
      <c r="J4310">
        <v>18291</v>
      </c>
      <c r="K4310">
        <v>-1.2699</v>
      </c>
      <c r="L4310">
        <v>1.9231</v>
      </c>
    </row>
    <row r="4311" spans="1:12" hidden="1" x14ac:dyDescent="0.25">
      <c r="A4311">
        <v>2330</v>
      </c>
      <c r="B4311" t="s">
        <v>11</v>
      </c>
      <c r="C4311" s="1">
        <v>43368</v>
      </c>
      <c r="D4311" s="2">
        <f t="shared" si="134"/>
        <v>2</v>
      </c>
      <c r="E4311" s="2">
        <f t="shared" si="135"/>
        <v>9</v>
      </c>
      <c r="F4311">
        <v>246.96530000000001</v>
      </c>
      <c r="G4311">
        <v>249.32640000000001</v>
      </c>
      <c r="H4311">
        <v>246.02090000000001</v>
      </c>
      <c r="I4311">
        <v>248.85409999999999</v>
      </c>
      <c r="J4311">
        <v>24978</v>
      </c>
      <c r="K4311">
        <v>0.76190000000000002</v>
      </c>
      <c r="L4311">
        <v>1.3435999999999999</v>
      </c>
    </row>
    <row r="4312" spans="1:12" x14ac:dyDescent="0.25">
      <c r="A4312">
        <v>2303</v>
      </c>
      <c r="B4312" t="s">
        <v>10</v>
      </c>
      <c r="C4312" s="1">
        <v>43369</v>
      </c>
      <c r="D4312" s="2">
        <f t="shared" si="134"/>
        <v>3</v>
      </c>
      <c r="E4312" s="2">
        <f t="shared" si="135"/>
        <v>9</v>
      </c>
      <c r="F4312">
        <v>14.9824</v>
      </c>
      <c r="G4312">
        <v>15.2705</v>
      </c>
      <c r="H4312">
        <v>14.9824</v>
      </c>
      <c r="I4312">
        <v>15.2705</v>
      </c>
      <c r="J4312">
        <v>26348</v>
      </c>
      <c r="K4312">
        <v>1.5848</v>
      </c>
      <c r="L4312">
        <v>1.9231</v>
      </c>
    </row>
    <row r="4313" spans="1:12" hidden="1" x14ac:dyDescent="0.25">
      <c r="A4313">
        <v>2330</v>
      </c>
      <c r="B4313" t="s">
        <v>11</v>
      </c>
      <c r="C4313" s="1">
        <v>43369</v>
      </c>
      <c r="D4313" s="2">
        <f t="shared" si="134"/>
        <v>3</v>
      </c>
      <c r="E4313" s="2">
        <f t="shared" si="135"/>
        <v>9</v>
      </c>
      <c r="F4313">
        <v>248.3819</v>
      </c>
      <c r="G4313">
        <v>248.85409999999999</v>
      </c>
      <c r="H4313">
        <v>246.4931</v>
      </c>
      <c r="I4313">
        <v>248.85409999999999</v>
      </c>
      <c r="J4313">
        <v>25061</v>
      </c>
      <c r="K4313">
        <v>0</v>
      </c>
      <c r="L4313">
        <v>0.95789999999999997</v>
      </c>
    </row>
    <row r="4314" spans="1:12" x14ac:dyDescent="0.25">
      <c r="A4314">
        <v>2303</v>
      </c>
      <c r="B4314" t="s">
        <v>10</v>
      </c>
      <c r="C4314" s="1">
        <v>43370</v>
      </c>
      <c r="D4314" s="2">
        <f t="shared" si="134"/>
        <v>4</v>
      </c>
      <c r="E4314" s="2">
        <f t="shared" si="135"/>
        <v>9</v>
      </c>
      <c r="F4314">
        <v>15.1745</v>
      </c>
      <c r="G4314">
        <v>15.3666</v>
      </c>
      <c r="H4314">
        <v>15.1265</v>
      </c>
      <c r="I4314">
        <v>15.3185</v>
      </c>
      <c r="J4314">
        <v>25682</v>
      </c>
      <c r="K4314">
        <v>0.314</v>
      </c>
      <c r="L4314">
        <v>1.5872999999999999</v>
      </c>
    </row>
    <row r="4315" spans="1:12" hidden="1" x14ac:dyDescent="0.25">
      <c r="A4315">
        <v>2330</v>
      </c>
      <c r="B4315" t="s">
        <v>11</v>
      </c>
      <c r="C4315" s="1">
        <v>43370</v>
      </c>
      <c r="D4315" s="2">
        <f t="shared" si="134"/>
        <v>4</v>
      </c>
      <c r="E4315" s="2">
        <f t="shared" si="135"/>
        <v>9</v>
      </c>
      <c r="F4315">
        <v>249.32640000000001</v>
      </c>
      <c r="G4315">
        <v>251.21520000000001</v>
      </c>
      <c r="H4315">
        <v>247.4375</v>
      </c>
      <c r="I4315">
        <v>250.27080000000001</v>
      </c>
      <c r="J4315">
        <v>38495</v>
      </c>
      <c r="K4315">
        <v>0.56759999999999999</v>
      </c>
      <c r="L4315">
        <v>1.5266999999999999</v>
      </c>
    </row>
    <row r="4316" spans="1:12" x14ac:dyDescent="0.25">
      <c r="A4316">
        <v>2303</v>
      </c>
      <c r="B4316" t="s">
        <v>10</v>
      </c>
      <c r="C4316" s="1">
        <v>43371</v>
      </c>
      <c r="D4316" s="2">
        <f t="shared" si="134"/>
        <v>5</v>
      </c>
      <c r="E4316" s="2">
        <f t="shared" si="135"/>
        <v>9</v>
      </c>
      <c r="F4316">
        <v>15.2705</v>
      </c>
      <c r="G4316">
        <v>15.5106</v>
      </c>
      <c r="H4316">
        <v>15.2225</v>
      </c>
      <c r="I4316">
        <v>15.5106</v>
      </c>
      <c r="J4316">
        <v>30177</v>
      </c>
      <c r="K4316">
        <v>1.2461</v>
      </c>
      <c r="L4316">
        <v>1.8927</v>
      </c>
    </row>
    <row r="4317" spans="1:12" hidden="1" x14ac:dyDescent="0.25">
      <c r="A4317">
        <v>2330</v>
      </c>
      <c r="B4317" t="s">
        <v>11</v>
      </c>
      <c r="C4317" s="1">
        <v>43371</v>
      </c>
      <c r="D4317" s="2">
        <f t="shared" si="134"/>
        <v>5</v>
      </c>
      <c r="E4317" s="2">
        <f t="shared" si="135"/>
        <v>9</v>
      </c>
      <c r="F4317">
        <v>251.21520000000001</v>
      </c>
      <c r="G4317">
        <v>251.21520000000001</v>
      </c>
      <c r="H4317">
        <v>245.5487</v>
      </c>
      <c r="I4317">
        <v>247.90969999999999</v>
      </c>
      <c r="J4317">
        <v>39645</v>
      </c>
      <c r="K4317">
        <v>-0.94789999999999996</v>
      </c>
      <c r="L4317">
        <v>2.3077000000000001</v>
      </c>
    </row>
    <row r="4318" spans="1:12" x14ac:dyDescent="0.25">
      <c r="A4318">
        <v>2303</v>
      </c>
      <c r="B4318" t="s">
        <v>10</v>
      </c>
      <c r="C4318" s="1">
        <v>43374</v>
      </c>
      <c r="D4318" s="2">
        <f t="shared" si="134"/>
        <v>1</v>
      </c>
      <c r="E4318" s="2">
        <f t="shared" si="135"/>
        <v>10</v>
      </c>
      <c r="F4318">
        <v>15.3666</v>
      </c>
      <c r="G4318">
        <v>15.3666</v>
      </c>
      <c r="H4318">
        <v>15.2225</v>
      </c>
      <c r="I4318">
        <v>15.2705</v>
      </c>
      <c r="J4318">
        <v>12175</v>
      </c>
      <c r="K4318">
        <v>-1.5601</v>
      </c>
      <c r="L4318">
        <v>0.94640000000000002</v>
      </c>
    </row>
    <row r="4319" spans="1:12" hidden="1" x14ac:dyDescent="0.25">
      <c r="A4319">
        <v>2330</v>
      </c>
      <c r="B4319" t="s">
        <v>11</v>
      </c>
      <c r="C4319" s="1">
        <v>43374</v>
      </c>
      <c r="D4319" s="2">
        <f t="shared" si="134"/>
        <v>1</v>
      </c>
      <c r="E4319" s="2">
        <f t="shared" si="135"/>
        <v>10</v>
      </c>
      <c r="F4319">
        <v>247.4375</v>
      </c>
      <c r="G4319">
        <v>249.32640000000001</v>
      </c>
      <c r="H4319">
        <v>246.4931</v>
      </c>
      <c r="I4319">
        <v>248.3819</v>
      </c>
      <c r="J4319">
        <v>22409</v>
      </c>
      <c r="K4319">
        <v>0.1903</v>
      </c>
      <c r="L4319">
        <v>1.1494</v>
      </c>
    </row>
    <row r="4320" spans="1:12" x14ac:dyDescent="0.25">
      <c r="A4320">
        <v>2303</v>
      </c>
      <c r="B4320" t="s">
        <v>10</v>
      </c>
      <c r="C4320" s="1">
        <v>43375</v>
      </c>
      <c r="D4320" s="2">
        <f t="shared" si="134"/>
        <v>2</v>
      </c>
      <c r="E4320" s="2">
        <f t="shared" si="135"/>
        <v>10</v>
      </c>
      <c r="F4320">
        <v>15.2225</v>
      </c>
      <c r="G4320">
        <v>15.3185</v>
      </c>
      <c r="H4320">
        <v>14.9824</v>
      </c>
      <c r="I4320">
        <v>14.9824</v>
      </c>
      <c r="J4320">
        <v>15619</v>
      </c>
      <c r="K4320">
        <v>-1.9048</v>
      </c>
      <c r="L4320">
        <v>2.2435999999999998</v>
      </c>
    </row>
    <row r="4321" spans="1:12" hidden="1" x14ac:dyDescent="0.25">
      <c r="A4321">
        <v>2330</v>
      </c>
      <c r="B4321" t="s">
        <v>11</v>
      </c>
      <c r="C4321" s="1">
        <v>43375</v>
      </c>
      <c r="D4321" s="2">
        <f t="shared" si="134"/>
        <v>2</v>
      </c>
      <c r="E4321" s="2">
        <f t="shared" si="135"/>
        <v>10</v>
      </c>
      <c r="F4321">
        <v>247.4375</v>
      </c>
      <c r="G4321">
        <v>248.3819</v>
      </c>
      <c r="H4321">
        <v>242.71539999999999</v>
      </c>
      <c r="I4321">
        <v>243.1876</v>
      </c>
      <c r="J4321">
        <v>38391</v>
      </c>
      <c r="K4321">
        <v>-2.1133999999999999</v>
      </c>
      <c r="L4321">
        <v>2.3346</v>
      </c>
    </row>
    <row r="4322" spans="1:12" x14ac:dyDescent="0.25">
      <c r="A4322">
        <v>2303</v>
      </c>
      <c r="B4322" t="s">
        <v>10</v>
      </c>
      <c r="C4322" s="1">
        <v>43376</v>
      </c>
      <c r="D4322" s="2">
        <f t="shared" si="134"/>
        <v>3</v>
      </c>
      <c r="E4322" s="2">
        <f t="shared" si="135"/>
        <v>10</v>
      </c>
      <c r="F4322">
        <v>14.9824</v>
      </c>
      <c r="G4322">
        <v>15.0784</v>
      </c>
      <c r="H4322">
        <v>14.8383</v>
      </c>
      <c r="I4322">
        <v>14.8864</v>
      </c>
      <c r="J4322">
        <v>17982</v>
      </c>
      <c r="K4322">
        <v>-0.6431</v>
      </c>
      <c r="L4322">
        <v>1.6181000000000001</v>
      </c>
    </row>
    <row r="4323" spans="1:12" hidden="1" x14ac:dyDescent="0.25">
      <c r="A4323">
        <v>2330</v>
      </c>
      <c r="B4323" t="s">
        <v>11</v>
      </c>
      <c r="C4323" s="1">
        <v>43376</v>
      </c>
      <c r="D4323" s="2">
        <f t="shared" si="134"/>
        <v>3</v>
      </c>
      <c r="E4323" s="2">
        <f t="shared" si="135"/>
        <v>10</v>
      </c>
      <c r="F4323">
        <v>243.1876</v>
      </c>
      <c r="G4323">
        <v>245.5487</v>
      </c>
      <c r="H4323">
        <v>242.71539999999999</v>
      </c>
      <c r="I4323">
        <v>245.5487</v>
      </c>
      <c r="J4323">
        <v>25228</v>
      </c>
      <c r="K4323">
        <v>0.96619999999999995</v>
      </c>
      <c r="L4323">
        <v>1.1673</v>
      </c>
    </row>
    <row r="4324" spans="1:12" x14ac:dyDescent="0.25">
      <c r="A4324">
        <v>2303</v>
      </c>
      <c r="B4324" t="s">
        <v>10</v>
      </c>
      <c r="C4324" s="1">
        <v>43377</v>
      </c>
      <c r="D4324" s="2">
        <f t="shared" si="134"/>
        <v>4</v>
      </c>
      <c r="E4324" s="2">
        <f t="shared" si="135"/>
        <v>10</v>
      </c>
      <c r="F4324">
        <v>14.7903</v>
      </c>
      <c r="G4324">
        <v>14.8383</v>
      </c>
      <c r="H4324">
        <v>14.4542</v>
      </c>
      <c r="I4324">
        <v>14.5022</v>
      </c>
      <c r="J4324">
        <v>48764</v>
      </c>
      <c r="K4324">
        <v>-2.6145</v>
      </c>
      <c r="L4324">
        <v>2.6577999999999999</v>
      </c>
    </row>
    <row r="4325" spans="1:12" hidden="1" x14ac:dyDescent="0.25">
      <c r="A4325">
        <v>2330</v>
      </c>
      <c r="B4325" t="s">
        <v>11</v>
      </c>
      <c r="C4325" s="1">
        <v>43377</v>
      </c>
      <c r="D4325" s="2">
        <f t="shared" si="134"/>
        <v>4</v>
      </c>
      <c r="E4325" s="2">
        <f t="shared" si="135"/>
        <v>10</v>
      </c>
      <c r="F4325">
        <v>242.71539999999999</v>
      </c>
      <c r="G4325">
        <v>243.1876</v>
      </c>
      <c r="H4325">
        <v>239.88220000000001</v>
      </c>
      <c r="I4325">
        <v>239.88220000000001</v>
      </c>
      <c r="J4325">
        <v>38009</v>
      </c>
      <c r="K4325">
        <v>-2.3347000000000002</v>
      </c>
      <c r="L4325">
        <v>1.3779999999999999</v>
      </c>
    </row>
    <row r="4326" spans="1:12" x14ac:dyDescent="0.25">
      <c r="A4326">
        <v>2303</v>
      </c>
      <c r="B4326" t="s">
        <v>10</v>
      </c>
      <c r="C4326" s="1">
        <v>43378</v>
      </c>
      <c r="D4326" s="2">
        <f t="shared" si="134"/>
        <v>5</v>
      </c>
      <c r="E4326" s="2">
        <f t="shared" si="135"/>
        <v>10</v>
      </c>
      <c r="F4326">
        <v>14.4062</v>
      </c>
      <c r="G4326">
        <v>14.5022</v>
      </c>
      <c r="H4326">
        <v>14.022</v>
      </c>
      <c r="I4326">
        <v>14.118</v>
      </c>
      <c r="J4326">
        <v>57497</v>
      </c>
      <c r="K4326">
        <v>-2.6846999999999999</v>
      </c>
      <c r="L4326">
        <v>3.4247000000000001</v>
      </c>
    </row>
    <row r="4327" spans="1:12" hidden="1" x14ac:dyDescent="0.25">
      <c r="A4327">
        <v>2330</v>
      </c>
      <c r="B4327" t="s">
        <v>11</v>
      </c>
      <c r="C4327" s="1">
        <v>43378</v>
      </c>
      <c r="D4327" s="2">
        <f t="shared" si="134"/>
        <v>5</v>
      </c>
      <c r="E4327" s="2">
        <f t="shared" si="135"/>
        <v>10</v>
      </c>
      <c r="F4327">
        <v>236.1045</v>
      </c>
      <c r="G4327">
        <v>238.93780000000001</v>
      </c>
      <c r="H4327">
        <v>234.68790000000001</v>
      </c>
      <c r="I4327">
        <v>236.1045</v>
      </c>
      <c r="J4327">
        <v>40396</v>
      </c>
      <c r="K4327">
        <v>-1.5872999999999999</v>
      </c>
      <c r="L4327">
        <v>1.8109</v>
      </c>
    </row>
    <row r="4328" spans="1:12" x14ac:dyDescent="0.25">
      <c r="A4328">
        <v>2303</v>
      </c>
      <c r="B4328" t="s">
        <v>10</v>
      </c>
      <c r="C4328" s="1">
        <v>43381</v>
      </c>
      <c r="D4328" s="2">
        <f t="shared" si="134"/>
        <v>1</v>
      </c>
      <c r="E4328" s="2">
        <f t="shared" si="135"/>
        <v>10</v>
      </c>
      <c r="F4328">
        <v>14.07</v>
      </c>
      <c r="G4328">
        <v>14.2621</v>
      </c>
      <c r="H4328">
        <v>14.07</v>
      </c>
      <c r="I4328">
        <v>14.2141</v>
      </c>
      <c r="J4328">
        <v>21627</v>
      </c>
      <c r="K4328">
        <v>0.67800000000000005</v>
      </c>
      <c r="L4328">
        <v>1.3652</v>
      </c>
    </row>
    <row r="4329" spans="1:12" hidden="1" x14ac:dyDescent="0.25">
      <c r="A4329">
        <v>2330</v>
      </c>
      <c r="B4329" t="s">
        <v>11</v>
      </c>
      <c r="C4329" s="1">
        <v>43381</v>
      </c>
      <c r="D4329" s="2">
        <f t="shared" si="134"/>
        <v>1</v>
      </c>
      <c r="E4329" s="2">
        <f t="shared" si="135"/>
        <v>10</v>
      </c>
      <c r="F4329">
        <v>231.8546</v>
      </c>
      <c r="G4329">
        <v>232.79900000000001</v>
      </c>
      <c r="H4329">
        <v>227.60470000000001</v>
      </c>
      <c r="I4329">
        <v>229.9658</v>
      </c>
      <c r="J4329">
        <v>51083</v>
      </c>
      <c r="K4329">
        <v>-2.6343999999999999</v>
      </c>
      <c r="L4329">
        <v>2.2822</v>
      </c>
    </row>
    <row r="4330" spans="1:12" x14ac:dyDescent="0.25">
      <c r="A4330">
        <v>2303</v>
      </c>
      <c r="B4330" t="s">
        <v>10</v>
      </c>
      <c r="C4330" s="1">
        <v>43382</v>
      </c>
      <c r="D4330" s="2">
        <f t="shared" si="134"/>
        <v>2</v>
      </c>
      <c r="E4330" s="2">
        <f t="shared" si="135"/>
        <v>10</v>
      </c>
      <c r="F4330">
        <v>14.2141</v>
      </c>
      <c r="G4330">
        <v>14.2621</v>
      </c>
      <c r="H4330">
        <v>13.7339</v>
      </c>
      <c r="I4330">
        <v>14.2141</v>
      </c>
      <c r="J4330">
        <v>48875</v>
      </c>
      <c r="K4330">
        <v>0</v>
      </c>
      <c r="L4330">
        <v>3.8462000000000001</v>
      </c>
    </row>
    <row r="4331" spans="1:12" hidden="1" x14ac:dyDescent="0.25">
      <c r="A4331">
        <v>2330</v>
      </c>
      <c r="B4331" t="s">
        <v>11</v>
      </c>
      <c r="C4331" s="1">
        <v>43382</v>
      </c>
      <c r="D4331" s="2">
        <f t="shared" si="134"/>
        <v>2</v>
      </c>
      <c r="E4331" s="2">
        <f t="shared" si="135"/>
        <v>10</v>
      </c>
      <c r="F4331">
        <v>229.9658</v>
      </c>
      <c r="G4331">
        <v>231.38239999999999</v>
      </c>
      <c r="H4331">
        <v>228.54920000000001</v>
      </c>
      <c r="I4331">
        <v>230.43799999999999</v>
      </c>
      <c r="J4331">
        <v>28933</v>
      </c>
      <c r="K4331">
        <v>0.2051</v>
      </c>
      <c r="L4331">
        <v>1.2397</v>
      </c>
    </row>
    <row r="4332" spans="1:12" x14ac:dyDescent="0.25">
      <c r="A4332">
        <v>2303</v>
      </c>
      <c r="B4332" t="s">
        <v>10</v>
      </c>
      <c r="C4332" s="1">
        <v>43384</v>
      </c>
      <c r="D4332" s="2">
        <f t="shared" si="134"/>
        <v>4</v>
      </c>
      <c r="E4332" s="2">
        <f t="shared" si="135"/>
        <v>10</v>
      </c>
      <c r="F4332">
        <v>13.4457</v>
      </c>
      <c r="G4332">
        <v>13.6858</v>
      </c>
      <c r="H4332">
        <v>13.1096</v>
      </c>
      <c r="I4332">
        <v>13.2056</v>
      </c>
      <c r="J4332">
        <v>121302</v>
      </c>
      <c r="K4332">
        <v>-7.3587999999999996</v>
      </c>
      <c r="L4332">
        <v>4.3956</v>
      </c>
    </row>
    <row r="4333" spans="1:12" hidden="1" x14ac:dyDescent="0.25">
      <c r="A4333">
        <v>2330</v>
      </c>
      <c r="B4333" t="s">
        <v>11</v>
      </c>
      <c r="C4333" s="1">
        <v>43384</v>
      </c>
      <c r="D4333" s="2">
        <f t="shared" si="134"/>
        <v>4</v>
      </c>
      <c r="E4333" s="2">
        <f t="shared" si="135"/>
        <v>10</v>
      </c>
      <c r="F4333">
        <v>220.52160000000001</v>
      </c>
      <c r="G4333">
        <v>220.52160000000001</v>
      </c>
      <c r="H4333">
        <v>214.38290000000001</v>
      </c>
      <c r="I4333">
        <v>214.85509999999999</v>
      </c>
      <c r="J4333">
        <v>96033</v>
      </c>
      <c r="K4333">
        <v>-7.0018000000000002</v>
      </c>
      <c r="L4333">
        <v>2.8633999999999999</v>
      </c>
    </row>
    <row r="4334" spans="1:12" x14ac:dyDescent="0.25">
      <c r="A4334">
        <v>2303</v>
      </c>
      <c r="B4334" t="s">
        <v>10</v>
      </c>
      <c r="C4334" s="1">
        <v>43385</v>
      </c>
      <c r="D4334" s="2">
        <f t="shared" si="134"/>
        <v>5</v>
      </c>
      <c r="E4334" s="2">
        <f t="shared" si="135"/>
        <v>10</v>
      </c>
      <c r="F4334">
        <v>13.1096</v>
      </c>
      <c r="G4334">
        <v>13.4938</v>
      </c>
      <c r="H4334">
        <v>13.1096</v>
      </c>
      <c r="I4334">
        <v>13.1096</v>
      </c>
      <c r="J4334">
        <v>101810</v>
      </c>
      <c r="K4334">
        <v>-0.72989999999999999</v>
      </c>
      <c r="L4334">
        <v>2.9304000000000001</v>
      </c>
    </row>
    <row r="4335" spans="1:12" hidden="1" x14ac:dyDescent="0.25">
      <c r="A4335">
        <v>2330</v>
      </c>
      <c r="B4335" t="s">
        <v>11</v>
      </c>
      <c r="C4335" s="1">
        <v>43385</v>
      </c>
      <c r="D4335" s="2">
        <f t="shared" si="134"/>
        <v>5</v>
      </c>
      <c r="E4335" s="2">
        <f t="shared" si="135"/>
        <v>10</v>
      </c>
      <c r="F4335">
        <v>218.16059999999999</v>
      </c>
      <c r="G4335">
        <v>223.8271</v>
      </c>
      <c r="H4335">
        <v>216.27170000000001</v>
      </c>
      <c r="I4335">
        <v>223.8271</v>
      </c>
      <c r="J4335">
        <v>54439</v>
      </c>
      <c r="K4335">
        <v>4.0910000000000002</v>
      </c>
      <c r="L4335">
        <v>3.4933999999999998</v>
      </c>
    </row>
    <row r="4336" spans="1:12" x14ac:dyDescent="0.25">
      <c r="A4336">
        <v>2303</v>
      </c>
      <c r="B4336" t="s">
        <v>10</v>
      </c>
      <c r="C4336" s="1">
        <v>43388</v>
      </c>
      <c r="D4336" s="2">
        <f t="shared" si="134"/>
        <v>1</v>
      </c>
      <c r="E4336" s="2">
        <f t="shared" si="135"/>
        <v>10</v>
      </c>
      <c r="F4336">
        <v>13.0136</v>
      </c>
      <c r="G4336">
        <v>13.1096</v>
      </c>
      <c r="H4336">
        <v>12.8215</v>
      </c>
      <c r="I4336">
        <v>12.8215</v>
      </c>
      <c r="J4336">
        <v>66024</v>
      </c>
      <c r="K4336">
        <v>-2.2223000000000002</v>
      </c>
      <c r="L4336">
        <v>2.2471999999999999</v>
      </c>
    </row>
    <row r="4337" spans="1:12" hidden="1" x14ac:dyDescent="0.25">
      <c r="A4337">
        <v>2330</v>
      </c>
      <c r="B4337" t="s">
        <v>11</v>
      </c>
      <c r="C4337" s="1">
        <v>43388</v>
      </c>
      <c r="D4337" s="2">
        <f t="shared" si="134"/>
        <v>1</v>
      </c>
      <c r="E4337" s="2">
        <f t="shared" si="135"/>
        <v>10</v>
      </c>
      <c r="F4337">
        <v>220.99379999999999</v>
      </c>
      <c r="G4337">
        <v>220.99379999999999</v>
      </c>
      <c r="H4337">
        <v>217.6883</v>
      </c>
      <c r="I4337">
        <v>217.6883</v>
      </c>
      <c r="J4337">
        <v>46471</v>
      </c>
      <c r="K4337">
        <v>-2.7808999999999999</v>
      </c>
      <c r="L4337">
        <v>1.5184</v>
      </c>
    </row>
    <row r="4338" spans="1:12" x14ac:dyDescent="0.25">
      <c r="A4338">
        <v>2303</v>
      </c>
      <c r="B4338" t="s">
        <v>10</v>
      </c>
      <c r="C4338" s="1">
        <v>43389</v>
      </c>
      <c r="D4338" s="2">
        <f t="shared" si="134"/>
        <v>2</v>
      </c>
      <c r="E4338" s="2">
        <f t="shared" si="135"/>
        <v>10</v>
      </c>
      <c r="F4338">
        <v>12.8215</v>
      </c>
      <c r="G4338">
        <v>12.9655</v>
      </c>
      <c r="H4338">
        <v>12.5814</v>
      </c>
      <c r="I4338">
        <v>12.6774</v>
      </c>
      <c r="J4338">
        <v>66044</v>
      </c>
      <c r="K4338">
        <v>-1.1299999999999999</v>
      </c>
      <c r="L4338">
        <v>3.0533999999999999</v>
      </c>
    </row>
    <row r="4339" spans="1:12" hidden="1" x14ac:dyDescent="0.25">
      <c r="A4339">
        <v>2330</v>
      </c>
      <c r="B4339" t="s">
        <v>11</v>
      </c>
      <c r="C4339" s="1">
        <v>43389</v>
      </c>
      <c r="D4339" s="2">
        <f t="shared" si="134"/>
        <v>2</v>
      </c>
      <c r="E4339" s="2">
        <f t="shared" si="135"/>
        <v>10</v>
      </c>
      <c r="F4339">
        <v>216.7439</v>
      </c>
      <c r="G4339">
        <v>223.8271</v>
      </c>
      <c r="H4339">
        <v>216.27170000000001</v>
      </c>
      <c r="I4339">
        <v>223.8271</v>
      </c>
      <c r="J4339">
        <v>39129</v>
      </c>
      <c r="K4339">
        <v>2.7808999999999999</v>
      </c>
      <c r="L4339">
        <v>3.4933999999999998</v>
      </c>
    </row>
    <row r="4340" spans="1:12" x14ac:dyDescent="0.25">
      <c r="A4340">
        <v>2303</v>
      </c>
      <c r="B4340" t="s">
        <v>10</v>
      </c>
      <c r="C4340" s="1">
        <v>43390</v>
      </c>
      <c r="D4340" s="2">
        <f t="shared" si="134"/>
        <v>3</v>
      </c>
      <c r="E4340" s="2">
        <f t="shared" si="135"/>
        <v>10</v>
      </c>
      <c r="F4340">
        <v>12.9175</v>
      </c>
      <c r="G4340">
        <v>13.0616</v>
      </c>
      <c r="H4340">
        <v>12.8215</v>
      </c>
      <c r="I4340">
        <v>13.0616</v>
      </c>
      <c r="J4340">
        <v>50915</v>
      </c>
      <c r="K4340">
        <v>2.9853000000000001</v>
      </c>
      <c r="L4340">
        <v>1.8727</v>
      </c>
    </row>
    <row r="4341" spans="1:12" hidden="1" x14ac:dyDescent="0.25">
      <c r="A4341">
        <v>2330</v>
      </c>
      <c r="B4341" t="s">
        <v>11</v>
      </c>
      <c r="C4341" s="1">
        <v>43390</v>
      </c>
      <c r="D4341" s="2">
        <f t="shared" si="134"/>
        <v>3</v>
      </c>
      <c r="E4341" s="2">
        <f t="shared" si="135"/>
        <v>10</v>
      </c>
      <c r="F4341">
        <v>228.07689999999999</v>
      </c>
      <c r="G4341">
        <v>229.49359999999999</v>
      </c>
      <c r="H4341">
        <v>224.7715</v>
      </c>
      <c r="I4341">
        <v>225.24369999999999</v>
      </c>
      <c r="J4341">
        <v>42887</v>
      </c>
      <c r="K4341">
        <v>0.63090000000000002</v>
      </c>
      <c r="L4341">
        <v>2.1008</v>
      </c>
    </row>
    <row r="4342" spans="1:12" x14ac:dyDescent="0.25">
      <c r="A4342">
        <v>2303</v>
      </c>
      <c r="B4342" t="s">
        <v>10</v>
      </c>
      <c r="C4342" s="1">
        <v>43391</v>
      </c>
      <c r="D4342" s="2">
        <f t="shared" si="134"/>
        <v>4</v>
      </c>
      <c r="E4342" s="2">
        <f t="shared" si="135"/>
        <v>10</v>
      </c>
      <c r="F4342">
        <v>13.0616</v>
      </c>
      <c r="G4342">
        <v>13.1096</v>
      </c>
      <c r="H4342">
        <v>12.6774</v>
      </c>
      <c r="I4342">
        <v>12.7254</v>
      </c>
      <c r="J4342">
        <v>48154</v>
      </c>
      <c r="K4342">
        <v>-2.6072000000000002</v>
      </c>
      <c r="L4342">
        <v>3.4091</v>
      </c>
    </row>
    <row r="4343" spans="1:12" hidden="1" x14ac:dyDescent="0.25">
      <c r="A4343">
        <v>2330</v>
      </c>
      <c r="B4343" t="s">
        <v>11</v>
      </c>
      <c r="C4343" s="1">
        <v>43391</v>
      </c>
      <c r="D4343" s="2">
        <f t="shared" si="134"/>
        <v>4</v>
      </c>
      <c r="E4343" s="2">
        <f t="shared" si="135"/>
        <v>10</v>
      </c>
      <c r="F4343">
        <v>224.7715</v>
      </c>
      <c r="G4343">
        <v>225.7159</v>
      </c>
      <c r="H4343">
        <v>222.41040000000001</v>
      </c>
      <c r="I4343">
        <v>223.35489999999999</v>
      </c>
      <c r="J4343">
        <v>27793</v>
      </c>
      <c r="K4343">
        <v>-0.84209999999999996</v>
      </c>
      <c r="L4343">
        <v>1.4862</v>
      </c>
    </row>
    <row r="4344" spans="1:12" x14ac:dyDescent="0.25">
      <c r="A4344">
        <v>2303</v>
      </c>
      <c r="B4344" t="s">
        <v>10</v>
      </c>
      <c r="C4344" s="1">
        <v>43392</v>
      </c>
      <c r="D4344" s="2">
        <f t="shared" si="134"/>
        <v>5</v>
      </c>
      <c r="E4344" s="2">
        <f t="shared" si="135"/>
        <v>10</v>
      </c>
      <c r="F4344">
        <v>12.5814</v>
      </c>
      <c r="G4344">
        <v>12.9175</v>
      </c>
      <c r="H4344">
        <v>12.485300000000001</v>
      </c>
      <c r="I4344">
        <v>12.7735</v>
      </c>
      <c r="J4344">
        <v>94342</v>
      </c>
      <c r="K4344">
        <v>0.37659999999999999</v>
      </c>
      <c r="L4344">
        <v>3.4615</v>
      </c>
    </row>
    <row r="4345" spans="1:12" hidden="1" x14ac:dyDescent="0.25">
      <c r="A4345">
        <v>2330</v>
      </c>
      <c r="B4345" t="s">
        <v>11</v>
      </c>
      <c r="C4345" s="1">
        <v>43392</v>
      </c>
      <c r="D4345" s="2">
        <f t="shared" si="134"/>
        <v>5</v>
      </c>
      <c r="E4345" s="2">
        <f t="shared" si="135"/>
        <v>10</v>
      </c>
      <c r="F4345">
        <v>218.16059999999999</v>
      </c>
      <c r="G4345">
        <v>223.35489999999999</v>
      </c>
      <c r="H4345">
        <v>217.21610000000001</v>
      </c>
      <c r="I4345">
        <v>222.8826</v>
      </c>
      <c r="J4345">
        <v>29648</v>
      </c>
      <c r="K4345">
        <v>-0.21160000000000001</v>
      </c>
      <c r="L4345">
        <v>2.8260999999999998</v>
      </c>
    </row>
    <row r="4346" spans="1:12" x14ac:dyDescent="0.25">
      <c r="A4346">
        <v>2303</v>
      </c>
      <c r="B4346" t="s">
        <v>10</v>
      </c>
      <c r="C4346" s="1">
        <v>43395</v>
      </c>
      <c r="D4346" s="2">
        <f t="shared" si="134"/>
        <v>1</v>
      </c>
      <c r="E4346" s="2">
        <f t="shared" si="135"/>
        <v>10</v>
      </c>
      <c r="F4346">
        <v>12.6774</v>
      </c>
      <c r="G4346">
        <v>12.6774</v>
      </c>
      <c r="H4346">
        <v>12.485300000000001</v>
      </c>
      <c r="I4346">
        <v>12.5814</v>
      </c>
      <c r="J4346">
        <v>55534</v>
      </c>
      <c r="K4346">
        <v>-1.5152000000000001</v>
      </c>
      <c r="L4346">
        <v>1.5385</v>
      </c>
    </row>
    <row r="4347" spans="1:12" hidden="1" x14ac:dyDescent="0.25">
      <c r="A4347">
        <v>2330</v>
      </c>
      <c r="B4347" t="s">
        <v>11</v>
      </c>
      <c r="C4347" s="1">
        <v>43395</v>
      </c>
      <c r="D4347" s="2">
        <f t="shared" si="134"/>
        <v>1</v>
      </c>
      <c r="E4347" s="2">
        <f t="shared" si="135"/>
        <v>10</v>
      </c>
      <c r="F4347">
        <v>219.5772</v>
      </c>
      <c r="G4347">
        <v>224.7715</v>
      </c>
      <c r="H4347">
        <v>218.6328</v>
      </c>
      <c r="I4347">
        <v>223.8271</v>
      </c>
      <c r="J4347">
        <v>29275</v>
      </c>
      <c r="K4347">
        <v>0.42280000000000001</v>
      </c>
      <c r="L4347">
        <v>2.8077999999999999</v>
      </c>
    </row>
    <row r="4348" spans="1:12" x14ac:dyDescent="0.25">
      <c r="A4348">
        <v>2303</v>
      </c>
      <c r="B4348" t="s">
        <v>10</v>
      </c>
      <c r="C4348" s="1">
        <v>43396</v>
      </c>
      <c r="D4348" s="2">
        <f t="shared" si="134"/>
        <v>2</v>
      </c>
      <c r="E4348" s="2">
        <f t="shared" si="135"/>
        <v>10</v>
      </c>
      <c r="F4348">
        <v>12.5334</v>
      </c>
      <c r="G4348">
        <v>12.5334</v>
      </c>
      <c r="H4348">
        <v>12.1972</v>
      </c>
      <c r="I4348">
        <v>12.245200000000001</v>
      </c>
      <c r="J4348">
        <v>47902</v>
      </c>
      <c r="K4348">
        <v>-2.7081</v>
      </c>
      <c r="L4348">
        <v>2.7559</v>
      </c>
    </row>
    <row r="4349" spans="1:12" hidden="1" x14ac:dyDescent="0.25">
      <c r="A4349">
        <v>2330</v>
      </c>
      <c r="B4349" t="s">
        <v>11</v>
      </c>
      <c r="C4349" s="1">
        <v>43396</v>
      </c>
      <c r="D4349" s="2">
        <f t="shared" si="134"/>
        <v>2</v>
      </c>
      <c r="E4349" s="2">
        <f t="shared" si="135"/>
        <v>10</v>
      </c>
      <c r="F4349">
        <v>219.10499999999999</v>
      </c>
      <c r="G4349">
        <v>220.99379999999999</v>
      </c>
      <c r="H4349">
        <v>217.21610000000001</v>
      </c>
      <c r="I4349">
        <v>217.21610000000001</v>
      </c>
      <c r="J4349">
        <v>36757</v>
      </c>
      <c r="K4349">
        <v>-2.9981</v>
      </c>
      <c r="L4349">
        <v>1.7391000000000001</v>
      </c>
    </row>
    <row r="4350" spans="1:12" x14ac:dyDescent="0.25">
      <c r="A4350">
        <v>2303</v>
      </c>
      <c r="B4350" t="s">
        <v>10</v>
      </c>
      <c r="C4350" s="1">
        <v>43397</v>
      </c>
      <c r="D4350" s="2">
        <f t="shared" si="134"/>
        <v>3</v>
      </c>
      <c r="E4350" s="2">
        <f t="shared" si="135"/>
        <v>10</v>
      </c>
      <c r="F4350">
        <v>12.245200000000001</v>
      </c>
      <c r="G4350">
        <v>12.485300000000001</v>
      </c>
      <c r="H4350">
        <v>12.005100000000001</v>
      </c>
      <c r="I4350">
        <v>12.1492</v>
      </c>
      <c r="J4350">
        <v>63429</v>
      </c>
      <c r="K4350">
        <v>-0.78739999999999999</v>
      </c>
      <c r="L4350">
        <v>4</v>
      </c>
    </row>
    <row r="4351" spans="1:12" hidden="1" x14ac:dyDescent="0.25">
      <c r="A4351">
        <v>2330</v>
      </c>
      <c r="B4351" t="s">
        <v>11</v>
      </c>
      <c r="C4351" s="1">
        <v>43397</v>
      </c>
      <c r="D4351" s="2">
        <f t="shared" si="134"/>
        <v>3</v>
      </c>
      <c r="E4351" s="2">
        <f t="shared" si="135"/>
        <v>10</v>
      </c>
      <c r="F4351">
        <v>217.21610000000001</v>
      </c>
      <c r="G4351">
        <v>218.16059999999999</v>
      </c>
      <c r="H4351">
        <v>214.38290000000001</v>
      </c>
      <c r="I4351">
        <v>216.7439</v>
      </c>
      <c r="J4351">
        <v>45480</v>
      </c>
      <c r="K4351">
        <v>-0.21759999999999999</v>
      </c>
      <c r="L4351">
        <v>1.7621</v>
      </c>
    </row>
    <row r="4352" spans="1:12" x14ac:dyDescent="0.25">
      <c r="A4352">
        <v>2303</v>
      </c>
      <c r="B4352" t="s">
        <v>10</v>
      </c>
      <c r="C4352" s="1">
        <v>43398</v>
      </c>
      <c r="D4352" s="2">
        <f t="shared" si="134"/>
        <v>4</v>
      </c>
      <c r="E4352" s="2">
        <f t="shared" si="135"/>
        <v>10</v>
      </c>
      <c r="F4352">
        <v>11.428900000000001</v>
      </c>
      <c r="G4352">
        <v>11.9091</v>
      </c>
      <c r="H4352">
        <v>11.3809</v>
      </c>
      <c r="I4352">
        <v>11.813000000000001</v>
      </c>
      <c r="J4352">
        <v>75059</v>
      </c>
      <c r="K4352">
        <v>-2.8058000000000001</v>
      </c>
      <c r="L4352">
        <v>4.6414</v>
      </c>
    </row>
    <row r="4353" spans="1:12" hidden="1" x14ac:dyDescent="0.25">
      <c r="A4353">
        <v>2330</v>
      </c>
      <c r="B4353" t="s">
        <v>11</v>
      </c>
      <c r="C4353" s="1">
        <v>43398</v>
      </c>
      <c r="D4353" s="2">
        <f t="shared" si="134"/>
        <v>4</v>
      </c>
      <c r="E4353" s="2">
        <f t="shared" si="135"/>
        <v>10</v>
      </c>
      <c r="F4353">
        <v>208.24420000000001</v>
      </c>
      <c r="G4353">
        <v>209.66079999999999</v>
      </c>
      <c r="H4353">
        <v>207.2998</v>
      </c>
      <c r="I4353">
        <v>207.2998</v>
      </c>
      <c r="J4353">
        <v>75524</v>
      </c>
      <c r="K4353">
        <v>-4.4550999999999998</v>
      </c>
      <c r="L4353">
        <v>1.139</v>
      </c>
    </row>
    <row r="4354" spans="1:12" x14ac:dyDescent="0.25">
      <c r="A4354">
        <v>2303</v>
      </c>
      <c r="B4354" t="s">
        <v>10</v>
      </c>
      <c r="C4354" s="1">
        <v>43399</v>
      </c>
      <c r="D4354" s="2">
        <f t="shared" si="134"/>
        <v>5</v>
      </c>
      <c r="E4354" s="2">
        <f t="shared" si="135"/>
        <v>10</v>
      </c>
      <c r="F4354">
        <v>11.524900000000001</v>
      </c>
      <c r="G4354">
        <v>11.572900000000001</v>
      </c>
      <c r="H4354">
        <v>11.1408</v>
      </c>
      <c r="I4354">
        <v>11.236800000000001</v>
      </c>
      <c r="J4354">
        <v>135893</v>
      </c>
      <c r="K4354">
        <v>-5.0010000000000003</v>
      </c>
      <c r="L4354">
        <v>3.8793000000000002</v>
      </c>
    </row>
    <row r="4355" spans="1:12" hidden="1" x14ac:dyDescent="0.25">
      <c r="A4355">
        <v>2330</v>
      </c>
      <c r="B4355" t="s">
        <v>11</v>
      </c>
      <c r="C4355" s="1">
        <v>43399</v>
      </c>
      <c r="D4355" s="2">
        <f t="shared" ref="D4355:D4418" si="136">WEEKDAY(C4355,2)</f>
        <v>5</v>
      </c>
      <c r="E4355" s="2">
        <f t="shared" ref="E4355:E4418" si="137">MONTH(C4355)</f>
        <v>10</v>
      </c>
      <c r="F4355">
        <v>210.6052</v>
      </c>
      <c r="G4355">
        <v>211.5496</v>
      </c>
      <c r="H4355">
        <v>204.93870000000001</v>
      </c>
      <c r="I4355">
        <v>208.71639999999999</v>
      </c>
      <c r="J4355">
        <v>54073</v>
      </c>
      <c r="K4355">
        <v>0.68100000000000005</v>
      </c>
      <c r="L4355">
        <v>3.2258</v>
      </c>
    </row>
    <row r="4356" spans="1:12" x14ac:dyDescent="0.25">
      <c r="A4356">
        <v>2303</v>
      </c>
      <c r="B4356" t="s">
        <v>10</v>
      </c>
      <c r="C4356" s="1">
        <v>43402</v>
      </c>
      <c r="D4356" s="2">
        <f t="shared" si="136"/>
        <v>1</v>
      </c>
      <c r="E4356" s="2">
        <f t="shared" si="137"/>
        <v>10</v>
      </c>
      <c r="F4356">
        <v>11.044700000000001</v>
      </c>
      <c r="G4356">
        <v>11.332800000000001</v>
      </c>
      <c r="H4356">
        <v>11.044700000000001</v>
      </c>
      <c r="I4356">
        <v>11.1408</v>
      </c>
      <c r="J4356">
        <v>60307</v>
      </c>
      <c r="K4356">
        <v>-0.85840000000000005</v>
      </c>
      <c r="L4356">
        <v>2.6086999999999998</v>
      </c>
    </row>
    <row r="4357" spans="1:12" hidden="1" x14ac:dyDescent="0.25">
      <c r="A4357">
        <v>2330</v>
      </c>
      <c r="B4357" t="s">
        <v>11</v>
      </c>
      <c r="C4357" s="1">
        <v>43402</v>
      </c>
      <c r="D4357" s="2">
        <f t="shared" si="136"/>
        <v>1</v>
      </c>
      <c r="E4357" s="2">
        <f t="shared" si="137"/>
        <v>10</v>
      </c>
      <c r="F4357">
        <v>210.6052</v>
      </c>
      <c r="G4357">
        <v>211.5496</v>
      </c>
      <c r="H4357">
        <v>208.71639999999999</v>
      </c>
      <c r="I4357">
        <v>210.13300000000001</v>
      </c>
      <c r="J4357">
        <v>18463</v>
      </c>
      <c r="K4357">
        <v>0.6764</v>
      </c>
      <c r="L4357">
        <v>1.3574999999999999</v>
      </c>
    </row>
    <row r="4358" spans="1:12" x14ac:dyDescent="0.25">
      <c r="A4358">
        <v>2303</v>
      </c>
      <c r="B4358" t="s">
        <v>10</v>
      </c>
      <c r="C4358" s="1">
        <v>43403</v>
      </c>
      <c r="D4358" s="2">
        <f t="shared" si="136"/>
        <v>2</v>
      </c>
      <c r="E4358" s="2">
        <f t="shared" si="137"/>
        <v>10</v>
      </c>
      <c r="F4358">
        <v>11.1408</v>
      </c>
      <c r="G4358">
        <v>11.476900000000001</v>
      </c>
      <c r="H4358">
        <v>10.996700000000001</v>
      </c>
      <c r="I4358">
        <v>11.236800000000001</v>
      </c>
      <c r="J4358">
        <v>81090</v>
      </c>
      <c r="K4358">
        <v>0.85840000000000005</v>
      </c>
      <c r="L4358">
        <v>4.3667999999999996</v>
      </c>
    </row>
    <row r="4359" spans="1:12" hidden="1" x14ac:dyDescent="0.25">
      <c r="A4359">
        <v>2330</v>
      </c>
      <c r="B4359" t="s">
        <v>11</v>
      </c>
      <c r="C4359" s="1">
        <v>43403</v>
      </c>
      <c r="D4359" s="2">
        <f t="shared" si="136"/>
        <v>2</v>
      </c>
      <c r="E4359" s="2">
        <f t="shared" si="137"/>
        <v>10</v>
      </c>
      <c r="F4359">
        <v>208.71639999999999</v>
      </c>
      <c r="G4359">
        <v>212.494</v>
      </c>
      <c r="H4359">
        <v>208.24420000000001</v>
      </c>
      <c r="I4359">
        <v>210.6052</v>
      </c>
      <c r="J4359">
        <v>29085</v>
      </c>
      <c r="K4359">
        <v>0.22450000000000001</v>
      </c>
      <c r="L4359">
        <v>2.0407999999999999</v>
      </c>
    </row>
    <row r="4360" spans="1:12" x14ac:dyDescent="0.25">
      <c r="A4360">
        <v>2303</v>
      </c>
      <c r="B4360" t="s">
        <v>10</v>
      </c>
      <c r="C4360" s="1">
        <v>43404</v>
      </c>
      <c r="D4360" s="2">
        <f t="shared" si="136"/>
        <v>3</v>
      </c>
      <c r="E4360" s="2">
        <f t="shared" si="137"/>
        <v>10</v>
      </c>
      <c r="F4360">
        <v>11.3809</v>
      </c>
      <c r="G4360">
        <v>11.3809</v>
      </c>
      <c r="H4360">
        <v>11.188800000000001</v>
      </c>
      <c r="I4360">
        <v>11.332800000000001</v>
      </c>
      <c r="J4360">
        <v>89427</v>
      </c>
      <c r="K4360">
        <v>0.85109999999999997</v>
      </c>
      <c r="L4360">
        <v>1.7166999999999999</v>
      </c>
    </row>
    <row r="4361" spans="1:12" hidden="1" x14ac:dyDescent="0.25">
      <c r="A4361">
        <v>2330</v>
      </c>
      <c r="B4361" t="s">
        <v>11</v>
      </c>
      <c r="C4361" s="1">
        <v>43404</v>
      </c>
      <c r="D4361" s="2">
        <f t="shared" si="136"/>
        <v>3</v>
      </c>
      <c r="E4361" s="2">
        <f t="shared" si="137"/>
        <v>10</v>
      </c>
      <c r="F4361">
        <v>215.32730000000001</v>
      </c>
      <c r="G4361">
        <v>220.99379999999999</v>
      </c>
      <c r="H4361">
        <v>215.32730000000001</v>
      </c>
      <c r="I4361">
        <v>220.99379999999999</v>
      </c>
      <c r="J4361">
        <v>59933</v>
      </c>
      <c r="K4361">
        <v>4.8148999999999997</v>
      </c>
      <c r="L4361">
        <v>2.6316000000000002</v>
      </c>
    </row>
    <row r="4362" spans="1:12" x14ac:dyDescent="0.25">
      <c r="A4362">
        <v>2303</v>
      </c>
      <c r="B4362" t="s">
        <v>10</v>
      </c>
      <c r="C4362" s="1">
        <v>43405</v>
      </c>
      <c r="D4362" s="2">
        <f t="shared" si="136"/>
        <v>4</v>
      </c>
      <c r="E4362" s="2">
        <f t="shared" si="137"/>
        <v>11</v>
      </c>
      <c r="F4362">
        <v>11.236800000000001</v>
      </c>
      <c r="G4362">
        <v>11.572900000000001</v>
      </c>
      <c r="H4362">
        <v>11.188800000000001</v>
      </c>
      <c r="I4362">
        <v>11.476900000000001</v>
      </c>
      <c r="J4362">
        <v>71162</v>
      </c>
      <c r="K4362">
        <v>1.2632000000000001</v>
      </c>
      <c r="L4362">
        <v>3.4335</v>
      </c>
    </row>
    <row r="4363" spans="1:12" hidden="1" x14ac:dyDescent="0.25">
      <c r="A4363">
        <v>2330</v>
      </c>
      <c r="B4363" t="s">
        <v>11</v>
      </c>
      <c r="C4363" s="1">
        <v>43405</v>
      </c>
      <c r="D4363" s="2">
        <f t="shared" si="136"/>
        <v>4</v>
      </c>
      <c r="E4363" s="2">
        <f t="shared" si="137"/>
        <v>11</v>
      </c>
      <c r="F4363">
        <v>222.8826</v>
      </c>
      <c r="G4363">
        <v>223.8271</v>
      </c>
      <c r="H4363">
        <v>220.04939999999999</v>
      </c>
      <c r="I4363">
        <v>222.41040000000001</v>
      </c>
      <c r="J4363">
        <v>44514</v>
      </c>
      <c r="K4363">
        <v>0.63900000000000001</v>
      </c>
      <c r="L4363">
        <v>1.7166999999999999</v>
      </c>
    </row>
    <row r="4364" spans="1:12" x14ac:dyDescent="0.25">
      <c r="A4364">
        <v>2303</v>
      </c>
      <c r="B4364" t="s">
        <v>10</v>
      </c>
      <c r="C4364" s="1">
        <v>43406</v>
      </c>
      <c r="D4364" s="2">
        <f t="shared" si="136"/>
        <v>5</v>
      </c>
      <c r="E4364" s="2">
        <f t="shared" si="137"/>
        <v>11</v>
      </c>
      <c r="F4364">
        <v>11.332800000000001</v>
      </c>
      <c r="G4364">
        <v>11.428900000000001</v>
      </c>
      <c r="H4364">
        <v>11.1408</v>
      </c>
      <c r="I4364">
        <v>11.428900000000001</v>
      </c>
      <c r="J4364">
        <v>71540</v>
      </c>
      <c r="K4364">
        <v>-0.41930000000000001</v>
      </c>
      <c r="L4364">
        <v>2.5861999999999998</v>
      </c>
    </row>
    <row r="4365" spans="1:12" hidden="1" x14ac:dyDescent="0.25">
      <c r="A4365">
        <v>2330</v>
      </c>
      <c r="B4365" t="s">
        <v>11</v>
      </c>
      <c r="C4365" s="1">
        <v>43406</v>
      </c>
      <c r="D4365" s="2">
        <f t="shared" si="136"/>
        <v>5</v>
      </c>
      <c r="E4365" s="2">
        <f t="shared" si="137"/>
        <v>11</v>
      </c>
      <c r="F4365">
        <v>223.35489999999999</v>
      </c>
      <c r="G4365">
        <v>223.35489999999999</v>
      </c>
      <c r="H4365">
        <v>220.52160000000001</v>
      </c>
      <c r="I4365">
        <v>223.35489999999999</v>
      </c>
      <c r="J4365">
        <v>30785</v>
      </c>
      <c r="K4365">
        <v>0.42370000000000002</v>
      </c>
      <c r="L4365">
        <v>1.2847999999999999</v>
      </c>
    </row>
    <row r="4366" spans="1:12" x14ac:dyDescent="0.25">
      <c r="A4366">
        <v>2303</v>
      </c>
      <c r="B4366" t="s">
        <v>10</v>
      </c>
      <c r="C4366" s="1">
        <v>43409</v>
      </c>
      <c r="D4366" s="2">
        <f t="shared" si="136"/>
        <v>1</v>
      </c>
      <c r="E4366" s="2">
        <f t="shared" si="137"/>
        <v>11</v>
      </c>
      <c r="F4366">
        <v>10.324400000000001</v>
      </c>
      <c r="G4366">
        <v>10.756600000000001</v>
      </c>
      <c r="H4366">
        <v>10.324400000000001</v>
      </c>
      <c r="I4366">
        <v>10.324400000000001</v>
      </c>
      <c r="J4366">
        <v>236453</v>
      </c>
      <c r="K4366">
        <v>-10.1633</v>
      </c>
      <c r="L4366">
        <v>4.1859999999999999</v>
      </c>
    </row>
    <row r="4367" spans="1:12" hidden="1" x14ac:dyDescent="0.25">
      <c r="A4367">
        <v>2330</v>
      </c>
      <c r="B4367" t="s">
        <v>11</v>
      </c>
      <c r="C4367" s="1">
        <v>43409</v>
      </c>
      <c r="D4367" s="2">
        <f t="shared" si="136"/>
        <v>1</v>
      </c>
      <c r="E4367" s="2">
        <f t="shared" si="137"/>
        <v>11</v>
      </c>
      <c r="F4367">
        <v>220.04939999999999</v>
      </c>
      <c r="G4367">
        <v>222.41040000000001</v>
      </c>
      <c r="H4367">
        <v>219.10499999999999</v>
      </c>
      <c r="I4367">
        <v>221.93819999999999</v>
      </c>
      <c r="J4367">
        <v>28157</v>
      </c>
      <c r="K4367">
        <v>-0.63629999999999998</v>
      </c>
      <c r="L4367">
        <v>1.5085999999999999</v>
      </c>
    </row>
    <row r="4368" spans="1:12" x14ac:dyDescent="0.25">
      <c r="A4368">
        <v>2303</v>
      </c>
      <c r="B4368" t="s">
        <v>10</v>
      </c>
      <c r="C4368" s="1">
        <v>43410</v>
      </c>
      <c r="D4368" s="2">
        <f t="shared" si="136"/>
        <v>2</v>
      </c>
      <c r="E4368" s="2">
        <f t="shared" si="137"/>
        <v>11</v>
      </c>
      <c r="F4368">
        <v>10.612500000000001</v>
      </c>
      <c r="G4368">
        <v>10.756600000000001</v>
      </c>
      <c r="H4368">
        <v>10.324400000000001</v>
      </c>
      <c r="I4368">
        <v>10.468500000000001</v>
      </c>
      <c r="J4368">
        <v>211878</v>
      </c>
      <c r="K4368">
        <v>1.3856999999999999</v>
      </c>
      <c r="L4368">
        <v>4.1859999999999999</v>
      </c>
    </row>
    <row r="4369" spans="1:12" hidden="1" x14ac:dyDescent="0.25">
      <c r="A4369">
        <v>2330</v>
      </c>
      <c r="B4369" t="s">
        <v>11</v>
      </c>
      <c r="C4369" s="1">
        <v>43410</v>
      </c>
      <c r="D4369" s="2">
        <f t="shared" si="136"/>
        <v>2</v>
      </c>
      <c r="E4369" s="2">
        <f t="shared" si="137"/>
        <v>11</v>
      </c>
      <c r="F4369">
        <v>220.99379999999999</v>
      </c>
      <c r="G4369">
        <v>222.41040000000001</v>
      </c>
      <c r="H4369">
        <v>219.5772</v>
      </c>
      <c r="I4369">
        <v>221.46600000000001</v>
      </c>
      <c r="J4369">
        <v>35501</v>
      </c>
      <c r="K4369">
        <v>-0.21299999999999999</v>
      </c>
      <c r="L4369">
        <v>1.2903</v>
      </c>
    </row>
    <row r="4370" spans="1:12" x14ac:dyDescent="0.25">
      <c r="A4370">
        <v>2303</v>
      </c>
      <c r="B4370" t="s">
        <v>10</v>
      </c>
      <c r="C4370" s="1">
        <v>43411</v>
      </c>
      <c r="D4370" s="2">
        <f t="shared" si="136"/>
        <v>3</v>
      </c>
      <c r="E4370" s="2">
        <f t="shared" si="137"/>
        <v>11</v>
      </c>
      <c r="F4370">
        <v>10.564500000000001</v>
      </c>
      <c r="G4370">
        <v>10.660600000000001</v>
      </c>
      <c r="H4370">
        <v>10.372400000000001</v>
      </c>
      <c r="I4370">
        <v>10.516500000000001</v>
      </c>
      <c r="J4370">
        <v>108859</v>
      </c>
      <c r="K4370">
        <v>0.4577</v>
      </c>
      <c r="L4370">
        <v>2.7778</v>
      </c>
    </row>
    <row r="4371" spans="1:12" hidden="1" x14ac:dyDescent="0.25">
      <c r="A4371">
        <v>2330</v>
      </c>
      <c r="B4371" t="s">
        <v>11</v>
      </c>
      <c r="C4371" s="1">
        <v>43411</v>
      </c>
      <c r="D4371" s="2">
        <f t="shared" si="136"/>
        <v>3</v>
      </c>
      <c r="E4371" s="2">
        <f t="shared" si="137"/>
        <v>11</v>
      </c>
      <c r="F4371">
        <v>220.04939999999999</v>
      </c>
      <c r="G4371">
        <v>222.8826</v>
      </c>
      <c r="H4371">
        <v>219.5772</v>
      </c>
      <c r="I4371">
        <v>220.99379999999999</v>
      </c>
      <c r="J4371">
        <v>39842</v>
      </c>
      <c r="K4371">
        <v>-0.21340000000000001</v>
      </c>
      <c r="L4371">
        <v>1.5054000000000001</v>
      </c>
    </row>
    <row r="4372" spans="1:12" x14ac:dyDescent="0.25">
      <c r="A4372">
        <v>2303</v>
      </c>
      <c r="B4372" t="s">
        <v>10</v>
      </c>
      <c r="C4372" s="1">
        <v>43412</v>
      </c>
      <c r="D4372" s="2">
        <f t="shared" si="136"/>
        <v>4</v>
      </c>
      <c r="E4372" s="2">
        <f t="shared" si="137"/>
        <v>11</v>
      </c>
      <c r="F4372">
        <v>10.564500000000001</v>
      </c>
      <c r="G4372">
        <v>10.564500000000001</v>
      </c>
      <c r="H4372">
        <v>10.228400000000001</v>
      </c>
      <c r="I4372">
        <v>10.420400000000001</v>
      </c>
      <c r="J4372">
        <v>154165</v>
      </c>
      <c r="K4372">
        <v>-0.91739999999999999</v>
      </c>
      <c r="L4372">
        <v>3.2864</v>
      </c>
    </row>
    <row r="4373" spans="1:12" hidden="1" x14ac:dyDescent="0.25">
      <c r="A4373">
        <v>2330</v>
      </c>
      <c r="B4373" t="s">
        <v>11</v>
      </c>
      <c r="C4373" s="1">
        <v>43412</v>
      </c>
      <c r="D4373" s="2">
        <f t="shared" si="136"/>
        <v>4</v>
      </c>
      <c r="E4373" s="2">
        <f t="shared" si="137"/>
        <v>11</v>
      </c>
      <c r="F4373">
        <v>224.29929999999999</v>
      </c>
      <c r="G4373">
        <v>224.29929999999999</v>
      </c>
      <c r="H4373">
        <v>222.8826</v>
      </c>
      <c r="I4373">
        <v>223.35489999999999</v>
      </c>
      <c r="J4373">
        <v>28086</v>
      </c>
      <c r="K4373">
        <v>1.0627</v>
      </c>
      <c r="L4373">
        <v>0.63560000000000005</v>
      </c>
    </row>
    <row r="4374" spans="1:12" x14ac:dyDescent="0.25">
      <c r="A4374">
        <v>2303</v>
      </c>
      <c r="B4374" t="s">
        <v>10</v>
      </c>
      <c r="C4374" s="1">
        <v>43413</v>
      </c>
      <c r="D4374" s="2">
        <f t="shared" si="136"/>
        <v>5</v>
      </c>
      <c r="E4374" s="2">
        <f t="shared" si="137"/>
        <v>11</v>
      </c>
      <c r="F4374">
        <v>10.372400000000001</v>
      </c>
      <c r="G4374">
        <v>10.420400000000001</v>
      </c>
      <c r="H4374">
        <v>10.084300000000001</v>
      </c>
      <c r="I4374">
        <v>10.180300000000001</v>
      </c>
      <c r="J4374">
        <v>118601</v>
      </c>
      <c r="K4374">
        <v>-2.3311000000000002</v>
      </c>
      <c r="L4374">
        <v>3.3332999999999999</v>
      </c>
    </row>
    <row r="4375" spans="1:12" hidden="1" x14ac:dyDescent="0.25">
      <c r="A4375">
        <v>2330</v>
      </c>
      <c r="B4375" t="s">
        <v>11</v>
      </c>
      <c r="C4375" s="1">
        <v>43413</v>
      </c>
      <c r="D4375" s="2">
        <f t="shared" si="136"/>
        <v>5</v>
      </c>
      <c r="E4375" s="2">
        <f t="shared" si="137"/>
        <v>11</v>
      </c>
      <c r="F4375">
        <v>221.46600000000001</v>
      </c>
      <c r="G4375">
        <v>221.46600000000001</v>
      </c>
      <c r="H4375">
        <v>218.16059999999999</v>
      </c>
      <c r="I4375">
        <v>218.16059999999999</v>
      </c>
      <c r="J4375">
        <v>23792</v>
      </c>
      <c r="K4375">
        <v>-2.3530000000000002</v>
      </c>
      <c r="L4375">
        <v>1.5152000000000001</v>
      </c>
    </row>
    <row r="4376" spans="1:12" x14ac:dyDescent="0.25">
      <c r="A4376">
        <v>2303</v>
      </c>
      <c r="B4376" t="s">
        <v>10</v>
      </c>
      <c r="C4376" s="1">
        <v>43416</v>
      </c>
      <c r="D4376" s="2">
        <f t="shared" si="136"/>
        <v>1</v>
      </c>
      <c r="E4376" s="2">
        <f t="shared" si="137"/>
        <v>11</v>
      </c>
      <c r="F4376">
        <v>10.132300000000001</v>
      </c>
      <c r="G4376">
        <v>10.276400000000001</v>
      </c>
      <c r="H4376">
        <v>10.036300000000001</v>
      </c>
      <c r="I4376">
        <v>10.276400000000001</v>
      </c>
      <c r="J4376">
        <v>93985</v>
      </c>
      <c r="K4376">
        <v>0.93899999999999995</v>
      </c>
      <c r="L4376">
        <v>2.3923000000000001</v>
      </c>
    </row>
    <row r="4377" spans="1:12" hidden="1" x14ac:dyDescent="0.25">
      <c r="A4377">
        <v>2330</v>
      </c>
      <c r="B4377" t="s">
        <v>11</v>
      </c>
      <c r="C4377" s="1">
        <v>43416</v>
      </c>
      <c r="D4377" s="2">
        <f t="shared" si="136"/>
        <v>1</v>
      </c>
      <c r="E4377" s="2">
        <f t="shared" si="137"/>
        <v>11</v>
      </c>
      <c r="F4377">
        <v>217.21610000000001</v>
      </c>
      <c r="G4377">
        <v>221.46600000000001</v>
      </c>
      <c r="H4377">
        <v>217.21610000000001</v>
      </c>
      <c r="I4377">
        <v>218.6328</v>
      </c>
      <c r="J4377">
        <v>26202</v>
      </c>
      <c r="K4377">
        <v>0.2162</v>
      </c>
      <c r="L4377">
        <v>1.9564999999999999</v>
      </c>
    </row>
    <row r="4378" spans="1:12" x14ac:dyDescent="0.25">
      <c r="A4378">
        <v>2303</v>
      </c>
      <c r="B4378" t="s">
        <v>10</v>
      </c>
      <c r="C4378" s="1">
        <v>43417</v>
      </c>
      <c r="D4378" s="2">
        <f t="shared" si="136"/>
        <v>2</v>
      </c>
      <c r="E4378" s="2">
        <f t="shared" si="137"/>
        <v>11</v>
      </c>
      <c r="F4378">
        <v>10.084300000000001</v>
      </c>
      <c r="G4378">
        <v>10.180300000000001</v>
      </c>
      <c r="H4378">
        <v>9.9883000000000006</v>
      </c>
      <c r="I4378">
        <v>10.036300000000001</v>
      </c>
      <c r="J4378">
        <v>118463</v>
      </c>
      <c r="K4378">
        <v>-2.3641999999999999</v>
      </c>
      <c r="L4378">
        <v>1.9231</v>
      </c>
    </row>
    <row r="4379" spans="1:12" hidden="1" x14ac:dyDescent="0.25">
      <c r="A4379">
        <v>2330</v>
      </c>
      <c r="B4379" t="s">
        <v>11</v>
      </c>
      <c r="C4379" s="1">
        <v>43417</v>
      </c>
      <c r="D4379" s="2">
        <f t="shared" si="136"/>
        <v>2</v>
      </c>
      <c r="E4379" s="2">
        <f t="shared" si="137"/>
        <v>11</v>
      </c>
      <c r="F4379">
        <v>212.02180000000001</v>
      </c>
      <c r="G4379">
        <v>215.32730000000001</v>
      </c>
      <c r="H4379">
        <v>212.02180000000001</v>
      </c>
      <c r="I4379">
        <v>214.85509999999999</v>
      </c>
      <c r="J4379">
        <v>37565</v>
      </c>
      <c r="K4379">
        <v>-1.7430000000000001</v>
      </c>
      <c r="L4379">
        <v>1.5589999999999999</v>
      </c>
    </row>
    <row r="4380" spans="1:12" x14ac:dyDescent="0.25">
      <c r="A4380">
        <v>2303</v>
      </c>
      <c r="B4380" t="s">
        <v>10</v>
      </c>
      <c r="C4380" s="1">
        <v>43418</v>
      </c>
      <c r="D4380" s="2">
        <f t="shared" si="136"/>
        <v>3</v>
      </c>
      <c r="E4380" s="2">
        <f t="shared" si="137"/>
        <v>11</v>
      </c>
      <c r="F4380">
        <v>10.084300000000001</v>
      </c>
      <c r="G4380">
        <v>10.420400000000001</v>
      </c>
      <c r="H4380">
        <v>10.036300000000001</v>
      </c>
      <c r="I4380">
        <v>10.372400000000001</v>
      </c>
      <c r="J4380">
        <v>78000</v>
      </c>
      <c r="K4380">
        <v>3.2944</v>
      </c>
      <c r="L4380">
        <v>3.8277999999999999</v>
      </c>
    </row>
    <row r="4381" spans="1:12" hidden="1" x14ac:dyDescent="0.25">
      <c r="A4381">
        <v>2330</v>
      </c>
      <c r="B4381" t="s">
        <v>11</v>
      </c>
      <c r="C4381" s="1">
        <v>43418</v>
      </c>
      <c r="D4381" s="2">
        <f t="shared" si="136"/>
        <v>3</v>
      </c>
      <c r="E4381" s="2">
        <f t="shared" si="137"/>
        <v>11</v>
      </c>
      <c r="F4381">
        <v>217.21610000000001</v>
      </c>
      <c r="G4381">
        <v>218.16059999999999</v>
      </c>
      <c r="H4381">
        <v>215.79949999999999</v>
      </c>
      <c r="I4381">
        <v>215.79949999999999</v>
      </c>
      <c r="J4381">
        <v>24565</v>
      </c>
      <c r="K4381">
        <v>0.43859999999999999</v>
      </c>
      <c r="L4381">
        <v>1.0941000000000001</v>
      </c>
    </row>
    <row r="4382" spans="1:12" x14ac:dyDescent="0.25">
      <c r="A4382">
        <v>2303</v>
      </c>
      <c r="B4382" t="s">
        <v>10</v>
      </c>
      <c r="C4382" s="1">
        <v>43419</v>
      </c>
      <c r="D4382" s="2">
        <f t="shared" si="136"/>
        <v>4</v>
      </c>
      <c r="E4382" s="2">
        <f t="shared" si="137"/>
        <v>11</v>
      </c>
      <c r="F4382">
        <v>10.468500000000001</v>
      </c>
      <c r="G4382">
        <v>10.804600000000001</v>
      </c>
      <c r="H4382">
        <v>10.420400000000001</v>
      </c>
      <c r="I4382">
        <v>10.756600000000001</v>
      </c>
      <c r="J4382">
        <v>88478</v>
      </c>
      <c r="K4382">
        <v>3.6368</v>
      </c>
      <c r="L4382">
        <v>3.6865999999999999</v>
      </c>
    </row>
    <row r="4383" spans="1:12" hidden="1" x14ac:dyDescent="0.25">
      <c r="A4383">
        <v>2330</v>
      </c>
      <c r="B4383" t="s">
        <v>11</v>
      </c>
      <c r="C4383" s="1">
        <v>43419</v>
      </c>
      <c r="D4383" s="2">
        <f t="shared" si="136"/>
        <v>4</v>
      </c>
      <c r="E4383" s="2">
        <f t="shared" si="137"/>
        <v>11</v>
      </c>
      <c r="F4383">
        <v>216.7439</v>
      </c>
      <c r="G4383">
        <v>219.10499999999999</v>
      </c>
      <c r="H4383">
        <v>215.79949999999999</v>
      </c>
      <c r="I4383">
        <v>218.16059999999999</v>
      </c>
      <c r="J4383">
        <v>22230</v>
      </c>
      <c r="K4383">
        <v>1.0882000000000001</v>
      </c>
      <c r="L4383">
        <v>1.5317000000000001</v>
      </c>
    </row>
    <row r="4384" spans="1:12" x14ac:dyDescent="0.25">
      <c r="A4384">
        <v>2303</v>
      </c>
      <c r="B4384" t="s">
        <v>10</v>
      </c>
      <c r="C4384" s="1">
        <v>43420</v>
      </c>
      <c r="D4384" s="2">
        <f t="shared" si="136"/>
        <v>5</v>
      </c>
      <c r="E4384" s="2">
        <f t="shared" si="137"/>
        <v>11</v>
      </c>
      <c r="F4384">
        <v>10.852600000000001</v>
      </c>
      <c r="G4384">
        <v>10.852600000000001</v>
      </c>
      <c r="H4384">
        <v>10.468500000000001</v>
      </c>
      <c r="I4384">
        <v>10.564500000000001</v>
      </c>
      <c r="J4384">
        <v>88373</v>
      </c>
      <c r="K4384">
        <v>-1.8019000000000001</v>
      </c>
      <c r="L4384">
        <v>3.6697000000000002</v>
      </c>
    </row>
    <row r="4385" spans="1:12" hidden="1" x14ac:dyDescent="0.25">
      <c r="A4385">
        <v>2330</v>
      </c>
      <c r="B4385" t="s">
        <v>11</v>
      </c>
      <c r="C4385" s="1">
        <v>43420</v>
      </c>
      <c r="D4385" s="2">
        <f t="shared" si="136"/>
        <v>5</v>
      </c>
      <c r="E4385" s="2">
        <f t="shared" si="137"/>
        <v>11</v>
      </c>
      <c r="F4385">
        <v>216.27170000000001</v>
      </c>
      <c r="G4385">
        <v>216.27170000000001</v>
      </c>
      <c r="H4385">
        <v>212.494</v>
      </c>
      <c r="I4385">
        <v>213.4385</v>
      </c>
      <c r="J4385">
        <v>47138</v>
      </c>
      <c r="K4385">
        <v>-2.1882999999999999</v>
      </c>
      <c r="L4385">
        <v>1.7778</v>
      </c>
    </row>
    <row r="4386" spans="1:12" x14ac:dyDescent="0.25">
      <c r="A4386">
        <v>2303</v>
      </c>
      <c r="B4386" t="s">
        <v>10</v>
      </c>
      <c r="C4386" s="1">
        <v>43423</v>
      </c>
      <c r="D4386" s="2">
        <f t="shared" si="136"/>
        <v>1</v>
      </c>
      <c r="E4386" s="2">
        <f t="shared" si="137"/>
        <v>11</v>
      </c>
      <c r="F4386">
        <v>10.516500000000001</v>
      </c>
      <c r="G4386">
        <v>10.660600000000001</v>
      </c>
      <c r="H4386">
        <v>10.420400000000001</v>
      </c>
      <c r="I4386">
        <v>10.660600000000001</v>
      </c>
      <c r="J4386">
        <v>51529</v>
      </c>
      <c r="K4386">
        <v>0.90500000000000003</v>
      </c>
      <c r="L4386">
        <v>2.3041</v>
      </c>
    </row>
    <row r="4387" spans="1:12" hidden="1" x14ac:dyDescent="0.25">
      <c r="A4387">
        <v>2330</v>
      </c>
      <c r="B4387" t="s">
        <v>11</v>
      </c>
      <c r="C4387" s="1">
        <v>43423</v>
      </c>
      <c r="D4387" s="2">
        <f t="shared" si="136"/>
        <v>1</v>
      </c>
      <c r="E4387" s="2">
        <f t="shared" si="137"/>
        <v>11</v>
      </c>
      <c r="F4387">
        <v>212.494</v>
      </c>
      <c r="G4387">
        <v>212.494</v>
      </c>
      <c r="H4387">
        <v>208.71639999999999</v>
      </c>
      <c r="I4387">
        <v>209.66079999999999</v>
      </c>
      <c r="J4387">
        <v>51034</v>
      </c>
      <c r="K4387">
        <v>-1.7858000000000001</v>
      </c>
      <c r="L4387">
        <v>1.81</v>
      </c>
    </row>
    <row r="4388" spans="1:12" x14ac:dyDescent="0.25">
      <c r="A4388">
        <v>2303</v>
      </c>
      <c r="B4388" t="s">
        <v>10</v>
      </c>
      <c r="C4388" s="1">
        <v>43424</v>
      </c>
      <c r="D4388" s="2">
        <f t="shared" si="136"/>
        <v>2</v>
      </c>
      <c r="E4388" s="2">
        <f t="shared" si="137"/>
        <v>11</v>
      </c>
      <c r="F4388">
        <v>10.564500000000001</v>
      </c>
      <c r="G4388">
        <v>10.660600000000001</v>
      </c>
      <c r="H4388">
        <v>10.468500000000001</v>
      </c>
      <c r="I4388">
        <v>10.564500000000001</v>
      </c>
      <c r="J4388">
        <v>35297</v>
      </c>
      <c r="K4388">
        <v>-0.90500000000000003</v>
      </c>
      <c r="L4388">
        <v>1.8349</v>
      </c>
    </row>
    <row r="4389" spans="1:12" hidden="1" x14ac:dyDescent="0.25">
      <c r="A4389">
        <v>2330</v>
      </c>
      <c r="B4389" t="s">
        <v>11</v>
      </c>
      <c r="C4389" s="1">
        <v>43424</v>
      </c>
      <c r="D4389" s="2">
        <f t="shared" si="136"/>
        <v>2</v>
      </c>
      <c r="E4389" s="2">
        <f t="shared" si="137"/>
        <v>11</v>
      </c>
      <c r="F4389">
        <v>206.82749999999999</v>
      </c>
      <c r="G4389">
        <v>208.24420000000001</v>
      </c>
      <c r="H4389">
        <v>205.88310000000001</v>
      </c>
      <c r="I4389">
        <v>205.88310000000001</v>
      </c>
      <c r="J4389">
        <v>45686</v>
      </c>
      <c r="K4389">
        <v>-1.8182</v>
      </c>
      <c r="L4389">
        <v>1.1468</v>
      </c>
    </row>
    <row r="4390" spans="1:12" x14ac:dyDescent="0.25">
      <c r="A4390">
        <v>2303</v>
      </c>
      <c r="B4390" t="s">
        <v>10</v>
      </c>
      <c r="C4390" s="1">
        <v>43425</v>
      </c>
      <c r="D4390" s="2">
        <f t="shared" si="136"/>
        <v>3</v>
      </c>
      <c r="E4390" s="2">
        <f t="shared" si="137"/>
        <v>11</v>
      </c>
      <c r="F4390">
        <v>10.516500000000001</v>
      </c>
      <c r="G4390">
        <v>10.708600000000001</v>
      </c>
      <c r="H4390">
        <v>10.468500000000001</v>
      </c>
      <c r="I4390">
        <v>10.564500000000001</v>
      </c>
      <c r="J4390">
        <v>30692</v>
      </c>
      <c r="K4390">
        <v>0</v>
      </c>
      <c r="L4390">
        <v>2.2936000000000001</v>
      </c>
    </row>
    <row r="4391" spans="1:12" hidden="1" x14ac:dyDescent="0.25">
      <c r="A4391">
        <v>2330</v>
      </c>
      <c r="B4391" t="s">
        <v>11</v>
      </c>
      <c r="C4391" s="1">
        <v>43425</v>
      </c>
      <c r="D4391" s="2">
        <f t="shared" si="136"/>
        <v>3</v>
      </c>
      <c r="E4391" s="2">
        <f t="shared" si="137"/>
        <v>11</v>
      </c>
      <c r="F4391">
        <v>202.57769999999999</v>
      </c>
      <c r="G4391">
        <v>207.77199999999999</v>
      </c>
      <c r="H4391">
        <v>202.10550000000001</v>
      </c>
      <c r="I4391">
        <v>206.82749999999999</v>
      </c>
      <c r="J4391">
        <v>38478</v>
      </c>
      <c r="K4391">
        <v>0.4577</v>
      </c>
      <c r="L4391">
        <v>2.8037000000000001</v>
      </c>
    </row>
    <row r="4392" spans="1:12" x14ac:dyDescent="0.25">
      <c r="A4392">
        <v>2303</v>
      </c>
      <c r="B4392" t="s">
        <v>10</v>
      </c>
      <c r="C4392" s="1">
        <v>43426</v>
      </c>
      <c r="D4392" s="2">
        <f t="shared" si="136"/>
        <v>4</v>
      </c>
      <c r="E4392" s="2">
        <f t="shared" si="137"/>
        <v>11</v>
      </c>
      <c r="F4392">
        <v>10.612500000000001</v>
      </c>
      <c r="G4392">
        <v>10.756600000000001</v>
      </c>
      <c r="H4392">
        <v>10.564500000000001</v>
      </c>
      <c r="I4392">
        <v>10.756600000000001</v>
      </c>
      <c r="J4392">
        <v>39139</v>
      </c>
      <c r="K4392">
        <v>1.8019000000000001</v>
      </c>
      <c r="L4392">
        <v>1.8182</v>
      </c>
    </row>
    <row r="4393" spans="1:12" hidden="1" x14ac:dyDescent="0.25">
      <c r="A4393">
        <v>2330</v>
      </c>
      <c r="B4393" t="s">
        <v>11</v>
      </c>
      <c r="C4393" s="1">
        <v>43426</v>
      </c>
      <c r="D4393" s="2">
        <f t="shared" si="136"/>
        <v>4</v>
      </c>
      <c r="E4393" s="2">
        <f t="shared" si="137"/>
        <v>11</v>
      </c>
      <c r="F4393">
        <v>209.18860000000001</v>
      </c>
      <c r="G4393">
        <v>209.66079999999999</v>
      </c>
      <c r="H4393">
        <v>206.82749999999999</v>
      </c>
      <c r="I4393">
        <v>206.82749999999999</v>
      </c>
      <c r="J4393">
        <v>22060</v>
      </c>
      <c r="K4393">
        <v>0</v>
      </c>
      <c r="L4393">
        <v>1.3698999999999999</v>
      </c>
    </row>
    <row r="4394" spans="1:12" x14ac:dyDescent="0.25">
      <c r="A4394">
        <v>2303</v>
      </c>
      <c r="B4394" t="s">
        <v>10</v>
      </c>
      <c r="C4394" s="1">
        <v>43427</v>
      </c>
      <c r="D4394" s="2">
        <f t="shared" si="136"/>
        <v>5</v>
      </c>
      <c r="E4394" s="2">
        <f t="shared" si="137"/>
        <v>11</v>
      </c>
      <c r="F4394">
        <v>10.756600000000001</v>
      </c>
      <c r="G4394">
        <v>10.804600000000001</v>
      </c>
      <c r="H4394">
        <v>10.612500000000001</v>
      </c>
      <c r="I4394">
        <v>10.708600000000001</v>
      </c>
      <c r="J4394">
        <v>29624</v>
      </c>
      <c r="K4394">
        <v>-0.44740000000000002</v>
      </c>
      <c r="L4394">
        <v>1.81</v>
      </c>
    </row>
    <row r="4395" spans="1:12" hidden="1" x14ac:dyDescent="0.25">
      <c r="A4395">
        <v>2330</v>
      </c>
      <c r="B4395" t="s">
        <v>11</v>
      </c>
      <c r="C4395" s="1">
        <v>43427</v>
      </c>
      <c r="D4395" s="2">
        <f t="shared" si="136"/>
        <v>5</v>
      </c>
      <c r="E4395" s="2">
        <f t="shared" si="137"/>
        <v>11</v>
      </c>
      <c r="F4395">
        <v>208.24420000000001</v>
      </c>
      <c r="G4395">
        <v>208.24420000000001</v>
      </c>
      <c r="H4395">
        <v>204.93870000000001</v>
      </c>
      <c r="I4395">
        <v>206.3553</v>
      </c>
      <c r="J4395">
        <v>15553</v>
      </c>
      <c r="K4395">
        <v>-0.2286</v>
      </c>
      <c r="L4395">
        <v>1.6129</v>
      </c>
    </row>
    <row r="4396" spans="1:12" x14ac:dyDescent="0.25">
      <c r="A4396">
        <v>2303</v>
      </c>
      <c r="B4396" t="s">
        <v>10</v>
      </c>
      <c r="C4396" s="1">
        <v>43430</v>
      </c>
      <c r="D4396" s="2">
        <f t="shared" si="136"/>
        <v>1</v>
      </c>
      <c r="E4396" s="2">
        <f t="shared" si="137"/>
        <v>11</v>
      </c>
      <c r="F4396">
        <v>10.756600000000001</v>
      </c>
      <c r="G4396">
        <v>11.092700000000001</v>
      </c>
      <c r="H4396">
        <v>10.756600000000001</v>
      </c>
      <c r="I4396">
        <v>11.044700000000001</v>
      </c>
      <c r="J4396">
        <v>42897</v>
      </c>
      <c r="K4396">
        <v>3.0908000000000002</v>
      </c>
      <c r="L4396">
        <v>3.125</v>
      </c>
    </row>
    <row r="4397" spans="1:12" hidden="1" x14ac:dyDescent="0.25">
      <c r="A4397">
        <v>2330</v>
      </c>
      <c r="B4397" t="s">
        <v>11</v>
      </c>
      <c r="C4397" s="1">
        <v>43430</v>
      </c>
      <c r="D4397" s="2">
        <f t="shared" si="136"/>
        <v>1</v>
      </c>
      <c r="E4397" s="2">
        <f t="shared" si="137"/>
        <v>11</v>
      </c>
      <c r="F4397">
        <v>206.82749999999999</v>
      </c>
      <c r="G4397">
        <v>211.5496</v>
      </c>
      <c r="H4397">
        <v>206.3553</v>
      </c>
      <c r="I4397">
        <v>210.6052</v>
      </c>
      <c r="J4397">
        <v>35267</v>
      </c>
      <c r="K4397">
        <v>2.0386000000000002</v>
      </c>
      <c r="L4397">
        <v>2.5171999999999999</v>
      </c>
    </row>
    <row r="4398" spans="1:12" x14ac:dyDescent="0.25">
      <c r="A4398">
        <v>2303</v>
      </c>
      <c r="B4398" t="s">
        <v>10</v>
      </c>
      <c r="C4398" s="1">
        <v>43431</v>
      </c>
      <c r="D4398" s="2">
        <f t="shared" si="136"/>
        <v>2</v>
      </c>
      <c r="E4398" s="2">
        <f t="shared" si="137"/>
        <v>11</v>
      </c>
      <c r="F4398">
        <v>11.092700000000001</v>
      </c>
      <c r="G4398">
        <v>11.332800000000001</v>
      </c>
      <c r="H4398">
        <v>10.948700000000001</v>
      </c>
      <c r="I4398">
        <v>11.284800000000001</v>
      </c>
      <c r="J4398">
        <v>49199</v>
      </c>
      <c r="K4398">
        <v>2.1505999999999998</v>
      </c>
      <c r="L4398">
        <v>3.5087999999999999</v>
      </c>
    </row>
    <row r="4399" spans="1:12" hidden="1" x14ac:dyDescent="0.25">
      <c r="A4399">
        <v>2330</v>
      </c>
      <c r="B4399" t="s">
        <v>11</v>
      </c>
      <c r="C4399" s="1">
        <v>43431</v>
      </c>
      <c r="D4399" s="2">
        <f t="shared" si="136"/>
        <v>2</v>
      </c>
      <c r="E4399" s="2">
        <f t="shared" si="137"/>
        <v>11</v>
      </c>
      <c r="F4399">
        <v>207.77199999999999</v>
      </c>
      <c r="G4399">
        <v>212.02180000000001</v>
      </c>
      <c r="H4399">
        <v>206.82749999999999</v>
      </c>
      <c r="I4399">
        <v>211.5496</v>
      </c>
      <c r="J4399">
        <v>32676</v>
      </c>
      <c r="K4399">
        <v>0.44740000000000002</v>
      </c>
      <c r="L4399">
        <v>2.5114000000000001</v>
      </c>
    </row>
    <row r="4400" spans="1:12" x14ac:dyDescent="0.25">
      <c r="A4400">
        <v>2303</v>
      </c>
      <c r="B4400" t="s">
        <v>10</v>
      </c>
      <c r="C4400" s="1">
        <v>43432</v>
      </c>
      <c r="D4400" s="2">
        <f t="shared" si="136"/>
        <v>3</v>
      </c>
      <c r="E4400" s="2">
        <f t="shared" si="137"/>
        <v>11</v>
      </c>
      <c r="F4400">
        <v>11.284800000000001</v>
      </c>
      <c r="G4400">
        <v>11.3809</v>
      </c>
      <c r="H4400">
        <v>11.1408</v>
      </c>
      <c r="I4400">
        <v>11.284800000000001</v>
      </c>
      <c r="J4400">
        <v>54350</v>
      </c>
      <c r="K4400">
        <v>0</v>
      </c>
      <c r="L4400">
        <v>2.1551999999999998</v>
      </c>
    </row>
    <row r="4401" spans="1:12" hidden="1" x14ac:dyDescent="0.25">
      <c r="A4401">
        <v>2330</v>
      </c>
      <c r="B4401" t="s">
        <v>11</v>
      </c>
      <c r="C4401" s="1">
        <v>43432</v>
      </c>
      <c r="D4401" s="2">
        <f t="shared" si="136"/>
        <v>3</v>
      </c>
      <c r="E4401" s="2">
        <f t="shared" si="137"/>
        <v>11</v>
      </c>
      <c r="F4401">
        <v>210.13300000000001</v>
      </c>
      <c r="G4401">
        <v>214.38290000000001</v>
      </c>
      <c r="H4401">
        <v>209.66079999999999</v>
      </c>
      <c r="I4401">
        <v>213.91069999999999</v>
      </c>
      <c r="J4401">
        <v>24759</v>
      </c>
      <c r="K4401">
        <v>1.1099000000000001</v>
      </c>
      <c r="L4401">
        <v>2.2523</v>
      </c>
    </row>
    <row r="4402" spans="1:12" x14ac:dyDescent="0.25">
      <c r="A4402">
        <v>2303</v>
      </c>
      <c r="B4402" t="s">
        <v>10</v>
      </c>
      <c r="C4402" s="1">
        <v>43433</v>
      </c>
      <c r="D4402" s="2">
        <f t="shared" si="136"/>
        <v>4</v>
      </c>
      <c r="E4402" s="2">
        <f t="shared" si="137"/>
        <v>11</v>
      </c>
      <c r="F4402">
        <v>11.3809</v>
      </c>
      <c r="G4402">
        <v>11.3809</v>
      </c>
      <c r="H4402">
        <v>11.044700000000001</v>
      </c>
      <c r="I4402">
        <v>11.044700000000001</v>
      </c>
      <c r="J4402">
        <v>51312</v>
      </c>
      <c r="K4402">
        <v>-2.1505999999999998</v>
      </c>
      <c r="L4402">
        <v>3.0434999999999999</v>
      </c>
    </row>
    <row r="4403" spans="1:12" hidden="1" x14ac:dyDescent="0.25">
      <c r="A4403">
        <v>2330</v>
      </c>
      <c r="B4403" t="s">
        <v>11</v>
      </c>
      <c r="C4403" s="1">
        <v>43433</v>
      </c>
      <c r="D4403" s="2">
        <f t="shared" si="136"/>
        <v>4</v>
      </c>
      <c r="E4403" s="2">
        <f t="shared" si="137"/>
        <v>11</v>
      </c>
      <c r="F4403">
        <v>218.6328</v>
      </c>
      <c r="G4403">
        <v>218.6328</v>
      </c>
      <c r="H4403">
        <v>216.27170000000001</v>
      </c>
      <c r="I4403">
        <v>216.27170000000001</v>
      </c>
      <c r="J4403">
        <v>46206</v>
      </c>
      <c r="K4403">
        <v>1.0976999999999999</v>
      </c>
      <c r="L4403">
        <v>1.0916999999999999</v>
      </c>
    </row>
    <row r="4404" spans="1:12" x14ac:dyDescent="0.25">
      <c r="A4404">
        <v>2303</v>
      </c>
      <c r="B4404" t="s">
        <v>10</v>
      </c>
      <c r="C4404" s="1">
        <v>43434</v>
      </c>
      <c r="D4404" s="2">
        <f t="shared" si="136"/>
        <v>5</v>
      </c>
      <c r="E4404" s="2">
        <f t="shared" si="137"/>
        <v>11</v>
      </c>
      <c r="F4404">
        <v>11.092700000000001</v>
      </c>
      <c r="G4404">
        <v>11.236800000000001</v>
      </c>
      <c r="H4404">
        <v>10.948700000000001</v>
      </c>
      <c r="I4404">
        <v>11.092700000000001</v>
      </c>
      <c r="J4404">
        <v>122685</v>
      </c>
      <c r="K4404">
        <v>0.43380000000000002</v>
      </c>
      <c r="L4404">
        <v>2.6316000000000002</v>
      </c>
    </row>
    <row r="4405" spans="1:12" hidden="1" x14ac:dyDescent="0.25">
      <c r="A4405">
        <v>2330</v>
      </c>
      <c r="B4405" t="s">
        <v>11</v>
      </c>
      <c r="C4405" s="1">
        <v>43434</v>
      </c>
      <c r="D4405" s="2">
        <f t="shared" si="136"/>
        <v>5</v>
      </c>
      <c r="E4405" s="2">
        <f t="shared" si="137"/>
        <v>11</v>
      </c>
      <c r="F4405">
        <v>216.7439</v>
      </c>
      <c r="G4405">
        <v>218.16059999999999</v>
      </c>
      <c r="H4405">
        <v>212.96629999999999</v>
      </c>
      <c r="I4405">
        <v>212.96629999999999</v>
      </c>
      <c r="J4405">
        <v>57352</v>
      </c>
      <c r="K4405">
        <v>-1.5402</v>
      </c>
      <c r="L4405">
        <v>2.4390000000000001</v>
      </c>
    </row>
    <row r="4406" spans="1:12" x14ac:dyDescent="0.25">
      <c r="A4406">
        <v>2303</v>
      </c>
      <c r="B4406" t="s">
        <v>10</v>
      </c>
      <c r="C4406" s="1">
        <v>43437</v>
      </c>
      <c r="D4406" s="2">
        <f t="shared" si="136"/>
        <v>1</v>
      </c>
      <c r="E4406" s="2">
        <f t="shared" si="137"/>
        <v>12</v>
      </c>
      <c r="F4406">
        <v>11.236800000000001</v>
      </c>
      <c r="G4406">
        <v>11.3809</v>
      </c>
      <c r="H4406">
        <v>11.236800000000001</v>
      </c>
      <c r="I4406">
        <v>11.236800000000001</v>
      </c>
      <c r="J4406">
        <v>69986</v>
      </c>
      <c r="K4406">
        <v>1.2903</v>
      </c>
      <c r="L4406">
        <v>1.2821</v>
      </c>
    </row>
    <row r="4407" spans="1:12" hidden="1" x14ac:dyDescent="0.25">
      <c r="A4407">
        <v>2330</v>
      </c>
      <c r="B4407" t="s">
        <v>11</v>
      </c>
      <c r="C4407" s="1">
        <v>43437</v>
      </c>
      <c r="D4407" s="2">
        <f t="shared" si="136"/>
        <v>1</v>
      </c>
      <c r="E4407" s="2">
        <f t="shared" si="137"/>
        <v>12</v>
      </c>
      <c r="F4407">
        <v>218.16059999999999</v>
      </c>
      <c r="G4407">
        <v>221.93819999999999</v>
      </c>
      <c r="H4407">
        <v>218.16059999999999</v>
      </c>
      <c r="I4407">
        <v>221.93819999999999</v>
      </c>
      <c r="J4407">
        <v>49612</v>
      </c>
      <c r="K4407">
        <v>4.1265000000000001</v>
      </c>
      <c r="L4407">
        <v>1.7316</v>
      </c>
    </row>
    <row r="4408" spans="1:12" x14ac:dyDescent="0.25">
      <c r="A4408">
        <v>2303</v>
      </c>
      <c r="B4408" t="s">
        <v>10</v>
      </c>
      <c r="C4408" s="1">
        <v>43438</v>
      </c>
      <c r="D4408" s="2">
        <f t="shared" si="136"/>
        <v>2</v>
      </c>
      <c r="E4408" s="2">
        <f t="shared" si="137"/>
        <v>12</v>
      </c>
      <c r="F4408">
        <v>11.284800000000001</v>
      </c>
      <c r="G4408">
        <v>11.428900000000001</v>
      </c>
      <c r="H4408">
        <v>11.236800000000001</v>
      </c>
      <c r="I4408">
        <v>11.332800000000001</v>
      </c>
      <c r="J4408">
        <v>57135</v>
      </c>
      <c r="K4408">
        <v>0.85109999999999997</v>
      </c>
      <c r="L4408">
        <v>1.7094</v>
      </c>
    </row>
    <row r="4409" spans="1:12" hidden="1" x14ac:dyDescent="0.25">
      <c r="A4409">
        <v>2330</v>
      </c>
      <c r="B4409" t="s">
        <v>11</v>
      </c>
      <c r="C4409" s="1">
        <v>43438</v>
      </c>
      <c r="D4409" s="2">
        <f t="shared" si="136"/>
        <v>2</v>
      </c>
      <c r="E4409" s="2">
        <f t="shared" si="137"/>
        <v>12</v>
      </c>
      <c r="F4409">
        <v>220.04939999999999</v>
      </c>
      <c r="G4409">
        <v>221.46600000000001</v>
      </c>
      <c r="H4409">
        <v>218.16059999999999</v>
      </c>
      <c r="I4409">
        <v>220.99379999999999</v>
      </c>
      <c r="J4409">
        <v>41947</v>
      </c>
      <c r="K4409">
        <v>-0.4264</v>
      </c>
      <c r="L4409">
        <v>1.5152000000000001</v>
      </c>
    </row>
    <row r="4410" spans="1:12" x14ac:dyDescent="0.25">
      <c r="A4410">
        <v>2303</v>
      </c>
      <c r="B4410" t="s">
        <v>10</v>
      </c>
      <c r="C4410" s="1">
        <v>43439</v>
      </c>
      <c r="D4410" s="2">
        <f t="shared" si="136"/>
        <v>3</v>
      </c>
      <c r="E4410" s="2">
        <f t="shared" si="137"/>
        <v>12</v>
      </c>
      <c r="F4410">
        <v>11.188800000000001</v>
      </c>
      <c r="G4410">
        <v>11.236800000000001</v>
      </c>
      <c r="H4410">
        <v>11.044700000000001</v>
      </c>
      <c r="I4410">
        <v>11.092700000000001</v>
      </c>
      <c r="J4410">
        <v>37958</v>
      </c>
      <c r="K4410">
        <v>-2.1414</v>
      </c>
      <c r="L4410">
        <v>1.7391000000000001</v>
      </c>
    </row>
    <row r="4411" spans="1:12" hidden="1" x14ac:dyDescent="0.25">
      <c r="A4411">
        <v>2330</v>
      </c>
      <c r="B4411" t="s">
        <v>11</v>
      </c>
      <c r="C4411" s="1">
        <v>43439</v>
      </c>
      <c r="D4411" s="2">
        <f t="shared" si="136"/>
        <v>3</v>
      </c>
      <c r="E4411" s="2">
        <f t="shared" si="137"/>
        <v>12</v>
      </c>
      <c r="F4411">
        <v>213.91069999999999</v>
      </c>
      <c r="G4411">
        <v>214.85509999999999</v>
      </c>
      <c r="H4411">
        <v>212.494</v>
      </c>
      <c r="I4411">
        <v>213.4385</v>
      </c>
      <c r="J4411">
        <v>45634</v>
      </c>
      <c r="K4411">
        <v>-3.4786000000000001</v>
      </c>
      <c r="L4411">
        <v>1.1111</v>
      </c>
    </row>
    <row r="4412" spans="1:12" x14ac:dyDescent="0.25">
      <c r="A4412">
        <v>2303</v>
      </c>
      <c r="B4412" t="s">
        <v>10</v>
      </c>
      <c r="C4412" s="1">
        <v>43440</v>
      </c>
      <c r="D4412" s="2">
        <f t="shared" si="136"/>
        <v>4</v>
      </c>
      <c r="E4412" s="2">
        <f t="shared" si="137"/>
        <v>12</v>
      </c>
      <c r="F4412">
        <v>11.092700000000001</v>
      </c>
      <c r="G4412">
        <v>11.092700000000001</v>
      </c>
      <c r="H4412">
        <v>10.756600000000001</v>
      </c>
      <c r="I4412">
        <v>10.852600000000001</v>
      </c>
      <c r="J4412">
        <v>53465</v>
      </c>
      <c r="K4412">
        <v>-2.1882999999999999</v>
      </c>
      <c r="L4412">
        <v>3.125</v>
      </c>
    </row>
    <row r="4413" spans="1:12" hidden="1" x14ac:dyDescent="0.25">
      <c r="A4413">
        <v>2330</v>
      </c>
      <c r="B4413" t="s">
        <v>11</v>
      </c>
      <c r="C4413" s="1">
        <v>43440</v>
      </c>
      <c r="D4413" s="2">
        <f t="shared" si="136"/>
        <v>4</v>
      </c>
      <c r="E4413" s="2">
        <f t="shared" si="137"/>
        <v>12</v>
      </c>
      <c r="F4413">
        <v>207.77199999999999</v>
      </c>
      <c r="G4413">
        <v>209.66079999999999</v>
      </c>
      <c r="H4413">
        <v>207.2998</v>
      </c>
      <c r="I4413">
        <v>207.77199999999999</v>
      </c>
      <c r="J4413">
        <v>40181</v>
      </c>
      <c r="K4413">
        <v>-2.6907000000000001</v>
      </c>
      <c r="L4413">
        <v>1.139</v>
      </c>
    </row>
    <row r="4414" spans="1:12" x14ac:dyDescent="0.25">
      <c r="A4414">
        <v>2303</v>
      </c>
      <c r="B4414" t="s">
        <v>10</v>
      </c>
      <c r="C4414" s="1">
        <v>43441</v>
      </c>
      <c r="D4414" s="2">
        <f t="shared" si="136"/>
        <v>5</v>
      </c>
      <c r="E4414" s="2">
        <f t="shared" si="137"/>
        <v>12</v>
      </c>
      <c r="F4414">
        <v>10.852600000000001</v>
      </c>
      <c r="G4414">
        <v>10.900700000000001</v>
      </c>
      <c r="H4414">
        <v>10.660600000000001</v>
      </c>
      <c r="I4414">
        <v>10.756600000000001</v>
      </c>
      <c r="J4414">
        <v>41314</v>
      </c>
      <c r="K4414">
        <v>-0.88890000000000002</v>
      </c>
      <c r="L4414">
        <v>2.2523</v>
      </c>
    </row>
    <row r="4415" spans="1:12" hidden="1" x14ac:dyDescent="0.25">
      <c r="A4415">
        <v>2330</v>
      </c>
      <c r="B4415" t="s">
        <v>11</v>
      </c>
      <c r="C4415" s="1">
        <v>43441</v>
      </c>
      <c r="D4415" s="2">
        <f t="shared" si="136"/>
        <v>5</v>
      </c>
      <c r="E4415" s="2">
        <f t="shared" si="137"/>
        <v>12</v>
      </c>
      <c r="F4415">
        <v>210.13300000000001</v>
      </c>
      <c r="G4415">
        <v>211.07740000000001</v>
      </c>
      <c r="H4415">
        <v>208.24420000000001</v>
      </c>
      <c r="I4415">
        <v>208.71639999999999</v>
      </c>
      <c r="J4415">
        <v>31997</v>
      </c>
      <c r="K4415">
        <v>0.45350000000000001</v>
      </c>
      <c r="L4415">
        <v>1.3605</v>
      </c>
    </row>
    <row r="4416" spans="1:12" x14ac:dyDescent="0.25">
      <c r="A4416">
        <v>2303</v>
      </c>
      <c r="B4416" t="s">
        <v>10</v>
      </c>
      <c r="C4416" s="1">
        <v>43444</v>
      </c>
      <c r="D4416" s="2">
        <f t="shared" si="136"/>
        <v>1</v>
      </c>
      <c r="E4416" s="2">
        <f t="shared" si="137"/>
        <v>12</v>
      </c>
      <c r="F4416">
        <v>10.660600000000001</v>
      </c>
      <c r="G4416">
        <v>10.756600000000001</v>
      </c>
      <c r="H4416">
        <v>10.612500000000001</v>
      </c>
      <c r="I4416">
        <v>10.660600000000001</v>
      </c>
      <c r="J4416">
        <v>29147</v>
      </c>
      <c r="K4416">
        <v>-0.89690000000000003</v>
      </c>
      <c r="L4416">
        <v>1.3574999999999999</v>
      </c>
    </row>
    <row r="4417" spans="1:12" hidden="1" x14ac:dyDescent="0.25">
      <c r="A4417">
        <v>2330</v>
      </c>
      <c r="B4417" t="s">
        <v>11</v>
      </c>
      <c r="C4417" s="1">
        <v>43444</v>
      </c>
      <c r="D4417" s="2">
        <f t="shared" si="136"/>
        <v>1</v>
      </c>
      <c r="E4417" s="2">
        <f t="shared" si="137"/>
        <v>12</v>
      </c>
      <c r="F4417">
        <v>207.2998</v>
      </c>
      <c r="G4417">
        <v>207.77199999999999</v>
      </c>
      <c r="H4417">
        <v>206.3553</v>
      </c>
      <c r="I4417">
        <v>206.82749999999999</v>
      </c>
      <c r="J4417">
        <v>26229</v>
      </c>
      <c r="K4417">
        <v>-0.90910000000000002</v>
      </c>
      <c r="L4417">
        <v>0.6865</v>
      </c>
    </row>
    <row r="4418" spans="1:12" x14ac:dyDescent="0.25">
      <c r="A4418">
        <v>2303</v>
      </c>
      <c r="B4418" t="s">
        <v>10</v>
      </c>
      <c r="C4418" s="1">
        <v>43445</v>
      </c>
      <c r="D4418" s="2">
        <f t="shared" si="136"/>
        <v>2</v>
      </c>
      <c r="E4418" s="2">
        <f t="shared" si="137"/>
        <v>12</v>
      </c>
      <c r="F4418">
        <v>10.564500000000001</v>
      </c>
      <c r="G4418">
        <v>10.660600000000001</v>
      </c>
      <c r="H4418">
        <v>10.468500000000001</v>
      </c>
      <c r="I4418">
        <v>10.564500000000001</v>
      </c>
      <c r="J4418">
        <v>43093</v>
      </c>
      <c r="K4418">
        <v>-0.90500000000000003</v>
      </c>
      <c r="L4418">
        <v>1.8349</v>
      </c>
    </row>
    <row r="4419" spans="1:12" hidden="1" x14ac:dyDescent="0.25">
      <c r="A4419">
        <v>2330</v>
      </c>
      <c r="B4419" t="s">
        <v>11</v>
      </c>
      <c r="C4419" s="1">
        <v>43445</v>
      </c>
      <c r="D4419" s="2">
        <f t="shared" ref="D4419:D4482" si="138">WEEKDAY(C4419,2)</f>
        <v>2</v>
      </c>
      <c r="E4419" s="2">
        <f t="shared" ref="E4419:E4482" si="139">MONTH(C4419)</f>
        <v>12</v>
      </c>
      <c r="F4419">
        <v>207.77199999999999</v>
      </c>
      <c r="G4419">
        <v>210.6052</v>
      </c>
      <c r="H4419">
        <v>206.82749999999999</v>
      </c>
      <c r="I4419">
        <v>210.13300000000001</v>
      </c>
      <c r="J4419">
        <v>27395</v>
      </c>
      <c r="K4419">
        <v>1.5854999999999999</v>
      </c>
      <c r="L4419">
        <v>1.8265</v>
      </c>
    </row>
    <row r="4420" spans="1:12" x14ac:dyDescent="0.25">
      <c r="A4420">
        <v>2303</v>
      </c>
      <c r="B4420" t="s">
        <v>10</v>
      </c>
      <c r="C4420" s="1">
        <v>43446</v>
      </c>
      <c r="D4420" s="2">
        <f t="shared" si="138"/>
        <v>3</v>
      </c>
      <c r="E4420" s="2">
        <f t="shared" si="139"/>
        <v>12</v>
      </c>
      <c r="F4420">
        <v>10.660600000000001</v>
      </c>
      <c r="G4420">
        <v>10.948700000000001</v>
      </c>
      <c r="H4420">
        <v>10.564500000000001</v>
      </c>
      <c r="I4420">
        <v>10.852600000000001</v>
      </c>
      <c r="J4420">
        <v>41642</v>
      </c>
      <c r="K4420">
        <v>2.6907000000000001</v>
      </c>
      <c r="L4420">
        <v>3.6364000000000001</v>
      </c>
    </row>
    <row r="4421" spans="1:12" hidden="1" x14ac:dyDescent="0.25">
      <c r="A4421">
        <v>2330</v>
      </c>
      <c r="B4421" t="s">
        <v>11</v>
      </c>
      <c r="C4421" s="1">
        <v>43446</v>
      </c>
      <c r="D4421" s="2">
        <f t="shared" si="138"/>
        <v>3</v>
      </c>
      <c r="E4421" s="2">
        <f t="shared" si="139"/>
        <v>12</v>
      </c>
      <c r="F4421">
        <v>211.07740000000001</v>
      </c>
      <c r="G4421">
        <v>214.38290000000001</v>
      </c>
      <c r="H4421">
        <v>210.13300000000001</v>
      </c>
      <c r="I4421">
        <v>213.91069999999999</v>
      </c>
      <c r="J4421">
        <v>32926</v>
      </c>
      <c r="K4421">
        <v>1.7818000000000001</v>
      </c>
      <c r="L4421">
        <v>2.0225</v>
      </c>
    </row>
    <row r="4422" spans="1:12" x14ac:dyDescent="0.25">
      <c r="A4422">
        <v>2303</v>
      </c>
      <c r="B4422" t="s">
        <v>10</v>
      </c>
      <c r="C4422" s="1">
        <v>43447</v>
      </c>
      <c r="D4422" s="2">
        <f t="shared" si="138"/>
        <v>4</v>
      </c>
      <c r="E4422" s="2">
        <f t="shared" si="139"/>
        <v>12</v>
      </c>
      <c r="F4422">
        <v>10.900700000000001</v>
      </c>
      <c r="G4422">
        <v>11.092700000000001</v>
      </c>
      <c r="H4422">
        <v>10.900700000000001</v>
      </c>
      <c r="I4422">
        <v>11.044700000000001</v>
      </c>
      <c r="J4422">
        <v>60680</v>
      </c>
      <c r="K4422">
        <v>1.7544</v>
      </c>
      <c r="L4422">
        <v>1.7621</v>
      </c>
    </row>
    <row r="4423" spans="1:12" hidden="1" x14ac:dyDescent="0.25">
      <c r="A4423">
        <v>2330</v>
      </c>
      <c r="B4423" t="s">
        <v>11</v>
      </c>
      <c r="C4423" s="1">
        <v>43447</v>
      </c>
      <c r="D4423" s="2">
        <f t="shared" si="138"/>
        <v>4</v>
      </c>
      <c r="E4423" s="2">
        <f t="shared" si="139"/>
        <v>12</v>
      </c>
      <c r="F4423">
        <v>214.38290000000001</v>
      </c>
      <c r="G4423">
        <v>214.85509999999999</v>
      </c>
      <c r="H4423">
        <v>212.494</v>
      </c>
      <c r="I4423">
        <v>213.4385</v>
      </c>
      <c r="J4423">
        <v>32433</v>
      </c>
      <c r="K4423">
        <v>-0.221</v>
      </c>
      <c r="L4423">
        <v>1.1111</v>
      </c>
    </row>
    <row r="4424" spans="1:12" x14ac:dyDescent="0.25">
      <c r="A4424">
        <v>2303</v>
      </c>
      <c r="B4424" t="s">
        <v>10</v>
      </c>
      <c r="C4424" s="1">
        <v>43448</v>
      </c>
      <c r="D4424" s="2">
        <f t="shared" si="138"/>
        <v>5</v>
      </c>
      <c r="E4424" s="2">
        <f t="shared" si="139"/>
        <v>12</v>
      </c>
      <c r="F4424">
        <v>10.948700000000001</v>
      </c>
      <c r="G4424">
        <v>11.044700000000001</v>
      </c>
      <c r="H4424">
        <v>10.804600000000001</v>
      </c>
      <c r="I4424">
        <v>10.900700000000001</v>
      </c>
      <c r="J4424">
        <v>43980</v>
      </c>
      <c r="K4424">
        <v>-1.3129</v>
      </c>
      <c r="L4424">
        <v>2.2222</v>
      </c>
    </row>
    <row r="4425" spans="1:12" hidden="1" x14ac:dyDescent="0.25">
      <c r="A4425">
        <v>2330</v>
      </c>
      <c r="B4425" t="s">
        <v>11</v>
      </c>
      <c r="C4425" s="1">
        <v>43448</v>
      </c>
      <c r="D4425" s="2">
        <f t="shared" si="138"/>
        <v>5</v>
      </c>
      <c r="E4425" s="2">
        <f t="shared" si="139"/>
        <v>12</v>
      </c>
      <c r="F4425">
        <v>210.6052</v>
      </c>
      <c r="G4425">
        <v>211.07740000000001</v>
      </c>
      <c r="H4425">
        <v>208.24420000000001</v>
      </c>
      <c r="I4425">
        <v>210.13300000000001</v>
      </c>
      <c r="J4425">
        <v>43226</v>
      </c>
      <c r="K4425">
        <v>-1.5608</v>
      </c>
      <c r="L4425">
        <v>1.3605</v>
      </c>
    </row>
    <row r="4426" spans="1:12" x14ac:dyDescent="0.25">
      <c r="A4426">
        <v>2303</v>
      </c>
      <c r="B4426" t="s">
        <v>10</v>
      </c>
      <c r="C4426" s="1">
        <v>43451</v>
      </c>
      <c r="D4426" s="2">
        <f t="shared" si="138"/>
        <v>1</v>
      </c>
      <c r="E4426" s="2">
        <f t="shared" si="139"/>
        <v>12</v>
      </c>
      <c r="F4426">
        <v>10.948700000000001</v>
      </c>
      <c r="G4426">
        <v>11.092700000000001</v>
      </c>
      <c r="H4426">
        <v>10.900700000000001</v>
      </c>
      <c r="I4426">
        <v>10.948700000000001</v>
      </c>
      <c r="J4426">
        <v>47487</v>
      </c>
      <c r="K4426">
        <v>0.43959999999999999</v>
      </c>
      <c r="L4426">
        <v>1.7621</v>
      </c>
    </row>
    <row r="4427" spans="1:12" hidden="1" x14ac:dyDescent="0.25">
      <c r="A4427">
        <v>2330</v>
      </c>
      <c r="B4427" t="s">
        <v>11</v>
      </c>
      <c r="C4427" s="1">
        <v>43451</v>
      </c>
      <c r="D4427" s="2">
        <f t="shared" si="138"/>
        <v>1</v>
      </c>
      <c r="E4427" s="2">
        <f t="shared" si="139"/>
        <v>12</v>
      </c>
      <c r="F4427">
        <v>208.71639999999999</v>
      </c>
      <c r="G4427">
        <v>212.494</v>
      </c>
      <c r="H4427">
        <v>207.77199999999999</v>
      </c>
      <c r="I4427">
        <v>211.07740000000001</v>
      </c>
      <c r="J4427">
        <v>18964</v>
      </c>
      <c r="K4427">
        <v>0.44840000000000002</v>
      </c>
      <c r="L4427">
        <v>2.2726999999999999</v>
      </c>
    </row>
    <row r="4428" spans="1:12" x14ac:dyDescent="0.25">
      <c r="A4428">
        <v>2303</v>
      </c>
      <c r="B4428" t="s">
        <v>10</v>
      </c>
      <c r="C4428" s="1">
        <v>43452</v>
      </c>
      <c r="D4428" s="2">
        <f t="shared" si="138"/>
        <v>2</v>
      </c>
      <c r="E4428" s="2">
        <f t="shared" si="139"/>
        <v>12</v>
      </c>
      <c r="F4428">
        <v>10.852600000000001</v>
      </c>
      <c r="G4428">
        <v>10.900700000000001</v>
      </c>
      <c r="H4428">
        <v>10.756600000000001</v>
      </c>
      <c r="I4428">
        <v>10.756600000000001</v>
      </c>
      <c r="J4428">
        <v>44070</v>
      </c>
      <c r="K4428">
        <v>-1.77</v>
      </c>
      <c r="L4428">
        <v>1.3392999999999999</v>
      </c>
    </row>
    <row r="4429" spans="1:12" hidden="1" x14ac:dyDescent="0.25">
      <c r="A4429">
        <v>2330</v>
      </c>
      <c r="B4429" t="s">
        <v>11</v>
      </c>
      <c r="C4429" s="1">
        <v>43452</v>
      </c>
      <c r="D4429" s="2">
        <f t="shared" si="138"/>
        <v>2</v>
      </c>
      <c r="E4429" s="2">
        <f t="shared" si="139"/>
        <v>12</v>
      </c>
      <c r="F4429">
        <v>208.71639999999999</v>
      </c>
      <c r="G4429">
        <v>210.6052</v>
      </c>
      <c r="H4429">
        <v>208.24420000000001</v>
      </c>
      <c r="I4429">
        <v>210.13300000000001</v>
      </c>
      <c r="J4429">
        <v>30270</v>
      </c>
      <c r="K4429">
        <v>-0.44840000000000002</v>
      </c>
      <c r="L4429">
        <v>1.1337999999999999</v>
      </c>
    </row>
    <row r="4430" spans="1:12" x14ac:dyDescent="0.25">
      <c r="A4430">
        <v>2303</v>
      </c>
      <c r="B4430" t="s">
        <v>10</v>
      </c>
      <c r="C4430" s="1">
        <v>43453</v>
      </c>
      <c r="D4430" s="2">
        <f t="shared" si="138"/>
        <v>3</v>
      </c>
      <c r="E4430" s="2">
        <f t="shared" si="139"/>
        <v>12</v>
      </c>
      <c r="F4430">
        <v>10.804600000000001</v>
      </c>
      <c r="G4430">
        <v>10.996700000000001</v>
      </c>
      <c r="H4430">
        <v>10.756600000000001</v>
      </c>
      <c r="I4430">
        <v>10.852600000000001</v>
      </c>
      <c r="J4430">
        <v>59388</v>
      </c>
      <c r="K4430">
        <v>0.88890000000000002</v>
      </c>
      <c r="L4430">
        <v>2.2321</v>
      </c>
    </row>
    <row r="4431" spans="1:12" hidden="1" x14ac:dyDescent="0.25">
      <c r="A4431">
        <v>2330</v>
      </c>
      <c r="B4431" t="s">
        <v>11</v>
      </c>
      <c r="C4431" s="1">
        <v>43453</v>
      </c>
      <c r="D4431" s="2">
        <f t="shared" si="138"/>
        <v>3</v>
      </c>
      <c r="E4431" s="2">
        <f t="shared" si="139"/>
        <v>12</v>
      </c>
      <c r="F4431">
        <v>209.66079999999999</v>
      </c>
      <c r="G4431">
        <v>212.96629999999999</v>
      </c>
      <c r="H4431">
        <v>209.66079999999999</v>
      </c>
      <c r="I4431">
        <v>212.96629999999999</v>
      </c>
      <c r="J4431">
        <v>23415</v>
      </c>
      <c r="K4431">
        <v>1.3392999999999999</v>
      </c>
      <c r="L4431">
        <v>1.5766</v>
      </c>
    </row>
    <row r="4432" spans="1:12" x14ac:dyDescent="0.25">
      <c r="A4432">
        <v>2303</v>
      </c>
      <c r="B4432" t="s">
        <v>10</v>
      </c>
      <c r="C4432" s="1">
        <v>43454</v>
      </c>
      <c r="D4432" s="2">
        <f t="shared" si="138"/>
        <v>4</v>
      </c>
      <c r="E4432" s="2">
        <f t="shared" si="139"/>
        <v>12</v>
      </c>
      <c r="F4432">
        <v>10.804600000000001</v>
      </c>
      <c r="G4432">
        <v>10.996700000000001</v>
      </c>
      <c r="H4432">
        <v>10.756600000000001</v>
      </c>
      <c r="I4432">
        <v>10.852600000000001</v>
      </c>
      <c r="J4432">
        <v>41050</v>
      </c>
      <c r="K4432">
        <v>0</v>
      </c>
      <c r="L4432">
        <v>2.2321</v>
      </c>
    </row>
    <row r="4433" spans="1:12" hidden="1" x14ac:dyDescent="0.25">
      <c r="A4433">
        <v>2330</v>
      </c>
      <c r="B4433" t="s">
        <v>11</v>
      </c>
      <c r="C4433" s="1">
        <v>43454</v>
      </c>
      <c r="D4433" s="2">
        <f t="shared" si="138"/>
        <v>4</v>
      </c>
      <c r="E4433" s="2">
        <f t="shared" si="139"/>
        <v>12</v>
      </c>
      <c r="F4433">
        <v>208.71639999999999</v>
      </c>
      <c r="G4433">
        <v>210.13300000000001</v>
      </c>
      <c r="H4433">
        <v>208.71639999999999</v>
      </c>
      <c r="I4433">
        <v>208.71639999999999</v>
      </c>
      <c r="J4433">
        <v>38697</v>
      </c>
      <c r="K4433">
        <v>-2.0156999999999998</v>
      </c>
      <c r="L4433">
        <v>0.67869999999999997</v>
      </c>
    </row>
    <row r="4434" spans="1:12" x14ac:dyDescent="0.25">
      <c r="A4434">
        <v>2303</v>
      </c>
      <c r="B4434" t="s">
        <v>10</v>
      </c>
      <c r="C4434" s="1">
        <v>43455</v>
      </c>
      <c r="D4434" s="2">
        <f t="shared" si="138"/>
        <v>5</v>
      </c>
      <c r="E4434" s="2">
        <f t="shared" si="139"/>
        <v>12</v>
      </c>
      <c r="F4434">
        <v>10.852600000000001</v>
      </c>
      <c r="G4434">
        <v>10.996700000000001</v>
      </c>
      <c r="H4434">
        <v>10.804600000000001</v>
      </c>
      <c r="I4434">
        <v>10.948700000000001</v>
      </c>
      <c r="J4434">
        <v>63593</v>
      </c>
      <c r="K4434">
        <v>0.88109999999999999</v>
      </c>
      <c r="L4434">
        <v>1.7778</v>
      </c>
    </row>
    <row r="4435" spans="1:12" hidden="1" x14ac:dyDescent="0.25">
      <c r="A4435">
        <v>2330</v>
      </c>
      <c r="B4435" t="s">
        <v>11</v>
      </c>
      <c r="C4435" s="1">
        <v>43455</v>
      </c>
      <c r="D4435" s="2">
        <f t="shared" si="138"/>
        <v>5</v>
      </c>
      <c r="E4435" s="2">
        <f t="shared" si="139"/>
        <v>12</v>
      </c>
      <c r="F4435">
        <v>206.82749999999999</v>
      </c>
      <c r="G4435">
        <v>211.5496</v>
      </c>
      <c r="H4435">
        <v>206.82749999999999</v>
      </c>
      <c r="I4435">
        <v>211.07740000000001</v>
      </c>
      <c r="J4435">
        <v>46947</v>
      </c>
      <c r="K4435">
        <v>1.1249</v>
      </c>
      <c r="L4435">
        <v>2.2831000000000001</v>
      </c>
    </row>
    <row r="4436" spans="1:12" x14ac:dyDescent="0.25">
      <c r="A4436">
        <v>2303</v>
      </c>
      <c r="B4436" t="s">
        <v>10</v>
      </c>
      <c r="C4436" s="1">
        <v>43456</v>
      </c>
      <c r="D4436" s="2">
        <f t="shared" si="138"/>
        <v>6</v>
      </c>
      <c r="E4436" s="2">
        <f t="shared" si="139"/>
        <v>12</v>
      </c>
      <c r="F4436">
        <v>10.900700000000001</v>
      </c>
      <c r="G4436">
        <v>10.948700000000001</v>
      </c>
      <c r="H4436">
        <v>10.756600000000001</v>
      </c>
      <c r="I4436">
        <v>10.804600000000001</v>
      </c>
      <c r="J4436">
        <v>14652</v>
      </c>
      <c r="K4436">
        <v>-1.3245</v>
      </c>
      <c r="L4436">
        <v>1.7857000000000001</v>
      </c>
    </row>
    <row r="4437" spans="1:12" hidden="1" x14ac:dyDescent="0.25">
      <c r="A4437">
        <v>2330</v>
      </c>
      <c r="B4437" t="s">
        <v>11</v>
      </c>
      <c r="C4437" s="1">
        <v>43456</v>
      </c>
      <c r="D4437" s="2">
        <f t="shared" si="138"/>
        <v>6</v>
      </c>
      <c r="E4437" s="2">
        <f t="shared" si="139"/>
        <v>12</v>
      </c>
      <c r="F4437">
        <v>207.77199999999999</v>
      </c>
      <c r="G4437">
        <v>209.18860000000001</v>
      </c>
      <c r="H4437">
        <v>207.77199999999999</v>
      </c>
      <c r="I4437">
        <v>209.18860000000001</v>
      </c>
      <c r="J4437">
        <v>5185</v>
      </c>
      <c r="K4437">
        <v>-0.89890000000000003</v>
      </c>
      <c r="L4437">
        <v>0.68179999999999996</v>
      </c>
    </row>
    <row r="4438" spans="1:12" x14ac:dyDescent="0.25">
      <c r="A4438">
        <v>2303</v>
      </c>
      <c r="B4438" t="s">
        <v>10</v>
      </c>
      <c r="C4438" s="1">
        <v>43458</v>
      </c>
      <c r="D4438" s="2">
        <f t="shared" si="138"/>
        <v>1</v>
      </c>
      <c r="E4438" s="2">
        <f t="shared" si="139"/>
        <v>12</v>
      </c>
      <c r="F4438">
        <v>10.852600000000001</v>
      </c>
      <c r="G4438">
        <v>10.900700000000001</v>
      </c>
      <c r="H4438">
        <v>10.708600000000001</v>
      </c>
      <c r="I4438">
        <v>10.756600000000001</v>
      </c>
      <c r="J4438">
        <v>25863</v>
      </c>
      <c r="K4438">
        <v>-0.44540000000000002</v>
      </c>
      <c r="L4438">
        <v>1.7937000000000001</v>
      </c>
    </row>
    <row r="4439" spans="1:12" hidden="1" x14ac:dyDescent="0.25">
      <c r="A4439">
        <v>2330</v>
      </c>
      <c r="B4439" t="s">
        <v>11</v>
      </c>
      <c r="C4439" s="1">
        <v>43458</v>
      </c>
      <c r="D4439" s="2">
        <f t="shared" si="138"/>
        <v>1</v>
      </c>
      <c r="E4439" s="2">
        <f t="shared" si="139"/>
        <v>12</v>
      </c>
      <c r="F4439">
        <v>209.18860000000001</v>
      </c>
      <c r="G4439">
        <v>209.18860000000001</v>
      </c>
      <c r="H4439">
        <v>207.2998</v>
      </c>
      <c r="I4439">
        <v>207.77199999999999</v>
      </c>
      <c r="J4439">
        <v>23376</v>
      </c>
      <c r="K4439">
        <v>-0.67949999999999999</v>
      </c>
      <c r="L4439">
        <v>0.91120000000000001</v>
      </c>
    </row>
    <row r="4440" spans="1:12" x14ac:dyDescent="0.25">
      <c r="A4440">
        <v>2303</v>
      </c>
      <c r="B4440" t="s">
        <v>10</v>
      </c>
      <c r="C4440" s="1">
        <v>43459</v>
      </c>
      <c r="D4440" s="2">
        <f t="shared" si="138"/>
        <v>2</v>
      </c>
      <c r="E4440" s="2">
        <f t="shared" si="139"/>
        <v>12</v>
      </c>
      <c r="F4440">
        <v>10.660600000000001</v>
      </c>
      <c r="G4440">
        <v>10.756600000000001</v>
      </c>
      <c r="H4440">
        <v>10.612500000000001</v>
      </c>
      <c r="I4440">
        <v>10.708600000000001</v>
      </c>
      <c r="J4440">
        <v>11846</v>
      </c>
      <c r="K4440">
        <v>-0.44740000000000002</v>
      </c>
      <c r="L4440">
        <v>1.3574999999999999</v>
      </c>
    </row>
    <row r="4441" spans="1:12" hidden="1" x14ac:dyDescent="0.25">
      <c r="A4441">
        <v>2330</v>
      </c>
      <c r="B4441" t="s">
        <v>11</v>
      </c>
      <c r="C4441" s="1">
        <v>43459</v>
      </c>
      <c r="D4441" s="2">
        <f t="shared" si="138"/>
        <v>2</v>
      </c>
      <c r="E4441" s="2">
        <f t="shared" si="139"/>
        <v>12</v>
      </c>
      <c r="F4441">
        <v>203.52209999999999</v>
      </c>
      <c r="G4441">
        <v>205.88310000000001</v>
      </c>
      <c r="H4441">
        <v>203.04990000000001</v>
      </c>
      <c r="I4441">
        <v>205.4109</v>
      </c>
      <c r="J4441">
        <v>19402</v>
      </c>
      <c r="K4441">
        <v>-1.1429</v>
      </c>
      <c r="L4441">
        <v>1.3953</v>
      </c>
    </row>
    <row r="4442" spans="1:12" x14ac:dyDescent="0.25">
      <c r="A4442">
        <v>2303</v>
      </c>
      <c r="B4442" t="s">
        <v>10</v>
      </c>
      <c r="C4442" s="1">
        <v>43460</v>
      </c>
      <c r="D4442" s="2">
        <f t="shared" si="138"/>
        <v>3</v>
      </c>
      <c r="E4442" s="2">
        <f t="shared" si="139"/>
        <v>12</v>
      </c>
      <c r="F4442">
        <v>10.756600000000001</v>
      </c>
      <c r="G4442">
        <v>10.804600000000001</v>
      </c>
      <c r="H4442">
        <v>10.708600000000001</v>
      </c>
      <c r="I4442">
        <v>10.756600000000001</v>
      </c>
      <c r="J4442">
        <v>12700</v>
      </c>
      <c r="K4442">
        <v>0.44740000000000002</v>
      </c>
      <c r="L4442">
        <v>0.89690000000000003</v>
      </c>
    </row>
    <row r="4443" spans="1:12" hidden="1" x14ac:dyDescent="0.25">
      <c r="A4443">
        <v>2330</v>
      </c>
      <c r="B4443" t="s">
        <v>11</v>
      </c>
      <c r="C4443" s="1">
        <v>43460</v>
      </c>
      <c r="D4443" s="2">
        <f t="shared" si="138"/>
        <v>3</v>
      </c>
      <c r="E4443" s="2">
        <f t="shared" si="139"/>
        <v>12</v>
      </c>
      <c r="F4443">
        <v>206.3553</v>
      </c>
      <c r="G4443">
        <v>207.2998</v>
      </c>
      <c r="H4443">
        <v>203.99430000000001</v>
      </c>
      <c r="I4443">
        <v>204.4665</v>
      </c>
      <c r="J4443">
        <v>16893</v>
      </c>
      <c r="K4443">
        <v>-0.46079999999999999</v>
      </c>
      <c r="L4443">
        <v>1.6204000000000001</v>
      </c>
    </row>
    <row r="4444" spans="1:12" x14ac:dyDescent="0.25">
      <c r="A4444">
        <v>2303</v>
      </c>
      <c r="B4444" t="s">
        <v>10</v>
      </c>
      <c r="C4444" s="1">
        <v>43461</v>
      </c>
      <c r="D4444" s="2">
        <f t="shared" si="138"/>
        <v>4</v>
      </c>
      <c r="E4444" s="2">
        <f t="shared" si="139"/>
        <v>12</v>
      </c>
      <c r="F4444">
        <v>10.900700000000001</v>
      </c>
      <c r="G4444">
        <v>10.948700000000001</v>
      </c>
      <c r="H4444">
        <v>10.756600000000001</v>
      </c>
      <c r="I4444">
        <v>10.804600000000001</v>
      </c>
      <c r="J4444">
        <v>20757</v>
      </c>
      <c r="K4444">
        <v>0.44540000000000002</v>
      </c>
      <c r="L4444">
        <v>1.7857000000000001</v>
      </c>
    </row>
    <row r="4445" spans="1:12" hidden="1" x14ac:dyDescent="0.25">
      <c r="A4445">
        <v>2330</v>
      </c>
      <c r="B4445" t="s">
        <v>11</v>
      </c>
      <c r="C4445" s="1">
        <v>43461</v>
      </c>
      <c r="D4445" s="2">
        <f t="shared" si="138"/>
        <v>4</v>
      </c>
      <c r="E4445" s="2">
        <f t="shared" si="139"/>
        <v>12</v>
      </c>
      <c r="F4445">
        <v>209.66079999999999</v>
      </c>
      <c r="G4445">
        <v>211.5496</v>
      </c>
      <c r="H4445">
        <v>208.24420000000001</v>
      </c>
      <c r="I4445">
        <v>210.6052</v>
      </c>
      <c r="J4445">
        <v>21915</v>
      </c>
      <c r="K4445">
        <v>2.9581</v>
      </c>
      <c r="L4445">
        <v>1.5872999999999999</v>
      </c>
    </row>
    <row r="4446" spans="1:12" x14ac:dyDescent="0.25">
      <c r="A4446">
        <v>2303</v>
      </c>
      <c r="B4446" t="s">
        <v>10</v>
      </c>
      <c r="C4446" s="1">
        <v>43462</v>
      </c>
      <c r="D4446" s="2">
        <f t="shared" si="138"/>
        <v>5</v>
      </c>
      <c r="E4446" s="2">
        <f t="shared" si="139"/>
        <v>12</v>
      </c>
      <c r="F4446">
        <v>10.804600000000001</v>
      </c>
      <c r="G4446">
        <v>10.852600000000001</v>
      </c>
      <c r="H4446">
        <v>10.756600000000001</v>
      </c>
      <c r="I4446">
        <v>10.804600000000001</v>
      </c>
      <c r="J4446">
        <v>17480</v>
      </c>
      <c r="K4446">
        <v>0</v>
      </c>
      <c r="L4446">
        <v>0.89290000000000003</v>
      </c>
    </row>
    <row r="4447" spans="1:12" hidden="1" x14ac:dyDescent="0.25">
      <c r="A4447">
        <v>2330</v>
      </c>
      <c r="B4447" t="s">
        <v>11</v>
      </c>
      <c r="C4447" s="1">
        <v>43462</v>
      </c>
      <c r="D4447" s="2">
        <f t="shared" si="138"/>
        <v>5</v>
      </c>
      <c r="E4447" s="2">
        <f t="shared" si="139"/>
        <v>12</v>
      </c>
      <c r="F4447">
        <v>211.07740000000001</v>
      </c>
      <c r="G4447">
        <v>212.96629999999999</v>
      </c>
      <c r="H4447">
        <v>210.13300000000001</v>
      </c>
      <c r="I4447">
        <v>212.96629999999999</v>
      </c>
      <c r="J4447">
        <v>30156</v>
      </c>
      <c r="K4447">
        <v>1.1148</v>
      </c>
      <c r="L4447">
        <v>1.3483000000000001</v>
      </c>
    </row>
    <row r="4448" spans="1:12" x14ac:dyDescent="0.25">
      <c r="A4448">
        <v>2303</v>
      </c>
      <c r="B4448" t="s">
        <v>10</v>
      </c>
      <c r="C4448" s="1">
        <v>43467</v>
      </c>
      <c r="D4448" s="2">
        <f t="shared" si="138"/>
        <v>3</v>
      </c>
      <c r="E4448" s="2">
        <f t="shared" si="139"/>
        <v>1</v>
      </c>
      <c r="F4448">
        <v>10.852600000000001</v>
      </c>
      <c r="G4448">
        <v>10.900700000000001</v>
      </c>
      <c r="H4448">
        <v>10.660600000000001</v>
      </c>
      <c r="I4448">
        <v>10.660600000000001</v>
      </c>
      <c r="J4448">
        <v>18798</v>
      </c>
      <c r="K4448">
        <v>-1.3423</v>
      </c>
      <c r="L4448">
        <v>2.2523</v>
      </c>
    </row>
    <row r="4449" spans="1:12" hidden="1" x14ac:dyDescent="0.25">
      <c r="A4449">
        <v>2330</v>
      </c>
      <c r="B4449" t="s">
        <v>11</v>
      </c>
      <c r="C4449" s="1">
        <v>43467</v>
      </c>
      <c r="D4449" s="2">
        <f t="shared" si="138"/>
        <v>3</v>
      </c>
      <c r="E4449" s="2">
        <f t="shared" si="139"/>
        <v>1</v>
      </c>
      <c r="F4449">
        <v>213.91069999999999</v>
      </c>
      <c r="G4449">
        <v>213.91069999999999</v>
      </c>
      <c r="H4449">
        <v>206.82749999999999</v>
      </c>
      <c r="I4449">
        <v>207.2998</v>
      </c>
      <c r="J4449">
        <v>32900</v>
      </c>
      <c r="K4449">
        <v>-2.6968000000000001</v>
      </c>
      <c r="L4449">
        <v>3.4247000000000001</v>
      </c>
    </row>
    <row r="4450" spans="1:12" x14ac:dyDescent="0.25">
      <c r="A4450">
        <v>2303</v>
      </c>
      <c r="B4450" t="s">
        <v>10</v>
      </c>
      <c r="C4450" s="1">
        <v>43468</v>
      </c>
      <c r="D4450" s="2">
        <f t="shared" si="138"/>
        <v>4</v>
      </c>
      <c r="E4450" s="2">
        <f t="shared" si="139"/>
        <v>1</v>
      </c>
      <c r="F4450">
        <v>10.660600000000001</v>
      </c>
      <c r="G4450">
        <v>10.660600000000001</v>
      </c>
      <c r="H4450">
        <v>10.324400000000001</v>
      </c>
      <c r="I4450">
        <v>10.468500000000001</v>
      </c>
      <c r="J4450">
        <v>49252</v>
      </c>
      <c r="K4450">
        <v>-1.8182</v>
      </c>
      <c r="L4450">
        <v>3.2557999999999998</v>
      </c>
    </row>
    <row r="4451" spans="1:12" hidden="1" x14ac:dyDescent="0.25">
      <c r="A4451">
        <v>2330</v>
      </c>
      <c r="B4451" t="s">
        <v>11</v>
      </c>
      <c r="C4451" s="1">
        <v>43468</v>
      </c>
      <c r="D4451" s="2">
        <f t="shared" si="138"/>
        <v>4</v>
      </c>
      <c r="E4451" s="2">
        <f t="shared" si="139"/>
        <v>1</v>
      </c>
      <c r="F4451">
        <v>202.10550000000001</v>
      </c>
      <c r="G4451">
        <v>205.88310000000001</v>
      </c>
      <c r="H4451">
        <v>202.10550000000001</v>
      </c>
      <c r="I4451">
        <v>203.52209999999999</v>
      </c>
      <c r="J4451">
        <v>34615</v>
      </c>
      <c r="K4451">
        <v>-1.8391</v>
      </c>
      <c r="L4451">
        <v>1.8692</v>
      </c>
    </row>
    <row r="4452" spans="1:12" x14ac:dyDescent="0.25">
      <c r="A4452">
        <v>2303</v>
      </c>
      <c r="B4452" t="s">
        <v>10</v>
      </c>
      <c r="C4452" s="1">
        <v>43469</v>
      </c>
      <c r="D4452" s="2">
        <f t="shared" si="138"/>
        <v>5</v>
      </c>
      <c r="E4452" s="2">
        <f t="shared" si="139"/>
        <v>1</v>
      </c>
      <c r="F4452">
        <v>10.276400000000001</v>
      </c>
      <c r="G4452">
        <v>10.324400000000001</v>
      </c>
      <c r="H4452">
        <v>10.132300000000001</v>
      </c>
      <c r="I4452">
        <v>10.276400000000001</v>
      </c>
      <c r="J4452">
        <v>43041</v>
      </c>
      <c r="K4452">
        <v>-1.8519000000000001</v>
      </c>
      <c r="L4452">
        <v>1.8956999999999999</v>
      </c>
    </row>
    <row r="4453" spans="1:12" hidden="1" x14ac:dyDescent="0.25">
      <c r="A4453">
        <v>2330</v>
      </c>
      <c r="B4453" t="s">
        <v>11</v>
      </c>
      <c r="C4453" s="1">
        <v>43469</v>
      </c>
      <c r="D4453" s="2">
        <f t="shared" si="138"/>
        <v>5</v>
      </c>
      <c r="E4453" s="2">
        <f t="shared" si="139"/>
        <v>1</v>
      </c>
      <c r="F4453">
        <v>199.74440000000001</v>
      </c>
      <c r="G4453">
        <v>199.74440000000001</v>
      </c>
      <c r="H4453">
        <v>195.0223</v>
      </c>
      <c r="I4453">
        <v>196.43889999999999</v>
      </c>
      <c r="J4453">
        <v>67043</v>
      </c>
      <c r="K4453">
        <v>-3.5423</v>
      </c>
      <c r="L4453">
        <v>2.4213</v>
      </c>
    </row>
    <row r="4454" spans="1:12" x14ac:dyDescent="0.25">
      <c r="A4454">
        <v>2303</v>
      </c>
      <c r="B4454" t="s">
        <v>10</v>
      </c>
      <c r="C4454" s="1">
        <v>43472</v>
      </c>
      <c r="D4454" s="2">
        <f t="shared" si="138"/>
        <v>1</v>
      </c>
      <c r="E4454" s="2">
        <f t="shared" si="139"/>
        <v>1</v>
      </c>
      <c r="F4454">
        <v>10.468500000000001</v>
      </c>
      <c r="G4454">
        <v>10.612500000000001</v>
      </c>
      <c r="H4454">
        <v>10.372400000000001</v>
      </c>
      <c r="I4454">
        <v>10.564500000000001</v>
      </c>
      <c r="J4454">
        <v>32910</v>
      </c>
      <c r="K4454">
        <v>2.7652000000000001</v>
      </c>
      <c r="L4454">
        <v>2.3148</v>
      </c>
    </row>
    <row r="4455" spans="1:12" hidden="1" x14ac:dyDescent="0.25">
      <c r="A4455">
        <v>2330</v>
      </c>
      <c r="B4455" t="s">
        <v>11</v>
      </c>
      <c r="C4455" s="1">
        <v>43472</v>
      </c>
      <c r="D4455" s="2">
        <f t="shared" si="138"/>
        <v>1</v>
      </c>
      <c r="E4455" s="2">
        <f t="shared" si="139"/>
        <v>1</v>
      </c>
      <c r="F4455">
        <v>200.2166</v>
      </c>
      <c r="G4455">
        <v>202.10550000000001</v>
      </c>
      <c r="H4455">
        <v>199.2722</v>
      </c>
      <c r="I4455">
        <v>201.161</v>
      </c>
      <c r="J4455">
        <v>35695</v>
      </c>
      <c r="K4455">
        <v>2.3754</v>
      </c>
      <c r="L4455">
        <v>1.4218</v>
      </c>
    </row>
    <row r="4456" spans="1:12" x14ac:dyDescent="0.25">
      <c r="A4456">
        <v>2303</v>
      </c>
      <c r="B4456" t="s">
        <v>10</v>
      </c>
      <c r="C4456" s="1">
        <v>43473</v>
      </c>
      <c r="D4456" s="2">
        <f t="shared" si="138"/>
        <v>2</v>
      </c>
      <c r="E4456" s="2">
        <f t="shared" si="139"/>
        <v>1</v>
      </c>
      <c r="F4456">
        <v>10.660600000000001</v>
      </c>
      <c r="G4456">
        <v>10.660600000000001</v>
      </c>
      <c r="H4456">
        <v>10.468500000000001</v>
      </c>
      <c r="I4456">
        <v>10.516500000000001</v>
      </c>
      <c r="J4456">
        <v>29489</v>
      </c>
      <c r="K4456">
        <v>-0.4556</v>
      </c>
      <c r="L4456">
        <v>1.8349</v>
      </c>
    </row>
    <row r="4457" spans="1:12" hidden="1" x14ac:dyDescent="0.25">
      <c r="A4457">
        <v>2330</v>
      </c>
      <c r="B4457" t="s">
        <v>11</v>
      </c>
      <c r="C4457" s="1">
        <v>43473</v>
      </c>
      <c r="D4457" s="2">
        <f t="shared" si="138"/>
        <v>2</v>
      </c>
      <c r="E4457" s="2">
        <f t="shared" si="139"/>
        <v>1</v>
      </c>
      <c r="F4457">
        <v>200.2166</v>
      </c>
      <c r="G4457">
        <v>200.68879999999999</v>
      </c>
      <c r="H4457">
        <v>198.3278</v>
      </c>
      <c r="I4457">
        <v>199.2722</v>
      </c>
      <c r="J4457">
        <v>23794</v>
      </c>
      <c r="K4457">
        <v>-0.94340000000000002</v>
      </c>
      <c r="L4457">
        <v>1.1904999999999999</v>
      </c>
    </row>
    <row r="4458" spans="1:12" x14ac:dyDescent="0.25">
      <c r="A4458">
        <v>2303</v>
      </c>
      <c r="B4458" t="s">
        <v>10</v>
      </c>
      <c r="C4458" s="1">
        <v>43474</v>
      </c>
      <c r="D4458" s="2">
        <f t="shared" si="138"/>
        <v>3</v>
      </c>
      <c r="E4458" s="2">
        <f t="shared" si="139"/>
        <v>1</v>
      </c>
      <c r="F4458">
        <v>10.660600000000001</v>
      </c>
      <c r="G4458">
        <v>10.708600000000001</v>
      </c>
      <c r="H4458">
        <v>10.612500000000001</v>
      </c>
      <c r="I4458">
        <v>10.660600000000001</v>
      </c>
      <c r="J4458">
        <v>38339</v>
      </c>
      <c r="K4458">
        <v>1.3606</v>
      </c>
      <c r="L4458">
        <v>0.90500000000000003</v>
      </c>
    </row>
    <row r="4459" spans="1:12" hidden="1" x14ac:dyDescent="0.25">
      <c r="A4459">
        <v>2330</v>
      </c>
      <c r="B4459" t="s">
        <v>11</v>
      </c>
      <c r="C4459" s="1">
        <v>43474</v>
      </c>
      <c r="D4459" s="2">
        <f t="shared" si="138"/>
        <v>3</v>
      </c>
      <c r="E4459" s="2">
        <f t="shared" si="139"/>
        <v>1</v>
      </c>
      <c r="F4459">
        <v>200.2166</v>
      </c>
      <c r="G4459">
        <v>204.4665</v>
      </c>
      <c r="H4459">
        <v>199.2722</v>
      </c>
      <c r="I4459">
        <v>203.52209999999999</v>
      </c>
      <c r="J4459">
        <v>51255</v>
      </c>
      <c r="K4459">
        <v>2.1103000000000001</v>
      </c>
      <c r="L4459">
        <v>2.6065999999999998</v>
      </c>
    </row>
    <row r="4460" spans="1:12" x14ac:dyDescent="0.25">
      <c r="A4460">
        <v>2303</v>
      </c>
      <c r="B4460" t="s">
        <v>10</v>
      </c>
      <c r="C4460" s="1">
        <v>43475</v>
      </c>
      <c r="D4460" s="2">
        <f t="shared" si="138"/>
        <v>4</v>
      </c>
      <c r="E4460" s="2">
        <f t="shared" si="139"/>
        <v>1</v>
      </c>
      <c r="F4460">
        <v>10.708600000000001</v>
      </c>
      <c r="G4460">
        <v>10.708600000000001</v>
      </c>
      <c r="H4460">
        <v>10.612500000000001</v>
      </c>
      <c r="I4460">
        <v>10.708600000000001</v>
      </c>
      <c r="J4460">
        <v>35341</v>
      </c>
      <c r="K4460">
        <v>0.44940000000000002</v>
      </c>
      <c r="L4460">
        <v>0.90500000000000003</v>
      </c>
    </row>
    <row r="4461" spans="1:12" hidden="1" x14ac:dyDescent="0.25">
      <c r="A4461">
        <v>2330</v>
      </c>
      <c r="B4461" t="s">
        <v>11</v>
      </c>
      <c r="C4461" s="1">
        <v>43475</v>
      </c>
      <c r="D4461" s="2">
        <f t="shared" si="138"/>
        <v>4</v>
      </c>
      <c r="E4461" s="2">
        <f t="shared" si="139"/>
        <v>1</v>
      </c>
      <c r="F4461">
        <v>203.99430000000001</v>
      </c>
      <c r="G4461">
        <v>204.4665</v>
      </c>
      <c r="H4461">
        <v>202.57769999999999</v>
      </c>
      <c r="I4461">
        <v>203.99430000000001</v>
      </c>
      <c r="J4461">
        <v>20832</v>
      </c>
      <c r="K4461">
        <v>0.23169999999999999</v>
      </c>
      <c r="L4461">
        <v>0.93240000000000001</v>
      </c>
    </row>
    <row r="4462" spans="1:12" x14ac:dyDescent="0.25">
      <c r="A4462">
        <v>2303</v>
      </c>
      <c r="B4462" t="s">
        <v>10</v>
      </c>
      <c r="C4462" s="1">
        <v>43476</v>
      </c>
      <c r="D4462" s="2">
        <f t="shared" si="138"/>
        <v>5</v>
      </c>
      <c r="E4462" s="2">
        <f t="shared" si="139"/>
        <v>1</v>
      </c>
      <c r="F4462">
        <v>10.708600000000001</v>
      </c>
      <c r="G4462">
        <v>10.756600000000001</v>
      </c>
      <c r="H4462">
        <v>10.660600000000001</v>
      </c>
      <c r="I4462">
        <v>10.756600000000001</v>
      </c>
      <c r="J4462">
        <v>23328</v>
      </c>
      <c r="K4462">
        <v>0.44740000000000002</v>
      </c>
      <c r="L4462">
        <v>0.90090000000000003</v>
      </c>
    </row>
    <row r="4463" spans="1:12" hidden="1" x14ac:dyDescent="0.25">
      <c r="A4463">
        <v>2330</v>
      </c>
      <c r="B4463" t="s">
        <v>11</v>
      </c>
      <c r="C4463" s="1">
        <v>43476</v>
      </c>
      <c r="D4463" s="2">
        <f t="shared" si="138"/>
        <v>5</v>
      </c>
      <c r="E4463" s="2">
        <f t="shared" si="139"/>
        <v>1</v>
      </c>
      <c r="F4463">
        <v>206.82749999999999</v>
      </c>
      <c r="G4463">
        <v>208.24420000000001</v>
      </c>
      <c r="H4463">
        <v>205.88310000000001</v>
      </c>
      <c r="I4463">
        <v>208.24420000000001</v>
      </c>
      <c r="J4463">
        <v>28658</v>
      </c>
      <c r="K4463">
        <v>2.0619000000000001</v>
      </c>
      <c r="L4463">
        <v>1.1468</v>
      </c>
    </row>
    <row r="4464" spans="1:12" x14ac:dyDescent="0.25">
      <c r="A4464">
        <v>2303</v>
      </c>
      <c r="B4464" t="s">
        <v>10</v>
      </c>
      <c r="C4464" s="1">
        <v>43479</v>
      </c>
      <c r="D4464" s="2">
        <f t="shared" si="138"/>
        <v>1</v>
      </c>
      <c r="E4464" s="2">
        <f t="shared" si="139"/>
        <v>1</v>
      </c>
      <c r="F4464">
        <v>10.756600000000001</v>
      </c>
      <c r="G4464">
        <v>10.804600000000001</v>
      </c>
      <c r="H4464">
        <v>10.612500000000001</v>
      </c>
      <c r="I4464">
        <v>10.660600000000001</v>
      </c>
      <c r="J4464">
        <v>25189</v>
      </c>
      <c r="K4464">
        <v>-0.89690000000000003</v>
      </c>
      <c r="L4464">
        <v>1.81</v>
      </c>
    </row>
    <row r="4465" spans="1:12" hidden="1" x14ac:dyDescent="0.25">
      <c r="A4465">
        <v>2330</v>
      </c>
      <c r="B4465" t="s">
        <v>11</v>
      </c>
      <c r="C4465" s="1">
        <v>43479</v>
      </c>
      <c r="D4465" s="2">
        <f t="shared" si="138"/>
        <v>1</v>
      </c>
      <c r="E4465" s="2">
        <f t="shared" si="139"/>
        <v>1</v>
      </c>
      <c r="F4465">
        <v>206.3553</v>
      </c>
      <c r="G4465">
        <v>207.77199999999999</v>
      </c>
      <c r="H4465">
        <v>204.93870000000001</v>
      </c>
      <c r="I4465">
        <v>206.3553</v>
      </c>
      <c r="J4465">
        <v>17612</v>
      </c>
      <c r="K4465">
        <v>-0.91120000000000001</v>
      </c>
      <c r="L4465">
        <v>1.3825000000000001</v>
      </c>
    </row>
    <row r="4466" spans="1:12" x14ac:dyDescent="0.25">
      <c r="A4466">
        <v>2303</v>
      </c>
      <c r="B4466" t="s">
        <v>10</v>
      </c>
      <c r="C4466" s="1">
        <v>43480</v>
      </c>
      <c r="D4466" s="2">
        <f t="shared" si="138"/>
        <v>2</v>
      </c>
      <c r="E4466" s="2">
        <f t="shared" si="139"/>
        <v>1</v>
      </c>
      <c r="F4466">
        <v>10.756600000000001</v>
      </c>
      <c r="G4466">
        <v>10.852600000000001</v>
      </c>
      <c r="H4466">
        <v>10.660600000000001</v>
      </c>
      <c r="I4466">
        <v>10.804600000000001</v>
      </c>
      <c r="J4466">
        <v>34809</v>
      </c>
      <c r="K4466">
        <v>1.3423</v>
      </c>
      <c r="L4466">
        <v>1.8018000000000001</v>
      </c>
    </row>
    <row r="4467" spans="1:12" hidden="1" x14ac:dyDescent="0.25">
      <c r="A4467">
        <v>2330</v>
      </c>
      <c r="B4467" t="s">
        <v>11</v>
      </c>
      <c r="C4467" s="1">
        <v>43480</v>
      </c>
      <c r="D4467" s="2">
        <f t="shared" si="138"/>
        <v>2</v>
      </c>
      <c r="E4467" s="2">
        <f t="shared" si="139"/>
        <v>1</v>
      </c>
      <c r="F4467">
        <v>204.4665</v>
      </c>
      <c r="G4467">
        <v>208.71639999999999</v>
      </c>
      <c r="H4467">
        <v>203.52209999999999</v>
      </c>
      <c r="I4467">
        <v>208.71639999999999</v>
      </c>
      <c r="J4467">
        <v>42990</v>
      </c>
      <c r="K4467">
        <v>1.1376999999999999</v>
      </c>
      <c r="L4467">
        <v>2.5522</v>
      </c>
    </row>
    <row r="4468" spans="1:12" x14ac:dyDescent="0.25">
      <c r="A4468">
        <v>2303</v>
      </c>
      <c r="B4468" t="s">
        <v>10</v>
      </c>
      <c r="C4468" s="1">
        <v>43481</v>
      </c>
      <c r="D4468" s="2">
        <f t="shared" si="138"/>
        <v>3</v>
      </c>
      <c r="E4468" s="2">
        <f t="shared" si="139"/>
        <v>1</v>
      </c>
      <c r="F4468">
        <v>10.804600000000001</v>
      </c>
      <c r="G4468">
        <v>10.900700000000001</v>
      </c>
      <c r="H4468">
        <v>10.708600000000001</v>
      </c>
      <c r="I4468">
        <v>10.852600000000001</v>
      </c>
      <c r="J4468">
        <v>30906</v>
      </c>
      <c r="K4468">
        <v>0.44350000000000001</v>
      </c>
      <c r="L4468">
        <v>1.7937000000000001</v>
      </c>
    </row>
    <row r="4469" spans="1:12" hidden="1" x14ac:dyDescent="0.25">
      <c r="A4469">
        <v>2330</v>
      </c>
      <c r="B4469" t="s">
        <v>11</v>
      </c>
      <c r="C4469" s="1">
        <v>43481</v>
      </c>
      <c r="D4469" s="2">
        <f t="shared" si="138"/>
        <v>3</v>
      </c>
      <c r="E4469" s="2">
        <f t="shared" si="139"/>
        <v>1</v>
      </c>
      <c r="F4469">
        <v>206.3553</v>
      </c>
      <c r="G4469">
        <v>207.77199999999999</v>
      </c>
      <c r="H4469">
        <v>205.4109</v>
      </c>
      <c r="I4469">
        <v>205.4109</v>
      </c>
      <c r="J4469">
        <v>30038</v>
      </c>
      <c r="K4469">
        <v>-1.5964</v>
      </c>
      <c r="L4469">
        <v>1.1494</v>
      </c>
    </row>
    <row r="4470" spans="1:12" x14ac:dyDescent="0.25">
      <c r="A4470">
        <v>2303</v>
      </c>
      <c r="B4470" t="s">
        <v>10</v>
      </c>
      <c r="C4470" s="1">
        <v>43482</v>
      </c>
      <c r="D4470" s="2">
        <f t="shared" si="138"/>
        <v>4</v>
      </c>
      <c r="E4470" s="2">
        <f t="shared" si="139"/>
        <v>1</v>
      </c>
      <c r="F4470">
        <v>10.900700000000001</v>
      </c>
      <c r="G4470">
        <v>10.948700000000001</v>
      </c>
      <c r="H4470">
        <v>10.756600000000001</v>
      </c>
      <c r="I4470">
        <v>10.804600000000001</v>
      </c>
      <c r="J4470">
        <v>45217</v>
      </c>
      <c r="K4470">
        <v>-0.44350000000000001</v>
      </c>
      <c r="L4470">
        <v>1.7857000000000001</v>
      </c>
    </row>
    <row r="4471" spans="1:12" hidden="1" x14ac:dyDescent="0.25">
      <c r="A4471">
        <v>2330</v>
      </c>
      <c r="B4471" t="s">
        <v>11</v>
      </c>
      <c r="C4471" s="1">
        <v>43482</v>
      </c>
      <c r="D4471" s="2">
        <f t="shared" si="138"/>
        <v>4</v>
      </c>
      <c r="E4471" s="2">
        <f t="shared" si="139"/>
        <v>1</v>
      </c>
      <c r="F4471">
        <v>205.88310000000001</v>
      </c>
      <c r="G4471">
        <v>208.71639999999999</v>
      </c>
      <c r="H4471">
        <v>205.88310000000001</v>
      </c>
      <c r="I4471">
        <v>208.24420000000001</v>
      </c>
      <c r="J4471">
        <v>21163</v>
      </c>
      <c r="K4471">
        <v>1.3698999999999999</v>
      </c>
      <c r="L4471">
        <v>1.3761000000000001</v>
      </c>
    </row>
    <row r="4472" spans="1:12" x14ac:dyDescent="0.25">
      <c r="A4472">
        <v>2303</v>
      </c>
      <c r="B4472" t="s">
        <v>10</v>
      </c>
      <c r="C4472" s="1">
        <v>43483</v>
      </c>
      <c r="D4472" s="2">
        <f t="shared" si="138"/>
        <v>5</v>
      </c>
      <c r="E4472" s="2">
        <f t="shared" si="139"/>
        <v>1</v>
      </c>
      <c r="F4472">
        <v>10.900700000000001</v>
      </c>
      <c r="G4472">
        <v>10.948700000000001</v>
      </c>
      <c r="H4472">
        <v>10.804600000000001</v>
      </c>
      <c r="I4472">
        <v>10.948700000000001</v>
      </c>
      <c r="J4472">
        <v>30066</v>
      </c>
      <c r="K4472">
        <v>1.3245</v>
      </c>
      <c r="L4472">
        <v>1.3332999999999999</v>
      </c>
    </row>
    <row r="4473" spans="1:12" hidden="1" x14ac:dyDescent="0.25">
      <c r="A4473">
        <v>2330</v>
      </c>
      <c r="B4473" t="s">
        <v>11</v>
      </c>
      <c r="C4473" s="1">
        <v>43483</v>
      </c>
      <c r="D4473" s="2">
        <f t="shared" si="138"/>
        <v>5</v>
      </c>
      <c r="E4473" s="2">
        <f t="shared" si="139"/>
        <v>1</v>
      </c>
      <c r="F4473">
        <v>206.82749999999999</v>
      </c>
      <c r="G4473">
        <v>207.77199999999999</v>
      </c>
      <c r="H4473">
        <v>205.4109</v>
      </c>
      <c r="I4473">
        <v>206.3553</v>
      </c>
      <c r="J4473">
        <v>52677</v>
      </c>
      <c r="K4473">
        <v>-0.91120000000000001</v>
      </c>
      <c r="L4473">
        <v>1.1494</v>
      </c>
    </row>
    <row r="4474" spans="1:12" x14ac:dyDescent="0.25">
      <c r="A4474">
        <v>2303</v>
      </c>
      <c r="B4474" t="s">
        <v>10</v>
      </c>
      <c r="C4474" s="1">
        <v>43486</v>
      </c>
      <c r="D4474" s="2">
        <f t="shared" si="138"/>
        <v>1</v>
      </c>
      <c r="E4474" s="2">
        <f t="shared" si="139"/>
        <v>1</v>
      </c>
      <c r="F4474">
        <v>11.044700000000001</v>
      </c>
      <c r="G4474">
        <v>11.284800000000001</v>
      </c>
      <c r="H4474">
        <v>10.996700000000001</v>
      </c>
      <c r="I4474">
        <v>11.236800000000001</v>
      </c>
      <c r="J4474">
        <v>60585</v>
      </c>
      <c r="K4474">
        <v>2.5975000000000001</v>
      </c>
      <c r="L4474">
        <v>2.6200999999999999</v>
      </c>
    </row>
    <row r="4475" spans="1:12" hidden="1" x14ac:dyDescent="0.25">
      <c r="A4475">
        <v>2330</v>
      </c>
      <c r="B4475" t="s">
        <v>11</v>
      </c>
      <c r="C4475" s="1">
        <v>43486</v>
      </c>
      <c r="D4475" s="2">
        <f t="shared" si="138"/>
        <v>1</v>
      </c>
      <c r="E4475" s="2">
        <f t="shared" si="139"/>
        <v>1</v>
      </c>
      <c r="F4475">
        <v>207.77199999999999</v>
      </c>
      <c r="G4475">
        <v>210.6052</v>
      </c>
      <c r="H4475">
        <v>207.77199999999999</v>
      </c>
      <c r="I4475">
        <v>208.71639999999999</v>
      </c>
      <c r="J4475">
        <v>32515</v>
      </c>
      <c r="K4475">
        <v>1.1376999999999999</v>
      </c>
      <c r="L4475">
        <v>1.3635999999999999</v>
      </c>
    </row>
    <row r="4476" spans="1:12" x14ac:dyDescent="0.25">
      <c r="A4476">
        <v>2303</v>
      </c>
      <c r="B4476" t="s">
        <v>10</v>
      </c>
      <c r="C4476" s="1">
        <v>43487</v>
      </c>
      <c r="D4476" s="2">
        <f t="shared" si="138"/>
        <v>2</v>
      </c>
      <c r="E4476" s="2">
        <f t="shared" si="139"/>
        <v>1</v>
      </c>
      <c r="F4476">
        <v>11.236800000000001</v>
      </c>
      <c r="G4476">
        <v>11.284800000000001</v>
      </c>
      <c r="H4476">
        <v>11.188800000000001</v>
      </c>
      <c r="I4476">
        <v>11.236800000000001</v>
      </c>
      <c r="J4476">
        <v>19850</v>
      </c>
      <c r="K4476">
        <v>0</v>
      </c>
      <c r="L4476">
        <v>0.85840000000000005</v>
      </c>
    </row>
    <row r="4477" spans="1:12" hidden="1" x14ac:dyDescent="0.25">
      <c r="A4477">
        <v>2330</v>
      </c>
      <c r="B4477" t="s">
        <v>11</v>
      </c>
      <c r="C4477" s="1">
        <v>43487</v>
      </c>
      <c r="D4477" s="2">
        <f t="shared" si="138"/>
        <v>2</v>
      </c>
      <c r="E4477" s="2">
        <f t="shared" si="139"/>
        <v>1</v>
      </c>
      <c r="F4477">
        <v>207.77199999999999</v>
      </c>
      <c r="G4477">
        <v>210.6052</v>
      </c>
      <c r="H4477">
        <v>206.82749999999999</v>
      </c>
      <c r="I4477">
        <v>210.6052</v>
      </c>
      <c r="J4477">
        <v>30958</v>
      </c>
      <c r="K4477">
        <v>0.90090000000000003</v>
      </c>
      <c r="L4477">
        <v>1.8265</v>
      </c>
    </row>
    <row r="4478" spans="1:12" x14ac:dyDescent="0.25">
      <c r="A4478">
        <v>2303</v>
      </c>
      <c r="B4478" t="s">
        <v>10</v>
      </c>
      <c r="C4478" s="1">
        <v>43488</v>
      </c>
      <c r="D4478" s="2">
        <f t="shared" si="138"/>
        <v>3</v>
      </c>
      <c r="E4478" s="2">
        <f t="shared" si="139"/>
        <v>1</v>
      </c>
      <c r="F4478">
        <v>11.188800000000001</v>
      </c>
      <c r="G4478">
        <v>11.188800000000001</v>
      </c>
      <c r="H4478">
        <v>11.092700000000001</v>
      </c>
      <c r="I4478">
        <v>11.092700000000001</v>
      </c>
      <c r="J4478">
        <v>9871</v>
      </c>
      <c r="K4478">
        <v>-1.2903</v>
      </c>
      <c r="L4478">
        <v>0.86580000000000001</v>
      </c>
    </row>
    <row r="4479" spans="1:12" hidden="1" x14ac:dyDescent="0.25">
      <c r="A4479">
        <v>2330</v>
      </c>
      <c r="B4479" t="s">
        <v>11</v>
      </c>
      <c r="C4479" s="1">
        <v>43488</v>
      </c>
      <c r="D4479" s="2">
        <f t="shared" si="138"/>
        <v>3</v>
      </c>
      <c r="E4479" s="2">
        <f t="shared" si="139"/>
        <v>1</v>
      </c>
      <c r="F4479">
        <v>209.18860000000001</v>
      </c>
      <c r="G4479">
        <v>209.66079999999999</v>
      </c>
      <c r="H4479">
        <v>207.77199999999999</v>
      </c>
      <c r="I4479">
        <v>208.24420000000001</v>
      </c>
      <c r="J4479">
        <v>18671</v>
      </c>
      <c r="K4479">
        <v>-1.1274</v>
      </c>
      <c r="L4479">
        <v>0.90910000000000002</v>
      </c>
    </row>
    <row r="4480" spans="1:12" x14ac:dyDescent="0.25">
      <c r="A4480">
        <v>2303</v>
      </c>
      <c r="B4480" t="s">
        <v>10</v>
      </c>
      <c r="C4480" s="1">
        <v>43489</v>
      </c>
      <c r="D4480" s="2">
        <f t="shared" si="138"/>
        <v>4</v>
      </c>
      <c r="E4480" s="2">
        <f t="shared" si="139"/>
        <v>1</v>
      </c>
      <c r="F4480">
        <v>11.1408</v>
      </c>
      <c r="G4480">
        <v>11.236800000000001</v>
      </c>
      <c r="H4480">
        <v>11.1408</v>
      </c>
      <c r="I4480">
        <v>11.236800000000001</v>
      </c>
      <c r="J4480">
        <v>13008</v>
      </c>
      <c r="K4480">
        <v>1.2903</v>
      </c>
      <c r="L4480">
        <v>0.86209999999999998</v>
      </c>
    </row>
    <row r="4481" spans="1:12" hidden="1" x14ac:dyDescent="0.25">
      <c r="A4481">
        <v>2330</v>
      </c>
      <c r="B4481" t="s">
        <v>11</v>
      </c>
      <c r="C4481" s="1">
        <v>43489</v>
      </c>
      <c r="D4481" s="2">
        <f t="shared" si="138"/>
        <v>4</v>
      </c>
      <c r="E4481" s="2">
        <f t="shared" si="139"/>
        <v>1</v>
      </c>
      <c r="F4481">
        <v>210.13300000000001</v>
      </c>
      <c r="G4481">
        <v>210.13300000000001</v>
      </c>
      <c r="H4481">
        <v>208.24420000000001</v>
      </c>
      <c r="I4481">
        <v>210.13300000000001</v>
      </c>
      <c r="J4481">
        <v>31348</v>
      </c>
      <c r="K4481">
        <v>0.90290000000000004</v>
      </c>
      <c r="L4481">
        <v>0.90700000000000003</v>
      </c>
    </row>
    <row r="4482" spans="1:12" x14ac:dyDescent="0.25">
      <c r="A4482">
        <v>2303</v>
      </c>
      <c r="B4482" t="s">
        <v>10</v>
      </c>
      <c r="C4482" s="1">
        <v>43490</v>
      </c>
      <c r="D4482" s="2">
        <f t="shared" si="138"/>
        <v>5</v>
      </c>
      <c r="E4482" s="2">
        <f t="shared" si="139"/>
        <v>1</v>
      </c>
      <c r="F4482">
        <v>11.332800000000001</v>
      </c>
      <c r="G4482">
        <v>11.476900000000001</v>
      </c>
      <c r="H4482">
        <v>11.284800000000001</v>
      </c>
      <c r="I4482">
        <v>11.476900000000001</v>
      </c>
      <c r="J4482">
        <v>43907</v>
      </c>
      <c r="K4482">
        <v>2.1141999999999999</v>
      </c>
      <c r="L4482">
        <v>1.7020999999999999</v>
      </c>
    </row>
    <row r="4483" spans="1:12" hidden="1" x14ac:dyDescent="0.25">
      <c r="A4483">
        <v>2330</v>
      </c>
      <c r="B4483" t="s">
        <v>11</v>
      </c>
      <c r="C4483" s="1">
        <v>43490</v>
      </c>
      <c r="D4483" s="2">
        <f t="shared" ref="D4483:D4546" si="140">WEEKDAY(C4483,2)</f>
        <v>5</v>
      </c>
      <c r="E4483" s="2">
        <f t="shared" ref="E4483:E4546" si="141">MONTH(C4483)</f>
        <v>1</v>
      </c>
      <c r="F4483">
        <v>213.91069999999999</v>
      </c>
      <c r="G4483">
        <v>214.38290000000001</v>
      </c>
      <c r="H4483">
        <v>212.494</v>
      </c>
      <c r="I4483">
        <v>213.4385</v>
      </c>
      <c r="J4483">
        <v>48039</v>
      </c>
      <c r="K4483">
        <v>1.5608</v>
      </c>
      <c r="L4483">
        <v>0.88890000000000002</v>
      </c>
    </row>
    <row r="4484" spans="1:12" x14ac:dyDescent="0.25">
      <c r="A4484">
        <v>2303</v>
      </c>
      <c r="B4484" t="s">
        <v>10</v>
      </c>
      <c r="C4484" s="1">
        <v>43493</v>
      </c>
      <c r="D4484" s="2">
        <f t="shared" si="140"/>
        <v>1</v>
      </c>
      <c r="E4484" s="2">
        <f t="shared" si="141"/>
        <v>1</v>
      </c>
      <c r="F4484">
        <v>11.476900000000001</v>
      </c>
      <c r="G4484">
        <v>11.476900000000001</v>
      </c>
      <c r="H4484">
        <v>11.284800000000001</v>
      </c>
      <c r="I4484">
        <v>11.3809</v>
      </c>
      <c r="J4484">
        <v>34489</v>
      </c>
      <c r="K4484">
        <v>-0.84030000000000005</v>
      </c>
      <c r="L4484">
        <v>1.7020999999999999</v>
      </c>
    </row>
    <row r="4485" spans="1:12" hidden="1" x14ac:dyDescent="0.25">
      <c r="A4485">
        <v>2330</v>
      </c>
      <c r="B4485" t="s">
        <v>11</v>
      </c>
      <c r="C4485" s="1">
        <v>43493</v>
      </c>
      <c r="D4485" s="2">
        <f t="shared" si="140"/>
        <v>1</v>
      </c>
      <c r="E4485" s="2">
        <f t="shared" si="141"/>
        <v>1</v>
      </c>
      <c r="F4485">
        <v>216.7439</v>
      </c>
      <c r="G4485">
        <v>216.7439</v>
      </c>
      <c r="H4485">
        <v>215.32730000000001</v>
      </c>
      <c r="I4485">
        <v>216.27170000000001</v>
      </c>
      <c r="J4485">
        <v>29134</v>
      </c>
      <c r="K4485">
        <v>1.3187</v>
      </c>
      <c r="L4485">
        <v>0.65790000000000004</v>
      </c>
    </row>
    <row r="4486" spans="1:12" x14ac:dyDescent="0.25">
      <c r="A4486">
        <v>2303</v>
      </c>
      <c r="B4486" t="s">
        <v>10</v>
      </c>
      <c r="C4486" s="1">
        <v>43494</v>
      </c>
      <c r="D4486" s="2">
        <f t="shared" si="140"/>
        <v>2</v>
      </c>
      <c r="E4486" s="2">
        <f t="shared" si="141"/>
        <v>1</v>
      </c>
      <c r="F4486">
        <v>11.332800000000001</v>
      </c>
      <c r="G4486">
        <v>11.524900000000001</v>
      </c>
      <c r="H4486">
        <v>11.236800000000001</v>
      </c>
      <c r="I4486">
        <v>11.524900000000001</v>
      </c>
      <c r="J4486">
        <v>37926</v>
      </c>
      <c r="K4486">
        <v>1.2579</v>
      </c>
      <c r="L4486">
        <v>2.5640999999999998</v>
      </c>
    </row>
    <row r="4487" spans="1:12" hidden="1" x14ac:dyDescent="0.25">
      <c r="A4487">
        <v>2330</v>
      </c>
      <c r="B4487" t="s">
        <v>11</v>
      </c>
      <c r="C4487" s="1">
        <v>43494</v>
      </c>
      <c r="D4487" s="2">
        <f t="shared" si="140"/>
        <v>2</v>
      </c>
      <c r="E4487" s="2">
        <f t="shared" si="141"/>
        <v>1</v>
      </c>
      <c r="F4487">
        <v>210.13300000000001</v>
      </c>
      <c r="G4487">
        <v>212.494</v>
      </c>
      <c r="H4487">
        <v>209.66079999999999</v>
      </c>
      <c r="I4487">
        <v>210.13300000000001</v>
      </c>
      <c r="J4487">
        <v>42566</v>
      </c>
      <c r="K4487">
        <v>-2.8795000000000002</v>
      </c>
      <c r="L4487">
        <v>1.3513999999999999</v>
      </c>
    </row>
    <row r="4488" spans="1:12" x14ac:dyDescent="0.25">
      <c r="A4488">
        <v>2303</v>
      </c>
      <c r="B4488" t="s">
        <v>10</v>
      </c>
      <c r="C4488" s="1">
        <v>43495</v>
      </c>
      <c r="D4488" s="2">
        <f t="shared" si="140"/>
        <v>3</v>
      </c>
      <c r="E4488" s="2">
        <f t="shared" si="141"/>
        <v>1</v>
      </c>
      <c r="F4488">
        <v>10.948700000000001</v>
      </c>
      <c r="G4488">
        <v>11.044700000000001</v>
      </c>
      <c r="H4488">
        <v>10.804600000000001</v>
      </c>
      <c r="I4488">
        <v>10.900700000000001</v>
      </c>
      <c r="J4488">
        <v>95570</v>
      </c>
      <c r="K4488">
        <v>-5.5689000000000002</v>
      </c>
      <c r="L4488">
        <v>2.2222</v>
      </c>
    </row>
    <row r="4489" spans="1:12" hidden="1" x14ac:dyDescent="0.25">
      <c r="A4489">
        <v>2330</v>
      </c>
      <c r="B4489" t="s">
        <v>11</v>
      </c>
      <c r="C4489" s="1">
        <v>43495</v>
      </c>
      <c r="D4489" s="2">
        <f t="shared" si="140"/>
        <v>3</v>
      </c>
      <c r="E4489" s="2">
        <f t="shared" si="141"/>
        <v>1</v>
      </c>
      <c r="F4489">
        <v>208.24420000000001</v>
      </c>
      <c r="G4489">
        <v>209.18860000000001</v>
      </c>
      <c r="H4489">
        <v>207.77199999999999</v>
      </c>
      <c r="I4489">
        <v>208.71639999999999</v>
      </c>
      <c r="J4489">
        <v>51889</v>
      </c>
      <c r="K4489">
        <v>-0.6764</v>
      </c>
      <c r="L4489">
        <v>0.68179999999999996</v>
      </c>
    </row>
    <row r="4490" spans="1:12" x14ac:dyDescent="0.25">
      <c r="A4490">
        <v>2303</v>
      </c>
      <c r="B4490" t="s">
        <v>10</v>
      </c>
      <c r="C4490" s="1">
        <v>43507</v>
      </c>
      <c r="D4490" s="2">
        <f t="shared" si="140"/>
        <v>1</v>
      </c>
      <c r="E4490" s="2">
        <f t="shared" si="141"/>
        <v>2</v>
      </c>
      <c r="F4490">
        <v>10.948700000000001</v>
      </c>
      <c r="G4490">
        <v>10.948700000000001</v>
      </c>
      <c r="H4490">
        <v>10.372400000000001</v>
      </c>
      <c r="I4490">
        <v>10.420400000000001</v>
      </c>
      <c r="J4490">
        <v>82010</v>
      </c>
      <c r="K4490">
        <v>-4.5053000000000001</v>
      </c>
      <c r="L4490">
        <v>5.5556000000000001</v>
      </c>
    </row>
    <row r="4491" spans="1:12" hidden="1" x14ac:dyDescent="0.25">
      <c r="A4491">
        <v>2330</v>
      </c>
      <c r="B4491" t="s">
        <v>11</v>
      </c>
      <c r="C4491" s="1">
        <v>43507</v>
      </c>
      <c r="D4491" s="2">
        <f t="shared" si="140"/>
        <v>1</v>
      </c>
      <c r="E4491" s="2">
        <f t="shared" si="141"/>
        <v>2</v>
      </c>
      <c r="F4491">
        <v>215.32730000000001</v>
      </c>
      <c r="G4491">
        <v>216.27170000000001</v>
      </c>
      <c r="H4491">
        <v>213.91069999999999</v>
      </c>
      <c r="I4491">
        <v>215.32730000000001</v>
      </c>
      <c r="J4491">
        <v>81360</v>
      </c>
      <c r="K4491">
        <v>3.1183000000000001</v>
      </c>
      <c r="L4491">
        <v>1.1037999999999999</v>
      </c>
    </row>
    <row r="4492" spans="1:12" x14ac:dyDescent="0.25">
      <c r="A4492">
        <v>2303</v>
      </c>
      <c r="B4492" t="s">
        <v>10</v>
      </c>
      <c r="C4492" s="1">
        <v>43508</v>
      </c>
      <c r="D4492" s="2">
        <f t="shared" si="140"/>
        <v>2</v>
      </c>
      <c r="E4492" s="2">
        <f t="shared" si="141"/>
        <v>2</v>
      </c>
      <c r="F4492">
        <v>10.420400000000001</v>
      </c>
      <c r="G4492">
        <v>10.708600000000001</v>
      </c>
      <c r="H4492">
        <v>10.372400000000001</v>
      </c>
      <c r="I4492">
        <v>10.660600000000001</v>
      </c>
      <c r="J4492">
        <v>70690</v>
      </c>
      <c r="K4492">
        <v>2.278</v>
      </c>
      <c r="L4492">
        <v>3.2406999999999999</v>
      </c>
    </row>
    <row r="4493" spans="1:12" hidden="1" x14ac:dyDescent="0.25">
      <c r="A4493">
        <v>2330</v>
      </c>
      <c r="B4493" t="s">
        <v>11</v>
      </c>
      <c r="C4493" s="1">
        <v>43508</v>
      </c>
      <c r="D4493" s="2">
        <f t="shared" si="140"/>
        <v>2</v>
      </c>
      <c r="E4493" s="2">
        <f t="shared" si="141"/>
        <v>2</v>
      </c>
      <c r="F4493">
        <v>217.21610000000001</v>
      </c>
      <c r="G4493">
        <v>217.21610000000001</v>
      </c>
      <c r="H4493">
        <v>216.27170000000001</v>
      </c>
      <c r="I4493">
        <v>217.21610000000001</v>
      </c>
      <c r="J4493">
        <v>30125</v>
      </c>
      <c r="K4493">
        <v>0.87339999999999995</v>
      </c>
      <c r="L4493">
        <v>0.43669999999999998</v>
      </c>
    </row>
    <row r="4494" spans="1:12" x14ac:dyDescent="0.25">
      <c r="A4494">
        <v>2303</v>
      </c>
      <c r="B4494" t="s">
        <v>10</v>
      </c>
      <c r="C4494" s="1">
        <v>43509</v>
      </c>
      <c r="D4494" s="2">
        <f t="shared" si="140"/>
        <v>3</v>
      </c>
      <c r="E4494" s="2">
        <f t="shared" si="141"/>
        <v>2</v>
      </c>
      <c r="F4494">
        <v>10.756600000000001</v>
      </c>
      <c r="G4494">
        <v>10.756600000000001</v>
      </c>
      <c r="H4494">
        <v>10.564500000000001</v>
      </c>
      <c r="I4494">
        <v>10.660600000000001</v>
      </c>
      <c r="J4494">
        <v>70000</v>
      </c>
      <c r="K4494">
        <v>0</v>
      </c>
      <c r="L4494">
        <v>1.8182</v>
      </c>
    </row>
    <row r="4495" spans="1:12" hidden="1" x14ac:dyDescent="0.25">
      <c r="A4495">
        <v>2330</v>
      </c>
      <c r="B4495" t="s">
        <v>11</v>
      </c>
      <c r="C4495" s="1">
        <v>43509</v>
      </c>
      <c r="D4495" s="2">
        <f t="shared" si="140"/>
        <v>3</v>
      </c>
      <c r="E4495" s="2">
        <f t="shared" si="141"/>
        <v>2</v>
      </c>
      <c r="F4495">
        <v>219.10499999999999</v>
      </c>
      <c r="G4495">
        <v>219.10499999999999</v>
      </c>
      <c r="H4495">
        <v>215.79949999999999</v>
      </c>
      <c r="I4495">
        <v>216.27170000000001</v>
      </c>
      <c r="J4495">
        <v>28634</v>
      </c>
      <c r="K4495">
        <v>-0.43569999999999998</v>
      </c>
      <c r="L4495">
        <v>1.5317000000000001</v>
      </c>
    </row>
    <row r="4496" spans="1:12" x14ac:dyDescent="0.25">
      <c r="A4496">
        <v>2303</v>
      </c>
      <c r="B4496" t="s">
        <v>10</v>
      </c>
      <c r="C4496" s="1">
        <v>43510</v>
      </c>
      <c r="D4496" s="2">
        <f t="shared" si="140"/>
        <v>4</v>
      </c>
      <c r="E4496" s="2">
        <f t="shared" si="141"/>
        <v>2</v>
      </c>
      <c r="F4496">
        <v>10.708600000000001</v>
      </c>
      <c r="G4496">
        <v>10.852600000000001</v>
      </c>
      <c r="H4496">
        <v>10.660600000000001</v>
      </c>
      <c r="I4496">
        <v>10.852600000000001</v>
      </c>
      <c r="J4496">
        <v>26940</v>
      </c>
      <c r="K4496">
        <v>1.7858000000000001</v>
      </c>
      <c r="L4496">
        <v>1.8018000000000001</v>
      </c>
    </row>
    <row r="4497" spans="1:12" hidden="1" x14ac:dyDescent="0.25">
      <c r="A4497">
        <v>2330</v>
      </c>
      <c r="B4497" t="s">
        <v>11</v>
      </c>
      <c r="C4497" s="1">
        <v>43510</v>
      </c>
      <c r="D4497" s="2">
        <f t="shared" si="140"/>
        <v>4</v>
      </c>
      <c r="E4497" s="2">
        <f t="shared" si="141"/>
        <v>2</v>
      </c>
      <c r="F4497">
        <v>216.7439</v>
      </c>
      <c r="G4497">
        <v>217.21610000000001</v>
      </c>
      <c r="H4497">
        <v>213.4385</v>
      </c>
      <c r="I4497">
        <v>214.38290000000001</v>
      </c>
      <c r="J4497">
        <v>23647</v>
      </c>
      <c r="K4497">
        <v>-0.87719999999999998</v>
      </c>
      <c r="L4497">
        <v>1.7699</v>
      </c>
    </row>
    <row r="4498" spans="1:12" x14ac:dyDescent="0.25">
      <c r="A4498">
        <v>2303</v>
      </c>
      <c r="B4498" t="s">
        <v>10</v>
      </c>
      <c r="C4498" s="1">
        <v>43511</v>
      </c>
      <c r="D4498" s="2">
        <f t="shared" si="140"/>
        <v>5</v>
      </c>
      <c r="E4498" s="2">
        <f t="shared" si="141"/>
        <v>2</v>
      </c>
      <c r="F4498">
        <v>10.804600000000001</v>
      </c>
      <c r="G4498">
        <v>10.948700000000001</v>
      </c>
      <c r="H4498">
        <v>10.756600000000001</v>
      </c>
      <c r="I4498">
        <v>10.948700000000001</v>
      </c>
      <c r="J4498">
        <v>33217</v>
      </c>
      <c r="K4498">
        <v>0.88109999999999999</v>
      </c>
      <c r="L4498">
        <v>1.7857000000000001</v>
      </c>
    </row>
    <row r="4499" spans="1:12" hidden="1" x14ac:dyDescent="0.25">
      <c r="A4499">
        <v>2330</v>
      </c>
      <c r="B4499" t="s">
        <v>11</v>
      </c>
      <c r="C4499" s="1">
        <v>43511</v>
      </c>
      <c r="D4499" s="2">
        <f t="shared" si="140"/>
        <v>5</v>
      </c>
      <c r="E4499" s="2">
        <f t="shared" si="141"/>
        <v>2</v>
      </c>
      <c r="F4499">
        <v>216.27170000000001</v>
      </c>
      <c r="G4499">
        <v>216.27170000000001</v>
      </c>
      <c r="H4499">
        <v>213.91069999999999</v>
      </c>
      <c r="I4499">
        <v>214.38290000000001</v>
      </c>
      <c r="J4499">
        <v>22369</v>
      </c>
      <c r="K4499">
        <v>0</v>
      </c>
      <c r="L4499">
        <v>1.1037999999999999</v>
      </c>
    </row>
    <row r="4500" spans="1:12" x14ac:dyDescent="0.25">
      <c r="A4500">
        <v>2303</v>
      </c>
      <c r="B4500" t="s">
        <v>10</v>
      </c>
      <c r="C4500" s="1">
        <v>43514</v>
      </c>
      <c r="D4500" s="2">
        <f t="shared" si="140"/>
        <v>1</v>
      </c>
      <c r="E4500" s="2">
        <f t="shared" si="141"/>
        <v>2</v>
      </c>
      <c r="F4500">
        <v>11.044700000000001</v>
      </c>
      <c r="G4500">
        <v>11.092700000000001</v>
      </c>
      <c r="H4500">
        <v>10.996700000000001</v>
      </c>
      <c r="I4500">
        <v>10.996700000000001</v>
      </c>
      <c r="J4500">
        <v>23733</v>
      </c>
      <c r="K4500">
        <v>0.43759999999999999</v>
      </c>
      <c r="L4500">
        <v>0.87339999999999995</v>
      </c>
    </row>
    <row r="4501" spans="1:12" hidden="1" x14ac:dyDescent="0.25">
      <c r="A4501">
        <v>2330</v>
      </c>
      <c r="B4501" t="s">
        <v>11</v>
      </c>
      <c r="C4501" s="1">
        <v>43514</v>
      </c>
      <c r="D4501" s="2">
        <f t="shared" si="140"/>
        <v>1</v>
      </c>
      <c r="E4501" s="2">
        <f t="shared" si="141"/>
        <v>2</v>
      </c>
      <c r="F4501">
        <v>216.27170000000001</v>
      </c>
      <c r="G4501">
        <v>217.6883</v>
      </c>
      <c r="H4501">
        <v>215.79949999999999</v>
      </c>
      <c r="I4501">
        <v>217.21610000000001</v>
      </c>
      <c r="J4501">
        <v>18163</v>
      </c>
      <c r="K4501">
        <v>1.3129</v>
      </c>
      <c r="L4501">
        <v>0.87529999999999997</v>
      </c>
    </row>
    <row r="4502" spans="1:12" x14ac:dyDescent="0.25">
      <c r="A4502">
        <v>2303</v>
      </c>
      <c r="B4502" t="s">
        <v>10</v>
      </c>
      <c r="C4502" s="1">
        <v>43515</v>
      </c>
      <c r="D4502" s="2">
        <f t="shared" si="140"/>
        <v>2</v>
      </c>
      <c r="E4502" s="2">
        <f t="shared" si="141"/>
        <v>2</v>
      </c>
      <c r="F4502">
        <v>10.996700000000001</v>
      </c>
      <c r="G4502">
        <v>11.044700000000001</v>
      </c>
      <c r="H4502">
        <v>10.948700000000001</v>
      </c>
      <c r="I4502">
        <v>10.996700000000001</v>
      </c>
      <c r="J4502">
        <v>20956</v>
      </c>
      <c r="K4502">
        <v>0</v>
      </c>
      <c r="L4502">
        <v>0.87719999999999998</v>
      </c>
    </row>
    <row r="4503" spans="1:12" hidden="1" x14ac:dyDescent="0.25">
      <c r="A4503">
        <v>2330</v>
      </c>
      <c r="B4503" t="s">
        <v>11</v>
      </c>
      <c r="C4503" s="1">
        <v>43515</v>
      </c>
      <c r="D4503" s="2">
        <f t="shared" si="140"/>
        <v>2</v>
      </c>
      <c r="E4503" s="2">
        <f t="shared" si="141"/>
        <v>2</v>
      </c>
      <c r="F4503">
        <v>217.21610000000001</v>
      </c>
      <c r="G4503">
        <v>217.6883</v>
      </c>
      <c r="H4503">
        <v>216.27170000000001</v>
      </c>
      <c r="I4503">
        <v>216.27170000000001</v>
      </c>
      <c r="J4503">
        <v>18423</v>
      </c>
      <c r="K4503">
        <v>-0.43569999999999998</v>
      </c>
      <c r="L4503">
        <v>0.65500000000000003</v>
      </c>
    </row>
    <row r="4504" spans="1:12" x14ac:dyDescent="0.25">
      <c r="A4504">
        <v>2303</v>
      </c>
      <c r="B4504" t="s">
        <v>10</v>
      </c>
      <c r="C4504" s="1">
        <v>43516</v>
      </c>
      <c r="D4504" s="2">
        <f t="shared" si="140"/>
        <v>3</v>
      </c>
      <c r="E4504" s="2">
        <f t="shared" si="141"/>
        <v>2</v>
      </c>
      <c r="F4504">
        <v>10.996700000000001</v>
      </c>
      <c r="G4504">
        <v>10.996700000000001</v>
      </c>
      <c r="H4504">
        <v>10.900700000000001</v>
      </c>
      <c r="I4504">
        <v>10.948700000000001</v>
      </c>
      <c r="J4504">
        <v>23211</v>
      </c>
      <c r="K4504">
        <v>-0.43759999999999999</v>
      </c>
      <c r="L4504">
        <v>0.88109999999999999</v>
      </c>
    </row>
    <row r="4505" spans="1:12" hidden="1" x14ac:dyDescent="0.25">
      <c r="A4505">
        <v>2330</v>
      </c>
      <c r="B4505" t="s">
        <v>11</v>
      </c>
      <c r="C4505" s="1">
        <v>43516</v>
      </c>
      <c r="D4505" s="2">
        <f t="shared" si="140"/>
        <v>3</v>
      </c>
      <c r="E4505" s="2">
        <f t="shared" si="141"/>
        <v>2</v>
      </c>
      <c r="F4505">
        <v>218.6328</v>
      </c>
      <c r="G4505">
        <v>221.46600000000001</v>
      </c>
      <c r="H4505">
        <v>218.16059999999999</v>
      </c>
      <c r="I4505">
        <v>221.46600000000001</v>
      </c>
      <c r="J4505">
        <v>31887</v>
      </c>
      <c r="K4505">
        <v>2.3734000000000002</v>
      </c>
      <c r="L4505">
        <v>1.5152000000000001</v>
      </c>
    </row>
    <row r="4506" spans="1:12" x14ac:dyDescent="0.25">
      <c r="A4506">
        <v>2303</v>
      </c>
      <c r="B4506" t="s">
        <v>10</v>
      </c>
      <c r="C4506" s="1">
        <v>43517</v>
      </c>
      <c r="D4506" s="2">
        <f t="shared" si="140"/>
        <v>4</v>
      </c>
      <c r="E4506" s="2">
        <f t="shared" si="141"/>
        <v>2</v>
      </c>
      <c r="F4506">
        <v>10.996700000000001</v>
      </c>
      <c r="G4506">
        <v>11.044700000000001</v>
      </c>
      <c r="H4506">
        <v>10.900700000000001</v>
      </c>
      <c r="I4506">
        <v>10.996700000000001</v>
      </c>
      <c r="J4506">
        <v>33906</v>
      </c>
      <c r="K4506">
        <v>0.43759999999999999</v>
      </c>
      <c r="L4506">
        <v>1.3216000000000001</v>
      </c>
    </row>
    <row r="4507" spans="1:12" hidden="1" x14ac:dyDescent="0.25">
      <c r="A4507">
        <v>2330</v>
      </c>
      <c r="B4507" t="s">
        <v>11</v>
      </c>
      <c r="C4507" s="1">
        <v>43517</v>
      </c>
      <c r="D4507" s="2">
        <f t="shared" si="140"/>
        <v>4</v>
      </c>
      <c r="E4507" s="2">
        <f t="shared" si="141"/>
        <v>2</v>
      </c>
      <c r="F4507">
        <v>222.41040000000001</v>
      </c>
      <c r="G4507">
        <v>223.35489999999999</v>
      </c>
      <c r="H4507">
        <v>221.46600000000001</v>
      </c>
      <c r="I4507">
        <v>223.35489999999999</v>
      </c>
      <c r="J4507">
        <v>34013</v>
      </c>
      <c r="K4507">
        <v>0.84930000000000005</v>
      </c>
      <c r="L4507">
        <v>0.85289999999999999</v>
      </c>
    </row>
    <row r="4508" spans="1:12" x14ac:dyDescent="0.25">
      <c r="A4508">
        <v>2303</v>
      </c>
      <c r="B4508" t="s">
        <v>10</v>
      </c>
      <c r="C4508" s="1">
        <v>43518</v>
      </c>
      <c r="D4508" s="2">
        <f t="shared" si="140"/>
        <v>5</v>
      </c>
      <c r="E4508" s="2">
        <f t="shared" si="141"/>
        <v>2</v>
      </c>
      <c r="F4508">
        <v>10.996700000000001</v>
      </c>
      <c r="G4508">
        <v>11.044700000000001</v>
      </c>
      <c r="H4508">
        <v>10.852600000000001</v>
      </c>
      <c r="I4508">
        <v>11.044700000000001</v>
      </c>
      <c r="J4508">
        <v>39409</v>
      </c>
      <c r="K4508">
        <v>0.43569999999999998</v>
      </c>
      <c r="L4508">
        <v>1.7699</v>
      </c>
    </row>
    <row r="4509" spans="1:12" hidden="1" x14ac:dyDescent="0.25">
      <c r="A4509">
        <v>2330</v>
      </c>
      <c r="B4509" t="s">
        <v>11</v>
      </c>
      <c r="C4509" s="1">
        <v>43518</v>
      </c>
      <c r="D4509" s="2">
        <f t="shared" si="140"/>
        <v>5</v>
      </c>
      <c r="E4509" s="2">
        <f t="shared" si="141"/>
        <v>2</v>
      </c>
      <c r="F4509">
        <v>222.41040000000001</v>
      </c>
      <c r="G4509">
        <v>223.35489999999999</v>
      </c>
      <c r="H4509">
        <v>220.99379999999999</v>
      </c>
      <c r="I4509">
        <v>223.35489999999999</v>
      </c>
      <c r="J4509">
        <v>22032</v>
      </c>
      <c r="K4509">
        <v>0</v>
      </c>
      <c r="L4509">
        <v>1.0684</v>
      </c>
    </row>
    <row r="4510" spans="1:12" x14ac:dyDescent="0.25">
      <c r="A4510">
        <v>2303</v>
      </c>
      <c r="B4510" t="s">
        <v>10</v>
      </c>
      <c r="C4510" s="1">
        <v>43521</v>
      </c>
      <c r="D4510" s="2">
        <f t="shared" si="140"/>
        <v>1</v>
      </c>
      <c r="E4510" s="2">
        <f t="shared" si="141"/>
        <v>2</v>
      </c>
      <c r="F4510">
        <v>11.092700000000001</v>
      </c>
      <c r="G4510">
        <v>11.236800000000001</v>
      </c>
      <c r="H4510">
        <v>11.044700000000001</v>
      </c>
      <c r="I4510">
        <v>11.188800000000001</v>
      </c>
      <c r="J4510">
        <v>58222</v>
      </c>
      <c r="K4510">
        <v>1.2959000000000001</v>
      </c>
      <c r="L4510">
        <v>1.7391000000000001</v>
      </c>
    </row>
    <row r="4511" spans="1:12" hidden="1" x14ac:dyDescent="0.25">
      <c r="A4511">
        <v>2330</v>
      </c>
      <c r="B4511" t="s">
        <v>11</v>
      </c>
      <c r="C4511" s="1">
        <v>43521</v>
      </c>
      <c r="D4511" s="2">
        <f t="shared" si="140"/>
        <v>1</v>
      </c>
      <c r="E4511" s="2">
        <f t="shared" si="141"/>
        <v>2</v>
      </c>
      <c r="F4511">
        <v>224.29929999999999</v>
      </c>
      <c r="G4511">
        <v>225.7159</v>
      </c>
      <c r="H4511">
        <v>222.8826</v>
      </c>
      <c r="I4511">
        <v>224.7715</v>
      </c>
      <c r="J4511">
        <v>25227</v>
      </c>
      <c r="K4511">
        <v>0.63219999999999998</v>
      </c>
      <c r="L4511">
        <v>1.2712000000000001</v>
      </c>
    </row>
    <row r="4512" spans="1:12" x14ac:dyDescent="0.25">
      <c r="A4512">
        <v>2303</v>
      </c>
      <c r="B4512" t="s">
        <v>10</v>
      </c>
      <c r="C4512" s="1">
        <v>43522</v>
      </c>
      <c r="D4512" s="2">
        <f t="shared" si="140"/>
        <v>2</v>
      </c>
      <c r="E4512" s="2">
        <f t="shared" si="141"/>
        <v>2</v>
      </c>
      <c r="F4512">
        <v>11.188800000000001</v>
      </c>
      <c r="G4512">
        <v>11.284800000000001</v>
      </c>
      <c r="H4512">
        <v>11.1408</v>
      </c>
      <c r="I4512">
        <v>11.188800000000001</v>
      </c>
      <c r="J4512">
        <v>31765</v>
      </c>
      <c r="K4512">
        <v>0</v>
      </c>
      <c r="L4512">
        <v>1.2930999999999999</v>
      </c>
    </row>
    <row r="4513" spans="1:12" hidden="1" x14ac:dyDescent="0.25">
      <c r="A4513">
        <v>2330</v>
      </c>
      <c r="B4513" t="s">
        <v>11</v>
      </c>
      <c r="C4513" s="1">
        <v>43522</v>
      </c>
      <c r="D4513" s="2">
        <f t="shared" si="140"/>
        <v>2</v>
      </c>
      <c r="E4513" s="2">
        <f t="shared" si="141"/>
        <v>2</v>
      </c>
      <c r="F4513">
        <v>225.7159</v>
      </c>
      <c r="G4513">
        <v>226.66030000000001</v>
      </c>
      <c r="H4513">
        <v>223.35489999999999</v>
      </c>
      <c r="I4513">
        <v>226.18809999999999</v>
      </c>
      <c r="J4513">
        <v>24586</v>
      </c>
      <c r="K4513">
        <v>0.62829999999999997</v>
      </c>
      <c r="L4513">
        <v>1.4799</v>
      </c>
    </row>
    <row r="4514" spans="1:12" x14ac:dyDescent="0.25">
      <c r="A4514">
        <v>2303</v>
      </c>
      <c r="B4514" t="s">
        <v>10</v>
      </c>
      <c r="C4514" s="1">
        <v>43523</v>
      </c>
      <c r="D4514" s="2">
        <f t="shared" si="140"/>
        <v>3</v>
      </c>
      <c r="E4514" s="2">
        <f t="shared" si="141"/>
        <v>2</v>
      </c>
      <c r="F4514">
        <v>11.188800000000001</v>
      </c>
      <c r="G4514">
        <v>11.188800000000001</v>
      </c>
      <c r="H4514">
        <v>10.900700000000001</v>
      </c>
      <c r="I4514">
        <v>10.996700000000001</v>
      </c>
      <c r="J4514">
        <v>65102</v>
      </c>
      <c r="K4514">
        <v>-1.7316</v>
      </c>
      <c r="L4514">
        <v>2.6432000000000002</v>
      </c>
    </row>
    <row r="4515" spans="1:12" hidden="1" x14ac:dyDescent="0.25">
      <c r="A4515">
        <v>2330</v>
      </c>
      <c r="B4515" t="s">
        <v>11</v>
      </c>
      <c r="C4515" s="1">
        <v>43523</v>
      </c>
      <c r="D4515" s="2">
        <f t="shared" si="140"/>
        <v>3</v>
      </c>
      <c r="E4515" s="2">
        <f t="shared" si="141"/>
        <v>2</v>
      </c>
      <c r="F4515">
        <v>225.24369999999999</v>
      </c>
      <c r="G4515">
        <v>226.18809999999999</v>
      </c>
      <c r="H4515">
        <v>223.8271</v>
      </c>
      <c r="I4515">
        <v>225.7159</v>
      </c>
      <c r="J4515">
        <v>37947</v>
      </c>
      <c r="K4515">
        <v>-0.20899999999999999</v>
      </c>
      <c r="L4515">
        <v>1.0548999999999999</v>
      </c>
    </row>
    <row r="4516" spans="1:12" x14ac:dyDescent="0.25">
      <c r="A4516">
        <v>2303</v>
      </c>
      <c r="B4516" t="s">
        <v>10</v>
      </c>
      <c r="C4516" s="1">
        <v>43528</v>
      </c>
      <c r="D4516" s="2">
        <f t="shared" si="140"/>
        <v>1</v>
      </c>
      <c r="E4516" s="2">
        <f t="shared" si="141"/>
        <v>3</v>
      </c>
      <c r="F4516">
        <v>10.900700000000001</v>
      </c>
      <c r="G4516">
        <v>11.1408</v>
      </c>
      <c r="H4516">
        <v>10.852600000000001</v>
      </c>
      <c r="I4516">
        <v>10.996700000000001</v>
      </c>
      <c r="J4516">
        <v>27904</v>
      </c>
      <c r="K4516">
        <v>0</v>
      </c>
      <c r="L4516">
        <v>2.6549</v>
      </c>
    </row>
    <row r="4517" spans="1:12" hidden="1" x14ac:dyDescent="0.25">
      <c r="A4517">
        <v>2330</v>
      </c>
      <c r="B4517" t="s">
        <v>11</v>
      </c>
      <c r="C4517" s="1">
        <v>43528</v>
      </c>
      <c r="D4517" s="2">
        <f t="shared" si="140"/>
        <v>1</v>
      </c>
      <c r="E4517" s="2">
        <f t="shared" si="141"/>
        <v>3</v>
      </c>
      <c r="F4517">
        <v>226.18809999999999</v>
      </c>
      <c r="G4517">
        <v>226.18809999999999</v>
      </c>
      <c r="H4517">
        <v>221.46600000000001</v>
      </c>
      <c r="I4517">
        <v>222.41040000000001</v>
      </c>
      <c r="J4517">
        <v>45164</v>
      </c>
      <c r="K4517">
        <v>-1.4753000000000001</v>
      </c>
      <c r="L4517">
        <v>2.1322000000000001</v>
      </c>
    </row>
    <row r="4518" spans="1:12" x14ac:dyDescent="0.25">
      <c r="A4518">
        <v>2303</v>
      </c>
      <c r="B4518" t="s">
        <v>10</v>
      </c>
      <c r="C4518" s="1">
        <v>43529</v>
      </c>
      <c r="D4518" s="2">
        <f t="shared" si="140"/>
        <v>2</v>
      </c>
      <c r="E4518" s="2">
        <f t="shared" si="141"/>
        <v>3</v>
      </c>
      <c r="F4518">
        <v>10.948700000000001</v>
      </c>
      <c r="G4518">
        <v>11.1408</v>
      </c>
      <c r="H4518">
        <v>10.948700000000001</v>
      </c>
      <c r="I4518">
        <v>11.1408</v>
      </c>
      <c r="J4518">
        <v>22504</v>
      </c>
      <c r="K4518">
        <v>1.3015000000000001</v>
      </c>
      <c r="L4518">
        <v>1.7544</v>
      </c>
    </row>
    <row r="4519" spans="1:12" hidden="1" x14ac:dyDescent="0.25">
      <c r="A4519">
        <v>2330</v>
      </c>
      <c r="B4519" t="s">
        <v>11</v>
      </c>
      <c r="C4519" s="1">
        <v>43529</v>
      </c>
      <c r="D4519" s="2">
        <f t="shared" si="140"/>
        <v>2</v>
      </c>
      <c r="E4519" s="2">
        <f t="shared" si="141"/>
        <v>3</v>
      </c>
      <c r="F4519">
        <v>220.99379999999999</v>
      </c>
      <c r="G4519">
        <v>221.46600000000001</v>
      </c>
      <c r="H4519">
        <v>219.5772</v>
      </c>
      <c r="I4519">
        <v>220.04939999999999</v>
      </c>
      <c r="J4519">
        <v>23708</v>
      </c>
      <c r="K4519">
        <v>-1.0671999999999999</v>
      </c>
      <c r="L4519">
        <v>0.86019999999999996</v>
      </c>
    </row>
    <row r="4520" spans="1:12" x14ac:dyDescent="0.25">
      <c r="A4520">
        <v>2303</v>
      </c>
      <c r="B4520" t="s">
        <v>10</v>
      </c>
      <c r="C4520" s="1">
        <v>43530</v>
      </c>
      <c r="D4520" s="2">
        <f t="shared" si="140"/>
        <v>3</v>
      </c>
      <c r="E4520" s="2">
        <f t="shared" si="141"/>
        <v>3</v>
      </c>
      <c r="F4520">
        <v>11.092700000000001</v>
      </c>
      <c r="G4520">
        <v>11.284800000000001</v>
      </c>
      <c r="H4520">
        <v>11.092700000000001</v>
      </c>
      <c r="I4520">
        <v>11.236800000000001</v>
      </c>
      <c r="J4520">
        <v>20169</v>
      </c>
      <c r="K4520">
        <v>0.85840000000000005</v>
      </c>
      <c r="L4520">
        <v>1.7316</v>
      </c>
    </row>
    <row r="4521" spans="1:12" hidden="1" x14ac:dyDescent="0.25">
      <c r="A4521">
        <v>2330</v>
      </c>
      <c r="B4521" t="s">
        <v>11</v>
      </c>
      <c r="C4521" s="1">
        <v>43530</v>
      </c>
      <c r="D4521" s="2">
        <f t="shared" si="140"/>
        <v>3</v>
      </c>
      <c r="E4521" s="2">
        <f t="shared" si="141"/>
        <v>3</v>
      </c>
      <c r="F4521">
        <v>221.93819999999999</v>
      </c>
      <c r="G4521">
        <v>222.41040000000001</v>
      </c>
      <c r="H4521">
        <v>220.52160000000001</v>
      </c>
      <c r="I4521">
        <v>220.99379999999999</v>
      </c>
      <c r="J4521">
        <v>20811</v>
      </c>
      <c r="K4521">
        <v>0.42830000000000001</v>
      </c>
      <c r="L4521">
        <v>0.85650000000000004</v>
      </c>
    </row>
    <row r="4522" spans="1:12" x14ac:dyDescent="0.25">
      <c r="A4522">
        <v>2303</v>
      </c>
      <c r="B4522" t="s">
        <v>10</v>
      </c>
      <c r="C4522" s="1">
        <v>43531</v>
      </c>
      <c r="D4522" s="2">
        <f t="shared" si="140"/>
        <v>4</v>
      </c>
      <c r="E4522" s="2">
        <f t="shared" si="141"/>
        <v>3</v>
      </c>
      <c r="F4522">
        <v>11.284800000000001</v>
      </c>
      <c r="G4522">
        <v>11.524900000000001</v>
      </c>
      <c r="H4522">
        <v>11.284800000000001</v>
      </c>
      <c r="I4522">
        <v>11.3809</v>
      </c>
      <c r="J4522">
        <v>58798</v>
      </c>
      <c r="K4522">
        <v>1.2739</v>
      </c>
      <c r="L4522">
        <v>2.1276999999999999</v>
      </c>
    </row>
    <row r="4523" spans="1:12" hidden="1" x14ac:dyDescent="0.25">
      <c r="A4523">
        <v>2330</v>
      </c>
      <c r="B4523" t="s">
        <v>11</v>
      </c>
      <c r="C4523" s="1">
        <v>43531</v>
      </c>
      <c r="D4523" s="2">
        <f t="shared" si="140"/>
        <v>4</v>
      </c>
      <c r="E4523" s="2">
        <f t="shared" si="141"/>
        <v>3</v>
      </c>
      <c r="F4523">
        <v>221.93819999999999</v>
      </c>
      <c r="G4523">
        <v>221.93819999999999</v>
      </c>
      <c r="H4523">
        <v>220.04939999999999</v>
      </c>
      <c r="I4523">
        <v>220.99379999999999</v>
      </c>
      <c r="J4523">
        <v>17226</v>
      </c>
      <c r="K4523">
        <v>0</v>
      </c>
      <c r="L4523">
        <v>0.85840000000000005</v>
      </c>
    </row>
    <row r="4524" spans="1:12" x14ac:dyDescent="0.25">
      <c r="A4524">
        <v>2303</v>
      </c>
      <c r="B4524" t="s">
        <v>10</v>
      </c>
      <c r="C4524" s="1">
        <v>43532</v>
      </c>
      <c r="D4524" s="2">
        <f t="shared" si="140"/>
        <v>5</v>
      </c>
      <c r="E4524" s="2">
        <f t="shared" si="141"/>
        <v>3</v>
      </c>
      <c r="F4524">
        <v>11.3809</v>
      </c>
      <c r="G4524">
        <v>11.3809</v>
      </c>
      <c r="H4524">
        <v>11.1408</v>
      </c>
      <c r="I4524">
        <v>11.1408</v>
      </c>
      <c r="J4524">
        <v>26782</v>
      </c>
      <c r="K4524">
        <v>-2.1322999999999999</v>
      </c>
      <c r="L4524">
        <v>2.1551999999999998</v>
      </c>
    </row>
    <row r="4525" spans="1:12" hidden="1" x14ac:dyDescent="0.25">
      <c r="A4525">
        <v>2330</v>
      </c>
      <c r="B4525" t="s">
        <v>11</v>
      </c>
      <c r="C4525" s="1">
        <v>43532</v>
      </c>
      <c r="D4525" s="2">
        <f t="shared" si="140"/>
        <v>5</v>
      </c>
      <c r="E4525" s="2">
        <f t="shared" si="141"/>
        <v>3</v>
      </c>
      <c r="F4525">
        <v>218.16059999999999</v>
      </c>
      <c r="G4525">
        <v>218.6328</v>
      </c>
      <c r="H4525">
        <v>216.27170000000001</v>
      </c>
      <c r="I4525">
        <v>217.21610000000001</v>
      </c>
      <c r="J4525">
        <v>22535</v>
      </c>
      <c r="K4525">
        <v>-1.7242</v>
      </c>
      <c r="L4525">
        <v>1.0916999999999999</v>
      </c>
    </row>
    <row r="4526" spans="1:12" x14ac:dyDescent="0.25">
      <c r="A4526">
        <v>2303</v>
      </c>
      <c r="B4526" t="s">
        <v>10</v>
      </c>
      <c r="C4526" s="1">
        <v>43535</v>
      </c>
      <c r="D4526" s="2">
        <f t="shared" si="140"/>
        <v>1</v>
      </c>
      <c r="E4526" s="2">
        <f t="shared" si="141"/>
        <v>3</v>
      </c>
      <c r="F4526">
        <v>11.092700000000001</v>
      </c>
      <c r="G4526">
        <v>11.1408</v>
      </c>
      <c r="H4526">
        <v>10.948700000000001</v>
      </c>
      <c r="I4526">
        <v>10.996700000000001</v>
      </c>
      <c r="J4526">
        <v>40281</v>
      </c>
      <c r="K4526">
        <v>-1.3015000000000001</v>
      </c>
      <c r="L4526">
        <v>1.7544</v>
      </c>
    </row>
    <row r="4527" spans="1:12" hidden="1" x14ac:dyDescent="0.25">
      <c r="A4527">
        <v>2330</v>
      </c>
      <c r="B4527" t="s">
        <v>11</v>
      </c>
      <c r="C4527" s="1">
        <v>43535</v>
      </c>
      <c r="D4527" s="2">
        <f t="shared" si="140"/>
        <v>1</v>
      </c>
      <c r="E4527" s="2">
        <f t="shared" si="141"/>
        <v>3</v>
      </c>
      <c r="F4527">
        <v>215.32730000000001</v>
      </c>
      <c r="G4527">
        <v>217.6883</v>
      </c>
      <c r="H4527">
        <v>214.85509999999999</v>
      </c>
      <c r="I4527">
        <v>217.6883</v>
      </c>
      <c r="J4527">
        <v>34282</v>
      </c>
      <c r="K4527">
        <v>0.2172</v>
      </c>
      <c r="L4527">
        <v>1.3187</v>
      </c>
    </row>
    <row r="4528" spans="1:12" x14ac:dyDescent="0.25">
      <c r="A4528">
        <v>2303</v>
      </c>
      <c r="B4528" t="s">
        <v>10</v>
      </c>
      <c r="C4528" s="1">
        <v>43536</v>
      </c>
      <c r="D4528" s="2">
        <f t="shared" si="140"/>
        <v>2</v>
      </c>
      <c r="E4528" s="2">
        <f t="shared" si="141"/>
        <v>3</v>
      </c>
      <c r="F4528">
        <v>11.092700000000001</v>
      </c>
      <c r="G4528">
        <v>11.188800000000001</v>
      </c>
      <c r="H4528">
        <v>11.092700000000001</v>
      </c>
      <c r="I4528">
        <v>11.188800000000001</v>
      </c>
      <c r="J4528">
        <v>15935</v>
      </c>
      <c r="K4528">
        <v>1.7316</v>
      </c>
      <c r="L4528">
        <v>0.86580000000000001</v>
      </c>
    </row>
    <row r="4529" spans="1:12" hidden="1" x14ac:dyDescent="0.25">
      <c r="A4529">
        <v>2330</v>
      </c>
      <c r="B4529" t="s">
        <v>11</v>
      </c>
      <c r="C4529" s="1">
        <v>43536</v>
      </c>
      <c r="D4529" s="2">
        <f t="shared" si="140"/>
        <v>2</v>
      </c>
      <c r="E4529" s="2">
        <f t="shared" si="141"/>
        <v>3</v>
      </c>
      <c r="F4529">
        <v>220.04939999999999</v>
      </c>
      <c r="G4529">
        <v>223.8271</v>
      </c>
      <c r="H4529">
        <v>219.5772</v>
      </c>
      <c r="I4529">
        <v>222.41040000000001</v>
      </c>
      <c r="J4529">
        <v>23839</v>
      </c>
      <c r="K4529">
        <v>2.1459999999999999</v>
      </c>
      <c r="L4529">
        <v>1.9355</v>
      </c>
    </row>
    <row r="4530" spans="1:12" x14ac:dyDescent="0.25">
      <c r="A4530">
        <v>2303</v>
      </c>
      <c r="B4530" t="s">
        <v>10</v>
      </c>
      <c r="C4530" s="1">
        <v>43537</v>
      </c>
      <c r="D4530" s="2">
        <f t="shared" si="140"/>
        <v>3</v>
      </c>
      <c r="E4530" s="2">
        <f t="shared" si="141"/>
        <v>3</v>
      </c>
      <c r="F4530">
        <v>11.188800000000001</v>
      </c>
      <c r="G4530">
        <v>11.188800000000001</v>
      </c>
      <c r="H4530">
        <v>11.044700000000001</v>
      </c>
      <c r="I4530">
        <v>11.092700000000001</v>
      </c>
      <c r="J4530">
        <v>14050</v>
      </c>
      <c r="K4530">
        <v>-0.86209999999999998</v>
      </c>
      <c r="L4530">
        <v>1.3043</v>
      </c>
    </row>
    <row r="4531" spans="1:12" hidden="1" x14ac:dyDescent="0.25">
      <c r="A4531">
        <v>2330</v>
      </c>
      <c r="B4531" t="s">
        <v>11</v>
      </c>
      <c r="C4531" s="1">
        <v>43537</v>
      </c>
      <c r="D4531" s="2">
        <f t="shared" si="140"/>
        <v>3</v>
      </c>
      <c r="E4531" s="2">
        <f t="shared" si="141"/>
        <v>3</v>
      </c>
      <c r="F4531">
        <v>220.99379999999999</v>
      </c>
      <c r="G4531">
        <v>223.8271</v>
      </c>
      <c r="H4531">
        <v>220.99379999999999</v>
      </c>
      <c r="I4531">
        <v>223.8271</v>
      </c>
      <c r="J4531">
        <v>22493</v>
      </c>
      <c r="K4531">
        <v>0.63490000000000002</v>
      </c>
      <c r="L4531">
        <v>1.2821</v>
      </c>
    </row>
    <row r="4532" spans="1:12" x14ac:dyDescent="0.25">
      <c r="A4532">
        <v>2303</v>
      </c>
      <c r="B4532" t="s">
        <v>10</v>
      </c>
      <c r="C4532" s="1">
        <v>43538</v>
      </c>
      <c r="D4532" s="2">
        <f t="shared" si="140"/>
        <v>4</v>
      </c>
      <c r="E4532" s="2">
        <f t="shared" si="141"/>
        <v>3</v>
      </c>
      <c r="F4532">
        <v>11.092700000000001</v>
      </c>
      <c r="G4532">
        <v>11.1408</v>
      </c>
      <c r="H4532">
        <v>10.996700000000001</v>
      </c>
      <c r="I4532">
        <v>10.996700000000001</v>
      </c>
      <c r="J4532">
        <v>17760</v>
      </c>
      <c r="K4532">
        <v>-0.86960000000000004</v>
      </c>
      <c r="L4532">
        <v>1.31</v>
      </c>
    </row>
    <row r="4533" spans="1:12" hidden="1" x14ac:dyDescent="0.25">
      <c r="A4533">
        <v>2330</v>
      </c>
      <c r="B4533" t="s">
        <v>11</v>
      </c>
      <c r="C4533" s="1">
        <v>43538</v>
      </c>
      <c r="D4533" s="2">
        <f t="shared" si="140"/>
        <v>4</v>
      </c>
      <c r="E4533" s="2">
        <f t="shared" si="141"/>
        <v>3</v>
      </c>
      <c r="F4533">
        <v>225.7159</v>
      </c>
      <c r="G4533">
        <v>225.7159</v>
      </c>
      <c r="H4533">
        <v>220.99379999999999</v>
      </c>
      <c r="I4533">
        <v>221.46600000000001</v>
      </c>
      <c r="J4533">
        <v>17281</v>
      </c>
      <c r="K4533">
        <v>-1.0605</v>
      </c>
      <c r="L4533">
        <v>2.1368</v>
      </c>
    </row>
    <row r="4534" spans="1:12" x14ac:dyDescent="0.25">
      <c r="A4534">
        <v>2303</v>
      </c>
      <c r="B4534" t="s">
        <v>10</v>
      </c>
      <c r="C4534" s="1">
        <v>43539</v>
      </c>
      <c r="D4534" s="2">
        <f t="shared" si="140"/>
        <v>5</v>
      </c>
      <c r="E4534" s="2">
        <f t="shared" si="141"/>
        <v>3</v>
      </c>
      <c r="F4534">
        <v>10.996700000000001</v>
      </c>
      <c r="G4534">
        <v>11.188800000000001</v>
      </c>
      <c r="H4534">
        <v>10.996700000000001</v>
      </c>
      <c r="I4534">
        <v>11.188800000000001</v>
      </c>
      <c r="J4534">
        <v>28892</v>
      </c>
      <c r="K4534">
        <v>1.7316</v>
      </c>
      <c r="L4534">
        <v>1.7466999999999999</v>
      </c>
    </row>
    <row r="4535" spans="1:12" hidden="1" x14ac:dyDescent="0.25">
      <c r="A4535">
        <v>2330</v>
      </c>
      <c r="B4535" t="s">
        <v>11</v>
      </c>
      <c r="C4535" s="1">
        <v>43539</v>
      </c>
      <c r="D4535" s="2">
        <f t="shared" si="140"/>
        <v>5</v>
      </c>
      <c r="E4535" s="2">
        <f t="shared" si="141"/>
        <v>3</v>
      </c>
      <c r="F4535">
        <v>223.8271</v>
      </c>
      <c r="G4535">
        <v>226.18809999999999</v>
      </c>
      <c r="H4535">
        <v>222.41040000000001</v>
      </c>
      <c r="I4535">
        <v>225.7159</v>
      </c>
      <c r="J4535">
        <v>34542</v>
      </c>
      <c r="K4535">
        <v>1.9008</v>
      </c>
      <c r="L4535">
        <v>1.6984999999999999</v>
      </c>
    </row>
    <row r="4536" spans="1:12" x14ac:dyDescent="0.25">
      <c r="A4536">
        <v>2303</v>
      </c>
      <c r="B4536" t="s">
        <v>10</v>
      </c>
      <c r="C4536" s="1">
        <v>43542</v>
      </c>
      <c r="D4536" s="2">
        <f t="shared" si="140"/>
        <v>1</v>
      </c>
      <c r="E4536" s="2">
        <f t="shared" si="141"/>
        <v>3</v>
      </c>
      <c r="F4536">
        <v>11.092700000000001</v>
      </c>
      <c r="G4536">
        <v>11.236800000000001</v>
      </c>
      <c r="H4536">
        <v>11.092700000000001</v>
      </c>
      <c r="I4536">
        <v>11.236800000000001</v>
      </c>
      <c r="J4536">
        <v>23859</v>
      </c>
      <c r="K4536">
        <v>0.42830000000000001</v>
      </c>
      <c r="L4536">
        <v>1.2987</v>
      </c>
    </row>
    <row r="4537" spans="1:12" hidden="1" x14ac:dyDescent="0.25">
      <c r="A4537">
        <v>2330</v>
      </c>
      <c r="B4537" t="s">
        <v>11</v>
      </c>
      <c r="C4537" s="1">
        <v>43542</v>
      </c>
      <c r="D4537" s="2">
        <f t="shared" si="140"/>
        <v>1</v>
      </c>
      <c r="E4537" s="2">
        <f t="shared" si="141"/>
        <v>3</v>
      </c>
      <c r="F4537">
        <v>226.18809999999999</v>
      </c>
      <c r="G4537">
        <v>227.60470000000001</v>
      </c>
      <c r="H4537">
        <v>225.7159</v>
      </c>
      <c r="I4537">
        <v>227.60470000000001</v>
      </c>
      <c r="J4537">
        <v>27040</v>
      </c>
      <c r="K4537">
        <v>0.83330000000000004</v>
      </c>
      <c r="L4537">
        <v>0.83679999999999999</v>
      </c>
    </row>
    <row r="4538" spans="1:12" x14ac:dyDescent="0.25">
      <c r="A4538">
        <v>2303</v>
      </c>
      <c r="B4538" t="s">
        <v>10</v>
      </c>
      <c r="C4538" s="1">
        <v>43543</v>
      </c>
      <c r="D4538" s="2">
        <f t="shared" si="140"/>
        <v>2</v>
      </c>
      <c r="E4538" s="2">
        <f t="shared" si="141"/>
        <v>3</v>
      </c>
      <c r="F4538">
        <v>11.236800000000001</v>
      </c>
      <c r="G4538">
        <v>11.284800000000001</v>
      </c>
      <c r="H4538">
        <v>11.188800000000001</v>
      </c>
      <c r="I4538">
        <v>11.236800000000001</v>
      </c>
      <c r="J4538">
        <v>33532</v>
      </c>
      <c r="K4538">
        <v>0</v>
      </c>
      <c r="L4538">
        <v>0.85840000000000005</v>
      </c>
    </row>
    <row r="4539" spans="1:12" hidden="1" x14ac:dyDescent="0.25">
      <c r="A4539">
        <v>2330</v>
      </c>
      <c r="B4539" t="s">
        <v>11</v>
      </c>
      <c r="C4539" s="1">
        <v>43543</v>
      </c>
      <c r="D4539" s="2">
        <f t="shared" si="140"/>
        <v>2</v>
      </c>
      <c r="E4539" s="2">
        <f t="shared" si="141"/>
        <v>3</v>
      </c>
      <c r="F4539">
        <v>225.7159</v>
      </c>
      <c r="G4539">
        <v>227.13249999999999</v>
      </c>
      <c r="H4539">
        <v>224.7715</v>
      </c>
      <c r="I4539">
        <v>227.13249999999999</v>
      </c>
      <c r="J4539">
        <v>14620</v>
      </c>
      <c r="K4539">
        <v>-0.2077</v>
      </c>
      <c r="L4539">
        <v>1.0504</v>
      </c>
    </row>
    <row r="4540" spans="1:12" x14ac:dyDescent="0.25">
      <c r="A4540">
        <v>2303</v>
      </c>
      <c r="B4540" t="s">
        <v>10</v>
      </c>
      <c r="C4540" s="1">
        <v>43544</v>
      </c>
      <c r="D4540" s="2">
        <f t="shared" si="140"/>
        <v>3</v>
      </c>
      <c r="E4540" s="2">
        <f t="shared" si="141"/>
        <v>3</v>
      </c>
      <c r="F4540">
        <v>11.188800000000001</v>
      </c>
      <c r="G4540">
        <v>11.236800000000001</v>
      </c>
      <c r="H4540">
        <v>11.092700000000001</v>
      </c>
      <c r="I4540">
        <v>11.092700000000001</v>
      </c>
      <c r="J4540">
        <v>19746</v>
      </c>
      <c r="K4540">
        <v>-1.2903</v>
      </c>
      <c r="L4540">
        <v>1.2987</v>
      </c>
    </row>
    <row r="4541" spans="1:12" hidden="1" x14ac:dyDescent="0.25">
      <c r="A4541">
        <v>2330</v>
      </c>
      <c r="B4541" t="s">
        <v>11</v>
      </c>
      <c r="C4541" s="1">
        <v>43544</v>
      </c>
      <c r="D4541" s="2">
        <f t="shared" si="140"/>
        <v>3</v>
      </c>
      <c r="E4541" s="2">
        <f t="shared" si="141"/>
        <v>3</v>
      </c>
      <c r="F4541">
        <v>228.54920000000001</v>
      </c>
      <c r="G4541">
        <v>228.54920000000001</v>
      </c>
      <c r="H4541">
        <v>226.18809999999999</v>
      </c>
      <c r="I4541">
        <v>228.54920000000001</v>
      </c>
      <c r="J4541">
        <v>23055</v>
      </c>
      <c r="K4541">
        <v>0.62180000000000002</v>
      </c>
      <c r="L4541">
        <v>1.0438000000000001</v>
      </c>
    </row>
    <row r="4542" spans="1:12" x14ac:dyDescent="0.25">
      <c r="A4542">
        <v>2303</v>
      </c>
      <c r="B4542" t="s">
        <v>10</v>
      </c>
      <c r="C4542" s="1">
        <v>43545</v>
      </c>
      <c r="D4542" s="2">
        <f t="shared" si="140"/>
        <v>4</v>
      </c>
      <c r="E4542" s="2">
        <f t="shared" si="141"/>
        <v>3</v>
      </c>
      <c r="F4542">
        <v>11.1408</v>
      </c>
      <c r="G4542">
        <v>11.236800000000001</v>
      </c>
      <c r="H4542">
        <v>11.092700000000001</v>
      </c>
      <c r="I4542">
        <v>11.1408</v>
      </c>
      <c r="J4542">
        <v>27175</v>
      </c>
      <c r="K4542">
        <v>0.432</v>
      </c>
      <c r="L4542">
        <v>1.2987</v>
      </c>
    </row>
    <row r="4543" spans="1:12" hidden="1" x14ac:dyDescent="0.25">
      <c r="A4543">
        <v>2330</v>
      </c>
      <c r="B4543" t="s">
        <v>11</v>
      </c>
      <c r="C4543" s="1">
        <v>43545</v>
      </c>
      <c r="D4543" s="2">
        <f t="shared" si="140"/>
        <v>4</v>
      </c>
      <c r="E4543" s="2">
        <f t="shared" si="141"/>
        <v>3</v>
      </c>
      <c r="F4543">
        <v>229.0214</v>
      </c>
      <c r="G4543">
        <v>231.8546</v>
      </c>
      <c r="H4543">
        <v>227.60470000000001</v>
      </c>
      <c r="I4543">
        <v>231.8546</v>
      </c>
      <c r="J4543">
        <v>27514</v>
      </c>
      <c r="K4543">
        <v>1.4359</v>
      </c>
      <c r="L4543">
        <v>1.8672</v>
      </c>
    </row>
    <row r="4544" spans="1:12" x14ac:dyDescent="0.25">
      <c r="A4544">
        <v>2303</v>
      </c>
      <c r="B4544" t="s">
        <v>10</v>
      </c>
      <c r="C4544" s="1">
        <v>43546</v>
      </c>
      <c r="D4544" s="2">
        <f t="shared" si="140"/>
        <v>5</v>
      </c>
      <c r="E4544" s="2">
        <f t="shared" si="141"/>
        <v>3</v>
      </c>
      <c r="F4544">
        <v>11.188800000000001</v>
      </c>
      <c r="G4544">
        <v>11.332800000000001</v>
      </c>
      <c r="H4544">
        <v>11.188800000000001</v>
      </c>
      <c r="I4544">
        <v>11.332800000000001</v>
      </c>
      <c r="J4544">
        <v>32719</v>
      </c>
      <c r="K4544">
        <v>1.7094</v>
      </c>
      <c r="L4544">
        <v>1.2876000000000001</v>
      </c>
    </row>
    <row r="4545" spans="1:12" hidden="1" x14ac:dyDescent="0.25">
      <c r="A4545">
        <v>2330</v>
      </c>
      <c r="B4545" t="s">
        <v>11</v>
      </c>
      <c r="C4545" s="1">
        <v>43546</v>
      </c>
      <c r="D4545" s="2">
        <f t="shared" si="140"/>
        <v>5</v>
      </c>
      <c r="E4545" s="2">
        <f t="shared" si="141"/>
        <v>3</v>
      </c>
      <c r="F4545">
        <v>234.2157</v>
      </c>
      <c r="G4545">
        <v>234.68790000000001</v>
      </c>
      <c r="H4545">
        <v>230.9102</v>
      </c>
      <c r="I4545">
        <v>234.68790000000001</v>
      </c>
      <c r="J4545">
        <v>22996</v>
      </c>
      <c r="K4545">
        <v>1.2145999999999999</v>
      </c>
      <c r="L4545">
        <v>1.6359999999999999</v>
      </c>
    </row>
    <row r="4546" spans="1:12" x14ac:dyDescent="0.25">
      <c r="A4546">
        <v>2303</v>
      </c>
      <c r="B4546" t="s">
        <v>10</v>
      </c>
      <c r="C4546" s="1">
        <v>43549</v>
      </c>
      <c r="D4546" s="2">
        <f t="shared" si="140"/>
        <v>1</v>
      </c>
      <c r="E4546" s="2">
        <f t="shared" si="141"/>
        <v>3</v>
      </c>
      <c r="F4546">
        <v>11.188800000000001</v>
      </c>
      <c r="G4546">
        <v>11.332800000000001</v>
      </c>
      <c r="H4546">
        <v>11.1408</v>
      </c>
      <c r="I4546">
        <v>11.188800000000001</v>
      </c>
      <c r="J4546">
        <v>41937</v>
      </c>
      <c r="K4546">
        <v>-1.2793000000000001</v>
      </c>
      <c r="L4546">
        <v>1.7241</v>
      </c>
    </row>
    <row r="4547" spans="1:12" hidden="1" x14ac:dyDescent="0.25">
      <c r="A4547">
        <v>2330</v>
      </c>
      <c r="B4547" t="s">
        <v>11</v>
      </c>
      <c r="C4547" s="1">
        <v>43549</v>
      </c>
      <c r="D4547" s="2">
        <f t="shared" ref="D4547:D4610" si="142">WEEKDAY(C4547,2)</f>
        <v>1</v>
      </c>
      <c r="E4547" s="2">
        <f t="shared" ref="E4547:E4610" si="143">MONTH(C4547)</f>
        <v>3</v>
      </c>
      <c r="F4547">
        <v>227.13249999999999</v>
      </c>
      <c r="G4547">
        <v>229.9658</v>
      </c>
      <c r="H4547">
        <v>227.13249999999999</v>
      </c>
      <c r="I4547">
        <v>228.07689999999999</v>
      </c>
      <c r="J4547">
        <v>19273</v>
      </c>
      <c r="K4547">
        <v>-2.8573</v>
      </c>
      <c r="L4547">
        <v>1.2474000000000001</v>
      </c>
    </row>
    <row r="4548" spans="1:12" x14ac:dyDescent="0.25">
      <c r="A4548">
        <v>2303</v>
      </c>
      <c r="B4548" t="s">
        <v>10</v>
      </c>
      <c r="C4548" s="1">
        <v>43550</v>
      </c>
      <c r="D4548" s="2">
        <f t="shared" si="142"/>
        <v>2</v>
      </c>
      <c r="E4548" s="2">
        <f t="shared" si="143"/>
        <v>3</v>
      </c>
      <c r="F4548">
        <v>11.188800000000001</v>
      </c>
      <c r="G4548">
        <v>11.284800000000001</v>
      </c>
      <c r="H4548">
        <v>11.188800000000001</v>
      </c>
      <c r="I4548">
        <v>11.188800000000001</v>
      </c>
      <c r="J4548">
        <v>13701</v>
      </c>
      <c r="K4548">
        <v>0</v>
      </c>
      <c r="L4548">
        <v>0.85840000000000005</v>
      </c>
    </row>
    <row r="4549" spans="1:12" hidden="1" x14ac:dyDescent="0.25">
      <c r="A4549">
        <v>2330</v>
      </c>
      <c r="B4549" t="s">
        <v>11</v>
      </c>
      <c r="C4549" s="1">
        <v>43550</v>
      </c>
      <c r="D4549" s="2">
        <f t="shared" si="142"/>
        <v>2</v>
      </c>
      <c r="E4549" s="2">
        <f t="shared" si="143"/>
        <v>3</v>
      </c>
      <c r="F4549">
        <v>229.49359999999999</v>
      </c>
      <c r="G4549">
        <v>230.43799999999999</v>
      </c>
      <c r="H4549">
        <v>227.60470000000001</v>
      </c>
      <c r="I4549">
        <v>230.43799999999999</v>
      </c>
      <c r="J4549">
        <v>21053</v>
      </c>
      <c r="K4549">
        <v>1.0299</v>
      </c>
      <c r="L4549">
        <v>1.2447999999999999</v>
      </c>
    </row>
    <row r="4550" spans="1:12" x14ac:dyDescent="0.25">
      <c r="A4550">
        <v>2303</v>
      </c>
      <c r="B4550" t="s">
        <v>10</v>
      </c>
      <c r="C4550" s="1">
        <v>43551</v>
      </c>
      <c r="D4550" s="2">
        <f t="shared" si="142"/>
        <v>3</v>
      </c>
      <c r="E4550" s="2">
        <f t="shared" si="143"/>
        <v>3</v>
      </c>
      <c r="F4550">
        <v>11.188800000000001</v>
      </c>
      <c r="G4550">
        <v>11.236800000000001</v>
      </c>
      <c r="H4550">
        <v>11.1408</v>
      </c>
      <c r="I4550">
        <v>11.188800000000001</v>
      </c>
      <c r="J4550">
        <v>14664</v>
      </c>
      <c r="K4550">
        <v>0</v>
      </c>
      <c r="L4550">
        <v>0.86209999999999998</v>
      </c>
    </row>
    <row r="4551" spans="1:12" hidden="1" x14ac:dyDescent="0.25">
      <c r="A4551">
        <v>2330</v>
      </c>
      <c r="B4551" t="s">
        <v>11</v>
      </c>
      <c r="C4551" s="1">
        <v>43551</v>
      </c>
      <c r="D4551" s="2">
        <f t="shared" si="142"/>
        <v>3</v>
      </c>
      <c r="E4551" s="2">
        <f t="shared" si="143"/>
        <v>3</v>
      </c>
      <c r="F4551">
        <v>228.54920000000001</v>
      </c>
      <c r="G4551">
        <v>229.0214</v>
      </c>
      <c r="H4551">
        <v>227.13249999999999</v>
      </c>
      <c r="I4551">
        <v>228.07689999999999</v>
      </c>
      <c r="J4551">
        <v>23622</v>
      </c>
      <c r="K4551">
        <v>-1.0299</v>
      </c>
      <c r="L4551">
        <v>0.83160000000000001</v>
      </c>
    </row>
    <row r="4552" spans="1:12" x14ac:dyDescent="0.25">
      <c r="A4552">
        <v>2303</v>
      </c>
      <c r="B4552" t="s">
        <v>10</v>
      </c>
      <c r="C4552" s="1">
        <v>43552</v>
      </c>
      <c r="D4552" s="2">
        <f t="shared" si="142"/>
        <v>4</v>
      </c>
      <c r="E4552" s="2">
        <f t="shared" si="143"/>
        <v>3</v>
      </c>
      <c r="F4552">
        <v>11.188800000000001</v>
      </c>
      <c r="G4552">
        <v>11.236800000000001</v>
      </c>
      <c r="H4552">
        <v>11.1408</v>
      </c>
      <c r="I4552">
        <v>11.188800000000001</v>
      </c>
      <c r="J4552">
        <v>28280</v>
      </c>
      <c r="K4552">
        <v>0</v>
      </c>
      <c r="L4552">
        <v>0.86209999999999998</v>
      </c>
    </row>
    <row r="4553" spans="1:12" hidden="1" x14ac:dyDescent="0.25">
      <c r="A4553">
        <v>2330</v>
      </c>
      <c r="B4553" t="s">
        <v>11</v>
      </c>
      <c r="C4553" s="1">
        <v>43552</v>
      </c>
      <c r="D4553" s="2">
        <f t="shared" si="142"/>
        <v>4</v>
      </c>
      <c r="E4553" s="2">
        <f t="shared" si="143"/>
        <v>3</v>
      </c>
      <c r="F4553">
        <v>227.13249999999999</v>
      </c>
      <c r="G4553">
        <v>229.0214</v>
      </c>
      <c r="H4553">
        <v>226.66030000000001</v>
      </c>
      <c r="I4553">
        <v>228.54920000000001</v>
      </c>
      <c r="J4553">
        <v>13998</v>
      </c>
      <c r="K4553">
        <v>0.20680000000000001</v>
      </c>
      <c r="L4553">
        <v>1.0417000000000001</v>
      </c>
    </row>
    <row r="4554" spans="1:12" x14ac:dyDescent="0.25">
      <c r="A4554">
        <v>2303</v>
      </c>
      <c r="B4554" t="s">
        <v>10</v>
      </c>
      <c r="C4554" s="1">
        <v>43553</v>
      </c>
      <c r="D4554" s="2">
        <f t="shared" si="142"/>
        <v>5</v>
      </c>
      <c r="E4554" s="2">
        <f t="shared" si="143"/>
        <v>3</v>
      </c>
      <c r="F4554">
        <v>11.188800000000001</v>
      </c>
      <c r="G4554">
        <v>11.236800000000001</v>
      </c>
      <c r="H4554">
        <v>11.1408</v>
      </c>
      <c r="I4554">
        <v>11.188800000000001</v>
      </c>
      <c r="J4554">
        <v>31034</v>
      </c>
      <c r="K4554">
        <v>0</v>
      </c>
      <c r="L4554">
        <v>0.86209999999999998</v>
      </c>
    </row>
    <row r="4555" spans="1:12" hidden="1" x14ac:dyDescent="0.25">
      <c r="A4555">
        <v>2330</v>
      </c>
      <c r="B4555" t="s">
        <v>11</v>
      </c>
      <c r="C4555" s="1">
        <v>43553</v>
      </c>
      <c r="D4555" s="2">
        <f t="shared" si="142"/>
        <v>5</v>
      </c>
      <c r="E4555" s="2">
        <f t="shared" si="143"/>
        <v>3</v>
      </c>
      <c r="F4555">
        <v>229.49359999999999</v>
      </c>
      <c r="G4555">
        <v>231.8546</v>
      </c>
      <c r="H4555">
        <v>227.13249999999999</v>
      </c>
      <c r="I4555">
        <v>231.8546</v>
      </c>
      <c r="J4555">
        <v>31024</v>
      </c>
      <c r="K4555">
        <v>1.4359</v>
      </c>
      <c r="L4555">
        <v>2.0790000000000002</v>
      </c>
    </row>
    <row r="4556" spans="1:12" x14ac:dyDescent="0.25">
      <c r="A4556">
        <v>2303</v>
      </c>
      <c r="B4556" t="s">
        <v>10</v>
      </c>
      <c r="C4556" s="1">
        <v>43556</v>
      </c>
      <c r="D4556" s="2">
        <f t="shared" si="142"/>
        <v>1</v>
      </c>
      <c r="E4556" s="2">
        <f t="shared" si="143"/>
        <v>4</v>
      </c>
      <c r="F4556">
        <v>11.236800000000001</v>
      </c>
      <c r="G4556">
        <v>11.284800000000001</v>
      </c>
      <c r="H4556">
        <v>11.092700000000001</v>
      </c>
      <c r="I4556">
        <v>11.092700000000001</v>
      </c>
      <c r="J4556">
        <v>22798</v>
      </c>
      <c r="K4556">
        <v>-0.86209999999999998</v>
      </c>
      <c r="L4556">
        <v>1.7316</v>
      </c>
    </row>
    <row r="4557" spans="1:12" hidden="1" x14ac:dyDescent="0.25">
      <c r="A4557">
        <v>2330</v>
      </c>
      <c r="B4557" t="s">
        <v>11</v>
      </c>
      <c r="C4557" s="1">
        <v>43556</v>
      </c>
      <c r="D4557" s="2">
        <f t="shared" si="142"/>
        <v>1</v>
      </c>
      <c r="E4557" s="2">
        <f t="shared" si="143"/>
        <v>4</v>
      </c>
      <c r="F4557">
        <v>237.0489</v>
      </c>
      <c r="G4557">
        <v>237.0489</v>
      </c>
      <c r="H4557">
        <v>231.38239999999999</v>
      </c>
      <c r="I4557">
        <v>231.8546</v>
      </c>
      <c r="J4557">
        <v>35330</v>
      </c>
      <c r="K4557">
        <v>0</v>
      </c>
      <c r="L4557">
        <v>2.4489999999999998</v>
      </c>
    </row>
    <row r="4558" spans="1:12" x14ac:dyDescent="0.25">
      <c r="A4558">
        <v>2303</v>
      </c>
      <c r="B4558" t="s">
        <v>10</v>
      </c>
      <c r="C4558" s="1">
        <v>43557</v>
      </c>
      <c r="D4558" s="2">
        <f t="shared" si="142"/>
        <v>2</v>
      </c>
      <c r="E4558" s="2">
        <f t="shared" si="143"/>
        <v>4</v>
      </c>
      <c r="F4558">
        <v>11.188800000000001</v>
      </c>
      <c r="G4558">
        <v>11.236800000000001</v>
      </c>
      <c r="H4558">
        <v>11.092700000000001</v>
      </c>
      <c r="I4558">
        <v>11.1408</v>
      </c>
      <c r="J4558">
        <v>23155</v>
      </c>
      <c r="K4558">
        <v>0.432</v>
      </c>
      <c r="L4558">
        <v>1.2987</v>
      </c>
    </row>
    <row r="4559" spans="1:12" hidden="1" x14ac:dyDescent="0.25">
      <c r="A4559">
        <v>2330</v>
      </c>
      <c r="B4559" t="s">
        <v>11</v>
      </c>
      <c r="C4559" s="1">
        <v>43557</v>
      </c>
      <c r="D4559" s="2">
        <f t="shared" si="142"/>
        <v>2</v>
      </c>
      <c r="E4559" s="2">
        <f t="shared" si="143"/>
        <v>4</v>
      </c>
      <c r="F4559">
        <v>235.63229999999999</v>
      </c>
      <c r="G4559">
        <v>235.63229999999999</v>
      </c>
      <c r="H4559">
        <v>232.32679999999999</v>
      </c>
      <c r="I4559">
        <v>232.32679999999999</v>
      </c>
      <c r="J4559">
        <v>25189</v>
      </c>
      <c r="K4559">
        <v>0.20349999999999999</v>
      </c>
      <c r="L4559">
        <v>1.4228000000000001</v>
      </c>
    </row>
    <row r="4560" spans="1:12" x14ac:dyDescent="0.25">
      <c r="A4560">
        <v>2303</v>
      </c>
      <c r="B4560" t="s">
        <v>10</v>
      </c>
      <c r="C4560" s="1">
        <v>43558</v>
      </c>
      <c r="D4560" s="2">
        <f t="shared" si="142"/>
        <v>3</v>
      </c>
      <c r="E4560" s="2">
        <f t="shared" si="143"/>
        <v>4</v>
      </c>
      <c r="F4560">
        <v>11.1408</v>
      </c>
      <c r="G4560">
        <v>11.188800000000001</v>
      </c>
      <c r="H4560">
        <v>11.092700000000001</v>
      </c>
      <c r="I4560">
        <v>11.092700000000001</v>
      </c>
      <c r="J4560">
        <v>21951</v>
      </c>
      <c r="K4560">
        <v>-0.432</v>
      </c>
      <c r="L4560">
        <v>0.86580000000000001</v>
      </c>
    </row>
    <row r="4561" spans="1:12" hidden="1" x14ac:dyDescent="0.25">
      <c r="A4561">
        <v>2330</v>
      </c>
      <c r="B4561" t="s">
        <v>11</v>
      </c>
      <c r="C4561" s="1">
        <v>43558</v>
      </c>
      <c r="D4561" s="2">
        <f t="shared" si="142"/>
        <v>3</v>
      </c>
      <c r="E4561" s="2">
        <f t="shared" si="143"/>
        <v>4</v>
      </c>
      <c r="F4561">
        <v>235.1601</v>
      </c>
      <c r="G4561">
        <v>235.1601</v>
      </c>
      <c r="H4561">
        <v>232.79900000000001</v>
      </c>
      <c r="I4561">
        <v>232.79900000000001</v>
      </c>
      <c r="J4561">
        <v>28581</v>
      </c>
      <c r="K4561">
        <v>0.20300000000000001</v>
      </c>
      <c r="L4561">
        <v>1.0142</v>
      </c>
    </row>
    <row r="4562" spans="1:12" x14ac:dyDescent="0.25">
      <c r="A4562">
        <v>2303</v>
      </c>
      <c r="B4562" t="s">
        <v>10</v>
      </c>
      <c r="C4562" s="1">
        <v>43563</v>
      </c>
      <c r="D4562" s="2">
        <f t="shared" si="142"/>
        <v>1</v>
      </c>
      <c r="E4562" s="2">
        <f t="shared" si="143"/>
        <v>4</v>
      </c>
      <c r="F4562">
        <v>11.1408</v>
      </c>
      <c r="G4562">
        <v>11.669</v>
      </c>
      <c r="H4562">
        <v>11.1408</v>
      </c>
      <c r="I4562">
        <v>11.428900000000001</v>
      </c>
      <c r="J4562">
        <v>105510</v>
      </c>
      <c r="K4562">
        <v>2.9853000000000001</v>
      </c>
      <c r="L4562">
        <v>4.7413999999999996</v>
      </c>
    </row>
    <row r="4563" spans="1:12" hidden="1" x14ac:dyDescent="0.25">
      <c r="A4563">
        <v>2330</v>
      </c>
      <c r="B4563" t="s">
        <v>11</v>
      </c>
      <c r="C4563" s="1">
        <v>43563</v>
      </c>
      <c r="D4563" s="2">
        <f t="shared" si="142"/>
        <v>1</v>
      </c>
      <c r="E4563" s="2">
        <f t="shared" si="143"/>
        <v>4</v>
      </c>
      <c r="F4563">
        <v>237.0489</v>
      </c>
      <c r="G4563">
        <v>238.93780000000001</v>
      </c>
      <c r="H4563">
        <v>236.57669999999999</v>
      </c>
      <c r="I4563">
        <v>238.93780000000001</v>
      </c>
      <c r="J4563">
        <v>46426</v>
      </c>
      <c r="K4563">
        <v>2.6027</v>
      </c>
      <c r="L4563">
        <v>0.998</v>
      </c>
    </row>
    <row r="4564" spans="1:12" x14ac:dyDescent="0.25">
      <c r="A4564">
        <v>2303</v>
      </c>
      <c r="B4564" t="s">
        <v>10</v>
      </c>
      <c r="C4564" s="1">
        <v>43564</v>
      </c>
      <c r="D4564" s="2">
        <f t="shared" si="142"/>
        <v>2</v>
      </c>
      <c r="E4564" s="2">
        <f t="shared" si="143"/>
        <v>4</v>
      </c>
      <c r="F4564">
        <v>11.524900000000001</v>
      </c>
      <c r="G4564">
        <v>11.813000000000001</v>
      </c>
      <c r="H4564">
        <v>11.476900000000001</v>
      </c>
      <c r="I4564">
        <v>11.813000000000001</v>
      </c>
      <c r="J4564">
        <v>86939</v>
      </c>
      <c r="K4564">
        <v>3.3060999999999998</v>
      </c>
      <c r="L4564">
        <v>2.9289000000000001</v>
      </c>
    </row>
    <row r="4565" spans="1:12" hidden="1" x14ac:dyDescent="0.25">
      <c r="A4565">
        <v>2330</v>
      </c>
      <c r="B4565" t="s">
        <v>11</v>
      </c>
      <c r="C4565" s="1">
        <v>43564</v>
      </c>
      <c r="D4565" s="2">
        <f t="shared" si="142"/>
        <v>2</v>
      </c>
      <c r="E4565" s="2">
        <f t="shared" si="143"/>
        <v>4</v>
      </c>
      <c r="F4565">
        <v>238.93780000000001</v>
      </c>
      <c r="G4565">
        <v>239.88220000000001</v>
      </c>
      <c r="H4565">
        <v>237.9933</v>
      </c>
      <c r="I4565">
        <v>239.88220000000001</v>
      </c>
      <c r="J4565">
        <v>22745</v>
      </c>
      <c r="K4565">
        <v>0.39450000000000002</v>
      </c>
      <c r="L4565">
        <v>0.79369999999999996</v>
      </c>
    </row>
    <row r="4566" spans="1:12" x14ac:dyDescent="0.25">
      <c r="A4566">
        <v>2303</v>
      </c>
      <c r="B4566" t="s">
        <v>10</v>
      </c>
      <c r="C4566" s="1">
        <v>43565</v>
      </c>
      <c r="D4566" s="2">
        <f t="shared" si="142"/>
        <v>3</v>
      </c>
      <c r="E4566" s="2">
        <f t="shared" si="143"/>
        <v>4</v>
      </c>
      <c r="F4566">
        <v>11.813000000000001</v>
      </c>
      <c r="G4566">
        <v>11.8611</v>
      </c>
      <c r="H4566">
        <v>11.621</v>
      </c>
      <c r="I4566">
        <v>11.765000000000001</v>
      </c>
      <c r="J4566">
        <v>48397</v>
      </c>
      <c r="K4566">
        <v>-0.4073</v>
      </c>
      <c r="L4566">
        <v>2.0661</v>
      </c>
    </row>
    <row r="4567" spans="1:12" hidden="1" x14ac:dyDescent="0.25">
      <c r="A4567">
        <v>2330</v>
      </c>
      <c r="B4567" t="s">
        <v>11</v>
      </c>
      <c r="C4567" s="1">
        <v>43565</v>
      </c>
      <c r="D4567" s="2">
        <f t="shared" si="142"/>
        <v>3</v>
      </c>
      <c r="E4567" s="2">
        <f t="shared" si="143"/>
        <v>4</v>
      </c>
      <c r="F4567">
        <v>238.93780000000001</v>
      </c>
      <c r="G4567">
        <v>240.3544</v>
      </c>
      <c r="H4567">
        <v>237.9933</v>
      </c>
      <c r="I4567">
        <v>239.88220000000001</v>
      </c>
      <c r="J4567">
        <v>33174</v>
      </c>
      <c r="K4567">
        <v>0</v>
      </c>
      <c r="L4567">
        <v>0.99209999999999998</v>
      </c>
    </row>
    <row r="4568" spans="1:12" x14ac:dyDescent="0.25">
      <c r="A4568">
        <v>2303</v>
      </c>
      <c r="B4568" t="s">
        <v>10</v>
      </c>
      <c r="C4568" s="1">
        <v>43566</v>
      </c>
      <c r="D4568" s="2">
        <f t="shared" si="142"/>
        <v>4</v>
      </c>
      <c r="E4568" s="2">
        <f t="shared" si="143"/>
        <v>4</v>
      </c>
      <c r="F4568">
        <v>11.8611</v>
      </c>
      <c r="G4568">
        <v>11.957100000000001</v>
      </c>
      <c r="H4568">
        <v>11.621</v>
      </c>
      <c r="I4568">
        <v>11.621</v>
      </c>
      <c r="J4568">
        <v>89309</v>
      </c>
      <c r="K4568">
        <v>-1.232</v>
      </c>
      <c r="L4568">
        <v>2.8925999999999998</v>
      </c>
    </row>
    <row r="4569" spans="1:12" hidden="1" x14ac:dyDescent="0.25">
      <c r="A4569">
        <v>2330</v>
      </c>
      <c r="B4569" t="s">
        <v>11</v>
      </c>
      <c r="C4569" s="1">
        <v>43566</v>
      </c>
      <c r="D4569" s="2">
        <f t="shared" si="142"/>
        <v>4</v>
      </c>
      <c r="E4569" s="2">
        <f t="shared" si="143"/>
        <v>4</v>
      </c>
      <c r="F4569">
        <v>238.93780000000001</v>
      </c>
      <c r="G4569">
        <v>239.88220000000001</v>
      </c>
      <c r="H4569">
        <v>237.52109999999999</v>
      </c>
      <c r="I4569">
        <v>237.9933</v>
      </c>
      <c r="J4569">
        <v>25146</v>
      </c>
      <c r="K4569">
        <v>-0.79049999999999998</v>
      </c>
      <c r="L4569">
        <v>0.99399999999999999</v>
      </c>
    </row>
    <row r="4570" spans="1:12" x14ac:dyDescent="0.25">
      <c r="A4570">
        <v>2303</v>
      </c>
      <c r="B4570" t="s">
        <v>10</v>
      </c>
      <c r="C4570" s="1">
        <v>43567</v>
      </c>
      <c r="D4570" s="2">
        <f t="shared" si="142"/>
        <v>5</v>
      </c>
      <c r="E4570" s="2">
        <f t="shared" si="143"/>
        <v>4</v>
      </c>
      <c r="F4570">
        <v>11.765000000000001</v>
      </c>
      <c r="G4570">
        <v>11.765000000000001</v>
      </c>
      <c r="H4570">
        <v>11.621</v>
      </c>
      <c r="I4570">
        <v>11.717000000000001</v>
      </c>
      <c r="J4570">
        <v>17252</v>
      </c>
      <c r="K4570">
        <v>0.82299999999999995</v>
      </c>
      <c r="L4570">
        <v>1.2397</v>
      </c>
    </row>
    <row r="4571" spans="1:12" hidden="1" x14ac:dyDescent="0.25">
      <c r="A4571">
        <v>2330</v>
      </c>
      <c r="B4571" t="s">
        <v>11</v>
      </c>
      <c r="C4571" s="1">
        <v>43567</v>
      </c>
      <c r="D4571" s="2">
        <f t="shared" si="142"/>
        <v>5</v>
      </c>
      <c r="E4571" s="2">
        <f t="shared" si="143"/>
        <v>4</v>
      </c>
      <c r="F4571">
        <v>237.52109999999999</v>
      </c>
      <c r="G4571">
        <v>238.93780000000001</v>
      </c>
      <c r="H4571">
        <v>237.0489</v>
      </c>
      <c r="I4571">
        <v>237.9933</v>
      </c>
      <c r="J4571">
        <v>13888</v>
      </c>
      <c r="K4571">
        <v>0</v>
      </c>
      <c r="L4571">
        <v>0.79679999999999995</v>
      </c>
    </row>
    <row r="4572" spans="1:12" x14ac:dyDescent="0.25">
      <c r="A4572">
        <v>2303</v>
      </c>
      <c r="B4572" t="s">
        <v>10</v>
      </c>
      <c r="C4572" s="1">
        <v>43570</v>
      </c>
      <c r="D4572" s="2">
        <f t="shared" si="142"/>
        <v>1</v>
      </c>
      <c r="E4572" s="2">
        <f t="shared" si="143"/>
        <v>4</v>
      </c>
      <c r="F4572">
        <v>11.765000000000001</v>
      </c>
      <c r="G4572">
        <v>11.813000000000001</v>
      </c>
      <c r="H4572">
        <v>11.572900000000001</v>
      </c>
      <c r="I4572">
        <v>11.572900000000001</v>
      </c>
      <c r="J4572">
        <v>34868</v>
      </c>
      <c r="K4572">
        <v>-1.2371000000000001</v>
      </c>
      <c r="L4572">
        <v>2.0747</v>
      </c>
    </row>
    <row r="4573" spans="1:12" hidden="1" x14ac:dyDescent="0.25">
      <c r="A4573">
        <v>2330</v>
      </c>
      <c r="B4573" t="s">
        <v>11</v>
      </c>
      <c r="C4573" s="1">
        <v>43570</v>
      </c>
      <c r="D4573" s="2">
        <f t="shared" si="142"/>
        <v>1</v>
      </c>
      <c r="E4573" s="2">
        <f t="shared" si="143"/>
        <v>4</v>
      </c>
      <c r="F4573">
        <v>240.82660000000001</v>
      </c>
      <c r="G4573">
        <v>241.77099999999999</v>
      </c>
      <c r="H4573">
        <v>239.88220000000001</v>
      </c>
      <c r="I4573">
        <v>241.2988</v>
      </c>
      <c r="J4573">
        <v>17257</v>
      </c>
      <c r="K4573">
        <v>1.3793</v>
      </c>
      <c r="L4573">
        <v>0.78739999999999999</v>
      </c>
    </row>
    <row r="4574" spans="1:12" x14ac:dyDescent="0.25">
      <c r="A4574">
        <v>2303</v>
      </c>
      <c r="B4574" t="s">
        <v>10</v>
      </c>
      <c r="C4574" s="1">
        <v>43571</v>
      </c>
      <c r="D4574" s="2">
        <f t="shared" si="142"/>
        <v>2</v>
      </c>
      <c r="E4574" s="2">
        <f t="shared" si="143"/>
        <v>4</v>
      </c>
      <c r="F4574">
        <v>11.621</v>
      </c>
      <c r="G4574">
        <v>11.765000000000001</v>
      </c>
      <c r="H4574">
        <v>11.524900000000001</v>
      </c>
      <c r="I4574">
        <v>11.621</v>
      </c>
      <c r="J4574">
        <v>35946</v>
      </c>
      <c r="K4574">
        <v>0.41410000000000002</v>
      </c>
      <c r="L4574">
        <v>2.0832999999999999</v>
      </c>
    </row>
    <row r="4575" spans="1:12" hidden="1" x14ac:dyDescent="0.25">
      <c r="A4575">
        <v>2330</v>
      </c>
      <c r="B4575" t="s">
        <v>11</v>
      </c>
      <c r="C4575" s="1">
        <v>43571</v>
      </c>
      <c r="D4575" s="2">
        <f t="shared" si="142"/>
        <v>2</v>
      </c>
      <c r="E4575" s="2">
        <f t="shared" si="143"/>
        <v>4</v>
      </c>
      <c r="F4575">
        <v>242.71539999999999</v>
      </c>
      <c r="G4575">
        <v>242.71539999999999</v>
      </c>
      <c r="H4575">
        <v>241.2988</v>
      </c>
      <c r="I4575">
        <v>242.71539999999999</v>
      </c>
      <c r="J4575">
        <v>20231</v>
      </c>
      <c r="K4575">
        <v>0.58540000000000003</v>
      </c>
      <c r="L4575">
        <v>0.58709999999999996</v>
      </c>
    </row>
    <row r="4576" spans="1:12" x14ac:dyDescent="0.25">
      <c r="A4576">
        <v>2303</v>
      </c>
      <c r="B4576" t="s">
        <v>10</v>
      </c>
      <c r="C4576" s="1">
        <v>43572</v>
      </c>
      <c r="D4576" s="2">
        <f t="shared" si="142"/>
        <v>3</v>
      </c>
      <c r="E4576" s="2">
        <f t="shared" si="143"/>
        <v>4</v>
      </c>
      <c r="F4576">
        <v>11.669</v>
      </c>
      <c r="G4576">
        <v>11.9091</v>
      </c>
      <c r="H4576">
        <v>11.621</v>
      </c>
      <c r="I4576">
        <v>11.717000000000001</v>
      </c>
      <c r="J4576">
        <v>60477</v>
      </c>
      <c r="K4576">
        <v>0.82299999999999995</v>
      </c>
      <c r="L4576">
        <v>2.4792999999999998</v>
      </c>
    </row>
    <row r="4577" spans="1:12" hidden="1" x14ac:dyDescent="0.25">
      <c r="A4577">
        <v>2330</v>
      </c>
      <c r="B4577" t="s">
        <v>11</v>
      </c>
      <c r="C4577" s="1">
        <v>43572</v>
      </c>
      <c r="D4577" s="2">
        <f t="shared" si="142"/>
        <v>3</v>
      </c>
      <c r="E4577" s="2">
        <f t="shared" si="143"/>
        <v>4</v>
      </c>
      <c r="F4577">
        <v>245.5487</v>
      </c>
      <c r="G4577">
        <v>248.3819</v>
      </c>
      <c r="H4577">
        <v>245.07650000000001</v>
      </c>
      <c r="I4577">
        <v>246.96530000000001</v>
      </c>
      <c r="J4577">
        <v>39037</v>
      </c>
      <c r="K4577">
        <v>1.7358</v>
      </c>
      <c r="L4577">
        <v>1.3487</v>
      </c>
    </row>
    <row r="4578" spans="1:12" x14ac:dyDescent="0.25">
      <c r="A4578">
        <v>2303</v>
      </c>
      <c r="B4578" t="s">
        <v>10</v>
      </c>
      <c r="C4578" s="1">
        <v>43573</v>
      </c>
      <c r="D4578" s="2">
        <f t="shared" si="142"/>
        <v>4</v>
      </c>
      <c r="E4578" s="2">
        <f t="shared" si="143"/>
        <v>4</v>
      </c>
      <c r="F4578">
        <v>11.765000000000001</v>
      </c>
      <c r="G4578">
        <v>11.813000000000001</v>
      </c>
      <c r="H4578">
        <v>11.428900000000001</v>
      </c>
      <c r="I4578">
        <v>11.524900000000001</v>
      </c>
      <c r="J4578">
        <v>48686</v>
      </c>
      <c r="K4578">
        <v>-1.6529</v>
      </c>
      <c r="L4578">
        <v>3.3613</v>
      </c>
    </row>
    <row r="4579" spans="1:12" hidden="1" x14ac:dyDescent="0.25">
      <c r="A4579">
        <v>2330</v>
      </c>
      <c r="B4579" t="s">
        <v>11</v>
      </c>
      <c r="C4579" s="1">
        <v>43573</v>
      </c>
      <c r="D4579" s="2">
        <f t="shared" si="142"/>
        <v>4</v>
      </c>
      <c r="E4579" s="2">
        <f t="shared" si="143"/>
        <v>4</v>
      </c>
      <c r="F4579">
        <v>249.32640000000001</v>
      </c>
      <c r="G4579">
        <v>251.21520000000001</v>
      </c>
      <c r="H4579">
        <v>248.85409999999999</v>
      </c>
      <c r="I4579">
        <v>249.79859999999999</v>
      </c>
      <c r="J4579">
        <v>48525</v>
      </c>
      <c r="K4579">
        <v>1.1407</v>
      </c>
      <c r="L4579">
        <v>0.94879999999999998</v>
      </c>
    </row>
    <row r="4580" spans="1:12" x14ac:dyDescent="0.25">
      <c r="A4580">
        <v>2303</v>
      </c>
      <c r="B4580" t="s">
        <v>10</v>
      </c>
      <c r="C4580" s="1">
        <v>43574</v>
      </c>
      <c r="D4580" s="2">
        <f t="shared" si="142"/>
        <v>5</v>
      </c>
      <c r="E4580" s="2">
        <f t="shared" si="143"/>
        <v>4</v>
      </c>
      <c r="F4580">
        <v>11.572900000000001</v>
      </c>
      <c r="G4580">
        <v>11.621</v>
      </c>
      <c r="H4580">
        <v>11.524900000000001</v>
      </c>
      <c r="I4580">
        <v>11.621</v>
      </c>
      <c r="J4580">
        <v>24015</v>
      </c>
      <c r="K4580">
        <v>0.82989999999999997</v>
      </c>
      <c r="L4580">
        <v>0.83330000000000004</v>
      </c>
    </row>
    <row r="4581" spans="1:12" hidden="1" x14ac:dyDescent="0.25">
      <c r="A4581">
        <v>2330</v>
      </c>
      <c r="B4581" t="s">
        <v>11</v>
      </c>
      <c r="C4581" s="1">
        <v>43574</v>
      </c>
      <c r="D4581" s="2">
        <f t="shared" si="142"/>
        <v>5</v>
      </c>
      <c r="E4581" s="2">
        <f t="shared" si="143"/>
        <v>4</v>
      </c>
      <c r="F4581">
        <v>254.04839999999999</v>
      </c>
      <c r="G4581">
        <v>254.52070000000001</v>
      </c>
      <c r="H4581">
        <v>248.85409999999999</v>
      </c>
      <c r="I4581">
        <v>249.79859999999999</v>
      </c>
      <c r="J4581">
        <v>47698</v>
      </c>
      <c r="K4581">
        <v>0</v>
      </c>
      <c r="L4581">
        <v>2.2770000000000001</v>
      </c>
    </row>
    <row r="4582" spans="1:12" x14ac:dyDescent="0.25">
      <c r="A4582">
        <v>2303</v>
      </c>
      <c r="B4582" t="s">
        <v>10</v>
      </c>
      <c r="C4582" s="1">
        <v>43577</v>
      </c>
      <c r="D4582" s="2">
        <f t="shared" si="142"/>
        <v>1</v>
      </c>
      <c r="E4582" s="2">
        <f t="shared" si="143"/>
        <v>4</v>
      </c>
      <c r="F4582">
        <v>11.669</v>
      </c>
      <c r="G4582">
        <v>11.669</v>
      </c>
      <c r="H4582">
        <v>11.428900000000001</v>
      </c>
      <c r="I4582">
        <v>11.428900000000001</v>
      </c>
      <c r="J4582">
        <v>28202</v>
      </c>
      <c r="K4582">
        <v>-1.6667000000000001</v>
      </c>
      <c r="L4582">
        <v>2.1008</v>
      </c>
    </row>
    <row r="4583" spans="1:12" hidden="1" x14ac:dyDescent="0.25">
      <c r="A4583">
        <v>2330</v>
      </c>
      <c r="B4583" t="s">
        <v>11</v>
      </c>
      <c r="C4583" s="1">
        <v>43577</v>
      </c>
      <c r="D4583" s="2">
        <f t="shared" si="142"/>
        <v>1</v>
      </c>
      <c r="E4583" s="2">
        <f t="shared" si="143"/>
        <v>4</v>
      </c>
      <c r="F4583">
        <v>251.6874</v>
      </c>
      <c r="G4583">
        <v>252.6318</v>
      </c>
      <c r="H4583">
        <v>250.27080000000001</v>
      </c>
      <c r="I4583">
        <v>251.21520000000001</v>
      </c>
      <c r="J4583">
        <v>24967</v>
      </c>
      <c r="K4583">
        <v>0.5655</v>
      </c>
      <c r="L4583">
        <v>0.94340000000000002</v>
      </c>
    </row>
    <row r="4584" spans="1:12" x14ac:dyDescent="0.25">
      <c r="A4584">
        <v>2303</v>
      </c>
      <c r="B4584" t="s">
        <v>10</v>
      </c>
      <c r="C4584" s="1">
        <v>43578</v>
      </c>
      <c r="D4584" s="2">
        <f t="shared" si="142"/>
        <v>2</v>
      </c>
      <c r="E4584" s="2">
        <f t="shared" si="143"/>
        <v>4</v>
      </c>
      <c r="F4584">
        <v>11.428900000000001</v>
      </c>
      <c r="G4584">
        <v>11.524900000000001</v>
      </c>
      <c r="H4584">
        <v>11.428900000000001</v>
      </c>
      <c r="I4584">
        <v>11.476900000000001</v>
      </c>
      <c r="J4584">
        <v>27169</v>
      </c>
      <c r="K4584">
        <v>0.41930000000000001</v>
      </c>
      <c r="L4584">
        <v>0.84030000000000005</v>
      </c>
    </row>
    <row r="4585" spans="1:12" hidden="1" x14ac:dyDescent="0.25">
      <c r="A4585">
        <v>2330</v>
      </c>
      <c r="B4585" t="s">
        <v>11</v>
      </c>
      <c r="C4585" s="1">
        <v>43578</v>
      </c>
      <c r="D4585" s="2">
        <f t="shared" si="142"/>
        <v>2</v>
      </c>
      <c r="E4585" s="2">
        <f t="shared" si="143"/>
        <v>4</v>
      </c>
      <c r="F4585">
        <v>251.6874</v>
      </c>
      <c r="G4585">
        <v>253.10400000000001</v>
      </c>
      <c r="H4585">
        <v>251.21520000000001</v>
      </c>
      <c r="I4585">
        <v>253.10400000000001</v>
      </c>
      <c r="J4585">
        <v>26251</v>
      </c>
      <c r="K4585">
        <v>0.74909999999999999</v>
      </c>
      <c r="L4585">
        <v>0.75190000000000001</v>
      </c>
    </row>
    <row r="4586" spans="1:12" x14ac:dyDescent="0.25">
      <c r="A4586">
        <v>2303</v>
      </c>
      <c r="B4586" t="s">
        <v>10</v>
      </c>
      <c r="C4586" s="1">
        <v>43579</v>
      </c>
      <c r="D4586" s="2">
        <f t="shared" si="142"/>
        <v>3</v>
      </c>
      <c r="E4586" s="2">
        <f t="shared" si="143"/>
        <v>4</v>
      </c>
      <c r="F4586">
        <v>11.572900000000001</v>
      </c>
      <c r="G4586">
        <v>11.621</v>
      </c>
      <c r="H4586">
        <v>11.3809</v>
      </c>
      <c r="I4586">
        <v>11.476900000000001</v>
      </c>
      <c r="J4586">
        <v>39688</v>
      </c>
      <c r="K4586">
        <v>0</v>
      </c>
      <c r="L4586">
        <v>2.1097000000000001</v>
      </c>
    </row>
    <row r="4587" spans="1:12" hidden="1" x14ac:dyDescent="0.25">
      <c r="A4587">
        <v>2330</v>
      </c>
      <c r="B4587" t="s">
        <v>11</v>
      </c>
      <c r="C4587" s="1">
        <v>43579</v>
      </c>
      <c r="D4587" s="2">
        <f t="shared" si="142"/>
        <v>3</v>
      </c>
      <c r="E4587" s="2">
        <f t="shared" si="143"/>
        <v>4</v>
      </c>
      <c r="F4587">
        <v>254.99289999999999</v>
      </c>
      <c r="G4587">
        <v>254.99289999999999</v>
      </c>
      <c r="H4587">
        <v>252.6318</v>
      </c>
      <c r="I4587">
        <v>254.04839999999999</v>
      </c>
      <c r="J4587">
        <v>37386</v>
      </c>
      <c r="K4587">
        <v>0.37240000000000001</v>
      </c>
      <c r="L4587">
        <v>0.93459999999999999</v>
      </c>
    </row>
    <row r="4588" spans="1:12" x14ac:dyDescent="0.25">
      <c r="A4588">
        <v>2303</v>
      </c>
      <c r="B4588" t="s">
        <v>10</v>
      </c>
      <c r="C4588" s="1">
        <v>43580</v>
      </c>
      <c r="D4588" s="2">
        <f t="shared" si="142"/>
        <v>4</v>
      </c>
      <c r="E4588" s="2">
        <f t="shared" si="143"/>
        <v>4</v>
      </c>
      <c r="F4588">
        <v>12.1012</v>
      </c>
      <c r="G4588">
        <v>12.5814</v>
      </c>
      <c r="H4588">
        <v>12.1012</v>
      </c>
      <c r="I4588">
        <v>12.5814</v>
      </c>
      <c r="J4588">
        <v>185934</v>
      </c>
      <c r="K4588">
        <v>9.1881000000000004</v>
      </c>
      <c r="L4588">
        <v>3.9683000000000002</v>
      </c>
    </row>
    <row r="4589" spans="1:12" hidden="1" x14ac:dyDescent="0.25">
      <c r="A4589">
        <v>2330</v>
      </c>
      <c r="B4589" t="s">
        <v>11</v>
      </c>
      <c r="C4589" s="1">
        <v>43580</v>
      </c>
      <c r="D4589" s="2">
        <f t="shared" si="142"/>
        <v>4</v>
      </c>
      <c r="E4589" s="2">
        <f t="shared" si="143"/>
        <v>4</v>
      </c>
      <c r="F4589">
        <v>253.5762</v>
      </c>
      <c r="G4589">
        <v>254.04839999999999</v>
      </c>
      <c r="H4589">
        <v>252.15960000000001</v>
      </c>
      <c r="I4589">
        <v>252.6318</v>
      </c>
      <c r="J4589">
        <v>36572</v>
      </c>
      <c r="K4589">
        <v>-0.55920000000000003</v>
      </c>
      <c r="L4589">
        <v>0.74909999999999999</v>
      </c>
    </row>
    <row r="4590" spans="1:12" x14ac:dyDescent="0.25">
      <c r="A4590">
        <v>2303</v>
      </c>
      <c r="B4590" t="s">
        <v>10</v>
      </c>
      <c r="C4590" s="1">
        <v>43581</v>
      </c>
      <c r="D4590" s="2">
        <f t="shared" si="142"/>
        <v>5</v>
      </c>
      <c r="E4590" s="2">
        <f t="shared" si="143"/>
        <v>4</v>
      </c>
      <c r="F4590">
        <v>12.5814</v>
      </c>
      <c r="G4590">
        <v>12.9175</v>
      </c>
      <c r="H4590">
        <v>12.4373</v>
      </c>
      <c r="I4590">
        <v>12.9175</v>
      </c>
      <c r="J4590">
        <v>225982</v>
      </c>
      <c r="K4590">
        <v>2.6366999999999998</v>
      </c>
      <c r="L4590">
        <v>3.8610000000000002</v>
      </c>
    </row>
    <row r="4591" spans="1:12" hidden="1" x14ac:dyDescent="0.25">
      <c r="A4591">
        <v>2330</v>
      </c>
      <c r="B4591" t="s">
        <v>11</v>
      </c>
      <c r="C4591" s="1">
        <v>43581</v>
      </c>
      <c r="D4591" s="2">
        <f t="shared" si="142"/>
        <v>5</v>
      </c>
      <c r="E4591" s="2">
        <f t="shared" si="143"/>
        <v>4</v>
      </c>
      <c r="F4591">
        <v>247.4375</v>
      </c>
      <c r="G4591">
        <v>248.3819</v>
      </c>
      <c r="H4591">
        <v>243.1876</v>
      </c>
      <c r="I4591">
        <v>245.5487</v>
      </c>
      <c r="J4591">
        <v>51743</v>
      </c>
      <c r="K4591">
        <v>-2.8437999999999999</v>
      </c>
      <c r="L4591">
        <v>2.1358999999999999</v>
      </c>
    </row>
    <row r="4592" spans="1:12" x14ac:dyDescent="0.25">
      <c r="A4592">
        <v>2303</v>
      </c>
      <c r="B4592" t="s">
        <v>10</v>
      </c>
      <c r="C4592" s="1">
        <v>43584</v>
      </c>
      <c r="D4592" s="2">
        <f t="shared" si="142"/>
        <v>1</v>
      </c>
      <c r="E4592" s="2">
        <f t="shared" si="143"/>
        <v>4</v>
      </c>
      <c r="F4592">
        <v>12.9175</v>
      </c>
      <c r="G4592">
        <v>12.9655</v>
      </c>
      <c r="H4592">
        <v>12.7254</v>
      </c>
      <c r="I4592">
        <v>12.8215</v>
      </c>
      <c r="J4592">
        <v>71900</v>
      </c>
      <c r="K4592">
        <v>-0.74629999999999996</v>
      </c>
      <c r="L4592">
        <v>1.8868</v>
      </c>
    </row>
    <row r="4593" spans="1:12" hidden="1" x14ac:dyDescent="0.25">
      <c r="A4593">
        <v>2330</v>
      </c>
      <c r="B4593" t="s">
        <v>11</v>
      </c>
      <c r="C4593" s="1">
        <v>43584</v>
      </c>
      <c r="D4593" s="2">
        <f t="shared" si="142"/>
        <v>1</v>
      </c>
      <c r="E4593" s="2">
        <f t="shared" si="143"/>
        <v>4</v>
      </c>
      <c r="F4593">
        <v>245.5487</v>
      </c>
      <c r="G4593">
        <v>247.4375</v>
      </c>
      <c r="H4593">
        <v>244.13210000000001</v>
      </c>
      <c r="I4593">
        <v>245.07650000000001</v>
      </c>
      <c r="J4593">
        <v>32651</v>
      </c>
      <c r="K4593">
        <v>-0.1925</v>
      </c>
      <c r="L4593">
        <v>1.3540000000000001</v>
      </c>
    </row>
    <row r="4594" spans="1:12" x14ac:dyDescent="0.25">
      <c r="A4594">
        <v>2303</v>
      </c>
      <c r="B4594" t="s">
        <v>10</v>
      </c>
      <c r="C4594" s="1">
        <v>43585</v>
      </c>
      <c r="D4594" s="2">
        <f t="shared" si="142"/>
        <v>2</v>
      </c>
      <c r="E4594" s="2">
        <f t="shared" si="143"/>
        <v>4</v>
      </c>
      <c r="F4594">
        <v>12.8215</v>
      </c>
      <c r="G4594">
        <v>12.9655</v>
      </c>
      <c r="H4594">
        <v>12.7735</v>
      </c>
      <c r="I4594">
        <v>12.9175</v>
      </c>
      <c r="J4594">
        <v>63857</v>
      </c>
      <c r="K4594">
        <v>0.74629999999999996</v>
      </c>
      <c r="L4594">
        <v>1.5038</v>
      </c>
    </row>
    <row r="4595" spans="1:12" hidden="1" x14ac:dyDescent="0.25">
      <c r="A4595">
        <v>2330</v>
      </c>
      <c r="B4595" t="s">
        <v>11</v>
      </c>
      <c r="C4595" s="1">
        <v>43585</v>
      </c>
      <c r="D4595" s="2">
        <f t="shared" si="142"/>
        <v>2</v>
      </c>
      <c r="E4595" s="2">
        <f t="shared" si="143"/>
        <v>4</v>
      </c>
      <c r="F4595">
        <v>245.5487</v>
      </c>
      <c r="G4595">
        <v>246.02090000000001</v>
      </c>
      <c r="H4595">
        <v>243.65979999999999</v>
      </c>
      <c r="I4595">
        <v>244.60429999999999</v>
      </c>
      <c r="J4595">
        <v>40446</v>
      </c>
      <c r="K4595">
        <v>-0.19289999999999999</v>
      </c>
      <c r="L4595">
        <v>0.96899999999999997</v>
      </c>
    </row>
    <row r="4596" spans="1:12" x14ac:dyDescent="0.25">
      <c r="A4596">
        <v>2303</v>
      </c>
      <c r="B4596" t="s">
        <v>10</v>
      </c>
      <c r="C4596" s="1">
        <v>43587</v>
      </c>
      <c r="D4596" s="2">
        <f t="shared" si="142"/>
        <v>4</v>
      </c>
      <c r="E4596" s="2">
        <f t="shared" si="143"/>
        <v>5</v>
      </c>
      <c r="F4596">
        <v>12.8215</v>
      </c>
      <c r="G4596">
        <v>13.0616</v>
      </c>
      <c r="H4596">
        <v>12.8215</v>
      </c>
      <c r="I4596">
        <v>13.0136</v>
      </c>
      <c r="J4596">
        <v>37508</v>
      </c>
      <c r="K4596">
        <v>0.74070000000000003</v>
      </c>
      <c r="L4596">
        <v>1.8727</v>
      </c>
    </row>
    <row r="4597" spans="1:12" hidden="1" x14ac:dyDescent="0.25">
      <c r="A4597">
        <v>2330</v>
      </c>
      <c r="B4597" t="s">
        <v>11</v>
      </c>
      <c r="C4597" s="1">
        <v>43587</v>
      </c>
      <c r="D4597" s="2">
        <f t="shared" si="142"/>
        <v>4</v>
      </c>
      <c r="E4597" s="2">
        <f t="shared" si="143"/>
        <v>5</v>
      </c>
      <c r="F4597">
        <v>246.96530000000001</v>
      </c>
      <c r="G4597">
        <v>247.90969999999999</v>
      </c>
      <c r="H4597">
        <v>244.13210000000001</v>
      </c>
      <c r="I4597">
        <v>244.60429999999999</v>
      </c>
      <c r="J4597">
        <v>27376</v>
      </c>
      <c r="K4597">
        <v>0</v>
      </c>
      <c r="L4597">
        <v>1.5474000000000001</v>
      </c>
    </row>
    <row r="4598" spans="1:12" x14ac:dyDescent="0.25">
      <c r="A4598">
        <v>2303</v>
      </c>
      <c r="B4598" t="s">
        <v>10</v>
      </c>
      <c r="C4598" s="1">
        <v>43588</v>
      </c>
      <c r="D4598" s="2">
        <f t="shared" si="142"/>
        <v>5</v>
      </c>
      <c r="E4598" s="2">
        <f t="shared" si="143"/>
        <v>5</v>
      </c>
      <c r="F4598">
        <v>13.0136</v>
      </c>
      <c r="G4598">
        <v>13.3497</v>
      </c>
      <c r="H4598">
        <v>13.0136</v>
      </c>
      <c r="I4598">
        <v>13.3017</v>
      </c>
      <c r="J4598">
        <v>87607</v>
      </c>
      <c r="K4598">
        <v>2.1899000000000002</v>
      </c>
      <c r="L4598">
        <v>2.5830000000000002</v>
      </c>
    </row>
    <row r="4599" spans="1:12" hidden="1" x14ac:dyDescent="0.25">
      <c r="A4599">
        <v>2330</v>
      </c>
      <c r="B4599" t="s">
        <v>11</v>
      </c>
      <c r="C4599" s="1">
        <v>43588</v>
      </c>
      <c r="D4599" s="2">
        <f t="shared" si="142"/>
        <v>5</v>
      </c>
      <c r="E4599" s="2">
        <f t="shared" si="143"/>
        <v>5</v>
      </c>
      <c r="F4599">
        <v>247.4375</v>
      </c>
      <c r="G4599">
        <v>250.27080000000001</v>
      </c>
      <c r="H4599">
        <v>246.02090000000001</v>
      </c>
      <c r="I4599">
        <v>250.27080000000001</v>
      </c>
      <c r="J4599">
        <v>30200</v>
      </c>
      <c r="K4599">
        <v>2.2902</v>
      </c>
      <c r="L4599">
        <v>1.7274</v>
      </c>
    </row>
    <row r="4600" spans="1:12" x14ac:dyDescent="0.25">
      <c r="A4600">
        <v>2303</v>
      </c>
      <c r="B4600" t="s">
        <v>10</v>
      </c>
      <c r="C4600" s="1">
        <v>43591</v>
      </c>
      <c r="D4600" s="2">
        <f t="shared" si="142"/>
        <v>1</v>
      </c>
      <c r="E4600" s="2">
        <f t="shared" si="143"/>
        <v>5</v>
      </c>
      <c r="F4600">
        <v>12.9655</v>
      </c>
      <c r="G4600">
        <v>13.1576</v>
      </c>
      <c r="H4600">
        <v>12.6294</v>
      </c>
      <c r="I4600">
        <v>12.6774</v>
      </c>
      <c r="J4600">
        <v>94350</v>
      </c>
      <c r="K4600">
        <v>-4.8068</v>
      </c>
      <c r="L4600">
        <v>4.1825000000000001</v>
      </c>
    </row>
    <row r="4601" spans="1:12" hidden="1" x14ac:dyDescent="0.25">
      <c r="A4601">
        <v>2330</v>
      </c>
      <c r="B4601" t="s">
        <v>11</v>
      </c>
      <c r="C4601" s="1">
        <v>43591</v>
      </c>
      <c r="D4601" s="2">
        <f t="shared" si="142"/>
        <v>1</v>
      </c>
      <c r="E4601" s="2">
        <f t="shared" si="143"/>
        <v>5</v>
      </c>
      <c r="F4601">
        <v>245.5487</v>
      </c>
      <c r="G4601">
        <v>245.5487</v>
      </c>
      <c r="H4601">
        <v>243.65979999999999</v>
      </c>
      <c r="I4601">
        <v>244.60429999999999</v>
      </c>
      <c r="J4601">
        <v>33688</v>
      </c>
      <c r="K4601">
        <v>-2.2902</v>
      </c>
      <c r="L4601">
        <v>0.7752</v>
      </c>
    </row>
    <row r="4602" spans="1:12" x14ac:dyDescent="0.25">
      <c r="A4602">
        <v>2303</v>
      </c>
      <c r="B4602" t="s">
        <v>10</v>
      </c>
      <c r="C4602" s="1">
        <v>43592</v>
      </c>
      <c r="D4602" s="2">
        <f t="shared" si="142"/>
        <v>2</v>
      </c>
      <c r="E4602" s="2">
        <f t="shared" si="143"/>
        <v>5</v>
      </c>
      <c r="F4602">
        <v>12.8215</v>
      </c>
      <c r="G4602">
        <v>13.1096</v>
      </c>
      <c r="H4602">
        <v>12.7254</v>
      </c>
      <c r="I4602">
        <v>13.0616</v>
      </c>
      <c r="J4602">
        <v>53939</v>
      </c>
      <c r="K4602">
        <v>2.9853000000000001</v>
      </c>
      <c r="L4602">
        <v>3.0188999999999999</v>
      </c>
    </row>
    <row r="4603" spans="1:12" hidden="1" x14ac:dyDescent="0.25">
      <c r="A4603">
        <v>2330</v>
      </c>
      <c r="B4603" t="s">
        <v>11</v>
      </c>
      <c r="C4603" s="1">
        <v>43592</v>
      </c>
      <c r="D4603" s="2">
        <f t="shared" si="142"/>
        <v>2</v>
      </c>
      <c r="E4603" s="2">
        <f t="shared" si="143"/>
        <v>5</v>
      </c>
      <c r="F4603">
        <v>245.07650000000001</v>
      </c>
      <c r="G4603">
        <v>248.3819</v>
      </c>
      <c r="H4603">
        <v>244.60429999999999</v>
      </c>
      <c r="I4603">
        <v>247.90969999999999</v>
      </c>
      <c r="J4603">
        <v>25686</v>
      </c>
      <c r="K4603">
        <v>1.3423</v>
      </c>
      <c r="L4603">
        <v>1.5444</v>
      </c>
    </row>
    <row r="4604" spans="1:12" x14ac:dyDescent="0.25">
      <c r="A4604">
        <v>2303</v>
      </c>
      <c r="B4604" t="s">
        <v>10</v>
      </c>
      <c r="C4604" s="1">
        <v>43593</v>
      </c>
      <c r="D4604" s="2">
        <f t="shared" si="142"/>
        <v>3</v>
      </c>
      <c r="E4604" s="2">
        <f t="shared" si="143"/>
        <v>5</v>
      </c>
      <c r="F4604">
        <v>12.8215</v>
      </c>
      <c r="G4604">
        <v>13.0136</v>
      </c>
      <c r="H4604">
        <v>12.7735</v>
      </c>
      <c r="I4604">
        <v>12.9175</v>
      </c>
      <c r="J4604">
        <v>53979</v>
      </c>
      <c r="K4604">
        <v>-1.1091</v>
      </c>
      <c r="L4604">
        <v>1.8796999999999999</v>
      </c>
    </row>
    <row r="4605" spans="1:12" hidden="1" x14ac:dyDescent="0.25">
      <c r="A4605">
        <v>2330</v>
      </c>
      <c r="B4605" t="s">
        <v>11</v>
      </c>
      <c r="C4605" s="1">
        <v>43593</v>
      </c>
      <c r="D4605" s="2">
        <f t="shared" si="142"/>
        <v>3</v>
      </c>
      <c r="E4605" s="2">
        <f t="shared" si="143"/>
        <v>5</v>
      </c>
      <c r="F4605">
        <v>245.5487</v>
      </c>
      <c r="G4605">
        <v>246.96530000000001</v>
      </c>
      <c r="H4605">
        <v>245.07650000000001</v>
      </c>
      <c r="I4605">
        <v>245.5487</v>
      </c>
      <c r="J4605">
        <v>25902</v>
      </c>
      <c r="K4605">
        <v>-0.95689999999999997</v>
      </c>
      <c r="L4605">
        <v>0.77070000000000005</v>
      </c>
    </row>
    <row r="4606" spans="1:12" x14ac:dyDescent="0.25">
      <c r="A4606">
        <v>2303</v>
      </c>
      <c r="B4606" t="s">
        <v>10</v>
      </c>
      <c r="C4606" s="1">
        <v>43594</v>
      </c>
      <c r="D4606" s="2">
        <f t="shared" si="142"/>
        <v>4</v>
      </c>
      <c r="E4606" s="2">
        <f t="shared" si="143"/>
        <v>5</v>
      </c>
      <c r="F4606">
        <v>12.8695</v>
      </c>
      <c r="G4606">
        <v>12.9175</v>
      </c>
      <c r="H4606">
        <v>12.485300000000001</v>
      </c>
      <c r="I4606">
        <v>12.6294</v>
      </c>
      <c r="J4606">
        <v>61722</v>
      </c>
      <c r="K4606">
        <v>-2.2557</v>
      </c>
      <c r="L4606">
        <v>3.4615</v>
      </c>
    </row>
    <row r="4607" spans="1:12" hidden="1" x14ac:dyDescent="0.25">
      <c r="A4607">
        <v>2330</v>
      </c>
      <c r="B4607" t="s">
        <v>11</v>
      </c>
      <c r="C4607" s="1">
        <v>43594</v>
      </c>
      <c r="D4607" s="2">
        <f t="shared" si="142"/>
        <v>4</v>
      </c>
      <c r="E4607" s="2">
        <f t="shared" si="143"/>
        <v>5</v>
      </c>
      <c r="F4607">
        <v>245.07650000000001</v>
      </c>
      <c r="G4607">
        <v>245.07650000000001</v>
      </c>
      <c r="H4607">
        <v>241.77099999999999</v>
      </c>
      <c r="I4607">
        <v>242.2432</v>
      </c>
      <c r="J4607">
        <v>34166</v>
      </c>
      <c r="K4607">
        <v>-1.3552999999999999</v>
      </c>
      <c r="L4607">
        <v>1.3672</v>
      </c>
    </row>
    <row r="4608" spans="1:12" x14ac:dyDescent="0.25">
      <c r="A4608">
        <v>2303</v>
      </c>
      <c r="B4608" t="s">
        <v>10</v>
      </c>
      <c r="C4608" s="1">
        <v>43595</v>
      </c>
      <c r="D4608" s="2">
        <f t="shared" si="142"/>
        <v>5</v>
      </c>
      <c r="E4608" s="2">
        <f t="shared" si="143"/>
        <v>5</v>
      </c>
      <c r="F4608">
        <v>12.7735</v>
      </c>
      <c r="G4608">
        <v>12.8695</v>
      </c>
      <c r="H4608">
        <v>12.5334</v>
      </c>
      <c r="I4608">
        <v>12.6774</v>
      </c>
      <c r="J4608">
        <v>34772</v>
      </c>
      <c r="K4608">
        <v>0.3795</v>
      </c>
      <c r="L4608">
        <v>2.6819999999999999</v>
      </c>
    </row>
    <row r="4609" spans="1:12" hidden="1" x14ac:dyDescent="0.25">
      <c r="A4609">
        <v>2330</v>
      </c>
      <c r="B4609" t="s">
        <v>11</v>
      </c>
      <c r="C4609" s="1">
        <v>43595</v>
      </c>
      <c r="D4609" s="2">
        <f t="shared" si="142"/>
        <v>5</v>
      </c>
      <c r="E4609" s="2">
        <f t="shared" si="143"/>
        <v>5</v>
      </c>
      <c r="F4609">
        <v>242.71539999999999</v>
      </c>
      <c r="G4609">
        <v>244.60429999999999</v>
      </c>
      <c r="H4609">
        <v>240.82660000000001</v>
      </c>
      <c r="I4609">
        <v>241.77099999999999</v>
      </c>
      <c r="J4609">
        <v>18868</v>
      </c>
      <c r="K4609">
        <v>-0.1951</v>
      </c>
      <c r="L4609">
        <v>1.5686</v>
      </c>
    </row>
    <row r="4610" spans="1:12" x14ac:dyDescent="0.25">
      <c r="A4610">
        <v>2303</v>
      </c>
      <c r="B4610" t="s">
        <v>10</v>
      </c>
      <c r="C4610" s="1">
        <v>43598</v>
      </c>
      <c r="D4610" s="2">
        <f t="shared" si="142"/>
        <v>1</v>
      </c>
      <c r="E4610" s="2">
        <f t="shared" si="143"/>
        <v>5</v>
      </c>
      <c r="F4610">
        <v>12.5814</v>
      </c>
      <c r="G4610">
        <v>12.6774</v>
      </c>
      <c r="H4610">
        <v>12.4373</v>
      </c>
      <c r="I4610">
        <v>12.4373</v>
      </c>
      <c r="J4610">
        <v>34652</v>
      </c>
      <c r="K4610">
        <v>-1.9120999999999999</v>
      </c>
      <c r="L4610">
        <v>1.9305000000000001</v>
      </c>
    </row>
    <row r="4611" spans="1:12" hidden="1" x14ac:dyDescent="0.25">
      <c r="A4611">
        <v>2330</v>
      </c>
      <c r="B4611" t="s">
        <v>11</v>
      </c>
      <c r="C4611" s="1">
        <v>43598</v>
      </c>
      <c r="D4611" s="2">
        <f t="shared" ref="D4611:D4674" si="144">WEEKDAY(C4611,2)</f>
        <v>1</v>
      </c>
      <c r="E4611" s="2">
        <f t="shared" ref="E4611:E4674" si="145">MONTH(C4611)</f>
        <v>5</v>
      </c>
      <c r="F4611">
        <v>238.93780000000001</v>
      </c>
      <c r="G4611">
        <v>239.88220000000001</v>
      </c>
      <c r="H4611">
        <v>235.63229999999999</v>
      </c>
      <c r="I4611">
        <v>236.57669999999999</v>
      </c>
      <c r="J4611">
        <v>29317</v>
      </c>
      <c r="K4611">
        <v>-2.1718999999999999</v>
      </c>
      <c r="L4611">
        <v>1.8036000000000001</v>
      </c>
    </row>
    <row r="4612" spans="1:12" x14ac:dyDescent="0.25">
      <c r="A4612">
        <v>2303</v>
      </c>
      <c r="B4612" t="s">
        <v>10</v>
      </c>
      <c r="C4612" s="1">
        <v>43599</v>
      </c>
      <c r="D4612" s="2">
        <f t="shared" si="144"/>
        <v>2</v>
      </c>
      <c r="E4612" s="2">
        <f t="shared" si="145"/>
        <v>5</v>
      </c>
      <c r="F4612">
        <v>12.293200000000001</v>
      </c>
      <c r="G4612">
        <v>12.5814</v>
      </c>
      <c r="H4612">
        <v>12.1012</v>
      </c>
      <c r="I4612">
        <v>12.485300000000001</v>
      </c>
      <c r="J4612">
        <v>68436</v>
      </c>
      <c r="K4612">
        <v>0.38540000000000002</v>
      </c>
      <c r="L4612">
        <v>3.9683000000000002</v>
      </c>
    </row>
    <row r="4613" spans="1:12" hidden="1" x14ac:dyDescent="0.25">
      <c r="A4613">
        <v>2330</v>
      </c>
      <c r="B4613" t="s">
        <v>11</v>
      </c>
      <c r="C4613" s="1">
        <v>43599</v>
      </c>
      <c r="D4613" s="2">
        <f t="shared" si="144"/>
        <v>2</v>
      </c>
      <c r="E4613" s="2">
        <f t="shared" si="145"/>
        <v>5</v>
      </c>
      <c r="F4613">
        <v>233.74350000000001</v>
      </c>
      <c r="G4613">
        <v>237.0489</v>
      </c>
      <c r="H4613">
        <v>231.38239999999999</v>
      </c>
      <c r="I4613">
        <v>234.68790000000001</v>
      </c>
      <c r="J4613">
        <v>45620</v>
      </c>
      <c r="K4613">
        <v>-0.80159999999999998</v>
      </c>
      <c r="L4613">
        <v>2.4489999999999998</v>
      </c>
    </row>
    <row r="4614" spans="1:12" x14ac:dyDescent="0.25">
      <c r="A4614">
        <v>2303</v>
      </c>
      <c r="B4614" t="s">
        <v>10</v>
      </c>
      <c r="C4614" s="1">
        <v>43600</v>
      </c>
      <c r="D4614" s="2">
        <f t="shared" si="144"/>
        <v>3</v>
      </c>
      <c r="E4614" s="2">
        <f t="shared" si="145"/>
        <v>5</v>
      </c>
      <c r="F4614">
        <v>12.4373</v>
      </c>
      <c r="G4614">
        <v>12.6294</v>
      </c>
      <c r="H4614">
        <v>12.3893</v>
      </c>
      <c r="I4614">
        <v>12.3893</v>
      </c>
      <c r="J4614">
        <v>54345</v>
      </c>
      <c r="K4614">
        <v>-0.7722</v>
      </c>
      <c r="L4614">
        <v>1.9379999999999999</v>
      </c>
    </row>
    <row r="4615" spans="1:12" hidden="1" x14ac:dyDescent="0.25">
      <c r="A4615">
        <v>2330</v>
      </c>
      <c r="B4615" t="s">
        <v>11</v>
      </c>
      <c r="C4615" s="1">
        <v>43600</v>
      </c>
      <c r="D4615" s="2">
        <f t="shared" si="144"/>
        <v>3</v>
      </c>
      <c r="E4615" s="2">
        <f t="shared" si="145"/>
        <v>5</v>
      </c>
      <c r="F4615">
        <v>237.0489</v>
      </c>
      <c r="G4615">
        <v>237.9933</v>
      </c>
      <c r="H4615">
        <v>235.1601</v>
      </c>
      <c r="I4615">
        <v>235.1601</v>
      </c>
      <c r="J4615">
        <v>37223</v>
      </c>
      <c r="K4615">
        <v>0.20100000000000001</v>
      </c>
      <c r="L4615">
        <v>1.2048000000000001</v>
      </c>
    </row>
    <row r="4616" spans="1:12" x14ac:dyDescent="0.25">
      <c r="A4616">
        <v>2303</v>
      </c>
      <c r="B4616" t="s">
        <v>10</v>
      </c>
      <c r="C4616" s="1">
        <v>43601</v>
      </c>
      <c r="D4616" s="2">
        <f t="shared" si="144"/>
        <v>4</v>
      </c>
      <c r="E4616" s="2">
        <f t="shared" si="145"/>
        <v>5</v>
      </c>
      <c r="F4616">
        <v>12.3893</v>
      </c>
      <c r="G4616">
        <v>12.485300000000001</v>
      </c>
      <c r="H4616">
        <v>12.293200000000001</v>
      </c>
      <c r="I4616">
        <v>12.4373</v>
      </c>
      <c r="J4616">
        <v>32193</v>
      </c>
      <c r="K4616">
        <v>0.38679999999999998</v>
      </c>
      <c r="L4616">
        <v>1.5625</v>
      </c>
    </row>
    <row r="4617" spans="1:12" hidden="1" x14ac:dyDescent="0.25">
      <c r="A4617">
        <v>2330</v>
      </c>
      <c r="B4617" t="s">
        <v>11</v>
      </c>
      <c r="C4617" s="1">
        <v>43601</v>
      </c>
      <c r="D4617" s="2">
        <f t="shared" si="144"/>
        <v>4</v>
      </c>
      <c r="E4617" s="2">
        <f t="shared" si="145"/>
        <v>5</v>
      </c>
      <c r="F4617">
        <v>234.68790000000001</v>
      </c>
      <c r="G4617">
        <v>235.63229999999999</v>
      </c>
      <c r="H4617">
        <v>232.32679999999999</v>
      </c>
      <c r="I4617">
        <v>233.27119999999999</v>
      </c>
      <c r="J4617">
        <v>30331</v>
      </c>
      <c r="K4617">
        <v>-0.80649999999999999</v>
      </c>
      <c r="L4617">
        <v>1.4228000000000001</v>
      </c>
    </row>
    <row r="4618" spans="1:12" x14ac:dyDescent="0.25">
      <c r="A4618">
        <v>2303</v>
      </c>
      <c r="B4618" t="s">
        <v>10</v>
      </c>
      <c r="C4618" s="1">
        <v>43602</v>
      </c>
      <c r="D4618" s="2">
        <f t="shared" si="144"/>
        <v>5</v>
      </c>
      <c r="E4618" s="2">
        <f t="shared" si="145"/>
        <v>5</v>
      </c>
      <c r="F4618">
        <v>12.5814</v>
      </c>
      <c r="G4618">
        <v>12.7254</v>
      </c>
      <c r="H4618">
        <v>12.4373</v>
      </c>
      <c r="I4618">
        <v>12.485300000000001</v>
      </c>
      <c r="J4618">
        <v>52327</v>
      </c>
      <c r="K4618">
        <v>0.38540000000000002</v>
      </c>
      <c r="L4618">
        <v>2.3166000000000002</v>
      </c>
    </row>
    <row r="4619" spans="1:12" hidden="1" x14ac:dyDescent="0.25">
      <c r="A4619">
        <v>2330</v>
      </c>
      <c r="B4619" t="s">
        <v>11</v>
      </c>
      <c r="C4619" s="1">
        <v>43602</v>
      </c>
      <c r="D4619" s="2">
        <f t="shared" si="144"/>
        <v>5</v>
      </c>
      <c r="E4619" s="2">
        <f t="shared" si="145"/>
        <v>5</v>
      </c>
      <c r="F4619">
        <v>235.1601</v>
      </c>
      <c r="G4619">
        <v>235.1601</v>
      </c>
      <c r="H4619">
        <v>228.07689999999999</v>
      </c>
      <c r="I4619">
        <v>228.07689999999999</v>
      </c>
      <c r="J4619">
        <v>40006</v>
      </c>
      <c r="K4619">
        <v>-2.2519</v>
      </c>
      <c r="L4619">
        <v>3.1055999999999999</v>
      </c>
    </row>
    <row r="4620" spans="1:12" x14ac:dyDescent="0.25">
      <c r="A4620">
        <v>2303</v>
      </c>
      <c r="B4620" t="s">
        <v>10</v>
      </c>
      <c r="C4620" s="1">
        <v>43605</v>
      </c>
      <c r="D4620" s="2">
        <f t="shared" si="144"/>
        <v>1</v>
      </c>
      <c r="E4620" s="2">
        <f t="shared" si="145"/>
        <v>5</v>
      </c>
      <c r="F4620">
        <v>12.5334</v>
      </c>
      <c r="G4620">
        <v>12.5814</v>
      </c>
      <c r="H4620">
        <v>12.245200000000001</v>
      </c>
      <c r="I4620">
        <v>12.245200000000001</v>
      </c>
      <c r="J4620">
        <v>36419</v>
      </c>
      <c r="K4620">
        <v>-1.9418</v>
      </c>
      <c r="L4620">
        <v>2.7450999999999999</v>
      </c>
    </row>
    <row r="4621" spans="1:12" hidden="1" x14ac:dyDescent="0.25">
      <c r="A4621">
        <v>2330</v>
      </c>
      <c r="B4621" t="s">
        <v>11</v>
      </c>
      <c r="C4621" s="1">
        <v>43605</v>
      </c>
      <c r="D4621" s="2">
        <f t="shared" si="144"/>
        <v>1</v>
      </c>
      <c r="E4621" s="2">
        <f t="shared" si="145"/>
        <v>5</v>
      </c>
      <c r="F4621">
        <v>229.0214</v>
      </c>
      <c r="G4621">
        <v>229.49359999999999</v>
      </c>
      <c r="H4621">
        <v>224.7715</v>
      </c>
      <c r="I4621">
        <v>224.7715</v>
      </c>
      <c r="J4621">
        <v>47097</v>
      </c>
      <c r="K4621">
        <v>-1.4599</v>
      </c>
      <c r="L4621">
        <v>2.1008</v>
      </c>
    </row>
    <row r="4622" spans="1:12" x14ac:dyDescent="0.25">
      <c r="A4622">
        <v>2303</v>
      </c>
      <c r="B4622" t="s">
        <v>10</v>
      </c>
      <c r="C4622" s="1">
        <v>43606</v>
      </c>
      <c r="D4622" s="2">
        <f t="shared" si="144"/>
        <v>2</v>
      </c>
      <c r="E4622" s="2">
        <f t="shared" si="145"/>
        <v>5</v>
      </c>
      <c r="F4622">
        <v>12.1972</v>
      </c>
      <c r="G4622">
        <v>12.5334</v>
      </c>
      <c r="H4622">
        <v>12.1492</v>
      </c>
      <c r="I4622">
        <v>12.4373</v>
      </c>
      <c r="J4622">
        <v>39455</v>
      </c>
      <c r="K4622">
        <v>1.5565</v>
      </c>
      <c r="L4622">
        <v>3.1621000000000001</v>
      </c>
    </row>
    <row r="4623" spans="1:12" hidden="1" x14ac:dyDescent="0.25">
      <c r="A4623">
        <v>2330</v>
      </c>
      <c r="B4623" t="s">
        <v>11</v>
      </c>
      <c r="C4623" s="1">
        <v>43606</v>
      </c>
      <c r="D4623" s="2">
        <f t="shared" si="144"/>
        <v>2</v>
      </c>
      <c r="E4623" s="2">
        <f t="shared" si="145"/>
        <v>5</v>
      </c>
      <c r="F4623">
        <v>220.52160000000001</v>
      </c>
      <c r="G4623">
        <v>222.8826</v>
      </c>
      <c r="H4623">
        <v>219.5772</v>
      </c>
      <c r="I4623">
        <v>220.99379999999999</v>
      </c>
      <c r="J4623">
        <v>82872</v>
      </c>
      <c r="K4623">
        <v>-1.6950000000000001</v>
      </c>
      <c r="L4623">
        <v>1.5054000000000001</v>
      </c>
    </row>
    <row r="4624" spans="1:12" x14ac:dyDescent="0.25">
      <c r="A4624">
        <v>2303</v>
      </c>
      <c r="B4624" t="s">
        <v>10</v>
      </c>
      <c r="C4624" s="1">
        <v>43607</v>
      </c>
      <c r="D4624" s="2">
        <f t="shared" si="144"/>
        <v>3</v>
      </c>
      <c r="E4624" s="2">
        <f t="shared" si="145"/>
        <v>5</v>
      </c>
      <c r="F4624">
        <v>12.4373</v>
      </c>
      <c r="G4624">
        <v>12.5334</v>
      </c>
      <c r="H4624">
        <v>12.3413</v>
      </c>
      <c r="I4624">
        <v>12.485300000000001</v>
      </c>
      <c r="J4624">
        <v>25560</v>
      </c>
      <c r="K4624">
        <v>0.38540000000000002</v>
      </c>
      <c r="L4624">
        <v>1.5564</v>
      </c>
    </row>
    <row r="4625" spans="1:12" hidden="1" x14ac:dyDescent="0.25">
      <c r="A4625">
        <v>2330</v>
      </c>
      <c r="B4625" t="s">
        <v>11</v>
      </c>
      <c r="C4625" s="1">
        <v>43607</v>
      </c>
      <c r="D4625" s="2">
        <f t="shared" si="144"/>
        <v>3</v>
      </c>
      <c r="E4625" s="2">
        <f t="shared" si="145"/>
        <v>5</v>
      </c>
      <c r="F4625">
        <v>223.35489999999999</v>
      </c>
      <c r="G4625">
        <v>227.13249999999999</v>
      </c>
      <c r="H4625">
        <v>222.41040000000001</v>
      </c>
      <c r="I4625">
        <v>224.7715</v>
      </c>
      <c r="J4625">
        <v>36289</v>
      </c>
      <c r="K4625">
        <v>1.6950000000000001</v>
      </c>
      <c r="L4625">
        <v>2.1231</v>
      </c>
    </row>
    <row r="4626" spans="1:12" x14ac:dyDescent="0.25">
      <c r="A4626">
        <v>2303</v>
      </c>
      <c r="B4626" t="s">
        <v>10</v>
      </c>
      <c r="C4626" s="1">
        <v>43608</v>
      </c>
      <c r="D4626" s="2">
        <f t="shared" si="144"/>
        <v>4</v>
      </c>
      <c r="E4626" s="2">
        <f t="shared" si="145"/>
        <v>5</v>
      </c>
      <c r="F4626">
        <v>12.3413</v>
      </c>
      <c r="G4626">
        <v>12.485300000000001</v>
      </c>
      <c r="H4626">
        <v>12.245200000000001</v>
      </c>
      <c r="I4626">
        <v>12.3413</v>
      </c>
      <c r="J4626">
        <v>47580</v>
      </c>
      <c r="K4626">
        <v>-1.1606000000000001</v>
      </c>
      <c r="L4626">
        <v>1.9608000000000001</v>
      </c>
    </row>
    <row r="4627" spans="1:12" hidden="1" x14ac:dyDescent="0.25">
      <c r="A4627">
        <v>2330</v>
      </c>
      <c r="B4627" t="s">
        <v>11</v>
      </c>
      <c r="C4627" s="1">
        <v>43608</v>
      </c>
      <c r="D4627" s="2">
        <f t="shared" si="144"/>
        <v>4</v>
      </c>
      <c r="E4627" s="2">
        <f t="shared" si="145"/>
        <v>5</v>
      </c>
      <c r="F4627">
        <v>220.52160000000001</v>
      </c>
      <c r="G4627">
        <v>220.52160000000001</v>
      </c>
      <c r="H4627">
        <v>217.21610000000001</v>
      </c>
      <c r="I4627">
        <v>217.21610000000001</v>
      </c>
      <c r="J4627">
        <v>62258</v>
      </c>
      <c r="K4627">
        <v>-3.4190999999999998</v>
      </c>
      <c r="L4627">
        <v>1.5217000000000001</v>
      </c>
    </row>
    <row r="4628" spans="1:12" x14ac:dyDescent="0.25">
      <c r="A4628">
        <v>2303</v>
      </c>
      <c r="B4628" t="s">
        <v>10</v>
      </c>
      <c r="C4628" s="1">
        <v>43609</v>
      </c>
      <c r="D4628" s="2">
        <f t="shared" si="144"/>
        <v>5</v>
      </c>
      <c r="E4628" s="2">
        <f t="shared" si="145"/>
        <v>5</v>
      </c>
      <c r="F4628">
        <v>12.4373</v>
      </c>
      <c r="G4628">
        <v>12.5814</v>
      </c>
      <c r="H4628">
        <v>12.3893</v>
      </c>
      <c r="I4628">
        <v>12.4373</v>
      </c>
      <c r="J4628">
        <v>27753</v>
      </c>
      <c r="K4628">
        <v>0.7752</v>
      </c>
      <c r="L4628">
        <v>1.5504</v>
      </c>
    </row>
    <row r="4629" spans="1:12" hidden="1" x14ac:dyDescent="0.25">
      <c r="A4629">
        <v>2330</v>
      </c>
      <c r="B4629" t="s">
        <v>11</v>
      </c>
      <c r="C4629" s="1">
        <v>43609</v>
      </c>
      <c r="D4629" s="2">
        <f t="shared" si="144"/>
        <v>5</v>
      </c>
      <c r="E4629" s="2">
        <f t="shared" si="145"/>
        <v>5</v>
      </c>
      <c r="F4629">
        <v>217.21610000000001</v>
      </c>
      <c r="G4629">
        <v>220.99379999999999</v>
      </c>
      <c r="H4629">
        <v>217.21610000000001</v>
      </c>
      <c r="I4629">
        <v>220.04939999999999</v>
      </c>
      <c r="J4629">
        <v>38226</v>
      </c>
      <c r="K4629">
        <v>1.2959000000000001</v>
      </c>
      <c r="L4629">
        <v>1.7391000000000001</v>
      </c>
    </row>
    <row r="4630" spans="1:12" x14ac:dyDescent="0.25">
      <c r="A4630">
        <v>2303</v>
      </c>
      <c r="B4630" t="s">
        <v>10</v>
      </c>
      <c r="C4630" s="1">
        <v>43612</v>
      </c>
      <c r="D4630" s="2">
        <f t="shared" si="144"/>
        <v>1</v>
      </c>
      <c r="E4630" s="2">
        <f t="shared" si="145"/>
        <v>5</v>
      </c>
      <c r="F4630">
        <v>12.485300000000001</v>
      </c>
      <c r="G4630">
        <v>12.5334</v>
      </c>
      <c r="H4630">
        <v>12.293200000000001</v>
      </c>
      <c r="I4630">
        <v>12.293200000000001</v>
      </c>
      <c r="J4630">
        <v>25262</v>
      </c>
      <c r="K4630">
        <v>-1.1651</v>
      </c>
      <c r="L4630">
        <v>1.9531000000000001</v>
      </c>
    </row>
    <row r="4631" spans="1:12" hidden="1" x14ac:dyDescent="0.25">
      <c r="A4631">
        <v>2330</v>
      </c>
      <c r="B4631" t="s">
        <v>11</v>
      </c>
      <c r="C4631" s="1">
        <v>43612</v>
      </c>
      <c r="D4631" s="2">
        <f t="shared" si="144"/>
        <v>1</v>
      </c>
      <c r="E4631" s="2">
        <f t="shared" si="145"/>
        <v>5</v>
      </c>
      <c r="F4631">
        <v>220.99379999999999</v>
      </c>
      <c r="G4631">
        <v>221.93819999999999</v>
      </c>
      <c r="H4631">
        <v>218.16059999999999</v>
      </c>
      <c r="I4631">
        <v>218.16059999999999</v>
      </c>
      <c r="J4631">
        <v>37447</v>
      </c>
      <c r="K4631">
        <v>-0.86209999999999998</v>
      </c>
      <c r="L4631">
        <v>1.7316</v>
      </c>
    </row>
    <row r="4632" spans="1:12" x14ac:dyDescent="0.25">
      <c r="A4632">
        <v>2303</v>
      </c>
      <c r="B4632" t="s">
        <v>10</v>
      </c>
      <c r="C4632" s="1">
        <v>43613</v>
      </c>
      <c r="D4632" s="2">
        <f t="shared" si="144"/>
        <v>2</v>
      </c>
      <c r="E4632" s="2">
        <f t="shared" si="145"/>
        <v>5</v>
      </c>
      <c r="F4632">
        <v>12.293200000000001</v>
      </c>
      <c r="G4632">
        <v>12.293200000000001</v>
      </c>
      <c r="H4632">
        <v>11.9091</v>
      </c>
      <c r="I4632">
        <v>11.957100000000001</v>
      </c>
      <c r="J4632">
        <v>86813</v>
      </c>
      <c r="K4632">
        <v>-2.7725</v>
      </c>
      <c r="L4632">
        <v>3.2258</v>
      </c>
    </row>
    <row r="4633" spans="1:12" hidden="1" x14ac:dyDescent="0.25">
      <c r="A4633">
        <v>2330</v>
      </c>
      <c r="B4633" t="s">
        <v>11</v>
      </c>
      <c r="C4633" s="1">
        <v>43613</v>
      </c>
      <c r="D4633" s="2">
        <f t="shared" si="144"/>
        <v>2</v>
      </c>
      <c r="E4633" s="2">
        <f t="shared" si="145"/>
        <v>5</v>
      </c>
      <c r="F4633">
        <v>219.10499999999999</v>
      </c>
      <c r="G4633">
        <v>219.10499999999999</v>
      </c>
      <c r="H4633">
        <v>217.6883</v>
      </c>
      <c r="I4633">
        <v>217.6883</v>
      </c>
      <c r="J4633">
        <v>99322</v>
      </c>
      <c r="K4633">
        <v>-0.2167</v>
      </c>
      <c r="L4633">
        <v>0.65080000000000005</v>
      </c>
    </row>
    <row r="4634" spans="1:12" x14ac:dyDescent="0.25">
      <c r="A4634">
        <v>2303</v>
      </c>
      <c r="B4634" t="s">
        <v>10</v>
      </c>
      <c r="C4634" s="1">
        <v>43614</v>
      </c>
      <c r="D4634" s="2">
        <f t="shared" si="144"/>
        <v>3</v>
      </c>
      <c r="E4634" s="2">
        <f t="shared" si="145"/>
        <v>5</v>
      </c>
      <c r="F4634">
        <v>11.813000000000001</v>
      </c>
      <c r="G4634">
        <v>12.1012</v>
      </c>
      <c r="H4634">
        <v>11.669</v>
      </c>
      <c r="I4634">
        <v>12.1012</v>
      </c>
      <c r="J4634">
        <v>32266</v>
      </c>
      <c r="K4634">
        <v>1.1976</v>
      </c>
      <c r="L4634">
        <v>3.7037</v>
      </c>
    </row>
    <row r="4635" spans="1:12" hidden="1" x14ac:dyDescent="0.25">
      <c r="A4635">
        <v>2330</v>
      </c>
      <c r="B4635" t="s">
        <v>11</v>
      </c>
      <c r="C4635" s="1">
        <v>43614</v>
      </c>
      <c r="D4635" s="2">
        <f t="shared" si="144"/>
        <v>3</v>
      </c>
      <c r="E4635" s="2">
        <f t="shared" si="145"/>
        <v>5</v>
      </c>
      <c r="F4635">
        <v>215.32730000000001</v>
      </c>
      <c r="G4635">
        <v>217.6883</v>
      </c>
      <c r="H4635">
        <v>214.38290000000001</v>
      </c>
      <c r="I4635">
        <v>216.7439</v>
      </c>
      <c r="J4635">
        <v>32260</v>
      </c>
      <c r="K4635">
        <v>-0.43480000000000002</v>
      </c>
      <c r="L4635">
        <v>1.5419</v>
      </c>
    </row>
    <row r="4636" spans="1:12" x14ac:dyDescent="0.25">
      <c r="A4636">
        <v>2303</v>
      </c>
      <c r="B4636" t="s">
        <v>10</v>
      </c>
      <c r="C4636" s="1">
        <v>43615</v>
      </c>
      <c r="D4636" s="2">
        <f t="shared" si="144"/>
        <v>4</v>
      </c>
      <c r="E4636" s="2">
        <f t="shared" si="145"/>
        <v>5</v>
      </c>
      <c r="F4636">
        <v>12.1972</v>
      </c>
      <c r="G4636">
        <v>12.293200000000001</v>
      </c>
      <c r="H4636">
        <v>12.053100000000001</v>
      </c>
      <c r="I4636">
        <v>12.245200000000001</v>
      </c>
      <c r="J4636">
        <v>43693</v>
      </c>
      <c r="K4636">
        <v>1.1834</v>
      </c>
      <c r="L4636">
        <v>1.992</v>
      </c>
    </row>
    <row r="4637" spans="1:12" hidden="1" x14ac:dyDescent="0.25">
      <c r="A4637">
        <v>2330</v>
      </c>
      <c r="B4637" t="s">
        <v>11</v>
      </c>
      <c r="C4637" s="1">
        <v>43615</v>
      </c>
      <c r="D4637" s="2">
        <f t="shared" si="144"/>
        <v>4</v>
      </c>
      <c r="E4637" s="2">
        <f t="shared" si="145"/>
        <v>5</v>
      </c>
      <c r="F4637">
        <v>217.21610000000001</v>
      </c>
      <c r="G4637">
        <v>218.6328</v>
      </c>
      <c r="H4637">
        <v>216.27170000000001</v>
      </c>
      <c r="I4637">
        <v>218.16059999999999</v>
      </c>
      <c r="J4637">
        <v>40375</v>
      </c>
      <c r="K4637">
        <v>0.65149999999999997</v>
      </c>
      <c r="L4637">
        <v>1.0916999999999999</v>
      </c>
    </row>
    <row r="4638" spans="1:12" x14ac:dyDescent="0.25">
      <c r="A4638">
        <v>2303</v>
      </c>
      <c r="B4638" t="s">
        <v>10</v>
      </c>
      <c r="C4638" s="1">
        <v>43616</v>
      </c>
      <c r="D4638" s="2">
        <f t="shared" si="144"/>
        <v>5</v>
      </c>
      <c r="E4638" s="2">
        <f t="shared" si="145"/>
        <v>5</v>
      </c>
      <c r="F4638">
        <v>12.1492</v>
      </c>
      <c r="G4638">
        <v>12.4373</v>
      </c>
      <c r="H4638">
        <v>12.1492</v>
      </c>
      <c r="I4638">
        <v>12.3893</v>
      </c>
      <c r="J4638">
        <v>31740</v>
      </c>
      <c r="K4638">
        <v>1.1696</v>
      </c>
      <c r="L4638">
        <v>2.3715000000000002</v>
      </c>
    </row>
    <row r="4639" spans="1:12" hidden="1" x14ac:dyDescent="0.25">
      <c r="A4639">
        <v>2330</v>
      </c>
      <c r="B4639" t="s">
        <v>11</v>
      </c>
      <c r="C4639" s="1">
        <v>43616</v>
      </c>
      <c r="D4639" s="2">
        <f t="shared" si="144"/>
        <v>5</v>
      </c>
      <c r="E4639" s="2">
        <f t="shared" si="145"/>
        <v>5</v>
      </c>
      <c r="F4639">
        <v>219.10499999999999</v>
      </c>
      <c r="G4639">
        <v>224.29929999999999</v>
      </c>
      <c r="H4639">
        <v>218.16059999999999</v>
      </c>
      <c r="I4639">
        <v>222.41040000000001</v>
      </c>
      <c r="J4639">
        <v>49163</v>
      </c>
      <c r="K4639">
        <v>1.9293</v>
      </c>
      <c r="L4639">
        <v>2.8138999999999998</v>
      </c>
    </row>
    <row r="4640" spans="1:12" x14ac:dyDescent="0.25">
      <c r="A4640">
        <v>2303</v>
      </c>
      <c r="B4640" t="s">
        <v>10</v>
      </c>
      <c r="C4640" s="1">
        <v>43619</v>
      </c>
      <c r="D4640" s="2">
        <f t="shared" si="144"/>
        <v>1</v>
      </c>
      <c r="E4640" s="2">
        <f t="shared" si="145"/>
        <v>6</v>
      </c>
      <c r="F4640">
        <v>12.293200000000001</v>
      </c>
      <c r="G4640">
        <v>12.7254</v>
      </c>
      <c r="H4640">
        <v>12.1972</v>
      </c>
      <c r="I4640">
        <v>12.6774</v>
      </c>
      <c r="J4640">
        <v>41302</v>
      </c>
      <c r="K4640">
        <v>2.2989999999999999</v>
      </c>
      <c r="L4640">
        <v>4.3307000000000002</v>
      </c>
    </row>
    <row r="4641" spans="1:12" hidden="1" x14ac:dyDescent="0.25">
      <c r="A4641">
        <v>2330</v>
      </c>
      <c r="B4641" t="s">
        <v>11</v>
      </c>
      <c r="C4641" s="1">
        <v>43619</v>
      </c>
      <c r="D4641" s="2">
        <f t="shared" si="144"/>
        <v>1</v>
      </c>
      <c r="E4641" s="2">
        <f t="shared" si="145"/>
        <v>6</v>
      </c>
      <c r="F4641">
        <v>222.41040000000001</v>
      </c>
      <c r="G4641">
        <v>225.24369999999999</v>
      </c>
      <c r="H4641">
        <v>219.10499999999999</v>
      </c>
      <c r="I4641">
        <v>224.7715</v>
      </c>
      <c r="J4641">
        <v>36687</v>
      </c>
      <c r="K4641">
        <v>1.056</v>
      </c>
      <c r="L4641">
        <v>2.8016999999999999</v>
      </c>
    </row>
    <row r="4642" spans="1:12" x14ac:dyDescent="0.25">
      <c r="A4642">
        <v>2303</v>
      </c>
      <c r="B4642" t="s">
        <v>10</v>
      </c>
      <c r="C4642" s="1">
        <v>43620</v>
      </c>
      <c r="D4642" s="2">
        <f t="shared" si="144"/>
        <v>2</v>
      </c>
      <c r="E4642" s="2">
        <f t="shared" si="145"/>
        <v>6</v>
      </c>
      <c r="F4642">
        <v>12.6294</v>
      </c>
      <c r="G4642">
        <v>12.7735</v>
      </c>
      <c r="H4642">
        <v>12.3893</v>
      </c>
      <c r="I4642">
        <v>12.485300000000001</v>
      </c>
      <c r="J4642">
        <v>41757</v>
      </c>
      <c r="K4642">
        <v>-1.5266999999999999</v>
      </c>
      <c r="L4642">
        <v>3.1008</v>
      </c>
    </row>
    <row r="4643" spans="1:12" hidden="1" x14ac:dyDescent="0.25">
      <c r="A4643">
        <v>2330</v>
      </c>
      <c r="B4643" t="s">
        <v>11</v>
      </c>
      <c r="C4643" s="1">
        <v>43620</v>
      </c>
      <c r="D4643" s="2">
        <f t="shared" si="144"/>
        <v>2</v>
      </c>
      <c r="E4643" s="2">
        <f t="shared" si="145"/>
        <v>6</v>
      </c>
      <c r="F4643">
        <v>224.29929999999999</v>
      </c>
      <c r="G4643">
        <v>224.7715</v>
      </c>
      <c r="H4643">
        <v>220.04939999999999</v>
      </c>
      <c r="I4643">
        <v>220.04939999999999</v>
      </c>
      <c r="J4643">
        <v>24443</v>
      </c>
      <c r="K4643">
        <v>-2.1232000000000002</v>
      </c>
      <c r="L4643">
        <v>2.1459000000000001</v>
      </c>
    </row>
    <row r="4644" spans="1:12" x14ac:dyDescent="0.25">
      <c r="A4644">
        <v>2303</v>
      </c>
      <c r="B4644" t="s">
        <v>10</v>
      </c>
      <c r="C4644" s="1">
        <v>43621</v>
      </c>
      <c r="D4644" s="2">
        <f t="shared" si="144"/>
        <v>3</v>
      </c>
      <c r="E4644" s="2">
        <f t="shared" si="145"/>
        <v>6</v>
      </c>
      <c r="F4644">
        <v>12.6294</v>
      </c>
      <c r="G4644">
        <v>12.6774</v>
      </c>
      <c r="H4644">
        <v>12.3893</v>
      </c>
      <c r="I4644">
        <v>12.3893</v>
      </c>
      <c r="J4644">
        <v>27276</v>
      </c>
      <c r="K4644">
        <v>-0.7722</v>
      </c>
      <c r="L4644">
        <v>2.3256000000000001</v>
      </c>
    </row>
    <row r="4645" spans="1:12" hidden="1" x14ac:dyDescent="0.25">
      <c r="A4645">
        <v>2330</v>
      </c>
      <c r="B4645" t="s">
        <v>11</v>
      </c>
      <c r="C4645" s="1">
        <v>43621</v>
      </c>
      <c r="D4645" s="2">
        <f t="shared" si="144"/>
        <v>3</v>
      </c>
      <c r="E4645" s="2">
        <f t="shared" si="145"/>
        <v>6</v>
      </c>
      <c r="F4645">
        <v>224.7715</v>
      </c>
      <c r="G4645">
        <v>224.7715</v>
      </c>
      <c r="H4645">
        <v>220.99379999999999</v>
      </c>
      <c r="I4645">
        <v>221.93819999999999</v>
      </c>
      <c r="J4645">
        <v>35901</v>
      </c>
      <c r="K4645">
        <v>0.85470000000000002</v>
      </c>
      <c r="L4645">
        <v>1.7094</v>
      </c>
    </row>
    <row r="4646" spans="1:12" x14ac:dyDescent="0.25">
      <c r="A4646">
        <v>2303</v>
      </c>
      <c r="B4646" t="s">
        <v>10</v>
      </c>
      <c r="C4646" s="1">
        <v>43622</v>
      </c>
      <c r="D4646" s="2">
        <f t="shared" si="144"/>
        <v>4</v>
      </c>
      <c r="E4646" s="2">
        <f t="shared" si="145"/>
        <v>6</v>
      </c>
      <c r="F4646">
        <v>12.3893</v>
      </c>
      <c r="G4646">
        <v>12.5814</v>
      </c>
      <c r="H4646">
        <v>12.3413</v>
      </c>
      <c r="I4646">
        <v>12.5334</v>
      </c>
      <c r="J4646">
        <v>32018</v>
      </c>
      <c r="K4646">
        <v>1.1560999999999999</v>
      </c>
      <c r="L4646">
        <v>1.9455</v>
      </c>
    </row>
    <row r="4647" spans="1:12" hidden="1" x14ac:dyDescent="0.25">
      <c r="A4647">
        <v>2330</v>
      </c>
      <c r="B4647" t="s">
        <v>11</v>
      </c>
      <c r="C4647" s="1">
        <v>43622</v>
      </c>
      <c r="D4647" s="2">
        <f t="shared" si="144"/>
        <v>4</v>
      </c>
      <c r="E4647" s="2">
        <f t="shared" si="145"/>
        <v>6</v>
      </c>
      <c r="F4647">
        <v>218.6328</v>
      </c>
      <c r="G4647">
        <v>219.10499999999999</v>
      </c>
      <c r="H4647">
        <v>216.7439</v>
      </c>
      <c r="I4647">
        <v>219.10499999999999</v>
      </c>
      <c r="J4647">
        <v>34651</v>
      </c>
      <c r="K4647">
        <v>-1.2847999999999999</v>
      </c>
      <c r="L4647">
        <v>1.0892999999999999</v>
      </c>
    </row>
    <row r="4648" spans="1:12" x14ac:dyDescent="0.25">
      <c r="A4648">
        <v>2303</v>
      </c>
      <c r="B4648" t="s">
        <v>10</v>
      </c>
      <c r="C4648" s="1">
        <v>43626</v>
      </c>
      <c r="D4648" s="2">
        <f t="shared" si="144"/>
        <v>1</v>
      </c>
      <c r="E4648" s="2">
        <f t="shared" si="145"/>
        <v>6</v>
      </c>
      <c r="F4648">
        <v>12.6774</v>
      </c>
      <c r="G4648">
        <v>12.7735</v>
      </c>
      <c r="H4648">
        <v>12.5334</v>
      </c>
      <c r="I4648">
        <v>12.7735</v>
      </c>
      <c r="J4648">
        <v>28170</v>
      </c>
      <c r="K4648">
        <v>1.8976</v>
      </c>
      <c r="L4648">
        <v>1.9157</v>
      </c>
    </row>
    <row r="4649" spans="1:12" hidden="1" x14ac:dyDescent="0.25">
      <c r="A4649">
        <v>2330</v>
      </c>
      <c r="B4649" t="s">
        <v>11</v>
      </c>
      <c r="C4649" s="1">
        <v>43626</v>
      </c>
      <c r="D4649" s="2">
        <f t="shared" si="144"/>
        <v>1</v>
      </c>
      <c r="E4649" s="2">
        <f t="shared" si="145"/>
        <v>6</v>
      </c>
      <c r="F4649">
        <v>224.29929999999999</v>
      </c>
      <c r="G4649">
        <v>226.66030000000001</v>
      </c>
      <c r="H4649">
        <v>221.46600000000001</v>
      </c>
      <c r="I4649">
        <v>226.66030000000001</v>
      </c>
      <c r="J4649">
        <v>35521</v>
      </c>
      <c r="K4649">
        <v>3.3902000000000001</v>
      </c>
      <c r="L4649">
        <v>2.3454000000000002</v>
      </c>
    </row>
    <row r="4650" spans="1:12" x14ac:dyDescent="0.25">
      <c r="A4650">
        <v>2303</v>
      </c>
      <c r="B4650" t="s">
        <v>10</v>
      </c>
      <c r="C4650" s="1">
        <v>43627</v>
      </c>
      <c r="D4650" s="2">
        <f t="shared" si="144"/>
        <v>2</v>
      </c>
      <c r="E4650" s="2">
        <f t="shared" si="145"/>
        <v>6</v>
      </c>
      <c r="F4650">
        <v>12.8215</v>
      </c>
      <c r="G4650">
        <v>12.9175</v>
      </c>
      <c r="H4650">
        <v>12.7254</v>
      </c>
      <c r="I4650">
        <v>12.8695</v>
      </c>
      <c r="J4650">
        <v>32581</v>
      </c>
      <c r="K4650">
        <v>0.74909999999999999</v>
      </c>
      <c r="L4650">
        <v>1.5094000000000001</v>
      </c>
    </row>
    <row r="4651" spans="1:12" hidden="1" x14ac:dyDescent="0.25">
      <c r="A4651">
        <v>2330</v>
      </c>
      <c r="B4651" t="s">
        <v>11</v>
      </c>
      <c r="C4651" s="1">
        <v>43627</v>
      </c>
      <c r="D4651" s="2">
        <f t="shared" si="144"/>
        <v>2</v>
      </c>
      <c r="E4651" s="2">
        <f t="shared" si="145"/>
        <v>6</v>
      </c>
      <c r="F4651">
        <v>226.66030000000001</v>
      </c>
      <c r="G4651">
        <v>232.32679999999999</v>
      </c>
      <c r="H4651">
        <v>225.7159</v>
      </c>
      <c r="I4651">
        <v>230.9102</v>
      </c>
      <c r="J4651">
        <v>34691</v>
      </c>
      <c r="K4651">
        <v>1.8575999999999999</v>
      </c>
      <c r="L4651">
        <v>2.9289000000000001</v>
      </c>
    </row>
    <row r="4652" spans="1:12" x14ac:dyDescent="0.25">
      <c r="A4652">
        <v>2303</v>
      </c>
      <c r="B4652" t="s">
        <v>10</v>
      </c>
      <c r="C4652" s="1">
        <v>43628</v>
      </c>
      <c r="D4652" s="2">
        <f t="shared" si="144"/>
        <v>3</v>
      </c>
      <c r="E4652" s="2">
        <f t="shared" si="145"/>
        <v>6</v>
      </c>
      <c r="F4652">
        <v>12.9175</v>
      </c>
      <c r="G4652">
        <v>13.0136</v>
      </c>
      <c r="H4652">
        <v>12.8215</v>
      </c>
      <c r="I4652">
        <v>13.0136</v>
      </c>
      <c r="J4652">
        <v>30229</v>
      </c>
      <c r="K4652">
        <v>1.1132</v>
      </c>
      <c r="L4652">
        <v>1.4981</v>
      </c>
    </row>
    <row r="4653" spans="1:12" hidden="1" x14ac:dyDescent="0.25">
      <c r="A4653">
        <v>2330</v>
      </c>
      <c r="B4653" t="s">
        <v>11</v>
      </c>
      <c r="C4653" s="1">
        <v>43628</v>
      </c>
      <c r="D4653" s="2">
        <f t="shared" si="144"/>
        <v>3</v>
      </c>
      <c r="E4653" s="2">
        <f t="shared" si="145"/>
        <v>6</v>
      </c>
      <c r="F4653">
        <v>230.9102</v>
      </c>
      <c r="G4653">
        <v>233.74350000000001</v>
      </c>
      <c r="H4653">
        <v>229.49359999999999</v>
      </c>
      <c r="I4653">
        <v>232.32679999999999</v>
      </c>
      <c r="J4653">
        <v>30409</v>
      </c>
      <c r="K4653">
        <v>0.61160000000000003</v>
      </c>
      <c r="L4653">
        <v>1.8519000000000001</v>
      </c>
    </row>
    <row r="4654" spans="1:12" x14ac:dyDescent="0.25">
      <c r="A4654">
        <v>2303</v>
      </c>
      <c r="B4654" t="s">
        <v>10</v>
      </c>
      <c r="C4654" s="1">
        <v>43629</v>
      </c>
      <c r="D4654" s="2">
        <f t="shared" si="144"/>
        <v>4</v>
      </c>
      <c r="E4654" s="2">
        <f t="shared" si="145"/>
        <v>6</v>
      </c>
      <c r="F4654">
        <v>12.9655</v>
      </c>
      <c r="G4654">
        <v>13.3977</v>
      </c>
      <c r="H4654">
        <v>12.8695</v>
      </c>
      <c r="I4654">
        <v>13.2056</v>
      </c>
      <c r="J4654">
        <v>70097</v>
      </c>
      <c r="K4654">
        <v>1.4652000000000001</v>
      </c>
      <c r="L4654">
        <v>4.1044999999999998</v>
      </c>
    </row>
    <row r="4655" spans="1:12" hidden="1" x14ac:dyDescent="0.25">
      <c r="A4655">
        <v>2330</v>
      </c>
      <c r="B4655" t="s">
        <v>11</v>
      </c>
      <c r="C4655" s="1">
        <v>43629</v>
      </c>
      <c r="D4655" s="2">
        <f t="shared" si="144"/>
        <v>4</v>
      </c>
      <c r="E4655" s="2">
        <f t="shared" si="145"/>
        <v>6</v>
      </c>
      <c r="F4655">
        <v>229.0214</v>
      </c>
      <c r="G4655">
        <v>230.43799999999999</v>
      </c>
      <c r="H4655">
        <v>226.66030000000001</v>
      </c>
      <c r="I4655">
        <v>226.66030000000001</v>
      </c>
      <c r="J4655">
        <v>33731</v>
      </c>
      <c r="K4655">
        <v>-2.4693000000000001</v>
      </c>
      <c r="L4655">
        <v>1.6667000000000001</v>
      </c>
    </row>
    <row r="4656" spans="1:12" x14ac:dyDescent="0.25">
      <c r="A4656">
        <v>2303</v>
      </c>
      <c r="B4656" t="s">
        <v>10</v>
      </c>
      <c r="C4656" s="1">
        <v>43630</v>
      </c>
      <c r="D4656" s="2">
        <f t="shared" si="144"/>
        <v>5</v>
      </c>
      <c r="E4656" s="2">
        <f t="shared" si="145"/>
        <v>6</v>
      </c>
      <c r="F4656">
        <v>13.1576</v>
      </c>
      <c r="G4656">
        <v>13.2056</v>
      </c>
      <c r="H4656">
        <v>13.0616</v>
      </c>
      <c r="I4656">
        <v>13.1576</v>
      </c>
      <c r="J4656">
        <v>28211</v>
      </c>
      <c r="K4656">
        <v>-0.36430000000000001</v>
      </c>
      <c r="L4656">
        <v>1.1029</v>
      </c>
    </row>
    <row r="4657" spans="1:12" hidden="1" x14ac:dyDescent="0.25">
      <c r="A4657">
        <v>2330</v>
      </c>
      <c r="B4657" t="s">
        <v>11</v>
      </c>
      <c r="C4657" s="1">
        <v>43630</v>
      </c>
      <c r="D4657" s="2">
        <f t="shared" si="144"/>
        <v>5</v>
      </c>
      <c r="E4657" s="2">
        <f t="shared" si="145"/>
        <v>6</v>
      </c>
      <c r="F4657">
        <v>225.24369999999999</v>
      </c>
      <c r="G4657">
        <v>226.18809999999999</v>
      </c>
      <c r="H4657">
        <v>222.8826</v>
      </c>
      <c r="I4657">
        <v>222.8826</v>
      </c>
      <c r="J4657">
        <v>35403</v>
      </c>
      <c r="K4657">
        <v>-1.6807000000000001</v>
      </c>
      <c r="L4657">
        <v>1.4831000000000001</v>
      </c>
    </row>
    <row r="4658" spans="1:12" x14ac:dyDescent="0.25">
      <c r="A4658">
        <v>2303</v>
      </c>
      <c r="B4658" t="s">
        <v>10</v>
      </c>
      <c r="C4658" s="1">
        <v>43633</v>
      </c>
      <c r="D4658" s="2">
        <f t="shared" si="144"/>
        <v>1</v>
      </c>
      <c r="E4658" s="2">
        <f t="shared" si="145"/>
        <v>6</v>
      </c>
      <c r="F4658">
        <v>13.1576</v>
      </c>
      <c r="G4658">
        <v>13.3017</v>
      </c>
      <c r="H4658">
        <v>13.0616</v>
      </c>
      <c r="I4658">
        <v>13.1096</v>
      </c>
      <c r="J4658">
        <v>30522</v>
      </c>
      <c r="K4658">
        <v>-0.36559999999999998</v>
      </c>
      <c r="L4658">
        <v>1.8382000000000001</v>
      </c>
    </row>
    <row r="4659" spans="1:12" hidden="1" x14ac:dyDescent="0.25">
      <c r="A4659">
        <v>2330</v>
      </c>
      <c r="B4659" t="s">
        <v>11</v>
      </c>
      <c r="C4659" s="1">
        <v>43633</v>
      </c>
      <c r="D4659" s="2">
        <f t="shared" si="144"/>
        <v>1</v>
      </c>
      <c r="E4659" s="2">
        <f t="shared" si="145"/>
        <v>6</v>
      </c>
      <c r="F4659">
        <v>218.6328</v>
      </c>
      <c r="G4659">
        <v>221.93819999999999</v>
      </c>
      <c r="H4659">
        <v>217.6883</v>
      </c>
      <c r="I4659">
        <v>220.04939999999999</v>
      </c>
      <c r="J4659">
        <v>51692</v>
      </c>
      <c r="K4659">
        <v>-1.2793000000000001</v>
      </c>
      <c r="L4659">
        <v>1.9522999999999999</v>
      </c>
    </row>
    <row r="4660" spans="1:12" x14ac:dyDescent="0.25">
      <c r="A4660">
        <v>2303</v>
      </c>
      <c r="B4660" t="s">
        <v>10</v>
      </c>
      <c r="C4660" s="1">
        <v>43634</v>
      </c>
      <c r="D4660" s="2">
        <f t="shared" si="144"/>
        <v>2</v>
      </c>
      <c r="E4660" s="2">
        <f t="shared" si="145"/>
        <v>6</v>
      </c>
      <c r="F4660">
        <v>13.1096</v>
      </c>
      <c r="G4660">
        <v>13.1096</v>
      </c>
      <c r="H4660">
        <v>12.7254</v>
      </c>
      <c r="I4660">
        <v>12.7254</v>
      </c>
      <c r="J4660">
        <v>41290</v>
      </c>
      <c r="K4660">
        <v>-2.9742000000000002</v>
      </c>
      <c r="L4660">
        <v>3.0188999999999999</v>
      </c>
    </row>
    <row r="4661" spans="1:12" hidden="1" x14ac:dyDescent="0.25">
      <c r="A4661">
        <v>2330</v>
      </c>
      <c r="B4661" t="s">
        <v>11</v>
      </c>
      <c r="C4661" s="1">
        <v>43634</v>
      </c>
      <c r="D4661" s="2">
        <f t="shared" si="144"/>
        <v>2</v>
      </c>
      <c r="E4661" s="2">
        <f t="shared" si="145"/>
        <v>6</v>
      </c>
      <c r="F4661">
        <v>220.99379999999999</v>
      </c>
      <c r="G4661">
        <v>222.41040000000001</v>
      </c>
      <c r="H4661">
        <v>220.04939999999999</v>
      </c>
      <c r="I4661">
        <v>222.41040000000001</v>
      </c>
      <c r="J4661">
        <v>28798</v>
      </c>
      <c r="K4661">
        <v>1.0671999999999999</v>
      </c>
      <c r="L4661">
        <v>1.073</v>
      </c>
    </row>
    <row r="4662" spans="1:12" x14ac:dyDescent="0.25">
      <c r="A4662">
        <v>2303</v>
      </c>
      <c r="B4662" t="s">
        <v>10</v>
      </c>
      <c r="C4662" s="1">
        <v>43635</v>
      </c>
      <c r="D4662" s="2">
        <f t="shared" si="144"/>
        <v>3</v>
      </c>
      <c r="E4662" s="2">
        <f t="shared" si="145"/>
        <v>6</v>
      </c>
      <c r="F4662">
        <v>12.9175</v>
      </c>
      <c r="G4662">
        <v>13.1096</v>
      </c>
      <c r="H4662">
        <v>12.8215</v>
      </c>
      <c r="I4662">
        <v>13.1096</v>
      </c>
      <c r="J4662">
        <v>48300</v>
      </c>
      <c r="K4662">
        <v>2.9742000000000002</v>
      </c>
      <c r="L4662">
        <v>2.2471999999999999</v>
      </c>
    </row>
    <row r="4663" spans="1:12" hidden="1" x14ac:dyDescent="0.25">
      <c r="A4663">
        <v>2330</v>
      </c>
      <c r="B4663" t="s">
        <v>11</v>
      </c>
      <c r="C4663" s="1">
        <v>43635</v>
      </c>
      <c r="D4663" s="2">
        <f t="shared" si="144"/>
        <v>3</v>
      </c>
      <c r="E4663" s="2">
        <f t="shared" si="145"/>
        <v>6</v>
      </c>
      <c r="F4663">
        <v>229.0214</v>
      </c>
      <c r="G4663">
        <v>230.43799999999999</v>
      </c>
      <c r="H4663">
        <v>227.13249999999999</v>
      </c>
      <c r="I4663">
        <v>230.43799999999999</v>
      </c>
      <c r="J4663">
        <v>50234</v>
      </c>
      <c r="K4663">
        <v>3.5457000000000001</v>
      </c>
      <c r="L4663">
        <v>1.4553</v>
      </c>
    </row>
    <row r="4664" spans="1:12" x14ac:dyDescent="0.25">
      <c r="A4664">
        <v>2303</v>
      </c>
      <c r="B4664" t="s">
        <v>10</v>
      </c>
      <c r="C4664" s="1">
        <v>43636</v>
      </c>
      <c r="D4664" s="2">
        <f t="shared" si="144"/>
        <v>4</v>
      </c>
      <c r="E4664" s="2">
        <f t="shared" si="145"/>
        <v>6</v>
      </c>
      <c r="F4664">
        <v>13.1576</v>
      </c>
      <c r="G4664">
        <v>13.2056</v>
      </c>
      <c r="H4664">
        <v>12.8215</v>
      </c>
      <c r="I4664">
        <v>12.8695</v>
      </c>
      <c r="J4664">
        <v>38934</v>
      </c>
      <c r="K4664">
        <v>-1.8485</v>
      </c>
      <c r="L4664">
        <v>2.9963000000000002</v>
      </c>
    </row>
    <row r="4665" spans="1:12" hidden="1" x14ac:dyDescent="0.25">
      <c r="A4665">
        <v>2330</v>
      </c>
      <c r="B4665" t="s">
        <v>11</v>
      </c>
      <c r="C4665" s="1">
        <v>43636</v>
      </c>
      <c r="D4665" s="2">
        <f t="shared" si="144"/>
        <v>4</v>
      </c>
      <c r="E4665" s="2">
        <f t="shared" si="145"/>
        <v>6</v>
      </c>
      <c r="F4665">
        <v>228.54920000000001</v>
      </c>
      <c r="G4665">
        <v>231.8546</v>
      </c>
      <c r="H4665">
        <v>227.60470000000001</v>
      </c>
      <c r="I4665">
        <v>231.38239999999999</v>
      </c>
      <c r="J4665">
        <v>39717</v>
      </c>
      <c r="K4665">
        <v>0.40899999999999997</v>
      </c>
      <c r="L4665">
        <v>1.8672</v>
      </c>
    </row>
    <row r="4666" spans="1:12" x14ac:dyDescent="0.25">
      <c r="A4666">
        <v>2303</v>
      </c>
      <c r="B4666" t="s">
        <v>10</v>
      </c>
      <c r="C4666" s="1">
        <v>43637</v>
      </c>
      <c r="D4666" s="2">
        <f t="shared" si="144"/>
        <v>5</v>
      </c>
      <c r="E4666" s="2">
        <f t="shared" si="145"/>
        <v>6</v>
      </c>
      <c r="F4666">
        <v>13.0136</v>
      </c>
      <c r="G4666">
        <v>13.1576</v>
      </c>
      <c r="H4666">
        <v>12.9175</v>
      </c>
      <c r="I4666">
        <v>13.1576</v>
      </c>
      <c r="J4666">
        <v>48460</v>
      </c>
      <c r="K4666">
        <v>2.2141000000000002</v>
      </c>
      <c r="L4666">
        <v>1.8587</v>
      </c>
    </row>
    <row r="4667" spans="1:12" hidden="1" x14ac:dyDescent="0.25">
      <c r="A4667">
        <v>2330</v>
      </c>
      <c r="B4667" t="s">
        <v>11</v>
      </c>
      <c r="C4667" s="1">
        <v>43637</v>
      </c>
      <c r="D4667" s="2">
        <f t="shared" si="144"/>
        <v>5</v>
      </c>
      <c r="E4667" s="2">
        <f t="shared" si="145"/>
        <v>6</v>
      </c>
      <c r="F4667">
        <v>234.2157</v>
      </c>
      <c r="G4667">
        <v>234.68790000000001</v>
      </c>
      <c r="H4667">
        <v>232.32679999999999</v>
      </c>
      <c r="I4667">
        <v>234.68790000000001</v>
      </c>
      <c r="J4667">
        <v>62136</v>
      </c>
      <c r="K4667">
        <v>1.4185000000000001</v>
      </c>
      <c r="L4667">
        <v>1.0163</v>
      </c>
    </row>
    <row r="4668" spans="1:12" x14ac:dyDescent="0.25">
      <c r="A4668">
        <v>2303</v>
      </c>
      <c r="B4668" t="s">
        <v>10</v>
      </c>
      <c r="C4668" s="1">
        <v>43640</v>
      </c>
      <c r="D4668" s="2">
        <f t="shared" si="144"/>
        <v>1</v>
      </c>
      <c r="E4668" s="2">
        <f t="shared" si="145"/>
        <v>6</v>
      </c>
      <c r="F4668">
        <v>13.0136</v>
      </c>
      <c r="G4668">
        <v>13.2537</v>
      </c>
      <c r="H4668">
        <v>12.9655</v>
      </c>
      <c r="I4668">
        <v>13.2056</v>
      </c>
      <c r="J4668">
        <v>25972</v>
      </c>
      <c r="K4668">
        <v>0.36430000000000001</v>
      </c>
      <c r="L4668">
        <v>2.2222</v>
      </c>
    </row>
    <row r="4669" spans="1:12" hidden="1" x14ac:dyDescent="0.25">
      <c r="A4669">
        <v>2330</v>
      </c>
      <c r="B4669" t="s">
        <v>11</v>
      </c>
      <c r="C4669" s="1">
        <v>43640</v>
      </c>
      <c r="D4669" s="2">
        <f t="shared" si="144"/>
        <v>1</v>
      </c>
      <c r="E4669" s="2">
        <f t="shared" si="145"/>
        <v>6</v>
      </c>
      <c r="F4669">
        <v>235.1755</v>
      </c>
      <c r="G4669">
        <v>236.15129999999999</v>
      </c>
      <c r="H4669">
        <v>234.19970000000001</v>
      </c>
      <c r="I4669">
        <v>235.1755</v>
      </c>
      <c r="J4669">
        <v>43460</v>
      </c>
      <c r="K4669">
        <v>0.20100000000000001</v>
      </c>
      <c r="L4669">
        <v>0.83330000000000004</v>
      </c>
    </row>
    <row r="4670" spans="1:12" x14ac:dyDescent="0.25">
      <c r="A4670">
        <v>2303</v>
      </c>
      <c r="B4670" t="s">
        <v>10</v>
      </c>
      <c r="C4670" s="1">
        <v>43641</v>
      </c>
      <c r="D4670" s="2">
        <f t="shared" si="144"/>
        <v>2</v>
      </c>
      <c r="E4670" s="2">
        <f t="shared" si="145"/>
        <v>6</v>
      </c>
      <c r="F4670">
        <v>13.2056</v>
      </c>
      <c r="G4670">
        <v>13.3017</v>
      </c>
      <c r="H4670">
        <v>13.1096</v>
      </c>
      <c r="I4670">
        <v>13.1576</v>
      </c>
      <c r="J4670">
        <v>26154</v>
      </c>
      <c r="K4670">
        <v>-0.36430000000000001</v>
      </c>
      <c r="L4670">
        <v>1.4652000000000001</v>
      </c>
    </row>
    <row r="4671" spans="1:12" hidden="1" x14ac:dyDescent="0.25">
      <c r="A4671">
        <v>2330</v>
      </c>
      <c r="B4671" t="s">
        <v>11</v>
      </c>
      <c r="C4671" s="1">
        <v>43641</v>
      </c>
      <c r="D4671" s="2">
        <f t="shared" si="144"/>
        <v>2</v>
      </c>
      <c r="E4671" s="2">
        <f t="shared" si="145"/>
        <v>6</v>
      </c>
      <c r="F4671">
        <v>235.1755</v>
      </c>
      <c r="G4671">
        <v>235.6634</v>
      </c>
      <c r="H4671">
        <v>231.2722</v>
      </c>
      <c r="I4671">
        <v>232.73589999999999</v>
      </c>
      <c r="J4671">
        <v>29735</v>
      </c>
      <c r="K4671">
        <v>-1.0427999999999999</v>
      </c>
      <c r="L4671">
        <v>1.8987000000000001</v>
      </c>
    </row>
    <row r="4672" spans="1:12" x14ac:dyDescent="0.25">
      <c r="A4672">
        <v>2303</v>
      </c>
      <c r="B4672" t="s">
        <v>10</v>
      </c>
      <c r="C4672" s="1">
        <v>43642</v>
      </c>
      <c r="D4672" s="2">
        <f t="shared" si="144"/>
        <v>3</v>
      </c>
      <c r="E4672" s="2">
        <f t="shared" si="145"/>
        <v>6</v>
      </c>
      <c r="F4672">
        <v>13.3017</v>
      </c>
      <c r="G4672">
        <v>13.3977</v>
      </c>
      <c r="H4672">
        <v>13.2056</v>
      </c>
      <c r="I4672">
        <v>13.2537</v>
      </c>
      <c r="J4672">
        <v>59484</v>
      </c>
      <c r="K4672">
        <v>0.72729999999999995</v>
      </c>
      <c r="L4672">
        <v>1.4544999999999999</v>
      </c>
    </row>
    <row r="4673" spans="1:12" hidden="1" x14ac:dyDescent="0.25">
      <c r="A4673">
        <v>2330</v>
      </c>
      <c r="B4673" t="s">
        <v>11</v>
      </c>
      <c r="C4673" s="1">
        <v>43642</v>
      </c>
      <c r="D4673" s="2">
        <f t="shared" si="144"/>
        <v>3</v>
      </c>
      <c r="E4673" s="2">
        <f t="shared" si="145"/>
        <v>6</v>
      </c>
      <c r="F4673">
        <v>229.32050000000001</v>
      </c>
      <c r="G4673">
        <v>230.7843</v>
      </c>
      <c r="H4673">
        <v>228.34469999999999</v>
      </c>
      <c r="I4673">
        <v>228.83260000000001</v>
      </c>
      <c r="J4673">
        <v>28770</v>
      </c>
      <c r="K4673">
        <v>-1.6914</v>
      </c>
      <c r="L4673">
        <v>1.0684</v>
      </c>
    </row>
    <row r="4674" spans="1:12" x14ac:dyDescent="0.25">
      <c r="A4674">
        <v>2303</v>
      </c>
      <c r="B4674" t="s">
        <v>10</v>
      </c>
      <c r="C4674" s="1">
        <v>43643</v>
      </c>
      <c r="D4674" s="2">
        <f t="shared" si="144"/>
        <v>4</v>
      </c>
      <c r="E4674" s="2">
        <f t="shared" si="145"/>
        <v>6</v>
      </c>
      <c r="F4674">
        <v>13.3977</v>
      </c>
      <c r="G4674">
        <v>13.5418</v>
      </c>
      <c r="H4674">
        <v>13.3497</v>
      </c>
      <c r="I4674">
        <v>13.4457</v>
      </c>
      <c r="J4674">
        <v>62428</v>
      </c>
      <c r="K4674">
        <v>1.4389000000000001</v>
      </c>
      <c r="L4674">
        <v>1.4388000000000001</v>
      </c>
    </row>
    <row r="4675" spans="1:12" hidden="1" x14ac:dyDescent="0.25">
      <c r="A4675">
        <v>2330</v>
      </c>
      <c r="B4675" t="s">
        <v>11</v>
      </c>
      <c r="C4675" s="1">
        <v>43643</v>
      </c>
      <c r="D4675" s="2">
        <f t="shared" ref="D4675:D4738" si="146">WEEKDAY(C4675,2)</f>
        <v>4</v>
      </c>
      <c r="E4675" s="2">
        <f t="shared" ref="E4675:E4738" si="147">MONTH(C4675)</f>
        <v>6</v>
      </c>
      <c r="F4675">
        <v>230.29640000000001</v>
      </c>
      <c r="G4675">
        <v>235.6634</v>
      </c>
      <c r="H4675">
        <v>230.29640000000001</v>
      </c>
      <c r="I4675">
        <v>234.6876</v>
      </c>
      <c r="J4675">
        <v>42007</v>
      </c>
      <c r="K4675">
        <v>2.5265</v>
      </c>
      <c r="L4675">
        <v>2.3304999999999998</v>
      </c>
    </row>
    <row r="4676" spans="1:12" x14ac:dyDescent="0.25">
      <c r="A4676">
        <v>2303</v>
      </c>
      <c r="B4676" t="s">
        <v>10</v>
      </c>
      <c r="C4676" s="1">
        <v>43644</v>
      </c>
      <c r="D4676" s="2">
        <f t="shared" si="146"/>
        <v>5</v>
      </c>
      <c r="E4676" s="2">
        <f t="shared" si="147"/>
        <v>6</v>
      </c>
      <c r="F4676">
        <v>13.5418</v>
      </c>
      <c r="G4676">
        <v>13.5418</v>
      </c>
      <c r="H4676">
        <v>13.3017</v>
      </c>
      <c r="I4676">
        <v>13.3977</v>
      </c>
      <c r="J4676">
        <v>32353</v>
      </c>
      <c r="K4676">
        <v>-0.35780000000000001</v>
      </c>
      <c r="L4676">
        <v>1.8050999999999999</v>
      </c>
    </row>
    <row r="4677" spans="1:12" hidden="1" x14ac:dyDescent="0.25">
      <c r="A4677">
        <v>2330</v>
      </c>
      <c r="B4677" t="s">
        <v>11</v>
      </c>
      <c r="C4677" s="1">
        <v>43644</v>
      </c>
      <c r="D4677" s="2">
        <f t="shared" si="146"/>
        <v>5</v>
      </c>
      <c r="E4677" s="2">
        <f t="shared" si="147"/>
        <v>6</v>
      </c>
      <c r="F4677">
        <v>235.6634</v>
      </c>
      <c r="G4677">
        <v>235.6634</v>
      </c>
      <c r="H4677">
        <v>232.24799999999999</v>
      </c>
      <c r="I4677">
        <v>233.22380000000001</v>
      </c>
      <c r="J4677">
        <v>28085</v>
      </c>
      <c r="K4677">
        <v>-0.62570000000000003</v>
      </c>
      <c r="L4677">
        <v>1.4705999999999999</v>
      </c>
    </row>
    <row r="4678" spans="1:12" x14ac:dyDescent="0.25">
      <c r="A4678">
        <v>2303</v>
      </c>
      <c r="B4678" t="s">
        <v>10</v>
      </c>
      <c r="C4678" s="1">
        <v>43647</v>
      </c>
      <c r="D4678" s="2">
        <f t="shared" si="146"/>
        <v>1</v>
      </c>
      <c r="E4678" s="2">
        <f t="shared" si="147"/>
        <v>7</v>
      </c>
      <c r="F4678">
        <v>13.4938</v>
      </c>
      <c r="G4678">
        <v>13.8779</v>
      </c>
      <c r="H4678">
        <v>13.4938</v>
      </c>
      <c r="I4678">
        <v>13.7819</v>
      </c>
      <c r="J4678">
        <v>47180</v>
      </c>
      <c r="K4678">
        <v>2.827</v>
      </c>
      <c r="L4678">
        <v>2.847</v>
      </c>
    </row>
    <row r="4679" spans="1:12" hidden="1" x14ac:dyDescent="0.25">
      <c r="A4679">
        <v>2330</v>
      </c>
      <c r="B4679" t="s">
        <v>11</v>
      </c>
      <c r="C4679" s="1">
        <v>43647</v>
      </c>
      <c r="D4679" s="2">
        <f t="shared" si="146"/>
        <v>1</v>
      </c>
      <c r="E4679" s="2">
        <f t="shared" si="147"/>
        <v>7</v>
      </c>
      <c r="F4679">
        <v>239.5668</v>
      </c>
      <c r="G4679">
        <v>243.958</v>
      </c>
      <c r="H4679">
        <v>239.0788</v>
      </c>
      <c r="I4679">
        <v>242.49430000000001</v>
      </c>
      <c r="J4679">
        <v>66370</v>
      </c>
      <c r="K4679">
        <v>3.8978999999999999</v>
      </c>
      <c r="L4679">
        <v>2.0407999999999999</v>
      </c>
    </row>
    <row r="4680" spans="1:12" x14ac:dyDescent="0.25">
      <c r="A4680">
        <v>2303</v>
      </c>
      <c r="B4680" t="s">
        <v>10</v>
      </c>
      <c r="C4680" s="1">
        <v>43648</v>
      </c>
      <c r="D4680" s="2">
        <f t="shared" si="146"/>
        <v>2</v>
      </c>
      <c r="E4680" s="2">
        <f t="shared" si="147"/>
        <v>7</v>
      </c>
      <c r="F4680">
        <v>13.8299</v>
      </c>
      <c r="G4680">
        <v>13.8299</v>
      </c>
      <c r="H4680">
        <v>13.6378</v>
      </c>
      <c r="I4680">
        <v>13.6858</v>
      </c>
      <c r="J4680">
        <v>17391</v>
      </c>
      <c r="K4680">
        <v>-0.69930000000000003</v>
      </c>
      <c r="L4680">
        <v>1.4085000000000001</v>
      </c>
    </row>
    <row r="4681" spans="1:12" hidden="1" x14ac:dyDescent="0.25">
      <c r="A4681">
        <v>2330</v>
      </c>
      <c r="B4681" t="s">
        <v>11</v>
      </c>
      <c r="C4681" s="1">
        <v>43648</v>
      </c>
      <c r="D4681" s="2">
        <f t="shared" si="146"/>
        <v>2</v>
      </c>
      <c r="E4681" s="2">
        <f t="shared" si="147"/>
        <v>7</v>
      </c>
      <c r="F4681">
        <v>243.4701</v>
      </c>
      <c r="G4681">
        <v>243.958</v>
      </c>
      <c r="H4681">
        <v>241.51840000000001</v>
      </c>
      <c r="I4681">
        <v>242.98220000000001</v>
      </c>
      <c r="J4681">
        <v>26832</v>
      </c>
      <c r="K4681">
        <v>0.20100000000000001</v>
      </c>
      <c r="L4681">
        <v>1.0101</v>
      </c>
    </row>
    <row r="4682" spans="1:12" x14ac:dyDescent="0.25">
      <c r="A4682">
        <v>2303</v>
      </c>
      <c r="B4682" t="s">
        <v>10</v>
      </c>
      <c r="C4682" s="1">
        <v>43649</v>
      </c>
      <c r="D4682" s="2">
        <f t="shared" si="146"/>
        <v>3</v>
      </c>
      <c r="E4682" s="2">
        <f t="shared" si="147"/>
        <v>7</v>
      </c>
      <c r="F4682">
        <v>13.5898</v>
      </c>
      <c r="G4682">
        <v>13.6858</v>
      </c>
      <c r="H4682">
        <v>13.4457</v>
      </c>
      <c r="I4682">
        <v>13.4938</v>
      </c>
      <c r="J4682">
        <v>22614</v>
      </c>
      <c r="K4682">
        <v>-1.4135</v>
      </c>
      <c r="L4682">
        <v>1.7857000000000001</v>
      </c>
    </row>
    <row r="4683" spans="1:12" hidden="1" x14ac:dyDescent="0.25">
      <c r="A4683">
        <v>2330</v>
      </c>
      <c r="B4683" t="s">
        <v>11</v>
      </c>
      <c r="C4683" s="1">
        <v>43649</v>
      </c>
      <c r="D4683" s="2">
        <f t="shared" si="146"/>
        <v>3</v>
      </c>
      <c r="E4683" s="2">
        <f t="shared" si="147"/>
        <v>7</v>
      </c>
      <c r="F4683">
        <v>238.10300000000001</v>
      </c>
      <c r="G4683">
        <v>239.0788</v>
      </c>
      <c r="H4683">
        <v>236.15129999999999</v>
      </c>
      <c r="I4683">
        <v>236.63929999999999</v>
      </c>
      <c r="J4683">
        <v>29549</v>
      </c>
      <c r="K4683">
        <v>-2.6450999999999998</v>
      </c>
      <c r="L4683">
        <v>1.2397</v>
      </c>
    </row>
    <row r="4684" spans="1:12" x14ac:dyDescent="0.25">
      <c r="A4684">
        <v>2303</v>
      </c>
      <c r="B4684" t="s">
        <v>10</v>
      </c>
      <c r="C4684" s="1">
        <v>43650</v>
      </c>
      <c r="D4684" s="2">
        <f t="shared" si="146"/>
        <v>4</v>
      </c>
      <c r="E4684" s="2">
        <f t="shared" si="147"/>
        <v>7</v>
      </c>
      <c r="F4684">
        <v>13.5418</v>
      </c>
      <c r="G4684">
        <v>13.6378</v>
      </c>
      <c r="H4684">
        <v>13.4457</v>
      </c>
      <c r="I4684">
        <v>13.5898</v>
      </c>
      <c r="J4684">
        <v>12644</v>
      </c>
      <c r="K4684">
        <v>0.70920000000000005</v>
      </c>
      <c r="L4684">
        <v>1.4286000000000001</v>
      </c>
    </row>
    <row r="4685" spans="1:12" hidden="1" x14ac:dyDescent="0.25">
      <c r="A4685">
        <v>2330</v>
      </c>
      <c r="B4685" t="s">
        <v>11</v>
      </c>
      <c r="C4685" s="1">
        <v>43650</v>
      </c>
      <c r="D4685" s="2">
        <f t="shared" si="146"/>
        <v>4</v>
      </c>
      <c r="E4685" s="2">
        <f t="shared" si="147"/>
        <v>7</v>
      </c>
      <c r="F4685">
        <v>238.5909</v>
      </c>
      <c r="G4685">
        <v>239.0788</v>
      </c>
      <c r="H4685">
        <v>236.63929999999999</v>
      </c>
      <c r="I4685">
        <v>238.10300000000001</v>
      </c>
      <c r="J4685">
        <v>18691</v>
      </c>
      <c r="K4685">
        <v>0.61670000000000003</v>
      </c>
      <c r="L4685">
        <v>1.0308999999999999</v>
      </c>
    </row>
    <row r="4686" spans="1:12" x14ac:dyDescent="0.25">
      <c r="A4686">
        <v>2303</v>
      </c>
      <c r="B4686" t="s">
        <v>10</v>
      </c>
      <c r="C4686" s="1">
        <v>43651</v>
      </c>
      <c r="D4686" s="2">
        <f t="shared" si="146"/>
        <v>5</v>
      </c>
      <c r="E4686" s="2">
        <f t="shared" si="147"/>
        <v>7</v>
      </c>
      <c r="F4686">
        <v>13.4938</v>
      </c>
      <c r="G4686">
        <v>13.6378</v>
      </c>
      <c r="H4686">
        <v>13.3497</v>
      </c>
      <c r="I4686">
        <v>13.5418</v>
      </c>
      <c r="J4686">
        <v>20384</v>
      </c>
      <c r="K4686">
        <v>-0.35399999999999998</v>
      </c>
      <c r="L4686">
        <v>2.1583000000000001</v>
      </c>
    </row>
    <row r="4687" spans="1:12" hidden="1" x14ac:dyDescent="0.25">
      <c r="A4687">
        <v>2330</v>
      </c>
      <c r="B4687" t="s">
        <v>11</v>
      </c>
      <c r="C4687" s="1">
        <v>43651</v>
      </c>
      <c r="D4687" s="2">
        <f t="shared" si="146"/>
        <v>5</v>
      </c>
      <c r="E4687" s="2">
        <f t="shared" si="147"/>
        <v>7</v>
      </c>
      <c r="F4687">
        <v>238.5909</v>
      </c>
      <c r="G4687">
        <v>239.0788</v>
      </c>
      <c r="H4687">
        <v>235.6634</v>
      </c>
      <c r="I4687">
        <v>237.12719999999999</v>
      </c>
      <c r="J4687">
        <v>27317</v>
      </c>
      <c r="K4687">
        <v>-0.41070000000000001</v>
      </c>
      <c r="L4687">
        <v>1.4493</v>
      </c>
    </row>
    <row r="4688" spans="1:12" x14ac:dyDescent="0.25">
      <c r="A4688">
        <v>2303</v>
      </c>
      <c r="B4688" t="s">
        <v>10</v>
      </c>
      <c r="C4688" s="1">
        <v>43654</v>
      </c>
      <c r="D4688" s="2">
        <f t="shared" si="146"/>
        <v>1</v>
      </c>
      <c r="E4688" s="2">
        <f t="shared" si="147"/>
        <v>7</v>
      </c>
      <c r="F4688">
        <v>13.3977</v>
      </c>
      <c r="G4688">
        <v>13.4938</v>
      </c>
      <c r="H4688">
        <v>13.2537</v>
      </c>
      <c r="I4688">
        <v>13.3977</v>
      </c>
      <c r="J4688">
        <v>25191</v>
      </c>
      <c r="K4688">
        <v>-1.0694999999999999</v>
      </c>
      <c r="L4688">
        <v>1.8116000000000001</v>
      </c>
    </row>
    <row r="4689" spans="1:12" hidden="1" x14ac:dyDescent="0.25">
      <c r="A4689">
        <v>2330</v>
      </c>
      <c r="B4689" t="s">
        <v>11</v>
      </c>
      <c r="C4689" s="1">
        <v>43654</v>
      </c>
      <c r="D4689" s="2">
        <f t="shared" si="146"/>
        <v>1</v>
      </c>
      <c r="E4689" s="2">
        <f t="shared" si="147"/>
        <v>7</v>
      </c>
      <c r="F4689">
        <v>234.19970000000001</v>
      </c>
      <c r="G4689">
        <v>238.5909</v>
      </c>
      <c r="H4689">
        <v>234.19970000000001</v>
      </c>
      <c r="I4689">
        <v>236.63929999999999</v>
      </c>
      <c r="J4689">
        <v>29190</v>
      </c>
      <c r="K4689">
        <v>-0.20599999999999999</v>
      </c>
      <c r="L4689">
        <v>1.875</v>
      </c>
    </row>
    <row r="4690" spans="1:12" x14ac:dyDescent="0.25">
      <c r="A4690">
        <v>2303</v>
      </c>
      <c r="B4690" t="s">
        <v>10</v>
      </c>
      <c r="C4690" s="1">
        <v>43655</v>
      </c>
      <c r="D4690" s="2">
        <f t="shared" si="146"/>
        <v>2</v>
      </c>
      <c r="E4690" s="2">
        <f t="shared" si="147"/>
        <v>7</v>
      </c>
      <c r="F4690">
        <v>13.3977</v>
      </c>
      <c r="G4690">
        <v>13.5418</v>
      </c>
      <c r="H4690">
        <v>13.3017</v>
      </c>
      <c r="I4690">
        <v>13.4457</v>
      </c>
      <c r="J4690">
        <v>24138</v>
      </c>
      <c r="K4690">
        <v>0.35780000000000001</v>
      </c>
      <c r="L4690">
        <v>1.8050999999999999</v>
      </c>
    </row>
    <row r="4691" spans="1:12" hidden="1" x14ac:dyDescent="0.25">
      <c r="A4691">
        <v>2330</v>
      </c>
      <c r="B4691" t="s">
        <v>11</v>
      </c>
      <c r="C4691" s="1">
        <v>43655</v>
      </c>
      <c r="D4691" s="2">
        <f t="shared" si="146"/>
        <v>2</v>
      </c>
      <c r="E4691" s="2">
        <f t="shared" si="147"/>
        <v>7</v>
      </c>
      <c r="F4691">
        <v>235.6634</v>
      </c>
      <c r="G4691">
        <v>237.12719999999999</v>
      </c>
      <c r="H4691">
        <v>234.6876</v>
      </c>
      <c r="I4691">
        <v>236.15129999999999</v>
      </c>
      <c r="J4691">
        <v>16538</v>
      </c>
      <c r="K4691">
        <v>-0.2064</v>
      </c>
      <c r="L4691">
        <v>1.0395000000000001</v>
      </c>
    </row>
    <row r="4692" spans="1:12" x14ac:dyDescent="0.25">
      <c r="A4692">
        <v>2303</v>
      </c>
      <c r="B4692" t="s">
        <v>10</v>
      </c>
      <c r="C4692" s="1">
        <v>43656</v>
      </c>
      <c r="D4692" s="2">
        <f t="shared" si="146"/>
        <v>3</v>
      </c>
      <c r="E4692" s="2">
        <f t="shared" si="147"/>
        <v>7</v>
      </c>
      <c r="F4692">
        <v>13.5418</v>
      </c>
      <c r="G4692">
        <v>14.118</v>
      </c>
      <c r="H4692">
        <v>13.5418</v>
      </c>
      <c r="I4692">
        <v>14.07</v>
      </c>
      <c r="J4692">
        <v>61150</v>
      </c>
      <c r="K4692">
        <v>4.5382999999999996</v>
      </c>
      <c r="L4692">
        <v>4.2553000000000001</v>
      </c>
    </row>
    <row r="4693" spans="1:12" hidden="1" x14ac:dyDescent="0.25">
      <c r="A4693">
        <v>2330</v>
      </c>
      <c r="B4693" t="s">
        <v>11</v>
      </c>
      <c r="C4693" s="1">
        <v>43656</v>
      </c>
      <c r="D4693" s="2">
        <f t="shared" si="146"/>
        <v>3</v>
      </c>
      <c r="E4693" s="2">
        <f t="shared" si="147"/>
        <v>7</v>
      </c>
      <c r="F4693">
        <v>237.12719999999999</v>
      </c>
      <c r="G4693">
        <v>241.03049999999999</v>
      </c>
      <c r="H4693">
        <v>237.12719999999999</v>
      </c>
      <c r="I4693">
        <v>241.03049999999999</v>
      </c>
      <c r="J4693">
        <v>23812</v>
      </c>
      <c r="K4693">
        <v>2.0451000000000001</v>
      </c>
      <c r="L4693">
        <v>1.6460999999999999</v>
      </c>
    </row>
    <row r="4694" spans="1:12" x14ac:dyDescent="0.25">
      <c r="A4694">
        <v>2303</v>
      </c>
      <c r="B4694" t="s">
        <v>10</v>
      </c>
      <c r="C4694" s="1">
        <v>43657</v>
      </c>
      <c r="D4694" s="2">
        <f t="shared" si="146"/>
        <v>4</v>
      </c>
      <c r="E4694" s="2">
        <f t="shared" si="147"/>
        <v>7</v>
      </c>
      <c r="F4694">
        <v>14.118</v>
      </c>
      <c r="G4694">
        <v>14.4062</v>
      </c>
      <c r="H4694">
        <v>14.022</v>
      </c>
      <c r="I4694">
        <v>14.3581</v>
      </c>
      <c r="J4694">
        <v>94279</v>
      </c>
      <c r="K4694">
        <v>2.0270999999999999</v>
      </c>
      <c r="L4694">
        <v>2.7397</v>
      </c>
    </row>
    <row r="4695" spans="1:12" hidden="1" x14ac:dyDescent="0.25">
      <c r="A4695">
        <v>2330</v>
      </c>
      <c r="B4695" t="s">
        <v>11</v>
      </c>
      <c r="C4695" s="1">
        <v>43657</v>
      </c>
      <c r="D4695" s="2">
        <f t="shared" si="146"/>
        <v>4</v>
      </c>
      <c r="E4695" s="2">
        <f t="shared" si="147"/>
        <v>7</v>
      </c>
      <c r="F4695">
        <v>243.958</v>
      </c>
      <c r="G4695">
        <v>243.958</v>
      </c>
      <c r="H4695">
        <v>241.51840000000001</v>
      </c>
      <c r="I4695">
        <v>243.958</v>
      </c>
      <c r="J4695">
        <v>31296</v>
      </c>
      <c r="K4695">
        <v>1.2073</v>
      </c>
      <c r="L4695">
        <v>1.0101</v>
      </c>
    </row>
    <row r="4696" spans="1:12" x14ac:dyDescent="0.25">
      <c r="A4696">
        <v>2303</v>
      </c>
      <c r="B4696" t="s">
        <v>10</v>
      </c>
      <c r="C4696" s="1">
        <v>43658</v>
      </c>
      <c r="D4696" s="2">
        <f t="shared" si="146"/>
        <v>5</v>
      </c>
      <c r="E4696" s="2">
        <f t="shared" si="147"/>
        <v>7</v>
      </c>
      <c r="F4696">
        <v>14.2141</v>
      </c>
      <c r="G4696">
        <v>14.3101</v>
      </c>
      <c r="H4696">
        <v>14.022</v>
      </c>
      <c r="I4696">
        <v>14.022</v>
      </c>
      <c r="J4696">
        <v>62666</v>
      </c>
      <c r="K4696">
        <v>-2.3690000000000002</v>
      </c>
      <c r="L4696">
        <v>2.0548000000000002</v>
      </c>
    </row>
    <row r="4697" spans="1:12" hidden="1" x14ac:dyDescent="0.25">
      <c r="A4697">
        <v>2330</v>
      </c>
      <c r="B4697" t="s">
        <v>11</v>
      </c>
      <c r="C4697" s="1">
        <v>43658</v>
      </c>
      <c r="D4697" s="2">
        <f t="shared" si="146"/>
        <v>5</v>
      </c>
      <c r="E4697" s="2">
        <f t="shared" si="147"/>
        <v>7</v>
      </c>
      <c r="F4697">
        <v>245.90969999999999</v>
      </c>
      <c r="G4697">
        <v>245.90969999999999</v>
      </c>
      <c r="H4697">
        <v>243.4701</v>
      </c>
      <c r="I4697">
        <v>244.44589999999999</v>
      </c>
      <c r="J4697">
        <v>23868</v>
      </c>
      <c r="K4697">
        <v>0.19980000000000001</v>
      </c>
      <c r="L4697">
        <v>1.002</v>
      </c>
    </row>
    <row r="4698" spans="1:12" x14ac:dyDescent="0.25">
      <c r="A4698">
        <v>2303</v>
      </c>
      <c r="B4698" t="s">
        <v>10</v>
      </c>
      <c r="C4698" s="1">
        <v>43661</v>
      </c>
      <c r="D4698" s="2">
        <f t="shared" si="146"/>
        <v>1</v>
      </c>
      <c r="E4698" s="2">
        <f t="shared" si="147"/>
        <v>7</v>
      </c>
      <c r="F4698">
        <v>14.07</v>
      </c>
      <c r="G4698">
        <v>14.3101</v>
      </c>
      <c r="H4698">
        <v>13.9259</v>
      </c>
      <c r="I4698">
        <v>14.3101</v>
      </c>
      <c r="J4698">
        <v>62793</v>
      </c>
      <c r="K4698">
        <v>2.0339999999999998</v>
      </c>
      <c r="L4698">
        <v>2.7585999999999999</v>
      </c>
    </row>
    <row r="4699" spans="1:12" hidden="1" x14ac:dyDescent="0.25">
      <c r="A4699">
        <v>2330</v>
      </c>
      <c r="B4699" t="s">
        <v>11</v>
      </c>
      <c r="C4699" s="1">
        <v>43661</v>
      </c>
      <c r="D4699" s="2">
        <f t="shared" si="146"/>
        <v>1</v>
      </c>
      <c r="E4699" s="2">
        <f t="shared" si="147"/>
        <v>7</v>
      </c>
      <c r="F4699">
        <v>244.93379999999999</v>
      </c>
      <c r="G4699">
        <v>248.3492</v>
      </c>
      <c r="H4699">
        <v>243.4701</v>
      </c>
      <c r="I4699">
        <v>248.3492</v>
      </c>
      <c r="J4699">
        <v>34264</v>
      </c>
      <c r="K4699">
        <v>1.5842000000000001</v>
      </c>
      <c r="L4699">
        <v>2.004</v>
      </c>
    </row>
    <row r="4700" spans="1:12" x14ac:dyDescent="0.25">
      <c r="A4700">
        <v>2303</v>
      </c>
      <c r="B4700" t="s">
        <v>10</v>
      </c>
      <c r="C4700" s="1">
        <v>43662</v>
      </c>
      <c r="D4700" s="2">
        <f t="shared" si="146"/>
        <v>2</v>
      </c>
      <c r="E4700" s="2">
        <f t="shared" si="147"/>
        <v>7</v>
      </c>
      <c r="F4700">
        <v>14.35</v>
      </c>
      <c r="G4700">
        <v>14.35</v>
      </c>
      <c r="H4700">
        <v>13.95</v>
      </c>
      <c r="I4700">
        <v>14</v>
      </c>
      <c r="J4700">
        <v>66174</v>
      </c>
      <c r="K4700">
        <v>-2.1032000000000002</v>
      </c>
      <c r="L4700">
        <v>2.8673999999999999</v>
      </c>
    </row>
    <row r="4701" spans="1:12" hidden="1" x14ac:dyDescent="0.25">
      <c r="A4701">
        <v>2330</v>
      </c>
      <c r="B4701" t="s">
        <v>11</v>
      </c>
      <c r="C4701" s="1">
        <v>43662</v>
      </c>
      <c r="D4701" s="2">
        <f t="shared" si="146"/>
        <v>2</v>
      </c>
      <c r="E4701" s="2">
        <f t="shared" si="147"/>
        <v>7</v>
      </c>
      <c r="F4701">
        <v>247.8613</v>
      </c>
      <c r="G4701">
        <v>250.30090000000001</v>
      </c>
      <c r="H4701">
        <v>247.3734</v>
      </c>
      <c r="I4701">
        <v>249.81299999999999</v>
      </c>
      <c r="J4701">
        <v>26141</v>
      </c>
      <c r="K4701">
        <v>0.5877</v>
      </c>
      <c r="L4701">
        <v>1.1834</v>
      </c>
    </row>
    <row r="4702" spans="1:12" x14ac:dyDescent="0.25">
      <c r="A4702">
        <v>2303</v>
      </c>
      <c r="B4702" t="s">
        <v>10</v>
      </c>
      <c r="C4702" s="1">
        <v>43663</v>
      </c>
      <c r="D4702" s="2">
        <f t="shared" si="146"/>
        <v>3</v>
      </c>
      <c r="E4702" s="2">
        <f t="shared" si="147"/>
        <v>7</v>
      </c>
      <c r="F4702">
        <v>13.9</v>
      </c>
      <c r="G4702">
        <v>13.95</v>
      </c>
      <c r="H4702">
        <v>13.75</v>
      </c>
      <c r="I4702">
        <v>13.75</v>
      </c>
      <c r="J4702">
        <v>36690</v>
      </c>
      <c r="K4702">
        <v>-1.8019000000000001</v>
      </c>
      <c r="L4702">
        <v>1.4544999999999999</v>
      </c>
    </row>
    <row r="4703" spans="1:12" hidden="1" x14ac:dyDescent="0.25">
      <c r="A4703">
        <v>2330</v>
      </c>
      <c r="B4703" t="s">
        <v>11</v>
      </c>
      <c r="C4703" s="1">
        <v>43663</v>
      </c>
      <c r="D4703" s="2">
        <f t="shared" si="146"/>
        <v>3</v>
      </c>
      <c r="E4703" s="2">
        <f t="shared" si="147"/>
        <v>7</v>
      </c>
      <c r="F4703">
        <v>247.8613</v>
      </c>
      <c r="G4703">
        <v>247.8613</v>
      </c>
      <c r="H4703">
        <v>244.93379999999999</v>
      </c>
      <c r="I4703">
        <v>245.90969999999999</v>
      </c>
      <c r="J4703">
        <v>34346</v>
      </c>
      <c r="K4703">
        <v>-1.5748</v>
      </c>
      <c r="L4703">
        <v>1.1952</v>
      </c>
    </row>
    <row r="4704" spans="1:12" x14ac:dyDescent="0.25">
      <c r="A4704">
        <v>2303</v>
      </c>
      <c r="B4704" t="s">
        <v>10</v>
      </c>
      <c r="C4704" s="1">
        <v>43664</v>
      </c>
      <c r="D4704" s="2">
        <f t="shared" si="146"/>
        <v>4</v>
      </c>
      <c r="E4704" s="2">
        <f t="shared" si="147"/>
        <v>7</v>
      </c>
      <c r="F4704">
        <v>13.8</v>
      </c>
      <c r="G4704">
        <v>13.9</v>
      </c>
      <c r="H4704">
        <v>13.75</v>
      </c>
      <c r="I4704">
        <v>13.8</v>
      </c>
      <c r="J4704">
        <v>20428</v>
      </c>
      <c r="K4704">
        <v>0.36299999999999999</v>
      </c>
      <c r="L4704">
        <v>0</v>
      </c>
    </row>
    <row r="4705" spans="1:12" hidden="1" x14ac:dyDescent="0.25">
      <c r="A4705">
        <v>2330</v>
      </c>
      <c r="B4705" t="s">
        <v>11</v>
      </c>
      <c r="C4705" s="1">
        <v>43664</v>
      </c>
      <c r="D4705" s="2">
        <f t="shared" si="146"/>
        <v>4</v>
      </c>
      <c r="E4705" s="2">
        <f t="shared" si="147"/>
        <v>7</v>
      </c>
      <c r="F4705">
        <v>245.90969999999999</v>
      </c>
      <c r="G4705">
        <v>248.3492</v>
      </c>
      <c r="H4705">
        <v>245.42169999999999</v>
      </c>
      <c r="I4705">
        <v>247.8613</v>
      </c>
      <c r="J4705">
        <v>20908</v>
      </c>
      <c r="K4705">
        <v>0.79049999999999998</v>
      </c>
      <c r="L4705">
        <v>0</v>
      </c>
    </row>
    <row r="4706" spans="1:12" x14ac:dyDescent="0.25">
      <c r="A4706">
        <v>2303</v>
      </c>
      <c r="B4706" t="s">
        <v>10</v>
      </c>
      <c r="C4706" s="1">
        <v>43665</v>
      </c>
      <c r="D4706" s="2">
        <f t="shared" si="146"/>
        <v>5</v>
      </c>
      <c r="E4706" s="2">
        <f t="shared" si="147"/>
        <v>7</v>
      </c>
      <c r="F4706">
        <v>13.9</v>
      </c>
      <c r="G4706">
        <v>14.05</v>
      </c>
      <c r="H4706">
        <v>13.8</v>
      </c>
      <c r="I4706">
        <v>13.8</v>
      </c>
      <c r="J4706">
        <v>27177</v>
      </c>
      <c r="K4706">
        <v>0</v>
      </c>
      <c r="L4706">
        <v>1.8116000000000001</v>
      </c>
    </row>
    <row r="4707" spans="1:12" hidden="1" x14ac:dyDescent="0.25">
      <c r="A4707">
        <v>2330</v>
      </c>
      <c r="B4707" t="s">
        <v>11</v>
      </c>
      <c r="C4707" s="1">
        <v>43665</v>
      </c>
      <c r="D4707" s="2">
        <f t="shared" si="146"/>
        <v>5</v>
      </c>
      <c r="E4707" s="2">
        <f t="shared" si="147"/>
        <v>7</v>
      </c>
      <c r="F4707">
        <v>253.22839999999999</v>
      </c>
      <c r="G4707">
        <v>254.69220000000001</v>
      </c>
      <c r="H4707">
        <v>252.7405</v>
      </c>
      <c r="I4707">
        <v>252.7405</v>
      </c>
      <c r="J4707">
        <v>59879</v>
      </c>
      <c r="K4707">
        <v>1.9494</v>
      </c>
      <c r="L4707">
        <v>0.7722</v>
      </c>
    </row>
    <row r="4708" spans="1:12" x14ac:dyDescent="0.25">
      <c r="A4708">
        <v>2303</v>
      </c>
      <c r="B4708" t="s">
        <v>10</v>
      </c>
      <c r="C4708" s="1">
        <v>43668</v>
      </c>
      <c r="D4708" s="2">
        <f t="shared" si="146"/>
        <v>1</v>
      </c>
      <c r="E4708" s="2">
        <f t="shared" si="147"/>
        <v>7</v>
      </c>
      <c r="F4708">
        <v>13.75</v>
      </c>
      <c r="G4708">
        <v>13.85</v>
      </c>
      <c r="H4708">
        <v>13.55</v>
      </c>
      <c r="I4708">
        <v>13.6</v>
      </c>
      <c r="J4708">
        <v>32142</v>
      </c>
      <c r="K4708">
        <v>-1.4599</v>
      </c>
      <c r="L4708">
        <v>2.214</v>
      </c>
    </row>
    <row r="4709" spans="1:12" hidden="1" x14ac:dyDescent="0.25">
      <c r="A4709">
        <v>2330</v>
      </c>
      <c r="B4709" t="s">
        <v>11</v>
      </c>
      <c r="C4709" s="1">
        <v>43668</v>
      </c>
      <c r="D4709" s="2">
        <f t="shared" si="146"/>
        <v>1</v>
      </c>
      <c r="E4709" s="2">
        <f t="shared" si="147"/>
        <v>7</v>
      </c>
      <c r="F4709">
        <v>256.6438</v>
      </c>
      <c r="G4709">
        <v>257.61959999999999</v>
      </c>
      <c r="H4709">
        <v>255.66800000000001</v>
      </c>
      <c r="I4709">
        <v>257.61959999999999</v>
      </c>
      <c r="J4709">
        <v>31863</v>
      </c>
      <c r="K4709">
        <v>1.9120999999999999</v>
      </c>
      <c r="L4709">
        <v>0.76339999999999997</v>
      </c>
    </row>
    <row r="4710" spans="1:12" x14ac:dyDescent="0.25">
      <c r="A4710">
        <v>2303</v>
      </c>
      <c r="B4710" t="s">
        <v>10</v>
      </c>
      <c r="C4710" s="1">
        <v>43669</v>
      </c>
      <c r="D4710" s="2">
        <f t="shared" si="146"/>
        <v>2</v>
      </c>
      <c r="E4710" s="2">
        <f t="shared" si="147"/>
        <v>7</v>
      </c>
      <c r="F4710">
        <v>13.6</v>
      </c>
      <c r="G4710">
        <v>13.75</v>
      </c>
      <c r="H4710">
        <v>13.55</v>
      </c>
      <c r="I4710">
        <v>13.6</v>
      </c>
      <c r="J4710">
        <v>29467</v>
      </c>
      <c r="K4710">
        <v>0</v>
      </c>
      <c r="L4710">
        <v>1.476</v>
      </c>
    </row>
    <row r="4711" spans="1:12" hidden="1" x14ac:dyDescent="0.25">
      <c r="A4711">
        <v>2330</v>
      </c>
      <c r="B4711" t="s">
        <v>11</v>
      </c>
      <c r="C4711" s="1">
        <v>43669</v>
      </c>
      <c r="D4711" s="2">
        <f t="shared" si="146"/>
        <v>2</v>
      </c>
      <c r="E4711" s="2">
        <f t="shared" si="147"/>
        <v>7</v>
      </c>
      <c r="F4711">
        <v>259.08339999999998</v>
      </c>
      <c r="G4711">
        <v>260.05919999999998</v>
      </c>
      <c r="H4711">
        <v>256.15589999999997</v>
      </c>
      <c r="I4711">
        <v>257.61959999999999</v>
      </c>
      <c r="J4711">
        <v>29273</v>
      </c>
      <c r="K4711">
        <v>0</v>
      </c>
      <c r="L4711">
        <v>1.5238</v>
      </c>
    </row>
    <row r="4712" spans="1:12" x14ac:dyDescent="0.25">
      <c r="A4712">
        <v>2303</v>
      </c>
      <c r="B4712" t="s">
        <v>10</v>
      </c>
      <c r="C4712" s="1">
        <v>43670</v>
      </c>
      <c r="D4712" s="2">
        <f t="shared" si="146"/>
        <v>3</v>
      </c>
      <c r="E4712" s="2">
        <f t="shared" si="147"/>
        <v>7</v>
      </c>
      <c r="F4712">
        <v>13.7</v>
      </c>
      <c r="G4712">
        <v>13.9</v>
      </c>
      <c r="H4712">
        <v>13.6</v>
      </c>
      <c r="I4712">
        <v>13.85</v>
      </c>
      <c r="J4712">
        <v>36353</v>
      </c>
      <c r="K4712">
        <v>1.8214999999999999</v>
      </c>
      <c r="L4712">
        <v>2.2059000000000002</v>
      </c>
    </row>
    <row r="4713" spans="1:12" hidden="1" x14ac:dyDescent="0.25">
      <c r="A4713">
        <v>2330</v>
      </c>
      <c r="B4713" t="s">
        <v>11</v>
      </c>
      <c r="C4713" s="1">
        <v>43670</v>
      </c>
      <c r="D4713" s="2">
        <f t="shared" si="146"/>
        <v>3</v>
      </c>
      <c r="E4713" s="2">
        <f t="shared" si="147"/>
        <v>7</v>
      </c>
      <c r="F4713">
        <v>260.05919999999998</v>
      </c>
      <c r="G4713">
        <v>260.05919999999998</v>
      </c>
      <c r="H4713">
        <v>256.6438</v>
      </c>
      <c r="I4713">
        <v>258.59550000000002</v>
      </c>
      <c r="J4713">
        <v>24511</v>
      </c>
      <c r="K4713">
        <v>0.37809999999999999</v>
      </c>
      <c r="L4713">
        <v>1.3308</v>
      </c>
    </row>
    <row r="4714" spans="1:12" x14ac:dyDescent="0.25">
      <c r="A4714">
        <v>2303</v>
      </c>
      <c r="B4714" t="s">
        <v>10</v>
      </c>
      <c r="C4714" s="1">
        <v>43671</v>
      </c>
      <c r="D4714" s="2">
        <f t="shared" si="146"/>
        <v>4</v>
      </c>
      <c r="E4714" s="2">
        <f t="shared" si="147"/>
        <v>7</v>
      </c>
      <c r="F4714">
        <v>13.85</v>
      </c>
      <c r="G4714">
        <v>13.95</v>
      </c>
      <c r="H4714">
        <v>13.4</v>
      </c>
      <c r="I4714">
        <v>13.55</v>
      </c>
      <c r="J4714">
        <v>91752</v>
      </c>
      <c r="K4714">
        <v>-2.1899000000000002</v>
      </c>
      <c r="L4714">
        <v>4.1044999999999998</v>
      </c>
    </row>
    <row r="4715" spans="1:12" hidden="1" x14ac:dyDescent="0.25">
      <c r="A4715">
        <v>2330</v>
      </c>
      <c r="B4715" t="s">
        <v>11</v>
      </c>
      <c r="C4715" s="1">
        <v>43671</v>
      </c>
      <c r="D4715" s="2">
        <f t="shared" si="146"/>
        <v>4</v>
      </c>
      <c r="E4715" s="2">
        <f t="shared" si="147"/>
        <v>7</v>
      </c>
      <c r="F4715">
        <v>257.61959999999999</v>
      </c>
      <c r="G4715">
        <v>258.59550000000002</v>
      </c>
      <c r="H4715">
        <v>255.18010000000001</v>
      </c>
      <c r="I4715">
        <v>258.59550000000002</v>
      </c>
      <c r="J4715">
        <v>30698</v>
      </c>
      <c r="K4715">
        <v>0</v>
      </c>
      <c r="L4715">
        <v>1.3384</v>
      </c>
    </row>
    <row r="4716" spans="1:12" x14ac:dyDescent="0.25">
      <c r="A4716">
        <v>2303</v>
      </c>
      <c r="B4716" t="s">
        <v>10</v>
      </c>
      <c r="C4716" s="1">
        <v>43672</v>
      </c>
      <c r="D4716" s="2">
        <f t="shared" si="146"/>
        <v>5</v>
      </c>
      <c r="E4716" s="2">
        <f t="shared" si="147"/>
        <v>7</v>
      </c>
      <c r="F4716">
        <v>13.55</v>
      </c>
      <c r="G4716">
        <v>13.55</v>
      </c>
      <c r="H4716">
        <v>13.2</v>
      </c>
      <c r="I4716">
        <v>13.2</v>
      </c>
      <c r="J4716">
        <v>68165</v>
      </c>
      <c r="K4716">
        <v>-2.617</v>
      </c>
      <c r="L4716">
        <v>2.6515</v>
      </c>
    </row>
    <row r="4717" spans="1:12" hidden="1" x14ac:dyDescent="0.25">
      <c r="A4717">
        <v>2330</v>
      </c>
      <c r="B4717" t="s">
        <v>11</v>
      </c>
      <c r="C4717" s="1">
        <v>43672</v>
      </c>
      <c r="D4717" s="2">
        <f t="shared" si="146"/>
        <v>5</v>
      </c>
      <c r="E4717" s="2">
        <f t="shared" si="147"/>
        <v>7</v>
      </c>
      <c r="F4717">
        <v>254.69220000000001</v>
      </c>
      <c r="G4717">
        <v>256.15589999999997</v>
      </c>
      <c r="H4717">
        <v>254.69220000000001</v>
      </c>
      <c r="I4717">
        <v>254.69220000000001</v>
      </c>
      <c r="J4717">
        <v>20768</v>
      </c>
      <c r="K4717">
        <v>-1.5208999999999999</v>
      </c>
      <c r="L4717">
        <v>0.57469999999999999</v>
      </c>
    </row>
    <row r="4718" spans="1:12" x14ac:dyDescent="0.25">
      <c r="A4718">
        <v>2303</v>
      </c>
      <c r="B4718" t="s">
        <v>10</v>
      </c>
      <c r="C4718" s="1">
        <v>43675</v>
      </c>
      <c r="D4718" s="2">
        <f t="shared" si="146"/>
        <v>1</v>
      </c>
      <c r="E4718" s="2">
        <f t="shared" si="147"/>
        <v>7</v>
      </c>
      <c r="F4718">
        <v>13.3</v>
      </c>
      <c r="G4718">
        <v>13.45</v>
      </c>
      <c r="H4718">
        <v>13.3</v>
      </c>
      <c r="I4718">
        <v>13.4</v>
      </c>
      <c r="J4718">
        <v>23290</v>
      </c>
      <c r="K4718">
        <v>1.5038</v>
      </c>
      <c r="L4718">
        <v>1.1277999999999999</v>
      </c>
    </row>
    <row r="4719" spans="1:12" hidden="1" x14ac:dyDescent="0.25">
      <c r="A4719">
        <v>2330</v>
      </c>
      <c r="B4719" t="s">
        <v>11</v>
      </c>
      <c r="C4719" s="1">
        <v>43675</v>
      </c>
      <c r="D4719" s="2">
        <f t="shared" si="146"/>
        <v>1</v>
      </c>
      <c r="E4719" s="2">
        <f t="shared" si="147"/>
        <v>7</v>
      </c>
      <c r="F4719">
        <v>253.71629999999999</v>
      </c>
      <c r="G4719">
        <v>255.66800000000001</v>
      </c>
      <c r="H4719">
        <v>253.22839999999999</v>
      </c>
      <c r="I4719">
        <v>254.69220000000001</v>
      </c>
      <c r="J4719">
        <v>18473</v>
      </c>
      <c r="K4719">
        <v>0</v>
      </c>
      <c r="L4719">
        <v>0.96340000000000003</v>
      </c>
    </row>
    <row r="4720" spans="1:12" x14ac:dyDescent="0.25">
      <c r="A4720">
        <v>2303</v>
      </c>
      <c r="B4720" t="s">
        <v>10</v>
      </c>
      <c r="C4720" s="1">
        <v>43676</v>
      </c>
      <c r="D4720" s="2">
        <f t="shared" si="146"/>
        <v>2</v>
      </c>
      <c r="E4720" s="2">
        <f t="shared" si="147"/>
        <v>7</v>
      </c>
      <c r="F4720">
        <v>13.5</v>
      </c>
      <c r="G4720">
        <v>13.75</v>
      </c>
      <c r="H4720">
        <v>13.45</v>
      </c>
      <c r="I4720">
        <v>13.6</v>
      </c>
      <c r="J4720">
        <v>40638</v>
      </c>
      <c r="K4720">
        <v>1.4815</v>
      </c>
      <c r="L4720">
        <v>2.2305000000000001</v>
      </c>
    </row>
    <row r="4721" spans="1:12" hidden="1" x14ac:dyDescent="0.25">
      <c r="A4721">
        <v>2330</v>
      </c>
      <c r="B4721" t="s">
        <v>11</v>
      </c>
      <c r="C4721" s="1">
        <v>43676</v>
      </c>
      <c r="D4721" s="2">
        <f t="shared" si="146"/>
        <v>2</v>
      </c>
      <c r="E4721" s="2">
        <f t="shared" si="147"/>
        <v>7</v>
      </c>
      <c r="F4721">
        <v>256.15589999999997</v>
      </c>
      <c r="G4721">
        <v>256.6438</v>
      </c>
      <c r="H4721">
        <v>253.71629999999999</v>
      </c>
      <c r="I4721">
        <v>253.71629999999999</v>
      </c>
      <c r="J4721">
        <v>22895</v>
      </c>
      <c r="K4721">
        <v>-0.38390000000000002</v>
      </c>
      <c r="L4721">
        <v>1.1537999999999999</v>
      </c>
    </row>
    <row r="4722" spans="1:12" x14ac:dyDescent="0.25">
      <c r="A4722">
        <v>2303</v>
      </c>
      <c r="B4722" t="s">
        <v>10</v>
      </c>
      <c r="C4722" s="1">
        <v>43677</v>
      </c>
      <c r="D4722" s="2">
        <f t="shared" si="146"/>
        <v>3</v>
      </c>
      <c r="E4722" s="2">
        <f t="shared" si="147"/>
        <v>7</v>
      </c>
      <c r="F4722">
        <v>13.7</v>
      </c>
      <c r="G4722">
        <v>13.9</v>
      </c>
      <c r="H4722">
        <v>13.65</v>
      </c>
      <c r="I4722">
        <v>13.8</v>
      </c>
      <c r="J4722">
        <v>56482</v>
      </c>
      <c r="K4722">
        <v>1.4599</v>
      </c>
      <c r="L4722">
        <v>1.8314999999999999</v>
      </c>
    </row>
    <row r="4723" spans="1:12" hidden="1" x14ac:dyDescent="0.25">
      <c r="A4723">
        <v>2330</v>
      </c>
      <c r="B4723" t="s">
        <v>11</v>
      </c>
      <c r="C4723" s="1">
        <v>43677</v>
      </c>
      <c r="D4723" s="2">
        <f t="shared" si="146"/>
        <v>3</v>
      </c>
      <c r="E4723" s="2">
        <f t="shared" si="147"/>
        <v>7</v>
      </c>
      <c r="F4723">
        <v>253.71629999999999</v>
      </c>
      <c r="G4723">
        <v>253.71629999999999</v>
      </c>
      <c r="H4723">
        <v>250.78880000000001</v>
      </c>
      <c r="I4723">
        <v>253.22839999999999</v>
      </c>
      <c r="J4723">
        <v>36365</v>
      </c>
      <c r="K4723">
        <v>-0.1925</v>
      </c>
      <c r="L4723">
        <v>1.1673</v>
      </c>
    </row>
    <row r="4724" spans="1:12" x14ac:dyDescent="0.25">
      <c r="A4724">
        <v>2303</v>
      </c>
      <c r="B4724" t="s">
        <v>10</v>
      </c>
      <c r="C4724" s="1">
        <v>43678</v>
      </c>
      <c r="D4724" s="2">
        <f t="shared" si="146"/>
        <v>4</v>
      </c>
      <c r="E4724" s="2">
        <f t="shared" si="147"/>
        <v>8</v>
      </c>
      <c r="F4724">
        <v>13.65</v>
      </c>
      <c r="G4724">
        <v>13.65</v>
      </c>
      <c r="H4724">
        <v>13.3</v>
      </c>
      <c r="I4724">
        <v>13.4</v>
      </c>
      <c r="J4724">
        <v>38617</v>
      </c>
      <c r="K4724">
        <v>-2.9413999999999998</v>
      </c>
      <c r="L4724">
        <v>2.6316000000000002</v>
      </c>
    </row>
    <row r="4725" spans="1:12" hidden="1" x14ac:dyDescent="0.25">
      <c r="A4725">
        <v>2330</v>
      </c>
      <c r="B4725" t="s">
        <v>11</v>
      </c>
      <c r="C4725" s="1">
        <v>43678</v>
      </c>
      <c r="D4725" s="2">
        <f t="shared" si="146"/>
        <v>4</v>
      </c>
      <c r="E4725" s="2">
        <f t="shared" si="147"/>
        <v>8</v>
      </c>
      <c r="F4725">
        <v>251.27670000000001</v>
      </c>
      <c r="G4725">
        <v>251.27670000000001</v>
      </c>
      <c r="H4725">
        <v>249.32509999999999</v>
      </c>
      <c r="I4725">
        <v>250.30090000000001</v>
      </c>
      <c r="J4725">
        <v>30107</v>
      </c>
      <c r="K4725">
        <v>-1.1628000000000001</v>
      </c>
      <c r="L4725">
        <v>0.78280000000000005</v>
      </c>
    </row>
    <row r="4726" spans="1:12" x14ac:dyDescent="0.25">
      <c r="A4726">
        <v>2303</v>
      </c>
      <c r="B4726" t="s">
        <v>10</v>
      </c>
      <c r="C4726" s="1">
        <v>43679</v>
      </c>
      <c r="D4726" s="2">
        <f t="shared" si="146"/>
        <v>5</v>
      </c>
      <c r="E4726" s="2">
        <f t="shared" si="147"/>
        <v>8</v>
      </c>
      <c r="F4726">
        <v>13.15</v>
      </c>
      <c r="G4726">
        <v>13.35</v>
      </c>
      <c r="H4726">
        <v>13.05</v>
      </c>
      <c r="I4726">
        <v>13.35</v>
      </c>
      <c r="J4726">
        <v>45049</v>
      </c>
      <c r="K4726">
        <v>-0.37380000000000002</v>
      </c>
      <c r="L4726">
        <v>2.2989000000000002</v>
      </c>
    </row>
    <row r="4727" spans="1:12" hidden="1" x14ac:dyDescent="0.25">
      <c r="A4727">
        <v>2330</v>
      </c>
      <c r="B4727" t="s">
        <v>11</v>
      </c>
      <c r="C4727" s="1">
        <v>43679</v>
      </c>
      <c r="D4727" s="2">
        <f t="shared" si="146"/>
        <v>5</v>
      </c>
      <c r="E4727" s="2">
        <f t="shared" si="147"/>
        <v>8</v>
      </c>
      <c r="F4727">
        <v>245.90969999999999</v>
      </c>
      <c r="G4727">
        <v>247.3734</v>
      </c>
      <c r="H4727">
        <v>244.44589999999999</v>
      </c>
      <c r="I4727">
        <v>245.42169999999999</v>
      </c>
      <c r="J4727">
        <v>54165</v>
      </c>
      <c r="K4727">
        <v>-1.9685999999999999</v>
      </c>
      <c r="L4727">
        <v>1.1976</v>
      </c>
    </row>
    <row r="4728" spans="1:12" x14ac:dyDescent="0.25">
      <c r="A4728">
        <v>2303</v>
      </c>
      <c r="B4728" t="s">
        <v>10</v>
      </c>
      <c r="C4728" s="1">
        <v>43682</v>
      </c>
      <c r="D4728" s="2">
        <f t="shared" si="146"/>
        <v>1</v>
      </c>
      <c r="E4728" s="2">
        <f t="shared" si="147"/>
        <v>8</v>
      </c>
      <c r="F4728">
        <v>13.1</v>
      </c>
      <c r="G4728">
        <v>13.2</v>
      </c>
      <c r="H4728">
        <v>13</v>
      </c>
      <c r="I4728">
        <v>13.1</v>
      </c>
      <c r="J4728">
        <v>40930</v>
      </c>
      <c r="K4728">
        <v>-1.8904000000000001</v>
      </c>
      <c r="L4728">
        <v>1.5385</v>
      </c>
    </row>
    <row r="4729" spans="1:12" hidden="1" x14ac:dyDescent="0.25">
      <c r="A4729">
        <v>2330</v>
      </c>
      <c r="B4729" t="s">
        <v>11</v>
      </c>
      <c r="C4729" s="1">
        <v>43682</v>
      </c>
      <c r="D4729" s="2">
        <f t="shared" si="146"/>
        <v>1</v>
      </c>
      <c r="E4729" s="2">
        <f t="shared" si="147"/>
        <v>8</v>
      </c>
      <c r="F4729">
        <v>244.93379999999999</v>
      </c>
      <c r="G4729">
        <v>245.90969999999999</v>
      </c>
      <c r="H4729">
        <v>239.5668</v>
      </c>
      <c r="I4729">
        <v>240.54259999999999</v>
      </c>
      <c r="J4729">
        <v>52835</v>
      </c>
      <c r="K4729">
        <v>-2.0081000000000002</v>
      </c>
      <c r="L4729">
        <v>2.6476999999999999</v>
      </c>
    </row>
    <row r="4730" spans="1:12" x14ac:dyDescent="0.25">
      <c r="A4730">
        <v>2303</v>
      </c>
      <c r="B4730" t="s">
        <v>10</v>
      </c>
      <c r="C4730" s="1">
        <v>43683</v>
      </c>
      <c r="D4730" s="2">
        <f t="shared" si="146"/>
        <v>2</v>
      </c>
      <c r="E4730" s="2">
        <f t="shared" si="147"/>
        <v>8</v>
      </c>
      <c r="F4730">
        <v>12.8</v>
      </c>
      <c r="G4730">
        <v>13.1</v>
      </c>
      <c r="H4730">
        <v>12.7</v>
      </c>
      <c r="I4730">
        <v>13</v>
      </c>
      <c r="J4730">
        <v>39315</v>
      </c>
      <c r="K4730">
        <v>-0.76629999999999998</v>
      </c>
      <c r="L4730">
        <v>3.1496</v>
      </c>
    </row>
    <row r="4731" spans="1:12" hidden="1" x14ac:dyDescent="0.25">
      <c r="A4731">
        <v>2330</v>
      </c>
      <c r="B4731" t="s">
        <v>11</v>
      </c>
      <c r="C4731" s="1">
        <v>43683</v>
      </c>
      <c r="D4731" s="2">
        <f t="shared" si="146"/>
        <v>2</v>
      </c>
      <c r="E4731" s="2">
        <f t="shared" si="147"/>
        <v>8</v>
      </c>
      <c r="F4731">
        <v>234.19970000000001</v>
      </c>
      <c r="G4731">
        <v>243.958</v>
      </c>
      <c r="H4731">
        <v>234.19970000000001</v>
      </c>
      <c r="I4731">
        <v>242.49430000000001</v>
      </c>
      <c r="J4731">
        <v>58916</v>
      </c>
      <c r="K4731">
        <v>0.80810000000000004</v>
      </c>
      <c r="L4731">
        <v>4.1666999999999996</v>
      </c>
    </row>
    <row r="4732" spans="1:12" x14ac:dyDescent="0.25">
      <c r="A4732">
        <v>2303</v>
      </c>
      <c r="B4732" t="s">
        <v>10</v>
      </c>
      <c r="C4732" s="1">
        <v>43684</v>
      </c>
      <c r="D4732" s="2">
        <f t="shared" si="146"/>
        <v>3</v>
      </c>
      <c r="E4732" s="2">
        <f t="shared" si="147"/>
        <v>8</v>
      </c>
      <c r="F4732">
        <v>13.05</v>
      </c>
      <c r="G4732">
        <v>13.2</v>
      </c>
      <c r="H4732">
        <v>13</v>
      </c>
      <c r="I4732">
        <v>13.1</v>
      </c>
      <c r="J4732">
        <v>32109</v>
      </c>
      <c r="K4732">
        <v>0.76629999999999998</v>
      </c>
      <c r="L4732">
        <v>1.5385</v>
      </c>
    </row>
    <row r="4733" spans="1:12" hidden="1" x14ac:dyDescent="0.25">
      <c r="A4733">
        <v>2330</v>
      </c>
      <c r="B4733" t="s">
        <v>11</v>
      </c>
      <c r="C4733" s="1">
        <v>43684</v>
      </c>
      <c r="D4733" s="2">
        <f t="shared" si="146"/>
        <v>3</v>
      </c>
      <c r="E4733" s="2">
        <f t="shared" si="147"/>
        <v>8</v>
      </c>
      <c r="F4733">
        <v>243.958</v>
      </c>
      <c r="G4733">
        <v>244.44589999999999</v>
      </c>
      <c r="H4733">
        <v>240.54259999999999</v>
      </c>
      <c r="I4733">
        <v>242.00630000000001</v>
      </c>
      <c r="J4733">
        <v>29435</v>
      </c>
      <c r="K4733">
        <v>-0.2014</v>
      </c>
      <c r="L4733">
        <v>1.6227</v>
      </c>
    </row>
    <row r="4734" spans="1:12" x14ac:dyDescent="0.25">
      <c r="A4734">
        <v>2303</v>
      </c>
      <c r="B4734" t="s">
        <v>10</v>
      </c>
      <c r="C4734" s="1">
        <v>43685</v>
      </c>
      <c r="D4734" s="2">
        <f t="shared" si="146"/>
        <v>4</v>
      </c>
      <c r="E4734" s="2">
        <f t="shared" si="147"/>
        <v>8</v>
      </c>
      <c r="F4734">
        <v>13.1</v>
      </c>
      <c r="G4734">
        <v>13.35</v>
      </c>
      <c r="H4734">
        <v>13.05</v>
      </c>
      <c r="I4734">
        <v>13.3</v>
      </c>
      <c r="J4734">
        <v>27796</v>
      </c>
      <c r="K4734">
        <v>1.5152000000000001</v>
      </c>
      <c r="L4734">
        <v>2.2989000000000002</v>
      </c>
    </row>
    <row r="4735" spans="1:12" hidden="1" x14ac:dyDescent="0.25">
      <c r="A4735">
        <v>2330</v>
      </c>
      <c r="B4735" t="s">
        <v>11</v>
      </c>
      <c r="C4735" s="1">
        <v>43685</v>
      </c>
      <c r="D4735" s="2">
        <f t="shared" si="146"/>
        <v>4</v>
      </c>
      <c r="E4735" s="2">
        <f t="shared" si="147"/>
        <v>8</v>
      </c>
      <c r="F4735">
        <v>242.00630000000001</v>
      </c>
      <c r="G4735">
        <v>247.8613</v>
      </c>
      <c r="H4735">
        <v>242.00630000000001</v>
      </c>
      <c r="I4735">
        <v>247.3734</v>
      </c>
      <c r="J4735">
        <v>30140</v>
      </c>
      <c r="K4735">
        <v>2.1934999999999998</v>
      </c>
      <c r="L4735">
        <v>2.4194</v>
      </c>
    </row>
    <row r="4736" spans="1:12" x14ac:dyDescent="0.25">
      <c r="A4736">
        <v>2303</v>
      </c>
      <c r="B4736" t="s">
        <v>10</v>
      </c>
      <c r="C4736" s="1">
        <v>43689</v>
      </c>
      <c r="D4736" s="2">
        <f t="shared" si="146"/>
        <v>1</v>
      </c>
      <c r="E4736" s="2">
        <f t="shared" si="147"/>
        <v>8</v>
      </c>
      <c r="F4736">
        <v>13.25</v>
      </c>
      <c r="G4736">
        <v>13.3</v>
      </c>
      <c r="H4736">
        <v>13</v>
      </c>
      <c r="I4736">
        <v>13</v>
      </c>
      <c r="J4736">
        <v>22603</v>
      </c>
      <c r="K4736">
        <v>-2.2814999999999999</v>
      </c>
      <c r="L4736">
        <v>2.3077000000000001</v>
      </c>
    </row>
    <row r="4737" spans="1:12" hidden="1" x14ac:dyDescent="0.25">
      <c r="A4737">
        <v>2330</v>
      </c>
      <c r="B4737" t="s">
        <v>11</v>
      </c>
      <c r="C4737" s="1">
        <v>43689</v>
      </c>
      <c r="D4737" s="2">
        <f t="shared" si="146"/>
        <v>1</v>
      </c>
      <c r="E4737" s="2">
        <f t="shared" si="147"/>
        <v>8</v>
      </c>
      <c r="F4737">
        <v>248.3492</v>
      </c>
      <c r="G4737">
        <v>248.3492</v>
      </c>
      <c r="H4737">
        <v>244.93379999999999</v>
      </c>
      <c r="I4737">
        <v>244.93379999999999</v>
      </c>
      <c r="J4737">
        <v>24732</v>
      </c>
      <c r="K4737">
        <v>-0.99109999999999998</v>
      </c>
      <c r="L4737">
        <v>1.3944000000000001</v>
      </c>
    </row>
    <row r="4738" spans="1:12" x14ac:dyDescent="0.25">
      <c r="A4738">
        <v>2303</v>
      </c>
      <c r="B4738" t="s">
        <v>10</v>
      </c>
      <c r="C4738" s="1">
        <v>43690</v>
      </c>
      <c r="D4738" s="2">
        <f t="shared" si="146"/>
        <v>2</v>
      </c>
      <c r="E4738" s="2">
        <f t="shared" si="147"/>
        <v>8</v>
      </c>
      <c r="F4738">
        <v>13.05</v>
      </c>
      <c r="G4738">
        <v>13.15</v>
      </c>
      <c r="H4738">
        <v>12.9</v>
      </c>
      <c r="I4738">
        <v>12.95</v>
      </c>
      <c r="J4738">
        <v>17761</v>
      </c>
      <c r="K4738">
        <v>-0.38540000000000002</v>
      </c>
      <c r="L4738">
        <v>1.9379999999999999</v>
      </c>
    </row>
    <row r="4739" spans="1:12" hidden="1" x14ac:dyDescent="0.25">
      <c r="A4739">
        <v>2330</v>
      </c>
      <c r="B4739" t="s">
        <v>11</v>
      </c>
      <c r="C4739" s="1">
        <v>43690</v>
      </c>
      <c r="D4739" s="2">
        <f t="shared" ref="D4739:D4802" si="148">WEEKDAY(C4739,2)</f>
        <v>2</v>
      </c>
      <c r="E4739" s="2">
        <f t="shared" ref="E4739:E4802" si="149">MONTH(C4739)</f>
        <v>8</v>
      </c>
      <c r="F4739">
        <v>242.98220000000001</v>
      </c>
      <c r="G4739">
        <v>243.4701</v>
      </c>
      <c r="H4739">
        <v>240.54259999999999</v>
      </c>
      <c r="I4739">
        <v>240.54259999999999</v>
      </c>
      <c r="J4739">
        <v>25045</v>
      </c>
      <c r="K4739">
        <v>-1.8090999999999999</v>
      </c>
      <c r="L4739">
        <v>1.2170000000000001</v>
      </c>
    </row>
    <row r="4740" spans="1:12" x14ac:dyDescent="0.25">
      <c r="A4740">
        <v>2303</v>
      </c>
      <c r="B4740" t="s">
        <v>10</v>
      </c>
      <c r="C4740" s="1">
        <v>43691</v>
      </c>
      <c r="D4740" s="2">
        <f t="shared" si="148"/>
        <v>3</v>
      </c>
      <c r="E4740" s="2">
        <f t="shared" si="149"/>
        <v>8</v>
      </c>
      <c r="F4740">
        <v>13.05</v>
      </c>
      <c r="G4740">
        <v>13.25</v>
      </c>
      <c r="H4740">
        <v>13.05</v>
      </c>
      <c r="I4740">
        <v>13.1</v>
      </c>
      <c r="J4740">
        <v>15792</v>
      </c>
      <c r="K4740">
        <v>1.1516</v>
      </c>
      <c r="L4740">
        <v>1.5326</v>
      </c>
    </row>
    <row r="4741" spans="1:12" hidden="1" x14ac:dyDescent="0.25">
      <c r="A4741">
        <v>2330</v>
      </c>
      <c r="B4741" t="s">
        <v>11</v>
      </c>
      <c r="C4741" s="1">
        <v>43691</v>
      </c>
      <c r="D4741" s="2">
        <f t="shared" si="148"/>
        <v>3</v>
      </c>
      <c r="E4741" s="2">
        <f t="shared" si="149"/>
        <v>8</v>
      </c>
      <c r="F4741">
        <v>246.39760000000001</v>
      </c>
      <c r="G4741">
        <v>247.8613</v>
      </c>
      <c r="H4741">
        <v>243.4701</v>
      </c>
      <c r="I4741">
        <v>243.4701</v>
      </c>
      <c r="J4741">
        <v>36336</v>
      </c>
      <c r="K4741">
        <v>1.2097</v>
      </c>
      <c r="L4741">
        <v>1.8036000000000001</v>
      </c>
    </row>
    <row r="4742" spans="1:12" x14ac:dyDescent="0.25">
      <c r="A4742">
        <v>2303</v>
      </c>
      <c r="B4742" t="s">
        <v>10</v>
      </c>
      <c r="C4742" s="1">
        <v>43692</v>
      </c>
      <c r="D4742" s="2">
        <f t="shared" si="148"/>
        <v>4</v>
      </c>
      <c r="E4742" s="2">
        <f t="shared" si="149"/>
        <v>8</v>
      </c>
      <c r="F4742">
        <v>12.9</v>
      </c>
      <c r="G4742">
        <v>13.05</v>
      </c>
      <c r="H4742">
        <v>12.85</v>
      </c>
      <c r="I4742">
        <v>12.9</v>
      </c>
      <c r="J4742">
        <v>16288</v>
      </c>
      <c r="K4742">
        <v>-1.5385</v>
      </c>
      <c r="L4742">
        <v>1.5564</v>
      </c>
    </row>
    <row r="4743" spans="1:12" hidden="1" x14ac:dyDescent="0.25">
      <c r="A4743">
        <v>2330</v>
      </c>
      <c r="B4743" t="s">
        <v>11</v>
      </c>
      <c r="C4743" s="1">
        <v>43692</v>
      </c>
      <c r="D4743" s="2">
        <f t="shared" si="148"/>
        <v>4</v>
      </c>
      <c r="E4743" s="2">
        <f t="shared" si="149"/>
        <v>8</v>
      </c>
      <c r="F4743">
        <v>241.03049999999999</v>
      </c>
      <c r="G4743">
        <v>242.49430000000001</v>
      </c>
      <c r="H4743">
        <v>240.0547</v>
      </c>
      <c r="I4743">
        <v>242.00630000000001</v>
      </c>
      <c r="J4743">
        <v>28277</v>
      </c>
      <c r="K4743">
        <v>-0.60299999999999998</v>
      </c>
      <c r="L4743">
        <v>1.0163</v>
      </c>
    </row>
    <row r="4744" spans="1:12" x14ac:dyDescent="0.25">
      <c r="A4744">
        <v>2303</v>
      </c>
      <c r="B4744" t="s">
        <v>10</v>
      </c>
      <c r="C4744" s="1">
        <v>43693</v>
      </c>
      <c r="D4744" s="2">
        <f t="shared" si="148"/>
        <v>5</v>
      </c>
      <c r="E4744" s="2">
        <f t="shared" si="149"/>
        <v>8</v>
      </c>
      <c r="F4744">
        <v>13</v>
      </c>
      <c r="G4744">
        <v>13.45</v>
      </c>
      <c r="H4744">
        <v>12.95</v>
      </c>
      <c r="I4744">
        <v>13.35</v>
      </c>
      <c r="J4744">
        <v>39828</v>
      </c>
      <c r="K4744">
        <v>3.4289000000000001</v>
      </c>
      <c r="L4744">
        <v>3.8610000000000002</v>
      </c>
    </row>
    <row r="4745" spans="1:12" hidden="1" x14ac:dyDescent="0.25">
      <c r="A4745">
        <v>2330</v>
      </c>
      <c r="B4745" t="s">
        <v>11</v>
      </c>
      <c r="C4745" s="1">
        <v>43693</v>
      </c>
      <c r="D4745" s="2">
        <f t="shared" si="148"/>
        <v>5</v>
      </c>
      <c r="E4745" s="2">
        <f t="shared" si="149"/>
        <v>8</v>
      </c>
      <c r="F4745">
        <v>243.4701</v>
      </c>
      <c r="G4745">
        <v>245.90969999999999</v>
      </c>
      <c r="H4745">
        <v>242.00630000000001</v>
      </c>
      <c r="I4745">
        <v>243.958</v>
      </c>
      <c r="J4745">
        <v>25696</v>
      </c>
      <c r="K4745">
        <v>0.80320000000000003</v>
      </c>
      <c r="L4745">
        <v>1.6129</v>
      </c>
    </row>
    <row r="4746" spans="1:12" x14ac:dyDescent="0.25">
      <c r="A4746">
        <v>2303</v>
      </c>
      <c r="B4746" t="s">
        <v>10</v>
      </c>
      <c r="C4746" s="1">
        <v>43696</v>
      </c>
      <c r="D4746" s="2">
        <f t="shared" si="148"/>
        <v>1</v>
      </c>
      <c r="E4746" s="2">
        <f t="shared" si="149"/>
        <v>8</v>
      </c>
      <c r="F4746">
        <v>13.35</v>
      </c>
      <c r="G4746">
        <v>13.5</v>
      </c>
      <c r="H4746">
        <v>13.2</v>
      </c>
      <c r="I4746">
        <v>13.45</v>
      </c>
      <c r="J4746">
        <v>23032</v>
      </c>
      <c r="K4746">
        <v>0.74629999999999996</v>
      </c>
      <c r="L4746">
        <v>2.2726999999999999</v>
      </c>
    </row>
    <row r="4747" spans="1:12" hidden="1" x14ac:dyDescent="0.25">
      <c r="A4747">
        <v>2330</v>
      </c>
      <c r="B4747" t="s">
        <v>11</v>
      </c>
      <c r="C4747" s="1">
        <v>43696</v>
      </c>
      <c r="D4747" s="2">
        <f t="shared" si="148"/>
        <v>1</v>
      </c>
      <c r="E4747" s="2">
        <f t="shared" si="149"/>
        <v>8</v>
      </c>
      <c r="F4747">
        <v>245.42169999999999</v>
      </c>
      <c r="G4747">
        <v>246.88550000000001</v>
      </c>
      <c r="H4747">
        <v>244.44589999999999</v>
      </c>
      <c r="I4747">
        <v>245.90969999999999</v>
      </c>
      <c r="J4747">
        <v>25098</v>
      </c>
      <c r="K4747">
        <v>0.79679999999999995</v>
      </c>
      <c r="L4747">
        <v>0.998</v>
      </c>
    </row>
    <row r="4748" spans="1:12" x14ac:dyDescent="0.25">
      <c r="A4748">
        <v>2303</v>
      </c>
      <c r="B4748" t="s">
        <v>10</v>
      </c>
      <c r="C4748" s="1">
        <v>43697</v>
      </c>
      <c r="D4748" s="2">
        <f t="shared" si="148"/>
        <v>2</v>
      </c>
      <c r="E4748" s="2">
        <f t="shared" si="149"/>
        <v>8</v>
      </c>
      <c r="F4748">
        <v>13.4</v>
      </c>
      <c r="G4748">
        <v>13.5</v>
      </c>
      <c r="H4748">
        <v>13.35</v>
      </c>
      <c r="I4748">
        <v>13.5</v>
      </c>
      <c r="J4748">
        <v>23079</v>
      </c>
      <c r="K4748">
        <v>0.37109999999999999</v>
      </c>
      <c r="L4748">
        <v>1.1235999999999999</v>
      </c>
    </row>
    <row r="4749" spans="1:12" hidden="1" x14ac:dyDescent="0.25">
      <c r="A4749">
        <v>2330</v>
      </c>
      <c r="B4749" t="s">
        <v>11</v>
      </c>
      <c r="C4749" s="1">
        <v>43697</v>
      </c>
      <c r="D4749" s="2">
        <f t="shared" si="148"/>
        <v>2</v>
      </c>
      <c r="E4749" s="2">
        <f t="shared" si="149"/>
        <v>8</v>
      </c>
      <c r="F4749">
        <v>247.8613</v>
      </c>
      <c r="G4749">
        <v>248.3492</v>
      </c>
      <c r="H4749">
        <v>246.39760000000001</v>
      </c>
      <c r="I4749">
        <v>248.3492</v>
      </c>
      <c r="J4749">
        <v>20620</v>
      </c>
      <c r="K4749">
        <v>0.98719999999999997</v>
      </c>
      <c r="L4749">
        <v>0.79210000000000003</v>
      </c>
    </row>
    <row r="4750" spans="1:12" x14ac:dyDescent="0.25">
      <c r="A4750">
        <v>2303</v>
      </c>
      <c r="B4750" t="s">
        <v>10</v>
      </c>
      <c r="C4750" s="1">
        <v>43698</v>
      </c>
      <c r="D4750" s="2">
        <f t="shared" si="148"/>
        <v>3</v>
      </c>
      <c r="E4750" s="2">
        <f t="shared" si="149"/>
        <v>8</v>
      </c>
      <c r="F4750">
        <v>13.5</v>
      </c>
      <c r="G4750">
        <v>13.55</v>
      </c>
      <c r="H4750">
        <v>13.4</v>
      </c>
      <c r="I4750">
        <v>13.5</v>
      </c>
      <c r="J4750">
        <v>17886</v>
      </c>
      <c r="K4750">
        <v>0</v>
      </c>
      <c r="L4750">
        <v>1.1194</v>
      </c>
    </row>
    <row r="4751" spans="1:12" hidden="1" x14ac:dyDescent="0.25">
      <c r="A4751">
        <v>2330</v>
      </c>
      <c r="B4751" t="s">
        <v>11</v>
      </c>
      <c r="C4751" s="1">
        <v>43698</v>
      </c>
      <c r="D4751" s="2">
        <f t="shared" si="148"/>
        <v>3</v>
      </c>
      <c r="E4751" s="2">
        <f t="shared" si="149"/>
        <v>8</v>
      </c>
      <c r="F4751">
        <v>248.3492</v>
      </c>
      <c r="G4751">
        <v>248.8372</v>
      </c>
      <c r="H4751">
        <v>246.88550000000001</v>
      </c>
      <c r="I4751">
        <v>248.3492</v>
      </c>
      <c r="J4751">
        <v>20269</v>
      </c>
      <c r="K4751">
        <v>0</v>
      </c>
      <c r="L4751">
        <v>0.79049999999999998</v>
      </c>
    </row>
    <row r="4752" spans="1:12" x14ac:dyDescent="0.25">
      <c r="A4752">
        <v>2303</v>
      </c>
      <c r="B4752" t="s">
        <v>10</v>
      </c>
      <c r="C4752" s="1">
        <v>43699</v>
      </c>
      <c r="D4752" s="2">
        <f t="shared" si="148"/>
        <v>4</v>
      </c>
      <c r="E4752" s="2">
        <f t="shared" si="149"/>
        <v>8</v>
      </c>
      <c r="F4752">
        <v>13.55</v>
      </c>
      <c r="G4752">
        <v>13.55</v>
      </c>
      <c r="H4752">
        <v>13.2</v>
      </c>
      <c r="I4752">
        <v>13.25</v>
      </c>
      <c r="J4752">
        <v>26634</v>
      </c>
      <c r="K4752">
        <v>-1.8692</v>
      </c>
      <c r="L4752">
        <v>2.6515</v>
      </c>
    </row>
    <row r="4753" spans="1:12" hidden="1" x14ac:dyDescent="0.25">
      <c r="A4753">
        <v>2330</v>
      </c>
      <c r="B4753" t="s">
        <v>11</v>
      </c>
      <c r="C4753" s="1">
        <v>43699</v>
      </c>
      <c r="D4753" s="2">
        <f t="shared" si="148"/>
        <v>4</v>
      </c>
      <c r="E4753" s="2">
        <f t="shared" si="149"/>
        <v>8</v>
      </c>
      <c r="F4753">
        <v>250.78880000000001</v>
      </c>
      <c r="G4753">
        <v>251.27670000000001</v>
      </c>
      <c r="H4753">
        <v>247.8613</v>
      </c>
      <c r="I4753">
        <v>247.8613</v>
      </c>
      <c r="J4753">
        <v>22136</v>
      </c>
      <c r="K4753">
        <v>-0.19670000000000001</v>
      </c>
      <c r="L4753">
        <v>1.3779999999999999</v>
      </c>
    </row>
    <row r="4754" spans="1:12" x14ac:dyDescent="0.25">
      <c r="A4754">
        <v>2303</v>
      </c>
      <c r="B4754" t="s">
        <v>10</v>
      </c>
      <c r="C4754" s="1">
        <v>43700</v>
      </c>
      <c r="D4754" s="2">
        <f t="shared" si="148"/>
        <v>5</v>
      </c>
      <c r="E4754" s="2">
        <f t="shared" si="149"/>
        <v>8</v>
      </c>
      <c r="F4754">
        <v>13.3</v>
      </c>
      <c r="G4754">
        <v>13.45</v>
      </c>
      <c r="H4754">
        <v>13.25</v>
      </c>
      <c r="I4754">
        <v>13.35</v>
      </c>
      <c r="J4754">
        <v>17781</v>
      </c>
      <c r="K4754">
        <v>0.75190000000000001</v>
      </c>
      <c r="L4754">
        <v>1.5094000000000001</v>
      </c>
    </row>
    <row r="4755" spans="1:12" hidden="1" x14ac:dyDescent="0.25">
      <c r="A4755">
        <v>2330</v>
      </c>
      <c r="B4755" t="s">
        <v>11</v>
      </c>
      <c r="C4755" s="1">
        <v>43700</v>
      </c>
      <c r="D4755" s="2">
        <f t="shared" si="148"/>
        <v>5</v>
      </c>
      <c r="E4755" s="2">
        <f t="shared" si="149"/>
        <v>8</v>
      </c>
      <c r="F4755">
        <v>247.3734</v>
      </c>
      <c r="G4755">
        <v>248.3492</v>
      </c>
      <c r="H4755">
        <v>246.88550000000001</v>
      </c>
      <c r="I4755">
        <v>247.8613</v>
      </c>
      <c r="J4755">
        <v>14772</v>
      </c>
      <c r="K4755">
        <v>0</v>
      </c>
      <c r="L4755">
        <v>0.59289999999999998</v>
      </c>
    </row>
    <row r="4756" spans="1:12" x14ac:dyDescent="0.25">
      <c r="A4756">
        <v>2303</v>
      </c>
      <c r="B4756" t="s">
        <v>10</v>
      </c>
      <c r="C4756" s="1">
        <v>43703</v>
      </c>
      <c r="D4756" s="2">
        <f t="shared" si="148"/>
        <v>1</v>
      </c>
      <c r="E4756" s="2">
        <f t="shared" si="149"/>
        <v>8</v>
      </c>
      <c r="F4756">
        <v>13.1</v>
      </c>
      <c r="G4756">
        <v>13.15</v>
      </c>
      <c r="H4756">
        <v>13</v>
      </c>
      <c r="I4756">
        <v>13</v>
      </c>
      <c r="J4756">
        <v>26263</v>
      </c>
      <c r="K4756">
        <v>-2.6566999999999998</v>
      </c>
      <c r="L4756">
        <v>1.1537999999999999</v>
      </c>
    </row>
    <row r="4757" spans="1:12" hidden="1" x14ac:dyDescent="0.25">
      <c r="A4757">
        <v>2330</v>
      </c>
      <c r="B4757" t="s">
        <v>11</v>
      </c>
      <c r="C4757" s="1">
        <v>43703</v>
      </c>
      <c r="D4757" s="2">
        <f t="shared" si="148"/>
        <v>1</v>
      </c>
      <c r="E4757" s="2">
        <f t="shared" si="149"/>
        <v>8</v>
      </c>
      <c r="F4757">
        <v>242.98220000000001</v>
      </c>
      <c r="G4757">
        <v>244.44589999999999</v>
      </c>
      <c r="H4757">
        <v>242.49430000000001</v>
      </c>
      <c r="I4757">
        <v>242.49430000000001</v>
      </c>
      <c r="J4757">
        <v>31740</v>
      </c>
      <c r="K4757">
        <v>-2.1890999999999998</v>
      </c>
      <c r="L4757">
        <v>0.80479999999999996</v>
      </c>
    </row>
    <row r="4758" spans="1:12" x14ac:dyDescent="0.25">
      <c r="A4758">
        <v>2303</v>
      </c>
      <c r="B4758" t="s">
        <v>10</v>
      </c>
      <c r="C4758" s="1">
        <v>43704</v>
      </c>
      <c r="D4758" s="2">
        <f t="shared" si="148"/>
        <v>2</v>
      </c>
      <c r="E4758" s="2">
        <f t="shared" si="149"/>
        <v>8</v>
      </c>
      <c r="F4758">
        <v>13.15</v>
      </c>
      <c r="G4758">
        <v>13.25</v>
      </c>
      <c r="H4758">
        <v>13.05</v>
      </c>
      <c r="I4758">
        <v>13.05</v>
      </c>
      <c r="J4758">
        <v>62631</v>
      </c>
      <c r="K4758">
        <v>0.38390000000000002</v>
      </c>
      <c r="L4758">
        <v>1.5326</v>
      </c>
    </row>
    <row r="4759" spans="1:12" hidden="1" x14ac:dyDescent="0.25">
      <c r="A4759">
        <v>2330</v>
      </c>
      <c r="B4759" t="s">
        <v>11</v>
      </c>
      <c r="C4759" s="1">
        <v>43704</v>
      </c>
      <c r="D4759" s="2">
        <f t="shared" si="148"/>
        <v>2</v>
      </c>
      <c r="E4759" s="2">
        <f t="shared" si="149"/>
        <v>8</v>
      </c>
      <c r="F4759">
        <v>244.44589999999999</v>
      </c>
      <c r="G4759">
        <v>244.93379999999999</v>
      </c>
      <c r="H4759">
        <v>242.49430000000001</v>
      </c>
      <c r="I4759">
        <v>243.958</v>
      </c>
      <c r="J4759">
        <v>53664</v>
      </c>
      <c r="K4759">
        <v>0.6018</v>
      </c>
      <c r="L4759">
        <v>1.006</v>
      </c>
    </row>
    <row r="4760" spans="1:12" x14ac:dyDescent="0.25">
      <c r="A4760">
        <v>2303</v>
      </c>
      <c r="B4760" t="s">
        <v>10</v>
      </c>
      <c r="C4760" s="1">
        <v>43705</v>
      </c>
      <c r="D4760" s="2">
        <f t="shared" si="148"/>
        <v>3</v>
      </c>
      <c r="E4760" s="2">
        <f t="shared" si="149"/>
        <v>8</v>
      </c>
      <c r="F4760">
        <v>13.1</v>
      </c>
      <c r="G4760">
        <v>13.2</v>
      </c>
      <c r="H4760">
        <v>13.05</v>
      </c>
      <c r="I4760">
        <v>13.15</v>
      </c>
      <c r="J4760">
        <v>18889</v>
      </c>
      <c r="K4760">
        <v>0.76339999999999997</v>
      </c>
      <c r="L4760">
        <v>1.1494</v>
      </c>
    </row>
    <row r="4761" spans="1:12" hidden="1" x14ac:dyDescent="0.25">
      <c r="A4761">
        <v>2330</v>
      </c>
      <c r="B4761" t="s">
        <v>11</v>
      </c>
      <c r="C4761" s="1">
        <v>43705</v>
      </c>
      <c r="D4761" s="2">
        <f t="shared" si="148"/>
        <v>3</v>
      </c>
      <c r="E4761" s="2">
        <f t="shared" si="149"/>
        <v>8</v>
      </c>
      <c r="F4761">
        <v>244.44589999999999</v>
      </c>
      <c r="G4761">
        <v>246.88550000000001</v>
      </c>
      <c r="H4761">
        <v>244.44589999999999</v>
      </c>
      <c r="I4761">
        <v>245.90969999999999</v>
      </c>
      <c r="J4761">
        <v>15280</v>
      </c>
      <c r="K4761">
        <v>0.79679999999999995</v>
      </c>
      <c r="L4761">
        <v>0.998</v>
      </c>
    </row>
    <row r="4762" spans="1:12" x14ac:dyDescent="0.25">
      <c r="A4762">
        <v>2303</v>
      </c>
      <c r="B4762" t="s">
        <v>10</v>
      </c>
      <c r="C4762" s="1">
        <v>43706</v>
      </c>
      <c r="D4762" s="2">
        <f t="shared" si="148"/>
        <v>4</v>
      </c>
      <c r="E4762" s="2">
        <f t="shared" si="149"/>
        <v>8</v>
      </c>
      <c r="F4762">
        <v>13.15</v>
      </c>
      <c r="G4762">
        <v>13.2</v>
      </c>
      <c r="H4762">
        <v>13.1</v>
      </c>
      <c r="I4762">
        <v>13.2</v>
      </c>
      <c r="J4762">
        <v>10676</v>
      </c>
      <c r="K4762">
        <v>0.3795</v>
      </c>
      <c r="L4762">
        <v>0.76339999999999997</v>
      </c>
    </row>
    <row r="4763" spans="1:12" hidden="1" x14ac:dyDescent="0.25">
      <c r="A4763">
        <v>2330</v>
      </c>
      <c r="B4763" t="s">
        <v>11</v>
      </c>
      <c r="C4763" s="1">
        <v>43706</v>
      </c>
      <c r="D4763" s="2">
        <f t="shared" si="148"/>
        <v>4</v>
      </c>
      <c r="E4763" s="2">
        <f t="shared" si="149"/>
        <v>8</v>
      </c>
      <c r="F4763">
        <v>246.88550000000001</v>
      </c>
      <c r="G4763">
        <v>247.8613</v>
      </c>
      <c r="H4763">
        <v>244.93379999999999</v>
      </c>
      <c r="I4763">
        <v>247.8613</v>
      </c>
      <c r="J4763">
        <v>20085</v>
      </c>
      <c r="K4763">
        <v>0.79049999999999998</v>
      </c>
      <c r="L4763">
        <v>1.1952</v>
      </c>
    </row>
    <row r="4764" spans="1:12" x14ac:dyDescent="0.25">
      <c r="A4764">
        <v>2303</v>
      </c>
      <c r="B4764" t="s">
        <v>10</v>
      </c>
      <c r="C4764" s="1">
        <v>43707</v>
      </c>
      <c r="D4764" s="2">
        <f t="shared" si="148"/>
        <v>5</v>
      </c>
      <c r="E4764" s="2">
        <f t="shared" si="149"/>
        <v>8</v>
      </c>
      <c r="F4764">
        <v>13.3</v>
      </c>
      <c r="G4764">
        <v>13.45</v>
      </c>
      <c r="H4764">
        <v>13.2</v>
      </c>
      <c r="I4764">
        <v>13.45</v>
      </c>
      <c r="J4764">
        <v>32774</v>
      </c>
      <c r="K4764">
        <v>1.8762000000000001</v>
      </c>
      <c r="L4764">
        <v>1.8938999999999999</v>
      </c>
    </row>
    <row r="4765" spans="1:12" hidden="1" x14ac:dyDescent="0.25">
      <c r="A4765">
        <v>2330</v>
      </c>
      <c r="B4765" t="s">
        <v>11</v>
      </c>
      <c r="C4765" s="1">
        <v>43707</v>
      </c>
      <c r="D4765" s="2">
        <f t="shared" si="148"/>
        <v>5</v>
      </c>
      <c r="E4765" s="2">
        <f t="shared" si="149"/>
        <v>8</v>
      </c>
      <c r="F4765">
        <v>250.30090000000001</v>
      </c>
      <c r="G4765">
        <v>252.7405</v>
      </c>
      <c r="H4765">
        <v>249.81299999999999</v>
      </c>
      <c r="I4765">
        <v>252.7405</v>
      </c>
      <c r="J4765">
        <v>35299</v>
      </c>
      <c r="K4765">
        <v>1.9494</v>
      </c>
      <c r="L4765">
        <v>1.1718999999999999</v>
      </c>
    </row>
    <row r="4766" spans="1:12" x14ac:dyDescent="0.25">
      <c r="A4766">
        <v>2303</v>
      </c>
      <c r="B4766" t="s">
        <v>10</v>
      </c>
      <c r="C4766" s="1">
        <v>43710</v>
      </c>
      <c r="D4766" s="2">
        <f t="shared" si="148"/>
        <v>1</v>
      </c>
      <c r="E4766" s="2">
        <f t="shared" si="149"/>
        <v>9</v>
      </c>
      <c r="F4766">
        <v>13.35</v>
      </c>
      <c r="G4766">
        <v>13.45</v>
      </c>
      <c r="H4766">
        <v>13.3</v>
      </c>
      <c r="I4766">
        <v>13.35</v>
      </c>
      <c r="J4766">
        <v>8528</v>
      </c>
      <c r="K4766">
        <v>-0.74629999999999996</v>
      </c>
      <c r="L4766">
        <v>1.1277999999999999</v>
      </c>
    </row>
    <row r="4767" spans="1:12" hidden="1" x14ac:dyDescent="0.25">
      <c r="A4767">
        <v>2330</v>
      </c>
      <c r="B4767" t="s">
        <v>11</v>
      </c>
      <c r="C4767" s="1">
        <v>43710</v>
      </c>
      <c r="D4767" s="2">
        <f t="shared" si="148"/>
        <v>1</v>
      </c>
      <c r="E4767" s="2">
        <f t="shared" si="149"/>
        <v>9</v>
      </c>
      <c r="F4767">
        <v>251.7647</v>
      </c>
      <c r="G4767">
        <v>251.7647</v>
      </c>
      <c r="H4767">
        <v>249.81299999999999</v>
      </c>
      <c r="I4767">
        <v>251.27670000000001</v>
      </c>
      <c r="J4767">
        <v>14776</v>
      </c>
      <c r="K4767">
        <v>-0.58079999999999998</v>
      </c>
      <c r="L4767">
        <v>0.78129999999999999</v>
      </c>
    </row>
    <row r="4768" spans="1:12" x14ac:dyDescent="0.25">
      <c r="A4768">
        <v>2303</v>
      </c>
      <c r="B4768" t="s">
        <v>10</v>
      </c>
      <c r="C4768" s="1">
        <v>43711</v>
      </c>
      <c r="D4768" s="2">
        <f t="shared" si="148"/>
        <v>2</v>
      </c>
      <c r="E4768" s="2">
        <f t="shared" si="149"/>
        <v>9</v>
      </c>
      <c r="F4768">
        <v>13.45</v>
      </c>
      <c r="G4768">
        <v>13.45</v>
      </c>
      <c r="H4768">
        <v>13.2</v>
      </c>
      <c r="I4768">
        <v>13.2</v>
      </c>
      <c r="J4768">
        <v>13374</v>
      </c>
      <c r="K4768">
        <v>-1.1299999999999999</v>
      </c>
      <c r="L4768">
        <v>0</v>
      </c>
    </row>
    <row r="4769" spans="1:12" hidden="1" x14ac:dyDescent="0.25">
      <c r="A4769">
        <v>2330</v>
      </c>
      <c r="B4769" t="s">
        <v>11</v>
      </c>
      <c r="C4769" s="1">
        <v>43711</v>
      </c>
      <c r="D4769" s="2">
        <f t="shared" si="148"/>
        <v>2</v>
      </c>
      <c r="E4769" s="2">
        <f t="shared" si="149"/>
        <v>9</v>
      </c>
      <c r="F4769">
        <v>250.30090000000001</v>
      </c>
      <c r="G4769">
        <v>251.7647</v>
      </c>
      <c r="H4769">
        <v>246.88550000000001</v>
      </c>
      <c r="I4769">
        <v>247.8613</v>
      </c>
      <c r="J4769">
        <v>26086</v>
      </c>
      <c r="K4769">
        <v>-1.3685</v>
      </c>
      <c r="L4769">
        <v>0</v>
      </c>
    </row>
    <row r="4770" spans="1:12" x14ac:dyDescent="0.25">
      <c r="A4770">
        <v>2303</v>
      </c>
      <c r="B4770" t="s">
        <v>10</v>
      </c>
      <c r="C4770" s="1">
        <v>43712</v>
      </c>
      <c r="D4770" s="2">
        <f t="shared" si="148"/>
        <v>3</v>
      </c>
      <c r="E4770" s="2">
        <f t="shared" si="149"/>
        <v>9</v>
      </c>
      <c r="F4770">
        <v>13.2</v>
      </c>
      <c r="G4770">
        <v>13.6</v>
      </c>
      <c r="H4770">
        <v>13.2</v>
      </c>
      <c r="I4770">
        <v>13.6</v>
      </c>
      <c r="J4770">
        <v>40434</v>
      </c>
      <c r="K4770">
        <v>2.9853000000000001</v>
      </c>
      <c r="L4770">
        <v>3.0303</v>
      </c>
    </row>
    <row r="4771" spans="1:12" hidden="1" x14ac:dyDescent="0.25">
      <c r="A4771">
        <v>2330</v>
      </c>
      <c r="B4771" t="s">
        <v>11</v>
      </c>
      <c r="C4771" s="1">
        <v>43712</v>
      </c>
      <c r="D4771" s="2">
        <f t="shared" si="148"/>
        <v>3</v>
      </c>
      <c r="E4771" s="2">
        <f t="shared" si="149"/>
        <v>9</v>
      </c>
      <c r="F4771">
        <v>247.8613</v>
      </c>
      <c r="G4771">
        <v>251.7647</v>
      </c>
      <c r="H4771">
        <v>247.8613</v>
      </c>
      <c r="I4771">
        <v>251.27670000000001</v>
      </c>
      <c r="J4771">
        <v>23697</v>
      </c>
      <c r="K4771">
        <v>1.3685</v>
      </c>
      <c r="L4771">
        <v>1.5748</v>
      </c>
    </row>
    <row r="4772" spans="1:12" x14ac:dyDescent="0.25">
      <c r="A4772">
        <v>2303</v>
      </c>
      <c r="B4772" t="s">
        <v>10</v>
      </c>
      <c r="C4772" s="1">
        <v>43713</v>
      </c>
      <c r="D4772" s="2">
        <f t="shared" si="148"/>
        <v>4</v>
      </c>
      <c r="E4772" s="2">
        <f t="shared" si="149"/>
        <v>9</v>
      </c>
      <c r="F4772">
        <v>13.65</v>
      </c>
      <c r="G4772">
        <v>13.7</v>
      </c>
      <c r="H4772">
        <v>13.5</v>
      </c>
      <c r="I4772">
        <v>13.6</v>
      </c>
      <c r="J4772">
        <v>27277</v>
      </c>
      <c r="K4772">
        <v>0</v>
      </c>
      <c r="L4772">
        <v>1.4815</v>
      </c>
    </row>
    <row r="4773" spans="1:12" hidden="1" x14ac:dyDescent="0.25">
      <c r="A4773">
        <v>2330</v>
      </c>
      <c r="B4773" t="s">
        <v>11</v>
      </c>
      <c r="C4773" s="1">
        <v>43713</v>
      </c>
      <c r="D4773" s="2">
        <f t="shared" si="148"/>
        <v>4</v>
      </c>
      <c r="E4773" s="2">
        <f t="shared" si="149"/>
        <v>9</v>
      </c>
      <c r="F4773">
        <v>256.6438</v>
      </c>
      <c r="G4773">
        <v>256.6438</v>
      </c>
      <c r="H4773">
        <v>254.20419999999999</v>
      </c>
      <c r="I4773">
        <v>256.6438</v>
      </c>
      <c r="J4773">
        <v>49041</v>
      </c>
      <c r="K4773">
        <v>2.1133999999999999</v>
      </c>
      <c r="L4773">
        <v>0.9597</v>
      </c>
    </row>
    <row r="4774" spans="1:12" x14ac:dyDescent="0.25">
      <c r="A4774">
        <v>2303</v>
      </c>
      <c r="B4774" t="s">
        <v>10</v>
      </c>
      <c r="C4774" s="1">
        <v>43714</v>
      </c>
      <c r="D4774" s="2">
        <f t="shared" si="148"/>
        <v>5</v>
      </c>
      <c r="E4774" s="2">
        <f t="shared" si="149"/>
        <v>9</v>
      </c>
      <c r="F4774">
        <v>13.65</v>
      </c>
      <c r="G4774">
        <v>13.65</v>
      </c>
      <c r="H4774">
        <v>13.55</v>
      </c>
      <c r="I4774">
        <v>13.55</v>
      </c>
      <c r="J4774">
        <v>16088</v>
      </c>
      <c r="K4774">
        <v>-0.36830000000000002</v>
      </c>
      <c r="L4774">
        <v>0.73799999999999999</v>
      </c>
    </row>
    <row r="4775" spans="1:12" hidden="1" x14ac:dyDescent="0.25">
      <c r="A4775">
        <v>2330</v>
      </c>
      <c r="B4775" t="s">
        <v>11</v>
      </c>
      <c r="C4775" s="1">
        <v>43714</v>
      </c>
      <c r="D4775" s="2">
        <f t="shared" si="148"/>
        <v>5</v>
      </c>
      <c r="E4775" s="2">
        <f t="shared" si="149"/>
        <v>9</v>
      </c>
      <c r="F4775">
        <v>258.59550000000002</v>
      </c>
      <c r="G4775">
        <v>258.59550000000002</v>
      </c>
      <c r="H4775">
        <v>256.6438</v>
      </c>
      <c r="I4775">
        <v>257.13170000000002</v>
      </c>
      <c r="J4775">
        <v>26609</v>
      </c>
      <c r="K4775">
        <v>0.18990000000000001</v>
      </c>
      <c r="L4775">
        <v>0.76049999999999995</v>
      </c>
    </row>
    <row r="4776" spans="1:12" x14ac:dyDescent="0.25">
      <c r="A4776">
        <v>2303</v>
      </c>
      <c r="B4776" t="s">
        <v>10</v>
      </c>
      <c r="C4776" s="1">
        <v>43717</v>
      </c>
      <c r="D4776" s="2">
        <f t="shared" si="148"/>
        <v>1</v>
      </c>
      <c r="E4776" s="2">
        <f t="shared" si="149"/>
        <v>9</v>
      </c>
      <c r="F4776">
        <v>13.6</v>
      </c>
      <c r="G4776">
        <v>13.65</v>
      </c>
      <c r="H4776">
        <v>13.55</v>
      </c>
      <c r="I4776">
        <v>13.6</v>
      </c>
      <c r="J4776">
        <v>13483</v>
      </c>
      <c r="K4776">
        <v>0.36830000000000002</v>
      </c>
      <c r="L4776">
        <v>0.73799999999999999</v>
      </c>
    </row>
    <row r="4777" spans="1:12" hidden="1" x14ac:dyDescent="0.25">
      <c r="A4777">
        <v>2330</v>
      </c>
      <c r="B4777" t="s">
        <v>11</v>
      </c>
      <c r="C4777" s="1">
        <v>43717</v>
      </c>
      <c r="D4777" s="2">
        <f t="shared" si="148"/>
        <v>1</v>
      </c>
      <c r="E4777" s="2">
        <f t="shared" si="149"/>
        <v>9</v>
      </c>
      <c r="F4777">
        <v>259.08339999999998</v>
      </c>
      <c r="G4777">
        <v>259.57130000000001</v>
      </c>
      <c r="H4777">
        <v>257.13170000000002</v>
      </c>
      <c r="I4777">
        <v>258.59550000000002</v>
      </c>
      <c r="J4777">
        <v>17317</v>
      </c>
      <c r="K4777">
        <v>0.56759999999999999</v>
      </c>
      <c r="L4777">
        <v>0.94879999999999998</v>
      </c>
    </row>
    <row r="4778" spans="1:12" x14ac:dyDescent="0.25">
      <c r="A4778">
        <v>2303</v>
      </c>
      <c r="B4778" t="s">
        <v>10</v>
      </c>
      <c r="C4778" s="1">
        <v>43718</v>
      </c>
      <c r="D4778" s="2">
        <f t="shared" si="148"/>
        <v>2</v>
      </c>
      <c r="E4778" s="2">
        <f t="shared" si="149"/>
        <v>9</v>
      </c>
      <c r="F4778">
        <v>13.6</v>
      </c>
      <c r="G4778">
        <v>13.65</v>
      </c>
      <c r="H4778">
        <v>13.55</v>
      </c>
      <c r="I4778">
        <v>13.6</v>
      </c>
      <c r="J4778">
        <v>21363</v>
      </c>
      <c r="K4778">
        <v>0</v>
      </c>
      <c r="L4778">
        <v>0.73799999999999999</v>
      </c>
    </row>
    <row r="4779" spans="1:12" hidden="1" x14ac:dyDescent="0.25">
      <c r="A4779">
        <v>2330</v>
      </c>
      <c r="B4779" t="s">
        <v>11</v>
      </c>
      <c r="C4779" s="1">
        <v>43718</v>
      </c>
      <c r="D4779" s="2">
        <f t="shared" si="148"/>
        <v>2</v>
      </c>
      <c r="E4779" s="2">
        <f t="shared" si="149"/>
        <v>9</v>
      </c>
      <c r="F4779">
        <v>257.13170000000002</v>
      </c>
      <c r="G4779">
        <v>257.61959999999999</v>
      </c>
      <c r="H4779">
        <v>254.20419999999999</v>
      </c>
      <c r="I4779">
        <v>255.18010000000001</v>
      </c>
      <c r="J4779">
        <v>30019</v>
      </c>
      <c r="K4779">
        <v>-1.3295999999999999</v>
      </c>
      <c r="L4779">
        <v>1.3435999999999999</v>
      </c>
    </row>
    <row r="4780" spans="1:12" x14ac:dyDescent="0.25">
      <c r="A4780">
        <v>2303</v>
      </c>
      <c r="B4780" t="s">
        <v>10</v>
      </c>
      <c r="C4780" s="1">
        <v>43719</v>
      </c>
      <c r="D4780" s="2">
        <f t="shared" si="148"/>
        <v>3</v>
      </c>
      <c r="E4780" s="2">
        <f t="shared" si="149"/>
        <v>9</v>
      </c>
      <c r="F4780">
        <v>13.6</v>
      </c>
      <c r="G4780">
        <v>13.7</v>
      </c>
      <c r="H4780">
        <v>13.55</v>
      </c>
      <c r="I4780">
        <v>13.7</v>
      </c>
      <c r="J4780">
        <v>20063</v>
      </c>
      <c r="K4780">
        <v>0.73260000000000003</v>
      </c>
      <c r="L4780">
        <v>1.107</v>
      </c>
    </row>
    <row r="4781" spans="1:12" hidden="1" x14ac:dyDescent="0.25">
      <c r="A4781">
        <v>2330</v>
      </c>
      <c r="B4781" t="s">
        <v>11</v>
      </c>
      <c r="C4781" s="1">
        <v>43719</v>
      </c>
      <c r="D4781" s="2">
        <f t="shared" si="148"/>
        <v>3</v>
      </c>
      <c r="E4781" s="2">
        <f t="shared" si="149"/>
        <v>9</v>
      </c>
      <c r="F4781">
        <v>257.61959999999999</v>
      </c>
      <c r="G4781">
        <v>258.10759999999999</v>
      </c>
      <c r="H4781">
        <v>254.20419999999999</v>
      </c>
      <c r="I4781">
        <v>256.6438</v>
      </c>
      <c r="J4781">
        <v>36266</v>
      </c>
      <c r="K4781">
        <v>0.57199999999999995</v>
      </c>
      <c r="L4781">
        <v>1.5355000000000001</v>
      </c>
    </row>
    <row r="4782" spans="1:12" x14ac:dyDescent="0.25">
      <c r="A4782">
        <v>2303</v>
      </c>
      <c r="B4782" t="s">
        <v>10</v>
      </c>
      <c r="C4782" s="1">
        <v>43720</v>
      </c>
      <c r="D4782" s="2">
        <f t="shared" si="148"/>
        <v>4</v>
      </c>
      <c r="E4782" s="2">
        <f t="shared" si="149"/>
        <v>9</v>
      </c>
      <c r="F4782">
        <v>13.8</v>
      </c>
      <c r="G4782">
        <v>13.85</v>
      </c>
      <c r="H4782">
        <v>13.65</v>
      </c>
      <c r="I4782">
        <v>13.7</v>
      </c>
      <c r="J4782">
        <v>25967</v>
      </c>
      <c r="K4782">
        <v>0</v>
      </c>
      <c r="L4782">
        <v>1.4652000000000001</v>
      </c>
    </row>
    <row r="4783" spans="1:12" hidden="1" x14ac:dyDescent="0.25">
      <c r="A4783">
        <v>2330</v>
      </c>
      <c r="B4783" t="s">
        <v>11</v>
      </c>
      <c r="C4783" s="1">
        <v>43720</v>
      </c>
      <c r="D4783" s="2">
        <f t="shared" si="148"/>
        <v>4</v>
      </c>
      <c r="E4783" s="2">
        <f t="shared" si="149"/>
        <v>9</v>
      </c>
      <c r="F4783">
        <v>258.59550000000002</v>
      </c>
      <c r="G4783">
        <v>258.59550000000002</v>
      </c>
      <c r="H4783">
        <v>255.18010000000001</v>
      </c>
      <c r="I4783">
        <v>256.15589999999997</v>
      </c>
      <c r="J4783">
        <v>38792</v>
      </c>
      <c r="K4783">
        <v>-0.1903</v>
      </c>
      <c r="L4783">
        <v>1.3384</v>
      </c>
    </row>
    <row r="4784" spans="1:12" x14ac:dyDescent="0.25">
      <c r="A4784">
        <v>2303</v>
      </c>
      <c r="B4784" t="s">
        <v>10</v>
      </c>
      <c r="C4784" s="1">
        <v>43724</v>
      </c>
      <c r="D4784" s="2">
        <f t="shared" si="148"/>
        <v>1</v>
      </c>
      <c r="E4784" s="2">
        <f t="shared" si="149"/>
        <v>9</v>
      </c>
      <c r="F4784">
        <v>13.8</v>
      </c>
      <c r="G4784">
        <v>13.85</v>
      </c>
      <c r="H4784">
        <v>13.55</v>
      </c>
      <c r="I4784">
        <v>13.6</v>
      </c>
      <c r="J4784">
        <v>23641</v>
      </c>
      <c r="K4784">
        <v>-0.73260000000000003</v>
      </c>
      <c r="L4784">
        <v>2.214</v>
      </c>
    </row>
    <row r="4785" spans="1:12" hidden="1" x14ac:dyDescent="0.25">
      <c r="A4785">
        <v>2330</v>
      </c>
      <c r="B4785" t="s">
        <v>11</v>
      </c>
      <c r="C4785" s="1">
        <v>43724</v>
      </c>
      <c r="D4785" s="2">
        <f t="shared" si="148"/>
        <v>1</v>
      </c>
      <c r="E4785" s="2">
        <f t="shared" si="149"/>
        <v>9</v>
      </c>
      <c r="F4785">
        <v>255.66800000000001</v>
      </c>
      <c r="G4785">
        <v>259.08339999999998</v>
      </c>
      <c r="H4785">
        <v>255.18010000000001</v>
      </c>
      <c r="I4785">
        <v>259.08339999999998</v>
      </c>
      <c r="J4785">
        <v>38913</v>
      </c>
      <c r="K4785">
        <v>1.1364000000000001</v>
      </c>
      <c r="L4785">
        <v>1.5296000000000001</v>
      </c>
    </row>
    <row r="4786" spans="1:12" x14ac:dyDescent="0.25">
      <c r="A4786">
        <v>2303</v>
      </c>
      <c r="B4786" t="s">
        <v>10</v>
      </c>
      <c r="C4786" s="1">
        <v>43725</v>
      </c>
      <c r="D4786" s="2">
        <f t="shared" si="148"/>
        <v>2</v>
      </c>
      <c r="E4786" s="2">
        <f t="shared" si="149"/>
        <v>9</v>
      </c>
      <c r="F4786">
        <v>13.55</v>
      </c>
      <c r="G4786">
        <v>13.6</v>
      </c>
      <c r="H4786">
        <v>13.35</v>
      </c>
      <c r="I4786">
        <v>13.55</v>
      </c>
      <c r="J4786">
        <v>22155</v>
      </c>
      <c r="K4786">
        <v>-0.36830000000000002</v>
      </c>
      <c r="L4786">
        <v>1.8727</v>
      </c>
    </row>
    <row r="4787" spans="1:12" hidden="1" x14ac:dyDescent="0.25">
      <c r="A4787">
        <v>2330</v>
      </c>
      <c r="B4787" t="s">
        <v>11</v>
      </c>
      <c r="C4787" s="1">
        <v>43725</v>
      </c>
      <c r="D4787" s="2">
        <f t="shared" si="148"/>
        <v>2</v>
      </c>
      <c r="E4787" s="2">
        <f t="shared" si="149"/>
        <v>9</v>
      </c>
      <c r="F4787">
        <v>260.05919999999998</v>
      </c>
      <c r="G4787">
        <v>260.05919999999998</v>
      </c>
      <c r="H4787">
        <v>258.10759999999999</v>
      </c>
      <c r="I4787">
        <v>258.59550000000002</v>
      </c>
      <c r="J4787">
        <v>30069</v>
      </c>
      <c r="K4787">
        <v>-0.1885</v>
      </c>
      <c r="L4787">
        <v>0.75609999999999999</v>
      </c>
    </row>
    <row r="4788" spans="1:12" x14ac:dyDescent="0.25">
      <c r="A4788">
        <v>2303</v>
      </c>
      <c r="B4788" t="s">
        <v>10</v>
      </c>
      <c r="C4788" s="1">
        <v>43726</v>
      </c>
      <c r="D4788" s="2">
        <f t="shared" si="148"/>
        <v>3</v>
      </c>
      <c r="E4788" s="2">
        <f t="shared" si="149"/>
        <v>9</v>
      </c>
      <c r="F4788">
        <v>13.6</v>
      </c>
      <c r="G4788">
        <v>13.65</v>
      </c>
      <c r="H4788">
        <v>13.5</v>
      </c>
      <c r="I4788">
        <v>13.55</v>
      </c>
      <c r="J4788">
        <v>18441</v>
      </c>
      <c r="K4788">
        <v>0</v>
      </c>
      <c r="L4788">
        <v>1.1111</v>
      </c>
    </row>
    <row r="4789" spans="1:12" hidden="1" x14ac:dyDescent="0.25">
      <c r="A4789">
        <v>2330</v>
      </c>
      <c r="B4789" t="s">
        <v>11</v>
      </c>
      <c r="C4789" s="1">
        <v>43726</v>
      </c>
      <c r="D4789" s="2">
        <f t="shared" si="148"/>
        <v>3</v>
      </c>
      <c r="E4789" s="2">
        <f t="shared" si="149"/>
        <v>9</v>
      </c>
      <c r="F4789">
        <v>260.5471</v>
      </c>
      <c r="G4789">
        <v>262.98669999999998</v>
      </c>
      <c r="H4789">
        <v>260.05919999999998</v>
      </c>
      <c r="I4789">
        <v>260.5471</v>
      </c>
      <c r="J4789">
        <v>51360</v>
      </c>
      <c r="K4789">
        <v>0.75190000000000001</v>
      </c>
      <c r="L4789">
        <v>1.1256999999999999</v>
      </c>
    </row>
    <row r="4790" spans="1:12" x14ac:dyDescent="0.25">
      <c r="A4790">
        <v>2303</v>
      </c>
      <c r="B4790" t="s">
        <v>10</v>
      </c>
      <c r="C4790" s="1">
        <v>43727</v>
      </c>
      <c r="D4790" s="2">
        <f t="shared" si="148"/>
        <v>4</v>
      </c>
      <c r="E4790" s="2">
        <f t="shared" si="149"/>
        <v>9</v>
      </c>
      <c r="F4790">
        <v>13.6</v>
      </c>
      <c r="G4790">
        <v>13.7</v>
      </c>
      <c r="H4790">
        <v>13.6</v>
      </c>
      <c r="I4790">
        <v>13.6</v>
      </c>
      <c r="J4790">
        <v>23352</v>
      </c>
      <c r="K4790">
        <v>0.36830000000000002</v>
      </c>
      <c r="L4790">
        <v>0.73529999999999995</v>
      </c>
    </row>
    <row r="4791" spans="1:12" hidden="1" x14ac:dyDescent="0.25">
      <c r="A4791">
        <v>2330</v>
      </c>
      <c r="B4791" t="s">
        <v>11</v>
      </c>
      <c r="C4791" s="1">
        <v>43727</v>
      </c>
      <c r="D4791" s="2">
        <f t="shared" si="148"/>
        <v>4</v>
      </c>
      <c r="E4791" s="2">
        <f t="shared" si="149"/>
        <v>9</v>
      </c>
      <c r="F4791">
        <v>263.49709999999999</v>
      </c>
      <c r="G4791">
        <v>263.49709999999999</v>
      </c>
      <c r="H4791">
        <v>259.5643</v>
      </c>
      <c r="I4791">
        <v>260.54750000000001</v>
      </c>
      <c r="J4791">
        <v>27165</v>
      </c>
      <c r="K4791">
        <v>0</v>
      </c>
      <c r="L4791">
        <v>1.5152000000000001</v>
      </c>
    </row>
    <row r="4792" spans="1:12" x14ac:dyDescent="0.25">
      <c r="A4792">
        <v>2303</v>
      </c>
      <c r="B4792" t="s">
        <v>10</v>
      </c>
      <c r="C4792" s="1">
        <v>43728</v>
      </c>
      <c r="D4792" s="2">
        <f t="shared" si="148"/>
        <v>5</v>
      </c>
      <c r="E4792" s="2">
        <f t="shared" si="149"/>
        <v>9</v>
      </c>
      <c r="F4792">
        <v>13.6</v>
      </c>
      <c r="G4792">
        <v>13.8</v>
      </c>
      <c r="H4792">
        <v>13.55</v>
      </c>
      <c r="I4792">
        <v>13.8</v>
      </c>
      <c r="J4792">
        <v>43362</v>
      </c>
      <c r="K4792">
        <v>1.4599</v>
      </c>
      <c r="L4792">
        <v>1.845</v>
      </c>
    </row>
    <row r="4793" spans="1:12" hidden="1" x14ac:dyDescent="0.25">
      <c r="A4793">
        <v>2330</v>
      </c>
      <c r="B4793" t="s">
        <v>11</v>
      </c>
      <c r="C4793" s="1">
        <v>43728</v>
      </c>
      <c r="D4793" s="2">
        <f t="shared" si="148"/>
        <v>5</v>
      </c>
      <c r="E4793" s="2">
        <f t="shared" si="149"/>
        <v>9</v>
      </c>
      <c r="F4793">
        <v>261.53070000000002</v>
      </c>
      <c r="G4793">
        <v>262.02229999999997</v>
      </c>
      <c r="H4793">
        <v>259.5643</v>
      </c>
      <c r="I4793">
        <v>259.5643</v>
      </c>
      <c r="J4793">
        <v>44555</v>
      </c>
      <c r="K4793">
        <v>-0.37809999999999999</v>
      </c>
      <c r="L4793">
        <v>0.94699999999999995</v>
      </c>
    </row>
    <row r="4794" spans="1:12" x14ac:dyDescent="0.25">
      <c r="A4794">
        <v>2303</v>
      </c>
      <c r="B4794" t="s">
        <v>10</v>
      </c>
      <c r="C4794" s="1">
        <v>43731</v>
      </c>
      <c r="D4794" s="2">
        <f t="shared" si="148"/>
        <v>1</v>
      </c>
      <c r="E4794" s="2">
        <f t="shared" si="149"/>
        <v>9</v>
      </c>
      <c r="F4794">
        <v>13.7</v>
      </c>
      <c r="G4794">
        <v>13.8</v>
      </c>
      <c r="H4794">
        <v>13.65</v>
      </c>
      <c r="I4794">
        <v>13.7</v>
      </c>
      <c r="J4794">
        <v>26236</v>
      </c>
      <c r="K4794">
        <v>-0.72729999999999995</v>
      </c>
      <c r="L4794">
        <v>0</v>
      </c>
    </row>
    <row r="4795" spans="1:12" hidden="1" x14ac:dyDescent="0.25">
      <c r="A4795">
        <v>2330</v>
      </c>
      <c r="B4795" t="s">
        <v>11</v>
      </c>
      <c r="C4795" s="1">
        <v>43731</v>
      </c>
      <c r="D4795" s="2">
        <f t="shared" si="148"/>
        <v>1</v>
      </c>
      <c r="E4795" s="2">
        <f t="shared" si="149"/>
        <v>9</v>
      </c>
      <c r="F4795">
        <v>259.5643</v>
      </c>
      <c r="G4795">
        <v>259.5643</v>
      </c>
      <c r="H4795">
        <v>258.58109999999999</v>
      </c>
      <c r="I4795">
        <v>259.5643</v>
      </c>
      <c r="J4795">
        <v>14220</v>
      </c>
      <c r="K4795">
        <v>0</v>
      </c>
      <c r="L4795">
        <v>0</v>
      </c>
    </row>
    <row r="4796" spans="1:12" x14ac:dyDescent="0.25">
      <c r="A4796">
        <v>2303</v>
      </c>
      <c r="B4796" t="s">
        <v>10</v>
      </c>
      <c r="C4796" s="1">
        <v>43732</v>
      </c>
      <c r="D4796" s="2">
        <f t="shared" si="148"/>
        <v>2</v>
      </c>
      <c r="E4796" s="2">
        <f t="shared" si="149"/>
        <v>9</v>
      </c>
      <c r="F4796">
        <v>13.7</v>
      </c>
      <c r="G4796">
        <v>13.8</v>
      </c>
      <c r="H4796">
        <v>13.65</v>
      </c>
      <c r="I4796">
        <v>13.65</v>
      </c>
      <c r="J4796">
        <v>33743</v>
      </c>
      <c r="K4796">
        <v>-0.36559999999999998</v>
      </c>
      <c r="L4796">
        <v>1.0989</v>
      </c>
    </row>
    <row r="4797" spans="1:12" hidden="1" x14ac:dyDescent="0.25">
      <c r="A4797">
        <v>2330</v>
      </c>
      <c r="B4797" t="s">
        <v>11</v>
      </c>
      <c r="C4797" s="1">
        <v>43732</v>
      </c>
      <c r="D4797" s="2">
        <f t="shared" si="148"/>
        <v>2</v>
      </c>
      <c r="E4797" s="2">
        <f t="shared" si="149"/>
        <v>9</v>
      </c>
      <c r="F4797">
        <v>259.0727</v>
      </c>
      <c r="G4797">
        <v>261.03910000000002</v>
      </c>
      <c r="H4797">
        <v>257.59789999999998</v>
      </c>
      <c r="I4797">
        <v>260.54750000000001</v>
      </c>
      <c r="J4797">
        <v>24304</v>
      </c>
      <c r="K4797">
        <v>0.37809999999999999</v>
      </c>
      <c r="L4797">
        <v>1.3359000000000001</v>
      </c>
    </row>
    <row r="4798" spans="1:12" x14ac:dyDescent="0.25">
      <c r="A4798">
        <v>2303</v>
      </c>
      <c r="B4798" t="s">
        <v>10</v>
      </c>
      <c r="C4798" s="1">
        <v>43733</v>
      </c>
      <c r="D4798" s="2">
        <f t="shared" si="148"/>
        <v>3</v>
      </c>
      <c r="E4798" s="2">
        <f t="shared" si="149"/>
        <v>9</v>
      </c>
      <c r="F4798">
        <v>13.65</v>
      </c>
      <c r="G4798">
        <v>13.7</v>
      </c>
      <c r="H4798">
        <v>13.5</v>
      </c>
      <c r="I4798">
        <v>13.6</v>
      </c>
      <c r="J4798">
        <v>28777</v>
      </c>
      <c r="K4798">
        <v>-0.36699999999999999</v>
      </c>
      <c r="L4798">
        <v>1.4815</v>
      </c>
    </row>
    <row r="4799" spans="1:12" hidden="1" x14ac:dyDescent="0.25">
      <c r="A4799">
        <v>2330</v>
      </c>
      <c r="B4799" t="s">
        <v>11</v>
      </c>
      <c r="C4799" s="1">
        <v>43733</v>
      </c>
      <c r="D4799" s="2">
        <f t="shared" si="148"/>
        <v>3</v>
      </c>
      <c r="E4799" s="2">
        <f t="shared" si="149"/>
        <v>9</v>
      </c>
      <c r="F4799">
        <v>258.08949999999999</v>
      </c>
      <c r="G4799">
        <v>261.53070000000002</v>
      </c>
      <c r="H4799">
        <v>257.59789999999998</v>
      </c>
      <c r="I4799">
        <v>261.53070000000002</v>
      </c>
      <c r="J4799">
        <v>23244</v>
      </c>
      <c r="K4799">
        <v>0.37659999999999999</v>
      </c>
      <c r="L4799">
        <v>1.5266999999999999</v>
      </c>
    </row>
    <row r="4800" spans="1:12" x14ac:dyDescent="0.25">
      <c r="A4800">
        <v>2303</v>
      </c>
      <c r="B4800" t="s">
        <v>10</v>
      </c>
      <c r="C4800" s="1">
        <v>43734</v>
      </c>
      <c r="D4800" s="2">
        <f t="shared" si="148"/>
        <v>4</v>
      </c>
      <c r="E4800" s="2">
        <f t="shared" si="149"/>
        <v>9</v>
      </c>
      <c r="F4800">
        <v>13.8</v>
      </c>
      <c r="G4800">
        <v>14</v>
      </c>
      <c r="H4800">
        <v>13.6</v>
      </c>
      <c r="I4800">
        <v>13.6</v>
      </c>
      <c r="J4800">
        <v>50905</v>
      </c>
      <c r="K4800">
        <v>0</v>
      </c>
      <c r="L4800">
        <v>2.9411999999999998</v>
      </c>
    </row>
    <row r="4801" spans="1:12" hidden="1" x14ac:dyDescent="0.25">
      <c r="A4801">
        <v>2330</v>
      </c>
      <c r="B4801" t="s">
        <v>11</v>
      </c>
      <c r="C4801" s="1">
        <v>43734</v>
      </c>
      <c r="D4801" s="2">
        <f t="shared" si="148"/>
        <v>4</v>
      </c>
      <c r="E4801" s="2">
        <f t="shared" si="149"/>
        <v>9</v>
      </c>
      <c r="F4801">
        <v>264.4803</v>
      </c>
      <c r="G4801">
        <v>264.97190000000001</v>
      </c>
      <c r="H4801">
        <v>262.02229999999997</v>
      </c>
      <c r="I4801">
        <v>263.49709999999999</v>
      </c>
      <c r="J4801">
        <v>34128</v>
      </c>
      <c r="K4801">
        <v>0.74909999999999999</v>
      </c>
      <c r="L4801">
        <v>1.1256999999999999</v>
      </c>
    </row>
    <row r="4802" spans="1:12" x14ac:dyDescent="0.25">
      <c r="A4802">
        <v>2303</v>
      </c>
      <c r="B4802" t="s">
        <v>10</v>
      </c>
      <c r="C4802" s="1">
        <v>43735</v>
      </c>
      <c r="D4802" s="2">
        <f t="shared" si="148"/>
        <v>5</v>
      </c>
      <c r="E4802" s="2">
        <f t="shared" si="149"/>
        <v>9</v>
      </c>
      <c r="F4802">
        <v>13.6</v>
      </c>
      <c r="G4802">
        <v>13.65</v>
      </c>
      <c r="H4802">
        <v>13.4</v>
      </c>
      <c r="I4802">
        <v>13.4</v>
      </c>
      <c r="J4802">
        <v>21617</v>
      </c>
      <c r="K4802">
        <v>-1.4815</v>
      </c>
      <c r="L4802">
        <v>1.8656999999999999</v>
      </c>
    </row>
    <row r="4803" spans="1:12" hidden="1" x14ac:dyDescent="0.25">
      <c r="A4803">
        <v>2330</v>
      </c>
      <c r="B4803" t="s">
        <v>11</v>
      </c>
      <c r="C4803" s="1">
        <v>43735</v>
      </c>
      <c r="D4803" s="2">
        <f t="shared" ref="D4803:D4866" si="150">WEEKDAY(C4803,2)</f>
        <v>5</v>
      </c>
      <c r="E4803" s="2">
        <f t="shared" ref="E4803:E4866" si="151">MONTH(C4803)</f>
        <v>9</v>
      </c>
      <c r="F4803">
        <v>266.93830000000003</v>
      </c>
      <c r="G4803">
        <v>267.92149999999998</v>
      </c>
      <c r="H4803">
        <v>266.44670000000002</v>
      </c>
      <c r="I4803">
        <v>267.42989999999998</v>
      </c>
      <c r="J4803">
        <v>44242</v>
      </c>
      <c r="K4803">
        <v>1.4815</v>
      </c>
      <c r="L4803">
        <v>0.55349999999999999</v>
      </c>
    </row>
    <row r="4804" spans="1:12" x14ac:dyDescent="0.25">
      <c r="A4804">
        <v>2303</v>
      </c>
      <c r="B4804" t="s">
        <v>10</v>
      </c>
      <c r="C4804" s="1">
        <v>43739</v>
      </c>
      <c r="D4804" s="2">
        <f t="shared" si="150"/>
        <v>2</v>
      </c>
      <c r="E4804" s="2">
        <f t="shared" si="151"/>
        <v>10</v>
      </c>
      <c r="F4804">
        <v>13.4</v>
      </c>
      <c r="G4804">
        <v>13.65</v>
      </c>
      <c r="H4804">
        <v>13.4</v>
      </c>
      <c r="I4804">
        <v>13.65</v>
      </c>
      <c r="J4804">
        <v>26138</v>
      </c>
      <c r="K4804">
        <v>1.8485</v>
      </c>
      <c r="L4804">
        <v>1.8656999999999999</v>
      </c>
    </row>
    <row r="4805" spans="1:12" hidden="1" x14ac:dyDescent="0.25">
      <c r="A4805">
        <v>2330</v>
      </c>
      <c r="B4805" t="s">
        <v>11</v>
      </c>
      <c r="C4805" s="1">
        <v>43739</v>
      </c>
      <c r="D4805" s="2">
        <f t="shared" si="150"/>
        <v>2</v>
      </c>
      <c r="E4805" s="2">
        <f t="shared" si="151"/>
        <v>10</v>
      </c>
      <c r="F4805">
        <v>268.41309999999999</v>
      </c>
      <c r="G4805">
        <v>275.78699999999998</v>
      </c>
      <c r="H4805">
        <v>268.41309999999999</v>
      </c>
      <c r="I4805">
        <v>275.29539999999997</v>
      </c>
      <c r="J4805">
        <v>75248</v>
      </c>
      <c r="K4805">
        <v>2.8988</v>
      </c>
      <c r="L4805">
        <v>2.7473000000000001</v>
      </c>
    </row>
    <row r="4806" spans="1:12" x14ac:dyDescent="0.25">
      <c r="A4806">
        <v>2303</v>
      </c>
      <c r="B4806" t="s">
        <v>10</v>
      </c>
      <c r="C4806" s="1">
        <v>43740</v>
      </c>
      <c r="D4806" s="2">
        <f t="shared" si="150"/>
        <v>3</v>
      </c>
      <c r="E4806" s="2">
        <f t="shared" si="151"/>
        <v>10</v>
      </c>
      <c r="F4806">
        <v>13.5</v>
      </c>
      <c r="G4806">
        <v>13.6</v>
      </c>
      <c r="H4806">
        <v>13.45</v>
      </c>
      <c r="I4806">
        <v>13.5</v>
      </c>
      <c r="J4806">
        <v>8772</v>
      </c>
      <c r="K4806">
        <v>-1.105</v>
      </c>
      <c r="L4806">
        <v>1.1152</v>
      </c>
    </row>
    <row r="4807" spans="1:12" hidden="1" x14ac:dyDescent="0.25">
      <c r="A4807">
        <v>2330</v>
      </c>
      <c r="B4807" t="s">
        <v>11</v>
      </c>
      <c r="C4807" s="1">
        <v>43740</v>
      </c>
      <c r="D4807" s="2">
        <f t="shared" si="150"/>
        <v>3</v>
      </c>
      <c r="E4807" s="2">
        <f t="shared" si="151"/>
        <v>10</v>
      </c>
      <c r="F4807">
        <v>275.29539999999997</v>
      </c>
      <c r="G4807">
        <v>276.27859999999998</v>
      </c>
      <c r="H4807">
        <v>274.31220000000002</v>
      </c>
      <c r="I4807">
        <v>274.80380000000002</v>
      </c>
      <c r="J4807">
        <v>30572</v>
      </c>
      <c r="K4807">
        <v>-0.1787</v>
      </c>
      <c r="L4807">
        <v>0.71679999999999999</v>
      </c>
    </row>
    <row r="4808" spans="1:12" x14ac:dyDescent="0.25">
      <c r="A4808">
        <v>2303</v>
      </c>
      <c r="B4808" t="s">
        <v>10</v>
      </c>
      <c r="C4808" s="1">
        <v>43741</v>
      </c>
      <c r="D4808" s="2">
        <f t="shared" si="150"/>
        <v>4</v>
      </c>
      <c r="E4808" s="2">
        <f t="shared" si="151"/>
        <v>10</v>
      </c>
      <c r="F4808">
        <v>13.3</v>
      </c>
      <c r="G4808">
        <v>13.45</v>
      </c>
      <c r="H4808">
        <v>13.2</v>
      </c>
      <c r="I4808">
        <v>13.4</v>
      </c>
      <c r="J4808">
        <v>20721</v>
      </c>
      <c r="K4808">
        <v>-0.74350000000000005</v>
      </c>
      <c r="L4808">
        <v>1.8938999999999999</v>
      </c>
    </row>
    <row r="4809" spans="1:12" hidden="1" x14ac:dyDescent="0.25">
      <c r="A4809">
        <v>2330</v>
      </c>
      <c r="B4809" t="s">
        <v>11</v>
      </c>
      <c r="C4809" s="1">
        <v>43741</v>
      </c>
      <c r="D4809" s="2">
        <f t="shared" si="150"/>
        <v>4</v>
      </c>
      <c r="E4809" s="2">
        <f t="shared" si="151"/>
        <v>10</v>
      </c>
      <c r="F4809">
        <v>269.3963</v>
      </c>
      <c r="G4809">
        <v>272.8374</v>
      </c>
      <c r="H4809">
        <v>269.3963</v>
      </c>
      <c r="I4809">
        <v>271.85419999999999</v>
      </c>
      <c r="J4809">
        <v>35874</v>
      </c>
      <c r="K4809">
        <v>-1.0790999999999999</v>
      </c>
      <c r="L4809">
        <v>1.2774000000000001</v>
      </c>
    </row>
    <row r="4810" spans="1:12" x14ac:dyDescent="0.25">
      <c r="A4810">
        <v>2303</v>
      </c>
      <c r="B4810" t="s">
        <v>10</v>
      </c>
      <c r="C4810" s="1">
        <v>43742</v>
      </c>
      <c r="D4810" s="2">
        <f t="shared" si="150"/>
        <v>5</v>
      </c>
      <c r="E4810" s="2">
        <f t="shared" si="151"/>
        <v>10</v>
      </c>
      <c r="F4810">
        <v>13.35</v>
      </c>
      <c r="G4810">
        <v>13.55</v>
      </c>
      <c r="H4810">
        <v>13.35</v>
      </c>
      <c r="I4810">
        <v>13.45</v>
      </c>
      <c r="J4810">
        <v>11753</v>
      </c>
      <c r="K4810">
        <v>0.37240000000000001</v>
      </c>
      <c r="L4810">
        <v>1.4981</v>
      </c>
    </row>
    <row r="4811" spans="1:12" hidden="1" x14ac:dyDescent="0.25">
      <c r="A4811">
        <v>2330</v>
      </c>
      <c r="B4811" t="s">
        <v>11</v>
      </c>
      <c r="C4811" s="1">
        <v>43742</v>
      </c>
      <c r="D4811" s="2">
        <f t="shared" si="150"/>
        <v>5</v>
      </c>
      <c r="E4811" s="2">
        <f t="shared" si="151"/>
        <v>10</v>
      </c>
      <c r="F4811">
        <v>274.80380000000002</v>
      </c>
      <c r="G4811">
        <v>275.29539999999997</v>
      </c>
      <c r="H4811">
        <v>270.37950000000001</v>
      </c>
      <c r="I4811">
        <v>271.85419999999999</v>
      </c>
      <c r="J4811">
        <v>35814</v>
      </c>
      <c r="K4811">
        <v>0</v>
      </c>
      <c r="L4811">
        <v>1.8182</v>
      </c>
    </row>
    <row r="4812" spans="1:12" x14ac:dyDescent="0.25">
      <c r="A4812">
        <v>2303</v>
      </c>
      <c r="B4812" t="s">
        <v>10</v>
      </c>
      <c r="C4812" s="1">
        <v>43745</v>
      </c>
      <c r="D4812" s="2">
        <f t="shared" si="150"/>
        <v>1</v>
      </c>
      <c r="E4812" s="2">
        <f t="shared" si="151"/>
        <v>10</v>
      </c>
      <c r="F4812">
        <v>13.45</v>
      </c>
      <c r="G4812">
        <v>13.45</v>
      </c>
      <c r="H4812">
        <v>13.3</v>
      </c>
      <c r="I4812">
        <v>13.35</v>
      </c>
      <c r="J4812">
        <v>15828</v>
      </c>
      <c r="K4812">
        <v>-0.74629999999999996</v>
      </c>
      <c r="L4812">
        <v>1.1277999999999999</v>
      </c>
    </row>
    <row r="4813" spans="1:12" hidden="1" x14ac:dyDescent="0.25">
      <c r="A4813">
        <v>2330</v>
      </c>
      <c r="B4813" t="s">
        <v>11</v>
      </c>
      <c r="C4813" s="1">
        <v>43745</v>
      </c>
      <c r="D4813" s="2">
        <f t="shared" si="150"/>
        <v>1</v>
      </c>
      <c r="E4813" s="2">
        <f t="shared" si="151"/>
        <v>10</v>
      </c>
      <c r="F4813">
        <v>274.31220000000002</v>
      </c>
      <c r="G4813">
        <v>274.80380000000002</v>
      </c>
      <c r="H4813">
        <v>272.8374</v>
      </c>
      <c r="I4813">
        <v>273.32900000000001</v>
      </c>
      <c r="J4813">
        <v>17750</v>
      </c>
      <c r="K4813">
        <v>0.54100000000000004</v>
      </c>
      <c r="L4813">
        <v>0.72070000000000001</v>
      </c>
    </row>
    <row r="4814" spans="1:12" x14ac:dyDescent="0.25">
      <c r="A4814">
        <v>2303</v>
      </c>
      <c r="B4814" t="s">
        <v>10</v>
      </c>
      <c r="C4814" s="1">
        <v>43746</v>
      </c>
      <c r="D4814" s="2">
        <f t="shared" si="150"/>
        <v>2</v>
      </c>
      <c r="E4814" s="2">
        <f t="shared" si="151"/>
        <v>10</v>
      </c>
      <c r="F4814">
        <v>13.35</v>
      </c>
      <c r="G4814">
        <v>13.5</v>
      </c>
      <c r="H4814">
        <v>13.3</v>
      </c>
      <c r="I4814">
        <v>13.35</v>
      </c>
      <c r="J4814">
        <v>23503</v>
      </c>
      <c r="K4814">
        <v>0</v>
      </c>
      <c r="L4814">
        <v>1.5038</v>
      </c>
    </row>
    <row r="4815" spans="1:12" hidden="1" x14ac:dyDescent="0.25">
      <c r="A4815">
        <v>2330</v>
      </c>
      <c r="B4815" t="s">
        <v>11</v>
      </c>
      <c r="C4815" s="1">
        <v>43746</v>
      </c>
      <c r="D4815" s="2">
        <f t="shared" si="150"/>
        <v>2</v>
      </c>
      <c r="E4815" s="2">
        <f t="shared" si="151"/>
        <v>10</v>
      </c>
      <c r="F4815">
        <v>278.73660000000001</v>
      </c>
      <c r="G4815">
        <v>281.68619999999999</v>
      </c>
      <c r="H4815">
        <v>277.7534</v>
      </c>
      <c r="I4815">
        <v>281.68619999999999</v>
      </c>
      <c r="J4815">
        <v>39868</v>
      </c>
      <c r="K4815">
        <v>3.0116999999999998</v>
      </c>
      <c r="L4815">
        <v>1.4158999999999999</v>
      </c>
    </row>
    <row r="4816" spans="1:12" x14ac:dyDescent="0.25">
      <c r="A4816">
        <v>2303</v>
      </c>
      <c r="B4816" t="s">
        <v>10</v>
      </c>
      <c r="C4816" s="1">
        <v>43747</v>
      </c>
      <c r="D4816" s="2">
        <f t="shared" si="150"/>
        <v>3</v>
      </c>
      <c r="E4816" s="2">
        <f t="shared" si="151"/>
        <v>10</v>
      </c>
      <c r="F4816">
        <v>13.35</v>
      </c>
      <c r="G4816">
        <v>13.35</v>
      </c>
      <c r="H4816">
        <v>13.15</v>
      </c>
      <c r="I4816">
        <v>13.15</v>
      </c>
      <c r="J4816">
        <v>38292</v>
      </c>
      <c r="K4816">
        <v>-1.5095000000000001</v>
      </c>
      <c r="L4816">
        <v>1.5208999999999999</v>
      </c>
    </row>
    <row r="4817" spans="1:12" hidden="1" x14ac:dyDescent="0.25">
      <c r="A4817">
        <v>2330</v>
      </c>
      <c r="B4817" t="s">
        <v>11</v>
      </c>
      <c r="C4817" s="1">
        <v>43747</v>
      </c>
      <c r="D4817" s="2">
        <f t="shared" si="150"/>
        <v>3</v>
      </c>
      <c r="E4817" s="2">
        <f t="shared" si="151"/>
        <v>10</v>
      </c>
      <c r="F4817">
        <v>278.73660000000001</v>
      </c>
      <c r="G4817">
        <v>281.19459999999998</v>
      </c>
      <c r="H4817">
        <v>277.26179999999999</v>
      </c>
      <c r="I4817">
        <v>277.26179999999999</v>
      </c>
      <c r="J4817">
        <v>34895</v>
      </c>
      <c r="K4817">
        <v>-1.5831</v>
      </c>
      <c r="L4817">
        <v>1.4184000000000001</v>
      </c>
    </row>
    <row r="4818" spans="1:12" x14ac:dyDescent="0.25">
      <c r="A4818">
        <v>2303</v>
      </c>
      <c r="B4818" t="s">
        <v>10</v>
      </c>
      <c r="C4818" s="1">
        <v>43752</v>
      </c>
      <c r="D4818" s="2">
        <f t="shared" si="150"/>
        <v>1</v>
      </c>
      <c r="E4818" s="2">
        <f t="shared" si="151"/>
        <v>10</v>
      </c>
      <c r="F4818">
        <v>13.45</v>
      </c>
      <c r="G4818">
        <v>13.65</v>
      </c>
      <c r="H4818">
        <v>13.35</v>
      </c>
      <c r="I4818">
        <v>13.5</v>
      </c>
      <c r="J4818">
        <v>45103</v>
      </c>
      <c r="K4818">
        <v>2.6267999999999998</v>
      </c>
      <c r="L4818">
        <v>2.2471999999999999</v>
      </c>
    </row>
    <row r="4819" spans="1:12" hidden="1" x14ac:dyDescent="0.25">
      <c r="A4819">
        <v>2330</v>
      </c>
      <c r="B4819" t="s">
        <v>11</v>
      </c>
      <c r="C4819" s="1">
        <v>43752</v>
      </c>
      <c r="D4819" s="2">
        <f t="shared" si="150"/>
        <v>1</v>
      </c>
      <c r="E4819" s="2">
        <f t="shared" si="151"/>
        <v>10</v>
      </c>
      <c r="F4819">
        <v>286.60219999999998</v>
      </c>
      <c r="G4819">
        <v>286.60219999999998</v>
      </c>
      <c r="H4819">
        <v>283.65260000000001</v>
      </c>
      <c r="I4819">
        <v>285.12740000000002</v>
      </c>
      <c r="J4819">
        <v>53403</v>
      </c>
      <c r="K4819">
        <v>2.7974000000000001</v>
      </c>
      <c r="L4819">
        <v>1.0399</v>
      </c>
    </row>
    <row r="4820" spans="1:12" x14ac:dyDescent="0.25">
      <c r="A4820">
        <v>2303</v>
      </c>
      <c r="B4820" t="s">
        <v>10</v>
      </c>
      <c r="C4820" s="1">
        <v>43753</v>
      </c>
      <c r="D4820" s="2">
        <f t="shared" si="150"/>
        <v>2</v>
      </c>
      <c r="E4820" s="2">
        <f t="shared" si="151"/>
        <v>10</v>
      </c>
      <c r="F4820">
        <v>13.5</v>
      </c>
      <c r="G4820">
        <v>13.8</v>
      </c>
      <c r="H4820">
        <v>13.5</v>
      </c>
      <c r="I4820">
        <v>13.7</v>
      </c>
      <c r="J4820">
        <v>48290</v>
      </c>
      <c r="K4820">
        <v>1.4705999999999999</v>
      </c>
      <c r="L4820">
        <v>2.2222</v>
      </c>
    </row>
    <row r="4821" spans="1:12" hidden="1" x14ac:dyDescent="0.25">
      <c r="A4821">
        <v>2330</v>
      </c>
      <c r="B4821" t="s">
        <v>11</v>
      </c>
      <c r="C4821" s="1">
        <v>43753</v>
      </c>
      <c r="D4821" s="2">
        <f t="shared" si="150"/>
        <v>2</v>
      </c>
      <c r="E4821" s="2">
        <f t="shared" si="151"/>
        <v>10</v>
      </c>
      <c r="F4821">
        <v>288.5686</v>
      </c>
      <c r="G4821">
        <v>291.02659999999997</v>
      </c>
      <c r="H4821">
        <v>287.09379999999999</v>
      </c>
      <c r="I4821">
        <v>288.5686</v>
      </c>
      <c r="J4821">
        <v>54754</v>
      </c>
      <c r="K4821">
        <v>1.1997</v>
      </c>
      <c r="L4821">
        <v>1.3698999999999999</v>
      </c>
    </row>
    <row r="4822" spans="1:12" x14ac:dyDescent="0.25">
      <c r="A4822">
        <v>2303</v>
      </c>
      <c r="B4822" t="s">
        <v>10</v>
      </c>
      <c r="C4822" s="1">
        <v>43754</v>
      </c>
      <c r="D4822" s="2">
        <f t="shared" si="150"/>
        <v>3</v>
      </c>
      <c r="E4822" s="2">
        <f t="shared" si="151"/>
        <v>10</v>
      </c>
      <c r="F4822">
        <v>13.8</v>
      </c>
      <c r="G4822">
        <v>13.8</v>
      </c>
      <c r="H4822">
        <v>13.6</v>
      </c>
      <c r="I4822">
        <v>13.75</v>
      </c>
      <c r="J4822">
        <v>31033</v>
      </c>
      <c r="K4822">
        <v>0.36430000000000001</v>
      </c>
      <c r="L4822">
        <v>1.4705999999999999</v>
      </c>
    </row>
    <row r="4823" spans="1:12" hidden="1" x14ac:dyDescent="0.25">
      <c r="A4823">
        <v>2330</v>
      </c>
      <c r="B4823" t="s">
        <v>11</v>
      </c>
      <c r="C4823" s="1">
        <v>43754</v>
      </c>
      <c r="D4823" s="2">
        <f t="shared" si="150"/>
        <v>3</v>
      </c>
      <c r="E4823" s="2">
        <f t="shared" si="151"/>
        <v>10</v>
      </c>
      <c r="F4823">
        <v>292.99299999999999</v>
      </c>
      <c r="G4823">
        <v>292.99299999999999</v>
      </c>
      <c r="H4823">
        <v>288.5686</v>
      </c>
      <c r="I4823">
        <v>291.51819999999998</v>
      </c>
      <c r="J4823">
        <v>42917</v>
      </c>
      <c r="K4823">
        <v>1.0169999999999999</v>
      </c>
      <c r="L4823">
        <v>1.5331999999999999</v>
      </c>
    </row>
    <row r="4824" spans="1:12" x14ac:dyDescent="0.25">
      <c r="A4824">
        <v>2303</v>
      </c>
      <c r="B4824" t="s">
        <v>10</v>
      </c>
      <c r="C4824" s="1">
        <v>43755</v>
      </c>
      <c r="D4824" s="2">
        <f t="shared" si="150"/>
        <v>4</v>
      </c>
      <c r="E4824" s="2">
        <f t="shared" si="151"/>
        <v>10</v>
      </c>
      <c r="F4824">
        <v>13.75</v>
      </c>
      <c r="G4824">
        <v>13.8</v>
      </c>
      <c r="H4824">
        <v>13.65</v>
      </c>
      <c r="I4824">
        <v>13.8</v>
      </c>
      <c r="J4824">
        <v>17379</v>
      </c>
      <c r="K4824">
        <v>0.36299999999999999</v>
      </c>
      <c r="L4824">
        <v>1.0989</v>
      </c>
    </row>
    <row r="4825" spans="1:12" hidden="1" x14ac:dyDescent="0.25">
      <c r="A4825">
        <v>2330</v>
      </c>
      <c r="B4825" t="s">
        <v>11</v>
      </c>
      <c r="C4825" s="1">
        <v>43755</v>
      </c>
      <c r="D4825" s="2">
        <f t="shared" si="150"/>
        <v>4</v>
      </c>
      <c r="E4825" s="2">
        <f t="shared" si="151"/>
        <v>10</v>
      </c>
      <c r="F4825">
        <v>290.04340000000002</v>
      </c>
      <c r="G4825">
        <v>290.53500000000003</v>
      </c>
      <c r="H4825">
        <v>287.09379999999999</v>
      </c>
      <c r="I4825">
        <v>288.5686</v>
      </c>
      <c r="J4825">
        <v>41920</v>
      </c>
      <c r="K4825">
        <v>-1.0169999999999999</v>
      </c>
      <c r="L4825">
        <v>1.1986000000000001</v>
      </c>
    </row>
    <row r="4826" spans="1:12" x14ac:dyDescent="0.25">
      <c r="A4826">
        <v>2303</v>
      </c>
      <c r="B4826" t="s">
        <v>10</v>
      </c>
      <c r="C4826" s="1">
        <v>43756</v>
      </c>
      <c r="D4826" s="2">
        <f t="shared" si="150"/>
        <v>5</v>
      </c>
      <c r="E4826" s="2">
        <f t="shared" si="151"/>
        <v>10</v>
      </c>
      <c r="F4826">
        <v>13.7</v>
      </c>
      <c r="G4826">
        <v>14</v>
      </c>
      <c r="H4826">
        <v>13.7</v>
      </c>
      <c r="I4826">
        <v>13.95</v>
      </c>
      <c r="J4826">
        <v>46084</v>
      </c>
      <c r="K4826">
        <v>1.0810999999999999</v>
      </c>
      <c r="L4826">
        <v>2.1898</v>
      </c>
    </row>
    <row r="4827" spans="1:12" hidden="1" x14ac:dyDescent="0.25">
      <c r="A4827">
        <v>2330</v>
      </c>
      <c r="B4827" t="s">
        <v>11</v>
      </c>
      <c r="C4827" s="1">
        <v>43756</v>
      </c>
      <c r="D4827" s="2">
        <f t="shared" si="150"/>
        <v>5</v>
      </c>
      <c r="E4827" s="2">
        <f t="shared" si="151"/>
        <v>10</v>
      </c>
      <c r="F4827">
        <v>288.077</v>
      </c>
      <c r="G4827">
        <v>290.53500000000003</v>
      </c>
      <c r="H4827">
        <v>286.11059999999998</v>
      </c>
      <c r="I4827">
        <v>288.077</v>
      </c>
      <c r="J4827">
        <v>45460</v>
      </c>
      <c r="K4827">
        <v>-0.17050000000000001</v>
      </c>
      <c r="L4827">
        <v>1.5464</v>
      </c>
    </row>
    <row r="4828" spans="1:12" x14ac:dyDescent="0.25">
      <c r="A4828">
        <v>2303</v>
      </c>
      <c r="B4828" t="s">
        <v>10</v>
      </c>
      <c r="C4828" s="1">
        <v>43759</v>
      </c>
      <c r="D4828" s="2">
        <f t="shared" si="150"/>
        <v>1</v>
      </c>
      <c r="E4828" s="2">
        <f t="shared" si="151"/>
        <v>10</v>
      </c>
      <c r="F4828">
        <v>13.95</v>
      </c>
      <c r="G4828">
        <v>14</v>
      </c>
      <c r="H4828">
        <v>13.9</v>
      </c>
      <c r="I4828">
        <v>13.9</v>
      </c>
      <c r="J4828">
        <v>12903</v>
      </c>
      <c r="K4828">
        <v>-0.35909999999999997</v>
      </c>
      <c r="L4828">
        <v>0.71940000000000004</v>
      </c>
    </row>
    <row r="4829" spans="1:12" hidden="1" x14ac:dyDescent="0.25">
      <c r="A4829">
        <v>2330</v>
      </c>
      <c r="B4829" t="s">
        <v>11</v>
      </c>
      <c r="C4829" s="1">
        <v>43759</v>
      </c>
      <c r="D4829" s="2">
        <f t="shared" si="150"/>
        <v>1</v>
      </c>
      <c r="E4829" s="2">
        <f t="shared" si="151"/>
        <v>10</v>
      </c>
      <c r="F4829">
        <v>286.11059999999998</v>
      </c>
      <c r="G4829">
        <v>286.11059999999998</v>
      </c>
      <c r="H4829">
        <v>283.65260000000001</v>
      </c>
      <c r="I4829">
        <v>285.12740000000002</v>
      </c>
      <c r="J4829">
        <v>35860</v>
      </c>
      <c r="K4829">
        <v>-1.0291999999999999</v>
      </c>
      <c r="L4829">
        <v>0.86660000000000004</v>
      </c>
    </row>
    <row r="4830" spans="1:12" x14ac:dyDescent="0.25">
      <c r="A4830">
        <v>2303</v>
      </c>
      <c r="B4830" t="s">
        <v>10</v>
      </c>
      <c r="C4830" s="1">
        <v>43760</v>
      </c>
      <c r="D4830" s="2">
        <f t="shared" si="150"/>
        <v>2</v>
      </c>
      <c r="E4830" s="2">
        <f t="shared" si="151"/>
        <v>10</v>
      </c>
      <c r="F4830">
        <v>14.1</v>
      </c>
      <c r="G4830">
        <v>14.15</v>
      </c>
      <c r="H4830">
        <v>13.9</v>
      </c>
      <c r="I4830">
        <v>14</v>
      </c>
      <c r="J4830">
        <v>23631</v>
      </c>
      <c r="K4830">
        <v>0.71679999999999999</v>
      </c>
      <c r="L4830">
        <v>1.7986</v>
      </c>
    </row>
    <row r="4831" spans="1:12" hidden="1" x14ac:dyDescent="0.25">
      <c r="A4831">
        <v>2330</v>
      </c>
      <c r="B4831" t="s">
        <v>11</v>
      </c>
      <c r="C4831" s="1">
        <v>43760</v>
      </c>
      <c r="D4831" s="2">
        <f t="shared" si="150"/>
        <v>2</v>
      </c>
      <c r="E4831" s="2">
        <f t="shared" si="151"/>
        <v>10</v>
      </c>
      <c r="F4831">
        <v>287.58539999999999</v>
      </c>
      <c r="G4831">
        <v>289.06020000000001</v>
      </c>
      <c r="H4831">
        <v>286.60219999999998</v>
      </c>
      <c r="I4831">
        <v>289.06020000000001</v>
      </c>
      <c r="J4831">
        <v>26525</v>
      </c>
      <c r="K4831">
        <v>1.3698999999999999</v>
      </c>
      <c r="L4831">
        <v>0.85760000000000003</v>
      </c>
    </row>
    <row r="4832" spans="1:12" x14ac:dyDescent="0.25">
      <c r="A4832">
        <v>2303</v>
      </c>
      <c r="B4832" t="s">
        <v>10</v>
      </c>
      <c r="C4832" s="1">
        <v>43761</v>
      </c>
      <c r="D4832" s="2">
        <f t="shared" si="150"/>
        <v>3</v>
      </c>
      <c r="E4832" s="2">
        <f t="shared" si="151"/>
        <v>10</v>
      </c>
      <c r="F4832">
        <v>14.05</v>
      </c>
      <c r="G4832">
        <v>14.05</v>
      </c>
      <c r="H4832">
        <v>13.95</v>
      </c>
      <c r="I4832">
        <v>14.05</v>
      </c>
      <c r="J4832">
        <v>26012</v>
      </c>
      <c r="K4832">
        <v>0.35649999999999998</v>
      </c>
      <c r="L4832">
        <v>0.71679999999999999</v>
      </c>
    </row>
    <row r="4833" spans="1:12" hidden="1" x14ac:dyDescent="0.25">
      <c r="A4833">
        <v>2330</v>
      </c>
      <c r="B4833" t="s">
        <v>11</v>
      </c>
      <c r="C4833" s="1">
        <v>43761</v>
      </c>
      <c r="D4833" s="2">
        <f t="shared" si="150"/>
        <v>3</v>
      </c>
      <c r="E4833" s="2">
        <f t="shared" si="151"/>
        <v>10</v>
      </c>
      <c r="F4833">
        <v>288.5686</v>
      </c>
      <c r="G4833">
        <v>288.5686</v>
      </c>
      <c r="H4833">
        <v>285.61900000000003</v>
      </c>
      <c r="I4833">
        <v>288.077</v>
      </c>
      <c r="J4833">
        <v>30382</v>
      </c>
      <c r="K4833">
        <v>-0.3407</v>
      </c>
      <c r="L4833">
        <v>1.0327</v>
      </c>
    </row>
    <row r="4834" spans="1:12" x14ac:dyDescent="0.25">
      <c r="A4834">
        <v>2303</v>
      </c>
      <c r="B4834" t="s">
        <v>10</v>
      </c>
      <c r="C4834" s="1">
        <v>43762</v>
      </c>
      <c r="D4834" s="2">
        <f t="shared" si="150"/>
        <v>4</v>
      </c>
      <c r="E4834" s="2">
        <f t="shared" si="151"/>
        <v>10</v>
      </c>
      <c r="F4834">
        <v>14.1</v>
      </c>
      <c r="G4834">
        <v>14.8</v>
      </c>
      <c r="H4834">
        <v>14.05</v>
      </c>
      <c r="I4834">
        <v>14.55</v>
      </c>
      <c r="J4834">
        <v>119513</v>
      </c>
      <c r="K4834">
        <v>3.4969000000000001</v>
      </c>
      <c r="L4834">
        <v>5.3380999999999998</v>
      </c>
    </row>
    <row r="4835" spans="1:12" hidden="1" x14ac:dyDescent="0.25">
      <c r="A4835">
        <v>2330</v>
      </c>
      <c r="B4835" t="s">
        <v>11</v>
      </c>
      <c r="C4835" s="1">
        <v>43762</v>
      </c>
      <c r="D4835" s="2">
        <f t="shared" si="150"/>
        <v>4</v>
      </c>
      <c r="E4835" s="2">
        <f t="shared" si="151"/>
        <v>10</v>
      </c>
      <c r="F4835">
        <v>289.55180000000001</v>
      </c>
      <c r="G4835">
        <v>289.55180000000001</v>
      </c>
      <c r="H4835">
        <v>286.11059999999998</v>
      </c>
      <c r="I4835">
        <v>288.077</v>
      </c>
      <c r="J4835">
        <v>29040</v>
      </c>
      <c r="K4835">
        <v>0</v>
      </c>
      <c r="L4835">
        <v>1.2027000000000001</v>
      </c>
    </row>
    <row r="4836" spans="1:12" x14ac:dyDescent="0.25">
      <c r="A4836">
        <v>2303</v>
      </c>
      <c r="B4836" t="s">
        <v>10</v>
      </c>
      <c r="C4836" s="1">
        <v>43763</v>
      </c>
      <c r="D4836" s="2">
        <f t="shared" si="150"/>
        <v>5</v>
      </c>
      <c r="E4836" s="2">
        <f t="shared" si="151"/>
        <v>10</v>
      </c>
      <c r="F4836">
        <v>14.4</v>
      </c>
      <c r="G4836">
        <v>14.55</v>
      </c>
      <c r="H4836">
        <v>14.3</v>
      </c>
      <c r="I4836">
        <v>14.4</v>
      </c>
      <c r="J4836">
        <v>43635</v>
      </c>
      <c r="K4836">
        <v>-1.0363</v>
      </c>
      <c r="L4836">
        <v>1.7483</v>
      </c>
    </row>
    <row r="4837" spans="1:12" hidden="1" x14ac:dyDescent="0.25">
      <c r="A4837">
        <v>2330</v>
      </c>
      <c r="B4837" t="s">
        <v>11</v>
      </c>
      <c r="C4837" s="1">
        <v>43763</v>
      </c>
      <c r="D4837" s="2">
        <f t="shared" si="150"/>
        <v>5</v>
      </c>
      <c r="E4837" s="2">
        <f t="shared" si="151"/>
        <v>10</v>
      </c>
      <c r="F4837">
        <v>289.55180000000001</v>
      </c>
      <c r="G4837">
        <v>289.55180000000001</v>
      </c>
      <c r="H4837">
        <v>287.58539999999999</v>
      </c>
      <c r="I4837">
        <v>288.5686</v>
      </c>
      <c r="J4837">
        <v>25082</v>
      </c>
      <c r="K4837">
        <v>0.17050000000000001</v>
      </c>
      <c r="L4837">
        <v>0.68379999999999996</v>
      </c>
    </row>
    <row r="4838" spans="1:12" x14ac:dyDescent="0.25">
      <c r="A4838">
        <v>2303</v>
      </c>
      <c r="B4838" t="s">
        <v>10</v>
      </c>
      <c r="C4838" s="1">
        <v>43766</v>
      </c>
      <c r="D4838" s="2">
        <f t="shared" si="150"/>
        <v>1</v>
      </c>
      <c r="E4838" s="2">
        <f t="shared" si="151"/>
        <v>10</v>
      </c>
      <c r="F4838">
        <v>14.45</v>
      </c>
      <c r="G4838">
        <v>14.5</v>
      </c>
      <c r="H4838">
        <v>14.15</v>
      </c>
      <c r="I4838">
        <v>14.25</v>
      </c>
      <c r="J4838">
        <v>23325</v>
      </c>
      <c r="K4838">
        <v>-1.0470999999999999</v>
      </c>
      <c r="L4838">
        <v>2.4735</v>
      </c>
    </row>
    <row r="4839" spans="1:12" hidden="1" x14ac:dyDescent="0.25">
      <c r="A4839">
        <v>2330</v>
      </c>
      <c r="B4839" t="s">
        <v>11</v>
      </c>
      <c r="C4839" s="1">
        <v>43766</v>
      </c>
      <c r="D4839" s="2">
        <f t="shared" si="150"/>
        <v>1</v>
      </c>
      <c r="E4839" s="2">
        <f t="shared" si="151"/>
        <v>10</v>
      </c>
      <c r="F4839">
        <v>290.04340000000002</v>
      </c>
      <c r="G4839">
        <v>290.53500000000003</v>
      </c>
      <c r="H4839">
        <v>289.06020000000001</v>
      </c>
      <c r="I4839">
        <v>289.55180000000001</v>
      </c>
      <c r="J4839">
        <v>20216</v>
      </c>
      <c r="K4839">
        <v>0.34010000000000001</v>
      </c>
      <c r="L4839">
        <v>0.51019999999999999</v>
      </c>
    </row>
    <row r="4840" spans="1:12" x14ac:dyDescent="0.25">
      <c r="A4840">
        <v>2303</v>
      </c>
      <c r="B4840" t="s">
        <v>10</v>
      </c>
      <c r="C4840" s="1">
        <v>43767</v>
      </c>
      <c r="D4840" s="2">
        <f t="shared" si="150"/>
        <v>2</v>
      </c>
      <c r="E4840" s="2">
        <f t="shared" si="151"/>
        <v>10</v>
      </c>
      <c r="F4840">
        <v>14.3</v>
      </c>
      <c r="G4840">
        <v>14.65</v>
      </c>
      <c r="H4840">
        <v>14.3</v>
      </c>
      <c r="I4840">
        <v>14.5</v>
      </c>
      <c r="J4840">
        <v>63793</v>
      </c>
      <c r="K4840">
        <v>1.7392000000000001</v>
      </c>
      <c r="L4840">
        <v>2.4476</v>
      </c>
    </row>
    <row r="4841" spans="1:12" hidden="1" x14ac:dyDescent="0.25">
      <c r="A4841">
        <v>2330</v>
      </c>
      <c r="B4841" t="s">
        <v>11</v>
      </c>
      <c r="C4841" s="1">
        <v>43767</v>
      </c>
      <c r="D4841" s="2">
        <f t="shared" si="150"/>
        <v>2</v>
      </c>
      <c r="E4841" s="2">
        <f t="shared" si="151"/>
        <v>10</v>
      </c>
      <c r="F4841">
        <v>292.00979999999998</v>
      </c>
      <c r="G4841">
        <v>293.4846</v>
      </c>
      <c r="H4841">
        <v>291.51819999999998</v>
      </c>
      <c r="I4841">
        <v>293.4846</v>
      </c>
      <c r="J4841">
        <v>37130</v>
      </c>
      <c r="K4841">
        <v>1.3491</v>
      </c>
      <c r="L4841">
        <v>0.67449999999999999</v>
      </c>
    </row>
    <row r="4842" spans="1:12" x14ac:dyDescent="0.25">
      <c r="A4842">
        <v>2303</v>
      </c>
      <c r="B4842" t="s">
        <v>10</v>
      </c>
      <c r="C4842" s="1">
        <v>43768</v>
      </c>
      <c r="D4842" s="2">
        <f t="shared" si="150"/>
        <v>3</v>
      </c>
      <c r="E4842" s="2">
        <f t="shared" si="151"/>
        <v>10</v>
      </c>
      <c r="F4842">
        <v>14.7</v>
      </c>
      <c r="G4842">
        <v>14.7</v>
      </c>
      <c r="H4842">
        <v>14.35</v>
      </c>
      <c r="I4842">
        <v>14.4</v>
      </c>
      <c r="J4842">
        <v>61233</v>
      </c>
      <c r="K4842">
        <v>-0.69199999999999995</v>
      </c>
      <c r="L4842">
        <v>2.4390000000000001</v>
      </c>
    </row>
    <row r="4843" spans="1:12" hidden="1" x14ac:dyDescent="0.25">
      <c r="A4843">
        <v>2330</v>
      </c>
      <c r="B4843" t="s">
        <v>11</v>
      </c>
      <c r="C4843" s="1">
        <v>43768</v>
      </c>
      <c r="D4843" s="2">
        <f t="shared" si="150"/>
        <v>3</v>
      </c>
      <c r="E4843" s="2">
        <f t="shared" si="151"/>
        <v>10</v>
      </c>
      <c r="F4843">
        <v>293.4846</v>
      </c>
      <c r="G4843">
        <v>294.46780000000001</v>
      </c>
      <c r="H4843">
        <v>291.51819999999998</v>
      </c>
      <c r="I4843">
        <v>294.46780000000001</v>
      </c>
      <c r="J4843">
        <v>32370</v>
      </c>
      <c r="K4843">
        <v>0.33439999999999998</v>
      </c>
      <c r="L4843">
        <v>1.0118</v>
      </c>
    </row>
    <row r="4844" spans="1:12" x14ac:dyDescent="0.25">
      <c r="A4844">
        <v>2303</v>
      </c>
      <c r="B4844" t="s">
        <v>10</v>
      </c>
      <c r="C4844" s="1">
        <v>43769</v>
      </c>
      <c r="D4844" s="2">
        <f t="shared" si="150"/>
        <v>4</v>
      </c>
      <c r="E4844" s="2">
        <f t="shared" si="151"/>
        <v>10</v>
      </c>
      <c r="F4844">
        <v>14.35</v>
      </c>
      <c r="G4844">
        <v>14.35</v>
      </c>
      <c r="H4844">
        <v>13.9</v>
      </c>
      <c r="I4844">
        <v>14</v>
      </c>
      <c r="J4844">
        <v>97117</v>
      </c>
      <c r="K4844">
        <v>-2.8170999999999999</v>
      </c>
      <c r="L4844">
        <v>3.2374000000000001</v>
      </c>
    </row>
    <row r="4845" spans="1:12" hidden="1" x14ac:dyDescent="0.25">
      <c r="A4845">
        <v>2330</v>
      </c>
      <c r="B4845" t="s">
        <v>11</v>
      </c>
      <c r="C4845" s="1">
        <v>43769</v>
      </c>
      <c r="D4845" s="2">
        <f t="shared" si="150"/>
        <v>4</v>
      </c>
      <c r="E4845" s="2">
        <f t="shared" si="151"/>
        <v>10</v>
      </c>
      <c r="F4845">
        <v>294.95940000000002</v>
      </c>
      <c r="G4845">
        <v>296.43419999999998</v>
      </c>
      <c r="H4845">
        <v>293.4846</v>
      </c>
      <c r="I4845">
        <v>293.4846</v>
      </c>
      <c r="J4845">
        <v>43123</v>
      </c>
      <c r="K4845">
        <v>-0.33439999999999998</v>
      </c>
      <c r="L4845">
        <v>1.0049999999999999</v>
      </c>
    </row>
    <row r="4846" spans="1:12" x14ac:dyDescent="0.25">
      <c r="A4846">
        <v>2303</v>
      </c>
      <c r="B4846" t="s">
        <v>10</v>
      </c>
      <c r="C4846" s="1">
        <v>43770</v>
      </c>
      <c r="D4846" s="2">
        <f t="shared" si="150"/>
        <v>5</v>
      </c>
      <c r="E4846" s="2">
        <f t="shared" si="151"/>
        <v>11</v>
      </c>
      <c r="F4846">
        <v>14.15</v>
      </c>
      <c r="G4846">
        <v>14.55</v>
      </c>
      <c r="H4846">
        <v>14.1</v>
      </c>
      <c r="I4846">
        <v>14.5</v>
      </c>
      <c r="J4846">
        <v>93849</v>
      </c>
      <c r="K4846">
        <v>3.5091000000000001</v>
      </c>
      <c r="L4846">
        <v>3.1915</v>
      </c>
    </row>
    <row r="4847" spans="1:12" hidden="1" x14ac:dyDescent="0.25">
      <c r="A4847">
        <v>2330</v>
      </c>
      <c r="B4847" t="s">
        <v>11</v>
      </c>
      <c r="C4847" s="1">
        <v>43770</v>
      </c>
      <c r="D4847" s="2">
        <f t="shared" si="150"/>
        <v>5</v>
      </c>
      <c r="E4847" s="2">
        <f t="shared" si="151"/>
        <v>11</v>
      </c>
      <c r="F4847">
        <v>294.46780000000001</v>
      </c>
      <c r="G4847">
        <v>294.46780000000001</v>
      </c>
      <c r="H4847">
        <v>291.51819999999998</v>
      </c>
      <c r="I4847">
        <v>293.97620000000001</v>
      </c>
      <c r="J4847">
        <v>30216</v>
      </c>
      <c r="K4847">
        <v>0.16739999999999999</v>
      </c>
      <c r="L4847">
        <v>1.0118</v>
      </c>
    </row>
    <row r="4848" spans="1:12" x14ac:dyDescent="0.25">
      <c r="A4848">
        <v>2303</v>
      </c>
      <c r="B4848" t="s">
        <v>10</v>
      </c>
      <c r="C4848" s="1">
        <v>43773</v>
      </c>
      <c r="D4848" s="2">
        <f t="shared" si="150"/>
        <v>1</v>
      </c>
      <c r="E4848" s="2">
        <f t="shared" si="151"/>
        <v>11</v>
      </c>
      <c r="F4848">
        <v>14.5</v>
      </c>
      <c r="G4848">
        <v>14.8</v>
      </c>
      <c r="H4848">
        <v>14.5</v>
      </c>
      <c r="I4848">
        <v>14.65</v>
      </c>
      <c r="J4848">
        <v>94378</v>
      </c>
      <c r="K4848">
        <v>1.0291999999999999</v>
      </c>
      <c r="L4848">
        <v>2.069</v>
      </c>
    </row>
    <row r="4849" spans="1:12" hidden="1" x14ac:dyDescent="0.25">
      <c r="A4849">
        <v>2330</v>
      </c>
      <c r="B4849" t="s">
        <v>11</v>
      </c>
      <c r="C4849" s="1">
        <v>43773</v>
      </c>
      <c r="D4849" s="2">
        <f t="shared" si="150"/>
        <v>1</v>
      </c>
      <c r="E4849" s="2">
        <f t="shared" si="151"/>
        <v>11</v>
      </c>
      <c r="F4849">
        <v>297.41739999999999</v>
      </c>
      <c r="G4849">
        <v>302.82499999999999</v>
      </c>
      <c r="H4849">
        <v>295.94260000000003</v>
      </c>
      <c r="I4849">
        <v>301.84179999999998</v>
      </c>
      <c r="J4849">
        <v>45155</v>
      </c>
      <c r="K4849">
        <v>2.6404000000000001</v>
      </c>
      <c r="L4849">
        <v>2.3256000000000001</v>
      </c>
    </row>
    <row r="4850" spans="1:12" x14ac:dyDescent="0.25">
      <c r="A4850">
        <v>2303</v>
      </c>
      <c r="B4850" t="s">
        <v>10</v>
      </c>
      <c r="C4850" s="1">
        <v>43774</v>
      </c>
      <c r="D4850" s="2">
        <f t="shared" si="150"/>
        <v>2</v>
      </c>
      <c r="E4850" s="2">
        <f t="shared" si="151"/>
        <v>11</v>
      </c>
      <c r="F4850">
        <v>14.65</v>
      </c>
      <c r="G4850">
        <v>14.7</v>
      </c>
      <c r="H4850">
        <v>14.4</v>
      </c>
      <c r="I4850">
        <v>14.5</v>
      </c>
      <c r="J4850">
        <v>53488</v>
      </c>
      <c r="K4850">
        <v>-1.0291999999999999</v>
      </c>
      <c r="L4850">
        <v>2.0832999999999999</v>
      </c>
    </row>
    <row r="4851" spans="1:12" hidden="1" x14ac:dyDescent="0.25">
      <c r="A4851">
        <v>2330</v>
      </c>
      <c r="B4851" t="s">
        <v>11</v>
      </c>
      <c r="C4851" s="1">
        <v>43774</v>
      </c>
      <c r="D4851" s="2">
        <f t="shared" si="150"/>
        <v>2</v>
      </c>
      <c r="E4851" s="2">
        <f t="shared" si="151"/>
        <v>11</v>
      </c>
      <c r="F4851">
        <v>302.33339999999998</v>
      </c>
      <c r="G4851">
        <v>305.28300000000002</v>
      </c>
      <c r="H4851">
        <v>301.84179999999998</v>
      </c>
      <c r="I4851">
        <v>305.28300000000002</v>
      </c>
      <c r="J4851">
        <v>32253</v>
      </c>
      <c r="K4851">
        <v>1.1335999999999999</v>
      </c>
      <c r="L4851">
        <v>1.1400999999999999</v>
      </c>
    </row>
    <row r="4852" spans="1:12" x14ac:dyDescent="0.25">
      <c r="A4852">
        <v>2303</v>
      </c>
      <c r="B4852" t="s">
        <v>10</v>
      </c>
      <c r="C4852" s="1">
        <v>43775</v>
      </c>
      <c r="D4852" s="2">
        <f t="shared" si="150"/>
        <v>3</v>
      </c>
      <c r="E4852" s="2">
        <f t="shared" si="151"/>
        <v>11</v>
      </c>
      <c r="F4852">
        <v>14.55</v>
      </c>
      <c r="G4852">
        <v>14.55</v>
      </c>
      <c r="H4852">
        <v>14.3</v>
      </c>
      <c r="I4852">
        <v>14.5</v>
      </c>
      <c r="J4852">
        <v>52059</v>
      </c>
      <c r="K4852">
        <v>0</v>
      </c>
      <c r="L4852">
        <v>1.7483</v>
      </c>
    </row>
    <row r="4853" spans="1:12" hidden="1" x14ac:dyDescent="0.25">
      <c r="A4853">
        <v>2330</v>
      </c>
      <c r="B4853" t="s">
        <v>11</v>
      </c>
      <c r="C4853" s="1">
        <v>43775</v>
      </c>
      <c r="D4853" s="2">
        <f t="shared" si="150"/>
        <v>3</v>
      </c>
      <c r="E4853" s="2">
        <f t="shared" si="151"/>
        <v>11</v>
      </c>
      <c r="F4853">
        <v>303.8082</v>
      </c>
      <c r="G4853">
        <v>306.26620000000003</v>
      </c>
      <c r="H4853">
        <v>302.82499999999999</v>
      </c>
      <c r="I4853">
        <v>305.77460000000002</v>
      </c>
      <c r="J4853">
        <v>22149</v>
      </c>
      <c r="K4853">
        <v>0.16089999999999999</v>
      </c>
      <c r="L4853">
        <v>1.1364000000000001</v>
      </c>
    </row>
    <row r="4854" spans="1:12" x14ac:dyDescent="0.25">
      <c r="A4854">
        <v>2303</v>
      </c>
      <c r="B4854" t="s">
        <v>10</v>
      </c>
      <c r="C4854" s="1">
        <v>43776</v>
      </c>
      <c r="D4854" s="2">
        <f t="shared" si="150"/>
        <v>4</v>
      </c>
      <c r="E4854" s="2">
        <f t="shared" si="151"/>
        <v>11</v>
      </c>
      <c r="F4854">
        <v>14.5</v>
      </c>
      <c r="G4854">
        <v>14.55</v>
      </c>
      <c r="H4854">
        <v>14.2</v>
      </c>
      <c r="I4854">
        <v>14.25</v>
      </c>
      <c r="J4854">
        <v>44219</v>
      </c>
      <c r="K4854">
        <v>-1.7392000000000001</v>
      </c>
      <c r="L4854">
        <v>2.4647999999999999</v>
      </c>
    </row>
    <row r="4855" spans="1:12" hidden="1" x14ac:dyDescent="0.25">
      <c r="A4855">
        <v>2330</v>
      </c>
      <c r="B4855" t="s">
        <v>11</v>
      </c>
      <c r="C4855" s="1">
        <v>43776</v>
      </c>
      <c r="D4855" s="2">
        <f t="shared" si="150"/>
        <v>4</v>
      </c>
      <c r="E4855" s="2">
        <f t="shared" si="151"/>
        <v>11</v>
      </c>
      <c r="F4855">
        <v>304.79140000000001</v>
      </c>
      <c r="G4855">
        <v>304.79140000000001</v>
      </c>
      <c r="H4855">
        <v>301.35019999999997</v>
      </c>
      <c r="I4855">
        <v>303.8082</v>
      </c>
      <c r="J4855">
        <v>28453</v>
      </c>
      <c r="K4855">
        <v>-0.6452</v>
      </c>
      <c r="L4855">
        <v>1.1418999999999999</v>
      </c>
    </row>
    <row r="4856" spans="1:12" x14ac:dyDescent="0.25">
      <c r="A4856">
        <v>2303</v>
      </c>
      <c r="B4856" t="s">
        <v>10</v>
      </c>
      <c r="C4856" s="1">
        <v>43777</v>
      </c>
      <c r="D4856" s="2">
        <f t="shared" si="150"/>
        <v>5</v>
      </c>
      <c r="E4856" s="2">
        <f t="shared" si="151"/>
        <v>11</v>
      </c>
      <c r="F4856">
        <v>14.35</v>
      </c>
      <c r="G4856">
        <v>14.4</v>
      </c>
      <c r="H4856">
        <v>14.2</v>
      </c>
      <c r="I4856">
        <v>14.25</v>
      </c>
      <c r="J4856">
        <v>24415</v>
      </c>
      <c r="K4856">
        <v>0</v>
      </c>
      <c r="L4856">
        <v>1.4085000000000001</v>
      </c>
    </row>
    <row r="4857" spans="1:12" hidden="1" x14ac:dyDescent="0.25">
      <c r="A4857">
        <v>2330</v>
      </c>
      <c r="B4857" t="s">
        <v>11</v>
      </c>
      <c r="C4857" s="1">
        <v>43777</v>
      </c>
      <c r="D4857" s="2">
        <f t="shared" si="150"/>
        <v>5</v>
      </c>
      <c r="E4857" s="2">
        <f t="shared" si="151"/>
        <v>11</v>
      </c>
      <c r="F4857">
        <v>303.31659999999999</v>
      </c>
      <c r="G4857">
        <v>303.8082</v>
      </c>
      <c r="H4857">
        <v>300.36700000000002</v>
      </c>
      <c r="I4857">
        <v>300.36700000000002</v>
      </c>
      <c r="J4857">
        <v>26230</v>
      </c>
      <c r="K4857">
        <v>-1.1391</v>
      </c>
      <c r="L4857">
        <v>1.1456999999999999</v>
      </c>
    </row>
    <row r="4858" spans="1:12" x14ac:dyDescent="0.25">
      <c r="A4858">
        <v>2303</v>
      </c>
      <c r="B4858" t="s">
        <v>10</v>
      </c>
      <c r="C4858" s="1">
        <v>43780</v>
      </c>
      <c r="D4858" s="2">
        <f t="shared" si="150"/>
        <v>1</v>
      </c>
      <c r="E4858" s="2">
        <f t="shared" si="151"/>
        <v>11</v>
      </c>
      <c r="F4858">
        <v>14.3</v>
      </c>
      <c r="G4858">
        <v>14.35</v>
      </c>
      <c r="H4858">
        <v>14.15</v>
      </c>
      <c r="I4858">
        <v>14.25</v>
      </c>
      <c r="J4858">
        <v>31160</v>
      </c>
      <c r="K4858">
        <v>0</v>
      </c>
      <c r="L4858">
        <v>1.4134</v>
      </c>
    </row>
    <row r="4859" spans="1:12" hidden="1" x14ac:dyDescent="0.25">
      <c r="A4859">
        <v>2330</v>
      </c>
      <c r="B4859" t="s">
        <v>11</v>
      </c>
      <c r="C4859" s="1">
        <v>43780</v>
      </c>
      <c r="D4859" s="2">
        <f t="shared" si="150"/>
        <v>1</v>
      </c>
      <c r="E4859" s="2">
        <f t="shared" si="151"/>
        <v>11</v>
      </c>
      <c r="F4859">
        <v>299.87540000000001</v>
      </c>
      <c r="G4859">
        <v>299.87540000000001</v>
      </c>
      <c r="H4859">
        <v>294.95940000000002</v>
      </c>
      <c r="I4859">
        <v>295.94260000000003</v>
      </c>
      <c r="J4859">
        <v>35285</v>
      </c>
      <c r="K4859">
        <v>-1.484</v>
      </c>
      <c r="L4859">
        <v>1.6667000000000001</v>
      </c>
    </row>
    <row r="4860" spans="1:12" x14ac:dyDescent="0.25">
      <c r="A4860">
        <v>2303</v>
      </c>
      <c r="B4860" t="s">
        <v>10</v>
      </c>
      <c r="C4860" s="1">
        <v>43781</v>
      </c>
      <c r="D4860" s="2">
        <f t="shared" si="150"/>
        <v>2</v>
      </c>
      <c r="E4860" s="2">
        <f t="shared" si="151"/>
        <v>11</v>
      </c>
      <c r="F4860">
        <v>14.3</v>
      </c>
      <c r="G4860">
        <v>14.35</v>
      </c>
      <c r="H4860">
        <v>14.2</v>
      </c>
      <c r="I4860">
        <v>14.3</v>
      </c>
      <c r="J4860">
        <v>35026</v>
      </c>
      <c r="K4860">
        <v>0.3503</v>
      </c>
      <c r="L4860">
        <v>1.0563</v>
      </c>
    </row>
    <row r="4861" spans="1:12" hidden="1" x14ac:dyDescent="0.25">
      <c r="A4861">
        <v>2330</v>
      </c>
      <c r="B4861" t="s">
        <v>11</v>
      </c>
      <c r="C4861" s="1">
        <v>43781</v>
      </c>
      <c r="D4861" s="2">
        <f t="shared" si="150"/>
        <v>2</v>
      </c>
      <c r="E4861" s="2">
        <f t="shared" si="151"/>
        <v>11</v>
      </c>
      <c r="F4861">
        <v>297.41739999999999</v>
      </c>
      <c r="G4861">
        <v>299.87540000000001</v>
      </c>
      <c r="H4861">
        <v>296.92579999999998</v>
      </c>
      <c r="I4861">
        <v>299.87540000000001</v>
      </c>
      <c r="J4861">
        <v>19016</v>
      </c>
      <c r="K4861">
        <v>1.3202</v>
      </c>
      <c r="L4861">
        <v>0.99339999999999995</v>
      </c>
    </row>
    <row r="4862" spans="1:12" x14ac:dyDescent="0.25">
      <c r="A4862">
        <v>2303</v>
      </c>
      <c r="B4862" t="s">
        <v>10</v>
      </c>
      <c r="C4862" s="1">
        <v>43782</v>
      </c>
      <c r="D4862" s="2">
        <f t="shared" si="150"/>
        <v>3</v>
      </c>
      <c r="E4862" s="2">
        <f t="shared" si="151"/>
        <v>11</v>
      </c>
      <c r="F4862">
        <v>14.3</v>
      </c>
      <c r="G4862">
        <v>14.4</v>
      </c>
      <c r="H4862">
        <v>14.2</v>
      </c>
      <c r="I4862">
        <v>14.2</v>
      </c>
      <c r="J4862">
        <v>32373</v>
      </c>
      <c r="K4862">
        <v>-0.70179999999999998</v>
      </c>
      <c r="L4862">
        <v>1.4085000000000001</v>
      </c>
    </row>
    <row r="4863" spans="1:12" hidden="1" x14ac:dyDescent="0.25">
      <c r="A4863">
        <v>2330</v>
      </c>
      <c r="B4863" t="s">
        <v>11</v>
      </c>
      <c r="C4863" s="1">
        <v>43782</v>
      </c>
      <c r="D4863" s="2">
        <f t="shared" si="150"/>
        <v>3</v>
      </c>
      <c r="E4863" s="2">
        <f t="shared" si="151"/>
        <v>11</v>
      </c>
      <c r="F4863">
        <v>297.90899999999999</v>
      </c>
      <c r="G4863">
        <v>298.8922</v>
      </c>
      <c r="H4863">
        <v>296.43419999999998</v>
      </c>
      <c r="I4863">
        <v>298.8922</v>
      </c>
      <c r="J4863">
        <v>18422</v>
      </c>
      <c r="K4863">
        <v>-0.32840000000000003</v>
      </c>
      <c r="L4863">
        <v>0.82920000000000005</v>
      </c>
    </row>
    <row r="4864" spans="1:12" x14ac:dyDescent="0.25">
      <c r="A4864">
        <v>2303</v>
      </c>
      <c r="B4864" t="s">
        <v>10</v>
      </c>
      <c r="C4864" s="1">
        <v>43783</v>
      </c>
      <c r="D4864" s="2">
        <f t="shared" si="150"/>
        <v>4</v>
      </c>
      <c r="E4864" s="2">
        <f t="shared" si="151"/>
        <v>11</v>
      </c>
      <c r="F4864">
        <v>14.2</v>
      </c>
      <c r="G4864">
        <v>14.6</v>
      </c>
      <c r="H4864">
        <v>14.2</v>
      </c>
      <c r="I4864">
        <v>14.5</v>
      </c>
      <c r="J4864">
        <v>57937</v>
      </c>
      <c r="K4864">
        <v>2.0907</v>
      </c>
      <c r="L4864">
        <v>2.8169</v>
      </c>
    </row>
    <row r="4865" spans="1:12" hidden="1" x14ac:dyDescent="0.25">
      <c r="A4865">
        <v>2330</v>
      </c>
      <c r="B4865" t="s">
        <v>11</v>
      </c>
      <c r="C4865" s="1">
        <v>43783</v>
      </c>
      <c r="D4865" s="2">
        <f t="shared" si="150"/>
        <v>4</v>
      </c>
      <c r="E4865" s="2">
        <f t="shared" si="151"/>
        <v>11</v>
      </c>
      <c r="F4865">
        <v>299.38380000000001</v>
      </c>
      <c r="G4865">
        <v>299.87540000000001</v>
      </c>
      <c r="H4865">
        <v>296.92579999999998</v>
      </c>
      <c r="I4865">
        <v>298.4006</v>
      </c>
      <c r="J4865">
        <v>15734</v>
      </c>
      <c r="K4865">
        <v>-0.1646</v>
      </c>
      <c r="L4865">
        <v>0.99339999999999995</v>
      </c>
    </row>
    <row r="4866" spans="1:12" x14ac:dyDescent="0.25">
      <c r="A4866">
        <v>2303</v>
      </c>
      <c r="B4866" t="s">
        <v>10</v>
      </c>
      <c r="C4866" s="1">
        <v>43784</v>
      </c>
      <c r="D4866" s="2">
        <f t="shared" si="150"/>
        <v>5</v>
      </c>
      <c r="E4866" s="2">
        <f t="shared" si="151"/>
        <v>11</v>
      </c>
      <c r="F4866">
        <v>14.6</v>
      </c>
      <c r="G4866">
        <v>14.6</v>
      </c>
      <c r="H4866">
        <v>14.25</v>
      </c>
      <c r="I4866">
        <v>14.3</v>
      </c>
      <c r="J4866">
        <v>39855</v>
      </c>
      <c r="K4866">
        <v>-1.3889</v>
      </c>
      <c r="L4866">
        <v>2.4561000000000002</v>
      </c>
    </row>
    <row r="4867" spans="1:12" hidden="1" x14ac:dyDescent="0.25">
      <c r="A4867">
        <v>2330</v>
      </c>
      <c r="B4867" t="s">
        <v>11</v>
      </c>
      <c r="C4867" s="1">
        <v>43784</v>
      </c>
      <c r="D4867" s="2">
        <f t="shared" ref="D4867:D4930" si="152">WEEKDAY(C4867,2)</f>
        <v>5</v>
      </c>
      <c r="E4867" s="2">
        <f t="shared" ref="E4867:E4930" si="153">MONTH(C4867)</f>
        <v>11</v>
      </c>
      <c r="F4867">
        <v>300.36700000000002</v>
      </c>
      <c r="G4867">
        <v>302.33339999999998</v>
      </c>
      <c r="H4867">
        <v>299.38380000000001</v>
      </c>
      <c r="I4867">
        <v>301.84179999999998</v>
      </c>
      <c r="J4867">
        <v>29038</v>
      </c>
      <c r="K4867">
        <v>1.1466000000000001</v>
      </c>
      <c r="L4867">
        <v>0.98519999999999996</v>
      </c>
    </row>
    <row r="4868" spans="1:12" x14ac:dyDescent="0.25">
      <c r="A4868">
        <v>2303</v>
      </c>
      <c r="B4868" t="s">
        <v>10</v>
      </c>
      <c r="C4868" s="1">
        <v>43787</v>
      </c>
      <c r="D4868" s="2">
        <f t="shared" si="152"/>
        <v>1</v>
      </c>
      <c r="E4868" s="2">
        <f t="shared" si="153"/>
        <v>11</v>
      </c>
      <c r="F4868">
        <v>14.6</v>
      </c>
      <c r="G4868">
        <v>14.75</v>
      </c>
      <c r="H4868">
        <v>14.45</v>
      </c>
      <c r="I4868">
        <v>14.5</v>
      </c>
      <c r="J4868">
        <v>58847</v>
      </c>
      <c r="K4868">
        <v>1.3889</v>
      </c>
      <c r="L4868">
        <v>2.0760999999999998</v>
      </c>
    </row>
    <row r="4869" spans="1:12" hidden="1" x14ac:dyDescent="0.25">
      <c r="A4869">
        <v>2330</v>
      </c>
      <c r="B4869" t="s">
        <v>11</v>
      </c>
      <c r="C4869" s="1">
        <v>43787</v>
      </c>
      <c r="D4869" s="2">
        <f t="shared" si="152"/>
        <v>1</v>
      </c>
      <c r="E4869" s="2">
        <f t="shared" si="153"/>
        <v>11</v>
      </c>
      <c r="F4869">
        <v>303.31659999999999</v>
      </c>
      <c r="G4869">
        <v>305.77460000000002</v>
      </c>
      <c r="H4869">
        <v>301.84179999999998</v>
      </c>
      <c r="I4869">
        <v>305.77460000000002</v>
      </c>
      <c r="J4869">
        <v>18741</v>
      </c>
      <c r="K4869">
        <v>1.2945</v>
      </c>
      <c r="L4869">
        <v>1.3028999999999999</v>
      </c>
    </row>
    <row r="4870" spans="1:12" x14ac:dyDescent="0.25">
      <c r="A4870">
        <v>2303</v>
      </c>
      <c r="B4870" t="s">
        <v>10</v>
      </c>
      <c r="C4870" s="1">
        <v>43788</v>
      </c>
      <c r="D4870" s="2">
        <f t="shared" si="152"/>
        <v>2</v>
      </c>
      <c r="E4870" s="2">
        <f t="shared" si="153"/>
        <v>11</v>
      </c>
      <c r="F4870">
        <v>14.45</v>
      </c>
      <c r="G4870">
        <v>14.6</v>
      </c>
      <c r="H4870">
        <v>14.35</v>
      </c>
      <c r="I4870">
        <v>14.55</v>
      </c>
      <c r="J4870">
        <v>37821</v>
      </c>
      <c r="K4870">
        <v>0.34420000000000001</v>
      </c>
      <c r="L4870">
        <v>1.7422</v>
      </c>
    </row>
    <row r="4871" spans="1:12" hidden="1" x14ac:dyDescent="0.25">
      <c r="A4871">
        <v>2330</v>
      </c>
      <c r="B4871" t="s">
        <v>11</v>
      </c>
      <c r="C4871" s="1">
        <v>43788</v>
      </c>
      <c r="D4871" s="2">
        <f t="shared" si="152"/>
        <v>2</v>
      </c>
      <c r="E4871" s="2">
        <f t="shared" si="153"/>
        <v>11</v>
      </c>
      <c r="F4871">
        <v>307.24939999999998</v>
      </c>
      <c r="G4871">
        <v>309.70740000000001</v>
      </c>
      <c r="H4871">
        <v>305.77460000000002</v>
      </c>
      <c r="I4871">
        <v>309.70740000000001</v>
      </c>
      <c r="J4871">
        <v>33096</v>
      </c>
      <c r="K4871">
        <v>1.278</v>
      </c>
      <c r="L4871">
        <v>1.2862</v>
      </c>
    </row>
    <row r="4872" spans="1:12" x14ac:dyDescent="0.25">
      <c r="A4872">
        <v>2303</v>
      </c>
      <c r="B4872" t="s">
        <v>10</v>
      </c>
      <c r="C4872" s="1">
        <v>43789</v>
      </c>
      <c r="D4872" s="2">
        <f t="shared" si="152"/>
        <v>3</v>
      </c>
      <c r="E4872" s="2">
        <f t="shared" si="153"/>
        <v>11</v>
      </c>
      <c r="F4872">
        <v>14.55</v>
      </c>
      <c r="G4872">
        <v>14.8</v>
      </c>
      <c r="H4872">
        <v>14.45</v>
      </c>
      <c r="I4872">
        <v>14.75</v>
      </c>
      <c r="J4872">
        <v>55131</v>
      </c>
      <c r="K4872">
        <v>1.3652</v>
      </c>
      <c r="L4872">
        <v>2.4220999999999999</v>
      </c>
    </row>
    <row r="4873" spans="1:12" hidden="1" x14ac:dyDescent="0.25">
      <c r="A4873">
        <v>2330</v>
      </c>
      <c r="B4873" t="s">
        <v>11</v>
      </c>
      <c r="C4873" s="1">
        <v>43789</v>
      </c>
      <c r="D4873" s="2">
        <f t="shared" si="152"/>
        <v>3</v>
      </c>
      <c r="E4873" s="2">
        <f t="shared" si="153"/>
        <v>11</v>
      </c>
      <c r="F4873">
        <v>308.7242</v>
      </c>
      <c r="G4873">
        <v>308.7242</v>
      </c>
      <c r="H4873">
        <v>306.75779999999997</v>
      </c>
      <c r="I4873">
        <v>308.23259999999999</v>
      </c>
      <c r="J4873">
        <v>24538</v>
      </c>
      <c r="K4873">
        <v>-0.4773</v>
      </c>
      <c r="L4873">
        <v>0.64100000000000001</v>
      </c>
    </row>
    <row r="4874" spans="1:12" x14ac:dyDescent="0.25">
      <c r="A4874">
        <v>2303</v>
      </c>
      <c r="B4874" t="s">
        <v>10</v>
      </c>
      <c r="C4874" s="1">
        <v>43790</v>
      </c>
      <c r="D4874" s="2">
        <f t="shared" si="152"/>
        <v>4</v>
      </c>
      <c r="E4874" s="2">
        <f t="shared" si="153"/>
        <v>11</v>
      </c>
      <c r="F4874">
        <v>14.6</v>
      </c>
      <c r="G4874">
        <v>14.65</v>
      </c>
      <c r="H4874">
        <v>14.45</v>
      </c>
      <c r="I4874">
        <v>14.65</v>
      </c>
      <c r="J4874">
        <v>42654</v>
      </c>
      <c r="K4874">
        <v>-0.68030000000000002</v>
      </c>
      <c r="L4874">
        <v>1.3841000000000001</v>
      </c>
    </row>
    <row r="4875" spans="1:12" hidden="1" x14ac:dyDescent="0.25">
      <c r="A4875">
        <v>2330</v>
      </c>
      <c r="B4875" t="s">
        <v>11</v>
      </c>
      <c r="C4875" s="1">
        <v>43790</v>
      </c>
      <c r="D4875" s="2">
        <f t="shared" si="152"/>
        <v>4</v>
      </c>
      <c r="E4875" s="2">
        <f t="shared" si="153"/>
        <v>11</v>
      </c>
      <c r="F4875">
        <v>304.2998</v>
      </c>
      <c r="G4875">
        <v>305.77460000000002</v>
      </c>
      <c r="H4875">
        <v>301.84179999999998</v>
      </c>
      <c r="I4875">
        <v>305.77460000000002</v>
      </c>
      <c r="J4875">
        <v>30163</v>
      </c>
      <c r="K4875">
        <v>-0.80059999999999998</v>
      </c>
      <c r="L4875">
        <v>1.3028999999999999</v>
      </c>
    </row>
    <row r="4876" spans="1:12" x14ac:dyDescent="0.25">
      <c r="A4876">
        <v>2303</v>
      </c>
      <c r="B4876" t="s">
        <v>10</v>
      </c>
      <c r="C4876" s="1">
        <v>43791</v>
      </c>
      <c r="D4876" s="2">
        <f t="shared" si="152"/>
        <v>5</v>
      </c>
      <c r="E4876" s="2">
        <f t="shared" si="153"/>
        <v>11</v>
      </c>
      <c r="F4876">
        <v>14.65</v>
      </c>
      <c r="G4876">
        <v>14.7</v>
      </c>
      <c r="H4876">
        <v>14.5</v>
      </c>
      <c r="I4876">
        <v>14.6</v>
      </c>
      <c r="J4876">
        <v>30220</v>
      </c>
      <c r="K4876">
        <v>-0.34189999999999998</v>
      </c>
      <c r="L4876">
        <v>1.3793</v>
      </c>
    </row>
    <row r="4877" spans="1:12" hidden="1" x14ac:dyDescent="0.25">
      <c r="A4877">
        <v>2330</v>
      </c>
      <c r="B4877" t="s">
        <v>11</v>
      </c>
      <c r="C4877" s="1">
        <v>43791</v>
      </c>
      <c r="D4877" s="2">
        <f t="shared" si="152"/>
        <v>5</v>
      </c>
      <c r="E4877" s="2">
        <f t="shared" si="153"/>
        <v>11</v>
      </c>
      <c r="F4877">
        <v>304.79140000000001</v>
      </c>
      <c r="G4877">
        <v>305.28300000000002</v>
      </c>
      <c r="H4877">
        <v>302.82499999999999</v>
      </c>
      <c r="I4877">
        <v>303.8082</v>
      </c>
      <c r="J4877">
        <v>26492</v>
      </c>
      <c r="K4877">
        <v>-0.6452</v>
      </c>
      <c r="L4877">
        <v>0.81169999999999998</v>
      </c>
    </row>
    <row r="4878" spans="1:12" x14ac:dyDescent="0.25">
      <c r="A4878">
        <v>2303</v>
      </c>
      <c r="B4878" t="s">
        <v>10</v>
      </c>
      <c r="C4878" s="1">
        <v>43794</v>
      </c>
      <c r="D4878" s="2">
        <f t="shared" si="152"/>
        <v>1</v>
      </c>
      <c r="E4878" s="2">
        <f t="shared" si="153"/>
        <v>11</v>
      </c>
      <c r="F4878">
        <v>14.65</v>
      </c>
      <c r="G4878">
        <v>15.5</v>
      </c>
      <c r="H4878">
        <v>14.65</v>
      </c>
      <c r="I4878">
        <v>15</v>
      </c>
      <c r="J4878">
        <v>166478</v>
      </c>
      <c r="K4878">
        <v>2.7029000000000001</v>
      </c>
      <c r="L4878">
        <v>5.8019999999999996</v>
      </c>
    </row>
    <row r="4879" spans="1:12" hidden="1" x14ac:dyDescent="0.25">
      <c r="A4879">
        <v>2330</v>
      </c>
      <c r="B4879" t="s">
        <v>11</v>
      </c>
      <c r="C4879" s="1">
        <v>43794</v>
      </c>
      <c r="D4879" s="2">
        <f t="shared" si="152"/>
        <v>1</v>
      </c>
      <c r="E4879" s="2">
        <f t="shared" si="153"/>
        <v>11</v>
      </c>
      <c r="F4879">
        <v>305.28300000000002</v>
      </c>
      <c r="G4879">
        <v>305.28300000000002</v>
      </c>
      <c r="H4879">
        <v>301.84179999999998</v>
      </c>
      <c r="I4879">
        <v>301.84179999999998</v>
      </c>
      <c r="J4879">
        <v>19855</v>
      </c>
      <c r="K4879">
        <v>-0.64939999999999998</v>
      </c>
      <c r="L4879">
        <v>1.1400999999999999</v>
      </c>
    </row>
    <row r="4880" spans="1:12" x14ac:dyDescent="0.25">
      <c r="A4880">
        <v>2303</v>
      </c>
      <c r="B4880" t="s">
        <v>10</v>
      </c>
      <c r="C4880" s="1">
        <v>43795</v>
      </c>
      <c r="D4880" s="2">
        <f t="shared" si="152"/>
        <v>2</v>
      </c>
      <c r="E4880" s="2">
        <f t="shared" si="153"/>
        <v>11</v>
      </c>
      <c r="F4880">
        <v>15.25</v>
      </c>
      <c r="G4880">
        <v>15.4</v>
      </c>
      <c r="H4880">
        <v>15.1</v>
      </c>
      <c r="I4880">
        <v>15.2</v>
      </c>
      <c r="J4880">
        <v>165216</v>
      </c>
      <c r="K4880">
        <v>1.3245</v>
      </c>
      <c r="L4880">
        <v>1.9867999999999999</v>
      </c>
    </row>
    <row r="4881" spans="1:12" hidden="1" x14ac:dyDescent="0.25">
      <c r="A4881">
        <v>2330</v>
      </c>
      <c r="B4881" t="s">
        <v>11</v>
      </c>
      <c r="C4881" s="1">
        <v>43795</v>
      </c>
      <c r="D4881" s="2">
        <f t="shared" si="152"/>
        <v>2</v>
      </c>
      <c r="E4881" s="2">
        <f t="shared" si="153"/>
        <v>11</v>
      </c>
      <c r="F4881">
        <v>304.79140000000001</v>
      </c>
      <c r="G4881">
        <v>305.28300000000002</v>
      </c>
      <c r="H4881">
        <v>301.84179999999998</v>
      </c>
      <c r="I4881">
        <v>301.84179999999998</v>
      </c>
      <c r="J4881">
        <v>101916</v>
      </c>
      <c r="K4881">
        <v>0</v>
      </c>
      <c r="L4881">
        <v>1.1400999999999999</v>
      </c>
    </row>
    <row r="4882" spans="1:12" x14ac:dyDescent="0.25">
      <c r="A4882">
        <v>2303</v>
      </c>
      <c r="B4882" t="s">
        <v>10</v>
      </c>
      <c r="C4882" s="1">
        <v>43796</v>
      </c>
      <c r="D4882" s="2">
        <f t="shared" si="152"/>
        <v>3</v>
      </c>
      <c r="E4882" s="2">
        <f t="shared" si="153"/>
        <v>11</v>
      </c>
      <c r="F4882">
        <v>15.35</v>
      </c>
      <c r="G4882">
        <v>15.4</v>
      </c>
      <c r="H4882">
        <v>15.1</v>
      </c>
      <c r="I4882">
        <v>15.2</v>
      </c>
      <c r="J4882">
        <v>41376</v>
      </c>
      <c r="K4882">
        <v>0</v>
      </c>
      <c r="L4882">
        <v>1.9867999999999999</v>
      </c>
    </row>
    <row r="4883" spans="1:12" hidden="1" x14ac:dyDescent="0.25">
      <c r="A4883">
        <v>2330</v>
      </c>
      <c r="B4883" t="s">
        <v>11</v>
      </c>
      <c r="C4883" s="1">
        <v>43796</v>
      </c>
      <c r="D4883" s="2">
        <f t="shared" si="152"/>
        <v>3</v>
      </c>
      <c r="E4883" s="2">
        <f t="shared" si="153"/>
        <v>11</v>
      </c>
      <c r="F4883">
        <v>302.33339999999998</v>
      </c>
      <c r="G4883">
        <v>306.26620000000003</v>
      </c>
      <c r="H4883">
        <v>302.33339999999998</v>
      </c>
      <c r="I4883">
        <v>305.77460000000002</v>
      </c>
      <c r="J4883">
        <v>18527</v>
      </c>
      <c r="K4883">
        <v>1.2945</v>
      </c>
      <c r="L4883">
        <v>1.3008</v>
      </c>
    </row>
    <row r="4884" spans="1:12" x14ac:dyDescent="0.25">
      <c r="A4884">
        <v>2303</v>
      </c>
      <c r="B4884" t="s">
        <v>10</v>
      </c>
      <c r="C4884" s="1">
        <v>43797</v>
      </c>
      <c r="D4884" s="2">
        <f t="shared" si="152"/>
        <v>4</v>
      </c>
      <c r="E4884" s="2">
        <f t="shared" si="153"/>
        <v>11</v>
      </c>
      <c r="F4884">
        <v>15.25</v>
      </c>
      <c r="G4884">
        <v>15.3</v>
      </c>
      <c r="H4884">
        <v>15.05</v>
      </c>
      <c r="I4884">
        <v>15.1</v>
      </c>
      <c r="J4884">
        <v>34136</v>
      </c>
      <c r="K4884">
        <v>-0.66010000000000002</v>
      </c>
      <c r="L4884">
        <v>1.6611</v>
      </c>
    </row>
    <row r="4885" spans="1:12" hidden="1" x14ac:dyDescent="0.25">
      <c r="A4885">
        <v>2330</v>
      </c>
      <c r="B4885" t="s">
        <v>11</v>
      </c>
      <c r="C4885" s="1">
        <v>43797</v>
      </c>
      <c r="D4885" s="2">
        <f t="shared" si="152"/>
        <v>4</v>
      </c>
      <c r="E4885" s="2">
        <f t="shared" si="153"/>
        <v>11</v>
      </c>
      <c r="F4885">
        <v>304.79140000000001</v>
      </c>
      <c r="G4885">
        <v>306.75779999999997</v>
      </c>
      <c r="H4885">
        <v>303.31659999999999</v>
      </c>
      <c r="I4885">
        <v>304.2998</v>
      </c>
      <c r="J4885">
        <v>19718</v>
      </c>
      <c r="K4885">
        <v>-0.48349999999999999</v>
      </c>
      <c r="L4885">
        <v>1.1345000000000001</v>
      </c>
    </row>
    <row r="4886" spans="1:12" x14ac:dyDescent="0.25">
      <c r="A4886">
        <v>2303</v>
      </c>
      <c r="B4886" t="s">
        <v>10</v>
      </c>
      <c r="C4886" s="1">
        <v>43798</v>
      </c>
      <c r="D4886" s="2">
        <f t="shared" si="152"/>
        <v>5</v>
      </c>
      <c r="E4886" s="2">
        <f t="shared" si="153"/>
        <v>11</v>
      </c>
      <c r="F4886">
        <v>15.1</v>
      </c>
      <c r="G4886">
        <v>15.15</v>
      </c>
      <c r="H4886">
        <v>14.85</v>
      </c>
      <c r="I4886">
        <v>14.95</v>
      </c>
      <c r="J4886">
        <v>45681</v>
      </c>
      <c r="K4886">
        <v>-0.99829999999999997</v>
      </c>
      <c r="L4886">
        <v>2.0202</v>
      </c>
    </row>
    <row r="4887" spans="1:12" hidden="1" x14ac:dyDescent="0.25">
      <c r="A4887">
        <v>2330</v>
      </c>
      <c r="B4887" t="s">
        <v>11</v>
      </c>
      <c r="C4887" s="1">
        <v>43798</v>
      </c>
      <c r="D4887" s="2">
        <f t="shared" si="152"/>
        <v>5</v>
      </c>
      <c r="E4887" s="2">
        <f t="shared" si="153"/>
        <v>11</v>
      </c>
      <c r="F4887">
        <v>303.8082</v>
      </c>
      <c r="G4887">
        <v>304.2998</v>
      </c>
      <c r="H4887">
        <v>299.87540000000001</v>
      </c>
      <c r="I4887">
        <v>299.87540000000001</v>
      </c>
      <c r="J4887">
        <v>32423</v>
      </c>
      <c r="K4887">
        <v>-1.4645999999999999</v>
      </c>
      <c r="L4887">
        <v>1.4754</v>
      </c>
    </row>
    <row r="4888" spans="1:12" x14ac:dyDescent="0.25">
      <c r="A4888">
        <v>2303</v>
      </c>
      <c r="B4888" t="s">
        <v>10</v>
      </c>
      <c r="C4888" s="1">
        <v>43801</v>
      </c>
      <c r="D4888" s="2">
        <f t="shared" si="152"/>
        <v>1</v>
      </c>
      <c r="E4888" s="2">
        <f t="shared" si="153"/>
        <v>12</v>
      </c>
      <c r="F4888">
        <v>15</v>
      </c>
      <c r="G4888">
        <v>15.3</v>
      </c>
      <c r="H4888">
        <v>15</v>
      </c>
      <c r="I4888">
        <v>15.1</v>
      </c>
      <c r="J4888">
        <v>63994</v>
      </c>
      <c r="K4888">
        <v>0.99829999999999997</v>
      </c>
      <c r="L4888">
        <v>0</v>
      </c>
    </row>
    <row r="4889" spans="1:12" hidden="1" x14ac:dyDescent="0.25">
      <c r="A4889">
        <v>2330</v>
      </c>
      <c r="B4889" t="s">
        <v>11</v>
      </c>
      <c r="C4889" s="1">
        <v>43801</v>
      </c>
      <c r="D4889" s="2">
        <f t="shared" si="152"/>
        <v>1</v>
      </c>
      <c r="E4889" s="2">
        <f t="shared" si="153"/>
        <v>12</v>
      </c>
      <c r="F4889">
        <v>301.84179999999998</v>
      </c>
      <c r="G4889">
        <v>302.82499999999999</v>
      </c>
      <c r="H4889">
        <v>301.35019999999997</v>
      </c>
      <c r="I4889">
        <v>302.33339999999998</v>
      </c>
      <c r="J4889">
        <v>25516</v>
      </c>
      <c r="K4889">
        <v>0.81630000000000003</v>
      </c>
      <c r="L4889">
        <v>0</v>
      </c>
    </row>
    <row r="4890" spans="1:12" x14ac:dyDescent="0.25">
      <c r="A4890">
        <v>2303</v>
      </c>
      <c r="B4890" t="s">
        <v>10</v>
      </c>
      <c r="C4890" s="1">
        <v>43802</v>
      </c>
      <c r="D4890" s="2">
        <f t="shared" si="152"/>
        <v>2</v>
      </c>
      <c r="E4890" s="2">
        <f t="shared" si="153"/>
        <v>12</v>
      </c>
      <c r="F4890">
        <v>15.05</v>
      </c>
      <c r="G4890">
        <v>15.35</v>
      </c>
      <c r="H4890">
        <v>15.05</v>
      </c>
      <c r="I4890">
        <v>15.35</v>
      </c>
      <c r="J4890">
        <v>51943</v>
      </c>
      <c r="K4890">
        <v>1.6420999999999999</v>
      </c>
      <c r="L4890">
        <v>1.9934000000000001</v>
      </c>
    </row>
    <row r="4891" spans="1:12" hidden="1" x14ac:dyDescent="0.25">
      <c r="A4891">
        <v>2330</v>
      </c>
      <c r="B4891" t="s">
        <v>11</v>
      </c>
      <c r="C4891" s="1">
        <v>43802</v>
      </c>
      <c r="D4891" s="2">
        <f t="shared" si="152"/>
        <v>2</v>
      </c>
      <c r="E4891" s="2">
        <f t="shared" si="153"/>
        <v>12</v>
      </c>
      <c r="F4891">
        <v>299.87540000000001</v>
      </c>
      <c r="G4891">
        <v>301.84179999999998</v>
      </c>
      <c r="H4891">
        <v>299.87540000000001</v>
      </c>
      <c r="I4891">
        <v>301.84179999999998</v>
      </c>
      <c r="J4891">
        <v>27686</v>
      </c>
      <c r="K4891">
        <v>-0.16270000000000001</v>
      </c>
      <c r="L4891">
        <v>0.65569999999999995</v>
      </c>
    </row>
    <row r="4892" spans="1:12" x14ac:dyDescent="0.25">
      <c r="A4892">
        <v>2303</v>
      </c>
      <c r="B4892" t="s">
        <v>10</v>
      </c>
      <c r="C4892" s="1">
        <v>43803</v>
      </c>
      <c r="D4892" s="2">
        <f t="shared" si="152"/>
        <v>3</v>
      </c>
      <c r="E4892" s="2">
        <f t="shared" si="153"/>
        <v>12</v>
      </c>
      <c r="F4892">
        <v>15.4</v>
      </c>
      <c r="G4892">
        <v>15.95</v>
      </c>
      <c r="H4892">
        <v>15.4</v>
      </c>
      <c r="I4892">
        <v>15.85</v>
      </c>
      <c r="J4892">
        <v>190321</v>
      </c>
      <c r="K4892">
        <v>3.2054</v>
      </c>
      <c r="L4892">
        <v>0</v>
      </c>
    </row>
    <row r="4893" spans="1:12" hidden="1" x14ac:dyDescent="0.25">
      <c r="A4893">
        <v>2330</v>
      </c>
      <c r="B4893" t="s">
        <v>11</v>
      </c>
      <c r="C4893" s="1">
        <v>43803</v>
      </c>
      <c r="D4893" s="2">
        <f t="shared" si="152"/>
        <v>3</v>
      </c>
      <c r="E4893" s="2">
        <f t="shared" si="153"/>
        <v>12</v>
      </c>
      <c r="F4893">
        <v>299.87540000000001</v>
      </c>
      <c r="G4893">
        <v>300.85860000000002</v>
      </c>
      <c r="H4893">
        <v>298.8922</v>
      </c>
      <c r="I4893">
        <v>300.85860000000002</v>
      </c>
      <c r="J4893">
        <v>34911</v>
      </c>
      <c r="K4893">
        <v>-0.32629999999999998</v>
      </c>
      <c r="L4893">
        <v>0</v>
      </c>
    </row>
    <row r="4894" spans="1:12" x14ac:dyDescent="0.25">
      <c r="A4894">
        <v>2303</v>
      </c>
      <c r="B4894" t="s">
        <v>10</v>
      </c>
      <c r="C4894" s="1">
        <v>43804</v>
      </c>
      <c r="D4894" s="2">
        <f t="shared" si="152"/>
        <v>4</v>
      </c>
      <c r="E4894" s="2">
        <f t="shared" si="153"/>
        <v>12</v>
      </c>
      <c r="F4894">
        <v>16.05</v>
      </c>
      <c r="G4894">
        <v>16.7</v>
      </c>
      <c r="H4894">
        <v>16.05</v>
      </c>
      <c r="I4894">
        <v>16.55</v>
      </c>
      <c r="J4894">
        <v>228294</v>
      </c>
      <c r="K4894">
        <v>4.3216999999999999</v>
      </c>
      <c r="L4894">
        <v>4.0498000000000003</v>
      </c>
    </row>
    <row r="4895" spans="1:12" hidden="1" x14ac:dyDescent="0.25">
      <c r="A4895">
        <v>2330</v>
      </c>
      <c r="B4895" t="s">
        <v>11</v>
      </c>
      <c r="C4895" s="1">
        <v>43804</v>
      </c>
      <c r="D4895" s="2">
        <f t="shared" si="152"/>
        <v>4</v>
      </c>
      <c r="E4895" s="2">
        <f t="shared" si="153"/>
        <v>12</v>
      </c>
      <c r="F4895">
        <v>303.8082</v>
      </c>
      <c r="G4895">
        <v>306.75779999999997</v>
      </c>
      <c r="H4895">
        <v>303.8082</v>
      </c>
      <c r="I4895">
        <v>306.75779999999997</v>
      </c>
      <c r="J4895">
        <v>39349</v>
      </c>
      <c r="K4895">
        <v>1.9418</v>
      </c>
      <c r="L4895">
        <v>0.97089999999999999</v>
      </c>
    </row>
    <row r="4896" spans="1:12" x14ac:dyDescent="0.25">
      <c r="A4896">
        <v>2303</v>
      </c>
      <c r="B4896" t="s">
        <v>10</v>
      </c>
      <c r="C4896" s="1">
        <v>43805</v>
      </c>
      <c r="D4896" s="2">
        <f t="shared" si="152"/>
        <v>5</v>
      </c>
      <c r="E4896" s="2">
        <f t="shared" si="153"/>
        <v>12</v>
      </c>
      <c r="F4896">
        <v>16.5</v>
      </c>
      <c r="G4896">
        <v>16.5</v>
      </c>
      <c r="H4896">
        <v>16.100000000000001</v>
      </c>
      <c r="I4896">
        <v>16.2</v>
      </c>
      <c r="J4896">
        <v>109731</v>
      </c>
      <c r="K4896">
        <v>-2.1375000000000002</v>
      </c>
      <c r="L4896">
        <v>2.4845000000000002</v>
      </c>
    </row>
    <row r="4897" spans="1:12" hidden="1" x14ac:dyDescent="0.25">
      <c r="A4897">
        <v>2330</v>
      </c>
      <c r="B4897" t="s">
        <v>11</v>
      </c>
      <c r="C4897" s="1">
        <v>43805</v>
      </c>
      <c r="D4897" s="2">
        <f t="shared" si="152"/>
        <v>5</v>
      </c>
      <c r="E4897" s="2">
        <f t="shared" si="153"/>
        <v>12</v>
      </c>
      <c r="F4897">
        <v>309.70740000000001</v>
      </c>
      <c r="G4897">
        <v>310.69060000000002</v>
      </c>
      <c r="H4897">
        <v>305.77460000000002</v>
      </c>
      <c r="I4897">
        <v>307.74099999999999</v>
      </c>
      <c r="J4897">
        <v>18402</v>
      </c>
      <c r="K4897">
        <v>0.32</v>
      </c>
      <c r="L4897">
        <v>1.6076999999999999</v>
      </c>
    </row>
    <row r="4898" spans="1:12" x14ac:dyDescent="0.25">
      <c r="A4898">
        <v>2303</v>
      </c>
      <c r="B4898" t="s">
        <v>10</v>
      </c>
      <c r="C4898" s="1">
        <v>43808</v>
      </c>
      <c r="D4898" s="2">
        <f t="shared" si="152"/>
        <v>1</v>
      </c>
      <c r="E4898" s="2">
        <f t="shared" si="153"/>
        <v>12</v>
      </c>
      <c r="F4898">
        <v>16.399999999999999</v>
      </c>
      <c r="G4898">
        <v>16.55</v>
      </c>
      <c r="H4898">
        <v>16.25</v>
      </c>
      <c r="I4898">
        <v>16.25</v>
      </c>
      <c r="J4898">
        <v>68335</v>
      </c>
      <c r="K4898">
        <v>0.30819999999999997</v>
      </c>
      <c r="L4898">
        <v>1.8462000000000001</v>
      </c>
    </row>
    <row r="4899" spans="1:12" hidden="1" x14ac:dyDescent="0.25">
      <c r="A4899">
        <v>2330</v>
      </c>
      <c r="B4899" t="s">
        <v>11</v>
      </c>
      <c r="C4899" s="1">
        <v>43808</v>
      </c>
      <c r="D4899" s="2">
        <f t="shared" si="152"/>
        <v>1</v>
      </c>
      <c r="E4899" s="2">
        <f t="shared" si="153"/>
        <v>12</v>
      </c>
      <c r="F4899">
        <v>308.7242</v>
      </c>
      <c r="G4899">
        <v>311.18220000000002</v>
      </c>
      <c r="H4899">
        <v>308.7242</v>
      </c>
      <c r="I4899">
        <v>310.69060000000002</v>
      </c>
      <c r="J4899">
        <v>23556</v>
      </c>
      <c r="K4899">
        <v>0.95389999999999997</v>
      </c>
      <c r="L4899">
        <v>0.79620000000000002</v>
      </c>
    </row>
    <row r="4900" spans="1:12" x14ac:dyDescent="0.25">
      <c r="A4900">
        <v>2303</v>
      </c>
      <c r="B4900" t="s">
        <v>10</v>
      </c>
      <c r="C4900" s="1">
        <v>43809</v>
      </c>
      <c r="D4900" s="2">
        <f t="shared" si="152"/>
        <v>2</v>
      </c>
      <c r="E4900" s="2">
        <f t="shared" si="153"/>
        <v>12</v>
      </c>
      <c r="F4900">
        <v>16.350000000000001</v>
      </c>
      <c r="G4900">
        <v>16.5</v>
      </c>
      <c r="H4900">
        <v>16.25</v>
      </c>
      <c r="I4900">
        <v>16.45</v>
      </c>
      <c r="J4900">
        <v>58803</v>
      </c>
      <c r="K4900">
        <v>1.2233000000000001</v>
      </c>
      <c r="L4900">
        <v>1.5385</v>
      </c>
    </row>
    <row r="4901" spans="1:12" hidden="1" x14ac:dyDescent="0.25">
      <c r="A4901">
        <v>2330</v>
      </c>
      <c r="B4901" t="s">
        <v>11</v>
      </c>
      <c r="C4901" s="1">
        <v>43809</v>
      </c>
      <c r="D4901" s="2">
        <f t="shared" si="152"/>
        <v>2</v>
      </c>
      <c r="E4901" s="2">
        <f t="shared" si="153"/>
        <v>12</v>
      </c>
      <c r="F4901">
        <v>309.70740000000001</v>
      </c>
      <c r="G4901">
        <v>310.19900000000001</v>
      </c>
      <c r="H4901">
        <v>307.24939999999998</v>
      </c>
      <c r="I4901">
        <v>308.23259999999999</v>
      </c>
      <c r="J4901">
        <v>20847</v>
      </c>
      <c r="K4901">
        <v>-0.79430000000000001</v>
      </c>
      <c r="L4901">
        <v>0.96</v>
      </c>
    </row>
    <row r="4902" spans="1:12" x14ac:dyDescent="0.25">
      <c r="A4902">
        <v>2303</v>
      </c>
      <c r="B4902" t="s">
        <v>10</v>
      </c>
      <c r="C4902" s="1">
        <v>43810</v>
      </c>
      <c r="D4902" s="2">
        <f t="shared" si="152"/>
        <v>3</v>
      </c>
      <c r="E4902" s="2">
        <f t="shared" si="153"/>
        <v>12</v>
      </c>
      <c r="F4902">
        <v>16.399999999999999</v>
      </c>
      <c r="G4902">
        <v>16.5</v>
      </c>
      <c r="H4902">
        <v>16.149999999999999</v>
      </c>
      <c r="I4902">
        <v>16.25</v>
      </c>
      <c r="J4902">
        <v>60175</v>
      </c>
      <c r="K4902">
        <v>-1.2233000000000001</v>
      </c>
      <c r="L4902">
        <v>2.1671999999999998</v>
      </c>
    </row>
    <row r="4903" spans="1:12" hidden="1" x14ac:dyDescent="0.25">
      <c r="A4903">
        <v>2330</v>
      </c>
      <c r="B4903" t="s">
        <v>11</v>
      </c>
      <c r="C4903" s="1">
        <v>43810</v>
      </c>
      <c r="D4903" s="2">
        <f t="shared" si="152"/>
        <v>3</v>
      </c>
      <c r="E4903" s="2">
        <f t="shared" si="153"/>
        <v>12</v>
      </c>
      <c r="F4903">
        <v>308.7242</v>
      </c>
      <c r="G4903">
        <v>313.64019999999999</v>
      </c>
      <c r="H4903">
        <v>307.74099999999999</v>
      </c>
      <c r="I4903">
        <v>313.64019999999999</v>
      </c>
      <c r="J4903">
        <v>34329</v>
      </c>
      <c r="K4903">
        <v>1.7392000000000001</v>
      </c>
      <c r="L4903">
        <v>1.9169</v>
      </c>
    </row>
    <row r="4904" spans="1:12" x14ac:dyDescent="0.25">
      <c r="A4904">
        <v>2303</v>
      </c>
      <c r="B4904" t="s">
        <v>10</v>
      </c>
      <c r="C4904" s="1">
        <v>43811</v>
      </c>
      <c r="D4904" s="2">
        <f t="shared" si="152"/>
        <v>4</v>
      </c>
      <c r="E4904" s="2">
        <f t="shared" si="153"/>
        <v>12</v>
      </c>
      <c r="F4904">
        <v>16.3</v>
      </c>
      <c r="G4904">
        <v>16.75</v>
      </c>
      <c r="H4904">
        <v>16.3</v>
      </c>
      <c r="I4904">
        <v>16.600000000000001</v>
      </c>
      <c r="J4904">
        <v>155933</v>
      </c>
      <c r="K4904">
        <v>2.1309999999999998</v>
      </c>
      <c r="L4904">
        <v>2.7606999999999999</v>
      </c>
    </row>
    <row r="4905" spans="1:12" hidden="1" x14ac:dyDescent="0.25">
      <c r="A4905">
        <v>2330</v>
      </c>
      <c r="B4905" t="s">
        <v>11</v>
      </c>
      <c r="C4905" s="1">
        <v>43811</v>
      </c>
      <c r="D4905" s="2">
        <f t="shared" si="152"/>
        <v>4</v>
      </c>
      <c r="E4905" s="2">
        <f t="shared" si="153"/>
        <v>12</v>
      </c>
      <c r="F4905">
        <v>319.5394</v>
      </c>
      <c r="G4905">
        <v>328.87970000000001</v>
      </c>
      <c r="H4905">
        <v>318.55619999999999</v>
      </c>
      <c r="I4905">
        <v>325.93009999999998</v>
      </c>
      <c r="J4905">
        <v>52801</v>
      </c>
      <c r="K4905">
        <v>3.8437000000000001</v>
      </c>
      <c r="L4905">
        <v>3.2406999999999999</v>
      </c>
    </row>
    <row r="4906" spans="1:12" x14ac:dyDescent="0.25">
      <c r="A4906">
        <v>2303</v>
      </c>
      <c r="B4906" t="s">
        <v>10</v>
      </c>
      <c r="C4906" s="1">
        <v>43812</v>
      </c>
      <c r="D4906" s="2">
        <f t="shared" si="152"/>
        <v>5</v>
      </c>
      <c r="E4906" s="2">
        <f t="shared" si="153"/>
        <v>12</v>
      </c>
      <c r="F4906">
        <v>16.649999999999999</v>
      </c>
      <c r="G4906">
        <v>16.8</v>
      </c>
      <c r="H4906">
        <v>16.399999999999999</v>
      </c>
      <c r="I4906">
        <v>16.600000000000001</v>
      </c>
      <c r="J4906">
        <v>81741</v>
      </c>
      <c r="K4906">
        <v>0</v>
      </c>
      <c r="L4906">
        <v>2.4390000000000001</v>
      </c>
    </row>
    <row r="4907" spans="1:12" hidden="1" x14ac:dyDescent="0.25">
      <c r="A4907">
        <v>2330</v>
      </c>
      <c r="B4907" t="s">
        <v>11</v>
      </c>
      <c r="C4907" s="1">
        <v>43812</v>
      </c>
      <c r="D4907" s="2">
        <f t="shared" si="152"/>
        <v>5</v>
      </c>
      <c r="E4907" s="2">
        <f t="shared" si="153"/>
        <v>12</v>
      </c>
      <c r="F4907">
        <v>334.28730000000002</v>
      </c>
      <c r="G4907">
        <v>337.23689999999999</v>
      </c>
      <c r="H4907">
        <v>332.32089999999999</v>
      </c>
      <c r="I4907">
        <v>333.30410000000001</v>
      </c>
      <c r="J4907">
        <v>60843</v>
      </c>
      <c r="K4907">
        <v>2.2372000000000001</v>
      </c>
      <c r="L4907">
        <v>1.4793000000000001</v>
      </c>
    </row>
    <row r="4908" spans="1:12" x14ac:dyDescent="0.25">
      <c r="A4908">
        <v>2303</v>
      </c>
      <c r="B4908" t="s">
        <v>10</v>
      </c>
      <c r="C4908" s="1">
        <v>43815</v>
      </c>
      <c r="D4908" s="2">
        <f t="shared" si="152"/>
        <v>1</v>
      </c>
      <c r="E4908" s="2">
        <f t="shared" si="153"/>
        <v>12</v>
      </c>
      <c r="F4908">
        <v>16.55</v>
      </c>
      <c r="G4908">
        <v>16.850000000000001</v>
      </c>
      <c r="H4908">
        <v>16.399999999999999</v>
      </c>
      <c r="I4908">
        <v>16.649999999999999</v>
      </c>
      <c r="J4908">
        <v>72127</v>
      </c>
      <c r="K4908">
        <v>0.30080000000000001</v>
      </c>
      <c r="L4908">
        <v>2.7439</v>
      </c>
    </row>
    <row r="4909" spans="1:12" hidden="1" x14ac:dyDescent="0.25">
      <c r="A4909">
        <v>2330</v>
      </c>
      <c r="B4909" t="s">
        <v>11</v>
      </c>
      <c r="C4909" s="1">
        <v>43815</v>
      </c>
      <c r="D4909" s="2">
        <f t="shared" si="152"/>
        <v>1</v>
      </c>
      <c r="E4909" s="2">
        <f t="shared" si="153"/>
        <v>12</v>
      </c>
      <c r="F4909">
        <v>330.84609999999998</v>
      </c>
      <c r="G4909">
        <v>332.8125</v>
      </c>
      <c r="H4909">
        <v>330.35449999999997</v>
      </c>
      <c r="I4909">
        <v>330.35449999999997</v>
      </c>
      <c r="J4909">
        <v>48340</v>
      </c>
      <c r="K4909">
        <v>-0.88890000000000002</v>
      </c>
      <c r="L4909">
        <v>0.74399999999999999</v>
      </c>
    </row>
    <row r="4910" spans="1:12" x14ac:dyDescent="0.25">
      <c r="A4910">
        <v>2303</v>
      </c>
      <c r="B4910" t="s">
        <v>10</v>
      </c>
      <c r="C4910" s="1">
        <v>43816</v>
      </c>
      <c r="D4910" s="2">
        <f t="shared" si="152"/>
        <v>2</v>
      </c>
      <c r="E4910" s="2">
        <f t="shared" si="153"/>
        <v>12</v>
      </c>
      <c r="F4910">
        <v>16.850000000000001</v>
      </c>
      <c r="G4910">
        <v>17.05</v>
      </c>
      <c r="H4910">
        <v>16.7</v>
      </c>
      <c r="I4910">
        <v>17</v>
      </c>
      <c r="J4910">
        <v>96263</v>
      </c>
      <c r="K4910">
        <v>2.0802999999999998</v>
      </c>
      <c r="L4910">
        <v>2.0958000000000001</v>
      </c>
    </row>
    <row r="4911" spans="1:12" hidden="1" x14ac:dyDescent="0.25">
      <c r="A4911">
        <v>2330</v>
      </c>
      <c r="B4911" t="s">
        <v>11</v>
      </c>
      <c r="C4911" s="1">
        <v>43816</v>
      </c>
      <c r="D4911" s="2">
        <f t="shared" si="152"/>
        <v>2</v>
      </c>
      <c r="E4911" s="2">
        <f t="shared" si="153"/>
        <v>12</v>
      </c>
      <c r="F4911">
        <v>329.37130000000002</v>
      </c>
      <c r="G4911">
        <v>339.20330000000001</v>
      </c>
      <c r="H4911">
        <v>329.37130000000002</v>
      </c>
      <c r="I4911">
        <v>339.20330000000001</v>
      </c>
      <c r="J4911">
        <v>41428</v>
      </c>
      <c r="K4911">
        <v>2.6433</v>
      </c>
      <c r="L4911">
        <v>2.9851000000000001</v>
      </c>
    </row>
    <row r="4912" spans="1:12" x14ac:dyDescent="0.25">
      <c r="A4912">
        <v>2303</v>
      </c>
      <c r="B4912" t="s">
        <v>10</v>
      </c>
      <c r="C4912" s="1">
        <v>43817</v>
      </c>
      <c r="D4912" s="2">
        <f t="shared" si="152"/>
        <v>3</v>
      </c>
      <c r="E4912" s="2">
        <f t="shared" si="153"/>
        <v>12</v>
      </c>
      <c r="F4912">
        <v>16.899999999999999</v>
      </c>
      <c r="G4912">
        <v>16.95</v>
      </c>
      <c r="H4912">
        <v>16.7</v>
      </c>
      <c r="I4912">
        <v>16.8</v>
      </c>
      <c r="J4912">
        <v>73543</v>
      </c>
      <c r="K4912">
        <v>-1.1834</v>
      </c>
      <c r="L4912">
        <v>1.4970000000000001</v>
      </c>
    </row>
    <row r="4913" spans="1:12" hidden="1" x14ac:dyDescent="0.25">
      <c r="A4913">
        <v>2330</v>
      </c>
      <c r="B4913" t="s">
        <v>11</v>
      </c>
      <c r="C4913" s="1">
        <v>43817</v>
      </c>
      <c r="D4913" s="2">
        <f t="shared" si="152"/>
        <v>3</v>
      </c>
      <c r="E4913" s="2">
        <f t="shared" si="153"/>
        <v>12</v>
      </c>
      <c r="F4913">
        <v>335.76209999999998</v>
      </c>
      <c r="G4913">
        <v>339.20330000000001</v>
      </c>
      <c r="H4913">
        <v>335.76209999999998</v>
      </c>
      <c r="I4913">
        <v>338.71170000000001</v>
      </c>
      <c r="J4913">
        <v>42486</v>
      </c>
      <c r="K4913">
        <v>-0.14499999999999999</v>
      </c>
      <c r="L4913">
        <v>1.0248999999999999</v>
      </c>
    </row>
    <row r="4914" spans="1:12" x14ac:dyDescent="0.25">
      <c r="A4914">
        <v>2303</v>
      </c>
      <c r="B4914" t="s">
        <v>10</v>
      </c>
      <c r="C4914" s="1">
        <v>43818</v>
      </c>
      <c r="D4914" s="2">
        <f t="shared" si="152"/>
        <v>4</v>
      </c>
      <c r="E4914" s="2">
        <f t="shared" si="153"/>
        <v>12</v>
      </c>
      <c r="F4914">
        <v>16.8</v>
      </c>
      <c r="G4914">
        <v>16.8</v>
      </c>
      <c r="H4914">
        <v>16.45</v>
      </c>
      <c r="I4914">
        <v>16.7</v>
      </c>
      <c r="J4914">
        <v>57550</v>
      </c>
      <c r="K4914">
        <v>-0.59699999999999998</v>
      </c>
      <c r="L4914">
        <v>2.1276999999999999</v>
      </c>
    </row>
    <row r="4915" spans="1:12" hidden="1" x14ac:dyDescent="0.25">
      <c r="A4915">
        <v>2330</v>
      </c>
      <c r="B4915" t="s">
        <v>11</v>
      </c>
      <c r="C4915" s="1">
        <v>43818</v>
      </c>
      <c r="D4915" s="2">
        <f t="shared" si="152"/>
        <v>4</v>
      </c>
      <c r="E4915" s="2">
        <f t="shared" si="153"/>
        <v>12</v>
      </c>
      <c r="F4915">
        <v>336.73090000000002</v>
      </c>
      <c r="G4915">
        <v>338.71170000000001</v>
      </c>
      <c r="H4915">
        <v>331.779</v>
      </c>
      <c r="I4915">
        <v>331.779</v>
      </c>
      <c r="J4915">
        <v>55667</v>
      </c>
      <c r="K4915">
        <v>-2.0529000000000002</v>
      </c>
      <c r="L4915">
        <v>2.0895999999999999</v>
      </c>
    </row>
    <row r="4916" spans="1:12" x14ac:dyDescent="0.25">
      <c r="A4916">
        <v>2303</v>
      </c>
      <c r="B4916" t="s">
        <v>10</v>
      </c>
      <c r="C4916" s="1">
        <v>43819</v>
      </c>
      <c r="D4916" s="2">
        <f t="shared" si="152"/>
        <v>5</v>
      </c>
      <c r="E4916" s="2">
        <f t="shared" si="153"/>
        <v>12</v>
      </c>
      <c r="F4916">
        <v>16.75</v>
      </c>
      <c r="G4916">
        <v>16.8</v>
      </c>
      <c r="H4916">
        <v>16.55</v>
      </c>
      <c r="I4916">
        <v>16.7</v>
      </c>
      <c r="J4916">
        <v>47379</v>
      </c>
      <c r="K4916">
        <v>0</v>
      </c>
      <c r="L4916">
        <v>1.5105999999999999</v>
      </c>
    </row>
    <row r="4917" spans="1:12" hidden="1" x14ac:dyDescent="0.25">
      <c r="A4917">
        <v>2330</v>
      </c>
      <c r="B4917" t="s">
        <v>11</v>
      </c>
      <c r="C4917" s="1">
        <v>43819</v>
      </c>
      <c r="D4917" s="2">
        <f t="shared" si="152"/>
        <v>5</v>
      </c>
      <c r="E4917" s="2">
        <f t="shared" si="153"/>
        <v>12</v>
      </c>
      <c r="F4917">
        <v>328.80779999999999</v>
      </c>
      <c r="G4917">
        <v>329.79820000000001</v>
      </c>
      <c r="H4917">
        <v>325.3415</v>
      </c>
      <c r="I4917">
        <v>325.83670000000001</v>
      </c>
      <c r="J4917">
        <v>86280</v>
      </c>
      <c r="K4917">
        <v>-1.8072999999999999</v>
      </c>
      <c r="L4917">
        <v>1.3698999999999999</v>
      </c>
    </row>
    <row r="4918" spans="1:12" x14ac:dyDescent="0.25">
      <c r="A4918">
        <v>2303</v>
      </c>
      <c r="B4918" t="s">
        <v>10</v>
      </c>
      <c r="C4918" s="1">
        <v>43822</v>
      </c>
      <c r="D4918" s="2">
        <f t="shared" si="152"/>
        <v>1</v>
      </c>
      <c r="E4918" s="2">
        <f t="shared" si="153"/>
        <v>12</v>
      </c>
      <c r="F4918">
        <v>16.7</v>
      </c>
      <c r="G4918">
        <v>16.7</v>
      </c>
      <c r="H4918">
        <v>16.5</v>
      </c>
      <c r="I4918">
        <v>16.55</v>
      </c>
      <c r="J4918">
        <v>30998</v>
      </c>
      <c r="K4918">
        <v>-0.90229999999999999</v>
      </c>
      <c r="L4918">
        <v>1.2121</v>
      </c>
    </row>
    <row r="4919" spans="1:12" hidden="1" x14ac:dyDescent="0.25">
      <c r="A4919">
        <v>2330</v>
      </c>
      <c r="B4919" t="s">
        <v>11</v>
      </c>
      <c r="C4919" s="1">
        <v>43822</v>
      </c>
      <c r="D4919" s="2">
        <f t="shared" si="152"/>
        <v>1</v>
      </c>
      <c r="E4919" s="2">
        <f t="shared" si="153"/>
        <v>12</v>
      </c>
      <c r="F4919">
        <v>326.33190000000002</v>
      </c>
      <c r="G4919">
        <v>330.78859999999997</v>
      </c>
      <c r="H4919">
        <v>326.33190000000002</v>
      </c>
      <c r="I4919">
        <v>330.78859999999997</v>
      </c>
      <c r="J4919">
        <v>26911</v>
      </c>
      <c r="K4919">
        <v>1.5083</v>
      </c>
      <c r="L4919">
        <v>1.3656999999999999</v>
      </c>
    </row>
    <row r="4920" spans="1:12" x14ac:dyDescent="0.25">
      <c r="A4920">
        <v>2303</v>
      </c>
      <c r="B4920" t="s">
        <v>10</v>
      </c>
      <c r="C4920" s="1">
        <v>43823</v>
      </c>
      <c r="D4920" s="2">
        <f t="shared" si="152"/>
        <v>2</v>
      </c>
      <c r="E4920" s="2">
        <f t="shared" si="153"/>
        <v>12</v>
      </c>
      <c r="F4920">
        <v>16.600000000000001</v>
      </c>
      <c r="G4920">
        <v>16.7</v>
      </c>
      <c r="H4920">
        <v>16.5</v>
      </c>
      <c r="I4920">
        <v>16.55</v>
      </c>
      <c r="J4920">
        <v>25642</v>
      </c>
      <c r="K4920">
        <v>0</v>
      </c>
      <c r="L4920">
        <v>1.2121</v>
      </c>
    </row>
    <row r="4921" spans="1:12" hidden="1" x14ac:dyDescent="0.25">
      <c r="A4921">
        <v>2330</v>
      </c>
      <c r="B4921" t="s">
        <v>11</v>
      </c>
      <c r="C4921" s="1">
        <v>43823</v>
      </c>
      <c r="D4921" s="2">
        <f t="shared" si="152"/>
        <v>2</v>
      </c>
      <c r="E4921" s="2">
        <f t="shared" si="153"/>
        <v>12</v>
      </c>
      <c r="F4921">
        <v>330.78859999999997</v>
      </c>
      <c r="G4921">
        <v>331.28379999999999</v>
      </c>
      <c r="H4921">
        <v>328.80779999999999</v>
      </c>
      <c r="I4921">
        <v>328.80779999999999</v>
      </c>
      <c r="J4921">
        <v>13783</v>
      </c>
      <c r="K4921">
        <v>-0.60060000000000002</v>
      </c>
      <c r="L4921">
        <v>0.753</v>
      </c>
    </row>
    <row r="4922" spans="1:12" x14ac:dyDescent="0.25">
      <c r="A4922">
        <v>2303</v>
      </c>
      <c r="B4922" t="s">
        <v>10</v>
      </c>
      <c r="C4922" s="1">
        <v>43824</v>
      </c>
      <c r="D4922" s="2">
        <f t="shared" si="152"/>
        <v>3</v>
      </c>
      <c r="E4922" s="2">
        <f t="shared" si="153"/>
        <v>12</v>
      </c>
      <c r="F4922">
        <v>16.600000000000001</v>
      </c>
      <c r="G4922">
        <v>16.75</v>
      </c>
      <c r="H4922">
        <v>16.55</v>
      </c>
      <c r="I4922">
        <v>16.649999999999999</v>
      </c>
      <c r="J4922">
        <v>19272</v>
      </c>
      <c r="K4922">
        <v>0.60240000000000005</v>
      </c>
      <c r="L4922">
        <v>1.2084999999999999</v>
      </c>
    </row>
    <row r="4923" spans="1:12" hidden="1" x14ac:dyDescent="0.25">
      <c r="A4923">
        <v>2330</v>
      </c>
      <c r="B4923" t="s">
        <v>11</v>
      </c>
      <c r="C4923" s="1">
        <v>43824</v>
      </c>
      <c r="D4923" s="2">
        <f t="shared" si="152"/>
        <v>3</v>
      </c>
      <c r="E4923" s="2">
        <f t="shared" si="153"/>
        <v>12</v>
      </c>
      <c r="F4923">
        <v>328.80779999999999</v>
      </c>
      <c r="G4923">
        <v>331.28379999999999</v>
      </c>
      <c r="H4923">
        <v>327.81740000000002</v>
      </c>
      <c r="I4923">
        <v>329.79820000000001</v>
      </c>
      <c r="J4923">
        <v>12262</v>
      </c>
      <c r="K4923">
        <v>0.30080000000000001</v>
      </c>
      <c r="L4923">
        <v>1.0573999999999999</v>
      </c>
    </row>
    <row r="4924" spans="1:12" x14ac:dyDescent="0.25">
      <c r="A4924">
        <v>2303</v>
      </c>
      <c r="B4924" t="s">
        <v>10</v>
      </c>
      <c r="C4924" s="1">
        <v>43825</v>
      </c>
      <c r="D4924" s="2">
        <f t="shared" si="152"/>
        <v>4</v>
      </c>
      <c r="E4924" s="2">
        <f t="shared" si="153"/>
        <v>12</v>
      </c>
      <c r="F4924">
        <v>16.649999999999999</v>
      </c>
      <c r="G4924">
        <v>16.649999999999999</v>
      </c>
      <c r="H4924">
        <v>16.399999999999999</v>
      </c>
      <c r="I4924">
        <v>16.55</v>
      </c>
      <c r="J4924">
        <v>26143</v>
      </c>
      <c r="K4924">
        <v>-0.60240000000000005</v>
      </c>
      <c r="L4924">
        <v>1.5244</v>
      </c>
    </row>
    <row r="4925" spans="1:12" hidden="1" x14ac:dyDescent="0.25">
      <c r="A4925">
        <v>2330</v>
      </c>
      <c r="B4925" t="s">
        <v>11</v>
      </c>
      <c r="C4925" s="1">
        <v>43825</v>
      </c>
      <c r="D4925" s="2">
        <f t="shared" si="152"/>
        <v>4</v>
      </c>
      <c r="E4925" s="2">
        <f t="shared" si="153"/>
        <v>12</v>
      </c>
      <c r="F4925">
        <v>329.79820000000001</v>
      </c>
      <c r="G4925">
        <v>330.78859999999997</v>
      </c>
      <c r="H4925">
        <v>328.31259999999997</v>
      </c>
      <c r="I4925">
        <v>329.79820000000001</v>
      </c>
      <c r="J4925">
        <v>11427</v>
      </c>
      <c r="K4925">
        <v>0</v>
      </c>
      <c r="L4925">
        <v>0.75409999999999999</v>
      </c>
    </row>
    <row r="4926" spans="1:12" x14ac:dyDescent="0.25">
      <c r="A4926">
        <v>2303</v>
      </c>
      <c r="B4926" t="s">
        <v>10</v>
      </c>
      <c r="C4926" s="1">
        <v>43826</v>
      </c>
      <c r="D4926" s="2">
        <f t="shared" si="152"/>
        <v>5</v>
      </c>
      <c r="E4926" s="2">
        <f t="shared" si="153"/>
        <v>12</v>
      </c>
      <c r="F4926">
        <v>16.600000000000001</v>
      </c>
      <c r="G4926">
        <v>16.75</v>
      </c>
      <c r="H4926">
        <v>16.55</v>
      </c>
      <c r="I4926">
        <v>16.7</v>
      </c>
      <c r="J4926">
        <v>31725</v>
      </c>
      <c r="K4926">
        <v>0.90229999999999999</v>
      </c>
      <c r="L4926">
        <v>1.2084999999999999</v>
      </c>
    </row>
    <row r="4927" spans="1:12" hidden="1" x14ac:dyDescent="0.25">
      <c r="A4927">
        <v>2330</v>
      </c>
      <c r="B4927" t="s">
        <v>11</v>
      </c>
      <c r="C4927" s="1">
        <v>43826</v>
      </c>
      <c r="D4927" s="2">
        <f t="shared" si="152"/>
        <v>5</v>
      </c>
      <c r="E4927" s="2">
        <f t="shared" si="153"/>
        <v>12</v>
      </c>
      <c r="F4927">
        <v>331.779</v>
      </c>
      <c r="G4927">
        <v>334.75009999999997</v>
      </c>
      <c r="H4927">
        <v>331.779</v>
      </c>
      <c r="I4927">
        <v>334.75009999999997</v>
      </c>
      <c r="J4927">
        <v>16677</v>
      </c>
      <c r="K4927">
        <v>1.4903</v>
      </c>
      <c r="L4927">
        <v>0.89549999999999996</v>
      </c>
    </row>
    <row r="4928" spans="1:12" x14ac:dyDescent="0.25">
      <c r="A4928">
        <v>2303</v>
      </c>
      <c r="B4928" t="s">
        <v>10</v>
      </c>
      <c r="C4928" s="1">
        <v>43829</v>
      </c>
      <c r="D4928" s="2">
        <f t="shared" si="152"/>
        <v>1</v>
      </c>
      <c r="E4928" s="2">
        <f t="shared" si="153"/>
        <v>12</v>
      </c>
      <c r="F4928">
        <v>16.649999999999999</v>
      </c>
      <c r="G4928">
        <v>16.7</v>
      </c>
      <c r="H4928">
        <v>16.45</v>
      </c>
      <c r="I4928">
        <v>16.55</v>
      </c>
      <c r="J4928">
        <v>46454</v>
      </c>
      <c r="K4928">
        <v>-0.90229999999999999</v>
      </c>
      <c r="L4928">
        <v>1.5198</v>
      </c>
    </row>
    <row r="4929" spans="1:12" hidden="1" x14ac:dyDescent="0.25">
      <c r="A4929">
        <v>2330</v>
      </c>
      <c r="B4929" t="s">
        <v>11</v>
      </c>
      <c r="C4929" s="1">
        <v>43829</v>
      </c>
      <c r="D4929" s="2">
        <f t="shared" si="152"/>
        <v>1</v>
      </c>
      <c r="E4929" s="2">
        <f t="shared" si="153"/>
        <v>12</v>
      </c>
      <c r="F4929">
        <v>334.75009999999997</v>
      </c>
      <c r="G4929">
        <v>335.7405</v>
      </c>
      <c r="H4929">
        <v>330.78859999999997</v>
      </c>
      <c r="I4929">
        <v>331.28379999999999</v>
      </c>
      <c r="J4929">
        <v>21591</v>
      </c>
      <c r="K4929">
        <v>-1.0408999999999999</v>
      </c>
      <c r="L4929">
        <v>1.4970000000000001</v>
      </c>
    </row>
    <row r="4930" spans="1:12" x14ac:dyDescent="0.25">
      <c r="A4930">
        <v>2303</v>
      </c>
      <c r="B4930" t="s">
        <v>10</v>
      </c>
      <c r="C4930" s="1">
        <v>43830</v>
      </c>
      <c r="D4930" s="2">
        <f t="shared" si="152"/>
        <v>2</v>
      </c>
      <c r="E4930" s="2">
        <f t="shared" si="153"/>
        <v>12</v>
      </c>
      <c r="F4930">
        <v>16.5</v>
      </c>
      <c r="G4930">
        <v>16.600000000000001</v>
      </c>
      <c r="H4930">
        <v>16.399999999999999</v>
      </c>
      <c r="I4930">
        <v>16.45</v>
      </c>
      <c r="J4930">
        <v>30478</v>
      </c>
      <c r="K4930">
        <v>-0.60609999999999997</v>
      </c>
      <c r="L4930">
        <v>1.2195</v>
      </c>
    </row>
    <row r="4931" spans="1:12" hidden="1" x14ac:dyDescent="0.25">
      <c r="A4931">
        <v>2330</v>
      </c>
      <c r="B4931" t="s">
        <v>11</v>
      </c>
      <c r="C4931" s="1">
        <v>43830</v>
      </c>
      <c r="D4931" s="2">
        <f t="shared" ref="D4931" si="154">WEEKDAY(C4931,2)</f>
        <v>2</v>
      </c>
      <c r="E4931" s="2">
        <f t="shared" ref="E4931" si="155">MONTH(C4931)</f>
        <v>12</v>
      </c>
      <c r="F4931">
        <v>327.81740000000002</v>
      </c>
      <c r="G4931">
        <v>330.29340000000002</v>
      </c>
      <c r="H4931">
        <v>327.81740000000002</v>
      </c>
      <c r="I4931">
        <v>327.81740000000002</v>
      </c>
      <c r="J4931">
        <v>22950</v>
      </c>
      <c r="K4931">
        <v>-1.0519000000000001</v>
      </c>
      <c r="L4931">
        <v>0.75529999999999997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B18" sqref="B18"/>
    </sheetView>
  </sheetViews>
  <sheetFormatPr defaultRowHeight="16.5" x14ac:dyDescent="0.25"/>
  <sheetData>
    <row r="1" spans="1:9" x14ac:dyDescent="0.25">
      <c r="A1" t="s">
        <v>33</v>
      </c>
    </row>
    <row r="2" spans="1:9" ht="17.25" thickBot="1" x14ac:dyDescent="0.3"/>
    <row r="3" spans="1:9" x14ac:dyDescent="0.25">
      <c r="A3" s="10" t="s">
        <v>34</v>
      </c>
      <c r="B3" s="10"/>
    </row>
    <row r="4" spans="1:9" x14ac:dyDescent="0.25">
      <c r="A4" s="7" t="s">
        <v>35</v>
      </c>
      <c r="B4" s="7">
        <v>0.7318398168068655</v>
      </c>
    </row>
    <row r="5" spans="1:9" x14ac:dyDescent="0.25">
      <c r="A5" s="7" t="s">
        <v>36</v>
      </c>
      <c r="B5" s="7">
        <v>0.53558951746390648</v>
      </c>
    </row>
    <row r="6" spans="1:9" x14ac:dyDescent="0.25">
      <c r="A6" s="7" t="s">
        <v>37</v>
      </c>
      <c r="B6" s="7">
        <v>0.53540088607376191</v>
      </c>
    </row>
    <row r="7" spans="1:9" x14ac:dyDescent="0.25">
      <c r="A7" s="7" t="s">
        <v>38</v>
      </c>
      <c r="B7" s="7">
        <v>0.96871641523747531</v>
      </c>
    </row>
    <row r="8" spans="1:9" ht="17.25" thickBot="1" x14ac:dyDescent="0.3">
      <c r="A8" s="8" t="s">
        <v>39</v>
      </c>
      <c r="B8" s="8">
        <v>2464</v>
      </c>
    </row>
    <row r="10" spans="1:9" ht="17.25" thickBot="1" x14ac:dyDescent="0.3">
      <c r="A10" t="s">
        <v>40</v>
      </c>
    </row>
    <row r="11" spans="1:9" x14ac:dyDescent="0.25">
      <c r="A11" s="9"/>
      <c r="B11" s="9" t="s">
        <v>45</v>
      </c>
      <c r="C11" s="9" t="s">
        <v>46</v>
      </c>
      <c r="D11" s="9" t="s">
        <v>47</v>
      </c>
      <c r="E11" s="9" t="s">
        <v>48</v>
      </c>
      <c r="F11" s="9" t="s">
        <v>49</v>
      </c>
    </row>
    <row r="12" spans="1:9" x14ac:dyDescent="0.25">
      <c r="A12" s="7" t="s">
        <v>41</v>
      </c>
      <c r="B12" s="7">
        <v>1</v>
      </c>
      <c r="C12" s="7">
        <v>2664.4735980247287</v>
      </c>
      <c r="D12" s="7">
        <v>2664.4735980247287</v>
      </c>
      <c r="E12" s="7">
        <v>2839.3445918690177</v>
      </c>
      <c r="F12" s="7">
        <v>0</v>
      </c>
    </row>
    <row r="13" spans="1:9" x14ac:dyDescent="0.25">
      <c r="A13" s="7" t="s">
        <v>42</v>
      </c>
      <c r="B13" s="7">
        <v>2462</v>
      </c>
      <c r="C13" s="7">
        <v>2310.369096136641</v>
      </c>
      <c r="D13" s="7">
        <v>0.93841149315054473</v>
      </c>
      <c r="E13" s="7"/>
      <c r="F13" s="7"/>
    </row>
    <row r="14" spans="1:9" ht="17.25" thickBot="1" x14ac:dyDescent="0.3">
      <c r="A14" s="8" t="s">
        <v>43</v>
      </c>
      <c r="B14" s="8">
        <v>2463</v>
      </c>
      <c r="C14" s="8">
        <v>4974.8426941613698</v>
      </c>
      <c r="D14" s="8"/>
      <c r="E14" s="8"/>
      <c r="F14" s="8"/>
    </row>
    <row r="15" spans="1:9" ht="17.25" thickBot="1" x14ac:dyDescent="0.3"/>
    <row r="16" spans="1:9" x14ac:dyDescent="0.25">
      <c r="A16" s="9"/>
      <c r="B16" s="9" t="s">
        <v>50</v>
      </c>
      <c r="C16" s="9" t="s">
        <v>38</v>
      </c>
      <c r="D16" s="9" t="s">
        <v>51</v>
      </c>
      <c r="E16" s="9" t="s">
        <v>52</v>
      </c>
      <c r="F16" s="9" t="s">
        <v>53</v>
      </c>
      <c r="G16" s="9" t="s">
        <v>54</v>
      </c>
      <c r="H16" s="9" t="s">
        <v>55</v>
      </c>
      <c r="I16" s="9" t="s">
        <v>56</v>
      </c>
    </row>
    <row r="17" spans="1:9" x14ac:dyDescent="0.25">
      <c r="A17" s="7" t="s">
        <v>44</v>
      </c>
      <c r="B17" s="7">
        <v>6.9947162330620344E-2</v>
      </c>
      <c r="C17" s="7">
        <v>1.9516702692280143E-2</v>
      </c>
      <c r="D17" s="7">
        <v>3.5839641272133553</v>
      </c>
      <c r="E17" s="7">
        <v>3.4499140725009211E-4</v>
      </c>
      <c r="F17" s="7">
        <v>3.1676313458408642E-2</v>
      </c>
      <c r="G17" s="7">
        <v>0.10821801120283205</v>
      </c>
      <c r="H17" s="7">
        <v>3.1676313458408642E-2</v>
      </c>
      <c r="I17" s="7">
        <v>0.10821801120283205</v>
      </c>
    </row>
    <row r="18" spans="1:9" ht="17.25" thickBot="1" x14ac:dyDescent="0.3">
      <c r="A18" s="8" t="s">
        <v>57</v>
      </c>
      <c r="B18" s="8">
        <v>1.1394859505174528</v>
      </c>
      <c r="C18" s="8">
        <v>2.1384540524904058E-2</v>
      </c>
      <c r="D18" s="8">
        <v>53.285500765865301</v>
      </c>
      <c r="E18" s="8">
        <v>0</v>
      </c>
      <c r="F18" s="8">
        <v>1.0975524061306743</v>
      </c>
      <c r="G18" s="8">
        <v>1.1814194949042314</v>
      </c>
      <c r="H18" s="8">
        <v>1.0975524061306743</v>
      </c>
      <c r="I18" s="8">
        <v>1.1814194949042314</v>
      </c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92"/>
  <sheetViews>
    <sheetView tabSelected="1" zoomScale="110" zoomScaleNormal="110" workbookViewId="0">
      <selection activeCell="N6" sqref="N6"/>
    </sheetView>
  </sheetViews>
  <sheetFormatPr defaultRowHeight="16.5" x14ac:dyDescent="0.25"/>
  <cols>
    <col min="2" max="6" width="9" style="6"/>
  </cols>
  <sheetData>
    <row r="1" spans="1:16" x14ac:dyDescent="0.25">
      <c r="A1" t="s">
        <v>2</v>
      </c>
      <c r="B1" s="6" t="s">
        <v>19</v>
      </c>
      <c r="C1" s="6" t="s">
        <v>20</v>
      </c>
      <c r="D1" s="6" t="s">
        <v>21</v>
      </c>
      <c r="E1" s="6" t="s">
        <v>22</v>
      </c>
      <c r="F1" s="6" t="s">
        <v>28</v>
      </c>
      <c r="G1" s="6" t="s">
        <v>23</v>
      </c>
      <c r="H1" s="6" t="s">
        <v>24</v>
      </c>
      <c r="I1" s="6" t="s">
        <v>25</v>
      </c>
      <c r="J1" t="s">
        <v>29</v>
      </c>
      <c r="K1" s="6" t="s">
        <v>31</v>
      </c>
      <c r="L1" s="6" t="s">
        <v>32</v>
      </c>
      <c r="N1" s="6" t="s">
        <v>19</v>
      </c>
      <c r="O1" s="6" t="s">
        <v>20</v>
      </c>
      <c r="P1" s="6" t="s">
        <v>21</v>
      </c>
    </row>
    <row r="2" spans="1:16" x14ac:dyDescent="0.25">
      <c r="A2" s="1">
        <v>40182</v>
      </c>
      <c r="B2" s="6">
        <v>44.648299999999999</v>
      </c>
      <c r="C2" s="6">
        <v>11.1808</v>
      </c>
      <c r="D2" s="6">
        <v>8207.85</v>
      </c>
      <c r="E2" s="6">
        <v>0.53</v>
      </c>
      <c r="F2" s="6">
        <f>E2/90</f>
        <v>5.8888888888888888E-3</v>
      </c>
      <c r="M2" t="s">
        <v>26</v>
      </c>
      <c r="N2">
        <f>_xlfn.VAR.S(G3:G2466)</f>
        <v>2.0198357164341698</v>
      </c>
      <c r="O2">
        <f>_xlfn.VAR.S(H3:H2466)</f>
        <v>2.9827178665833856</v>
      </c>
      <c r="P2">
        <f>_xlfn.VAR.S(I3:I2466)</f>
        <v>0.83312237094847452</v>
      </c>
    </row>
    <row r="3" spans="1:16" x14ac:dyDescent="0.25">
      <c r="A3" s="1">
        <v>40183</v>
      </c>
      <c r="B3" s="6">
        <v>44.373100000000001</v>
      </c>
      <c r="C3" s="6">
        <v>11.3123</v>
      </c>
      <c r="D3" s="6">
        <v>8211.4</v>
      </c>
      <c r="E3" s="6">
        <v>0.53</v>
      </c>
      <c r="F3" s="6">
        <f t="shared" ref="F3:F66" si="0">E3/90</f>
        <v>5.8888888888888888E-3</v>
      </c>
      <c r="G3">
        <f>100*(B3-B2)/B2</f>
        <v>-0.61637285182190171</v>
      </c>
      <c r="H3">
        <f>100*(C3-C2)/C2</f>
        <v>1.1761233543217018</v>
      </c>
      <c r="I3">
        <f>100*(D3-D2)/D2</f>
        <v>4.3251277740203251E-2</v>
      </c>
      <c r="J3">
        <f>(G3-F3)/$N$3</f>
        <v>-0.43783963772576273</v>
      </c>
      <c r="K3">
        <f>G3-F3</f>
        <v>-0.62226174071079066</v>
      </c>
      <c r="L3">
        <f>I3-F3</f>
        <v>3.7362388851314363E-2</v>
      </c>
      <c r="M3" t="s">
        <v>27</v>
      </c>
      <c r="N3">
        <f>_xlfn.STDEV.S(G3:G2466)</f>
        <v>1.4212092444232727</v>
      </c>
    </row>
    <row r="4" spans="1:16" x14ac:dyDescent="0.25">
      <c r="A4" s="1">
        <v>40184</v>
      </c>
      <c r="B4" s="6">
        <v>44.648299999999999</v>
      </c>
      <c r="C4" s="6">
        <v>12.101599999999999</v>
      </c>
      <c r="D4" s="6">
        <v>8327.6200000000008</v>
      </c>
      <c r="E4" s="6">
        <v>0.53</v>
      </c>
      <c r="F4" s="6">
        <f t="shared" si="0"/>
        <v>5.8888888888888888E-3</v>
      </c>
      <c r="G4">
        <f t="shared" ref="G4:G67" si="1">100*(B4-B3)/B3</f>
        <v>0.62019556893703187</v>
      </c>
      <c r="H4">
        <f t="shared" ref="H4:H67" si="2">100*(C4-C3)/C3</f>
        <v>6.9773609257180143</v>
      </c>
      <c r="I4">
        <f t="shared" ref="I4:I67" si="3">100*(D4-D3)/D3</f>
        <v>1.4153493923082687</v>
      </c>
      <c r="J4">
        <f t="shared" ref="J4:J67" si="4">(G4-F4)/$N$3</f>
        <v>0.43224224895710472</v>
      </c>
      <c r="K4">
        <f t="shared" ref="K4:K67" si="5">G4-F4</f>
        <v>0.61430668004814293</v>
      </c>
      <c r="L4">
        <f t="shared" ref="L4:L67" si="6">I4-F4</f>
        <v>1.4094605034193799</v>
      </c>
      <c r="M4" t="s">
        <v>30</v>
      </c>
      <c r="N4">
        <f>(AVERAGE(G3:G2466)-F4)/N3*SQRT(252)</f>
        <v>0.95101506579226969</v>
      </c>
    </row>
    <row r="5" spans="1:16" x14ac:dyDescent="0.25">
      <c r="A5" s="1">
        <v>40185</v>
      </c>
      <c r="B5" s="6">
        <v>44.166699999999999</v>
      </c>
      <c r="C5" s="6">
        <v>12.101599999999999</v>
      </c>
      <c r="D5" s="6">
        <v>8237.42</v>
      </c>
      <c r="E5" s="6">
        <v>0.53</v>
      </c>
      <c r="F5" s="6">
        <f t="shared" si="0"/>
        <v>5.8888888888888888E-3</v>
      </c>
      <c r="G5">
        <f t="shared" si="1"/>
        <v>-1.0786524906883359</v>
      </c>
      <c r="H5">
        <f t="shared" si="2"/>
        <v>0</v>
      </c>
      <c r="I5">
        <f t="shared" si="3"/>
        <v>-1.0831426025683295</v>
      </c>
      <c r="J5">
        <f t="shared" si="4"/>
        <v>-0.76311168382339933</v>
      </c>
      <c r="K5">
        <f t="shared" si="5"/>
        <v>-1.0845413795772247</v>
      </c>
      <c r="L5">
        <f t="shared" si="6"/>
        <v>-1.0890314914572183</v>
      </c>
      <c r="M5" t="s">
        <v>58</v>
      </c>
      <c r="N5">
        <v>1.1394859505174528</v>
      </c>
    </row>
    <row r="6" spans="1:16" x14ac:dyDescent="0.25">
      <c r="A6" s="1">
        <v>40186</v>
      </c>
      <c r="B6" s="6">
        <v>44.0291</v>
      </c>
      <c r="C6" s="6">
        <v>11.97</v>
      </c>
      <c r="D6" s="6">
        <v>8280.9</v>
      </c>
      <c r="E6" s="6">
        <v>0.53</v>
      </c>
      <c r="F6" s="6">
        <f t="shared" si="0"/>
        <v>5.8888888888888888E-3</v>
      </c>
      <c r="G6">
        <f t="shared" si="1"/>
        <v>-0.31154693468155659</v>
      </c>
      <c r="H6">
        <f t="shared" si="2"/>
        <v>-1.0874595094863393</v>
      </c>
      <c r="I6">
        <f t="shared" si="3"/>
        <v>0.52783517169210215</v>
      </c>
      <c r="J6">
        <f t="shared" si="4"/>
        <v>-0.22335614886832592</v>
      </c>
      <c r="K6">
        <f t="shared" si="5"/>
        <v>-0.31743582357044547</v>
      </c>
      <c r="L6">
        <f t="shared" si="6"/>
        <v>0.5219462828032132</v>
      </c>
      <c r="N6">
        <f>SLOPE(K3:K2466,L3:L2466)</f>
        <v>1.1394859505174506</v>
      </c>
    </row>
    <row r="7" spans="1:16" x14ac:dyDescent="0.25">
      <c r="A7" s="1">
        <v>40189</v>
      </c>
      <c r="B7" s="6">
        <v>44.373100000000001</v>
      </c>
      <c r="C7" s="6">
        <v>12.2331</v>
      </c>
      <c r="D7" s="6">
        <v>8323.82</v>
      </c>
      <c r="E7" s="6">
        <v>0.53</v>
      </c>
      <c r="F7" s="6">
        <f t="shared" si="0"/>
        <v>5.8888888888888888E-3</v>
      </c>
      <c r="G7">
        <f t="shared" si="1"/>
        <v>0.78130145744519242</v>
      </c>
      <c r="H7">
        <f t="shared" si="2"/>
        <v>2.1979949874686686</v>
      </c>
      <c r="I7">
        <f t="shared" si="3"/>
        <v>0.51830115084109307</v>
      </c>
      <c r="J7">
        <f t="shared" si="4"/>
        <v>0.54560056627760412</v>
      </c>
      <c r="K7">
        <f t="shared" si="5"/>
        <v>0.77541256855630347</v>
      </c>
      <c r="L7">
        <f t="shared" si="6"/>
        <v>0.51241226195220413</v>
      </c>
    </row>
    <row r="8" spans="1:16" x14ac:dyDescent="0.25">
      <c r="A8" s="1">
        <v>40190</v>
      </c>
      <c r="B8" s="6">
        <v>43.753900000000002</v>
      </c>
      <c r="C8" s="6">
        <v>12.0687</v>
      </c>
      <c r="D8" s="6">
        <v>8309.3700000000008</v>
      </c>
      <c r="E8" s="6">
        <v>0.53</v>
      </c>
      <c r="F8" s="6">
        <f t="shared" si="0"/>
        <v>5.8888888888888888E-3</v>
      </c>
      <c r="G8">
        <f t="shared" si="1"/>
        <v>-1.3954400301083298</v>
      </c>
      <c r="H8">
        <f t="shared" si="2"/>
        <v>-1.3438948426809274</v>
      </c>
      <c r="I8">
        <f t="shared" si="3"/>
        <v>-0.17359817968191177</v>
      </c>
      <c r="J8">
        <f t="shared" si="4"/>
        <v>-0.98601168300581843</v>
      </c>
      <c r="K8">
        <f t="shared" si="5"/>
        <v>-1.4013289189972187</v>
      </c>
      <c r="L8">
        <f t="shared" si="6"/>
        <v>-0.17948706857080066</v>
      </c>
    </row>
    <row r="9" spans="1:16" x14ac:dyDescent="0.25">
      <c r="A9" s="1">
        <v>40191</v>
      </c>
      <c r="B9" s="6">
        <v>43.203600000000002</v>
      </c>
      <c r="C9" s="6">
        <v>11.739800000000001</v>
      </c>
      <c r="D9" s="6">
        <v>8196.56</v>
      </c>
      <c r="E9" s="6">
        <v>0.53</v>
      </c>
      <c r="F9" s="6">
        <f t="shared" si="0"/>
        <v>5.8888888888888888E-3</v>
      </c>
      <c r="G9">
        <f t="shared" si="1"/>
        <v>-1.2577164549902979</v>
      </c>
      <c r="H9">
        <f t="shared" si="2"/>
        <v>-2.7252313836618618</v>
      </c>
      <c r="I9">
        <f t="shared" si="3"/>
        <v>-1.3576239835270461</v>
      </c>
      <c r="J9">
        <f t="shared" si="4"/>
        <v>-0.88910577301511884</v>
      </c>
      <c r="K9">
        <f t="shared" si="5"/>
        <v>-1.2636053438791868</v>
      </c>
      <c r="L9">
        <f t="shared" si="6"/>
        <v>-1.3635128724159349</v>
      </c>
    </row>
    <row r="10" spans="1:16" x14ac:dyDescent="0.25">
      <c r="A10" s="1">
        <v>40192</v>
      </c>
      <c r="B10" s="6">
        <v>43.4788</v>
      </c>
      <c r="C10" s="6">
        <v>11.8056</v>
      </c>
      <c r="D10" s="6">
        <v>8289.98</v>
      </c>
      <c r="E10" s="6">
        <v>0.53</v>
      </c>
      <c r="F10" s="6">
        <f t="shared" si="0"/>
        <v>5.8888888888888888E-3</v>
      </c>
      <c r="G10">
        <f t="shared" si="1"/>
        <v>0.6369839550407792</v>
      </c>
      <c r="H10">
        <f t="shared" si="2"/>
        <v>0.56048655002640091</v>
      </c>
      <c r="I10">
        <f t="shared" si="3"/>
        <v>1.1397464302097475</v>
      </c>
      <c r="J10">
        <f t="shared" si="4"/>
        <v>0.44405499656596231</v>
      </c>
      <c r="K10">
        <f t="shared" si="5"/>
        <v>0.63109506615189026</v>
      </c>
      <c r="L10">
        <f t="shared" si="6"/>
        <v>1.1338575413208587</v>
      </c>
    </row>
    <row r="11" spans="1:16" x14ac:dyDescent="0.25">
      <c r="A11" s="1">
        <v>40193</v>
      </c>
      <c r="B11" s="6">
        <v>43.685099999999998</v>
      </c>
      <c r="C11" s="6">
        <v>11.8385</v>
      </c>
      <c r="D11" s="6">
        <v>8356.89</v>
      </c>
      <c r="E11" s="6">
        <v>0.53</v>
      </c>
      <c r="F11" s="6">
        <f t="shared" si="0"/>
        <v>5.8888888888888888E-3</v>
      </c>
      <c r="G11">
        <f t="shared" si="1"/>
        <v>0.47448411639695398</v>
      </c>
      <c r="H11">
        <f t="shared" si="2"/>
        <v>0.2786813037880303</v>
      </c>
      <c r="I11">
        <f t="shared" si="3"/>
        <v>0.80711895565489733</v>
      </c>
      <c r="J11">
        <f t="shared" si="4"/>
        <v>0.32971585946742221</v>
      </c>
      <c r="K11">
        <f t="shared" si="5"/>
        <v>0.46859522750806509</v>
      </c>
      <c r="L11">
        <f t="shared" si="6"/>
        <v>0.80123006676600839</v>
      </c>
    </row>
    <row r="12" spans="1:16" x14ac:dyDescent="0.25">
      <c r="A12" s="1">
        <v>40196</v>
      </c>
      <c r="B12" s="6">
        <v>43.272399999999998</v>
      </c>
      <c r="C12" s="6">
        <v>11.739800000000001</v>
      </c>
      <c r="D12" s="6">
        <v>8337.82</v>
      </c>
      <c r="E12" s="6">
        <v>0.53</v>
      </c>
      <c r="F12" s="6">
        <f t="shared" si="0"/>
        <v>5.8888888888888888E-3</v>
      </c>
      <c r="G12">
        <f t="shared" si="1"/>
        <v>-0.94471570398145122</v>
      </c>
      <c r="H12">
        <f t="shared" si="2"/>
        <v>-0.83372048823752265</v>
      </c>
      <c r="I12">
        <f t="shared" si="3"/>
        <v>-0.22819493854770986</v>
      </c>
      <c r="J12">
        <f t="shared" si="4"/>
        <v>-0.66887025721261473</v>
      </c>
      <c r="K12">
        <f t="shared" si="5"/>
        <v>-0.95060459287034016</v>
      </c>
      <c r="L12">
        <f t="shared" si="6"/>
        <v>-0.23408382743659875</v>
      </c>
    </row>
    <row r="13" spans="1:16" x14ac:dyDescent="0.25">
      <c r="A13" s="1">
        <v>40197</v>
      </c>
      <c r="B13" s="6">
        <v>42.997199999999999</v>
      </c>
      <c r="C13" s="6">
        <v>11.5425</v>
      </c>
      <c r="D13" s="6">
        <v>8249</v>
      </c>
      <c r="E13" s="6">
        <v>0.53</v>
      </c>
      <c r="F13" s="6">
        <f t="shared" si="0"/>
        <v>5.8888888888888888E-3</v>
      </c>
      <c r="G13">
        <f t="shared" si="1"/>
        <v>-0.6359711964208089</v>
      </c>
      <c r="H13">
        <f t="shared" si="2"/>
        <v>-1.6806078468117025</v>
      </c>
      <c r="I13">
        <f t="shared" si="3"/>
        <v>-1.0652664605376432</v>
      </c>
      <c r="J13">
        <f t="shared" si="4"/>
        <v>-0.45162954563398222</v>
      </c>
      <c r="K13">
        <f t="shared" si="5"/>
        <v>-0.64186008530969785</v>
      </c>
      <c r="L13">
        <f t="shared" si="6"/>
        <v>-1.071155349426532</v>
      </c>
    </row>
    <row r="14" spans="1:16" x14ac:dyDescent="0.25">
      <c r="A14" s="1">
        <v>40198</v>
      </c>
      <c r="B14" s="6">
        <v>43.341200000000001</v>
      </c>
      <c r="C14" s="6">
        <v>11.904199999999999</v>
      </c>
      <c r="D14" s="6">
        <v>8220.93</v>
      </c>
      <c r="E14" s="6">
        <v>0.53</v>
      </c>
      <c r="F14" s="6">
        <f t="shared" si="0"/>
        <v>5.8888888888888888E-3</v>
      </c>
      <c r="G14">
        <f t="shared" si="1"/>
        <v>0.80005209641558339</v>
      </c>
      <c r="H14">
        <f t="shared" si="2"/>
        <v>3.1336365605371368</v>
      </c>
      <c r="I14">
        <f t="shared" si="3"/>
        <v>-0.34028367074796595</v>
      </c>
      <c r="J14">
        <f t="shared" si="4"/>
        <v>0.55879400633153509</v>
      </c>
      <c r="K14">
        <f t="shared" si="5"/>
        <v>0.79416320752669445</v>
      </c>
      <c r="L14">
        <f t="shared" si="6"/>
        <v>-0.34617255963685484</v>
      </c>
    </row>
    <row r="15" spans="1:16" x14ac:dyDescent="0.25">
      <c r="A15" s="1">
        <v>40199</v>
      </c>
      <c r="B15" s="6">
        <v>43.066000000000003</v>
      </c>
      <c r="C15" s="6">
        <v>11.8385</v>
      </c>
      <c r="D15" s="6">
        <v>8127.87</v>
      </c>
      <c r="E15" s="6">
        <v>0.53</v>
      </c>
      <c r="F15" s="6">
        <f t="shared" si="0"/>
        <v>5.8888888888888888E-3</v>
      </c>
      <c r="G15">
        <f t="shared" si="1"/>
        <v>-0.63496165311527619</v>
      </c>
      <c r="H15">
        <f t="shared" si="2"/>
        <v>-0.55190604996555548</v>
      </c>
      <c r="I15">
        <f t="shared" si="3"/>
        <v>-1.1319887166050604</v>
      </c>
      <c r="J15">
        <f t="shared" si="4"/>
        <v>-0.45091920455683676</v>
      </c>
      <c r="K15">
        <f t="shared" si="5"/>
        <v>-0.64085054200416514</v>
      </c>
      <c r="L15">
        <f t="shared" si="6"/>
        <v>-1.1378776054939492</v>
      </c>
    </row>
    <row r="16" spans="1:16" x14ac:dyDescent="0.25">
      <c r="A16" s="1">
        <v>40200</v>
      </c>
      <c r="B16" s="6">
        <v>42.034100000000002</v>
      </c>
      <c r="C16" s="6">
        <v>11.6412</v>
      </c>
      <c r="D16" s="6">
        <v>7927.31</v>
      </c>
      <c r="E16" s="6">
        <v>0.53</v>
      </c>
      <c r="F16" s="6">
        <f t="shared" si="0"/>
        <v>5.8888888888888888E-3</v>
      </c>
      <c r="G16">
        <f t="shared" si="1"/>
        <v>-2.3960897227511269</v>
      </c>
      <c r="H16">
        <f t="shared" si="2"/>
        <v>-1.6665962748659058</v>
      </c>
      <c r="I16">
        <f t="shared" si="3"/>
        <v>-2.4675591514135866</v>
      </c>
      <c r="J16">
        <f t="shared" si="4"/>
        <v>-1.6900949814851083</v>
      </c>
      <c r="K16">
        <f t="shared" si="5"/>
        <v>-2.4019786116400157</v>
      </c>
      <c r="L16">
        <f t="shared" si="6"/>
        <v>-2.4734480403024754</v>
      </c>
    </row>
    <row r="17" spans="1:12" x14ac:dyDescent="0.25">
      <c r="A17" s="1">
        <v>40203</v>
      </c>
      <c r="B17" s="6">
        <v>41.552500000000002</v>
      </c>
      <c r="C17" s="6">
        <v>11.443899999999999</v>
      </c>
      <c r="D17" s="6">
        <v>7872.99</v>
      </c>
      <c r="E17" s="6">
        <v>0.53</v>
      </c>
      <c r="F17" s="6">
        <f t="shared" si="0"/>
        <v>5.8888888888888888E-3</v>
      </c>
      <c r="G17">
        <f t="shared" si="1"/>
        <v>-1.1457364377969321</v>
      </c>
      <c r="H17">
        <f t="shared" si="2"/>
        <v>-1.6948424561041839</v>
      </c>
      <c r="I17">
        <f t="shared" si="3"/>
        <v>-0.68522613597803816</v>
      </c>
      <c r="J17">
        <f t="shared" si="4"/>
        <v>-0.81031370377354317</v>
      </c>
      <c r="K17">
        <f t="shared" si="5"/>
        <v>-1.151625326685821</v>
      </c>
      <c r="L17">
        <f t="shared" si="6"/>
        <v>-0.69111502486692711</v>
      </c>
    </row>
    <row r="18" spans="1:12" x14ac:dyDescent="0.25">
      <c r="A18" s="1">
        <v>40204</v>
      </c>
      <c r="B18" s="6">
        <v>41.3461</v>
      </c>
      <c r="C18" s="6">
        <v>10.851900000000001</v>
      </c>
      <c r="D18" s="6">
        <v>7598.81</v>
      </c>
      <c r="E18" s="6">
        <v>0.53</v>
      </c>
      <c r="F18" s="6">
        <f t="shared" si="0"/>
        <v>5.8888888888888888E-3</v>
      </c>
      <c r="G18">
        <f t="shared" si="1"/>
        <v>-0.49672101558270171</v>
      </c>
      <c r="H18">
        <f t="shared" si="2"/>
        <v>-5.1730616310872932</v>
      </c>
      <c r="I18">
        <f t="shared" si="3"/>
        <v>-3.4825396704428608</v>
      </c>
      <c r="J18">
        <f t="shared" si="4"/>
        <v>-0.35364947592608004</v>
      </c>
      <c r="K18">
        <f t="shared" si="5"/>
        <v>-0.5026099044715906</v>
      </c>
      <c r="L18">
        <f t="shared" si="6"/>
        <v>-3.4884285593317497</v>
      </c>
    </row>
    <row r="19" spans="1:12" x14ac:dyDescent="0.25">
      <c r="A19" s="1">
        <v>40205</v>
      </c>
      <c r="B19" s="6">
        <v>41.002099999999999</v>
      </c>
      <c r="C19" s="6">
        <v>10.786199999999999</v>
      </c>
      <c r="D19" s="6">
        <v>7560.03</v>
      </c>
      <c r="E19" s="6">
        <v>0.53</v>
      </c>
      <c r="F19" s="6">
        <f t="shared" si="0"/>
        <v>5.8888888888888888E-3</v>
      </c>
      <c r="G19">
        <f t="shared" si="1"/>
        <v>-0.83200108353629776</v>
      </c>
      <c r="H19">
        <f t="shared" si="2"/>
        <v>-0.60542393497914115</v>
      </c>
      <c r="I19">
        <f t="shared" si="3"/>
        <v>-0.51034306687495345</v>
      </c>
      <c r="J19">
        <f t="shared" si="4"/>
        <v>-0.58956130190751943</v>
      </c>
      <c r="K19">
        <f t="shared" si="5"/>
        <v>-0.8378899724251867</v>
      </c>
      <c r="L19">
        <f t="shared" si="6"/>
        <v>-0.5162319557638424</v>
      </c>
    </row>
    <row r="20" spans="1:12" x14ac:dyDescent="0.25">
      <c r="A20" s="1">
        <v>40206</v>
      </c>
      <c r="B20" s="6">
        <v>41.277299999999997</v>
      </c>
      <c r="C20" s="6">
        <v>10.851900000000001</v>
      </c>
      <c r="D20" s="6">
        <v>7694.58</v>
      </c>
      <c r="E20" s="6">
        <v>0.53</v>
      </c>
      <c r="F20" s="6">
        <f t="shared" si="0"/>
        <v>5.8888888888888888E-3</v>
      </c>
      <c r="G20">
        <f t="shared" si="1"/>
        <v>0.67118513441993977</v>
      </c>
      <c r="H20">
        <f t="shared" si="2"/>
        <v>0.60911164265451623</v>
      </c>
      <c r="I20">
        <f t="shared" si="3"/>
        <v>1.7797548422426919</v>
      </c>
      <c r="J20">
        <f t="shared" si="4"/>
        <v>0.46811984100274295</v>
      </c>
      <c r="K20">
        <f t="shared" si="5"/>
        <v>0.66529624553105082</v>
      </c>
      <c r="L20">
        <f t="shared" si="6"/>
        <v>1.773865953353803</v>
      </c>
    </row>
    <row r="21" spans="1:12" x14ac:dyDescent="0.25">
      <c r="A21" s="1">
        <v>40207</v>
      </c>
      <c r="B21" s="6">
        <v>42.309199999999997</v>
      </c>
      <c r="C21" s="6">
        <v>10.555999999999999</v>
      </c>
      <c r="D21" s="6">
        <v>7640.44</v>
      </c>
      <c r="E21" s="6">
        <v>0.53</v>
      </c>
      <c r="F21" s="6">
        <f t="shared" si="0"/>
        <v>5.8888888888888888E-3</v>
      </c>
      <c r="G21">
        <f t="shared" si="1"/>
        <v>2.4999212642299771</v>
      </c>
      <c r="H21">
        <f t="shared" si="2"/>
        <v>-2.7267114514509108</v>
      </c>
      <c r="I21">
        <f t="shared" si="3"/>
        <v>-0.70361215297001689</v>
      </c>
      <c r="J21">
        <f t="shared" si="4"/>
        <v>1.7548664175437219</v>
      </c>
      <c r="K21">
        <f t="shared" si="5"/>
        <v>2.4940323753410882</v>
      </c>
      <c r="L21">
        <f t="shared" si="6"/>
        <v>-0.70950104185890583</v>
      </c>
    </row>
    <row r="22" spans="1:12" x14ac:dyDescent="0.25">
      <c r="A22" s="1">
        <v>40210</v>
      </c>
      <c r="B22" s="6">
        <v>41.139699999999998</v>
      </c>
      <c r="C22" s="6">
        <v>10.1942</v>
      </c>
      <c r="D22" s="6">
        <v>7524.67</v>
      </c>
      <c r="E22" s="6">
        <v>0.53</v>
      </c>
      <c r="F22" s="6">
        <f t="shared" si="0"/>
        <v>5.8888888888888888E-3</v>
      </c>
      <c r="G22">
        <f t="shared" si="1"/>
        <v>-2.764174222154991</v>
      </c>
      <c r="H22">
        <f t="shared" si="2"/>
        <v>-3.427434634331175</v>
      </c>
      <c r="I22">
        <f t="shared" si="3"/>
        <v>-1.5152268717508355</v>
      </c>
      <c r="J22">
        <f t="shared" si="4"/>
        <v>-1.9490888635247885</v>
      </c>
      <c r="K22">
        <f t="shared" si="5"/>
        <v>-2.7700631110438798</v>
      </c>
      <c r="L22">
        <f t="shared" si="6"/>
        <v>-1.5211157606397243</v>
      </c>
    </row>
    <row r="23" spans="1:12" x14ac:dyDescent="0.25">
      <c r="A23" s="1">
        <v>40211</v>
      </c>
      <c r="B23" s="6">
        <v>40.589300000000001</v>
      </c>
      <c r="C23" s="6">
        <v>10.26</v>
      </c>
      <c r="D23" s="6">
        <v>7429.61</v>
      </c>
      <c r="E23" s="6">
        <v>0.53</v>
      </c>
      <c r="F23" s="6">
        <f t="shared" si="0"/>
        <v>5.8888888888888888E-3</v>
      </c>
      <c r="G23">
        <f t="shared" si="1"/>
        <v>-1.3378804415199825</v>
      </c>
      <c r="H23">
        <f t="shared" si="2"/>
        <v>0.64546506837220585</v>
      </c>
      <c r="I23">
        <f t="shared" si="3"/>
        <v>-1.2633112149768748</v>
      </c>
      <c r="J23">
        <f t="shared" si="4"/>
        <v>-0.94551125084622811</v>
      </c>
      <c r="K23">
        <f t="shared" si="5"/>
        <v>-1.3437693304088714</v>
      </c>
      <c r="L23">
        <f t="shared" si="6"/>
        <v>-1.2692001038657637</v>
      </c>
    </row>
    <row r="24" spans="1:12" x14ac:dyDescent="0.25">
      <c r="A24" s="1">
        <v>40212</v>
      </c>
      <c r="B24" s="6">
        <v>41.139699999999998</v>
      </c>
      <c r="C24" s="6">
        <v>10.9506</v>
      </c>
      <c r="D24" s="6">
        <v>7547.98</v>
      </c>
      <c r="E24" s="6">
        <v>0.53</v>
      </c>
      <c r="F24" s="6">
        <f t="shared" si="0"/>
        <v>5.8888888888888888E-3</v>
      </c>
      <c r="G24">
        <f t="shared" si="1"/>
        <v>1.3560223999921068</v>
      </c>
      <c r="H24">
        <f t="shared" si="2"/>
        <v>6.7309941520467822</v>
      </c>
      <c r="I24">
        <f t="shared" si="3"/>
        <v>1.593219563341816</v>
      </c>
      <c r="J24">
        <f t="shared" si="4"/>
        <v>0.94998925485536279</v>
      </c>
      <c r="K24">
        <f t="shared" si="5"/>
        <v>1.350133511103218</v>
      </c>
      <c r="L24">
        <f t="shared" si="6"/>
        <v>1.5873306744529272</v>
      </c>
    </row>
    <row r="25" spans="1:12" x14ac:dyDescent="0.25">
      <c r="A25" s="1">
        <v>40213</v>
      </c>
      <c r="B25" s="6">
        <v>40.658099999999997</v>
      </c>
      <c r="C25" s="6">
        <v>10.851900000000001</v>
      </c>
      <c r="D25" s="6">
        <v>7542.04</v>
      </c>
      <c r="E25" s="6">
        <v>0.53</v>
      </c>
      <c r="F25" s="6">
        <f t="shared" si="0"/>
        <v>5.8888888888888888E-3</v>
      </c>
      <c r="G25">
        <f t="shared" si="1"/>
        <v>-1.1706453863299933</v>
      </c>
      <c r="H25">
        <f t="shared" si="2"/>
        <v>-0.90132047559037065</v>
      </c>
      <c r="I25">
        <f t="shared" si="3"/>
        <v>-7.8696551925145533E-2</v>
      </c>
      <c r="J25">
        <f t="shared" si="4"/>
        <v>-0.82784029152323746</v>
      </c>
      <c r="K25">
        <f t="shared" si="5"/>
        <v>-1.1765342752188821</v>
      </c>
      <c r="L25">
        <f t="shared" si="6"/>
        <v>-8.4585440814034421E-2</v>
      </c>
    </row>
    <row r="26" spans="1:12" x14ac:dyDescent="0.25">
      <c r="A26" s="1">
        <v>40214</v>
      </c>
      <c r="B26" s="6">
        <v>39.350999999999999</v>
      </c>
      <c r="C26" s="6">
        <v>10.325799999999999</v>
      </c>
      <c r="D26" s="6">
        <v>7217.83</v>
      </c>
      <c r="E26" s="6">
        <v>0.53</v>
      </c>
      <c r="F26" s="6">
        <f t="shared" si="0"/>
        <v>5.8888888888888888E-3</v>
      </c>
      <c r="G26">
        <f t="shared" si="1"/>
        <v>-3.2148575560589365</v>
      </c>
      <c r="H26">
        <f t="shared" si="2"/>
        <v>-4.8479989679226803</v>
      </c>
      <c r="I26">
        <f t="shared" si="3"/>
        <v>-4.2987043293326481</v>
      </c>
      <c r="J26">
        <f t="shared" si="4"/>
        <v>-2.2662014461176727</v>
      </c>
      <c r="K26">
        <f t="shared" si="5"/>
        <v>-3.2207464449478254</v>
      </c>
      <c r="L26">
        <f t="shared" si="6"/>
        <v>-4.3045932182215374</v>
      </c>
    </row>
    <row r="27" spans="1:12" x14ac:dyDescent="0.25">
      <c r="A27" s="1">
        <v>40215</v>
      </c>
      <c r="B27" s="6">
        <v>39.901400000000002</v>
      </c>
      <c r="C27" s="6">
        <v>10.523099999999999</v>
      </c>
      <c r="D27" s="6">
        <v>7212.87</v>
      </c>
      <c r="E27" s="6">
        <v>0.53</v>
      </c>
      <c r="F27" s="6">
        <f t="shared" si="0"/>
        <v>5.8888888888888888E-3</v>
      </c>
      <c r="G27">
        <f t="shared" si="1"/>
        <v>1.3986938070188899</v>
      </c>
      <c r="H27">
        <f t="shared" si="2"/>
        <v>1.9107478355188001</v>
      </c>
      <c r="I27">
        <f t="shared" si="3"/>
        <v>-6.8718714627527058E-2</v>
      </c>
      <c r="J27">
        <f t="shared" si="4"/>
        <v>0.98001397302703441</v>
      </c>
      <c r="K27">
        <f t="shared" si="5"/>
        <v>1.3928049181300011</v>
      </c>
      <c r="L27">
        <f t="shared" si="6"/>
        <v>-7.4607603516415946E-2</v>
      </c>
    </row>
    <row r="28" spans="1:12" x14ac:dyDescent="0.25">
      <c r="A28" s="1">
        <v>40217</v>
      </c>
      <c r="B28" s="6">
        <v>39.488599999999998</v>
      </c>
      <c r="C28" s="6">
        <v>10.523099999999999</v>
      </c>
      <c r="D28" s="6">
        <v>7215.88</v>
      </c>
      <c r="E28" s="6">
        <v>0.53</v>
      </c>
      <c r="F28" s="6">
        <f t="shared" si="0"/>
        <v>5.8888888888888888E-3</v>
      </c>
      <c r="G28">
        <f t="shared" si="1"/>
        <v>-1.0345501661595939</v>
      </c>
      <c r="H28">
        <f t="shared" si="2"/>
        <v>0</v>
      </c>
      <c r="I28">
        <f t="shared" si="3"/>
        <v>4.1730961461945361E-2</v>
      </c>
      <c r="J28">
        <f t="shared" si="4"/>
        <v>-0.73208013466777966</v>
      </c>
      <c r="K28">
        <f t="shared" si="5"/>
        <v>-1.0404390550484828</v>
      </c>
      <c r="L28">
        <f t="shared" si="6"/>
        <v>3.5842072573056473E-2</v>
      </c>
    </row>
    <row r="29" spans="1:12" x14ac:dyDescent="0.25">
      <c r="A29" s="1">
        <v>40218</v>
      </c>
      <c r="B29" s="6">
        <v>40.3142</v>
      </c>
      <c r="C29" s="6">
        <v>10.6875</v>
      </c>
      <c r="D29" s="6">
        <v>7361.04</v>
      </c>
      <c r="E29" s="6">
        <v>0.53</v>
      </c>
      <c r="F29" s="6">
        <f t="shared" si="0"/>
        <v>5.8888888888888888E-3</v>
      </c>
      <c r="G29">
        <f t="shared" si="1"/>
        <v>2.0907299828304917</v>
      </c>
      <c r="H29">
        <f t="shared" si="2"/>
        <v>1.5622772757077339</v>
      </c>
      <c r="I29">
        <f t="shared" si="3"/>
        <v>2.0116742517891075</v>
      </c>
      <c r="J29">
        <f t="shared" si="4"/>
        <v>1.4669487284313523</v>
      </c>
      <c r="K29">
        <f t="shared" si="5"/>
        <v>2.0848410939416029</v>
      </c>
      <c r="L29">
        <f t="shared" si="6"/>
        <v>2.0057853629002187</v>
      </c>
    </row>
    <row r="30" spans="1:12" x14ac:dyDescent="0.25">
      <c r="A30" s="1">
        <v>40219</v>
      </c>
      <c r="B30" s="6">
        <v>40.176600000000001</v>
      </c>
      <c r="C30" s="6">
        <v>10.6875</v>
      </c>
      <c r="D30" s="6">
        <v>7441.84</v>
      </c>
      <c r="E30" s="6">
        <v>0.53</v>
      </c>
      <c r="F30" s="6">
        <f t="shared" si="0"/>
        <v>5.8888888888888888E-3</v>
      </c>
      <c r="G30">
        <f t="shared" si="1"/>
        <v>-0.3413189397284308</v>
      </c>
      <c r="H30">
        <f t="shared" si="2"/>
        <v>0</v>
      </c>
      <c r="I30">
        <f t="shared" si="3"/>
        <v>1.0976709812743877</v>
      </c>
      <c r="J30">
        <f t="shared" si="4"/>
        <v>-0.24430451038771336</v>
      </c>
      <c r="K30">
        <f t="shared" si="5"/>
        <v>-0.34720782861731969</v>
      </c>
      <c r="L30">
        <f t="shared" si="6"/>
        <v>1.0917820923854988</v>
      </c>
    </row>
    <row r="31" spans="1:12" x14ac:dyDescent="0.25">
      <c r="A31" s="1">
        <v>40231</v>
      </c>
      <c r="B31" s="6">
        <v>40.589300000000001</v>
      </c>
      <c r="C31" s="6">
        <v>10.9177</v>
      </c>
      <c r="D31" s="6">
        <v>7560.04</v>
      </c>
      <c r="E31" s="6">
        <v>0.53</v>
      </c>
      <c r="F31" s="6">
        <f t="shared" si="0"/>
        <v>5.8888888888888888E-3</v>
      </c>
      <c r="G31">
        <f t="shared" si="1"/>
        <v>1.0272148464529127</v>
      </c>
      <c r="H31">
        <f t="shared" si="2"/>
        <v>2.1539181286549702</v>
      </c>
      <c r="I31">
        <f t="shared" si="3"/>
        <v>1.5883168678713842</v>
      </c>
      <c r="J31">
        <f t="shared" si="4"/>
        <v>0.71863165932225437</v>
      </c>
      <c r="K31">
        <f t="shared" si="5"/>
        <v>1.0213259575640239</v>
      </c>
      <c r="L31">
        <f t="shared" si="6"/>
        <v>1.5824279789824953</v>
      </c>
    </row>
    <row r="32" spans="1:12" x14ac:dyDescent="0.25">
      <c r="A32" s="1">
        <v>40232</v>
      </c>
      <c r="B32" s="6">
        <v>41.139699999999998</v>
      </c>
      <c r="C32" s="6">
        <v>10.7204</v>
      </c>
      <c r="D32" s="6">
        <v>7597.44</v>
      </c>
      <c r="E32" s="6">
        <v>0.53</v>
      </c>
      <c r="F32" s="6">
        <f t="shared" si="0"/>
        <v>5.8888888888888888E-3</v>
      </c>
      <c r="G32">
        <f t="shared" si="1"/>
        <v>1.3560223999921068</v>
      </c>
      <c r="H32">
        <f t="shared" si="2"/>
        <v>-1.8071571851214108</v>
      </c>
      <c r="I32">
        <f t="shared" si="3"/>
        <v>0.49470637721493055</v>
      </c>
      <c r="J32">
        <f t="shared" si="4"/>
        <v>0.94998925485536279</v>
      </c>
      <c r="K32">
        <f t="shared" si="5"/>
        <v>1.350133511103218</v>
      </c>
      <c r="L32">
        <f t="shared" si="6"/>
        <v>0.48881748832604166</v>
      </c>
    </row>
    <row r="33" spans="1:12" x14ac:dyDescent="0.25">
      <c r="A33" s="1">
        <v>40233</v>
      </c>
      <c r="B33" s="6">
        <v>40.245399999999997</v>
      </c>
      <c r="C33" s="6">
        <v>10.4902</v>
      </c>
      <c r="D33" s="6">
        <v>7529.67</v>
      </c>
      <c r="E33" s="6">
        <v>0.53</v>
      </c>
      <c r="F33" s="6">
        <f t="shared" si="0"/>
        <v>5.8888888888888888E-3</v>
      </c>
      <c r="G33">
        <f t="shared" si="1"/>
        <v>-2.1738126432618645</v>
      </c>
      <c r="H33">
        <f t="shared" si="2"/>
        <v>-2.1473079362710346</v>
      </c>
      <c r="I33">
        <f t="shared" si="3"/>
        <v>-0.89201099317664279</v>
      </c>
      <c r="J33">
        <f t="shared" si="4"/>
        <v>-1.5336950140901153</v>
      </c>
      <c r="K33">
        <f t="shared" si="5"/>
        <v>-2.1797015321507534</v>
      </c>
      <c r="L33">
        <f t="shared" si="6"/>
        <v>-0.89789988206553173</v>
      </c>
    </row>
    <row r="34" spans="1:12" x14ac:dyDescent="0.25">
      <c r="A34" s="1">
        <v>40234</v>
      </c>
      <c r="B34" s="6">
        <v>40.039000000000001</v>
      </c>
      <c r="C34" s="6">
        <v>10.1942</v>
      </c>
      <c r="D34" s="6">
        <v>7426.96</v>
      </c>
      <c r="E34" s="6">
        <v>0.53</v>
      </c>
      <c r="F34" s="6">
        <f t="shared" si="0"/>
        <v>5.8888888888888888E-3</v>
      </c>
      <c r="G34">
        <f t="shared" si="1"/>
        <v>-0.51285364290079127</v>
      </c>
      <c r="H34">
        <f t="shared" si="2"/>
        <v>-2.8216811881565591</v>
      </c>
      <c r="I34">
        <f t="shared" si="3"/>
        <v>-1.3640704041478582</v>
      </c>
      <c r="J34">
        <f t="shared" si="4"/>
        <v>-0.36500081450018018</v>
      </c>
      <c r="K34">
        <f t="shared" si="5"/>
        <v>-0.51874253178968022</v>
      </c>
      <c r="L34">
        <f t="shared" si="6"/>
        <v>-1.369959293036747</v>
      </c>
    </row>
    <row r="35" spans="1:12" x14ac:dyDescent="0.25">
      <c r="A35" s="1">
        <v>40235</v>
      </c>
      <c r="B35" s="6">
        <v>40.451799999999999</v>
      </c>
      <c r="C35" s="6">
        <v>10.1614</v>
      </c>
      <c r="D35" s="6">
        <v>7436.1</v>
      </c>
      <c r="E35" s="6">
        <v>0.53</v>
      </c>
      <c r="F35" s="6">
        <f t="shared" si="0"/>
        <v>5.8888888888888888E-3</v>
      </c>
      <c r="G35">
        <f t="shared" si="1"/>
        <v>1.0309947800894057</v>
      </c>
      <c r="H35">
        <f t="shared" si="2"/>
        <v>-0.32175158423417177</v>
      </c>
      <c r="I35">
        <f t="shared" si="3"/>
        <v>0.12306515721103019</v>
      </c>
      <c r="J35">
        <f t="shared" si="4"/>
        <v>0.72129131950341718</v>
      </c>
      <c r="K35">
        <f t="shared" si="5"/>
        <v>1.0251058912005169</v>
      </c>
      <c r="L35">
        <f t="shared" si="6"/>
        <v>0.1171762683221413</v>
      </c>
    </row>
    <row r="36" spans="1:12" x14ac:dyDescent="0.25">
      <c r="A36" s="1">
        <v>40238</v>
      </c>
      <c r="B36" s="6">
        <v>41.002099999999999</v>
      </c>
      <c r="C36" s="6">
        <v>10.523099999999999</v>
      </c>
      <c r="D36" s="6">
        <v>7577.75</v>
      </c>
      <c r="E36" s="6">
        <v>0.53</v>
      </c>
      <c r="F36" s="6">
        <f t="shared" si="0"/>
        <v>5.8888888888888888E-3</v>
      </c>
      <c r="G36">
        <f t="shared" si="1"/>
        <v>1.3603844575519508</v>
      </c>
      <c r="H36">
        <f t="shared" si="2"/>
        <v>3.5595488810596869</v>
      </c>
      <c r="I36">
        <f t="shared" si="3"/>
        <v>1.9048963838571245</v>
      </c>
      <c r="J36">
        <f t="shared" si="4"/>
        <v>0.95305851265604236</v>
      </c>
      <c r="K36">
        <f t="shared" si="5"/>
        <v>1.354495568663062</v>
      </c>
      <c r="L36">
        <f t="shared" si="6"/>
        <v>1.8990074949682356</v>
      </c>
    </row>
    <row r="37" spans="1:12" x14ac:dyDescent="0.25">
      <c r="A37" s="1">
        <v>40239</v>
      </c>
      <c r="B37" s="6">
        <v>41.208500000000001</v>
      </c>
      <c r="C37" s="6">
        <v>10.358700000000001</v>
      </c>
      <c r="D37" s="6">
        <v>7597.62</v>
      </c>
      <c r="E37" s="6">
        <v>0.53</v>
      </c>
      <c r="F37" s="6">
        <f t="shared" si="0"/>
        <v>5.8888888888888888E-3</v>
      </c>
      <c r="G37">
        <f t="shared" si="1"/>
        <v>0.50338885081496354</v>
      </c>
      <c r="H37">
        <f t="shared" si="2"/>
        <v>-1.562277275707717</v>
      </c>
      <c r="I37">
        <f t="shared" si="3"/>
        <v>0.26221503744515051</v>
      </c>
      <c r="J37">
        <f t="shared" si="4"/>
        <v>0.35005398668649973</v>
      </c>
      <c r="K37">
        <f t="shared" si="5"/>
        <v>0.49749996192607465</v>
      </c>
      <c r="L37">
        <f t="shared" si="6"/>
        <v>0.25632614855626162</v>
      </c>
    </row>
    <row r="38" spans="1:12" x14ac:dyDescent="0.25">
      <c r="A38" s="1">
        <v>40240</v>
      </c>
      <c r="B38" s="6">
        <v>41.277299999999997</v>
      </c>
      <c r="C38" s="6">
        <v>10.4573</v>
      </c>
      <c r="D38" s="6">
        <v>7629.52</v>
      </c>
      <c r="E38" s="6">
        <v>0.53</v>
      </c>
      <c r="F38" s="6">
        <f t="shared" si="0"/>
        <v>5.8888888888888888E-3</v>
      </c>
      <c r="G38">
        <f t="shared" si="1"/>
        <v>0.16695584648797207</v>
      </c>
      <c r="H38">
        <f t="shared" si="2"/>
        <v>0.95185689323949285</v>
      </c>
      <c r="I38">
        <f t="shared" si="3"/>
        <v>0.41986832718667882</v>
      </c>
      <c r="J38">
        <f t="shared" si="4"/>
        <v>0.11333092451452792</v>
      </c>
      <c r="K38">
        <f t="shared" si="5"/>
        <v>0.16106695759908318</v>
      </c>
      <c r="L38">
        <f t="shared" si="6"/>
        <v>0.41397943829778994</v>
      </c>
    </row>
    <row r="39" spans="1:12" x14ac:dyDescent="0.25">
      <c r="A39" s="1">
        <v>40241</v>
      </c>
      <c r="B39" s="6">
        <v>40.726900000000001</v>
      </c>
      <c r="C39" s="6">
        <v>10.391500000000001</v>
      </c>
      <c r="D39" s="6">
        <v>7569.8</v>
      </c>
      <c r="E39" s="6">
        <v>0.53</v>
      </c>
      <c r="F39" s="6">
        <f t="shared" si="0"/>
        <v>5.8888888888888888E-3</v>
      </c>
      <c r="G39">
        <f t="shared" si="1"/>
        <v>-1.3334205483401198</v>
      </c>
      <c r="H39">
        <f t="shared" si="2"/>
        <v>-0.62922551710287944</v>
      </c>
      <c r="I39">
        <f t="shared" si="3"/>
        <v>-0.78274911134645764</v>
      </c>
      <c r="J39">
        <f t="shared" si="4"/>
        <v>-0.94237315334414462</v>
      </c>
      <c r="K39">
        <f t="shared" si="5"/>
        <v>-1.3393094372290086</v>
      </c>
      <c r="L39">
        <f t="shared" si="6"/>
        <v>-0.78863800023534658</v>
      </c>
    </row>
    <row r="40" spans="1:12" x14ac:dyDescent="0.25">
      <c r="A40" s="1">
        <v>40242</v>
      </c>
      <c r="B40" s="6">
        <v>41.552500000000002</v>
      </c>
      <c r="C40" s="6">
        <v>10.588900000000001</v>
      </c>
      <c r="D40" s="6">
        <v>7666.26</v>
      </c>
      <c r="E40" s="6">
        <v>0.53</v>
      </c>
      <c r="F40" s="6">
        <f t="shared" si="0"/>
        <v>5.8888888888888888E-3</v>
      </c>
      <c r="G40">
        <f t="shared" si="1"/>
        <v>2.0271614092896866</v>
      </c>
      <c r="H40">
        <f t="shared" si="2"/>
        <v>1.8996295048837994</v>
      </c>
      <c r="I40">
        <f t="shared" si="3"/>
        <v>1.274274089143703</v>
      </c>
      <c r="J40">
        <f t="shared" si="4"/>
        <v>1.4222202172777387</v>
      </c>
      <c r="K40">
        <f t="shared" si="5"/>
        <v>2.0212725204007977</v>
      </c>
      <c r="L40">
        <f t="shared" si="6"/>
        <v>1.2683852002548142</v>
      </c>
    </row>
    <row r="41" spans="1:12" x14ac:dyDescent="0.25">
      <c r="A41" s="1">
        <v>40245</v>
      </c>
      <c r="B41" s="6">
        <v>42.102800000000002</v>
      </c>
      <c r="C41" s="6">
        <v>10.6546</v>
      </c>
      <c r="D41" s="6">
        <v>7762.27</v>
      </c>
      <c r="E41" s="6">
        <v>0.53</v>
      </c>
      <c r="F41" s="6">
        <f t="shared" si="0"/>
        <v>5.8888888888888888E-3</v>
      </c>
      <c r="G41">
        <f t="shared" si="1"/>
        <v>1.3243487154804163</v>
      </c>
      <c r="H41">
        <f t="shared" si="2"/>
        <v>0.62046104883415321</v>
      </c>
      <c r="I41">
        <f t="shared" si="3"/>
        <v>1.2523707779282234</v>
      </c>
      <c r="J41">
        <f t="shared" si="4"/>
        <v>0.92770282192089104</v>
      </c>
      <c r="K41">
        <f t="shared" si="5"/>
        <v>1.3184598265915275</v>
      </c>
      <c r="L41">
        <f t="shared" si="6"/>
        <v>1.2464818890393345</v>
      </c>
    </row>
    <row r="42" spans="1:12" x14ac:dyDescent="0.25">
      <c r="A42" s="1">
        <v>40246</v>
      </c>
      <c r="B42" s="6">
        <v>42.171599999999998</v>
      </c>
      <c r="C42" s="6">
        <v>10.753299999999999</v>
      </c>
      <c r="D42" s="6">
        <v>7770.59</v>
      </c>
      <c r="E42" s="6">
        <v>0.53</v>
      </c>
      <c r="F42" s="6">
        <f t="shared" si="0"/>
        <v>5.8888888888888888E-3</v>
      </c>
      <c r="G42">
        <f t="shared" si="1"/>
        <v>0.16340955945921881</v>
      </c>
      <c r="H42">
        <f t="shared" si="2"/>
        <v>0.92636044525368499</v>
      </c>
      <c r="I42">
        <f t="shared" si="3"/>
        <v>0.10718514042927789</v>
      </c>
      <c r="J42">
        <f t="shared" si="4"/>
        <v>0.11083566419823837</v>
      </c>
      <c r="K42">
        <f t="shared" si="5"/>
        <v>0.15752067057032992</v>
      </c>
      <c r="L42">
        <f t="shared" si="6"/>
        <v>0.101296251540389</v>
      </c>
    </row>
    <row r="43" spans="1:12" x14ac:dyDescent="0.25">
      <c r="A43" s="1">
        <v>40247</v>
      </c>
      <c r="B43" s="6">
        <v>42.240400000000001</v>
      </c>
      <c r="C43" s="6">
        <v>10.9177</v>
      </c>
      <c r="D43" s="6">
        <v>7779.08</v>
      </c>
      <c r="E43" s="6">
        <v>0.53</v>
      </c>
      <c r="F43" s="6">
        <f t="shared" si="0"/>
        <v>5.8888888888888888E-3</v>
      </c>
      <c r="G43">
        <f t="shared" si="1"/>
        <v>0.1631429682535239</v>
      </c>
      <c r="H43">
        <f t="shared" si="2"/>
        <v>1.5288330094017701</v>
      </c>
      <c r="I43">
        <f t="shared" si="3"/>
        <v>0.10925811296181862</v>
      </c>
      <c r="J43">
        <f t="shared" si="4"/>
        <v>0.11064808365248763</v>
      </c>
      <c r="K43">
        <f t="shared" si="5"/>
        <v>0.15725407936463501</v>
      </c>
      <c r="L43">
        <f t="shared" si="6"/>
        <v>0.10336922407292973</v>
      </c>
    </row>
    <row r="44" spans="1:12" x14ac:dyDescent="0.25">
      <c r="A44" s="1">
        <v>40248</v>
      </c>
      <c r="B44" s="6">
        <v>42.240400000000001</v>
      </c>
      <c r="C44" s="6">
        <v>10.983499999999999</v>
      </c>
      <c r="D44" s="6">
        <v>7749.66</v>
      </c>
      <c r="E44" s="6">
        <v>0.53</v>
      </c>
      <c r="F44" s="6">
        <f t="shared" si="0"/>
        <v>5.8888888888888888E-3</v>
      </c>
      <c r="G44">
        <f t="shared" si="1"/>
        <v>0</v>
      </c>
      <c r="H44">
        <f t="shared" si="2"/>
        <v>0.60269104298523879</v>
      </c>
      <c r="I44">
        <f t="shared" si="3"/>
        <v>-0.37819382240573529</v>
      </c>
      <c r="J44">
        <f t="shared" si="4"/>
        <v>-4.1435762622544737E-3</v>
      </c>
      <c r="K44">
        <f t="shared" si="5"/>
        <v>-5.8888888888888888E-3</v>
      </c>
      <c r="L44">
        <f t="shared" si="6"/>
        <v>-0.38408271129462418</v>
      </c>
    </row>
    <row r="45" spans="1:12" x14ac:dyDescent="0.25">
      <c r="A45" s="1">
        <v>40249</v>
      </c>
      <c r="B45" s="6">
        <v>41.8277</v>
      </c>
      <c r="C45" s="6">
        <v>11.016400000000001</v>
      </c>
      <c r="D45" s="6">
        <v>7748.33</v>
      </c>
      <c r="E45" s="6">
        <v>0.53</v>
      </c>
      <c r="F45" s="6">
        <f t="shared" si="0"/>
        <v>5.8888888888888888E-3</v>
      </c>
      <c r="G45">
        <f t="shared" si="1"/>
        <v>-0.97702673270139706</v>
      </c>
      <c r="H45">
        <f t="shared" si="2"/>
        <v>0.29954021942005266</v>
      </c>
      <c r="I45">
        <f t="shared" si="3"/>
        <v>-1.7162043238024987E-2</v>
      </c>
      <c r="J45">
        <f t="shared" si="4"/>
        <v>-0.69160514220349978</v>
      </c>
      <c r="K45">
        <f t="shared" si="5"/>
        <v>-0.982915621590286</v>
      </c>
      <c r="L45">
        <f t="shared" si="6"/>
        <v>-2.3050932126913875E-2</v>
      </c>
    </row>
    <row r="46" spans="1:12" x14ac:dyDescent="0.25">
      <c r="A46" s="1">
        <v>40252</v>
      </c>
      <c r="B46" s="6">
        <v>41.139699999999998</v>
      </c>
      <c r="C46" s="6">
        <v>10.7204</v>
      </c>
      <c r="D46" s="6">
        <v>7634.92</v>
      </c>
      <c r="E46" s="6">
        <v>0.53</v>
      </c>
      <c r="F46" s="6">
        <f t="shared" si="0"/>
        <v>5.8888888888888888E-3</v>
      </c>
      <c r="G46">
        <f t="shared" si="1"/>
        <v>-1.6448430107321281</v>
      </c>
      <c r="H46">
        <f t="shared" si="2"/>
        <v>-2.6869031625576514</v>
      </c>
      <c r="I46">
        <f t="shared" si="3"/>
        <v>-1.4636702360379572</v>
      </c>
      <c r="J46">
        <f t="shared" si="4"/>
        <v>-1.1614981439913759</v>
      </c>
      <c r="K46">
        <f t="shared" si="5"/>
        <v>-1.650731899621017</v>
      </c>
      <c r="L46">
        <f t="shared" si="6"/>
        <v>-1.469559124926846</v>
      </c>
    </row>
    <row r="47" spans="1:12" x14ac:dyDescent="0.25">
      <c r="A47" s="1">
        <v>40253</v>
      </c>
      <c r="B47" s="6">
        <v>41.070900000000002</v>
      </c>
      <c r="C47" s="6">
        <v>10.851900000000001</v>
      </c>
      <c r="D47" s="6">
        <v>7695.63</v>
      </c>
      <c r="E47" s="6">
        <v>0.53</v>
      </c>
      <c r="F47" s="6">
        <f t="shared" si="0"/>
        <v>5.8888888888888888E-3</v>
      </c>
      <c r="G47">
        <f t="shared" si="1"/>
        <v>-0.16723505518998918</v>
      </c>
      <c r="H47">
        <f t="shared" si="2"/>
        <v>1.2266333345770759</v>
      </c>
      <c r="I47">
        <f t="shared" si="3"/>
        <v>0.79516222828791971</v>
      </c>
      <c r="J47">
        <f t="shared" si="4"/>
        <v>-0.12181453558524512</v>
      </c>
      <c r="K47">
        <f t="shared" si="5"/>
        <v>-0.17312394407887807</v>
      </c>
      <c r="L47">
        <f t="shared" si="6"/>
        <v>0.78927333939903077</v>
      </c>
    </row>
    <row r="48" spans="1:12" x14ac:dyDescent="0.25">
      <c r="A48" s="1">
        <v>40254</v>
      </c>
      <c r="B48" s="6">
        <v>41.621299999999998</v>
      </c>
      <c r="C48" s="6">
        <v>11.049200000000001</v>
      </c>
      <c r="D48" s="6">
        <v>7847.84</v>
      </c>
      <c r="E48" s="6">
        <v>0.53</v>
      </c>
      <c r="F48" s="6">
        <f t="shared" si="0"/>
        <v>5.8888888888888888E-3</v>
      </c>
      <c r="G48">
        <f t="shared" si="1"/>
        <v>1.3401215946083387</v>
      </c>
      <c r="H48">
        <f t="shared" si="2"/>
        <v>1.8181148001732439</v>
      </c>
      <c r="I48">
        <f t="shared" si="3"/>
        <v>1.9778757554612167</v>
      </c>
      <c r="J48">
        <f t="shared" si="4"/>
        <v>0.93880103225818945</v>
      </c>
      <c r="K48">
        <f t="shared" si="5"/>
        <v>1.3342327057194499</v>
      </c>
      <c r="L48">
        <f t="shared" si="6"/>
        <v>1.9719868665723279</v>
      </c>
    </row>
    <row r="49" spans="1:12" x14ac:dyDescent="0.25">
      <c r="A49" s="1">
        <v>40255</v>
      </c>
      <c r="B49" s="6">
        <v>41.552500000000002</v>
      </c>
      <c r="C49" s="6">
        <v>11.016400000000001</v>
      </c>
      <c r="D49" s="6">
        <v>7886.34</v>
      </c>
      <c r="E49" s="6">
        <v>0.53</v>
      </c>
      <c r="F49" s="6">
        <f t="shared" si="0"/>
        <v>5.8888888888888888E-3</v>
      </c>
      <c r="G49">
        <f t="shared" si="1"/>
        <v>-0.16529997861670823</v>
      </c>
      <c r="H49">
        <f t="shared" si="2"/>
        <v>-0.29685407088295929</v>
      </c>
      <c r="I49">
        <f t="shared" si="3"/>
        <v>0.49058084772370486</v>
      </c>
      <c r="J49">
        <f t="shared" si="4"/>
        <v>-0.12045296509105219</v>
      </c>
      <c r="K49">
        <f t="shared" si="5"/>
        <v>-0.17118886750559711</v>
      </c>
      <c r="L49">
        <f t="shared" si="6"/>
        <v>0.48469195883481597</v>
      </c>
    </row>
    <row r="50" spans="1:12" x14ac:dyDescent="0.25">
      <c r="A50" s="1">
        <v>40256</v>
      </c>
      <c r="B50" s="6">
        <v>41.277299999999997</v>
      </c>
      <c r="C50" s="6">
        <v>11.1479</v>
      </c>
      <c r="D50" s="6">
        <v>7897.91</v>
      </c>
      <c r="E50" s="6">
        <v>0.53</v>
      </c>
      <c r="F50" s="6">
        <f t="shared" si="0"/>
        <v>5.8888888888888888E-3</v>
      </c>
      <c r="G50">
        <f t="shared" si="1"/>
        <v>-0.66229468744360798</v>
      </c>
      <c r="H50">
        <f t="shared" si="2"/>
        <v>1.193674884717322</v>
      </c>
      <c r="I50">
        <f t="shared" si="3"/>
        <v>0.14670937342290225</v>
      </c>
      <c r="J50">
        <f t="shared" si="4"/>
        <v>-0.47015144248069263</v>
      </c>
      <c r="K50">
        <f t="shared" si="5"/>
        <v>-0.66818357633249692</v>
      </c>
      <c r="L50">
        <f t="shared" si="6"/>
        <v>0.14082048453401336</v>
      </c>
    </row>
    <row r="51" spans="1:12" x14ac:dyDescent="0.25">
      <c r="A51" s="1">
        <v>40259</v>
      </c>
      <c r="B51" s="6">
        <v>40.589300000000001</v>
      </c>
      <c r="C51" s="6">
        <v>11.016400000000001</v>
      </c>
      <c r="D51" s="6">
        <v>7835.98</v>
      </c>
      <c r="E51" s="6">
        <v>0.53</v>
      </c>
      <c r="F51" s="6">
        <f t="shared" si="0"/>
        <v>5.8888888888888888E-3</v>
      </c>
      <c r="G51">
        <f t="shared" si="1"/>
        <v>-1.6667756854251496</v>
      </c>
      <c r="H51">
        <f t="shared" si="2"/>
        <v>-1.179594363063887</v>
      </c>
      <c r="I51">
        <f t="shared" si="3"/>
        <v>-0.78413149807987548</v>
      </c>
      <c r="J51">
        <f t="shared" si="4"/>
        <v>-1.176930547614617</v>
      </c>
      <c r="K51">
        <f t="shared" si="5"/>
        <v>-1.6726645743140385</v>
      </c>
      <c r="L51">
        <f t="shared" si="6"/>
        <v>-0.79002038696876442</v>
      </c>
    </row>
    <row r="52" spans="1:12" x14ac:dyDescent="0.25">
      <c r="A52" s="1">
        <v>40260</v>
      </c>
      <c r="B52" s="6">
        <v>41.002099999999999</v>
      </c>
      <c r="C52" s="6">
        <v>10.8848</v>
      </c>
      <c r="D52" s="6">
        <v>7811.87</v>
      </c>
      <c r="E52" s="6">
        <v>0.53</v>
      </c>
      <c r="F52" s="6">
        <f t="shared" si="0"/>
        <v>5.8888888888888888E-3</v>
      </c>
      <c r="G52">
        <f t="shared" si="1"/>
        <v>1.01701679999408</v>
      </c>
      <c r="H52">
        <f t="shared" si="2"/>
        <v>-1.194582622272254</v>
      </c>
      <c r="I52">
        <f t="shared" si="3"/>
        <v>-0.30768327637385079</v>
      </c>
      <c r="J52">
        <f t="shared" si="4"/>
        <v>0.71145604707595844</v>
      </c>
      <c r="K52">
        <f t="shared" si="5"/>
        <v>1.0111279111051912</v>
      </c>
      <c r="L52">
        <f t="shared" si="6"/>
        <v>-0.31357216526273968</v>
      </c>
    </row>
    <row r="53" spans="1:12" x14ac:dyDescent="0.25">
      <c r="A53" s="1">
        <v>40261</v>
      </c>
      <c r="B53" s="6">
        <v>41.690100000000001</v>
      </c>
      <c r="C53" s="6">
        <v>11.016400000000001</v>
      </c>
      <c r="D53" s="6">
        <v>7822.71</v>
      </c>
      <c r="E53" s="6">
        <v>0.53</v>
      </c>
      <c r="F53" s="6">
        <f t="shared" si="0"/>
        <v>5.8888888888888888E-3</v>
      </c>
      <c r="G53">
        <f t="shared" si="1"/>
        <v>1.6779628360498668</v>
      </c>
      <c r="H53">
        <f t="shared" si="2"/>
        <v>1.2090254299573773</v>
      </c>
      <c r="I53">
        <f t="shared" si="3"/>
        <v>0.13876318986363248</v>
      </c>
      <c r="J53">
        <f t="shared" si="4"/>
        <v>1.1765149669002515</v>
      </c>
      <c r="K53">
        <f t="shared" si="5"/>
        <v>1.672073947160978</v>
      </c>
      <c r="L53">
        <f t="shared" si="6"/>
        <v>0.13287430097474359</v>
      </c>
    </row>
    <row r="54" spans="1:12" x14ac:dyDescent="0.25">
      <c r="A54" s="1">
        <v>40262</v>
      </c>
      <c r="B54" s="6">
        <v>42.309199999999997</v>
      </c>
      <c r="C54" s="6">
        <v>10.983499999999999</v>
      </c>
      <c r="D54" s="6">
        <v>7838.1</v>
      </c>
      <c r="E54" s="6">
        <v>0.53</v>
      </c>
      <c r="F54" s="6">
        <f t="shared" si="0"/>
        <v>5.8888888888888888E-3</v>
      </c>
      <c r="G54">
        <f t="shared" si="1"/>
        <v>1.4850048332817527</v>
      </c>
      <c r="H54">
        <f t="shared" si="2"/>
        <v>-0.2986456555680756</v>
      </c>
      <c r="I54">
        <f t="shared" si="3"/>
        <v>0.1967348911055162</v>
      </c>
      <c r="J54">
        <f t="shared" si="4"/>
        <v>1.0407446688070832</v>
      </c>
      <c r="K54">
        <f t="shared" si="5"/>
        <v>1.4791159443928639</v>
      </c>
      <c r="L54">
        <f t="shared" si="6"/>
        <v>0.19084600221662731</v>
      </c>
    </row>
    <row r="55" spans="1:12" x14ac:dyDescent="0.25">
      <c r="A55" s="1">
        <v>40263</v>
      </c>
      <c r="B55" s="6">
        <v>42.653199999999998</v>
      </c>
      <c r="C55" s="6">
        <v>11.1808</v>
      </c>
      <c r="D55" s="6">
        <v>7876.86</v>
      </c>
      <c r="E55" s="6">
        <v>0.53</v>
      </c>
      <c r="F55" s="6">
        <f t="shared" si="0"/>
        <v>5.8888888888888888E-3</v>
      </c>
      <c r="G55">
        <f t="shared" si="1"/>
        <v>0.81306193452015452</v>
      </c>
      <c r="H55">
        <f t="shared" si="2"/>
        <v>1.7963308599262555</v>
      </c>
      <c r="I55">
        <f t="shared" si="3"/>
        <v>0.49450759750448842</v>
      </c>
      <c r="J55">
        <f t="shared" si="4"/>
        <v>0.56794806872989112</v>
      </c>
      <c r="K55">
        <f t="shared" si="5"/>
        <v>0.80717304563126557</v>
      </c>
      <c r="L55">
        <f t="shared" si="6"/>
        <v>0.48861870861559953</v>
      </c>
    </row>
    <row r="56" spans="1:12" x14ac:dyDescent="0.25">
      <c r="A56" s="1">
        <v>40266</v>
      </c>
      <c r="B56" s="6">
        <v>42.790799999999997</v>
      </c>
      <c r="C56" s="6">
        <v>11.016400000000001</v>
      </c>
      <c r="D56" s="6">
        <v>7947.45</v>
      </c>
      <c r="E56" s="6">
        <v>0.53</v>
      </c>
      <c r="F56" s="6">
        <f t="shared" si="0"/>
        <v>5.8888888888888888E-3</v>
      </c>
      <c r="G56">
        <f t="shared" si="1"/>
        <v>0.32260182119981401</v>
      </c>
      <c r="H56">
        <f t="shared" si="2"/>
        <v>-1.4703777904979856</v>
      </c>
      <c r="I56">
        <f t="shared" si="3"/>
        <v>0.89616928573061028</v>
      </c>
      <c r="J56">
        <f t="shared" si="4"/>
        <v>0.22284750366892481</v>
      </c>
      <c r="K56">
        <f t="shared" si="5"/>
        <v>0.31671293231092512</v>
      </c>
      <c r="L56">
        <f t="shared" si="6"/>
        <v>0.89028039684172133</v>
      </c>
    </row>
    <row r="57" spans="1:12" x14ac:dyDescent="0.25">
      <c r="A57" s="1">
        <v>40267</v>
      </c>
      <c r="B57" s="6">
        <v>42.790799999999997</v>
      </c>
      <c r="C57" s="6">
        <v>11.049200000000001</v>
      </c>
      <c r="D57" s="6">
        <v>7962.22</v>
      </c>
      <c r="E57" s="6">
        <v>0.53</v>
      </c>
      <c r="F57" s="6">
        <f t="shared" si="0"/>
        <v>5.8888888888888888E-3</v>
      </c>
      <c r="G57">
        <f t="shared" si="1"/>
        <v>0</v>
      </c>
      <c r="H57">
        <f t="shared" si="2"/>
        <v>0.29773791801314348</v>
      </c>
      <c r="I57">
        <f t="shared" si="3"/>
        <v>0.18584577443079778</v>
      </c>
      <c r="J57">
        <f t="shared" si="4"/>
        <v>-4.1435762622544737E-3</v>
      </c>
      <c r="K57">
        <f t="shared" si="5"/>
        <v>-5.8888888888888888E-3</v>
      </c>
      <c r="L57">
        <f t="shared" si="6"/>
        <v>0.17995688554190889</v>
      </c>
    </row>
    <row r="58" spans="1:12" x14ac:dyDescent="0.25">
      <c r="A58" s="1">
        <v>40268</v>
      </c>
      <c r="B58" s="6">
        <v>42.309199999999997</v>
      </c>
      <c r="C58" s="6">
        <v>11.082100000000001</v>
      </c>
      <c r="D58" s="6">
        <v>7920.06</v>
      </c>
      <c r="E58" s="6">
        <v>0.53</v>
      </c>
      <c r="F58" s="6">
        <f t="shared" si="0"/>
        <v>5.8888888888888888E-3</v>
      </c>
      <c r="G58">
        <f t="shared" si="1"/>
        <v>-1.1254755695149432</v>
      </c>
      <c r="H58">
        <f t="shared" si="2"/>
        <v>0.2977591137819906</v>
      </c>
      <c r="I58">
        <f t="shared" si="3"/>
        <v>-0.52950056642493992</v>
      </c>
      <c r="J58">
        <f t="shared" si="4"/>
        <v>-0.79605762687178427</v>
      </c>
      <c r="K58">
        <f t="shared" si="5"/>
        <v>-1.131364458403832</v>
      </c>
      <c r="L58">
        <f t="shared" si="6"/>
        <v>-0.53538945531382887</v>
      </c>
    </row>
    <row r="59" spans="1:12" x14ac:dyDescent="0.25">
      <c r="A59" s="1">
        <v>40269</v>
      </c>
      <c r="B59" s="6">
        <v>42.722000000000001</v>
      </c>
      <c r="C59" s="6">
        <v>11.115</v>
      </c>
      <c r="D59" s="6">
        <v>8013.09</v>
      </c>
      <c r="E59" s="6">
        <v>0.53</v>
      </c>
      <c r="F59" s="6">
        <f t="shared" si="0"/>
        <v>5.8888888888888888E-3</v>
      </c>
      <c r="G59">
        <f t="shared" si="1"/>
        <v>0.97567432142419219</v>
      </c>
      <c r="H59">
        <f t="shared" si="2"/>
        <v>0.29687514099313039</v>
      </c>
      <c r="I59">
        <f t="shared" si="3"/>
        <v>1.1746123135430759</v>
      </c>
      <c r="J59">
        <f t="shared" si="4"/>
        <v>0.68236639772832508</v>
      </c>
      <c r="K59">
        <f t="shared" si="5"/>
        <v>0.96978543253530325</v>
      </c>
      <c r="L59">
        <f t="shared" si="6"/>
        <v>1.1687234246541871</v>
      </c>
    </row>
    <row r="60" spans="1:12" x14ac:dyDescent="0.25">
      <c r="A60" s="1">
        <v>40270</v>
      </c>
      <c r="B60" s="6">
        <v>42.928400000000003</v>
      </c>
      <c r="C60" s="6">
        <v>11.016400000000001</v>
      </c>
      <c r="D60" s="6">
        <v>8025.93</v>
      </c>
      <c r="E60" s="6">
        <v>0.53</v>
      </c>
      <c r="F60" s="6">
        <f t="shared" si="0"/>
        <v>5.8888888888888888E-3</v>
      </c>
      <c r="G60">
        <f t="shared" si="1"/>
        <v>0.48312344927672424</v>
      </c>
      <c r="H60">
        <f t="shared" si="2"/>
        <v>-0.8870895186684602</v>
      </c>
      <c r="I60">
        <f t="shared" si="3"/>
        <v>0.16023781088194622</v>
      </c>
      <c r="J60">
        <f t="shared" si="4"/>
        <v>0.33579472006706329</v>
      </c>
      <c r="K60">
        <f t="shared" si="5"/>
        <v>0.47723456038783535</v>
      </c>
      <c r="L60">
        <f t="shared" si="6"/>
        <v>0.15434892199305733</v>
      </c>
    </row>
    <row r="61" spans="1:12" x14ac:dyDescent="0.25">
      <c r="A61" s="1">
        <v>40274</v>
      </c>
      <c r="B61" s="6">
        <v>43.616300000000003</v>
      </c>
      <c r="C61" s="6">
        <v>11.213699999999999</v>
      </c>
      <c r="D61" s="6">
        <v>8089.65</v>
      </c>
      <c r="E61" s="6">
        <v>0.53</v>
      </c>
      <c r="F61" s="6">
        <f t="shared" si="0"/>
        <v>5.8888888888888888E-3</v>
      </c>
      <c r="G61">
        <f t="shared" si="1"/>
        <v>1.6024356836033931</v>
      </c>
      <c r="H61">
        <f t="shared" si="2"/>
        <v>1.7909661958534409</v>
      </c>
      <c r="I61">
        <f t="shared" si="3"/>
        <v>0.79392668513180831</v>
      </c>
      <c r="J61">
        <f t="shared" si="4"/>
        <v>1.1233720868191956</v>
      </c>
      <c r="K61">
        <f t="shared" si="5"/>
        <v>1.5965467947145042</v>
      </c>
      <c r="L61">
        <f t="shared" si="6"/>
        <v>0.78803779624291936</v>
      </c>
    </row>
    <row r="62" spans="1:12" x14ac:dyDescent="0.25">
      <c r="A62" s="1">
        <v>40275</v>
      </c>
      <c r="B62" s="6">
        <v>43.685099999999998</v>
      </c>
      <c r="C62" s="6">
        <v>11.3123</v>
      </c>
      <c r="D62" s="6">
        <v>8121.78</v>
      </c>
      <c r="E62" s="6">
        <v>0.53</v>
      </c>
      <c r="F62" s="6">
        <f t="shared" si="0"/>
        <v>5.8888888888888888E-3</v>
      </c>
      <c r="G62">
        <f t="shared" si="1"/>
        <v>0.15773919383348878</v>
      </c>
      <c r="H62">
        <f t="shared" si="2"/>
        <v>0.87928159305136699</v>
      </c>
      <c r="I62">
        <f t="shared" si="3"/>
        <v>0.39717416699115671</v>
      </c>
      <c r="J62">
        <f t="shared" si="4"/>
        <v>0.10684584662001745</v>
      </c>
      <c r="K62">
        <f t="shared" si="5"/>
        <v>0.15185030494459989</v>
      </c>
      <c r="L62">
        <f t="shared" si="6"/>
        <v>0.39128527810226782</v>
      </c>
    </row>
    <row r="63" spans="1:12" x14ac:dyDescent="0.25">
      <c r="A63" s="1">
        <v>40276</v>
      </c>
      <c r="B63" s="6">
        <v>42.8596</v>
      </c>
      <c r="C63" s="6">
        <v>11.213699999999999</v>
      </c>
      <c r="D63" s="6">
        <v>8057.6</v>
      </c>
      <c r="E63" s="6">
        <v>0.53</v>
      </c>
      <c r="F63" s="6">
        <f t="shared" si="0"/>
        <v>5.8888888888888888E-3</v>
      </c>
      <c r="G63">
        <f t="shared" si="1"/>
        <v>-1.8896603189645855</v>
      </c>
      <c r="H63">
        <f t="shared" si="2"/>
        <v>-0.87161761975903329</v>
      </c>
      <c r="I63">
        <f t="shared" si="3"/>
        <v>-0.79022086291427962</v>
      </c>
      <c r="J63">
        <f t="shared" si="4"/>
        <v>-1.3337580059315537</v>
      </c>
      <c r="K63">
        <f t="shared" si="5"/>
        <v>-1.8955492078534744</v>
      </c>
      <c r="L63">
        <f t="shared" si="6"/>
        <v>-0.79610975180316856</v>
      </c>
    </row>
    <row r="64" spans="1:12" x14ac:dyDescent="0.25">
      <c r="A64" s="1">
        <v>40277</v>
      </c>
      <c r="B64" s="6">
        <v>43.134799999999998</v>
      </c>
      <c r="C64" s="6">
        <v>11.1479</v>
      </c>
      <c r="D64" s="6">
        <v>8092.03</v>
      </c>
      <c r="E64" s="6">
        <v>0.53</v>
      </c>
      <c r="F64" s="6">
        <f t="shared" si="0"/>
        <v>5.8888888888888888E-3</v>
      </c>
      <c r="G64">
        <f t="shared" si="1"/>
        <v>0.64209651979952709</v>
      </c>
      <c r="H64">
        <f t="shared" si="2"/>
        <v>-0.58678223958193476</v>
      </c>
      <c r="I64">
        <f t="shared" si="3"/>
        <v>0.42729845115170001</v>
      </c>
      <c r="J64">
        <f t="shared" si="4"/>
        <v>0.44765233086336381</v>
      </c>
      <c r="K64">
        <f t="shared" si="5"/>
        <v>0.63620763091063814</v>
      </c>
      <c r="L64">
        <f t="shared" si="6"/>
        <v>0.42140956226281112</v>
      </c>
    </row>
    <row r="65" spans="1:12" x14ac:dyDescent="0.25">
      <c r="A65" s="1">
        <v>40280</v>
      </c>
      <c r="B65" s="6">
        <v>43.41</v>
      </c>
      <c r="C65" s="6">
        <v>11.1479</v>
      </c>
      <c r="D65" s="6">
        <v>8117.75</v>
      </c>
      <c r="E65" s="6">
        <v>0.53</v>
      </c>
      <c r="F65" s="6">
        <f t="shared" si="0"/>
        <v>5.8888888888888888E-3</v>
      </c>
      <c r="G65">
        <f t="shared" si="1"/>
        <v>0.63799994436046559</v>
      </c>
      <c r="H65">
        <f t="shared" si="2"/>
        <v>0</v>
      </c>
      <c r="I65">
        <f t="shared" si="3"/>
        <v>0.31784360661045813</v>
      </c>
      <c r="J65">
        <f t="shared" si="4"/>
        <v>0.44476987322727946</v>
      </c>
      <c r="K65">
        <f t="shared" si="5"/>
        <v>0.63211105547157664</v>
      </c>
      <c r="L65">
        <f t="shared" si="6"/>
        <v>0.31195471772156924</v>
      </c>
    </row>
    <row r="66" spans="1:12" x14ac:dyDescent="0.25">
      <c r="A66" s="1">
        <v>40281</v>
      </c>
      <c r="B66" s="6">
        <v>43.272399999999998</v>
      </c>
      <c r="C66" s="6">
        <v>10.9177</v>
      </c>
      <c r="D66" s="6">
        <v>8029.73</v>
      </c>
      <c r="E66" s="6">
        <v>0.53</v>
      </c>
      <c r="F66" s="6">
        <f t="shared" si="0"/>
        <v>5.8888888888888888E-3</v>
      </c>
      <c r="G66">
        <f t="shared" si="1"/>
        <v>-0.31697765491821944</v>
      </c>
      <c r="H66">
        <f t="shared" si="2"/>
        <v>-2.0649629078122334</v>
      </c>
      <c r="I66">
        <f t="shared" si="3"/>
        <v>-1.0842905977641641</v>
      </c>
      <c r="J66">
        <f t="shared" si="4"/>
        <v>-0.22717734568221706</v>
      </c>
      <c r="K66">
        <f t="shared" si="5"/>
        <v>-0.32286654380710833</v>
      </c>
      <c r="L66">
        <f t="shared" si="6"/>
        <v>-1.090179486653053</v>
      </c>
    </row>
    <row r="67" spans="1:12" x14ac:dyDescent="0.25">
      <c r="A67" s="1">
        <v>40282</v>
      </c>
      <c r="B67" s="6">
        <v>43.891500000000001</v>
      </c>
      <c r="C67" s="6">
        <v>10.9506</v>
      </c>
      <c r="D67" s="6">
        <v>8097.13</v>
      </c>
      <c r="E67" s="6">
        <v>0.53</v>
      </c>
      <c r="F67" s="6">
        <f t="shared" ref="F67:F130" si="7">E67/90</f>
        <v>5.8888888888888888E-3</v>
      </c>
      <c r="G67">
        <f t="shared" si="1"/>
        <v>1.4307040977620911</v>
      </c>
      <c r="H67">
        <f t="shared" si="2"/>
        <v>0.30134552149261939</v>
      </c>
      <c r="I67">
        <f t="shared" si="3"/>
        <v>0.83938065165330034</v>
      </c>
      <c r="J67">
        <f t="shared" si="4"/>
        <v>1.0025372509108557</v>
      </c>
      <c r="K67">
        <f t="shared" si="5"/>
        <v>1.4248152088732022</v>
      </c>
      <c r="L67">
        <f t="shared" si="6"/>
        <v>0.83349176276441139</v>
      </c>
    </row>
    <row r="68" spans="1:12" x14ac:dyDescent="0.25">
      <c r="A68" s="1">
        <v>40283</v>
      </c>
      <c r="B68" s="6">
        <v>44.304299999999998</v>
      </c>
      <c r="C68" s="6">
        <v>10.9177</v>
      </c>
      <c r="D68" s="6">
        <v>8171.94</v>
      </c>
      <c r="E68" s="6">
        <v>0.53</v>
      </c>
      <c r="F68" s="6">
        <f t="shared" si="7"/>
        <v>5.8888888888888888E-3</v>
      </c>
      <c r="G68">
        <f t="shared" ref="G68:G131" si="8">100*(B68-B67)/B67</f>
        <v>0.94050100816786208</v>
      </c>
      <c r="H68">
        <f t="shared" ref="H68:H131" si="9">100*(C68-C67)/C67</f>
        <v>-0.30044015853012351</v>
      </c>
      <c r="I68">
        <f t="shared" ref="I68:I131" si="10">100*(D68-D67)/D67</f>
        <v>0.92390760676930583</v>
      </c>
      <c r="J68">
        <f t="shared" ref="J68:J131" si="11">(G68-F68)/$N$3</f>
        <v>0.65761753446674154</v>
      </c>
      <c r="K68">
        <f t="shared" ref="K68:K131" si="12">G68-F68</f>
        <v>0.93461211927897314</v>
      </c>
      <c r="L68">
        <f t="shared" ref="L68:L131" si="13">I68-F68</f>
        <v>0.91801871788041689</v>
      </c>
    </row>
    <row r="69" spans="1:12" x14ac:dyDescent="0.25">
      <c r="A69" s="1">
        <v>40284</v>
      </c>
      <c r="B69" s="6">
        <v>43.341200000000001</v>
      </c>
      <c r="C69" s="6">
        <v>10.983499999999999</v>
      </c>
      <c r="D69" s="6">
        <v>8111.57</v>
      </c>
      <c r="E69" s="6">
        <v>0.53</v>
      </c>
      <c r="F69" s="6">
        <f t="shared" si="7"/>
        <v>5.8888888888888888E-3</v>
      </c>
      <c r="G69">
        <f t="shared" si="8"/>
        <v>-2.1738296282753531</v>
      </c>
      <c r="H69">
        <f t="shared" si="9"/>
        <v>0.60269104298523879</v>
      </c>
      <c r="I69">
        <f t="shared" si="10"/>
        <v>-0.73874747000100216</v>
      </c>
      <c r="J69">
        <f t="shared" si="11"/>
        <v>-1.5337069651898956</v>
      </c>
      <c r="K69">
        <f t="shared" si="12"/>
        <v>-2.1797185171642419</v>
      </c>
      <c r="L69">
        <f t="shared" si="13"/>
        <v>-0.7446363588898911</v>
      </c>
    </row>
    <row r="70" spans="1:12" x14ac:dyDescent="0.25">
      <c r="A70" s="1">
        <v>40287</v>
      </c>
      <c r="B70" s="6">
        <v>43.066000000000003</v>
      </c>
      <c r="C70" s="6">
        <v>10.6546</v>
      </c>
      <c r="D70" s="6">
        <v>7854.22</v>
      </c>
      <c r="E70" s="6">
        <v>0.53</v>
      </c>
      <c r="F70" s="6">
        <f t="shared" si="7"/>
        <v>5.8888888888888888E-3</v>
      </c>
      <c r="G70">
        <f t="shared" si="8"/>
        <v>-0.63496165311527619</v>
      </c>
      <c r="H70">
        <f t="shared" si="9"/>
        <v>-2.9944917376064013</v>
      </c>
      <c r="I70">
        <f t="shared" si="10"/>
        <v>-3.1726287266213502</v>
      </c>
      <c r="J70">
        <f t="shared" si="11"/>
        <v>-0.45091920455683676</v>
      </c>
      <c r="K70">
        <f t="shared" si="12"/>
        <v>-0.64085054200416514</v>
      </c>
      <c r="L70">
        <f t="shared" si="13"/>
        <v>-3.178517615510239</v>
      </c>
    </row>
    <row r="71" spans="1:12" x14ac:dyDescent="0.25">
      <c r="A71" s="1">
        <v>40288</v>
      </c>
      <c r="B71" s="6">
        <v>43.203600000000002</v>
      </c>
      <c r="C71" s="6">
        <v>10.753299999999999</v>
      </c>
      <c r="D71" s="6">
        <v>7900.42</v>
      </c>
      <c r="E71" s="6">
        <v>0.53</v>
      </c>
      <c r="F71" s="6">
        <f t="shared" si="7"/>
        <v>5.8888888888888888E-3</v>
      </c>
      <c r="G71">
        <f t="shared" si="8"/>
        <v>0.31950958993173045</v>
      </c>
      <c r="H71">
        <f t="shared" si="9"/>
        <v>0.92636044525368499</v>
      </c>
      <c r="I71">
        <f t="shared" si="10"/>
        <v>0.58821881740007054</v>
      </c>
      <c r="J71">
        <f t="shared" si="11"/>
        <v>0.22067172886291558</v>
      </c>
      <c r="K71">
        <f t="shared" si="12"/>
        <v>0.31362070104284157</v>
      </c>
      <c r="L71">
        <f t="shared" si="13"/>
        <v>0.58232992851118159</v>
      </c>
    </row>
    <row r="72" spans="1:12" x14ac:dyDescent="0.25">
      <c r="A72" s="1">
        <v>40289</v>
      </c>
      <c r="B72" s="6">
        <v>42.928400000000003</v>
      </c>
      <c r="C72" s="6">
        <v>10.753299999999999</v>
      </c>
      <c r="D72" s="6">
        <v>7990.53</v>
      </c>
      <c r="E72" s="6">
        <v>0.53</v>
      </c>
      <c r="F72" s="6">
        <f t="shared" si="7"/>
        <v>5.8888888888888888E-3</v>
      </c>
      <c r="G72">
        <f t="shared" si="8"/>
        <v>-0.6369839550407792</v>
      </c>
      <c r="H72">
        <f t="shared" si="9"/>
        <v>0</v>
      </c>
      <c r="I72">
        <f t="shared" si="10"/>
        <v>1.1405722733728039</v>
      </c>
      <c r="J72">
        <f t="shared" si="11"/>
        <v>-0.45234214909047132</v>
      </c>
      <c r="K72">
        <f t="shared" si="12"/>
        <v>-0.64287284392966815</v>
      </c>
      <c r="L72">
        <f t="shared" si="13"/>
        <v>1.134683384483915</v>
      </c>
    </row>
    <row r="73" spans="1:12" x14ac:dyDescent="0.25">
      <c r="A73" s="1">
        <v>40290</v>
      </c>
      <c r="B73" s="6">
        <v>42.378</v>
      </c>
      <c r="C73" s="6">
        <v>10.6875</v>
      </c>
      <c r="D73" s="6">
        <v>7978.69</v>
      </c>
      <c r="E73" s="6">
        <v>0.53</v>
      </c>
      <c r="F73" s="6">
        <f t="shared" si="7"/>
        <v>5.8888888888888888E-3</v>
      </c>
      <c r="G73">
        <f t="shared" si="8"/>
        <v>-1.2821349037001222</v>
      </c>
      <c r="H73">
        <f t="shared" si="9"/>
        <v>-0.61190518259510496</v>
      </c>
      <c r="I73">
        <f t="shared" si="10"/>
        <v>-0.14817540263286849</v>
      </c>
      <c r="J73">
        <f t="shared" si="11"/>
        <v>-0.90628723225881602</v>
      </c>
      <c r="K73">
        <f t="shared" si="12"/>
        <v>-1.288023792589011</v>
      </c>
      <c r="L73">
        <f t="shared" si="13"/>
        <v>-0.15406429152175738</v>
      </c>
    </row>
    <row r="74" spans="1:12" x14ac:dyDescent="0.25">
      <c r="A74" s="1">
        <v>40291</v>
      </c>
      <c r="B74" s="6">
        <v>42.446800000000003</v>
      </c>
      <c r="C74" s="6">
        <v>10.6546</v>
      </c>
      <c r="D74" s="6">
        <v>8004.89</v>
      </c>
      <c r="E74" s="6">
        <v>0.53</v>
      </c>
      <c r="F74" s="6">
        <f t="shared" si="7"/>
        <v>5.8888888888888888E-3</v>
      </c>
      <c r="G74">
        <f t="shared" si="8"/>
        <v>0.16234838831469886</v>
      </c>
      <c r="H74">
        <f t="shared" si="9"/>
        <v>-0.3078362573099388</v>
      </c>
      <c r="I74">
        <f t="shared" si="10"/>
        <v>0.32837470812878716</v>
      </c>
      <c r="J74">
        <f t="shared" si="11"/>
        <v>0.11008899642311383</v>
      </c>
      <c r="K74">
        <f t="shared" si="12"/>
        <v>0.15645949942580997</v>
      </c>
      <c r="L74">
        <f t="shared" si="13"/>
        <v>0.32248581923989827</v>
      </c>
    </row>
    <row r="75" spans="1:12" x14ac:dyDescent="0.25">
      <c r="A75" s="1">
        <v>40294</v>
      </c>
      <c r="B75" s="6">
        <v>43.685099999999998</v>
      </c>
      <c r="C75" s="6">
        <v>11.049200000000001</v>
      </c>
      <c r="D75" s="6">
        <v>8158.14</v>
      </c>
      <c r="E75" s="6">
        <v>0.53</v>
      </c>
      <c r="F75" s="6">
        <f t="shared" si="7"/>
        <v>5.8888888888888888E-3</v>
      </c>
      <c r="G75">
        <f t="shared" si="8"/>
        <v>2.9172988305360952</v>
      </c>
      <c r="H75">
        <f t="shared" si="9"/>
        <v>3.703564657518823</v>
      </c>
      <c r="I75">
        <f t="shared" si="10"/>
        <v>1.914454789509912</v>
      </c>
      <c r="J75">
        <f t="shared" si="11"/>
        <v>2.0485441908511213</v>
      </c>
      <c r="K75">
        <f t="shared" si="12"/>
        <v>2.9114099416472063</v>
      </c>
      <c r="L75">
        <f t="shared" si="13"/>
        <v>1.9085659006210232</v>
      </c>
    </row>
    <row r="76" spans="1:12" x14ac:dyDescent="0.25">
      <c r="A76" s="1">
        <v>40295</v>
      </c>
      <c r="B76" s="6">
        <v>43.822699999999998</v>
      </c>
      <c r="C76" s="6">
        <v>10.9506</v>
      </c>
      <c r="D76" s="6">
        <v>8146.44</v>
      </c>
      <c r="E76" s="6">
        <v>0.53</v>
      </c>
      <c r="F76" s="6">
        <f t="shared" si="7"/>
        <v>5.8888888888888888E-3</v>
      </c>
      <c r="G76">
        <f t="shared" si="8"/>
        <v>0.31498153832771142</v>
      </c>
      <c r="H76">
        <f t="shared" si="9"/>
        <v>-0.89237229844695654</v>
      </c>
      <c r="I76">
        <f t="shared" si="10"/>
        <v>-0.14341504313484113</v>
      </c>
      <c r="J76">
        <f t="shared" si="11"/>
        <v>0.21748567331072524</v>
      </c>
      <c r="K76">
        <f t="shared" si="12"/>
        <v>0.30909264943882253</v>
      </c>
      <c r="L76">
        <f t="shared" si="13"/>
        <v>-0.14930393202373002</v>
      </c>
    </row>
    <row r="77" spans="1:12" x14ac:dyDescent="0.25">
      <c r="A77" s="1">
        <v>40296</v>
      </c>
      <c r="B77" s="6">
        <v>42.722000000000001</v>
      </c>
      <c r="C77" s="6">
        <v>10.786199999999999</v>
      </c>
      <c r="D77" s="6">
        <v>8081.55</v>
      </c>
      <c r="E77" s="6">
        <v>0.53</v>
      </c>
      <c r="F77" s="6">
        <f t="shared" si="7"/>
        <v>5.8888888888888888E-3</v>
      </c>
      <c r="G77">
        <f t="shared" si="8"/>
        <v>-2.5117119666291585</v>
      </c>
      <c r="H77">
        <f t="shared" si="9"/>
        <v>-1.5012876006794198</v>
      </c>
      <c r="I77">
        <f t="shared" si="10"/>
        <v>-0.79654425736885581</v>
      </c>
      <c r="J77">
        <f t="shared" si="11"/>
        <v>-1.7714498166944381</v>
      </c>
      <c r="K77">
        <f t="shared" si="12"/>
        <v>-2.5176008555180474</v>
      </c>
      <c r="L77">
        <f t="shared" si="13"/>
        <v>-0.80243314625774476</v>
      </c>
    </row>
    <row r="78" spans="1:12" x14ac:dyDescent="0.25">
      <c r="A78" s="1">
        <v>40297</v>
      </c>
      <c r="B78" s="6">
        <v>42.378</v>
      </c>
      <c r="C78" s="6">
        <v>10.588900000000001</v>
      </c>
      <c r="D78" s="6">
        <v>8054.05</v>
      </c>
      <c r="E78" s="6">
        <v>0.53</v>
      </c>
      <c r="F78" s="6">
        <f t="shared" si="7"/>
        <v>5.8888888888888888E-3</v>
      </c>
      <c r="G78">
        <f t="shared" si="8"/>
        <v>-0.80520574879453488</v>
      </c>
      <c r="H78">
        <f t="shared" si="9"/>
        <v>-1.8291891490979075</v>
      </c>
      <c r="I78">
        <f t="shared" si="10"/>
        <v>-0.34028125792700659</v>
      </c>
      <c r="J78">
        <f t="shared" si="11"/>
        <v>-0.57070740347778015</v>
      </c>
      <c r="K78">
        <f t="shared" si="12"/>
        <v>-0.81109463768342382</v>
      </c>
      <c r="L78">
        <f t="shared" si="13"/>
        <v>-0.34617014681589547</v>
      </c>
    </row>
    <row r="79" spans="1:12" x14ac:dyDescent="0.25">
      <c r="A79" s="1">
        <v>40298</v>
      </c>
      <c r="B79" s="6">
        <v>42.515599999999999</v>
      </c>
      <c r="C79" s="6">
        <v>10.523099999999999</v>
      </c>
      <c r="D79" s="6">
        <v>8004.25</v>
      </c>
      <c r="E79" s="6">
        <v>0.53</v>
      </c>
      <c r="F79" s="6">
        <f t="shared" si="7"/>
        <v>5.8888888888888888E-3</v>
      </c>
      <c r="G79">
        <f t="shared" si="8"/>
        <v>0.32469677662938096</v>
      </c>
      <c r="H79">
        <f t="shared" si="9"/>
        <v>-0.6214054339922106</v>
      </c>
      <c r="I79">
        <f t="shared" si="10"/>
        <v>-0.61832245888714599</v>
      </c>
      <c r="J79">
        <f t="shared" si="11"/>
        <v>0.22432156910847034</v>
      </c>
      <c r="K79">
        <f t="shared" si="12"/>
        <v>0.31880788774049207</v>
      </c>
      <c r="L79">
        <f t="shared" si="13"/>
        <v>-0.62421134777603493</v>
      </c>
    </row>
    <row r="80" spans="1:12" x14ac:dyDescent="0.25">
      <c r="A80" s="1">
        <v>40301</v>
      </c>
      <c r="B80" s="6">
        <v>42.378</v>
      </c>
      <c r="C80" s="6">
        <v>10.391500000000001</v>
      </c>
      <c r="D80" s="6">
        <v>7952.17</v>
      </c>
      <c r="E80" s="6">
        <v>0.53</v>
      </c>
      <c r="F80" s="6">
        <f t="shared" si="7"/>
        <v>5.8888888888888888E-3</v>
      </c>
      <c r="G80">
        <f t="shared" si="8"/>
        <v>-0.323645908795828</v>
      </c>
      <c r="H80">
        <f t="shared" si="9"/>
        <v>-1.2505820528171245</v>
      </c>
      <c r="I80">
        <f t="shared" si="10"/>
        <v>-0.65065433988193677</v>
      </c>
      <c r="J80">
        <f t="shared" si="11"/>
        <v>-0.23186930353696247</v>
      </c>
      <c r="K80">
        <f t="shared" si="12"/>
        <v>-0.32953479768471688</v>
      </c>
      <c r="L80">
        <f t="shared" si="13"/>
        <v>-0.65654322877082572</v>
      </c>
    </row>
    <row r="81" spans="1:12" x14ac:dyDescent="0.25">
      <c r="A81" s="1">
        <v>40302</v>
      </c>
      <c r="B81" s="6">
        <v>41.965299999999999</v>
      </c>
      <c r="C81" s="6">
        <v>10.292899999999999</v>
      </c>
      <c r="D81" s="6">
        <v>7930.77</v>
      </c>
      <c r="E81" s="6">
        <v>0.53</v>
      </c>
      <c r="F81" s="6">
        <f t="shared" si="7"/>
        <v>5.8888888888888888E-3</v>
      </c>
      <c r="G81">
        <f t="shared" si="8"/>
        <v>-0.97385435839350831</v>
      </c>
      <c r="H81">
        <f t="shared" si="9"/>
        <v>-0.94885242746476572</v>
      </c>
      <c r="I81">
        <f t="shared" si="10"/>
        <v>-0.26910893504539812</v>
      </c>
      <c r="J81">
        <f t="shared" si="11"/>
        <v>-0.68937297665832276</v>
      </c>
      <c r="K81">
        <f t="shared" si="12"/>
        <v>-0.97974324728239726</v>
      </c>
      <c r="L81">
        <f t="shared" si="13"/>
        <v>-0.27499782393428701</v>
      </c>
    </row>
    <row r="82" spans="1:12" x14ac:dyDescent="0.25">
      <c r="A82" s="1">
        <v>40303</v>
      </c>
      <c r="B82" s="6">
        <v>41.139699999999998</v>
      </c>
      <c r="C82" s="6">
        <v>9.6681000000000008</v>
      </c>
      <c r="D82" s="6">
        <v>7696.9</v>
      </c>
      <c r="E82" s="6">
        <v>0.53</v>
      </c>
      <c r="F82" s="6">
        <f t="shared" si="7"/>
        <v>5.8888888888888888E-3</v>
      </c>
      <c r="G82">
        <f t="shared" si="8"/>
        <v>-1.967339683023835</v>
      </c>
      <c r="H82">
        <f t="shared" si="9"/>
        <v>-6.0702037326700804</v>
      </c>
      <c r="I82">
        <f t="shared" si="10"/>
        <v>-2.9488939913778962</v>
      </c>
      <c r="J82">
        <f t="shared" si="11"/>
        <v>-1.3884152384003532</v>
      </c>
      <c r="K82">
        <f t="shared" si="12"/>
        <v>-1.9732285719127238</v>
      </c>
      <c r="L82">
        <f t="shared" si="13"/>
        <v>-2.954782880266785</v>
      </c>
    </row>
    <row r="83" spans="1:12" x14ac:dyDescent="0.25">
      <c r="A83" s="1">
        <v>40304</v>
      </c>
      <c r="B83" s="6">
        <v>40.933300000000003</v>
      </c>
      <c r="C83" s="6">
        <v>9.7010000000000005</v>
      </c>
      <c r="D83" s="6">
        <v>7579.48</v>
      </c>
      <c r="E83" s="6">
        <v>0.53</v>
      </c>
      <c r="F83" s="6">
        <f t="shared" si="7"/>
        <v>5.8888888888888888E-3</v>
      </c>
      <c r="G83">
        <f t="shared" si="8"/>
        <v>-0.50170516556998479</v>
      </c>
      <c r="H83">
        <f t="shared" si="9"/>
        <v>0.34029437014511338</v>
      </c>
      <c r="I83">
        <f t="shared" si="10"/>
        <v>-1.5255492470994827</v>
      </c>
      <c r="J83">
        <f t="shared" si="11"/>
        <v>-0.35715645423123854</v>
      </c>
      <c r="K83">
        <f t="shared" si="12"/>
        <v>-0.50759405445887373</v>
      </c>
      <c r="L83">
        <f t="shared" si="13"/>
        <v>-1.5314381359883715</v>
      </c>
    </row>
    <row r="84" spans="1:12" x14ac:dyDescent="0.25">
      <c r="A84" s="1">
        <v>40305</v>
      </c>
      <c r="B84" s="6">
        <v>40.8645</v>
      </c>
      <c r="C84" s="6">
        <v>9.7339000000000002</v>
      </c>
      <c r="D84" s="6">
        <v>7567.1</v>
      </c>
      <c r="E84" s="6">
        <v>0.53</v>
      </c>
      <c r="F84" s="6">
        <f t="shared" si="7"/>
        <v>5.8888888888888888E-3</v>
      </c>
      <c r="G84">
        <f t="shared" si="8"/>
        <v>-0.16807831276736318</v>
      </c>
      <c r="H84">
        <f t="shared" si="9"/>
        <v>0.33914029481496449</v>
      </c>
      <c r="I84">
        <f t="shared" si="10"/>
        <v>-0.16333574334913742</v>
      </c>
      <c r="J84">
        <f t="shared" si="11"/>
        <v>-0.12240787367439904</v>
      </c>
      <c r="K84">
        <f t="shared" si="12"/>
        <v>-0.17396720165625207</v>
      </c>
      <c r="L84">
        <f t="shared" si="13"/>
        <v>-0.16922463223802631</v>
      </c>
    </row>
    <row r="85" spans="1:12" x14ac:dyDescent="0.25">
      <c r="A85" s="1">
        <v>40308</v>
      </c>
      <c r="B85" s="6">
        <v>41.139699999999998</v>
      </c>
      <c r="C85" s="6">
        <v>9.8653999999999993</v>
      </c>
      <c r="D85" s="6">
        <v>7664.73</v>
      </c>
      <c r="E85" s="6">
        <v>0.53</v>
      </c>
      <c r="F85" s="6">
        <f t="shared" si="7"/>
        <v>5.8888888888888888E-3</v>
      </c>
      <c r="G85">
        <f t="shared" si="8"/>
        <v>0.67344516634241969</v>
      </c>
      <c r="H85">
        <f t="shared" si="9"/>
        <v>1.3509487461346332</v>
      </c>
      <c r="I85">
        <f t="shared" si="10"/>
        <v>1.2901904296229625</v>
      </c>
      <c r="J85">
        <f t="shared" si="11"/>
        <v>0.46971005858073023</v>
      </c>
      <c r="K85">
        <f t="shared" si="12"/>
        <v>0.66755627745353074</v>
      </c>
      <c r="L85">
        <f t="shared" si="13"/>
        <v>1.2843015407340737</v>
      </c>
    </row>
    <row r="86" spans="1:12" x14ac:dyDescent="0.25">
      <c r="A86" s="1">
        <v>40309</v>
      </c>
      <c r="B86" s="6">
        <v>41.3461</v>
      </c>
      <c r="C86" s="6">
        <v>9.9312000000000005</v>
      </c>
      <c r="D86" s="6">
        <v>7608.44</v>
      </c>
      <c r="E86" s="6">
        <v>0.53</v>
      </c>
      <c r="F86" s="6">
        <f t="shared" si="7"/>
        <v>5.8888888888888888E-3</v>
      </c>
      <c r="G86">
        <f t="shared" si="8"/>
        <v>0.50170516557000211</v>
      </c>
      <c r="H86">
        <f t="shared" si="9"/>
        <v>0.66697751738400057</v>
      </c>
      <c r="I86">
        <f t="shared" si="10"/>
        <v>-0.7344029078649863</v>
      </c>
      <c r="J86">
        <f t="shared" si="11"/>
        <v>0.34886930170674174</v>
      </c>
      <c r="K86">
        <f t="shared" si="12"/>
        <v>0.49581627668111322</v>
      </c>
      <c r="L86">
        <f t="shared" si="13"/>
        <v>-0.74029179675387524</v>
      </c>
    </row>
    <row r="87" spans="1:12" x14ac:dyDescent="0.25">
      <c r="A87" s="1">
        <v>40310</v>
      </c>
      <c r="B87" s="6">
        <v>41.3461</v>
      </c>
      <c r="C87" s="6">
        <v>9.7995999999999999</v>
      </c>
      <c r="D87" s="6">
        <v>7602.7</v>
      </c>
      <c r="E87" s="6">
        <v>0.53</v>
      </c>
      <c r="F87" s="6">
        <f t="shared" si="7"/>
        <v>5.8888888888888888E-3</v>
      </c>
      <c r="G87">
        <f t="shared" si="8"/>
        <v>0</v>
      </c>
      <c r="H87">
        <f t="shared" si="9"/>
        <v>-1.3251168036088348</v>
      </c>
      <c r="I87">
        <f t="shared" si="10"/>
        <v>-7.5442534869168743E-2</v>
      </c>
      <c r="J87">
        <f t="shared" si="11"/>
        <v>-4.1435762622544737E-3</v>
      </c>
      <c r="K87">
        <f t="shared" si="12"/>
        <v>-5.8888888888888888E-3</v>
      </c>
      <c r="L87">
        <f t="shared" si="13"/>
        <v>-8.133142375805763E-2</v>
      </c>
    </row>
    <row r="88" spans="1:12" x14ac:dyDescent="0.25">
      <c r="A88" s="1">
        <v>40311</v>
      </c>
      <c r="B88" s="6">
        <v>42.102800000000002</v>
      </c>
      <c r="C88" s="6">
        <v>10.0627</v>
      </c>
      <c r="D88" s="6">
        <v>7770.57</v>
      </c>
      <c r="E88" s="6">
        <v>0.53</v>
      </c>
      <c r="F88" s="6">
        <f t="shared" si="7"/>
        <v>5.8888888888888888E-3</v>
      </c>
      <c r="G88">
        <f t="shared" si="8"/>
        <v>1.8301605229997562</v>
      </c>
      <c r="H88">
        <f t="shared" si="9"/>
        <v>2.6848034613657665</v>
      </c>
      <c r="I88">
        <f t="shared" si="10"/>
        <v>2.2080313572809644</v>
      </c>
      <c r="J88">
        <f t="shared" si="11"/>
        <v>1.2836052405859193</v>
      </c>
      <c r="K88">
        <f t="shared" si="12"/>
        <v>1.8242716341108673</v>
      </c>
      <c r="L88">
        <f t="shared" si="13"/>
        <v>2.2021424683920756</v>
      </c>
    </row>
    <row r="89" spans="1:12" x14ac:dyDescent="0.25">
      <c r="A89" s="1">
        <v>40312</v>
      </c>
      <c r="B89" s="6">
        <v>42.102800000000002</v>
      </c>
      <c r="C89" s="6">
        <v>9.9969000000000001</v>
      </c>
      <c r="D89" s="6">
        <v>7772.13</v>
      </c>
      <c r="E89" s="6">
        <v>0.53</v>
      </c>
      <c r="F89" s="6">
        <f t="shared" si="7"/>
        <v>5.8888888888888888E-3</v>
      </c>
      <c r="G89">
        <f t="shared" si="8"/>
        <v>0</v>
      </c>
      <c r="H89">
        <f t="shared" si="9"/>
        <v>-0.65390004670714041</v>
      </c>
      <c r="I89">
        <f t="shared" si="10"/>
        <v>2.0075747339003448E-2</v>
      </c>
      <c r="J89">
        <f t="shared" si="11"/>
        <v>-4.1435762622544737E-3</v>
      </c>
      <c r="K89">
        <f t="shared" si="12"/>
        <v>-5.8888888888888888E-3</v>
      </c>
      <c r="L89">
        <f t="shared" si="13"/>
        <v>1.418685845011456E-2</v>
      </c>
    </row>
    <row r="90" spans="1:12" x14ac:dyDescent="0.25">
      <c r="A90" s="1">
        <v>40315</v>
      </c>
      <c r="B90" s="6">
        <v>40.726900000000001</v>
      </c>
      <c r="C90" s="6">
        <v>9.7995999999999999</v>
      </c>
      <c r="D90" s="6">
        <v>7598.72</v>
      </c>
      <c r="E90" s="6">
        <v>0.53</v>
      </c>
      <c r="F90" s="6">
        <f t="shared" si="7"/>
        <v>5.8888888888888888E-3</v>
      </c>
      <c r="G90">
        <f t="shared" si="8"/>
        <v>-3.2679536752900078</v>
      </c>
      <c r="H90">
        <f t="shared" si="9"/>
        <v>-1.9736118196640984</v>
      </c>
      <c r="I90">
        <f t="shared" si="10"/>
        <v>-2.2311772963138785</v>
      </c>
      <c r="J90">
        <f t="shared" si="11"/>
        <v>-2.3035612644832066</v>
      </c>
      <c r="K90">
        <f t="shared" si="12"/>
        <v>-3.2738425641788966</v>
      </c>
      <c r="L90">
        <f t="shared" si="13"/>
        <v>-2.2370661852027673</v>
      </c>
    </row>
    <row r="91" spans="1:12" x14ac:dyDescent="0.25">
      <c r="A91" s="1">
        <v>40316</v>
      </c>
      <c r="B91" s="6">
        <v>40.933300000000003</v>
      </c>
      <c r="C91" s="6">
        <v>9.6681000000000008</v>
      </c>
      <c r="D91" s="6">
        <v>7585.3</v>
      </c>
      <c r="E91" s="6">
        <v>0.53</v>
      </c>
      <c r="F91" s="6">
        <f t="shared" si="7"/>
        <v>5.8888888888888888E-3</v>
      </c>
      <c r="G91">
        <f t="shared" si="8"/>
        <v>0.50679035232242609</v>
      </c>
      <c r="H91">
        <f t="shared" si="9"/>
        <v>-1.3418915057757363</v>
      </c>
      <c r="I91">
        <f t="shared" si="10"/>
        <v>-0.17660869199023088</v>
      </c>
      <c r="J91">
        <f t="shared" si="11"/>
        <v>0.3524473721227469</v>
      </c>
      <c r="K91">
        <f t="shared" si="12"/>
        <v>0.50090146343353714</v>
      </c>
      <c r="L91">
        <f t="shared" si="13"/>
        <v>-0.18249758087911977</v>
      </c>
    </row>
    <row r="92" spans="1:12" x14ac:dyDescent="0.25">
      <c r="A92" s="1">
        <v>40317</v>
      </c>
      <c r="B92" s="6">
        <v>40.795699999999997</v>
      </c>
      <c r="C92" s="6">
        <v>9.5037000000000003</v>
      </c>
      <c r="D92" s="6">
        <v>7559.16</v>
      </c>
      <c r="E92" s="6">
        <v>0.53</v>
      </c>
      <c r="F92" s="6">
        <f t="shared" si="7"/>
        <v>5.8888888888888888E-3</v>
      </c>
      <c r="G92">
        <f t="shared" si="8"/>
        <v>-0.33615662553472636</v>
      </c>
      <c r="H92">
        <f t="shared" si="9"/>
        <v>-1.7004375213330492</v>
      </c>
      <c r="I92">
        <f t="shared" si="10"/>
        <v>-0.34461392430095483</v>
      </c>
      <c r="J92">
        <f t="shared" si="11"/>
        <v>-0.2406721710865436</v>
      </c>
      <c r="K92">
        <f t="shared" si="12"/>
        <v>-0.34204551442361525</v>
      </c>
      <c r="L92">
        <f t="shared" si="13"/>
        <v>-0.35050281318984372</v>
      </c>
    </row>
    <row r="93" spans="1:12" x14ac:dyDescent="0.25">
      <c r="A93" s="1">
        <v>40318</v>
      </c>
      <c r="B93" s="6">
        <v>40.520499999999998</v>
      </c>
      <c r="C93" s="6">
        <v>9.2077000000000009</v>
      </c>
      <c r="D93" s="6">
        <v>7424.43</v>
      </c>
      <c r="E93" s="6">
        <v>0.53</v>
      </c>
      <c r="F93" s="6">
        <f t="shared" si="7"/>
        <v>5.8888888888888888E-3</v>
      </c>
      <c r="G93">
        <f t="shared" si="8"/>
        <v>-0.6745808994575363</v>
      </c>
      <c r="H93">
        <f t="shared" si="9"/>
        <v>-3.1145764281279855</v>
      </c>
      <c r="I93">
        <f t="shared" si="10"/>
        <v>-1.7823408950200759</v>
      </c>
      <c r="J93">
        <f t="shared" si="11"/>
        <v>-0.47879634263324833</v>
      </c>
      <c r="K93">
        <f t="shared" si="12"/>
        <v>-0.68046978834642524</v>
      </c>
      <c r="L93">
        <f t="shared" si="13"/>
        <v>-1.7882297839089647</v>
      </c>
    </row>
    <row r="94" spans="1:12" x14ac:dyDescent="0.25">
      <c r="A94" s="1">
        <v>40319</v>
      </c>
      <c r="B94" s="6">
        <v>40.451799999999999</v>
      </c>
      <c r="C94" s="6">
        <v>9.2077000000000009</v>
      </c>
      <c r="D94" s="6">
        <v>7237.71</v>
      </c>
      <c r="E94" s="6">
        <v>0.53</v>
      </c>
      <c r="F94" s="6">
        <f t="shared" si="7"/>
        <v>5.8888888888888888E-3</v>
      </c>
      <c r="G94">
        <f t="shared" si="8"/>
        <v>-0.16954381115731484</v>
      </c>
      <c r="H94">
        <f t="shared" si="9"/>
        <v>0</v>
      </c>
      <c r="I94">
        <f t="shared" si="10"/>
        <v>-2.5149405408900112</v>
      </c>
      <c r="J94">
        <f t="shared" si="11"/>
        <v>-0.12343903667569683</v>
      </c>
      <c r="K94">
        <f t="shared" si="12"/>
        <v>-0.17543270004620373</v>
      </c>
      <c r="L94">
        <f t="shared" si="13"/>
        <v>-2.5208294297789</v>
      </c>
    </row>
    <row r="95" spans="1:12" x14ac:dyDescent="0.25">
      <c r="A95" s="1">
        <v>40322</v>
      </c>
      <c r="B95" s="6">
        <v>40.589300000000001</v>
      </c>
      <c r="C95" s="6">
        <v>9.4049999999999994</v>
      </c>
      <c r="D95" s="6">
        <v>7322.73</v>
      </c>
      <c r="E95" s="6">
        <v>0.53</v>
      </c>
      <c r="F95" s="6">
        <f t="shared" si="7"/>
        <v>5.8888888888888888E-3</v>
      </c>
      <c r="G95">
        <f t="shared" si="8"/>
        <v>0.33991070854696909</v>
      </c>
      <c r="H95">
        <f t="shared" si="9"/>
        <v>2.1427718105498492</v>
      </c>
      <c r="I95">
        <f t="shared" si="10"/>
        <v>1.174680941900125</v>
      </c>
      <c r="J95">
        <f t="shared" si="11"/>
        <v>0.23502648956778099</v>
      </c>
      <c r="K95">
        <f t="shared" si="12"/>
        <v>0.3340218196580802</v>
      </c>
      <c r="L95">
        <f t="shared" si="13"/>
        <v>1.1687920530112361</v>
      </c>
    </row>
    <row r="96" spans="1:12" x14ac:dyDescent="0.25">
      <c r="A96" s="1">
        <v>40323</v>
      </c>
      <c r="B96" s="6">
        <v>40.176600000000001</v>
      </c>
      <c r="C96" s="6">
        <v>9.0762</v>
      </c>
      <c r="D96" s="6">
        <v>7086.37</v>
      </c>
      <c r="E96" s="6">
        <v>0.53</v>
      </c>
      <c r="F96" s="6">
        <f t="shared" si="7"/>
        <v>5.8888888888888888E-3</v>
      </c>
      <c r="G96">
        <f t="shared" si="8"/>
        <v>-1.0167704296452535</v>
      </c>
      <c r="H96">
        <f t="shared" si="9"/>
        <v>-3.4960127591706467</v>
      </c>
      <c r="I96">
        <f t="shared" si="10"/>
        <v>-3.227757953659355</v>
      </c>
      <c r="J96">
        <f t="shared" si="11"/>
        <v>-0.71956984697854109</v>
      </c>
      <c r="K96">
        <f t="shared" si="12"/>
        <v>-1.0226593185341424</v>
      </c>
      <c r="L96">
        <f t="shared" si="13"/>
        <v>-3.2336468425482439</v>
      </c>
    </row>
    <row r="97" spans="1:12" x14ac:dyDescent="0.25">
      <c r="A97" s="1">
        <v>40324</v>
      </c>
      <c r="B97" s="6">
        <v>40.520499999999998</v>
      </c>
      <c r="C97" s="6">
        <v>9.2077000000000009</v>
      </c>
      <c r="D97" s="6">
        <v>7167.35</v>
      </c>
      <c r="E97" s="6">
        <v>0.53</v>
      </c>
      <c r="F97" s="6">
        <f t="shared" si="7"/>
        <v>5.8888888888888888E-3</v>
      </c>
      <c r="G97">
        <f t="shared" si="8"/>
        <v>0.85597088852714731</v>
      </c>
      <c r="H97">
        <f t="shared" si="9"/>
        <v>1.4488442299640911</v>
      </c>
      <c r="I97">
        <f t="shared" si="10"/>
        <v>1.1427571521103255</v>
      </c>
      <c r="J97">
        <f t="shared" si="11"/>
        <v>0.59813993117053077</v>
      </c>
      <c r="K97">
        <f t="shared" si="12"/>
        <v>0.85008199963825837</v>
      </c>
      <c r="L97">
        <f t="shared" si="13"/>
        <v>1.1368682632214366</v>
      </c>
    </row>
    <row r="98" spans="1:12" x14ac:dyDescent="0.25">
      <c r="A98" s="1">
        <v>40325</v>
      </c>
      <c r="B98" s="6">
        <v>40.383000000000003</v>
      </c>
      <c r="C98" s="6">
        <v>9.2735000000000003</v>
      </c>
      <c r="D98" s="6">
        <v>7243.16</v>
      </c>
      <c r="E98" s="6">
        <v>0.53</v>
      </c>
      <c r="F98" s="6">
        <f t="shared" si="7"/>
        <v>5.8888888888888888E-3</v>
      </c>
      <c r="G98">
        <f t="shared" si="8"/>
        <v>-0.33933441097714923</v>
      </c>
      <c r="H98">
        <f t="shared" si="9"/>
        <v>0.71461928603233604</v>
      </c>
      <c r="I98">
        <f t="shared" si="10"/>
        <v>1.0577131017740098</v>
      </c>
      <c r="J98">
        <f t="shared" si="11"/>
        <v>-0.24290814404752192</v>
      </c>
      <c r="K98">
        <f t="shared" si="12"/>
        <v>-0.34522329986603811</v>
      </c>
      <c r="L98">
        <f t="shared" si="13"/>
        <v>1.051824212885121</v>
      </c>
    </row>
    <row r="99" spans="1:12" x14ac:dyDescent="0.25">
      <c r="A99" s="1">
        <v>40326</v>
      </c>
      <c r="B99" s="6">
        <v>40.383000000000003</v>
      </c>
      <c r="C99" s="6">
        <v>9.4379000000000008</v>
      </c>
      <c r="D99" s="6">
        <v>7295.32</v>
      </c>
      <c r="E99" s="6">
        <v>0.53</v>
      </c>
      <c r="F99" s="6">
        <f t="shared" si="7"/>
        <v>5.8888888888888888E-3</v>
      </c>
      <c r="G99">
        <f t="shared" si="8"/>
        <v>0</v>
      </c>
      <c r="H99">
        <f t="shared" si="9"/>
        <v>1.7727934436836204</v>
      </c>
      <c r="I99">
        <f t="shared" si="10"/>
        <v>0.72012767907929487</v>
      </c>
      <c r="J99">
        <f t="shared" si="11"/>
        <v>-4.1435762622544737E-3</v>
      </c>
      <c r="K99">
        <f t="shared" si="12"/>
        <v>-5.8888888888888888E-3</v>
      </c>
      <c r="L99">
        <f t="shared" si="13"/>
        <v>0.71423879019040593</v>
      </c>
    </row>
    <row r="100" spans="1:12" x14ac:dyDescent="0.25">
      <c r="A100" s="1">
        <v>40329</v>
      </c>
      <c r="B100" s="6">
        <v>41.414900000000003</v>
      </c>
      <c r="C100" s="6">
        <v>9.9312000000000005</v>
      </c>
      <c r="D100" s="6">
        <v>7373.98</v>
      </c>
      <c r="E100" s="6">
        <v>0.53</v>
      </c>
      <c r="F100" s="6">
        <f t="shared" si="7"/>
        <v>5.8888888888888888E-3</v>
      </c>
      <c r="G100">
        <f t="shared" si="8"/>
        <v>2.5552831637075011</v>
      </c>
      <c r="H100">
        <f t="shared" si="9"/>
        <v>5.2267983343752276</v>
      </c>
      <c r="I100">
        <f t="shared" si="10"/>
        <v>1.0782254925075234</v>
      </c>
      <c r="J100">
        <f t="shared" si="11"/>
        <v>1.7938204981583536</v>
      </c>
      <c r="K100">
        <f t="shared" si="12"/>
        <v>2.5493942748186122</v>
      </c>
      <c r="L100">
        <f t="shared" si="13"/>
        <v>1.0723366036186346</v>
      </c>
    </row>
    <row r="101" spans="1:12" x14ac:dyDescent="0.25">
      <c r="A101" s="1">
        <v>40330</v>
      </c>
      <c r="B101" s="6">
        <v>41.139699999999998</v>
      </c>
      <c r="C101" s="6">
        <v>9.7339000000000002</v>
      </c>
      <c r="D101" s="6">
        <v>7289.33</v>
      </c>
      <c r="E101" s="6">
        <v>0.53</v>
      </c>
      <c r="F101" s="6">
        <f t="shared" si="7"/>
        <v>5.8888888888888888E-3</v>
      </c>
      <c r="G101">
        <f t="shared" si="8"/>
        <v>-0.66449514546698218</v>
      </c>
      <c r="H101">
        <f t="shared" si="9"/>
        <v>-1.9866682777509288</v>
      </c>
      <c r="I101">
        <f t="shared" si="10"/>
        <v>-1.1479553782353578</v>
      </c>
      <c r="J101">
        <f t="shared" si="11"/>
        <v>-0.47169974230495049</v>
      </c>
      <c r="K101">
        <f t="shared" si="12"/>
        <v>-0.67038403435587113</v>
      </c>
      <c r="L101">
        <f t="shared" si="13"/>
        <v>-1.1538442671242466</v>
      </c>
    </row>
    <row r="102" spans="1:12" x14ac:dyDescent="0.25">
      <c r="A102" s="1">
        <v>40331</v>
      </c>
      <c r="B102" s="6">
        <v>41.139699999999998</v>
      </c>
      <c r="C102" s="6">
        <v>9.4708000000000006</v>
      </c>
      <c r="D102" s="6">
        <v>7195.71</v>
      </c>
      <c r="E102" s="6">
        <v>0.53</v>
      </c>
      <c r="F102" s="6">
        <f t="shared" si="7"/>
        <v>5.8888888888888888E-3</v>
      </c>
      <c r="G102">
        <f t="shared" si="8"/>
        <v>0</v>
      </c>
      <c r="H102">
        <f t="shared" si="9"/>
        <v>-2.7029248297188144</v>
      </c>
      <c r="I102">
        <f t="shared" si="10"/>
        <v>-1.2843430054614058</v>
      </c>
      <c r="J102">
        <f t="shared" si="11"/>
        <v>-4.1435762622544737E-3</v>
      </c>
      <c r="K102">
        <f t="shared" si="12"/>
        <v>-5.8888888888888888E-3</v>
      </c>
      <c r="L102">
        <f t="shared" si="13"/>
        <v>-1.2902318943502946</v>
      </c>
    </row>
    <row r="103" spans="1:12" x14ac:dyDescent="0.25">
      <c r="A103" s="1">
        <v>40332</v>
      </c>
      <c r="B103" s="6">
        <v>41.8277</v>
      </c>
      <c r="C103" s="6">
        <v>9.7995999999999999</v>
      </c>
      <c r="D103" s="6">
        <v>7360.28</v>
      </c>
      <c r="E103" s="6">
        <v>0.53</v>
      </c>
      <c r="F103" s="6">
        <f t="shared" si="7"/>
        <v>5.8888888888888888E-3</v>
      </c>
      <c r="G103">
        <f t="shared" si="8"/>
        <v>1.6723505518999955</v>
      </c>
      <c r="H103">
        <f t="shared" si="9"/>
        <v>3.4717236136334764</v>
      </c>
      <c r="I103">
        <f t="shared" si="10"/>
        <v>2.2870571493292489</v>
      </c>
      <c r="J103">
        <f t="shared" si="11"/>
        <v>1.172566016967725</v>
      </c>
      <c r="K103">
        <f t="shared" si="12"/>
        <v>1.6664616630111067</v>
      </c>
      <c r="L103">
        <f t="shared" si="13"/>
        <v>2.28116826044036</v>
      </c>
    </row>
    <row r="104" spans="1:12" x14ac:dyDescent="0.25">
      <c r="A104" s="1">
        <v>40333</v>
      </c>
      <c r="B104" s="6">
        <v>41.965299999999999</v>
      </c>
      <c r="C104" s="6">
        <v>9.6351999999999993</v>
      </c>
      <c r="D104" s="6">
        <v>7344.59</v>
      </c>
      <c r="E104" s="6">
        <v>0.53</v>
      </c>
      <c r="F104" s="6">
        <f t="shared" si="7"/>
        <v>5.8888888888888888E-3</v>
      </c>
      <c r="G104">
        <f t="shared" si="8"/>
        <v>0.32896860214642226</v>
      </c>
      <c r="H104">
        <f t="shared" si="9"/>
        <v>-1.6776194946732577</v>
      </c>
      <c r="I104">
        <f t="shared" si="10"/>
        <v>-0.21317123805072091</v>
      </c>
      <c r="J104">
        <f t="shared" si="11"/>
        <v>0.22732733728356747</v>
      </c>
      <c r="K104">
        <f t="shared" si="12"/>
        <v>0.32307971325753337</v>
      </c>
      <c r="L104">
        <f t="shared" si="13"/>
        <v>-0.2190601269396098</v>
      </c>
    </row>
    <row r="105" spans="1:12" x14ac:dyDescent="0.25">
      <c r="A105" s="1">
        <v>40336</v>
      </c>
      <c r="B105" s="6">
        <v>40.726900000000001</v>
      </c>
      <c r="C105" s="6">
        <v>9.3391999999999999</v>
      </c>
      <c r="D105" s="6">
        <v>7157.83</v>
      </c>
      <c r="E105" s="6">
        <v>0.53</v>
      </c>
      <c r="F105" s="6">
        <f t="shared" si="7"/>
        <v>5.8888888888888888E-3</v>
      </c>
      <c r="G105">
        <f t="shared" si="8"/>
        <v>-2.9510095245357442</v>
      </c>
      <c r="H105">
        <f t="shared" si="9"/>
        <v>-3.0720690800398476</v>
      </c>
      <c r="I105">
        <f t="shared" si="10"/>
        <v>-2.5428240378292077</v>
      </c>
      <c r="J105">
        <f t="shared" si="11"/>
        <v>-2.0805510694693967</v>
      </c>
      <c r="K105">
        <f t="shared" si="12"/>
        <v>-2.956898413424633</v>
      </c>
      <c r="L105">
        <f t="shared" si="13"/>
        <v>-2.5487129267180966</v>
      </c>
    </row>
    <row r="106" spans="1:12" x14ac:dyDescent="0.25">
      <c r="A106" s="1">
        <v>40337</v>
      </c>
      <c r="B106" s="6">
        <v>40.245399999999997</v>
      </c>
      <c r="C106" s="6">
        <v>9.2077000000000009</v>
      </c>
      <c r="D106" s="6">
        <v>7151.99</v>
      </c>
      <c r="E106" s="6">
        <v>0.53</v>
      </c>
      <c r="F106" s="6">
        <f t="shared" si="7"/>
        <v>5.8888888888888888E-3</v>
      </c>
      <c r="G106">
        <f t="shared" si="8"/>
        <v>-1.182265284124262</v>
      </c>
      <c r="H106">
        <f t="shared" si="9"/>
        <v>-1.4080435155045299</v>
      </c>
      <c r="I106">
        <f t="shared" si="10"/>
        <v>-8.1588973194391956E-2</v>
      </c>
      <c r="J106">
        <f t="shared" si="11"/>
        <v>-0.83601635556156573</v>
      </c>
      <c r="K106">
        <f t="shared" si="12"/>
        <v>-1.1881541730131508</v>
      </c>
      <c r="L106">
        <f t="shared" si="13"/>
        <v>-8.7477862083280844E-2</v>
      </c>
    </row>
    <row r="107" spans="1:12" x14ac:dyDescent="0.25">
      <c r="A107" s="1">
        <v>40338</v>
      </c>
      <c r="B107" s="6">
        <v>40.3142</v>
      </c>
      <c r="C107" s="6">
        <v>9.0762</v>
      </c>
      <c r="D107" s="6">
        <v>7071.67</v>
      </c>
      <c r="E107" s="6">
        <v>0.53</v>
      </c>
      <c r="F107" s="6">
        <f t="shared" si="7"/>
        <v>5.8888888888888888E-3</v>
      </c>
      <c r="G107">
        <f t="shared" si="8"/>
        <v>0.17095121430027552</v>
      </c>
      <c r="H107">
        <f t="shared" si="9"/>
        <v>-1.4281525245175324</v>
      </c>
      <c r="I107">
        <f t="shared" si="10"/>
        <v>-1.123044075844621</v>
      </c>
      <c r="J107">
        <f t="shared" si="11"/>
        <v>0.11614216981706237</v>
      </c>
      <c r="K107">
        <f t="shared" si="12"/>
        <v>0.16506232541138663</v>
      </c>
      <c r="L107">
        <f t="shared" si="13"/>
        <v>-1.1289329647335098</v>
      </c>
    </row>
    <row r="108" spans="1:12" x14ac:dyDescent="0.25">
      <c r="A108" s="1">
        <v>40339</v>
      </c>
      <c r="B108" s="6">
        <v>40.8645</v>
      </c>
      <c r="C108" s="6">
        <v>9.1747999999999994</v>
      </c>
      <c r="D108" s="6">
        <v>7181.77</v>
      </c>
      <c r="E108" s="6">
        <v>0.53</v>
      </c>
      <c r="F108" s="6">
        <f t="shared" si="7"/>
        <v>5.8888888888888888E-3</v>
      </c>
      <c r="G108">
        <f t="shared" si="8"/>
        <v>1.3650277073586974</v>
      </c>
      <c r="H108">
        <f t="shared" si="9"/>
        <v>1.0863577268019584</v>
      </c>
      <c r="I108">
        <f t="shared" si="10"/>
        <v>1.5569165416372703</v>
      </c>
      <c r="J108">
        <f t="shared" si="11"/>
        <v>0.95632562467699656</v>
      </c>
      <c r="K108">
        <f t="shared" si="12"/>
        <v>1.3591388184698086</v>
      </c>
      <c r="L108">
        <f t="shared" si="13"/>
        <v>1.5510276527483815</v>
      </c>
    </row>
    <row r="109" spans="1:12" x14ac:dyDescent="0.25">
      <c r="A109" s="1">
        <v>40340</v>
      </c>
      <c r="B109" s="6">
        <v>41.621299999999998</v>
      </c>
      <c r="C109" s="6">
        <v>9.4049999999999994</v>
      </c>
      <c r="D109" s="6">
        <v>7299.49</v>
      </c>
      <c r="E109" s="6">
        <v>0.53</v>
      </c>
      <c r="F109" s="6">
        <f t="shared" si="7"/>
        <v>5.8888888888888888E-3</v>
      </c>
      <c r="G109">
        <f t="shared" si="8"/>
        <v>1.851974207441663</v>
      </c>
      <c r="H109">
        <f t="shared" si="9"/>
        <v>2.5090465187252033</v>
      </c>
      <c r="I109">
        <f t="shared" si="10"/>
        <v>1.6391502373370261</v>
      </c>
      <c r="J109">
        <f t="shared" si="11"/>
        <v>1.2989539195559598</v>
      </c>
      <c r="K109">
        <f t="shared" si="12"/>
        <v>1.8460853185527741</v>
      </c>
      <c r="L109">
        <f t="shared" si="13"/>
        <v>1.6332613484481373</v>
      </c>
    </row>
    <row r="110" spans="1:12" x14ac:dyDescent="0.25">
      <c r="A110" s="1">
        <v>40343</v>
      </c>
      <c r="B110" s="6">
        <v>42.034100000000002</v>
      </c>
      <c r="C110" s="6">
        <v>9.5693999999999999</v>
      </c>
      <c r="D110" s="6">
        <v>7387.4</v>
      </c>
      <c r="E110" s="6">
        <v>0.53</v>
      </c>
      <c r="F110" s="6">
        <f t="shared" si="7"/>
        <v>5.8888888888888888E-3</v>
      </c>
      <c r="G110">
        <f t="shared" si="8"/>
        <v>0.99179987170031758</v>
      </c>
      <c r="H110">
        <f t="shared" si="9"/>
        <v>1.7480063795853329</v>
      </c>
      <c r="I110">
        <f t="shared" si="10"/>
        <v>1.2043307135155998</v>
      </c>
      <c r="J110">
        <f t="shared" si="11"/>
        <v>0.69371275671057975</v>
      </c>
      <c r="K110">
        <f t="shared" si="12"/>
        <v>0.98591098281142864</v>
      </c>
      <c r="L110">
        <f t="shared" si="13"/>
        <v>1.198441824626711</v>
      </c>
    </row>
    <row r="111" spans="1:12" x14ac:dyDescent="0.25">
      <c r="A111" s="1">
        <v>40344</v>
      </c>
      <c r="B111" s="6">
        <v>42.240400000000001</v>
      </c>
      <c r="C111" s="6">
        <v>9.6681000000000008</v>
      </c>
      <c r="D111" s="6">
        <v>7454.06</v>
      </c>
      <c r="E111" s="6">
        <v>0.53</v>
      </c>
      <c r="F111" s="6">
        <f t="shared" si="7"/>
        <v>5.8888888888888888E-3</v>
      </c>
      <c r="G111">
        <f t="shared" si="8"/>
        <v>0.49079199982870764</v>
      </c>
      <c r="H111">
        <f t="shared" si="9"/>
        <v>1.0314126277509656</v>
      </c>
      <c r="I111">
        <f t="shared" si="10"/>
        <v>0.90234723989496668</v>
      </c>
      <c r="J111">
        <f t="shared" si="11"/>
        <v>0.34119051282740048</v>
      </c>
      <c r="K111">
        <f t="shared" si="12"/>
        <v>0.48490311093981875</v>
      </c>
      <c r="L111">
        <f t="shared" si="13"/>
        <v>0.89645835100607774</v>
      </c>
    </row>
    <row r="112" spans="1:12" x14ac:dyDescent="0.25">
      <c r="A112" s="1">
        <v>40346</v>
      </c>
      <c r="B112" s="6">
        <v>42.722000000000001</v>
      </c>
      <c r="C112" s="6">
        <v>9.8653999999999993</v>
      </c>
      <c r="D112" s="6">
        <v>7515.78</v>
      </c>
      <c r="E112" s="6">
        <v>0.53</v>
      </c>
      <c r="F112" s="6">
        <f t="shared" si="7"/>
        <v>5.8888888888888888E-3</v>
      </c>
      <c r="G112">
        <f t="shared" si="8"/>
        <v>1.1401407183644099</v>
      </c>
      <c r="H112">
        <f t="shared" si="9"/>
        <v>2.0407318914781443</v>
      </c>
      <c r="I112">
        <f t="shared" si="10"/>
        <v>0.82800514082257648</v>
      </c>
      <c r="J112">
        <f t="shared" si="11"/>
        <v>0.79808925668493025</v>
      </c>
      <c r="K112">
        <f t="shared" si="12"/>
        <v>1.1342518294755211</v>
      </c>
      <c r="L112">
        <f t="shared" si="13"/>
        <v>0.82211625193368754</v>
      </c>
    </row>
    <row r="113" spans="1:12" x14ac:dyDescent="0.25">
      <c r="A113" s="1">
        <v>40347</v>
      </c>
      <c r="B113" s="6">
        <v>43.134799999999998</v>
      </c>
      <c r="C113" s="6">
        <v>9.8324999999999996</v>
      </c>
      <c r="D113" s="6">
        <v>7493.11</v>
      </c>
      <c r="E113" s="6">
        <v>0.53</v>
      </c>
      <c r="F113" s="6">
        <f t="shared" si="7"/>
        <v>5.8888888888888888E-3</v>
      </c>
      <c r="G113">
        <f t="shared" si="8"/>
        <v>0.96624689855343182</v>
      </c>
      <c r="H113">
        <f t="shared" si="9"/>
        <v>-0.33348875869199129</v>
      </c>
      <c r="I113">
        <f t="shared" si="10"/>
        <v>-0.30163203286951018</v>
      </c>
      <c r="J113">
        <f t="shared" si="11"/>
        <v>0.67573301639636929</v>
      </c>
      <c r="K113">
        <f t="shared" si="12"/>
        <v>0.96035800966454288</v>
      </c>
      <c r="L113">
        <f t="shared" si="13"/>
        <v>-0.30752092175839907</v>
      </c>
    </row>
    <row r="114" spans="1:12" x14ac:dyDescent="0.25">
      <c r="A114" s="1">
        <v>40350</v>
      </c>
      <c r="B114" s="6">
        <v>43.547600000000003</v>
      </c>
      <c r="C114" s="6">
        <v>9.8983000000000008</v>
      </c>
      <c r="D114" s="6">
        <v>7635.56</v>
      </c>
      <c r="E114" s="6">
        <v>0.53</v>
      </c>
      <c r="F114" s="6">
        <f t="shared" si="7"/>
        <v>5.8888888888888888E-3</v>
      </c>
      <c r="G114">
        <f t="shared" si="8"/>
        <v>0.95699991654071492</v>
      </c>
      <c r="H114">
        <f t="shared" si="9"/>
        <v>0.66920925502162409</v>
      </c>
      <c r="I114">
        <f t="shared" si="10"/>
        <v>1.9010797919688986</v>
      </c>
      <c r="J114">
        <f t="shared" si="11"/>
        <v>0.66922659797205808</v>
      </c>
      <c r="K114">
        <f t="shared" si="12"/>
        <v>0.95111102765182598</v>
      </c>
      <c r="L114">
        <f t="shared" si="13"/>
        <v>1.8951909030800098</v>
      </c>
    </row>
    <row r="115" spans="1:12" x14ac:dyDescent="0.25">
      <c r="A115" s="1">
        <v>40351</v>
      </c>
      <c r="B115" s="6">
        <v>43.066000000000003</v>
      </c>
      <c r="C115" s="6">
        <v>9.8324999999999996</v>
      </c>
      <c r="D115" s="6">
        <v>7612.68</v>
      </c>
      <c r="E115" s="6">
        <v>0.53</v>
      </c>
      <c r="F115" s="6">
        <f t="shared" si="7"/>
        <v>5.8888888888888888E-3</v>
      </c>
      <c r="G115">
        <f t="shared" si="8"/>
        <v>-1.1059162847091464</v>
      </c>
      <c r="H115">
        <f t="shared" si="9"/>
        <v>-0.66476061545923226</v>
      </c>
      <c r="I115">
        <f t="shared" si="10"/>
        <v>-0.29965058227556468</v>
      </c>
      <c r="J115">
        <f t="shared" si="11"/>
        <v>-0.78229520245571316</v>
      </c>
      <c r="K115">
        <f t="shared" si="12"/>
        <v>-1.1118051735980352</v>
      </c>
      <c r="L115">
        <f t="shared" si="13"/>
        <v>-0.30553947116445357</v>
      </c>
    </row>
    <row r="116" spans="1:12" x14ac:dyDescent="0.25">
      <c r="A116" s="1">
        <v>40352</v>
      </c>
      <c r="B116" s="6">
        <v>42.722000000000001</v>
      </c>
      <c r="C116" s="6">
        <v>9.7339000000000002</v>
      </c>
      <c r="D116" s="6">
        <v>7582.15</v>
      </c>
      <c r="E116" s="6">
        <v>0.53</v>
      </c>
      <c r="F116" s="6">
        <f t="shared" si="7"/>
        <v>5.8888888888888888E-3</v>
      </c>
      <c r="G116">
        <f t="shared" si="8"/>
        <v>-0.79877397482933443</v>
      </c>
      <c r="H116">
        <f t="shared" si="9"/>
        <v>-1.0027968471904334</v>
      </c>
      <c r="I116">
        <f t="shared" si="10"/>
        <v>-0.40104142036708035</v>
      </c>
      <c r="J116">
        <f t="shared" si="11"/>
        <v>-0.56618183907518549</v>
      </c>
      <c r="K116">
        <f t="shared" si="12"/>
        <v>-0.80466286371822338</v>
      </c>
      <c r="L116">
        <f t="shared" si="13"/>
        <v>-0.40693030925596924</v>
      </c>
    </row>
    <row r="117" spans="1:12" x14ac:dyDescent="0.25">
      <c r="A117" s="1">
        <v>40353</v>
      </c>
      <c r="B117" s="6">
        <v>42.653199999999998</v>
      </c>
      <c r="C117" s="6">
        <v>9.6022999999999996</v>
      </c>
      <c r="D117" s="6">
        <v>7589.89</v>
      </c>
      <c r="E117" s="6">
        <v>0.53</v>
      </c>
      <c r="F117" s="6">
        <f t="shared" si="7"/>
        <v>5.8888888888888888E-3</v>
      </c>
      <c r="G117">
        <f t="shared" si="8"/>
        <v>-0.16104114975891362</v>
      </c>
      <c r="H117">
        <f t="shared" si="9"/>
        <v>-1.351976083584181</v>
      </c>
      <c r="I117">
        <f t="shared" si="10"/>
        <v>0.10208186332373656</v>
      </c>
      <c r="J117">
        <f t="shared" si="11"/>
        <v>-0.11745634170536429</v>
      </c>
      <c r="K117">
        <f t="shared" si="12"/>
        <v>-0.16693003864780251</v>
      </c>
      <c r="L117">
        <f t="shared" si="13"/>
        <v>9.6192974434847672E-2</v>
      </c>
    </row>
    <row r="118" spans="1:12" x14ac:dyDescent="0.25">
      <c r="A118" s="1">
        <v>40354</v>
      </c>
      <c r="B118" s="6">
        <v>42.240400000000001</v>
      </c>
      <c r="C118" s="6">
        <v>9.4379000000000008</v>
      </c>
      <c r="D118" s="6">
        <v>7474.71</v>
      </c>
      <c r="E118" s="6">
        <v>0.53</v>
      </c>
      <c r="F118" s="6">
        <f t="shared" si="7"/>
        <v>5.8888888888888888E-3</v>
      </c>
      <c r="G118">
        <f t="shared" si="8"/>
        <v>-0.96780546359944197</v>
      </c>
      <c r="H118">
        <f t="shared" si="9"/>
        <v>-1.7120898118159062</v>
      </c>
      <c r="I118">
        <f t="shared" si="10"/>
        <v>-1.5175450500600178</v>
      </c>
      <c r="J118">
        <f t="shared" si="11"/>
        <v>-0.68511681605579233</v>
      </c>
      <c r="K118">
        <f t="shared" si="12"/>
        <v>-0.97369435248833092</v>
      </c>
      <c r="L118">
        <f t="shared" si="13"/>
        <v>-1.5234339389489067</v>
      </c>
    </row>
    <row r="119" spans="1:12" x14ac:dyDescent="0.25">
      <c r="A119" s="1">
        <v>40357</v>
      </c>
      <c r="B119" s="6">
        <v>42.446800000000003</v>
      </c>
      <c r="C119" s="6">
        <v>9.4708000000000006</v>
      </c>
      <c r="D119" s="6">
        <v>7500.79</v>
      </c>
      <c r="E119" s="6">
        <v>0.53</v>
      </c>
      <c r="F119" s="6">
        <f t="shared" si="7"/>
        <v>5.8888888888888888E-3</v>
      </c>
      <c r="G119">
        <f t="shared" si="8"/>
        <v>0.48863173644189478</v>
      </c>
      <c r="H119">
        <f t="shared" si="9"/>
        <v>0.34859449665709219</v>
      </c>
      <c r="I119">
        <f t="shared" si="10"/>
        <v>0.34890985737239205</v>
      </c>
      <c r="J119">
        <f t="shared" si="11"/>
        <v>0.33967049500082808</v>
      </c>
      <c r="K119">
        <f t="shared" si="12"/>
        <v>0.48274284755300589</v>
      </c>
      <c r="L119">
        <f t="shared" si="13"/>
        <v>0.34302096848350316</v>
      </c>
    </row>
    <row r="120" spans="1:12" x14ac:dyDescent="0.25">
      <c r="A120" s="1">
        <v>40358</v>
      </c>
      <c r="B120" s="6">
        <v>41.965299999999999</v>
      </c>
      <c r="C120" s="6">
        <v>9.3720999999999997</v>
      </c>
      <c r="D120" s="6">
        <v>7423.57</v>
      </c>
      <c r="E120" s="6">
        <v>0.53</v>
      </c>
      <c r="F120" s="6">
        <f t="shared" si="7"/>
        <v>5.8888888888888888E-3</v>
      </c>
      <c r="G120">
        <f t="shared" si="8"/>
        <v>-1.1343611296964766</v>
      </c>
      <c r="H120">
        <f t="shared" si="9"/>
        <v>-1.042150610296922</v>
      </c>
      <c r="I120">
        <f t="shared" si="10"/>
        <v>-1.0294915602223267</v>
      </c>
      <c r="J120">
        <f t="shared" si="11"/>
        <v>-0.80230973944169592</v>
      </c>
      <c r="K120">
        <f t="shared" si="12"/>
        <v>-1.1402500185853655</v>
      </c>
      <c r="L120">
        <f t="shared" si="13"/>
        <v>-1.0353804491112155</v>
      </c>
    </row>
    <row r="121" spans="1:12" x14ac:dyDescent="0.25">
      <c r="A121" s="1">
        <v>40359</v>
      </c>
      <c r="B121" s="6">
        <v>41.690100000000001</v>
      </c>
      <c r="C121" s="6">
        <v>9.4379000000000008</v>
      </c>
      <c r="D121" s="6">
        <v>7329.37</v>
      </c>
      <c r="E121" s="6">
        <v>0.53</v>
      </c>
      <c r="F121" s="6">
        <f t="shared" si="7"/>
        <v>5.8888888888888888E-3</v>
      </c>
      <c r="G121">
        <f t="shared" si="8"/>
        <v>-0.65577989434127271</v>
      </c>
      <c r="H121">
        <f t="shared" si="9"/>
        <v>0.70208384460260975</v>
      </c>
      <c r="I121">
        <f t="shared" si="10"/>
        <v>-1.2689312554471746</v>
      </c>
      <c r="J121">
        <f t="shared" si="11"/>
        <v>-0.46556746364161677</v>
      </c>
      <c r="K121">
        <f t="shared" si="12"/>
        <v>-0.66166878323016165</v>
      </c>
      <c r="L121">
        <f t="shared" si="13"/>
        <v>-1.2748201443360634</v>
      </c>
    </row>
    <row r="122" spans="1:12" x14ac:dyDescent="0.25">
      <c r="A122" s="1">
        <v>40360</v>
      </c>
      <c r="B122" s="6">
        <v>41.277299999999997</v>
      </c>
      <c r="C122" s="6">
        <v>9.2406000000000006</v>
      </c>
      <c r="D122" s="6">
        <v>7254.06</v>
      </c>
      <c r="E122" s="6">
        <v>0.53</v>
      </c>
      <c r="F122" s="6">
        <f t="shared" si="7"/>
        <v>5.8888888888888888E-3</v>
      </c>
      <c r="G122">
        <f t="shared" si="8"/>
        <v>-0.99016313225443031</v>
      </c>
      <c r="H122">
        <f t="shared" si="9"/>
        <v>-2.0905074222019753</v>
      </c>
      <c r="I122">
        <f t="shared" si="10"/>
        <v>-1.0275098678331083</v>
      </c>
      <c r="J122">
        <f t="shared" si="11"/>
        <v>-0.70084825654755545</v>
      </c>
      <c r="K122">
        <f t="shared" si="12"/>
        <v>-0.99605202114331926</v>
      </c>
      <c r="L122">
        <f t="shared" si="13"/>
        <v>-1.0333987567219971</v>
      </c>
    </row>
    <row r="123" spans="1:12" x14ac:dyDescent="0.25">
      <c r="A123" s="1">
        <v>40361</v>
      </c>
      <c r="B123" s="6">
        <v>41.483699999999999</v>
      </c>
      <c r="C123" s="6">
        <v>9.2735000000000003</v>
      </c>
      <c r="D123" s="6">
        <v>7330.74</v>
      </c>
      <c r="E123" s="6">
        <v>0.65500000000000003</v>
      </c>
      <c r="F123" s="6">
        <f t="shared" si="7"/>
        <v>7.277777777777778E-3</v>
      </c>
      <c r="G123">
        <f t="shared" si="8"/>
        <v>0.50003270562755353</v>
      </c>
      <c r="H123">
        <f t="shared" si="9"/>
        <v>0.35603748674328189</v>
      </c>
      <c r="I123">
        <f t="shared" si="10"/>
        <v>1.0570632170122576</v>
      </c>
      <c r="J123">
        <f t="shared" si="11"/>
        <v>0.34671525659104191</v>
      </c>
      <c r="K123">
        <f t="shared" si="12"/>
        <v>0.49275492784977576</v>
      </c>
      <c r="L123">
        <f t="shared" si="13"/>
        <v>1.0497854392344799</v>
      </c>
    </row>
    <row r="124" spans="1:12" x14ac:dyDescent="0.25">
      <c r="A124" s="1">
        <v>40364</v>
      </c>
      <c r="B124" s="6">
        <v>42.240400000000001</v>
      </c>
      <c r="C124" s="6">
        <v>9.4049999999999994</v>
      </c>
      <c r="D124" s="6">
        <v>7439.96</v>
      </c>
      <c r="E124" s="6">
        <v>0.65500000000000003</v>
      </c>
      <c r="F124" s="6">
        <f t="shared" si="7"/>
        <v>7.277777777777778E-3</v>
      </c>
      <c r="G124">
        <f t="shared" si="8"/>
        <v>1.8240899437610487</v>
      </c>
      <c r="H124">
        <f t="shared" si="9"/>
        <v>1.4180190866447302</v>
      </c>
      <c r="I124">
        <f t="shared" si="10"/>
        <v>1.4898905158278735</v>
      </c>
      <c r="J124">
        <f t="shared" si="11"/>
        <v>1.2783565636885046</v>
      </c>
      <c r="K124">
        <f t="shared" si="12"/>
        <v>1.816812165983271</v>
      </c>
      <c r="L124">
        <f t="shared" si="13"/>
        <v>1.4826127380500957</v>
      </c>
    </row>
    <row r="125" spans="1:12" x14ac:dyDescent="0.25">
      <c r="A125" s="1">
        <v>40365</v>
      </c>
      <c r="B125" s="6">
        <v>43.325200000000002</v>
      </c>
      <c r="C125" s="6">
        <v>9.5693999999999999</v>
      </c>
      <c r="D125" s="6">
        <v>7548.48</v>
      </c>
      <c r="E125" s="6">
        <v>0.65500000000000003</v>
      </c>
      <c r="F125" s="6">
        <f t="shared" si="7"/>
        <v>7.277777777777778E-3</v>
      </c>
      <c r="G125">
        <f t="shared" si="8"/>
        <v>2.56815749850854</v>
      </c>
      <c r="H125">
        <f t="shared" si="9"/>
        <v>1.7480063795853329</v>
      </c>
      <c r="I125">
        <f t="shared" si="10"/>
        <v>1.4586099925268352</v>
      </c>
      <c r="J125">
        <f t="shared" si="11"/>
        <v>1.8019019583354654</v>
      </c>
      <c r="K125">
        <f t="shared" si="12"/>
        <v>2.5608797207307621</v>
      </c>
      <c r="L125">
        <f t="shared" si="13"/>
        <v>1.4513322147490575</v>
      </c>
    </row>
    <row r="126" spans="1:12" x14ac:dyDescent="0.25">
      <c r="A126" s="1">
        <v>40366</v>
      </c>
      <c r="B126" s="6">
        <v>43.035899999999998</v>
      </c>
      <c r="C126" s="6">
        <v>9.6681000000000008</v>
      </c>
      <c r="D126" s="6">
        <v>7534.46</v>
      </c>
      <c r="E126" s="6">
        <v>0.65500000000000003</v>
      </c>
      <c r="F126" s="6">
        <f t="shared" si="7"/>
        <v>7.277777777777778E-3</v>
      </c>
      <c r="G126">
        <f t="shared" si="8"/>
        <v>-0.66774071441102245</v>
      </c>
      <c r="H126">
        <f t="shared" si="9"/>
        <v>1.0314126277509656</v>
      </c>
      <c r="I126">
        <f t="shared" si="10"/>
        <v>-0.18573275679341442</v>
      </c>
      <c r="J126">
        <f t="shared" si="11"/>
        <v>-0.47496066806314863</v>
      </c>
      <c r="K126">
        <f t="shared" si="12"/>
        <v>-0.67501849218880028</v>
      </c>
      <c r="L126">
        <f t="shared" si="13"/>
        <v>-0.19301053457119219</v>
      </c>
    </row>
    <row r="127" spans="1:12" x14ac:dyDescent="0.25">
      <c r="A127" s="1">
        <v>40367</v>
      </c>
      <c r="B127" s="6">
        <v>43.686799999999998</v>
      </c>
      <c r="C127" s="6">
        <v>9.6681000000000008</v>
      </c>
      <c r="D127" s="6">
        <v>7608.85</v>
      </c>
      <c r="E127" s="6">
        <v>0.65500000000000003</v>
      </c>
      <c r="F127" s="6">
        <f t="shared" si="7"/>
        <v>7.277777777777778E-3</v>
      </c>
      <c r="G127">
        <f t="shared" si="8"/>
        <v>1.5124582034998688</v>
      </c>
      <c r="H127">
        <f t="shared" si="9"/>
        <v>0</v>
      </c>
      <c r="I127">
        <f t="shared" si="10"/>
        <v>0.98733021344595795</v>
      </c>
      <c r="J127">
        <f t="shared" si="11"/>
        <v>1.059084319658288</v>
      </c>
      <c r="K127">
        <f t="shared" si="12"/>
        <v>1.5051804257220911</v>
      </c>
      <c r="L127">
        <f t="shared" si="13"/>
        <v>0.98005243566818012</v>
      </c>
    </row>
    <row r="128" spans="1:12" x14ac:dyDescent="0.25">
      <c r="A128" s="1">
        <v>40368</v>
      </c>
      <c r="B128" s="6">
        <v>43.686799999999998</v>
      </c>
      <c r="C128" s="6">
        <v>9.7702000000000009</v>
      </c>
      <c r="D128" s="6">
        <v>7647.25</v>
      </c>
      <c r="E128" s="6">
        <v>0.65500000000000003</v>
      </c>
      <c r="F128" s="6">
        <f t="shared" si="7"/>
        <v>7.277777777777778E-3</v>
      </c>
      <c r="G128">
        <f t="shared" si="8"/>
        <v>0</v>
      </c>
      <c r="H128">
        <f t="shared" si="9"/>
        <v>1.0560503097816538</v>
      </c>
      <c r="I128">
        <f t="shared" si="10"/>
        <v>0.50467547658318446</v>
      </c>
      <c r="J128">
        <f t="shared" si="11"/>
        <v>-5.1208348146729822E-3</v>
      </c>
      <c r="K128">
        <f t="shared" si="12"/>
        <v>-7.277777777777778E-3</v>
      </c>
      <c r="L128">
        <f t="shared" si="13"/>
        <v>0.49739769880540669</v>
      </c>
    </row>
    <row r="129" spans="1:12" x14ac:dyDescent="0.25">
      <c r="A129" s="1">
        <v>40371</v>
      </c>
      <c r="B129" s="6">
        <v>43.252899999999997</v>
      </c>
      <c r="C129" s="6">
        <v>9.7702000000000009</v>
      </c>
      <c r="D129" s="6">
        <v>7639.55</v>
      </c>
      <c r="E129" s="6">
        <v>0.65500000000000003</v>
      </c>
      <c r="F129" s="6">
        <f t="shared" si="7"/>
        <v>7.277777777777778E-3</v>
      </c>
      <c r="G129">
        <f t="shared" si="8"/>
        <v>-0.99320618585019116</v>
      </c>
      <c r="H129">
        <f t="shared" si="9"/>
        <v>0</v>
      </c>
      <c r="I129">
        <f t="shared" si="10"/>
        <v>-0.10068979044754413</v>
      </c>
      <c r="J129">
        <f t="shared" si="11"/>
        <v>-0.70396668720936006</v>
      </c>
      <c r="K129">
        <f t="shared" si="12"/>
        <v>-1.000483963627969</v>
      </c>
      <c r="L129">
        <f t="shared" si="13"/>
        <v>-0.1079675682253219</v>
      </c>
    </row>
    <row r="130" spans="1:12" x14ac:dyDescent="0.25">
      <c r="A130" s="1">
        <v>40372</v>
      </c>
      <c r="B130" s="6">
        <v>43.108199999999997</v>
      </c>
      <c r="C130" s="6">
        <v>9.8042999999999996</v>
      </c>
      <c r="D130" s="6">
        <v>7597.42</v>
      </c>
      <c r="E130" s="6">
        <v>0.65500000000000003</v>
      </c>
      <c r="F130" s="6">
        <f t="shared" si="7"/>
        <v>7.277777777777778E-3</v>
      </c>
      <c r="G130">
        <f t="shared" si="8"/>
        <v>-0.33454404213359168</v>
      </c>
      <c r="H130">
        <f t="shared" si="9"/>
        <v>0.34902049088041887</v>
      </c>
      <c r="I130">
        <f t="shared" si="10"/>
        <v>-0.55147227258150167</v>
      </c>
      <c r="J130">
        <f t="shared" si="11"/>
        <v>-0.24051477377638428</v>
      </c>
      <c r="K130">
        <f t="shared" si="12"/>
        <v>-0.34182181991136945</v>
      </c>
      <c r="L130">
        <f t="shared" si="13"/>
        <v>-0.55875005035927949</v>
      </c>
    </row>
    <row r="131" spans="1:12" x14ac:dyDescent="0.25">
      <c r="A131" s="1">
        <v>40373</v>
      </c>
      <c r="B131" s="6">
        <v>43.686799999999998</v>
      </c>
      <c r="C131" s="6">
        <v>10.1106</v>
      </c>
      <c r="D131" s="6">
        <v>7714.51</v>
      </c>
      <c r="E131" s="6">
        <v>0.65500000000000003</v>
      </c>
      <c r="F131" s="6">
        <f t="shared" ref="F131:F194" si="14">E131/90</f>
        <v>7.277777777777778E-3</v>
      </c>
      <c r="G131">
        <f t="shared" si="8"/>
        <v>1.3422040354271383</v>
      </c>
      <c r="H131">
        <f t="shared" si="9"/>
        <v>3.1241394082188454</v>
      </c>
      <c r="I131">
        <f t="shared" si="10"/>
        <v>1.541181085157858</v>
      </c>
      <c r="J131">
        <f t="shared" si="11"/>
        <v>0.93928903353782656</v>
      </c>
      <c r="K131">
        <f t="shared" si="12"/>
        <v>1.3349262576493606</v>
      </c>
      <c r="L131">
        <f t="shared" si="13"/>
        <v>1.5339033073800803</v>
      </c>
    </row>
    <row r="132" spans="1:12" x14ac:dyDescent="0.25">
      <c r="A132" s="1">
        <v>40374</v>
      </c>
      <c r="B132" s="6">
        <v>43.6145</v>
      </c>
      <c r="C132" s="6">
        <v>10.0426</v>
      </c>
      <c r="D132" s="6">
        <v>7704.52</v>
      </c>
      <c r="E132" s="6">
        <v>0.65500000000000003</v>
      </c>
      <c r="F132" s="6">
        <f t="shared" si="14"/>
        <v>7.277777777777778E-3</v>
      </c>
      <c r="G132">
        <f t="shared" ref="G132:G195" si="15">100*(B132-B131)/B131</f>
        <v>-0.16549621395936182</v>
      </c>
      <c r="H132">
        <f t="shared" ref="H132:H195" si="16">100*(C132-C131)/C131</f>
        <v>-0.67256147014024503</v>
      </c>
      <c r="I132">
        <f t="shared" ref="I132:I195" si="17">100*(D132-D131)/D131</f>
        <v>-0.12949623501686797</v>
      </c>
      <c r="J132">
        <f t="shared" ref="J132:J195" si="18">(G132-F132)/$N$3</f>
        <v>-0.12156829996363508</v>
      </c>
      <c r="K132">
        <f t="shared" ref="K132:K195" si="19">G132-F132</f>
        <v>-0.17277399173713959</v>
      </c>
      <c r="L132">
        <f t="shared" ref="L132:L195" si="20">I132-F132</f>
        <v>-0.13677401279464574</v>
      </c>
    </row>
    <row r="133" spans="1:12" x14ac:dyDescent="0.25">
      <c r="A133" s="1">
        <v>40375</v>
      </c>
      <c r="B133" s="6">
        <v>43.325200000000002</v>
      </c>
      <c r="C133" s="6">
        <v>10.076599999999999</v>
      </c>
      <c r="D133" s="6">
        <v>7664.57</v>
      </c>
      <c r="E133" s="6">
        <v>0.65500000000000003</v>
      </c>
      <c r="F133" s="6">
        <f t="shared" si="14"/>
        <v>7.277777777777778E-3</v>
      </c>
      <c r="G133">
        <f t="shared" si="15"/>
        <v>-0.66331151337283978</v>
      </c>
      <c r="H133">
        <f t="shared" si="16"/>
        <v>0.33855774401050442</v>
      </c>
      <c r="I133">
        <f t="shared" si="17"/>
        <v>-0.51852678687316955</v>
      </c>
      <c r="J133">
        <f t="shared" si="18"/>
        <v>-0.47184416635478826</v>
      </c>
      <c r="K133">
        <f t="shared" si="19"/>
        <v>-0.67058929115061761</v>
      </c>
      <c r="L133">
        <f t="shared" si="20"/>
        <v>-0.52580456465094738</v>
      </c>
    </row>
    <row r="134" spans="1:12" x14ac:dyDescent="0.25">
      <c r="A134" s="1">
        <v>40378</v>
      </c>
      <c r="B134" s="6">
        <v>44.193100000000001</v>
      </c>
      <c r="C134" s="6">
        <v>10.0085</v>
      </c>
      <c r="D134" s="6">
        <v>7649.83</v>
      </c>
      <c r="E134" s="6">
        <v>0.65500000000000003</v>
      </c>
      <c r="F134" s="6">
        <f t="shared" si="14"/>
        <v>7.277777777777778E-3</v>
      </c>
      <c r="G134">
        <f t="shared" si="15"/>
        <v>2.0032221432330348</v>
      </c>
      <c r="H134">
        <f t="shared" si="16"/>
        <v>-0.67582319433141524</v>
      </c>
      <c r="I134">
        <f t="shared" si="17"/>
        <v>-0.19231346311664949</v>
      </c>
      <c r="J134">
        <f t="shared" si="18"/>
        <v>1.404398664930731</v>
      </c>
      <c r="K134">
        <f t="shared" si="19"/>
        <v>1.9959443654552571</v>
      </c>
      <c r="L134">
        <f t="shared" si="20"/>
        <v>-0.19959124089442726</v>
      </c>
    </row>
    <row r="135" spans="1:12" x14ac:dyDescent="0.25">
      <c r="A135" s="1">
        <v>40379</v>
      </c>
      <c r="B135" s="6">
        <v>44.482500000000002</v>
      </c>
      <c r="C135" s="6">
        <v>10.0426</v>
      </c>
      <c r="D135" s="6">
        <v>7712.03</v>
      </c>
      <c r="E135" s="6">
        <v>0.65500000000000003</v>
      </c>
      <c r="F135" s="6">
        <f t="shared" si="14"/>
        <v>7.277777777777778E-3</v>
      </c>
      <c r="G135">
        <f t="shared" si="15"/>
        <v>0.65485335946109358</v>
      </c>
      <c r="H135">
        <f t="shared" si="16"/>
        <v>0.34071039616326587</v>
      </c>
      <c r="I135">
        <f t="shared" si="17"/>
        <v>0.81308996409070289</v>
      </c>
      <c r="J135">
        <f t="shared" si="18"/>
        <v>0.45565111838693551</v>
      </c>
      <c r="K135">
        <f t="shared" si="19"/>
        <v>0.64757558168331575</v>
      </c>
      <c r="L135">
        <f t="shared" si="20"/>
        <v>0.80581218631292506</v>
      </c>
    </row>
    <row r="136" spans="1:12" x14ac:dyDescent="0.25">
      <c r="A136" s="1">
        <v>40380</v>
      </c>
      <c r="B136" s="6">
        <v>44.699399999999997</v>
      </c>
      <c r="C136" s="6">
        <v>10.076599999999999</v>
      </c>
      <c r="D136" s="6">
        <v>7701.29</v>
      </c>
      <c r="E136" s="6">
        <v>0.65500000000000003</v>
      </c>
      <c r="F136" s="6">
        <f t="shared" si="14"/>
        <v>7.277777777777778E-3</v>
      </c>
      <c r="G136">
        <f t="shared" si="15"/>
        <v>0.48760748609002513</v>
      </c>
      <c r="H136">
        <f t="shared" si="16"/>
        <v>0.33855774401050442</v>
      </c>
      <c r="I136">
        <f t="shared" si="17"/>
        <v>-0.13926294373854592</v>
      </c>
      <c r="J136">
        <f t="shared" si="18"/>
        <v>0.33797254710875835</v>
      </c>
      <c r="K136">
        <f t="shared" si="19"/>
        <v>0.48032970831224736</v>
      </c>
      <c r="L136">
        <f t="shared" si="20"/>
        <v>-0.14654072151632369</v>
      </c>
    </row>
    <row r="137" spans="1:12" x14ac:dyDescent="0.25">
      <c r="A137" s="1">
        <v>40381</v>
      </c>
      <c r="B137" s="6">
        <v>44.844099999999997</v>
      </c>
      <c r="C137" s="6">
        <v>9.9745000000000008</v>
      </c>
      <c r="D137" s="6">
        <v>7666.34</v>
      </c>
      <c r="E137" s="6">
        <v>0.65500000000000003</v>
      </c>
      <c r="F137" s="6">
        <f t="shared" si="14"/>
        <v>7.277777777777778E-3</v>
      </c>
      <c r="G137">
        <f t="shared" si="15"/>
        <v>0.32371799174038196</v>
      </c>
      <c r="H137">
        <f t="shared" si="16"/>
        <v>-1.0132385923823344</v>
      </c>
      <c r="I137">
        <f t="shared" si="17"/>
        <v>-0.45382007429923843</v>
      </c>
      <c r="J137">
        <f t="shared" si="18"/>
        <v>0.22265561190535019</v>
      </c>
      <c r="K137">
        <f t="shared" si="19"/>
        <v>0.31644021396260419</v>
      </c>
      <c r="L137">
        <f t="shared" si="20"/>
        <v>-0.4610978520770162</v>
      </c>
    </row>
    <row r="138" spans="1:12" x14ac:dyDescent="0.25">
      <c r="A138" s="1">
        <v>40382</v>
      </c>
      <c r="B138" s="6">
        <v>45.422699999999999</v>
      </c>
      <c r="C138" s="6">
        <v>9.9745000000000008</v>
      </c>
      <c r="D138" s="6">
        <v>7761.22</v>
      </c>
      <c r="E138" s="6">
        <v>0.65500000000000003</v>
      </c>
      <c r="F138" s="6">
        <f t="shared" si="14"/>
        <v>7.277777777777778E-3</v>
      </c>
      <c r="G138">
        <f t="shared" si="15"/>
        <v>1.2902477694947643</v>
      </c>
      <c r="H138">
        <f t="shared" si="16"/>
        <v>0</v>
      </c>
      <c r="I138">
        <f t="shared" si="17"/>
        <v>1.2376179506778999</v>
      </c>
      <c r="J138">
        <f t="shared" si="18"/>
        <v>0.90273124576924368</v>
      </c>
      <c r="K138">
        <f t="shared" si="19"/>
        <v>1.2829699917169866</v>
      </c>
      <c r="L138">
        <f t="shared" si="20"/>
        <v>1.2303401729001222</v>
      </c>
    </row>
    <row r="139" spans="1:12" x14ac:dyDescent="0.25">
      <c r="A139" s="1">
        <v>40385</v>
      </c>
      <c r="B139" s="6">
        <v>45.278100000000002</v>
      </c>
      <c r="C139" s="6">
        <v>10.076599999999999</v>
      </c>
      <c r="D139" s="6">
        <v>7787.45</v>
      </c>
      <c r="E139" s="6">
        <v>0.65500000000000003</v>
      </c>
      <c r="F139" s="6">
        <f t="shared" si="14"/>
        <v>7.277777777777778E-3</v>
      </c>
      <c r="G139">
        <f t="shared" si="15"/>
        <v>-0.31834303112760132</v>
      </c>
      <c r="H139">
        <f t="shared" si="16"/>
        <v>1.0236102060253476</v>
      </c>
      <c r="I139">
        <f t="shared" si="17"/>
        <v>0.33796233066450332</v>
      </c>
      <c r="J139">
        <f t="shared" si="18"/>
        <v>-0.22911531865071436</v>
      </c>
      <c r="K139">
        <f t="shared" si="19"/>
        <v>-0.32562080890537909</v>
      </c>
      <c r="L139">
        <f t="shared" si="20"/>
        <v>0.33068455288672555</v>
      </c>
    </row>
    <row r="140" spans="1:12" x14ac:dyDescent="0.25">
      <c r="A140" s="1">
        <v>40386</v>
      </c>
      <c r="B140" s="6">
        <v>45.205800000000004</v>
      </c>
      <c r="C140" s="6">
        <v>10.0426</v>
      </c>
      <c r="D140" s="6">
        <v>7748.01</v>
      </c>
      <c r="E140" s="6">
        <v>0.65500000000000003</v>
      </c>
      <c r="F140" s="6">
        <f t="shared" si="14"/>
        <v>7.277777777777778E-3</v>
      </c>
      <c r="G140">
        <f t="shared" si="15"/>
        <v>-0.15967984522318399</v>
      </c>
      <c r="H140">
        <f t="shared" si="16"/>
        <v>-0.33741539805091919</v>
      </c>
      <c r="I140">
        <f t="shared" si="17"/>
        <v>-0.50645590019839104</v>
      </c>
      <c r="J140">
        <f t="shared" si="18"/>
        <v>-0.11747575077779152</v>
      </c>
      <c r="K140">
        <f t="shared" si="19"/>
        <v>-0.16695762300096176</v>
      </c>
      <c r="L140">
        <f t="shared" si="20"/>
        <v>-0.51373367797616887</v>
      </c>
    </row>
    <row r="141" spans="1:12" x14ac:dyDescent="0.25">
      <c r="A141" s="1">
        <v>40387</v>
      </c>
      <c r="B141" s="6">
        <v>45.567399999999999</v>
      </c>
      <c r="C141" s="6">
        <v>9.9404000000000003</v>
      </c>
      <c r="D141" s="6">
        <v>7784.81</v>
      </c>
      <c r="E141" s="6">
        <v>0.65500000000000003</v>
      </c>
      <c r="F141" s="6">
        <f t="shared" si="14"/>
        <v>7.277777777777778E-3</v>
      </c>
      <c r="G141">
        <f t="shared" si="15"/>
        <v>0.79989735830357089</v>
      </c>
      <c r="H141">
        <f t="shared" si="16"/>
        <v>-1.0176647481727823</v>
      </c>
      <c r="I141">
        <f t="shared" si="17"/>
        <v>0.4749606673197399</v>
      </c>
      <c r="J141">
        <f t="shared" si="18"/>
        <v>0.55770786999590505</v>
      </c>
      <c r="K141">
        <f t="shared" si="19"/>
        <v>0.79261958052579307</v>
      </c>
      <c r="L141">
        <f t="shared" si="20"/>
        <v>0.46768288954196213</v>
      </c>
    </row>
    <row r="142" spans="1:12" x14ac:dyDescent="0.25">
      <c r="A142" s="1">
        <v>40388</v>
      </c>
      <c r="B142" s="6">
        <v>45.567399999999999</v>
      </c>
      <c r="C142" s="6">
        <v>9.8383000000000003</v>
      </c>
      <c r="D142" s="6">
        <v>7798.99</v>
      </c>
      <c r="E142" s="6">
        <v>0.65500000000000003</v>
      </c>
      <c r="F142" s="6">
        <f t="shared" si="14"/>
        <v>7.277777777777778E-3</v>
      </c>
      <c r="G142">
        <f t="shared" si="15"/>
        <v>0</v>
      </c>
      <c r="H142">
        <f t="shared" si="16"/>
        <v>-1.027121645004226</v>
      </c>
      <c r="I142">
        <f t="shared" si="17"/>
        <v>0.18214959645770906</v>
      </c>
      <c r="J142">
        <f t="shared" si="18"/>
        <v>-5.1208348146729822E-3</v>
      </c>
      <c r="K142">
        <f t="shared" si="19"/>
        <v>-7.277777777777778E-3</v>
      </c>
      <c r="L142">
        <f t="shared" si="20"/>
        <v>0.17487181867993129</v>
      </c>
    </row>
    <row r="143" spans="1:12" x14ac:dyDescent="0.25">
      <c r="A143" s="1">
        <v>40389</v>
      </c>
      <c r="B143" s="6">
        <v>45.133400000000002</v>
      </c>
      <c r="C143" s="6">
        <v>9.6681000000000008</v>
      </c>
      <c r="D143" s="6">
        <v>7760.63</v>
      </c>
      <c r="E143" s="6">
        <v>0.65500000000000003</v>
      </c>
      <c r="F143" s="6">
        <f t="shared" si="14"/>
        <v>7.277777777777778E-3</v>
      </c>
      <c r="G143">
        <f t="shared" si="15"/>
        <v>-0.95243529365291302</v>
      </c>
      <c r="H143">
        <f t="shared" si="16"/>
        <v>-1.7299736743136462</v>
      </c>
      <c r="I143">
        <f t="shared" si="17"/>
        <v>-0.49185856117266047</v>
      </c>
      <c r="J143">
        <f t="shared" si="18"/>
        <v>-0.67527922098490345</v>
      </c>
      <c r="K143">
        <f t="shared" si="19"/>
        <v>-0.95971307143069084</v>
      </c>
      <c r="L143">
        <f t="shared" si="20"/>
        <v>-0.49913633895043824</v>
      </c>
    </row>
    <row r="144" spans="1:12" x14ac:dyDescent="0.25">
      <c r="A144" s="1">
        <v>40392</v>
      </c>
      <c r="B144" s="6">
        <v>45.061100000000003</v>
      </c>
      <c r="C144" s="6">
        <v>9.8722999999999992</v>
      </c>
      <c r="D144" s="6">
        <v>7911.68</v>
      </c>
      <c r="E144" s="6">
        <v>0.65500000000000003</v>
      </c>
      <c r="F144" s="6">
        <f t="shared" si="14"/>
        <v>7.277777777777778E-3</v>
      </c>
      <c r="G144">
        <f t="shared" si="15"/>
        <v>-0.16019178701360517</v>
      </c>
      <c r="H144">
        <f t="shared" si="16"/>
        <v>2.1121006195632894</v>
      </c>
      <c r="I144">
        <f t="shared" si="17"/>
        <v>1.9463626020052518</v>
      </c>
      <c r="J144">
        <f t="shared" si="18"/>
        <v>-0.11783596641277279</v>
      </c>
      <c r="K144">
        <f t="shared" si="19"/>
        <v>-0.16746956479138295</v>
      </c>
      <c r="L144">
        <f t="shared" si="20"/>
        <v>1.9390848242274741</v>
      </c>
    </row>
    <row r="145" spans="1:12" x14ac:dyDescent="0.25">
      <c r="A145" s="1">
        <v>40393</v>
      </c>
      <c r="B145" s="6">
        <v>44.844099999999997</v>
      </c>
      <c r="C145" s="6">
        <v>9.8042999999999996</v>
      </c>
      <c r="D145" s="6">
        <v>7957.53</v>
      </c>
      <c r="E145" s="6">
        <v>0.65500000000000003</v>
      </c>
      <c r="F145" s="6">
        <f t="shared" si="14"/>
        <v>7.277777777777778E-3</v>
      </c>
      <c r="G145">
        <f t="shared" si="15"/>
        <v>-0.4815683594053537</v>
      </c>
      <c r="H145">
        <f t="shared" si="16"/>
        <v>-0.68879592394882272</v>
      </c>
      <c r="I145">
        <f t="shared" si="17"/>
        <v>0.57952293318232606</v>
      </c>
      <c r="J145">
        <f t="shared" si="18"/>
        <v>-0.34396492923285582</v>
      </c>
      <c r="K145">
        <f t="shared" si="19"/>
        <v>-0.48884613718313147</v>
      </c>
      <c r="L145">
        <f t="shared" si="20"/>
        <v>0.57224515540454823</v>
      </c>
    </row>
    <row r="146" spans="1:12" x14ac:dyDescent="0.25">
      <c r="A146" s="1">
        <v>40394</v>
      </c>
      <c r="B146" s="6">
        <v>44.844099999999997</v>
      </c>
      <c r="C146" s="6">
        <v>9.7362000000000002</v>
      </c>
      <c r="D146" s="6">
        <v>7972.66</v>
      </c>
      <c r="E146" s="6">
        <v>0.65500000000000003</v>
      </c>
      <c r="F146" s="6">
        <f t="shared" si="14"/>
        <v>7.277777777777778E-3</v>
      </c>
      <c r="G146">
        <f t="shared" si="15"/>
        <v>0</v>
      </c>
      <c r="H146">
        <f t="shared" si="16"/>
        <v>-0.69459318870290976</v>
      </c>
      <c r="I146">
        <f t="shared" si="17"/>
        <v>0.19013437586789003</v>
      </c>
      <c r="J146">
        <f t="shared" si="18"/>
        <v>-5.1208348146729822E-3</v>
      </c>
      <c r="K146">
        <f t="shared" si="19"/>
        <v>-7.277777777777778E-3</v>
      </c>
      <c r="L146">
        <f t="shared" si="20"/>
        <v>0.18285659809011226</v>
      </c>
    </row>
    <row r="147" spans="1:12" x14ac:dyDescent="0.25">
      <c r="A147" s="1">
        <v>40395</v>
      </c>
      <c r="B147" s="6">
        <v>44.771799999999999</v>
      </c>
      <c r="C147" s="6">
        <v>9.8042999999999996</v>
      </c>
      <c r="D147" s="6">
        <v>7936.85</v>
      </c>
      <c r="E147" s="6">
        <v>0.65500000000000003</v>
      </c>
      <c r="F147" s="6">
        <f t="shared" si="14"/>
        <v>7.277777777777778E-3</v>
      </c>
      <c r="G147">
        <f t="shared" si="15"/>
        <v>-0.16122522249303359</v>
      </c>
      <c r="H147">
        <f t="shared" si="16"/>
        <v>0.69945153139828042</v>
      </c>
      <c r="I147">
        <f t="shared" si="17"/>
        <v>-0.44916000431473924</v>
      </c>
      <c r="J147">
        <f t="shared" si="18"/>
        <v>-0.11856311864843656</v>
      </c>
      <c r="K147">
        <f t="shared" si="19"/>
        <v>-0.16850300027081136</v>
      </c>
      <c r="L147">
        <f t="shared" si="20"/>
        <v>-0.45643778209251701</v>
      </c>
    </row>
    <row r="148" spans="1:12" x14ac:dyDescent="0.25">
      <c r="A148" s="1">
        <v>40396</v>
      </c>
      <c r="B148" s="6">
        <v>44.048499999999997</v>
      </c>
      <c r="C148" s="6">
        <v>9.7702000000000009</v>
      </c>
      <c r="D148" s="6">
        <v>7963.3</v>
      </c>
      <c r="E148" s="6">
        <v>0.65500000000000003</v>
      </c>
      <c r="F148" s="6">
        <f t="shared" si="14"/>
        <v>7.277777777777778E-3</v>
      </c>
      <c r="G148">
        <f t="shared" si="15"/>
        <v>-1.6155258443931266</v>
      </c>
      <c r="H148">
        <f t="shared" si="16"/>
        <v>-0.34780657466620452</v>
      </c>
      <c r="I148">
        <f t="shared" si="17"/>
        <v>0.33325563668205671</v>
      </c>
      <c r="J148">
        <f t="shared" si="18"/>
        <v>-1.1418470774368195</v>
      </c>
      <c r="K148">
        <f t="shared" si="19"/>
        <v>-1.6228036221709043</v>
      </c>
      <c r="L148">
        <f t="shared" si="20"/>
        <v>0.32597785890427894</v>
      </c>
    </row>
    <row r="149" spans="1:12" x14ac:dyDescent="0.25">
      <c r="A149" s="1">
        <v>40399</v>
      </c>
      <c r="B149" s="6">
        <v>43.903799999999997</v>
      </c>
      <c r="C149" s="6">
        <v>9.8383000000000003</v>
      </c>
      <c r="D149" s="6">
        <v>8034.49</v>
      </c>
      <c r="E149" s="6">
        <v>0.65500000000000003</v>
      </c>
      <c r="F149" s="6">
        <f t="shared" si="14"/>
        <v>7.277777777777778E-3</v>
      </c>
      <c r="G149">
        <f t="shared" si="15"/>
        <v>-0.32850153807734722</v>
      </c>
      <c r="H149">
        <f t="shared" si="16"/>
        <v>0.69701746125974262</v>
      </c>
      <c r="I149">
        <f t="shared" si="17"/>
        <v>0.89397611542952793</v>
      </c>
      <c r="J149">
        <f t="shared" si="18"/>
        <v>-0.23626310986415261</v>
      </c>
      <c r="K149">
        <f t="shared" si="19"/>
        <v>-0.33577931585512499</v>
      </c>
      <c r="L149">
        <f t="shared" si="20"/>
        <v>0.8866983376517501</v>
      </c>
    </row>
    <row r="150" spans="1:12" x14ac:dyDescent="0.25">
      <c r="A150" s="1">
        <v>40400</v>
      </c>
      <c r="B150" s="6">
        <v>44.120800000000003</v>
      </c>
      <c r="C150" s="6">
        <v>9.7702000000000009</v>
      </c>
      <c r="D150" s="6">
        <v>7976.74</v>
      </c>
      <c r="E150" s="6">
        <v>0.65500000000000003</v>
      </c>
      <c r="F150" s="6">
        <f t="shared" si="14"/>
        <v>7.277777777777778E-3</v>
      </c>
      <c r="G150">
        <f t="shared" si="15"/>
        <v>0.49426245564166627</v>
      </c>
      <c r="H150">
        <f t="shared" si="16"/>
        <v>-0.69219275687872273</v>
      </c>
      <c r="I150">
        <f t="shared" si="17"/>
        <v>-0.71877617621031331</v>
      </c>
      <c r="J150">
        <f t="shared" si="18"/>
        <v>0.34265515776426508</v>
      </c>
      <c r="K150">
        <f t="shared" si="19"/>
        <v>0.48698467786388849</v>
      </c>
      <c r="L150">
        <f t="shared" si="20"/>
        <v>-0.72605395398809114</v>
      </c>
    </row>
    <row r="151" spans="1:12" x14ac:dyDescent="0.25">
      <c r="A151" s="1">
        <v>40401</v>
      </c>
      <c r="B151" s="6">
        <v>44.120800000000003</v>
      </c>
      <c r="C151" s="6">
        <v>9.7020999999999997</v>
      </c>
      <c r="D151" s="6">
        <v>7895.03</v>
      </c>
      <c r="E151" s="6">
        <v>0.65500000000000003</v>
      </c>
      <c r="F151" s="6">
        <f t="shared" si="14"/>
        <v>7.277777777777778E-3</v>
      </c>
      <c r="G151">
        <f t="shared" si="15"/>
        <v>0</v>
      </c>
      <c r="H151">
        <f t="shared" si="16"/>
        <v>-0.69701746125976083</v>
      </c>
      <c r="I151">
        <f t="shared" si="17"/>
        <v>-1.0243533072408031</v>
      </c>
      <c r="J151">
        <f t="shared" si="18"/>
        <v>-5.1208348146729822E-3</v>
      </c>
      <c r="K151">
        <f t="shared" si="19"/>
        <v>-7.277777777777778E-3</v>
      </c>
      <c r="L151">
        <f t="shared" si="20"/>
        <v>-1.0316310850185808</v>
      </c>
    </row>
    <row r="152" spans="1:12" x14ac:dyDescent="0.25">
      <c r="A152" s="1">
        <v>40402</v>
      </c>
      <c r="B152" s="6">
        <v>43.542200000000001</v>
      </c>
      <c r="C152" s="6">
        <v>9.6</v>
      </c>
      <c r="D152" s="6">
        <v>7829.79</v>
      </c>
      <c r="E152" s="6">
        <v>0.65500000000000003</v>
      </c>
      <c r="F152" s="6">
        <f t="shared" si="14"/>
        <v>7.277777777777778E-3</v>
      </c>
      <c r="G152">
        <f t="shared" si="15"/>
        <v>-1.3113996119744009</v>
      </c>
      <c r="H152">
        <f t="shared" si="16"/>
        <v>-1.0523494913472349</v>
      </c>
      <c r="I152">
        <f t="shared" si="17"/>
        <v>-0.82634264847631722</v>
      </c>
      <c r="J152">
        <f t="shared" si="18"/>
        <v>-0.92785590505168614</v>
      </c>
      <c r="K152">
        <f t="shared" si="19"/>
        <v>-1.3186773897521786</v>
      </c>
      <c r="L152">
        <f t="shared" si="20"/>
        <v>-0.83362042625409505</v>
      </c>
    </row>
    <row r="153" spans="1:12" x14ac:dyDescent="0.25">
      <c r="A153" s="1">
        <v>40403</v>
      </c>
      <c r="B153" s="6">
        <v>43.469799999999999</v>
      </c>
      <c r="C153" s="6">
        <v>9.6</v>
      </c>
      <c r="D153" s="6">
        <v>7891.58</v>
      </c>
      <c r="E153" s="6">
        <v>0.65500000000000003</v>
      </c>
      <c r="F153" s="6">
        <f t="shared" si="14"/>
        <v>7.277777777777778E-3</v>
      </c>
      <c r="G153">
        <f t="shared" si="15"/>
        <v>-0.16627547528604847</v>
      </c>
      <c r="H153">
        <f t="shared" si="16"/>
        <v>0</v>
      </c>
      <c r="I153">
        <f t="shared" si="17"/>
        <v>0.7891654820882803</v>
      </c>
      <c r="J153">
        <f t="shared" si="18"/>
        <v>-0.12211660861680802</v>
      </c>
      <c r="K153">
        <f t="shared" si="19"/>
        <v>-0.17355325306382624</v>
      </c>
      <c r="L153">
        <f t="shared" si="20"/>
        <v>0.78188770431050247</v>
      </c>
    </row>
    <row r="154" spans="1:12" x14ac:dyDescent="0.25">
      <c r="A154" s="1">
        <v>40406</v>
      </c>
      <c r="B154" s="6">
        <v>43.6145</v>
      </c>
      <c r="C154" s="6">
        <v>9.5319000000000003</v>
      </c>
      <c r="D154" s="6">
        <v>7941.22</v>
      </c>
      <c r="E154" s="6">
        <v>0.65500000000000003</v>
      </c>
      <c r="F154" s="6">
        <f t="shared" si="14"/>
        <v>7.277777777777778E-3</v>
      </c>
      <c r="G154">
        <f t="shared" si="15"/>
        <v>0.33287477743168886</v>
      </c>
      <c r="H154">
        <f t="shared" si="16"/>
        <v>-0.70937499999999365</v>
      </c>
      <c r="I154">
        <f t="shared" si="17"/>
        <v>0.62902485940711905</v>
      </c>
      <c r="J154">
        <f t="shared" si="18"/>
        <v>0.22909856583858523</v>
      </c>
      <c r="K154">
        <f t="shared" si="19"/>
        <v>0.32559699965391109</v>
      </c>
      <c r="L154">
        <f t="shared" si="20"/>
        <v>0.62174708162934123</v>
      </c>
    </row>
    <row r="155" spans="1:12" x14ac:dyDescent="0.25">
      <c r="A155" s="1">
        <v>40407</v>
      </c>
      <c r="B155" s="6">
        <v>43.252899999999997</v>
      </c>
      <c r="C155" s="6">
        <v>9.4638000000000009</v>
      </c>
      <c r="D155" s="6">
        <v>7931.09</v>
      </c>
      <c r="E155" s="6">
        <v>0.65500000000000003</v>
      </c>
      <c r="F155" s="6">
        <f t="shared" si="14"/>
        <v>7.277777777777778E-3</v>
      </c>
      <c r="G155">
        <f t="shared" si="15"/>
        <v>-0.82908207132949552</v>
      </c>
      <c r="H155">
        <f t="shared" si="16"/>
        <v>-0.7144430806030212</v>
      </c>
      <c r="I155">
        <f t="shared" si="17"/>
        <v>-0.12756226373277796</v>
      </c>
      <c r="J155">
        <f t="shared" si="18"/>
        <v>-0.58848466711646574</v>
      </c>
      <c r="K155">
        <f t="shared" si="19"/>
        <v>-0.83635984910727335</v>
      </c>
      <c r="L155">
        <f t="shared" si="20"/>
        <v>-0.13484004151055573</v>
      </c>
    </row>
    <row r="156" spans="1:12" x14ac:dyDescent="0.25">
      <c r="A156" s="1">
        <v>40408</v>
      </c>
      <c r="B156" s="6">
        <v>43.108199999999997</v>
      </c>
      <c r="C156" s="6">
        <v>9.4298000000000002</v>
      </c>
      <c r="D156" s="6">
        <v>7924.1</v>
      </c>
      <c r="E156" s="6">
        <v>0.65500000000000003</v>
      </c>
      <c r="F156" s="6">
        <f t="shared" si="14"/>
        <v>7.277777777777778E-3</v>
      </c>
      <c r="G156">
        <f t="shared" si="15"/>
        <v>-0.33454404213359168</v>
      </c>
      <c r="H156">
        <f t="shared" si="16"/>
        <v>-0.35926372070416424</v>
      </c>
      <c r="I156">
        <f t="shared" si="17"/>
        <v>-8.8134165669533207E-2</v>
      </c>
      <c r="J156">
        <f t="shared" si="18"/>
        <v>-0.24051477377638428</v>
      </c>
      <c r="K156">
        <f t="shared" si="19"/>
        <v>-0.34182181991136945</v>
      </c>
      <c r="L156">
        <f t="shared" si="20"/>
        <v>-9.5411943447310979E-2</v>
      </c>
    </row>
    <row r="157" spans="1:12" x14ac:dyDescent="0.25">
      <c r="A157" s="1">
        <v>40409</v>
      </c>
      <c r="B157" s="6">
        <v>43.469799999999999</v>
      </c>
      <c r="C157" s="6">
        <v>9.4978999999999996</v>
      </c>
      <c r="D157" s="6">
        <v>7928.94</v>
      </c>
      <c r="E157" s="6">
        <v>0.65500000000000003</v>
      </c>
      <c r="F157" s="6">
        <f t="shared" si="14"/>
        <v>7.277777777777778E-3</v>
      </c>
      <c r="G157">
        <f t="shared" si="15"/>
        <v>0.83881952853518083</v>
      </c>
      <c r="H157">
        <f t="shared" si="16"/>
        <v>0.72217862520943588</v>
      </c>
      <c r="I157">
        <f t="shared" si="17"/>
        <v>6.1079491677278629E-2</v>
      </c>
      <c r="J157">
        <f t="shared" si="18"/>
        <v>0.58509452708692655</v>
      </c>
      <c r="K157">
        <f t="shared" si="19"/>
        <v>0.831541750757403</v>
      </c>
      <c r="L157">
        <f t="shared" si="20"/>
        <v>5.380171389950085E-2</v>
      </c>
    </row>
    <row r="158" spans="1:12" x14ac:dyDescent="0.25">
      <c r="A158" s="1">
        <v>40410</v>
      </c>
      <c r="B158" s="6">
        <v>43.325200000000002</v>
      </c>
      <c r="C158" s="6">
        <v>9.4298000000000002</v>
      </c>
      <c r="D158" s="6">
        <v>7927.31</v>
      </c>
      <c r="E158" s="6">
        <v>0.65500000000000003</v>
      </c>
      <c r="F158" s="6">
        <f t="shared" si="14"/>
        <v>7.277777777777778E-3</v>
      </c>
      <c r="G158">
        <f t="shared" si="15"/>
        <v>-0.33264473266496958</v>
      </c>
      <c r="H158">
        <f t="shared" si="16"/>
        <v>-0.71700060013265443</v>
      </c>
      <c r="I158">
        <f t="shared" si="17"/>
        <v>-2.0557602907818696E-2</v>
      </c>
      <c r="J158">
        <f t="shared" si="18"/>
        <v>-0.23917836995261599</v>
      </c>
      <c r="K158">
        <f t="shared" si="19"/>
        <v>-0.33992251044274735</v>
      </c>
      <c r="L158">
        <f t="shared" si="20"/>
        <v>-2.7835380685596475E-2</v>
      </c>
    </row>
    <row r="159" spans="1:12" x14ac:dyDescent="0.25">
      <c r="A159" s="1">
        <v>40413</v>
      </c>
      <c r="B159" s="6">
        <v>43.469799999999999</v>
      </c>
      <c r="C159" s="6">
        <v>9.3617000000000008</v>
      </c>
      <c r="D159" s="6">
        <v>7975.93</v>
      </c>
      <c r="E159" s="6">
        <v>0.65500000000000003</v>
      </c>
      <c r="F159" s="6">
        <f t="shared" si="14"/>
        <v>7.277777777777778E-3</v>
      </c>
      <c r="G159">
        <f t="shared" si="15"/>
        <v>0.33375495092924429</v>
      </c>
      <c r="H159">
        <f t="shared" si="16"/>
        <v>-0.72217862520943588</v>
      </c>
      <c r="I159">
        <f t="shared" si="17"/>
        <v>0.61332280433084974</v>
      </c>
      <c r="J159">
        <f t="shared" si="18"/>
        <v>0.22971787893481588</v>
      </c>
      <c r="K159">
        <f t="shared" si="19"/>
        <v>0.32647717315146652</v>
      </c>
      <c r="L159">
        <f t="shared" si="20"/>
        <v>0.60604502655307191</v>
      </c>
    </row>
    <row r="160" spans="1:12" x14ac:dyDescent="0.25">
      <c r="A160" s="1">
        <v>40414</v>
      </c>
      <c r="B160" s="6">
        <v>43.108199999999997</v>
      </c>
      <c r="C160" s="6">
        <v>9.1914999999999996</v>
      </c>
      <c r="D160" s="6">
        <v>7940.64</v>
      </c>
      <c r="E160" s="6">
        <v>0.65500000000000003</v>
      </c>
      <c r="F160" s="6">
        <f t="shared" si="14"/>
        <v>7.277777777777778E-3</v>
      </c>
      <c r="G160">
        <f t="shared" si="15"/>
        <v>-0.83184187642915963</v>
      </c>
      <c r="H160">
        <f t="shared" si="16"/>
        <v>-1.8180458677377103</v>
      </c>
      <c r="I160">
        <f t="shared" si="17"/>
        <v>-0.4424562402127396</v>
      </c>
      <c r="J160">
        <f t="shared" si="18"/>
        <v>-0.59042653817485724</v>
      </c>
      <c r="K160">
        <f t="shared" si="19"/>
        <v>-0.83911965420693746</v>
      </c>
      <c r="L160">
        <f t="shared" si="20"/>
        <v>-0.44973401799051738</v>
      </c>
    </row>
    <row r="161" spans="1:12" x14ac:dyDescent="0.25">
      <c r="A161" s="1">
        <v>40415</v>
      </c>
      <c r="B161" s="6">
        <v>42.4572</v>
      </c>
      <c r="C161" s="6">
        <v>8.9191000000000003</v>
      </c>
      <c r="D161" s="6">
        <v>7736.98</v>
      </c>
      <c r="E161" s="6">
        <v>0.65500000000000003</v>
      </c>
      <c r="F161" s="6">
        <f t="shared" si="14"/>
        <v>7.277777777777778E-3</v>
      </c>
      <c r="G161">
        <f t="shared" si="15"/>
        <v>-1.5101535206758721</v>
      </c>
      <c r="H161">
        <f t="shared" si="16"/>
        <v>-2.9636076810096212</v>
      </c>
      <c r="I161">
        <f t="shared" si="17"/>
        <v>-2.5647806725906319</v>
      </c>
      <c r="J161">
        <f t="shared" si="18"/>
        <v>-1.0677043541673725</v>
      </c>
      <c r="K161">
        <f t="shared" si="19"/>
        <v>-1.5174312984536498</v>
      </c>
      <c r="L161">
        <f t="shared" si="20"/>
        <v>-2.5720584503684099</v>
      </c>
    </row>
    <row r="162" spans="1:12" x14ac:dyDescent="0.25">
      <c r="A162" s="1">
        <v>40416</v>
      </c>
      <c r="B162" s="6">
        <v>42.529600000000002</v>
      </c>
      <c r="C162" s="6">
        <v>9.0213000000000001</v>
      </c>
      <c r="D162" s="6">
        <v>7689.74</v>
      </c>
      <c r="E162" s="6">
        <v>0.65500000000000003</v>
      </c>
      <c r="F162" s="6">
        <f t="shared" si="14"/>
        <v>7.277777777777778E-3</v>
      </c>
      <c r="G162">
        <f t="shared" si="15"/>
        <v>0.17052466954957415</v>
      </c>
      <c r="H162">
        <f t="shared" si="16"/>
        <v>1.1458555235393688</v>
      </c>
      <c r="I162">
        <f t="shared" si="17"/>
        <v>-0.61057415167157969</v>
      </c>
      <c r="J162">
        <f t="shared" si="18"/>
        <v>0.11486478322060313</v>
      </c>
      <c r="K162">
        <f t="shared" si="19"/>
        <v>0.16324689177179638</v>
      </c>
      <c r="L162">
        <f t="shared" si="20"/>
        <v>-0.61785192944935752</v>
      </c>
    </row>
    <row r="163" spans="1:12" x14ac:dyDescent="0.25">
      <c r="A163" s="1">
        <v>40417</v>
      </c>
      <c r="B163" s="6">
        <v>42.529600000000002</v>
      </c>
      <c r="C163" s="6">
        <v>8.8850999999999996</v>
      </c>
      <c r="D163" s="6">
        <v>7722.91</v>
      </c>
      <c r="E163" s="6">
        <v>0.65500000000000003</v>
      </c>
      <c r="F163" s="6">
        <f t="shared" si="14"/>
        <v>7.277777777777778E-3</v>
      </c>
      <c r="G163">
        <f t="shared" si="15"/>
        <v>0</v>
      </c>
      <c r="H163">
        <f t="shared" si="16"/>
        <v>-1.5097602341126062</v>
      </c>
      <c r="I163">
        <f t="shared" si="17"/>
        <v>0.43135398596051455</v>
      </c>
      <c r="J163">
        <f t="shared" si="18"/>
        <v>-5.1208348146729822E-3</v>
      </c>
      <c r="K163">
        <f t="shared" si="19"/>
        <v>-7.277777777777778E-3</v>
      </c>
      <c r="L163">
        <f t="shared" si="20"/>
        <v>0.42407620818273678</v>
      </c>
    </row>
    <row r="164" spans="1:12" x14ac:dyDescent="0.25">
      <c r="A164" s="1">
        <v>40420</v>
      </c>
      <c r="B164" s="6">
        <v>42.963500000000003</v>
      </c>
      <c r="C164" s="6">
        <v>8.8850999999999996</v>
      </c>
      <c r="D164" s="6">
        <v>7741.2</v>
      </c>
      <c r="E164" s="6">
        <v>0.65500000000000003</v>
      </c>
      <c r="F164" s="6">
        <f t="shared" si="14"/>
        <v>7.277777777777778E-3</v>
      </c>
      <c r="G164">
        <f t="shared" si="15"/>
        <v>1.0202306158534322</v>
      </c>
      <c r="H164">
        <f t="shared" si="16"/>
        <v>0</v>
      </c>
      <c r="I164">
        <f t="shared" si="17"/>
        <v>0.23682782785245413</v>
      </c>
      <c r="J164">
        <f t="shared" si="18"/>
        <v>0.71274011342834409</v>
      </c>
      <c r="K164">
        <f t="shared" si="19"/>
        <v>1.0129528380756545</v>
      </c>
      <c r="L164">
        <f t="shared" si="20"/>
        <v>0.22955005007467635</v>
      </c>
    </row>
    <row r="165" spans="1:12" x14ac:dyDescent="0.25">
      <c r="A165" s="1">
        <v>40421</v>
      </c>
      <c r="B165" s="6">
        <v>42.601900000000001</v>
      </c>
      <c r="C165" s="6">
        <v>8.8511000000000006</v>
      </c>
      <c r="D165" s="6">
        <v>7616.28</v>
      </c>
      <c r="E165" s="6">
        <v>0.65500000000000003</v>
      </c>
      <c r="F165" s="6">
        <f t="shared" si="14"/>
        <v>7.277777777777778E-3</v>
      </c>
      <c r="G165">
        <f t="shared" si="15"/>
        <v>-0.8416446518556514</v>
      </c>
      <c r="H165">
        <f t="shared" si="16"/>
        <v>-0.3826631101506896</v>
      </c>
      <c r="I165">
        <f t="shared" si="17"/>
        <v>-1.6137033018136733</v>
      </c>
      <c r="J165">
        <f t="shared" si="18"/>
        <v>-0.59732402738340074</v>
      </c>
      <c r="K165">
        <f t="shared" si="19"/>
        <v>-0.84892242963342923</v>
      </c>
      <c r="L165">
        <f t="shared" si="20"/>
        <v>-1.620981079591451</v>
      </c>
    </row>
    <row r="166" spans="1:12" x14ac:dyDescent="0.25">
      <c r="A166" s="1">
        <v>40422</v>
      </c>
      <c r="B166" s="6">
        <v>42.746600000000001</v>
      </c>
      <c r="C166" s="6">
        <v>8.8170000000000002</v>
      </c>
      <c r="D166" s="6">
        <v>7668.25</v>
      </c>
      <c r="E166" s="6">
        <v>0.65500000000000003</v>
      </c>
      <c r="F166" s="6">
        <f t="shared" si="14"/>
        <v>7.277777777777778E-3</v>
      </c>
      <c r="G166">
        <f t="shared" si="15"/>
        <v>0.33965621251634381</v>
      </c>
      <c r="H166">
        <f t="shared" si="16"/>
        <v>-0.38526284868547933</v>
      </c>
      <c r="I166">
        <f t="shared" si="17"/>
        <v>0.68235411513232513</v>
      </c>
      <c r="J166">
        <f t="shared" si="18"/>
        <v>0.23387016095117322</v>
      </c>
      <c r="K166">
        <f t="shared" si="19"/>
        <v>0.33237843473856604</v>
      </c>
      <c r="L166">
        <f t="shared" si="20"/>
        <v>0.67507633735454731</v>
      </c>
    </row>
    <row r="167" spans="1:12" x14ac:dyDescent="0.25">
      <c r="A167" s="1">
        <v>40423</v>
      </c>
      <c r="B167" s="6">
        <v>43.035899999999998</v>
      </c>
      <c r="C167" s="6">
        <v>8.9871999999999996</v>
      </c>
      <c r="D167" s="6">
        <v>7720.82</v>
      </c>
      <c r="E167" s="6">
        <v>0.65500000000000003</v>
      </c>
      <c r="F167" s="6">
        <f t="shared" si="14"/>
        <v>7.277777777777778E-3</v>
      </c>
      <c r="G167">
        <f t="shared" si="15"/>
        <v>0.67677897189483427</v>
      </c>
      <c r="H167">
        <f t="shared" si="16"/>
        <v>1.9303618010661161</v>
      </c>
      <c r="I167">
        <f t="shared" si="17"/>
        <v>0.68555407035503158</v>
      </c>
      <c r="J167">
        <f t="shared" si="18"/>
        <v>0.47107855281981387</v>
      </c>
      <c r="K167">
        <f t="shared" si="19"/>
        <v>0.66950119411705644</v>
      </c>
      <c r="L167">
        <f t="shared" si="20"/>
        <v>0.67827629257725375</v>
      </c>
    </row>
    <row r="168" spans="1:12" x14ac:dyDescent="0.25">
      <c r="A168" s="1">
        <v>40424</v>
      </c>
      <c r="B168" s="6">
        <v>43.252899999999997</v>
      </c>
      <c r="C168" s="6">
        <v>9.0893999999999995</v>
      </c>
      <c r="D168" s="6">
        <v>7830.21</v>
      </c>
      <c r="E168" s="6">
        <v>0.65500000000000003</v>
      </c>
      <c r="F168" s="6">
        <f t="shared" si="14"/>
        <v>7.277777777777778E-3</v>
      </c>
      <c r="G168">
        <f t="shared" si="15"/>
        <v>0.50423018921411833</v>
      </c>
      <c r="H168">
        <f t="shared" si="16"/>
        <v>1.1371728680790441</v>
      </c>
      <c r="I168">
        <f t="shared" si="17"/>
        <v>1.4168184208413139</v>
      </c>
      <c r="J168">
        <f t="shared" si="18"/>
        <v>0.34966871583923875</v>
      </c>
      <c r="K168">
        <f t="shared" si="19"/>
        <v>0.49695241143634056</v>
      </c>
      <c r="L168">
        <f t="shared" si="20"/>
        <v>1.4095406430635362</v>
      </c>
    </row>
    <row r="169" spans="1:12" x14ac:dyDescent="0.25">
      <c r="A169" s="1">
        <v>40427</v>
      </c>
      <c r="B169" s="6">
        <v>43.7592</v>
      </c>
      <c r="C169" s="6">
        <v>9.0553000000000008</v>
      </c>
      <c r="D169" s="6">
        <v>7890.95</v>
      </c>
      <c r="E169" s="6">
        <v>0.65500000000000003</v>
      </c>
      <c r="F169" s="6">
        <f t="shared" si="14"/>
        <v>7.277777777777778E-3</v>
      </c>
      <c r="G169">
        <f t="shared" si="15"/>
        <v>1.1705573499118049</v>
      </c>
      <c r="H169">
        <f t="shared" si="16"/>
        <v>-0.37516227693795728</v>
      </c>
      <c r="I169">
        <f t="shared" si="17"/>
        <v>0.7757135504667152</v>
      </c>
      <c r="J169">
        <f t="shared" si="18"/>
        <v>0.81851393571963893</v>
      </c>
      <c r="K169">
        <f t="shared" si="19"/>
        <v>1.1632795721340272</v>
      </c>
      <c r="L169">
        <f t="shared" si="20"/>
        <v>0.76843577268893737</v>
      </c>
    </row>
    <row r="170" spans="1:12" x14ac:dyDescent="0.25">
      <c r="A170" s="1">
        <v>40428</v>
      </c>
      <c r="B170" s="6">
        <v>43.542200000000001</v>
      </c>
      <c r="C170" s="6">
        <v>8.9532000000000007</v>
      </c>
      <c r="D170" s="6">
        <v>7884.4</v>
      </c>
      <c r="E170" s="6">
        <v>0.65500000000000003</v>
      </c>
      <c r="F170" s="6">
        <f t="shared" si="14"/>
        <v>7.277777777777778E-3</v>
      </c>
      <c r="G170">
        <f t="shared" si="15"/>
        <v>-0.49589572021426065</v>
      </c>
      <c r="H170">
        <f t="shared" si="16"/>
        <v>-1.1275164820602308</v>
      </c>
      <c r="I170">
        <f t="shared" si="17"/>
        <v>-8.3006482109254043E-2</v>
      </c>
      <c r="J170">
        <f t="shared" si="18"/>
        <v>-0.35404603506940069</v>
      </c>
      <c r="K170">
        <f t="shared" si="19"/>
        <v>-0.50317349799203848</v>
      </c>
      <c r="L170">
        <f t="shared" si="20"/>
        <v>-9.0284259887031815E-2</v>
      </c>
    </row>
    <row r="171" spans="1:12" x14ac:dyDescent="0.25">
      <c r="A171" s="1">
        <v>40429</v>
      </c>
      <c r="B171" s="6">
        <v>42.891199999999998</v>
      </c>
      <c r="C171" s="6">
        <v>9.0213000000000001</v>
      </c>
      <c r="D171" s="6">
        <v>7851.31</v>
      </c>
      <c r="E171" s="6">
        <v>0.65500000000000003</v>
      </c>
      <c r="F171" s="6">
        <f t="shared" si="14"/>
        <v>7.277777777777778E-3</v>
      </c>
      <c r="G171">
        <f t="shared" si="15"/>
        <v>-1.4951013040223124</v>
      </c>
      <c r="H171">
        <f t="shared" si="16"/>
        <v>0.76062190054951728</v>
      </c>
      <c r="I171">
        <f t="shared" si="17"/>
        <v>-0.41968951346962657</v>
      </c>
      <c r="J171">
        <f t="shared" si="18"/>
        <v>-1.0571132207979383</v>
      </c>
      <c r="K171">
        <f t="shared" si="19"/>
        <v>-1.5023790818000902</v>
      </c>
      <c r="L171">
        <f t="shared" si="20"/>
        <v>-0.42696729124740435</v>
      </c>
    </row>
    <row r="172" spans="1:12" x14ac:dyDescent="0.25">
      <c r="A172" s="1">
        <v>40430</v>
      </c>
      <c r="B172" s="6">
        <v>43.035899999999998</v>
      </c>
      <c r="C172" s="6">
        <v>9.0213000000000001</v>
      </c>
      <c r="D172" s="6">
        <v>7835.54</v>
      </c>
      <c r="E172" s="6">
        <v>0.65500000000000003</v>
      </c>
      <c r="F172" s="6">
        <f t="shared" si="14"/>
        <v>7.277777777777778E-3</v>
      </c>
      <c r="G172">
        <f t="shared" si="15"/>
        <v>0.33736524042227839</v>
      </c>
      <c r="H172">
        <f t="shared" si="16"/>
        <v>0</v>
      </c>
      <c r="I172">
        <f t="shared" si="17"/>
        <v>-0.20085820073338634</v>
      </c>
      <c r="J172">
        <f t="shared" si="18"/>
        <v>0.23225817305913335</v>
      </c>
      <c r="K172">
        <f t="shared" si="19"/>
        <v>0.33008746264450062</v>
      </c>
      <c r="L172">
        <f t="shared" si="20"/>
        <v>-0.20813597851116411</v>
      </c>
    </row>
    <row r="173" spans="1:12" x14ac:dyDescent="0.25">
      <c r="A173" s="1">
        <v>40431</v>
      </c>
      <c r="B173" s="6">
        <v>42.891199999999998</v>
      </c>
      <c r="C173" s="6">
        <v>9.1234000000000002</v>
      </c>
      <c r="D173" s="6">
        <v>7890.11</v>
      </c>
      <c r="E173" s="6">
        <v>0.65500000000000003</v>
      </c>
      <c r="F173" s="6">
        <f t="shared" si="14"/>
        <v>7.277777777777778E-3</v>
      </c>
      <c r="G173">
        <f t="shared" si="15"/>
        <v>-0.33623091419024648</v>
      </c>
      <c r="H173">
        <f t="shared" si="16"/>
        <v>1.1317659317393289</v>
      </c>
      <c r="I173">
        <f t="shared" si="17"/>
        <v>0.69644210864853873</v>
      </c>
      <c r="J173">
        <f t="shared" si="18"/>
        <v>-0.2417017010802095</v>
      </c>
      <c r="K173">
        <f t="shared" si="19"/>
        <v>-0.34350869196802425</v>
      </c>
      <c r="L173">
        <f t="shared" si="20"/>
        <v>0.6891643308707609</v>
      </c>
    </row>
    <row r="174" spans="1:12" x14ac:dyDescent="0.25">
      <c r="A174" s="1">
        <v>40434</v>
      </c>
      <c r="B174" s="6">
        <v>44.048499999999997</v>
      </c>
      <c r="C174" s="6">
        <v>9.3277000000000001</v>
      </c>
      <c r="D174" s="6">
        <v>8091.3</v>
      </c>
      <c r="E174" s="6">
        <v>0.65500000000000003</v>
      </c>
      <c r="F174" s="6">
        <f t="shared" si="14"/>
        <v>7.277777777777778E-3</v>
      </c>
      <c r="G174">
        <f t="shared" si="15"/>
        <v>2.6982224792031917</v>
      </c>
      <c r="H174">
        <f t="shared" si="16"/>
        <v>2.2392967534033357</v>
      </c>
      <c r="I174">
        <f t="shared" si="17"/>
        <v>2.5499010786921921</v>
      </c>
      <c r="J174">
        <f t="shared" si="18"/>
        <v>1.8934190809583429</v>
      </c>
      <c r="K174">
        <f t="shared" si="19"/>
        <v>2.6909447014254138</v>
      </c>
      <c r="L174">
        <f t="shared" si="20"/>
        <v>2.5426233009144141</v>
      </c>
    </row>
    <row r="175" spans="1:12" x14ac:dyDescent="0.25">
      <c r="A175" s="1">
        <v>40435</v>
      </c>
      <c r="B175" s="6">
        <v>44.120800000000003</v>
      </c>
      <c r="C175" s="6">
        <v>9.4978999999999996</v>
      </c>
      <c r="D175" s="6">
        <v>8132.6</v>
      </c>
      <c r="E175" s="6">
        <v>0.65500000000000003</v>
      </c>
      <c r="F175" s="6">
        <f t="shared" si="14"/>
        <v>7.277777777777778E-3</v>
      </c>
      <c r="G175">
        <f t="shared" si="15"/>
        <v>0.16413725779539731</v>
      </c>
      <c r="H175">
        <f t="shared" si="16"/>
        <v>1.8246727489091572</v>
      </c>
      <c r="I175">
        <f t="shared" si="17"/>
        <v>0.51042477722986646</v>
      </c>
      <c r="J175">
        <f t="shared" si="18"/>
        <v>0.1103704332300999</v>
      </c>
      <c r="K175">
        <f t="shared" si="19"/>
        <v>0.15685948001761954</v>
      </c>
      <c r="L175">
        <f t="shared" si="20"/>
        <v>0.50314699945208863</v>
      </c>
    </row>
    <row r="176" spans="1:12" x14ac:dyDescent="0.25">
      <c r="A176" s="1">
        <v>40436</v>
      </c>
      <c r="B176" s="6">
        <v>44.265500000000003</v>
      </c>
      <c r="C176" s="6">
        <v>9.4298000000000002</v>
      </c>
      <c r="D176" s="6">
        <v>8163.82</v>
      </c>
      <c r="E176" s="6">
        <v>0.65500000000000003</v>
      </c>
      <c r="F176" s="6">
        <f t="shared" si="14"/>
        <v>7.277777777777778E-3</v>
      </c>
      <c r="G176">
        <f t="shared" si="15"/>
        <v>0.32796322822795659</v>
      </c>
      <c r="H176">
        <f t="shared" si="16"/>
        <v>-0.71700060013265443</v>
      </c>
      <c r="I176">
        <f t="shared" si="17"/>
        <v>0.38388707178515291</v>
      </c>
      <c r="J176">
        <f t="shared" si="18"/>
        <v>0.22564267134380561</v>
      </c>
      <c r="K176">
        <f t="shared" si="19"/>
        <v>0.32068545045017882</v>
      </c>
      <c r="L176">
        <f t="shared" si="20"/>
        <v>0.37660929400737514</v>
      </c>
    </row>
    <row r="177" spans="1:12" x14ac:dyDescent="0.25">
      <c r="A177" s="1">
        <v>40437</v>
      </c>
      <c r="B177" s="6">
        <v>43.7592</v>
      </c>
      <c r="C177" s="6">
        <v>9.3277000000000001</v>
      </c>
      <c r="D177" s="6">
        <v>8099.75</v>
      </c>
      <c r="E177" s="6">
        <v>0.65500000000000003</v>
      </c>
      <c r="F177" s="6">
        <f t="shared" si="14"/>
        <v>7.277777777777778E-3</v>
      </c>
      <c r="G177">
        <f t="shared" si="15"/>
        <v>-1.1437801448080402</v>
      </c>
      <c r="H177">
        <f t="shared" si="16"/>
        <v>-1.0827377038749504</v>
      </c>
      <c r="I177">
        <f t="shared" si="17"/>
        <v>-0.78480417255647128</v>
      </c>
      <c r="J177">
        <f t="shared" si="18"/>
        <v>-0.80991446340677142</v>
      </c>
      <c r="K177">
        <f t="shared" si="19"/>
        <v>-1.151057922585818</v>
      </c>
      <c r="L177">
        <f t="shared" si="20"/>
        <v>-0.79208195033424911</v>
      </c>
    </row>
    <row r="178" spans="1:12" x14ac:dyDescent="0.25">
      <c r="A178" s="1">
        <v>40438</v>
      </c>
      <c r="B178" s="6">
        <v>44.265500000000003</v>
      </c>
      <c r="C178" s="6">
        <v>9.3956999999999997</v>
      </c>
      <c r="D178" s="6">
        <v>8158.33</v>
      </c>
      <c r="E178" s="6">
        <v>0.65500000000000003</v>
      </c>
      <c r="F178" s="6">
        <f t="shared" si="14"/>
        <v>7.277777777777778E-3</v>
      </c>
      <c r="G178">
        <f t="shared" si="15"/>
        <v>1.1570138393754983</v>
      </c>
      <c r="H178">
        <f t="shared" si="16"/>
        <v>0.72901143904713506</v>
      </c>
      <c r="I178">
        <f t="shared" si="17"/>
        <v>0.72323219852464493</v>
      </c>
      <c r="J178">
        <f t="shared" si="18"/>
        <v>0.80898436743864832</v>
      </c>
      <c r="K178">
        <f t="shared" si="19"/>
        <v>1.1497360615977206</v>
      </c>
      <c r="L178">
        <f t="shared" si="20"/>
        <v>0.7159544207468671</v>
      </c>
    </row>
    <row r="179" spans="1:12" x14ac:dyDescent="0.25">
      <c r="A179" s="1">
        <v>40441</v>
      </c>
      <c r="B179" s="6">
        <v>44.844099999999997</v>
      </c>
      <c r="C179" s="6">
        <v>9.3617000000000008</v>
      </c>
      <c r="D179" s="6">
        <v>8186.96</v>
      </c>
      <c r="E179" s="6">
        <v>0.65500000000000003</v>
      </c>
      <c r="F179" s="6">
        <f t="shared" si="14"/>
        <v>7.277777777777778E-3</v>
      </c>
      <c r="G179">
        <f t="shared" si="15"/>
        <v>1.3071127627610541</v>
      </c>
      <c r="H179">
        <f t="shared" si="16"/>
        <v>-0.36186766286704475</v>
      </c>
      <c r="I179">
        <f t="shared" si="17"/>
        <v>0.35092966330119169</v>
      </c>
      <c r="J179">
        <f t="shared" si="18"/>
        <v>0.91459789618153664</v>
      </c>
      <c r="K179">
        <f t="shared" si="19"/>
        <v>1.2998349849832764</v>
      </c>
      <c r="L179">
        <f t="shared" si="20"/>
        <v>0.34365188552341391</v>
      </c>
    </row>
    <row r="180" spans="1:12" x14ac:dyDescent="0.25">
      <c r="A180" s="1">
        <v>40442</v>
      </c>
      <c r="B180" s="6">
        <v>44.699399999999997</v>
      </c>
      <c r="C180" s="6">
        <v>9.4298000000000002</v>
      </c>
      <c r="D180" s="6">
        <v>8196.4</v>
      </c>
      <c r="E180" s="6">
        <v>0.65500000000000003</v>
      </c>
      <c r="F180" s="6">
        <f t="shared" si="14"/>
        <v>7.277777777777778E-3</v>
      </c>
      <c r="G180">
        <f t="shared" si="15"/>
        <v>-0.32267343976130702</v>
      </c>
      <c r="H180">
        <f t="shared" si="16"/>
        <v>0.72743198350726235</v>
      </c>
      <c r="I180">
        <f t="shared" si="17"/>
        <v>0.11530531479327613</v>
      </c>
      <c r="J180">
        <f t="shared" si="18"/>
        <v>-0.23216230743909855</v>
      </c>
      <c r="K180">
        <f t="shared" si="19"/>
        <v>-0.3299512175390848</v>
      </c>
      <c r="L180">
        <f t="shared" si="20"/>
        <v>0.10802753701549836</v>
      </c>
    </row>
    <row r="181" spans="1:12" x14ac:dyDescent="0.25">
      <c r="A181" s="1">
        <v>40444</v>
      </c>
      <c r="B181" s="6">
        <v>43.397500000000001</v>
      </c>
      <c r="C181" s="6">
        <v>9.4298000000000002</v>
      </c>
      <c r="D181" s="6">
        <v>8202.5400000000009</v>
      </c>
      <c r="E181" s="6">
        <v>0.65500000000000003</v>
      </c>
      <c r="F181" s="6">
        <f t="shared" si="14"/>
        <v>7.277777777777778E-3</v>
      </c>
      <c r="G181">
        <f t="shared" si="15"/>
        <v>-2.9125670590656618</v>
      </c>
      <c r="H181">
        <f t="shared" si="16"/>
        <v>0</v>
      </c>
      <c r="I181">
        <f t="shared" si="17"/>
        <v>7.4910936508726239E-2</v>
      </c>
      <c r="J181">
        <f t="shared" si="18"/>
        <v>-2.0544792037489974</v>
      </c>
      <c r="K181">
        <f t="shared" si="19"/>
        <v>-2.9198448368434398</v>
      </c>
      <c r="L181">
        <f t="shared" si="20"/>
        <v>6.7633158730948467E-2</v>
      </c>
    </row>
    <row r="182" spans="1:12" x14ac:dyDescent="0.25">
      <c r="A182" s="1">
        <v>40445</v>
      </c>
      <c r="B182" s="6">
        <v>43.469799999999999</v>
      </c>
      <c r="C182" s="6">
        <v>9.3277000000000001</v>
      </c>
      <c r="D182" s="6">
        <v>8166.62</v>
      </c>
      <c r="E182" s="6">
        <v>0.65500000000000003</v>
      </c>
      <c r="F182" s="6">
        <f t="shared" si="14"/>
        <v>7.277777777777778E-3</v>
      </c>
      <c r="G182">
        <f t="shared" si="15"/>
        <v>0.16659945849414937</v>
      </c>
      <c r="H182">
        <f t="shared" si="16"/>
        <v>-1.0827377038749504</v>
      </c>
      <c r="I182">
        <f t="shared" si="17"/>
        <v>-0.43791313422428879</v>
      </c>
      <c r="J182">
        <f t="shared" si="18"/>
        <v>0.11210290204735081</v>
      </c>
      <c r="K182">
        <f t="shared" si="19"/>
        <v>0.15932168071637159</v>
      </c>
      <c r="L182">
        <f t="shared" si="20"/>
        <v>-0.44519091200206656</v>
      </c>
    </row>
    <row r="183" spans="1:12" x14ac:dyDescent="0.25">
      <c r="A183" s="1">
        <v>40448</v>
      </c>
      <c r="B183" s="6">
        <v>43.903799999999997</v>
      </c>
      <c r="C183" s="6">
        <v>9.3617000000000008</v>
      </c>
      <c r="D183" s="6">
        <v>8191.54</v>
      </c>
      <c r="E183" s="6">
        <v>0.65500000000000003</v>
      </c>
      <c r="F183" s="6">
        <f t="shared" si="14"/>
        <v>7.277777777777778E-3</v>
      </c>
      <c r="G183">
        <f t="shared" si="15"/>
        <v>0.99839428752834725</v>
      </c>
      <c r="H183">
        <f t="shared" si="16"/>
        <v>0.36450571952357702</v>
      </c>
      <c r="I183">
        <f t="shared" si="17"/>
        <v>0.30514460082629136</v>
      </c>
      <c r="J183">
        <f t="shared" si="18"/>
        <v>0.69737550162978634</v>
      </c>
      <c r="K183">
        <f t="shared" si="19"/>
        <v>0.99111650975056942</v>
      </c>
      <c r="L183">
        <f t="shared" si="20"/>
        <v>0.29786682304851358</v>
      </c>
    </row>
    <row r="184" spans="1:12" x14ac:dyDescent="0.25">
      <c r="A184" s="1">
        <v>40449</v>
      </c>
      <c r="B184" s="6">
        <v>44.120800000000003</v>
      </c>
      <c r="C184" s="6">
        <v>9.3617000000000008</v>
      </c>
      <c r="D184" s="6">
        <v>8189.44</v>
      </c>
      <c r="E184" s="6">
        <v>0.65500000000000003</v>
      </c>
      <c r="F184" s="6">
        <f t="shared" si="14"/>
        <v>7.277777777777778E-3</v>
      </c>
      <c r="G184">
        <f t="shared" si="15"/>
        <v>0.49426245564166627</v>
      </c>
      <c r="H184">
        <f t="shared" si="16"/>
        <v>0</v>
      </c>
      <c r="I184">
        <f t="shared" si="17"/>
        <v>-2.5636205158008921E-2</v>
      </c>
      <c r="J184">
        <f t="shared" si="18"/>
        <v>0.34265515776426508</v>
      </c>
      <c r="K184">
        <f t="shared" si="19"/>
        <v>0.48698467786388849</v>
      </c>
      <c r="L184">
        <f t="shared" si="20"/>
        <v>-3.2913982935786699E-2</v>
      </c>
    </row>
    <row r="185" spans="1:12" x14ac:dyDescent="0.25">
      <c r="A185" s="1">
        <v>40450</v>
      </c>
      <c r="B185" s="6">
        <v>44.482500000000002</v>
      </c>
      <c r="C185" s="6">
        <v>9.3617000000000008</v>
      </c>
      <c r="D185" s="6">
        <v>8240.89</v>
      </c>
      <c r="E185" s="6">
        <v>0.65500000000000003</v>
      </c>
      <c r="F185" s="6">
        <f t="shared" si="14"/>
        <v>7.277777777777778E-3</v>
      </c>
      <c r="G185">
        <f t="shared" si="15"/>
        <v>0.81979474533553109</v>
      </c>
      <c r="H185">
        <f t="shared" si="16"/>
        <v>0</v>
      </c>
      <c r="I185">
        <f t="shared" si="17"/>
        <v>0.62824808533916632</v>
      </c>
      <c r="J185">
        <f t="shared" si="18"/>
        <v>0.57170819198229528</v>
      </c>
      <c r="K185">
        <f t="shared" si="19"/>
        <v>0.81251696755775327</v>
      </c>
      <c r="L185">
        <f t="shared" si="20"/>
        <v>0.62097030756138849</v>
      </c>
    </row>
    <row r="186" spans="1:12" x14ac:dyDescent="0.25">
      <c r="A186" s="1">
        <v>40451</v>
      </c>
      <c r="B186" s="6">
        <v>44.844099999999997</v>
      </c>
      <c r="C186" s="6">
        <v>9.4298000000000002</v>
      </c>
      <c r="D186" s="6">
        <v>8237.7800000000007</v>
      </c>
      <c r="E186" s="6">
        <v>0.65500000000000003</v>
      </c>
      <c r="F186" s="6">
        <f t="shared" si="14"/>
        <v>7.277777777777778E-3</v>
      </c>
      <c r="G186">
        <f t="shared" si="15"/>
        <v>0.81290395099195345</v>
      </c>
      <c r="H186">
        <f t="shared" si="16"/>
        <v>0.72743198350726235</v>
      </c>
      <c r="I186">
        <f t="shared" si="17"/>
        <v>-3.7738642306823209E-2</v>
      </c>
      <c r="J186">
        <f t="shared" si="18"/>
        <v>0.5668596488345381</v>
      </c>
      <c r="K186">
        <f t="shared" si="19"/>
        <v>0.80562617321417562</v>
      </c>
      <c r="L186">
        <f t="shared" si="20"/>
        <v>-4.5016420084600987E-2</v>
      </c>
    </row>
    <row r="187" spans="1:12" x14ac:dyDescent="0.25">
      <c r="A187" s="1">
        <v>40452</v>
      </c>
      <c r="B187" s="6">
        <v>44.844099999999997</v>
      </c>
      <c r="C187" s="6">
        <v>9.4298000000000002</v>
      </c>
      <c r="D187" s="6">
        <v>8244.18</v>
      </c>
      <c r="E187" s="6">
        <v>0.65500000000000003</v>
      </c>
      <c r="F187" s="6">
        <f t="shared" si="14"/>
        <v>7.277777777777778E-3</v>
      </c>
      <c r="G187">
        <f t="shared" si="15"/>
        <v>0</v>
      </c>
      <c r="H187">
        <f t="shared" si="16"/>
        <v>0</v>
      </c>
      <c r="I187">
        <f t="shared" si="17"/>
        <v>7.7690834181049218E-2</v>
      </c>
      <c r="J187">
        <f t="shared" si="18"/>
        <v>-5.1208348146729822E-3</v>
      </c>
      <c r="K187">
        <f t="shared" si="19"/>
        <v>-7.277777777777778E-3</v>
      </c>
      <c r="L187">
        <f t="shared" si="20"/>
        <v>7.0413056403271446E-2</v>
      </c>
    </row>
    <row r="188" spans="1:12" x14ac:dyDescent="0.25">
      <c r="A188" s="1">
        <v>40455</v>
      </c>
      <c r="B188" s="6">
        <v>44.771799999999999</v>
      </c>
      <c r="C188" s="6">
        <v>9.3956999999999997</v>
      </c>
      <c r="D188" s="6">
        <v>8246.1</v>
      </c>
      <c r="E188" s="6">
        <v>0.65500000000000003</v>
      </c>
      <c r="F188" s="6">
        <f t="shared" si="14"/>
        <v>7.277777777777778E-3</v>
      </c>
      <c r="G188">
        <f t="shared" si="15"/>
        <v>-0.16122522249303359</v>
      </c>
      <c r="H188">
        <f t="shared" si="16"/>
        <v>-0.36161954654394007</v>
      </c>
      <c r="I188">
        <f t="shared" si="17"/>
        <v>2.3289156714191985E-2</v>
      </c>
      <c r="J188">
        <f t="shared" si="18"/>
        <v>-0.11856311864843656</v>
      </c>
      <c r="K188">
        <f t="shared" si="19"/>
        <v>-0.16850300027081136</v>
      </c>
      <c r="L188">
        <f t="shared" si="20"/>
        <v>1.6011378936414206E-2</v>
      </c>
    </row>
    <row r="189" spans="1:12" x14ac:dyDescent="0.25">
      <c r="A189" s="1">
        <v>40456</v>
      </c>
      <c r="B189" s="6">
        <v>44.193100000000001</v>
      </c>
      <c r="C189" s="6">
        <v>9.3277000000000001</v>
      </c>
      <c r="D189" s="6">
        <v>8200.43</v>
      </c>
      <c r="E189" s="6">
        <v>0.65500000000000003</v>
      </c>
      <c r="F189" s="6">
        <f t="shared" si="14"/>
        <v>7.277777777777778E-3</v>
      </c>
      <c r="G189">
        <f t="shared" si="15"/>
        <v>-1.2925546884422734</v>
      </c>
      <c r="H189">
        <f t="shared" si="16"/>
        <v>-0.72373532573410837</v>
      </c>
      <c r="I189">
        <f t="shared" si="17"/>
        <v>-0.55383757170056236</v>
      </c>
      <c r="J189">
        <f t="shared" si="18"/>
        <v>-0.91459612391384615</v>
      </c>
      <c r="K189">
        <f t="shared" si="19"/>
        <v>-1.2998324662200511</v>
      </c>
      <c r="L189">
        <f t="shared" si="20"/>
        <v>-0.56111534947834019</v>
      </c>
    </row>
    <row r="190" spans="1:12" x14ac:dyDescent="0.25">
      <c r="A190" s="1">
        <v>40457</v>
      </c>
      <c r="B190" s="6">
        <v>44.699399999999997</v>
      </c>
      <c r="C190" s="6">
        <v>9.4638000000000009</v>
      </c>
      <c r="D190" s="6">
        <v>8284.0300000000007</v>
      </c>
      <c r="E190" s="6">
        <v>0.65500000000000003</v>
      </c>
      <c r="F190" s="6">
        <f t="shared" si="14"/>
        <v>7.277777777777778E-3</v>
      </c>
      <c r="G190">
        <f t="shared" si="15"/>
        <v>1.145653959554763</v>
      </c>
      <c r="H190">
        <f t="shared" si="16"/>
        <v>1.4590949537399442</v>
      </c>
      <c r="I190">
        <f t="shared" si="17"/>
        <v>1.0194587357004494</v>
      </c>
      <c r="J190">
        <f t="shared" si="18"/>
        <v>0.80099125884798117</v>
      </c>
      <c r="K190">
        <f t="shared" si="19"/>
        <v>1.1383761817769853</v>
      </c>
      <c r="L190">
        <f t="shared" si="20"/>
        <v>1.0121809579226717</v>
      </c>
    </row>
    <row r="191" spans="1:12" x14ac:dyDescent="0.25">
      <c r="A191" s="1">
        <v>40458</v>
      </c>
      <c r="B191" s="6">
        <v>44.337800000000001</v>
      </c>
      <c r="C191" s="6">
        <v>9.4638000000000009</v>
      </c>
      <c r="D191" s="6">
        <v>8283.92</v>
      </c>
      <c r="E191" s="6">
        <v>0.74</v>
      </c>
      <c r="F191" s="6">
        <f t="shared" si="14"/>
        <v>8.2222222222222228E-3</v>
      </c>
      <c r="G191">
        <f t="shared" si="15"/>
        <v>-0.80895940437678293</v>
      </c>
      <c r="H191">
        <f t="shared" si="16"/>
        <v>0</v>
      </c>
      <c r="I191">
        <f t="shared" si="17"/>
        <v>-1.3278561280026999E-3</v>
      </c>
      <c r="J191">
        <f t="shared" si="18"/>
        <v>-0.57499036810066473</v>
      </c>
      <c r="K191">
        <f t="shared" si="19"/>
        <v>-0.81718162659900517</v>
      </c>
      <c r="L191">
        <f t="shared" si="20"/>
        <v>-9.550078350224922E-3</v>
      </c>
    </row>
    <row r="192" spans="1:12" x14ac:dyDescent="0.25">
      <c r="A192" s="1">
        <v>40459</v>
      </c>
      <c r="B192" s="6">
        <v>44.699399999999997</v>
      </c>
      <c r="C192" s="6">
        <v>9.4978999999999996</v>
      </c>
      <c r="D192" s="6">
        <v>8244.19</v>
      </c>
      <c r="E192" s="6">
        <v>0.74</v>
      </c>
      <c r="F192" s="6">
        <f t="shared" si="14"/>
        <v>8.2222222222222228E-3</v>
      </c>
      <c r="G192">
        <f t="shared" si="15"/>
        <v>0.81555692885076769</v>
      </c>
      <c r="H192">
        <f t="shared" si="16"/>
        <v>0.36032037870621403</v>
      </c>
      <c r="I192">
        <f t="shared" si="17"/>
        <v>-0.47960385904257358</v>
      </c>
      <c r="J192">
        <f t="shared" si="18"/>
        <v>0.56806181763626384</v>
      </c>
      <c r="K192">
        <f t="shared" si="19"/>
        <v>0.80733470662854545</v>
      </c>
      <c r="L192">
        <f t="shared" si="20"/>
        <v>-0.48782608126479582</v>
      </c>
    </row>
    <row r="193" spans="1:12" x14ac:dyDescent="0.25">
      <c r="A193" s="1">
        <v>40462</v>
      </c>
      <c r="B193" s="6">
        <v>44.482500000000002</v>
      </c>
      <c r="C193" s="6">
        <v>9.4638000000000009</v>
      </c>
      <c r="D193" s="6">
        <v>8176.76</v>
      </c>
      <c r="E193" s="6">
        <v>0.74</v>
      </c>
      <c r="F193" s="6">
        <f t="shared" si="14"/>
        <v>8.2222222222222228E-3</v>
      </c>
      <c r="G193">
        <f t="shared" si="15"/>
        <v>-0.48524141263640103</v>
      </c>
      <c r="H193">
        <f t="shared" si="16"/>
        <v>-0.35902673222500436</v>
      </c>
      <c r="I193">
        <f t="shared" si="17"/>
        <v>-0.81790933978960079</v>
      </c>
      <c r="J193">
        <f t="shared" si="18"/>
        <v>-0.34721392138064161</v>
      </c>
      <c r="K193">
        <f t="shared" si="19"/>
        <v>-0.49346363485862327</v>
      </c>
      <c r="L193">
        <f t="shared" si="20"/>
        <v>-0.82613156201182303</v>
      </c>
    </row>
    <row r="194" spans="1:12" x14ac:dyDescent="0.25">
      <c r="A194" s="1">
        <v>40463</v>
      </c>
      <c r="B194" s="6">
        <v>44.120800000000003</v>
      </c>
      <c r="C194" s="6">
        <v>9.2596000000000007</v>
      </c>
      <c r="D194" s="6">
        <v>8090.22</v>
      </c>
      <c r="E194" s="6">
        <v>0.74</v>
      </c>
      <c r="F194" s="6">
        <f t="shared" si="14"/>
        <v>8.2222222222222228E-3</v>
      </c>
      <c r="G194">
        <f t="shared" si="15"/>
        <v>-0.81312875850053168</v>
      </c>
      <c r="H194">
        <f t="shared" si="16"/>
        <v>-2.1576956402290848</v>
      </c>
      <c r="I194">
        <f t="shared" si="17"/>
        <v>-1.058365416130594</v>
      </c>
      <c r="J194">
        <f t="shared" si="18"/>
        <v>-0.57792403472302101</v>
      </c>
      <c r="K194">
        <f t="shared" si="19"/>
        <v>-0.82135098072275392</v>
      </c>
      <c r="L194">
        <f t="shared" si="20"/>
        <v>-1.0665876383528161</v>
      </c>
    </row>
    <row r="195" spans="1:12" x14ac:dyDescent="0.25">
      <c r="A195" s="1">
        <v>40464</v>
      </c>
      <c r="B195" s="6">
        <v>44.120800000000003</v>
      </c>
      <c r="C195" s="6">
        <v>9.1914999999999996</v>
      </c>
      <c r="D195" s="6">
        <v>8106.66</v>
      </c>
      <c r="E195" s="6">
        <v>0.74</v>
      </c>
      <c r="F195" s="6">
        <f t="shared" ref="F195:F258" si="21">E195/90</f>
        <v>8.2222222222222228E-3</v>
      </c>
      <c r="G195">
        <f t="shared" si="15"/>
        <v>0</v>
      </c>
      <c r="H195">
        <f t="shared" si="16"/>
        <v>-0.7354529353319923</v>
      </c>
      <c r="I195">
        <f t="shared" si="17"/>
        <v>0.20320831819158935</v>
      </c>
      <c r="J195">
        <f t="shared" si="18"/>
        <v>-5.785370630317567E-3</v>
      </c>
      <c r="K195">
        <f t="shared" si="19"/>
        <v>-8.2222222222222228E-3</v>
      </c>
      <c r="L195">
        <f t="shared" si="20"/>
        <v>0.19498609596936714</v>
      </c>
    </row>
    <row r="196" spans="1:12" x14ac:dyDescent="0.25">
      <c r="A196" s="1">
        <v>40465</v>
      </c>
      <c r="B196" s="6">
        <v>44.699399999999997</v>
      </c>
      <c r="C196" s="6">
        <v>9.3277000000000001</v>
      </c>
      <c r="D196" s="6">
        <v>8215.4500000000007</v>
      </c>
      <c r="E196" s="6">
        <v>0.74</v>
      </c>
      <c r="F196" s="6">
        <f t="shared" si="21"/>
        <v>8.2222222222222228E-3</v>
      </c>
      <c r="G196">
        <f t="shared" ref="G196:G259" si="22">100*(B196-B195)/B195</f>
        <v>1.3113996119743849</v>
      </c>
      <c r="H196">
        <f t="shared" ref="H196:H259" si="23">100*(C196-C195)/C195</f>
        <v>1.4818038405048202</v>
      </c>
      <c r="I196">
        <f t="shared" ref="I196:I259" si="24">100*(D196-D195)/D195</f>
        <v>1.341983011499198</v>
      </c>
      <c r="J196">
        <f t="shared" ref="J196:J259" si="25">(G196-F196)/$N$3</f>
        <v>0.91694969960668438</v>
      </c>
      <c r="K196">
        <f t="shared" ref="K196:K259" si="26">G196-F196</f>
        <v>1.3031773897521628</v>
      </c>
      <c r="L196">
        <f t="shared" ref="L196:L259" si="27">I196-F196</f>
        <v>1.3337607892769758</v>
      </c>
    </row>
    <row r="197" spans="1:12" x14ac:dyDescent="0.25">
      <c r="A197" s="1">
        <v>40466</v>
      </c>
      <c r="B197" s="6">
        <v>44.771799999999999</v>
      </c>
      <c r="C197" s="6">
        <v>9.2935999999999996</v>
      </c>
      <c r="D197" s="6">
        <v>8205.2999999999993</v>
      </c>
      <c r="E197" s="6">
        <v>0.74</v>
      </c>
      <c r="F197" s="6">
        <f t="shared" si="21"/>
        <v>8.2222222222222228E-3</v>
      </c>
      <c r="G197">
        <f t="shared" si="22"/>
        <v>0.16197085419491491</v>
      </c>
      <c r="H197">
        <f t="shared" si="23"/>
        <v>-0.36557779516923211</v>
      </c>
      <c r="I197">
        <f t="shared" si="24"/>
        <v>-0.12354770584692809</v>
      </c>
      <c r="J197">
        <f t="shared" si="25"/>
        <v>0.1081815591729309</v>
      </c>
      <c r="K197">
        <f t="shared" si="26"/>
        <v>0.1537486319726927</v>
      </c>
      <c r="L197">
        <f t="shared" si="27"/>
        <v>-0.1317699280691503</v>
      </c>
    </row>
    <row r="198" spans="1:12" x14ac:dyDescent="0.25">
      <c r="A198" s="1">
        <v>40469</v>
      </c>
      <c r="B198" s="6">
        <v>43.7592</v>
      </c>
      <c r="C198" s="6">
        <v>9.0893999999999995</v>
      </c>
      <c r="D198" s="6">
        <v>8060.54</v>
      </c>
      <c r="E198" s="6">
        <v>0.74</v>
      </c>
      <c r="F198" s="6">
        <f t="shared" si="21"/>
        <v>8.2222222222222228E-3</v>
      </c>
      <c r="G198">
        <f t="shared" si="22"/>
        <v>-2.2616915111744427</v>
      </c>
      <c r="H198">
        <f t="shared" si="23"/>
        <v>-2.1972109839029028</v>
      </c>
      <c r="I198">
        <f t="shared" si="24"/>
        <v>-1.7642255615272973</v>
      </c>
      <c r="J198">
        <f t="shared" si="25"/>
        <v>-1.5971706786341633</v>
      </c>
      <c r="K198">
        <f t="shared" si="26"/>
        <v>-2.269913733396665</v>
      </c>
      <c r="L198">
        <f t="shared" si="27"/>
        <v>-1.7724477837495194</v>
      </c>
    </row>
    <row r="199" spans="1:12" x14ac:dyDescent="0.25">
      <c r="A199" s="1">
        <v>40470</v>
      </c>
      <c r="B199" s="6">
        <v>43.903799999999997</v>
      </c>
      <c r="C199" s="6">
        <v>9.0893999999999995</v>
      </c>
      <c r="D199" s="6">
        <v>8046.23</v>
      </c>
      <c r="E199" s="6">
        <v>0.74</v>
      </c>
      <c r="F199" s="6">
        <f t="shared" si="21"/>
        <v>8.2222222222222228E-3</v>
      </c>
      <c r="G199">
        <f t="shared" si="22"/>
        <v>0.33044479789392162</v>
      </c>
      <c r="H199">
        <f t="shared" si="23"/>
        <v>0</v>
      </c>
      <c r="I199">
        <f t="shared" si="24"/>
        <v>-0.17753153014562797</v>
      </c>
      <c r="J199">
        <f t="shared" si="25"/>
        <v>0.22672423285739141</v>
      </c>
      <c r="K199">
        <f t="shared" si="26"/>
        <v>0.32222257567169937</v>
      </c>
      <c r="L199">
        <f t="shared" si="27"/>
        <v>-0.18575375236785019</v>
      </c>
    </row>
    <row r="200" spans="1:12" x14ac:dyDescent="0.25">
      <c r="A200" s="1">
        <v>40471</v>
      </c>
      <c r="B200" s="6">
        <v>44.120800000000003</v>
      </c>
      <c r="C200" s="6">
        <v>9.2255000000000003</v>
      </c>
      <c r="D200" s="6">
        <v>8124.62</v>
      </c>
      <c r="E200" s="6">
        <v>0.74</v>
      </c>
      <c r="F200" s="6">
        <f t="shared" si="21"/>
        <v>8.2222222222222228E-3</v>
      </c>
      <c r="G200">
        <f t="shared" si="22"/>
        <v>0.49426245564166627</v>
      </c>
      <c r="H200">
        <f t="shared" si="23"/>
        <v>1.4973485598609455</v>
      </c>
      <c r="I200">
        <f t="shared" si="24"/>
        <v>0.97424508123680698</v>
      </c>
      <c r="J200">
        <f t="shared" si="25"/>
        <v>0.34199062194862051</v>
      </c>
      <c r="K200">
        <f t="shared" si="26"/>
        <v>0.48604023341944402</v>
      </c>
      <c r="L200">
        <f t="shared" si="27"/>
        <v>0.96602285901458473</v>
      </c>
    </row>
    <row r="201" spans="1:12" x14ac:dyDescent="0.25">
      <c r="A201" s="1">
        <v>40472</v>
      </c>
      <c r="B201" s="6">
        <v>44.120800000000003</v>
      </c>
      <c r="C201" s="6">
        <v>9.0553000000000008</v>
      </c>
      <c r="D201" s="6">
        <v>8131.23</v>
      </c>
      <c r="E201" s="6">
        <v>0.74</v>
      </c>
      <c r="F201" s="6">
        <f t="shared" si="21"/>
        <v>8.2222222222222228E-3</v>
      </c>
      <c r="G201">
        <f t="shared" si="22"/>
        <v>0</v>
      </c>
      <c r="H201">
        <f t="shared" si="23"/>
        <v>-1.8448864560186382</v>
      </c>
      <c r="I201">
        <f t="shared" si="24"/>
        <v>8.1357651188605412E-2</v>
      </c>
      <c r="J201">
        <f t="shared" si="25"/>
        <v>-5.785370630317567E-3</v>
      </c>
      <c r="K201">
        <f t="shared" si="26"/>
        <v>-8.2222222222222228E-3</v>
      </c>
      <c r="L201">
        <f t="shared" si="27"/>
        <v>7.3135428966383184E-2</v>
      </c>
    </row>
    <row r="202" spans="1:12" x14ac:dyDescent="0.25">
      <c r="A202" s="1">
        <v>40473</v>
      </c>
      <c r="B202" s="6">
        <v>44.699399999999997</v>
      </c>
      <c r="C202" s="6">
        <v>9.1234000000000002</v>
      </c>
      <c r="D202" s="6">
        <v>8168.06</v>
      </c>
      <c r="E202" s="6">
        <v>0.74</v>
      </c>
      <c r="F202" s="6">
        <f t="shared" si="21"/>
        <v>8.2222222222222228E-3</v>
      </c>
      <c r="G202">
        <f t="shared" si="22"/>
        <v>1.3113996119743849</v>
      </c>
      <c r="H202">
        <f t="shared" si="23"/>
        <v>0.75204576325466166</v>
      </c>
      <c r="I202">
        <f t="shared" si="24"/>
        <v>0.45294500340047988</v>
      </c>
      <c r="J202">
        <f t="shared" si="25"/>
        <v>0.91694969960668438</v>
      </c>
      <c r="K202">
        <f t="shared" si="26"/>
        <v>1.3031773897521628</v>
      </c>
      <c r="L202">
        <f t="shared" si="27"/>
        <v>0.44472278117825764</v>
      </c>
    </row>
    <row r="203" spans="1:12" x14ac:dyDescent="0.25">
      <c r="A203" s="1">
        <v>40476</v>
      </c>
      <c r="B203" s="6">
        <v>44.844099999999997</v>
      </c>
      <c r="C203" s="6">
        <v>9.4298000000000002</v>
      </c>
      <c r="D203" s="6">
        <v>8306.98</v>
      </c>
      <c r="E203" s="6">
        <v>0.74</v>
      </c>
      <c r="F203" s="6">
        <f t="shared" si="21"/>
        <v>8.2222222222222228E-3</v>
      </c>
      <c r="G203">
        <f t="shared" si="22"/>
        <v>0.32371799174038196</v>
      </c>
      <c r="H203">
        <f t="shared" si="23"/>
        <v>3.3583970888046122</v>
      </c>
      <c r="I203">
        <f t="shared" si="24"/>
        <v>1.7007710521225254</v>
      </c>
      <c r="J203">
        <f t="shared" si="25"/>
        <v>0.22199107608970559</v>
      </c>
      <c r="K203">
        <f t="shared" si="26"/>
        <v>0.31549576951815972</v>
      </c>
      <c r="L203">
        <f t="shared" si="27"/>
        <v>1.6925488299003033</v>
      </c>
    </row>
    <row r="204" spans="1:12" x14ac:dyDescent="0.25">
      <c r="A204" s="1">
        <v>40477</v>
      </c>
      <c r="B204" s="6">
        <v>45.061100000000003</v>
      </c>
      <c r="C204" s="6">
        <v>9.4298000000000002</v>
      </c>
      <c r="D204" s="6">
        <v>8343.23</v>
      </c>
      <c r="E204" s="6">
        <v>0.74</v>
      </c>
      <c r="F204" s="6">
        <f t="shared" si="21"/>
        <v>8.2222222222222228E-3</v>
      </c>
      <c r="G204">
        <f t="shared" si="22"/>
        <v>0.48389866225435646</v>
      </c>
      <c r="H204">
        <f t="shared" si="23"/>
        <v>0</v>
      </c>
      <c r="I204">
        <f t="shared" si="24"/>
        <v>0.43638000813773481</v>
      </c>
      <c r="J204">
        <f t="shared" si="25"/>
        <v>0.33469838582788275</v>
      </c>
      <c r="K204">
        <f t="shared" si="26"/>
        <v>0.47567644003213422</v>
      </c>
      <c r="L204">
        <f t="shared" si="27"/>
        <v>0.42815778591551257</v>
      </c>
    </row>
    <row r="205" spans="1:12" x14ac:dyDescent="0.25">
      <c r="A205" s="1">
        <v>40478</v>
      </c>
      <c r="B205" s="6">
        <v>44.844099999999997</v>
      </c>
      <c r="C205" s="6">
        <v>9.3956999999999997</v>
      </c>
      <c r="D205" s="6">
        <v>8291.0400000000009</v>
      </c>
      <c r="E205" s="6">
        <v>0.74</v>
      </c>
      <c r="F205" s="6">
        <f t="shared" si="21"/>
        <v>8.2222222222222228E-3</v>
      </c>
      <c r="G205">
        <f t="shared" si="22"/>
        <v>-0.4815683594053537</v>
      </c>
      <c r="H205">
        <f t="shared" si="23"/>
        <v>-0.36161954654394007</v>
      </c>
      <c r="I205">
        <f t="shared" si="24"/>
        <v>-0.62553711212562391</v>
      </c>
      <c r="J205">
        <f t="shared" si="25"/>
        <v>-0.34462946504850039</v>
      </c>
      <c r="K205">
        <f t="shared" si="26"/>
        <v>-0.48979058162757594</v>
      </c>
      <c r="L205">
        <f t="shared" si="27"/>
        <v>-0.63375933434784615</v>
      </c>
    </row>
    <row r="206" spans="1:12" x14ac:dyDescent="0.25">
      <c r="A206" s="1">
        <v>40479</v>
      </c>
      <c r="B206" s="6">
        <v>45.3504</v>
      </c>
      <c r="C206" s="6">
        <v>9.8383000000000003</v>
      </c>
      <c r="D206" s="6">
        <v>8354.0499999999993</v>
      </c>
      <c r="E206" s="6">
        <v>0.74</v>
      </c>
      <c r="F206" s="6">
        <f t="shared" si="21"/>
        <v>8.2222222222222228E-3</v>
      </c>
      <c r="G206">
        <f t="shared" si="22"/>
        <v>1.1290225470017308</v>
      </c>
      <c r="H206">
        <f t="shared" si="23"/>
        <v>4.710665517204685</v>
      </c>
      <c r="I206">
        <f t="shared" si="24"/>
        <v>0.75997703545029804</v>
      </c>
      <c r="J206">
        <f t="shared" si="25"/>
        <v>0.78862442611983563</v>
      </c>
      <c r="K206">
        <f t="shared" si="26"/>
        <v>1.1208003247795086</v>
      </c>
      <c r="L206">
        <f t="shared" si="27"/>
        <v>0.7517548132280758</v>
      </c>
    </row>
    <row r="207" spans="1:12" x14ac:dyDescent="0.25">
      <c r="A207" s="1">
        <v>40480</v>
      </c>
      <c r="B207" s="6">
        <v>45.422699999999999</v>
      </c>
      <c r="C207" s="6">
        <v>9.9063999999999997</v>
      </c>
      <c r="D207" s="6">
        <v>8287.09</v>
      </c>
      <c r="E207" s="6">
        <v>0.74</v>
      </c>
      <c r="F207" s="6">
        <f t="shared" si="21"/>
        <v>8.2222222222222228E-3</v>
      </c>
      <c r="G207">
        <f t="shared" si="22"/>
        <v>0.15942527519051314</v>
      </c>
      <c r="H207">
        <f t="shared" si="23"/>
        <v>0.69219275687872273</v>
      </c>
      <c r="I207">
        <f t="shared" si="24"/>
        <v>-0.80152740287643875</v>
      </c>
      <c r="J207">
        <f t="shared" si="25"/>
        <v>0.10639042319883669</v>
      </c>
      <c r="K207">
        <f t="shared" si="26"/>
        <v>0.15120305296829092</v>
      </c>
      <c r="L207">
        <f t="shared" si="27"/>
        <v>-0.809749625098661</v>
      </c>
    </row>
    <row r="208" spans="1:12" x14ac:dyDescent="0.25">
      <c r="A208" s="1">
        <v>40483</v>
      </c>
      <c r="B208" s="6">
        <v>45.929000000000002</v>
      </c>
      <c r="C208" s="6">
        <v>9.8042999999999996</v>
      </c>
      <c r="D208" s="6">
        <v>8379.75</v>
      </c>
      <c r="E208" s="6">
        <v>0.74</v>
      </c>
      <c r="F208" s="6">
        <f t="shared" si="21"/>
        <v>8.2222222222222228E-3</v>
      </c>
      <c r="G208">
        <f t="shared" si="22"/>
        <v>1.114640917426756</v>
      </c>
      <c r="H208">
        <f t="shared" si="23"/>
        <v>-1.03064685455867</v>
      </c>
      <c r="I208">
        <f t="shared" si="24"/>
        <v>1.1181246975717634</v>
      </c>
      <c r="J208">
        <f t="shared" si="25"/>
        <v>0.77850513535993715</v>
      </c>
      <c r="K208">
        <f t="shared" si="26"/>
        <v>1.1064186952045338</v>
      </c>
      <c r="L208">
        <f t="shared" si="27"/>
        <v>1.1099024753495412</v>
      </c>
    </row>
    <row r="209" spans="1:12" x14ac:dyDescent="0.25">
      <c r="A209" s="1">
        <v>40484</v>
      </c>
      <c r="B209" s="6">
        <v>45.784399999999998</v>
      </c>
      <c r="C209" s="6">
        <v>9.8383000000000003</v>
      </c>
      <c r="D209" s="6">
        <v>8344.76</v>
      </c>
      <c r="E209" s="6">
        <v>0.74</v>
      </c>
      <c r="F209" s="6">
        <f t="shared" si="21"/>
        <v>8.2222222222222228E-3</v>
      </c>
      <c r="G209">
        <f t="shared" si="22"/>
        <v>-0.31483376515927641</v>
      </c>
      <c r="H209">
        <f t="shared" si="23"/>
        <v>0.3467866140367053</v>
      </c>
      <c r="I209">
        <f t="shared" si="24"/>
        <v>-0.41755422297800987</v>
      </c>
      <c r="J209">
        <f t="shared" si="25"/>
        <v>-0.22731064313657409</v>
      </c>
      <c r="K209">
        <f t="shared" si="26"/>
        <v>-0.32305598738149865</v>
      </c>
      <c r="L209">
        <f t="shared" si="27"/>
        <v>-0.42577644520023211</v>
      </c>
    </row>
    <row r="210" spans="1:12" x14ac:dyDescent="0.25">
      <c r="A210" s="1">
        <v>40485</v>
      </c>
      <c r="B210" s="6">
        <v>46.218400000000003</v>
      </c>
      <c r="C210" s="6">
        <v>9.8042999999999996</v>
      </c>
      <c r="D210" s="6">
        <v>8293.9</v>
      </c>
      <c r="E210" s="6">
        <v>0.74</v>
      </c>
      <c r="F210" s="6">
        <f t="shared" si="21"/>
        <v>8.2222222222222228E-3</v>
      </c>
      <c r="G210">
        <f t="shared" si="22"/>
        <v>0.94792112597304889</v>
      </c>
      <c r="H210">
        <f t="shared" si="23"/>
        <v>-0.34558816055620073</v>
      </c>
      <c r="I210">
        <f t="shared" si="24"/>
        <v>-0.60948427516190495</v>
      </c>
      <c r="J210">
        <f t="shared" si="25"/>
        <v>0.66119672907992999</v>
      </c>
      <c r="K210">
        <f t="shared" si="26"/>
        <v>0.93969890375082665</v>
      </c>
      <c r="L210">
        <f t="shared" si="27"/>
        <v>-0.6177064973841272</v>
      </c>
    </row>
    <row r="211" spans="1:12" x14ac:dyDescent="0.25">
      <c r="A211" s="1">
        <v>40486</v>
      </c>
      <c r="B211" s="6">
        <v>46.218400000000003</v>
      </c>
      <c r="C211" s="6">
        <v>10.1106</v>
      </c>
      <c r="D211" s="6">
        <v>8357.85</v>
      </c>
      <c r="E211" s="6">
        <v>0.74</v>
      </c>
      <c r="F211" s="6">
        <f t="shared" si="21"/>
        <v>8.2222222222222228E-3</v>
      </c>
      <c r="G211">
        <f t="shared" si="22"/>
        <v>0</v>
      </c>
      <c r="H211">
        <f t="shared" si="23"/>
        <v>3.1241394082188454</v>
      </c>
      <c r="I211">
        <f t="shared" si="24"/>
        <v>0.7710486019845999</v>
      </c>
      <c r="J211">
        <f t="shared" si="25"/>
        <v>-5.785370630317567E-3</v>
      </c>
      <c r="K211">
        <f t="shared" si="26"/>
        <v>-8.2222222222222228E-3</v>
      </c>
      <c r="L211">
        <f t="shared" si="27"/>
        <v>0.76282637976237766</v>
      </c>
    </row>
    <row r="212" spans="1:12" x14ac:dyDescent="0.25">
      <c r="A212" s="1">
        <v>40487</v>
      </c>
      <c r="B212" s="6">
        <v>46.435299999999998</v>
      </c>
      <c r="C212" s="6">
        <v>10.485099999999999</v>
      </c>
      <c r="D212" s="6">
        <v>8449.34</v>
      </c>
      <c r="E212" s="6">
        <v>0.74</v>
      </c>
      <c r="F212" s="6">
        <f t="shared" si="21"/>
        <v>8.2222222222222228E-3</v>
      </c>
      <c r="G212">
        <f t="shared" si="22"/>
        <v>0.46929361466427966</v>
      </c>
      <c r="H212">
        <f t="shared" si="23"/>
        <v>3.7040333906988647</v>
      </c>
      <c r="I212">
        <f t="shared" si="24"/>
        <v>1.0946595117165272</v>
      </c>
      <c r="J212">
        <f t="shared" si="25"/>
        <v>0.32442189230844781</v>
      </c>
      <c r="K212">
        <f t="shared" si="26"/>
        <v>0.46107139244205742</v>
      </c>
      <c r="L212">
        <f t="shared" si="27"/>
        <v>1.0864372894943051</v>
      </c>
    </row>
    <row r="213" spans="1:12" x14ac:dyDescent="0.25">
      <c r="A213" s="1">
        <v>40490</v>
      </c>
      <c r="B213" s="6">
        <v>45.784399999999998</v>
      </c>
      <c r="C213" s="6">
        <v>10.3149</v>
      </c>
      <c r="D213" s="6">
        <v>8430.58</v>
      </c>
      <c r="E213" s="6">
        <v>0.74</v>
      </c>
      <c r="F213" s="6">
        <f t="shared" si="21"/>
        <v>8.2222222222222228E-3</v>
      </c>
      <c r="G213">
        <f t="shared" si="22"/>
        <v>-1.4017353177431826</v>
      </c>
      <c r="H213">
        <f t="shared" si="23"/>
        <v>-1.6232558583132204</v>
      </c>
      <c r="I213">
        <f t="shared" si="24"/>
        <v>-0.22202917624335414</v>
      </c>
      <c r="J213">
        <f t="shared" si="25"/>
        <v>-0.99208300642426939</v>
      </c>
      <c r="K213">
        <f t="shared" si="26"/>
        <v>-1.4099575399654047</v>
      </c>
      <c r="L213">
        <f t="shared" si="27"/>
        <v>-0.23025139846557635</v>
      </c>
    </row>
    <row r="214" spans="1:12" x14ac:dyDescent="0.25">
      <c r="A214" s="1">
        <v>40491</v>
      </c>
      <c r="B214" s="6">
        <v>46.290700000000001</v>
      </c>
      <c r="C214" s="6">
        <v>10.3489</v>
      </c>
      <c r="D214" s="6">
        <v>8445.6299999999992</v>
      </c>
      <c r="E214" s="6">
        <v>0.74</v>
      </c>
      <c r="F214" s="6">
        <f t="shared" si="21"/>
        <v>8.2222222222222228E-3</v>
      </c>
      <c r="G214">
        <f t="shared" si="22"/>
        <v>1.1058351752998905</v>
      </c>
      <c r="H214">
        <f t="shared" si="23"/>
        <v>0.32962025807327938</v>
      </c>
      <c r="I214">
        <f t="shared" si="24"/>
        <v>0.17851678057736564</v>
      </c>
      <c r="J214">
        <f t="shared" si="25"/>
        <v>0.77230918486114986</v>
      </c>
      <c r="K214">
        <f t="shared" si="26"/>
        <v>1.0976129530776684</v>
      </c>
      <c r="L214">
        <f t="shared" si="27"/>
        <v>0.17029455835514343</v>
      </c>
    </row>
    <row r="215" spans="1:12" x14ac:dyDescent="0.25">
      <c r="A215" s="1">
        <v>40492</v>
      </c>
      <c r="B215" s="6">
        <v>46.435299999999998</v>
      </c>
      <c r="C215" s="6">
        <v>10.3489</v>
      </c>
      <c r="D215" s="6">
        <v>8450.6299999999992</v>
      </c>
      <c r="E215" s="6">
        <v>0.74</v>
      </c>
      <c r="F215" s="6">
        <f t="shared" si="21"/>
        <v>8.2222222222222228E-3</v>
      </c>
      <c r="G215">
        <f t="shared" si="22"/>
        <v>0.31237375974007081</v>
      </c>
      <c r="H215">
        <f t="shared" si="23"/>
        <v>0</v>
      </c>
      <c r="I215">
        <f t="shared" si="24"/>
        <v>5.9202214636445129E-2</v>
      </c>
      <c r="J215">
        <f t="shared" si="25"/>
        <v>0.21400897771480046</v>
      </c>
      <c r="K215">
        <f t="shared" si="26"/>
        <v>0.30415153751784857</v>
      </c>
      <c r="L215">
        <f t="shared" si="27"/>
        <v>5.0979992414222908E-2</v>
      </c>
    </row>
    <row r="216" spans="1:12" x14ac:dyDescent="0.25">
      <c r="A216" s="1">
        <v>40493</v>
      </c>
      <c r="B216" s="6">
        <v>46.073700000000002</v>
      </c>
      <c r="C216" s="6">
        <v>10.2468</v>
      </c>
      <c r="D216" s="6">
        <v>8436.9500000000007</v>
      </c>
      <c r="E216" s="6">
        <v>0.74</v>
      </c>
      <c r="F216" s="6">
        <f t="shared" si="21"/>
        <v>8.2222222222222228E-3</v>
      </c>
      <c r="G216">
        <f t="shared" si="22"/>
        <v>-0.77871791503445809</v>
      </c>
      <c r="H216">
        <f t="shared" si="23"/>
        <v>-0.98657828368232448</v>
      </c>
      <c r="I216">
        <f t="shared" si="24"/>
        <v>-0.1618814218584706</v>
      </c>
      <c r="J216">
        <f t="shared" si="25"/>
        <v>-0.55371166515034942</v>
      </c>
      <c r="K216">
        <f t="shared" si="26"/>
        <v>-0.78694013725668033</v>
      </c>
      <c r="L216">
        <f t="shared" si="27"/>
        <v>-0.17010364408069281</v>
      </c>
    </row>
    <row r="217" spans="1:12" x14ac:dyDescent="0.25">
      <c r="A217" s="1">
        <v>40494</v>
      </c>
      <c r="B217" s="6">
        <v>45.567399999999999</v>
      </c>
      <c r="C217" s="6">
        <v>9.9404000000000003</v>
      </c>
      <c r="D217" s="6">
        <v>8316.0499999999993</v>
      </c>
      <c r="E217" s="6">
        <v>0.74</v>
      </c>
      <c r="F217" s="6">
        <f t="shared" si="21"/>
        <v>8.2222222222222228E-3</v>
      </c>
      <c r="G217">
        <f t="shared" si="22"/>
        <v>-1.0988915585247181</v>
      </c>
      <c r="H217">
        <f t="shared" si="23"/>
        <v>-2.990201819104501</v>
      </c>
      <c r="I217">
        <f t="shared" si="24"/>
        <v>-1.432982298105375</v>
      </c>
      <c r="J217">
        <f t="shared" si="25"/>
        <v>-0.77899421572944205</v>
      </c>
      <c r="K217">
        <f t="shared" si="26"/>
        <v>-1.1071137807469402</v>
      </c>
      <c r="L217">
        <f t="shared" si="27"/>
        <v>-1.4412045203275972</v>
      </c>
    </row>
    <row r="218" spans="1:12" x14ac:dyDescent="0.25">
      <c r="A218" s="1">
        <v>40497</v>
      </c>
      <c r="B218" s="6">
        <v>46.218400000000003</v>
      </c>
      <c r="C218" s="6">
        <v>10.1106</v>
      </c>
      <c r="D218" s="6">
        <v>8240.65</v>
      </c>
      <c r="E218" s="6">
        <v>0.74</v>
      </c>
      <c r="F218" s="6">
        <f t="shared" si="21"/>
        <v>8.2222222222222228E-3</v>
      </c>
      <c r="G218">
        <f t="shared" si="22"/>
        <v>1.4286529404793853</v>
      </c>
      <c r="H218">
        <f t="shared" si="23"/>
        <v>1.7122047402518958</v>
      </c>
      <c r="I218">
        <f t="shared" si="24"/>
        <v>-0.9066804552642137</v>
      </c>
      <c r="J218">
        <f t="shared" si="25"/>
        <v>0.99945220862503925</v>
      </c>
      <c r="K218">
        <f t="shared" si="26"/>
        <v>1.4204307182571632</v>
      </c>
      <c r="L218">
        <f t="shared" si="27"/>
        <v>-0.91490267748643594</v>
      </c>
    </row>
    <row r="219" spans="1:12" x14ac:dyDescent="0.25">
      <c r="A219" s="1">
        <v>40498</v>
      </c>
      <c r="B219" s="6">
        <v>46.652299999999997</v>
      </c>
      <c r="C219" s="6">
        <v>10.178699999999999</v>
      </c>
      <c r="D219" s="6">
        <v>8312.2099999999991</v>
      </c>
      <c r="E219" s="6">
        <v>0.74</v>
      </c>
      <c r="F219" s="6">
        <f t="shared" si="21"/>
        <v>8.2222222222222228E-3</v>
      </c>
      <c r="G219">
        <f t="shared" si="22"/>
        <v>0.93880359337405483</v>
      </c>
      <c r="H219">
        <f t="shared" si="23"/>
        <v>0.67355053112574315</v>
      </c>
      <c r="I219">
        <f t="shared" si="24"/>
        <v>0.86837810124200754</v>
      </c>
      <c r="J219">
        <f t="shared" si="25"/>
        <v>0.65478139464921858</v>
      </c>
      <c r="K219">
        <f t="shared" si="26"/>
        <v>0.93058137115183259</v>
      </c>
      <c r="L219">
        <f t="shared" si="27"/>
        <v>0.8601558790197853</v>
      </c>
    </row>
    <row r="220" spans="1:12" x14ac:dyDescent="0.25">
      <c r="A220" s="1">
        <v>40499</v>
      </c>
      <c r="B220" s="6">
        <v>46.146000000000001</v>
      </c>
      <c r="C220" s="6">
        <v>10.1447</v>
      </c>
      <c r="D220" s="6">
        <v>8255.5400000000009</v>
      </c>
      <c r="E220" s="6">
        <v>0.74</v>
      </c>
      <c r="F220" s="6">
        <f t="shared" si="21"/>
        <v>8.2222222222222228E-3</v>
      </c>
      <c r="G220">
        <f t="shared" si="22"/>
        <v>-1.0852626772956446</v>
      </c>
      <c r="H220">
        <f t="shared" si="23"/>
        <v>-0.33403086838200285</v>
      </c>
      <c r="I220">
        <f t="shared" si="24"/>
        <v>-0.68176814589619683</v>
      </c>
      <c r="J220">
        <f t="shared" si="25"/>
        <v>-0.76940457839591625</v>
      </c>
      <c r="K220">
        <f t="shared" si="26"/>
        <v>-1.0934848995178668</v>
      </c>
      <c r="L220">
        <f t="shared" si="27"/>
        <v>-0.68999036811841907</v>
      </c>
    </row>
    <row r="221" spans="1:12" x14ac:dyDescent="0.25">
      <c r="A221" s="1">
        <v>40500</v>
      </c>
      <c r="B221" s="6">
        <v>45.784399999999998</v>
      </c>
      <c r="C221" s="6">
        <v>10.0085</v>
      </c>
      <c r="D221" s="6">
        <v>8283.4500000000007</v>
      </c>
      <c r="E221" s="6">
        <v>0.74</v>
      </c>
      <c r="F221" s="6">
        <f t="shared" si="21"/>
        <v>8.2222222222222228E-3</v>
      </c>
      <c r="G221">
        <f t="shared" si="22"/>
        <v>-0.78359987864604252</v>
      </c>
      <c r="H221">
        <f t="shared" si="23"/>
        <v>-1.3425729691365988</v>
      </c>
      <c r="I221">
        <f t="shared" si="24"/>
        <v>0.33807600714186897</v>
      </c>
      <c r="J221">
        <f t="shared" si="25"/>
        <v>-0.55714674244860163</v>
      </c>
      <c r="K221">
        <f t="shared" si="26"/>
        <v>-0.79182210086826477</v>
      </c>
      <c r="L221">
        <f t="shared" si="27"/>
        <v>0.32985378491964673</v>
      </c>
    </row>
    <row r="222" spans="1:12" x14ac:dyDescent="0.25">
      <c r="A222" s="1">
        <v>40501</v>
      </c>
      <c r="B222" s="6">
        <v>46.073700000000002</v>
      </c>
      <c r="C222" s="6">
        <v>10.0085</v>
      </c>
      <c r="D222" s="6">
        <v>8306.1200000000008</v>
      </c>
      <c r="E222" s="6">
        <v>0.74</v>
      </c>
      <c r="F222" s="6">
        <f t="shared" si="21"/>
        <v>8.2222222222222228E-3</v>
      </c>
      <c r="G222">
        <f t="shared" si="22"/>
        <v>0.63187461231337383</v>
      </c>
      <c r="H222">
        <f t="shared" si="23"/>
        <v>0</v>
      </c>
      <c r="I222">
        <f t="shared" si="24"/>
        <v>0.27367823793226337</v>
      </c>
      <c r="J222">
        <f t="shared" si="25"/>
        <v>0.43881813500603145</v>
      </c>
      <c r="K222">
        <f t="shared" si="26"/>
        <v>0.62365239009115159</v>
      </c>
      <c r="L222">
        <f t="shared" si="27"/>
        <v>0.26545601571004113</v>
      </c>
    </row>
    <row r="223" spans="1:12" x14ac:dyDescent="0.25">
      <c r="A223" s="1">
        <v>40504</v>
      </c>
      <c r="B223" s="6">
        <v>46.146000000000001</v>
      </c>
      <c r="C223" s="6">
        <v>10.2468</v>
      </c>
      <c r="D223" s="6">
        <v>8374.91</v>
      </c>
      <c r="E223" s="6">
        <v>0.74</v>
      </c>
      <c r="F223" s="6">
        <f t="shared" si="21"/>
        <v>8.2222222222222228E-3</v>
      </c>
      <c r="G223">
        <f t="shared" si="22"/>
        <v>0.15692249591415161</v>
      </c>
      <c r="H223">
        <f t="shared" si="23"/>
        <v>2.3809761702552894</v>
      </c>
      <c r="I223">
        <f t="shared" si="24"/>
        <v>0.82818451936643156</v>
      </c>
      <c r="J223">
        <f t="shared" si="25"/>
        <v>0.10462940223293582</v>
      </c>
      <c r="K223">
        <f t="shared" si="26"/>
        <v>0.1487002736919294</v>
      </c>
      <c r="L223">
        <f t="shared" si="27"/>
        <v>0.81996229714420932</v>
      </c>
    </row>
    <row r="224" spans="1:12" x14ac:dyDescent="0.25">
      <c r="A224" s="1">
        <v>40505</v>
      </c>
      <c r="B224" s="6">
        <v>45.856699999999996</v>
      </c>
      <c r="C224" s="6">
        <v>10.076599999999999</v>
      </c>
      <c r="D224" s="6">
        <v>8328.6299999999992</v>
      </c>
      <c r="E224" s="6">
        <v>0.74</v>
      </c>
      <c r="F224" s="6">
        <f t="shared" si="21"/>
        <v>8.2222222222222228E-3</v>
      </c>
      <c r="G224">
        <f t="shared" si="22"/>
        <v>-0.62692324361809115</v>
      </c>
      <c r="H224">
        <f t="shared" si="23"/>
        <v>-1.6610063629621075</v>
      </c>
      <c r="I224">
        <f t="shared" si="24"/>
        <v>-0.55260295334517806</v>
      </c>
      <c r="J224">
        <f t="shared" si="25"/>
        <v>-0.44690496373604416</v>
      </c>
      <c r="K224">
        <f t="shared" si="26"/>
        <v>-0.63514546584031339</v>
      </c>
      <c r="L224">
        <f t="shared" si="27"/>
        <v>-0.5608251755674003</v>
      </c>
    </row>
    <row r="225" spans="1:12" x14ac:dyDescent="0.25">
      <c r="A225" s="1">
        <v>40506</v>
      </c>
      <c r="B225" s="6">
        <v>45.7121</v>
      </c>
      <c r="C225" s="6">
        <v>9.9745000000000008</v>
      </c>
      <c r="D225" s="6">
        <v>8297.0499999999993</v>
      </c>
      <c r="E225" s="6">
        <v>0.74</v>
      </c>
      <c r="F225" s="6">
        <f t="shared" si="21"/>
        <v>8.2222222222222228E-3</v>
      </c>
      <c r="G225">
        <f t="shared" si="22"/>
        <v>-0.31533014804815213</v>
      </c>
      <c r="H225">
        <f t="shared" si="23"/>
        <v>-1.0132385923823344</v>
      </c>
      <c r="I225">
        <f t="shared" si="24"/>
        <v>-0.37917400580887767</v>
      </c>
      <c r="J225">
        <f t="shared" si="25"/>
        <v>-0.22765991112144227</v>
      </c>
      <c r="K225">
        <f t="shared" si="26"/>
        <v>-0.32355237027037437</v>
      </c>
      <c r="L225">
        <f t="shared" si="27"/>
        <v>-0.38739622803109991</v>
      </c>
    </row>
    <row r="226" spans="1:12" x14ac:dyDescent="0.25">
      <c r="A226" s="1">
        <v>40507</v>
      </c>
      <c r="B226" s="6">
        <v>46.58</v>
      </c>
      <c r="C226" s="6">
        <v>10.2128</v>
      </c>
      <c r="D226" s="6">
        <v>8349.99</v>
      </c>
      <c r="E226" s="6">
        <v>0.74</v>
      </c>
      <c r="F226" s="6">
        <f t="shared" si="21"/>
        <v>8.2222222222222228E-3</v>
      </c>
      <c r="G226">
        <f t="shared" si="22"/>
        <v>1.8986220278657047</v>
      </c>
      <c r="H226">
        <f t="shared" si="23"/>
        <v>2.3890921850719216</v>
      </c>
      <c r="I226">
        <f t="shared" si="24"/>
        <v>0.63805810498912885</v>
      </c>
      <c r="J226">
        <f t="shared" si="25"/>
        <v>1.3301347518398725</v>
      </c>
      <c r="K226">
        <f t="shared" si="26"/>
        <v>1.8903998056434825</v>
      </c>
      <c r="L226">
        <f t="shared" si="27"/>
        <v>0.62983588276690661</v>
      </c>
    </row>
    <row r="227" spans="1:12" x14ac:dyDescent="0.25">
      <c r="A227" s="1">
        <v>40508</v>
      </c>
      <c r="B227" s="6">
        <v>46.58</v>
      </c>
      <c r="C227" s="6">
        <v>10.1447</v>
      </c>
      <c r="D227" s="6">
        <v>8312.15</v>
      </c>
      <c r="E227" s="6">
        <v>0.74</v>
      </c>
      <c r="F227" s="6">
        <f t="shared" si="21"/>
        <v>8.2222222222222228E-3</v>
      </c>
      <c r="G227">
        <f t="shared" si="22"/>
        <v>0</v>
      </c>
      <c r="H227">
        <f t="shared" si="23"/>
        <v>-0.66681027729906961</v>
      </c>
      <c r="I227">
        <f t="shared" si="24"/>
        <v>-0.45317419541819987</v>
      </c>
      <c r="J227">
        <f t="shared" si="25"/>
        <v>-5.785370630317567E-3</v>
      </c>
      <c r="K227">
        <f t="shared" si="26"/>
        <v>-8.2222222222222228E-3</v>
      </c>
      <c r="L227">
        <f t="shared" si="27"/>
        <v>-0.46139641764042211</v>
      </c>
    </row>
    <row r="228" spans="1:12" x14ac:dyDescent="0.25">
      <c r="A228" s="1">
        <v>40511</v>
      </c>
      <c r="B228" s="6">
        <v>46.5077</v>
      </c>
      <c r="C228" s="6">
        <v>10.280900000000001</v>
      </c>
      <c r="D228" s="6">
        <v>8367.17</v>
      </c>
      <c r="E228" s="6">
        <v>0.74</v>
      </c>
      <c r="F228" s="6">
        <f t="shared" si="21"/>
        <v>8.2222222222222228E-3</v>
      </c>
      <c r="G228">
        <f t="shared" si="22"/>
        <v>-0.15521683125804739</v>
      </c>
      <c r="H228">
        <f t="shared" si="23"/>
        <v>1.3425729691365988</v>
      </c>
      <c r="I228">
        <f t="shared" si="24"/>
        <v>0.66192260726767971</v>
      </c>
      <c r="J228">
        <f t="shared" si="25"/>
        <v>-0.11499999322520114</v>
      </c>
      <c r="K228">
        <f t="shared" si="26"/>
        <v>-0.1634390534802696</v>
      </c>
      <c r="L228">
        <f t="shared" si="27"/>
        <v>0.65370038504545747</v>
      </c>
    </row>
    <row r="229" spans="1:12" x14ac:dyDescent="0.25">
      <c r="A229" s="1">
        <v>40512</v>
      </c>
      <c r="B229" s="6">
        <v>45.856699999999996</v>
      </c>
      <c r="C229" s="6">
        <v>10.280900000000001</v>
      </c>
      <c r="D229" s="6">
        <v>8372.48</v>
      </c>
      <c r="E229" s="6">
        <v>0.74</v>
      </c>
      <c r="F229" s="6">
        <f t="shared" si="21"/>
        <v>8.2222222222222228E-3</v>
      </c>
      <c r="G229">
        <f t="shared" si="22"/>
        <v>-1.3997682104253777</v>
      </c>
      <c r="H229">
        <f t="shared" si="23"/>
        <v>0</v>
      </c>
      <c r="I229">
        <f t="shared" si="24"/>
        <v>6.3462317605588153E-2</v>
      </c>
      <c r="J229">
        <f t="shared" si="25"/>
        <v>-0.99069889826037749</v>
      </c>
      <c r="K229">
        <f t="shared" si="26"/>
        <v>-1.4079904326475998</v>
      </c>
      <c r="L229">
        <f t="shared" si="27"/>
        <v>5.5240095383365932E-2</v>
      </c>
    </row>
    <row r="230" spans="1:12" x14ac:dyDescent="0.25">
      <c r="A230" s="1">
        <v>40513</v>
      </c>
      <c r="B230" s="6">
        <v>46.724699999999999</v>
      </c>
      <c r="C230" s="6">
        <v>10.4511</v>
      </c>
      <c r="D230" s="6">
        <v>8520.11</v>
      </c>
      <c r="E230" s="6">
        <v>0.74</v>
      </c>
      <c r="F230" s="6">
        <f t="shared" si="21"/>
        <v>8.2222222222222228E-3</v>
      </c>
      <c r="G230">
        <f t="shared" si="22"/>
        <v>1.8928531708561718</v>
      </c>
      <c r="H230">
        <f t="shared" si="23"/>
        <v>1.655497086830914</v>
      </c>
      <c r="I230">
        <f t="shared" si="24"/>
        <v>1.763276830759835</v>
      </c>
      <c r="J230">
        <f t="shared" si="25"/>
        <v>1.3260756331476957</v>
      </c>
      <c r="K230">
        <f t="shared" si="26"/>
        <v>1.8846309486339496</v>
      </c>
      <c r="L230">
        <f t="shared" si="27"/>
        <v>1.7550546085376129</v>
      </c>
    </row>
    <row r="231" spans="1:12" x14ac:dyDescent="0.25">
      <c r="A231" s="1">
        <v>40514</v>
      </c>
      <c r="B231" s="6">
        <v>47.881900000000002</v>
      </c>
      <c r="C231" s="6">
        <v>10.9617</v>
      </c>
      <c r="D231" s="6">
        <v>8585.77</v>
      </c>
      <c r="E231" s="6">
        <v>0.74</v>
      </c>
      <c r="F231" s="6">
        <f t="shared" si="21"/>
        <v>8.2222222222222228E-3</v>
      </c>
      <c r="G231">
        <f t="shared" si="22"/>
        <v>2.4766344139181271</v>
      </c>
      <c r="H231">
        <f t="shared" si="23"/>
        <v>4.8856101271636492</v>
      </c>
      <c r="I231">
        <f t="shared" si="24"/>
        <v>0.77064732732323704</v>
      </c>
      <c r="J231">
        <f t="shared" si="25"/>
        <v>1.7368393861648341</v>
      </c>
      <c r="K231">
        <f t="shared" si="26"/>
        <v>2.4684121916959048</v>
      </c>
      <c r="L231">
        <f t="shared" si="27"/>
        <v>0.7624251051010148</v>
      </c>
    </row>
    <row r="232" spans="1:12" x14ac:dyDescent="0.25">
      <c r="A232" s="1">
        <v>40515</v>
      </c>
      <c r="B232" s="6">
        <v>49.400799999999997</v>
      </c>
      <c r="C232" s="6">
        <v>11.166</v>
      </c>
      <c r="D232" s="6">
        <v>8624.01</v>
      </c>
      <c r="E232" s="6">
        <v>0.74</v>
      </c>
      <c r="F232" s="6">
        <f t="shared" si="21"/>
        <v>8.2222222222222228E-3</v>
      </c>
      <c r="G232">
        <f t="shared" si="22"/>
        <v>3.17217988425688</v>
      </c>
      <c r="H232">
        <f t="shared" si="23"/>
        <v>1.8637620077177803</v>
      </c>
      <c r="I232">
        <f t="shared" si="24"/>
        <v>0.44538812476923773</v>
      </c>
      <c r="J232">
        <f t="shared" si="25"/>
        <v>2.2262433729936744</v>
      </c>
      <c r="K232">
        <f t="shared" si="26"/>
        <v>3.1639576620346577</v>
      </c>
      <c r="L232">
        <f t="shared" si="27"/>
        <v>0.43716590254701548</v>
      </c>
    </row>
    <row r="233" spans="1:12" x14ac:dyDescent="0.25">
      <c r="A233" s="1">
        <v>40518</v>
      </c>
      <c r="B233" s="6">
        <v>49.545499999999997</v>
      </c>
      <c r="C233" s="6">
        <v>11.166</v>
      </c>
      <c r="D233" s="6">
        <v>8702.23</v>
      </c>
      <c r="E233" s="6">
        <v>0.74</v>
      </c>
      <c r="F233" s="6">
        <f t="shared" si="21"/>
        <v>8.2222222222222228E-3</v>
      </c>
      <c r="G233">
        <f t="shared" si="22"/>
        <v>0.29291023627147794</v>
      </c>
      <c r="H233">
        <f t="shared" si="23"/>
        <v>0</v>
      </c>
      <c r="I233">
        <f t="shared" si="24"/>
        <v>0.90700265885590747</v>
      </c>
      <c r="J233">
        <f t="shared" si="25"/>
        <v>0.20031393348048634</v>
      </c>
      <c r="K233">
        <f t="shared" si="26"/>
        <v>0.2846880140492557</v>
      </c>
      <c r="L233">
        <f t="shared" si="27"/>
        <v>0.89878043663368523</v>
      </c>
    </row>
    <row r="234" spans="1:12" x14ac:dyDescent="0.25">
      <c r="A234" s="1">
        <v>40519</v>
      </c>
      <c r="B234" s="6">
        <v>49.183900000000001</v>
      </c>
      <c r="C234" s="6">
        <v>11.063800000000001</v>
      </c>
      <c r="D234" s="6">
        <v>8704.39</v>
      </c>
      <c r="E234" s="6">
        <v>0.74</v>
      </c>
      <c r="F234" s="6">
        <f t="shared" si="21"/>
        <v>8.2222222222222228E-3</v>
      </c>
      <c r="G234">
        <f t="shared" si="22"/>
        <v>-0.72983419281265849</v>
      </c>
      <c r="H234">
        <f t="shared" si="23"/>
        <v>-0.91527852409098909</v>
      </c>
      <c r="I234">
        <f t="shared" si="24"/>
        <v>2.4821223985114788E-2</v>
      </c>
      <c r="J234">
        <f t="shared" si="25"/>
        <v>-0.51931579950733031</v>
      </c>
      <c r="K234">
        <f t="shared" si="26"/>
        <v>-0.73805641503488073</v>
      </c>
      <c r="L234">
        <f t="shared" si="27"/>
        <v>1.6599001762892564E-2</v>
      </c>
    </row>
    <row r="235" spans="1:12" x14ac:dyDescent="0.25">
      <c r="A235" s="1">
        <v>40520</v>
      </c>
      <c r="B235" s="6">
        <v>49.183900000000001</v>
      </c>
      <c r="C235" s="6">
        <v>10.9617</v>
      </c>
      <c r="D235" s="6">
        <v>8703.7900000000009</v>
      </c>
      <c r="E235" s="6">
        <v>0.74</v>
      </c>
      <c r="F235" s="6">
        <f t="shared" si="21"/>
        <v>8.2222222222222228E-3</v>
      </c>
      <c r="G235">
        <f t="shared" si="22"/>
        <v>0</v>
      </c>
      <c r="H235">
        <f t="shared" si="23"/>
        <v>-0.92282940761763654</v>
      </c>
      <c r="I235">
        <f t="shared" si="24"/>
        <v>-6.893073495081733E-3</v>
      </c>
      <c r="J235">
        <f t="shared" si="25"/>
        <v>-5.785370630317567E-3</v>
      </c>
      <c r="K235">
        <f t="shared" si="26"/>
        <v>-8.2222222222222228E-3</v>
      </c>
      <c r="L235">
        <f t="shared" si="27"/>
        <v>-1.5115295717303957E-2</v>
      </c>
    </row>
    <row r="236" spans="1:12" x14ac:dyDescent="0.25">
      <c r="A236" s="1">
        <v>40521</v>
      </c>
      <c r="B236" s="6">
        <v>50.630400000000002</v>
      </c>
      <c r="C236" s="6">
        <v>11.370200000000001</v>
      </c>
      <c r="D236" s="6">
        <v>8753.84</v>
      </c>
      <c r="E236" s="6">
        <v>0.74</v>
      </c>
      <c r="F236" s="6">
        <f t="shared" si="21"/>
        <v>8.2222222222222228E-3</v>
      </c>
      <c r="G236">
        <f t="shared" si="22"/>
        <v>2.9410030518116708</v>
      </c>
      <c r="H236">
        <f t="shared" si="23"/>
        <v>3.726611748177747</v>
      </c>
      <c r="I236">
        <f t="shared" si="24"/>
        <v>0.57503685176226982</v>
      </c>
      <c r="J236">
        <f t="shared" si="25"/>
        <v>2.0635813066214412</v>
      </c>
      <c r="K236">
        <f t="shared" si="26"/>
        <v>2.9327808295894484</v>
      </c>
      <c r="L236">
        <f t="shared" si="27"/>
        <v>0.56681462954004758</v>
      </c>
    </row>
    <row r="237" spans="1:12" x14ac:dyDescent="0.25">
      <c r="A237" s="1">
        <v>40522</v>
      </c>
      <c r="B237" s="6">
        <v>50.413499999999999</v>
      </c>
      <c r="C237" s="6">
        <v>11.097899999999999</v>
      </c>
      <c r="D237" s="6">
        <v>8718.83</v>
      </c>
      <c r="E237" s="6">
        <v>0.74</v>
      </c>
      <c r="F237" s="6">
        <f t="shared" si="21"/>
        <v>8.2222222222222228E-3</v>
      </c>
      <c r="G237">
        <f t="shared" si="22"/>
        <v>-0.42839874857793447</v>
      </c>
      <c r="H237">
        <f t="shared" si="23"/>
        <v>-2.3948567307523287</v>
      </c>
      <c r="I237">
        <f t="shared" si="24"/>
        <v>-0.39993876972848735</v>
      </c>
      <c r="J237">
        <f t="shared" si="25"/>
        <v>-0.30721793607340186</v>
      </c>
      <c r="K237">
        <f t="shared" si="26"/>
        <v>-0.43662097080015672</v>
      </c>
      <c r="L237">
        <f t="shared" si="27"/>
        <v>-0.4081609919507096</v>
      </c>
    </row>
    <row r="238" spans="1:12" x14ac:dyDescent="0.25">
      <c r="A238" s="1">
        <v>40525</v>
      </c>
      <c r="B238" s="6">
        <v>50.1965</v>
      </c>
      <c r="C238" s="6">
        <v>11.0298</v>
      </c>
      <c r="D238" s="6">
        <v>8736.59</v>
      </c>
      <c r="E238" s="6">
        <v>0.74</v>
      </c>
      <c r="F238" s="6">
        <f t="shared" si="21"/>
        <v>8.2222222222222228E-3</v>
      </c>
      <c r="G238">
        <f t="shared" si="22"/>
        <v>-0.4304402590575912</v>
      </c>
      <c r="H238">
        <f t="shared" si="23"/>
        <v>-0.61362960560105417</v>
      </c>
      <c r="I238">
        <f t="shared" si="24"/>
        <v>0.20369705568293245</v>
      </c>
      <c r="J238">
        <f t="shared" si="25"/>
        <v>-0.30865439624819135</v>
      </c>
      <c r="K238">
        <f t="shared" si="26"/>
        <v>-0.43866248127981344</v>
      </c>
      <c r="L238">
        <f t="shared" si="27"/>
        <v>0.19547483346071023</v>
      </c>
    </row>
    <row r="239" spans="1:12" x14ac:dyDescent="0.25">
      <c r="A239" s="1">
        <v>40526</v>
      </c>
      <c r="B239" s="6">
        <v>49.9071</v>
      </c>
      <c r="C239" s="6">
        <v>10.9277</v>
      </c>
      <c r="D239" s="6">
        <v>8740.43</v>
      </c>
      <c r="E239" s="6">
        <v>0.74</v>
      </c>
      <c r="F239" s="6">
        <f t="shared" si="21"/>
        <v>8.2222222222222228E-3</v>
      </c>
      <c r="G239">
        <f t="shared" si="22"/>
        <v>-0.57653422051338354</v>
      </c>
      <c r="H239">
        <f t="shared" si="23"/>
        <v>-0.92567408293894793</v>
      </c>
      <c r="I239">
        <f t="shared" si="24"/>
        <v>4.3953075513445697E-2</v>
      </c>
      <c r="J239">
        <f t="shared" si="25"/>
        <v>-0.41144992901653987</v>
      </c>
      <c r="K239">
        <f t="shared" si="26"/>
        <v>-0.58475644273560579</v>
      </c>
      <c r="L239">
        <f t="shared" si="27"/>
        <v>3.5730853291223476E-2</v>
      </c>
    </row>
    <row r="240" spans="1:12" x14ac:dyDescent="0.25">
      <c r="A240" s="1">
        <v>40527</v>
      </c>
      <c r="B240" s="6">
        <v>50.630400000000002</v>
      </c>
      <c r="C240" s="6">
        <v>11.063800000000001</v>
      </c>
      <c r="D240" s="6">
        <v>8756.7099999999991</v>
      </c>
      <c r="E240" s="6">
        <v>0.74</v>
      </c>
      <c r="F240" s="6">
        <f t="shared" si="21"/>
        <v>8.2222222222222228E-3</v>
      </c>
      <c r="G240">
        <f t="shared" si="22"/>
        <v>1.4492927859963849</v>
      </c>
      <c r="H240">
        <f t="shared" si="23"/>
        <v>1.2454587882171069</v>
      </c>
      <c r="I240">
        <f t="shared" si="24"/>
        <v>0.18626085901950859</v>
      </c>
      <c r="J240">
        <f t="shared" si="25"/>
        <v>1.0139749438225403</v>
      </c>
      <c r="K240">
        <f t="shared" si="26"/>
        <v>1.4410705637741628</v>
      </c>
      <c r="L240">
        <f t="shared" si="27"/>
        <v>0.17803863679728638</v>
      </c>
    </row>
    <row r="241" spans="1:12" x14ac:dyDescent="0.25">
      <c r="A241" s="1">
        <v>40528</v>
      </c>
      <c r="B241" s="6">
        <v>51.498399999999997</v>
      </c>
      <c r="C241" s="6">
        <v>11.166</v>
      </c>
      <c r="D241" s="6">
        <v>8782.2000000000007</v>
      </c>
      <c r="E241" s="6">
        <v>0.74</v>
      </c>
      <c r="F241" s="6">
        <f t="shared" si="21"/>
        <v>8.2222222222222228E-3</v>
      </c>
      <c r="G241">
        <f t="shared" si="22"/>
        <v>1.7143850334976516</v>
      </c>
      <c r="H241">
        <f t="shared" si="23"/>
        <v>0.92373325620491908</v>
      </c>
      <c r="I241">
        <f t="shared" si="24"/>
        <v>0.29109106045537197</v>
      </c>
      <c r="J241">
        <f t="shared" si="25"/>
        <v>1.200500783378869</v>
      </c>
      <c r="K241">
        <f t="shared" si="26"/>
        <v>1.7061628112754295</v>
      </c>
      <c r="L241">
        <f t="shared" si="27"/>
        <v>0.28286883823314973</v>
      </c>
    </row>
    <row r="242" spans="1:12" x14ac:dyDescent="0.25">
      <c r="A242" s="1">
        <v>40529</v>
      </c>
      <c r="B242" s="6">
        <v>52.728000000000002</v>
      </c>
      <c r="C242" s="6">
        <v>11.370200000000001</v>
      </c>
      <c r="D242" s="6">
        <v>8817.9</v>
      </c>
      <c r="E242" s="6">
        <v>0.74</v>
      </c>
      <c r="F242" s="6">
        <f t="shared" si="21"/>
        <v>8.2222222222222228E-3</v>
      </c>
      <c r="G242">
        <f t="shared" si="22"/>
        <v>2.3876469948581023</v>
      </c>
      <c r="H242">
        <f t="shared" si="23"/>
        <v>1.8287658964714324</v>
      </c>
      <c r="I242">
        <f t="shared" si="24"/>
        <v>0.40650406504063796</v>
      </c>
      <c r="J242">
        <f t="shared" si="25"/>
        <v>1.6742255104043118</v>
      </c>
      <c r="K242">
        <f t="shared" si="26"/>
        <v>2.3794247726358799</v>
      </c>
      <c r="L242">
        <f t="shared" si="27"/>
        <v>0.39828184281841572</v>
      </c>
    </row>
    <row r="243" spans="1:12" x14ac:dyDescent="0.25">
      <c r="A243" s="1">
        <v>40532</v>
      </c>
      <c r="B243" s="6">
        <v>51.498399999999997</v>
      </c>
      <c r="C243" s="6">
        <v>11.2</v>
      </c>
      <c r="D243" s="6">
        <v>8768.7199999999993</v>
      </c>
      <c r="E243" s="6">
        <v>0.74</v>
      </c>
      <c r="F243" s="6">
        <f t="shared" si="21"/>
        <v>8.2222222222222228E-3</v>
      </c>
      <c r="G243">
        <f t="shared" si="22"/>
        <v>-2.3319678349264241</v>
      </c>
      <c r="H243">
        <f t="shared" si="23"/>
        <v>-1.4968953932208864</v>
      </c>
      <c r="I243">
        <f t="shared" si="24"/>
        <v>-0.5577291645403134</v>
      </c>
      <c r="J243">
        <f t="shared" si="25"/>
        <v>-1.6466189382959555</v>
      </c>
      <c r="K243">
        <f t="shared" si="26"/>
        <v>-2.3401900571486465</v>
      </c>
      <c r="L243">
        <f t="shared" si="27"/>
        <v>-0.56595138676253565</v>
      </c>
    </row>
    <row r="244" spans="1:12" x14ac:dyDescent="0.25">
      <c r="A244" s="1">
        <v>40533</v>
      </c>
      <c r="B244" s="6">
        <v>51.570700000000002</v>
      </c>
      <c r="C244" s="6">
        <v>11.2</v>
      </c>
      <c r="D244" s="6">
        <v>8827.7900000000009</v>
      </c>
      <c r="E244" s="6">
        <v>0.74</v>
      </c>
      <c r="F244" s="6">
        <f t="shared" si="21"/>
        <v>8.2222222222222228E-3</v>
      </c>
      <c r="G244">
        <f t="shared" si="22"/>
        <v>0.14039271122987429</v>
      </c>
      <c r="H244">
        <f t="shared" si="23"/>
        <v>0</v>
      </c>
      <c r="I244">
        <f t="shared" si="24"/>
        <v>0.67364449999545584</v>
      </c>
      <c r="J244">
        <f t="shared" si="25"/>
        <v>9.2998613347246351E-2</v>
      </c>
      <c r="K244">
        <f t="shared" si="26"/>
        <v>0.13217048900765208</v>
      </c>
      <c r="L244">
        <f t="shared" si="27"/>
        <v>0.66542227777323359</v>
      </c>
    </row>
    <row r="245" spans="1:12" x14ac:dyDescent="0.25">
      <c r="A245" s="1">
        <v>40534</v>
      </c>
      <c r="B245" s="6">
        <v>51.498399999999997</v>
      </c>
      <c r="C245" s="6">
        <v>11.1319</v>
      </c>
      <c r="D245" s="6">
        <v>8860.49</v>
      </c>
      <c r="E245" s="6">
        <v>0.74</v>
      </c>
      <c r="F245" s="6">
        <f t="shared" si="21"/>
        <v>8.2222222222222228E-3</v>
      </c>
      <c r="G245">
        <f t="shared" si="22"/>
        <v>-0.14019588642389105</v>
      </c>
      <c r="H245">
        <f t="shared" si="23"/>
        <v>-0.60803571428570879</v>
      </c>
      <c r="I245">
        <f t="shared" si="24"/>
        <v>0.37042113598079368</v>
      </c>
      <c r="J245">
        <f t="shared" si="25"/>
        <v>-0.10443086352589931</v>
      </c>
      <c r="K245">
        <f t="shared" si="26"/>
        <v>-0.14841810864611327</v>
      </c>
      <c r="L245">
        <f t="shared" si="27"/>
        <v>0.36219891375857144</v>
      </c>
    </row>
    <row r="246" spans="1:12" x14ac:dyDescent="0.25">
      <c r="A246" s="1">
        <v>40535</v>
      </c>
      <c r="B246" s="6">
        <v>51.353700000000003</v>
      </c>
      <c r="C246" s="6">
        <v>11.097899999999999</v>
      </c>
      <c r="D246" s="6">
        <v>8898.8700000000008</v>
      </c>
      <c r="E246" s="6">
        <v>0.74</v>
      </c>
      <c r="F246" s="6">
        <f t="shared" si="21"/>
        <v>8.2222222222222228E-3</v>
      </c>
      <c r="G246">
        <f t="shared" si="22"/>
        <v>-0.28097960324979643</v>
      </c>
      <c r="H246">
        <f t="shared" si="23"/>
        <v>-0.30542854319568713</v>
      </c>
      <c r="I246">
        <f t="shared" si="24"/>
        <v>0.43315888850392043</v>
      </c>
      <c r="J246">
        <f t="shared" si="25"/>
        <v>-0.20348996926865395</v>
      </c>
      <c r="K246">
        <f t="shared" si="26"/>
        <v>-0.28920182547201867</v>
      </c>
      <c r="L246">
        <f t="shared" si="27"/>
        <v>0.42493666628169818</v>
      </c>
    </row>
    <row r="247" spans="1:12" x14ac:dyDescent="0.25">
      <c r="A247" s="1">
        <v>40536</v>
      </c>
      <c r="B247" s="6">
        <v>51.209099999999999</v>
      </c>
      <c r="C247" s="6">
        <v>11.063800000000001</v>
      </c>
      <c r="D247" s="6">
        <v>8861.1</v>
      </c>
      <c r="E247" s="6">
        <v>0.74</v>
      </c>
      <c r="F247" s="6">
        <f t="shared" si="21"/>
        <v>8.2222222222222228E-3</v>
      </c>
      <c r="G247">
        <f t="shared" si="22"/>
        <v>-0.28157659525994044</v>
      </c>
      <c r="H247">
        <f t="shared" si="23"/>
        <v>-0.3072653384874498</v>
      </c>
      <c r="I247">
        <f t="shared" si="24"/>
        <v>-0.42443591152585031</v>
      </c>
      <c r="J247">
        <f t="shared" si="25"/>
        <v>-0.20391002846295386</v>
      </c>
      <c r="K247">
        <f t="shared" si="26"/>
        <v>-0.28979881748216268</v>
      </c>
      <c r="L247">
        <f t="shared" si="27"/>
        <v>-0.43265813374807255</v>
      </c>
    </row>
    <row r="248" spans="1:12" x14ac:dyDescent="0.25">
      <c r="A248" s="1">
        <v>40539</v>
      </c>
      <c r="B248" s="6">
        <v>51.136699999999998</v>
      </c>
      <c r="C248" s="6">
        <v>11.063800000000001</v>
      </c>
      <c r="D248" s="6">
        <v>8892.31</v>
      </c>
      <c r="E248" s="6">
        <v>0.74</v>
      </c>
      <c r="F248" s="6">
        <f t="shared" si="21"/>
        <v>8.2222222222222228E-3</v>
      </c>
      <c r="G248">
        <f t="shared" si="22"/>
        <v>-0.14138112171469874</v>
      </c>
      <c r="H248">
        <f t="shared" si="23"/>
        <v>0</v>
      </c>
      <c r="I248">
        <f t="shared" si="24"/>
        <v>0.35221360779134786</v>
      </c>
      <c r="J248">
        <f t="shared" si="25"/>
        <v>-0.10526482607958974</v>
      </c>
      <c r="K248">
        <f t="shared" si="26"/>
        <v>-0.14960334393692096</v>
      </c>
      <c r="L248">
        <f t="shared" si="27"/>
        <v>0.34399138556912562</v>
      </c>
    </row>
    <row r="249" spans="1:12" x14ac:dyDescent="0.25">
      <c r="A249" s="1">
        <v>40540</v>
      </c>
      <c r="B249" s="6">
        <v>51.281399999999998</v>
      </c>
      <c r="C249" s="6">
        <v>11.0298</v>
      </c>
      <c r="D249" s="6">
        <v>8870.76</v>
      </c>
      <c r="E249" s="6">
        <v>0.74</v>
      </c>
      <c r="F249" s="6">
        <f t="shared" si="21"/>
        <v>8.2222222222222228E-3</v>
      </c>
      <c r="G249">
        <f t="shared" si="22"/>
        <v>0.28296702759466347</v>
      </c>
      <c r="H249">
        <f t="shared" si="23"/>
        <v>-0.30730851967679002</v>
      </c>
      <c r="I249">
        <f t="shared" si="24"/>
        <v>-0.24234422776533066</v>
      </c>
      <c r="J249">
        <f t="shared" si="25"/>
        <v>0.19331763176359917</v>
      </c>
      <c r="K249">
        <f t="shared" si="26"/>
        <v>0.27474480537244123</v>
      </c>
      <c r="L249">
        <f t="shared" si="27"/>
        <v>-0.2505664499875529</v>
      </c>
    </row>
    <row r="250" spans="1:12" x14ac:dyDescent="0.25">
      <c r="A250" s="1">
        <v>40541</v>
      </c>
      <c r="B250" s="6">
        <v>51.064399999999999</v>
      </c>
      <c r="C250" s="6">
        <v>10.9277</v>
      </c>
      <c r="D250" s="6">
        <v>8866.35</v>
      </c>
      <c r="E250" s="6">
        <v>0.74</v>
      </c>
      <c r="F250" s="6">
        <f t="shared" si="21"/>
        <v>8.2222222222222228E-3</v>
      </c>
      <c r="G250">
        <f t="shared" si="22"/>
        <v>-0.42315537407324832</v>
      </c>
      <c r="H250">
        <f t="shared" si="23"/>
        <v>-0.92567408293894793</v>
      </c>
      <c r="I250">
        <f t="shared" si="24"/>
        <v>-4.9713891481675238E-2</v>
      </c>
      <c r="J250">
        <f t="shared" si="25"/>
        <v>-0.30352856061707068</v>
      </c>
      <c r="K250">
        <f t="shared" si="26"/>
        <v>-0.43137759629547057</v>
      </c>
      <c r="L250">
        <f t="shared" si="27"/>
        <v>-5.7936113703897459E-2</v>
      </c>
    </row>
    <row r="251" spans="1:12" x14ac:dyDescent="0.25">
      <c r="A251" s="1">
        <v>40542</v>
      </c>
      <c r="B251" s="6">
        <v>51.064399999999999</v>
      </c>
      <c r="C251" s="6">
        <v>10.995699999999999</v>
      </c>
      <c r="D251" s="6">
        <v>8907.91</v>
      </c>
      <c r="E251" s="6">
        <v>0.74</v>
      </c>
      <c r="F251" s="6">
        <f t="shared" si="21"/>
        <v>8.2222222222222228E-3</v>
      </c>
      <c r="G251">
        <f t="shared" si="22"/>
        <v>0</v>
      </c>
      <c r="H251">
        <f t="shared" si="23"/>
        <v>0.62227184128407276</v>
      </c>
      <c r="I251">
        <f t="shared" si="24"/>
        <v>0.46873854517360009</v>
      </c>
      <c r="J251">
        <f t="shared" si="25"/>
        <v>-5.785370630317567E-3</v>
      </c>
      <c r="K251">
        <f t="shared" si="26"/>
        <v>-8.2222222222222228E-3</v>
      </c>
      <c r="L251">
        <f t="shared" si="27"/>
        <v>0.46051632295137784</v>
      </c>
    </row>
    <row r="252" spans="1:12" x14ac:dyDescent="0.25">
      <c r="A252" s="1">
        <v>40543</v>
      </c>
      <c r="B252" s="6">
        <v>51.353700000000003</v>
      </c>
      <c r="C252" s="6">
        <v>11.097899999999999</v>
      </c>
      <c r="D252" s="6">
        <v>8972.5</v>
      </c>
      <c r="E252" s="6">
        <v>0.74</v>
      </c>
      <c r="F252" s="6">
        <f t="shared" si="21"/>
        <v>8.2222222222222228E-3</v>
      </c>
      <c r="G252">
        <f t="shared" si="22"/>
        <v>0.56653950697551392</v>
      </c>
      <c r="H252">
        <f t="shared" si="23"/>
        <v>0.92945424120337816</v>
      </c>
      <c r="I252">
        <f t="shared" si="24"/>
        <v>0.72508590679519824</v>
      </c>
      <c r="J252">
        <f t="shared" si="25"/>
        <v>0.39284664587152829</v>
      </c>
      <c r="K252">
        <f t="shared" si="26"/>
        <v>0.55831728475329168</v>
      </c>
      <c r="L252">
        <f t="shared" si="27"/>
        <v>0.716863684572976</v>
      </c>
    </row>
    <row r="253" spans="1:12" x14ac:dyDescent="0.25">
      <c r="A253" s="1">
        <v>40546</v>
      </c>
      <c r="B253" s="6">
        <v>51.426099999999998</v>
      </c>
      <c r="C253" s="6">
        <v>11.0298</v>
      </c>
      <c r="D253" s="6">
        <v>9025.2999999999993</v>
      </c>
      <c r="E253" s="6">
        <v>0.74</v>
      </c>
      <c r="F253" s="6">
        <f t="shared" si="21"/>
        <v>8.2222222222222228E-3</v>
      </c>
      <c r="G253">
        <f t="shared" si="22"/>
        <v>0.14098302556582035</v>
      </c>
      <c r="H253">
        <f t="shared" si="23"/>
        <v>-0.61362960560105417</v>
      </c>
      <c r="I253">
        <f t="shared" si="24"/>
        <v>0.58846475341319893</v>
      </c>
      <c r="J253">
        <f t="shared" si="25"/>
        <v>9.3413973955307705E-2</v>
      </c>
      <c r="K253">
        <f t="shared" si="26"/>
        <v>0.13276080334359813</v>
      </c>
      <c r="L253">
        <f t="shared" si="27"/>
        <v>0.58024253119097668</v>
      </c>
    </row>
    <row r="254" spans="1:12" x14ac:dyDescent="0.25">
      <c r="A254" s="1">
        <v>40547</v>
      </c>
      <c r="B254" s="6">
        <v>51.498399999999997</v>
      </c>
      <c r="C254" s="6">
        <v>11.0298</v>
      </c>
      <c r="D254" s="6">
        <v>8997.19</v>
      </c>
      <c r="E254" s="6">
        <v>0.74</v>
      </c>
      <c r="F254" s="6">
        <f t="shared" si="21"/>
        <v>8.2222222222222228E-3</v>
      </c>
      <c r="G254">
        <f t="shared" si="22"/>
        <v>0.14059008946818538</v>
      </c>
      <c r="H254">
        <f t="shared" si="23"/>
        <v>0</v>
      </c>
      <c r="I254">
        <f t="shared" si="24"/>
        <v>-0.31145779087674386</v>
      </c>
      <c r="J254">
        <f t="shared" si="25"/>
        <v>9.3137493838690938E-2</v>
      </c>
      <c r="K254">
        <f t="shared" si="26"/>
        <v>0.13236786724596317</v>
      </c>
      <c r="L254">
        <f t="shared" si="27"/>
        <v>-0.3196800130989661</v>
      </c>
    </row>
    <row r="255" spans="1:12" x14ac:dyDescent="0.25">
      <c r="A255" s="1">
        <v>40548</v>
      </c>
      <c r="B255" s="6">
        <v>50.485799999999998</v>
      </c>
      <c r="C255" s="6">
        <v>10.587199999999999</v>
      </c>
      <c r="D255" s="6">
        <v>8846.31</v>
      </c>
      <c r="E255" s="6">
        <v>0.74</v>
      </c>
      <c r="F255" s="6">
        <f t="shared" si="21"/>
        <v>8.2222222222222228E-3</v>
      </c>
      <c r="G255">
        <f t="shared" si="22"/>
        <v>-1.9662746803784179</v>
      </c>
      <c r="H255">
        <f t="shared" si="23"/>
        <v>-4.0127654173239815</v>
      </c>
      <c r="I255">
        <f t="shared" si="24"/>
        <v>-1.6769680311297306</v>
      </c>
      <c r="J255">
        <f t="shared" si="25"/>
        <v>-1.3893076690490369</v>
      </c>
      <c r="K255">
        <f t="shared" si="26"/>
        <v>-1.97449690260064</v>
      </c>
      <c r="L255">
        <f t="shared" si="27"/>
        <v>-1.6851902533519527</v>
      </c>
    </row>
    <row r="256" spans="1:12" x14ac:dyDescent="0.25">
      <c r="A256" s="1">
        <v>40549</v>
      </c>
      <c r="B256" s="6">
        <v>51.353700000000003</v>
      </c>
      <c r="C256" s="6">
        <v>10.8255</v>
      </c>
      <c r="D256" s="6">
        <v>8883.2099999999991</v>
      </c>
      <c r="E256" s="6">
        <v>0.74</v>
      </c>
      <c r="F256" s="6">
        <f t="shared" si="21"/>
        <v>8.2222222222222228E-3</v>
      </c>
      <c r="G256">
        <f t="shared" si="22"/>
        <v>1.7190972511082441</v>
      </c>
      <c r="H256">
        <f t="shared" si="23"/>
        <v>2.2508311923832611</v>
      </c>
      <c r="I256">
        <f t="shared" si="24"/>
        <v>0.41712307165360063</v>
      </c>
      <c r="J256">
        <f t="shared" si="25"/>
        <v>1.2038164229506512</v>
      </c>
      <c r="K256">
        <f t="shared" si="26"/>
        <v>1.7108750288860219</v>
      </c>
      <c r="L256">
        <f t="shared" si="27"/>
        <v>0.40890084943137839</v>
      </c>
    </row>
    <row r="257" spans="1:12" x14ac:dyDescent="0.25">
      <c r="A257" s="1">
        <v>40550</v>
      </c>
      <c r="B257" s="6">
        <v>52.438699999999997</v>
      </c>
      <c r="C257" s="6">
        <v>10.8255</v>
      </c>
      <c r="D257" s="6">
        <v>8782.7199999999993</v>
      </c>
      <c r="E257" s="6">
        <v>0.79</v>
      </c>
      <c r="F257" s="6">
        <f t="shared" si="21"/>
        <v>8.7777777777777784E-3</v>
      </c>
      <c r="G257">
        <f t="shared" si="22"/>
        <v>2.112798104128804</v>
      </c>
      <c r="H257">
        <f t="shared" si="23"/>
        <v>0</v>
      </c>
      <c r="I257">
        <f t="shared" si="24"/>
        <v>-1.1312352178998335</v>
      </c>
      <c r="J257">
        <f t="shared" si="25"/>
        <v>1.4804437380400226</v>
      </c>
      <c r="K257">
        <f t="shared" si="26"/>
        <v>2.104020326351026</v>
      </c>
      <c r="L257">
        <f t="shared" si="27"/>
        <v>-1.1400129956776113</v>
      </c>
    </row>
    <row r="258" spans="1:12" x14ac:dyDescent="0.25">
      <c r="A258" s="1">
        <v>40553</v>
      </c>
      <c r="B258" s="6">
        <v>53.668300000000002</v>
      </c>
      <c r="C258" s="6">
        <v>11.0298</v>
      </c>
      <c r="D258" s="6">
        <v>8817.8799999999992</v>
      </c>
      <c r="E258" s="6">
        <v>0.79</v>
      </c>
      <c r="F258" s="6">
        <f t="shared" si="21"/>
        <v>8.7777777777777784E-3</v>
      </c>
      <c r="G258">
        <f t="shared" si="22"/>
        <v>2.3448331098978521</v>
      </c>
      <c r="H258">
        <f t="shared" si="23"/>
        <v>1.8872107523901891</v>
      </c>
      <c r="I258">
        <f t="shared" si="24"/>
        <v>0.40033156015448357</v>
      </c>
      <c r="J258">
        <f t="shared" si="25"/>
        <v>1.6437096376107843</v>
      </c>
      <c r="K258">
        <f t="shared" si="26"/>
        <v>2.3360553321200741</v>
      </c>
      <c r="L258">
        <f t="shared" si="27"/>
        <v>0.39155378237670579</v>
      </c>
    </row>
    <row r="259" spans="1:12" x14ac:dyDescent="0.25">
      <c r="A259" s="1">
        <v>40554</v>
      </c>
      <c r="B259" s="6">
        <v>53.885300000000001</v>
      </c>
      <c r="C259" s="6">
        <v>11.3362</v>
      </c>
      <c r="D259" s="6">
        <v>8931.36</v>
      </c>
      <c r="E259" s="6">
        <v>0.79</v>
      </c>
      <c r="F259" s="6">
        <f t="shared" ref="F259:F322" si="28">E259/90</f>
        <v>8.7777777777777784E-3</v>
      </c>
      <c r="G259">
        <f t="shared" si="22"/>
        <v>0.40433552022329522</v>
      </c>
      <c r="H259">
        <f t="shared" si="23"/>
        <v>2.7779288835699649</v>
      </c>
      <c r="I259">
        <f t="shared" si="24"/>
        <v>1.2869306454612832</v>
      </c>
      <c r="J259">
        <f t="shared" si="25"/>
        <v>0.27832477448177234</v>
      </c>
      <c r="K259">
        <f t="shared" si="26"/>
        <v>0.39555774244551745</v>
      </c>
      <c r="L259">
        <f t="shared" si="27"/>
        <v>1.2781528676835054</v>
      </c>
    </row>
    <row r="260" spans="1:12" x14ac:dyDescent="0.25">
      <c r="A260" s="1">
        <v>40555</v>
      </c>
      <c r="B260" s="6">
        <v>54.174599999999998</v>
      </c>
      <c r="C260" s="6">
        <v>11.3362</v>
      </c>
      <c r="D260" s="6">
        <v>8965</v>
      </c>
      <c r="E260" s="6">
        <v>0.79</v>
      </c>
      <c r="F260" s="6">
        <f t="shared" si="28"/>
        <v>8.7777777777777784E-3</v>
      </c>
      <c r="G260">
        <f t="shared" ref="G260:G323" si="29">100*(B260-B259)/B259</f>
        <v>0.53688111600009136</v>
      </c>
      <c r="H260">
        <f t="shared" ref="H260:H323" si="30">100*(C260-C259)/C259</f>
        <v>0</v>
      </c>
      <c r="I260">
        <f t="shared" ref="I260:I323" si="31">100*(D260-D259)/D259</f>
        <v>0.37665036455813466</v>
      </c>
      <c r="J260">
        <f t="shared" ref="J260:J323" si="32">(G260-F260)/$N$3</f>
        <v>0.3715873227637343</v>
      </c>
      <c r="K260">
        <f t="shared" ref="K260:K323" si="33">G260-F260</f>
        <v>0.52810333822231359</v>
      </c>
      <c r="L260">
        <f t="shared" ref="L260:L323" si="34">I260-F260</f>
        <v>0.36787258678035689</v>
      </c>
    </row>
    <row r="261" spans="1:12" x14ac:dyDescent="0.25">
      <c r="A261" s="1">
        <v>40556</v>
      </c>
      <c r="B261" s="6">
        <v>53.957599999999999</v>
      </c>
      <c r="C261" s="6">
        <v>11.302099999999999</v>
      </c>
      <c r="D261" s="6">
        <v>8975.58</v>
      </c>
      <c r="E261" s="6">
        <v>0.79</v>
      </c>
      <c r="F261" s="6">
        <f t="shared" si="28"/>
        <v>8.7777777777777784E-3</v>
      </c>
      <c r="G261">
        <f t="shared" si="29"/>
        <v>-0.40055671846215524</v>
      </c>
      <c r="H261">
        <f t="shared" si="30"/>
        <v>-0.30080626665020432</v>
      </c>
      <c r="I261">
        <f t="shared" si="31"/>
        <v>0.11801450083658592</v>
      </c>
      <c r="J261">
        <f t="shared" si="32"/>
        <v>-0.28801845882028521</v>
      </c>
      <c r="K261">
        <f t="shared" si="33"/>
        <v>-0.40933449623993301</v>
      </c>
      <c r="L261">
        <f t="shared" si="34"/>
        <v>0.10923672305880815</v>
      </c>
    </row>
    <row r="262" spans="1:12" x14ac:dyDescent="0.25">
      <c r="A262" s="1">
        <v>40557</v>
      </c>
      <c r="B262" s="6">
        <v>54.102200000000003</v>
      </c>
      <c r="C262" s="6">
        <v>11.370200000000001</v>
      </c>
      <c r="D262" s="6">
        <v>8972.51</v>
      </c>
      <c r="E262" s="6">
        <v>0.79</v>
      </c>
      <c r="F262" s="6">
        <f t="shared" si="28"/>
        <v>8.7777777777777784E-3</v>
      </c>
      <c r="G262">
        <f t="shared" si="29"/>
        <v>0.26798819814076991</v>
      </c>
      <c r="H262">
        <f t="shared" si="30"/>
        <v>0.6025428902593426</v>
      </c>
      <c r="I262">
        <f t="shared" si="31"/>
        <v>-3.4203917741245794E-2</v>
      </c>
      <c r="J262">
        <f t="shared" si="32"/>
        <v>0.18238723212652605</v>
      </c>
      <c r="K262">
        <f t="shared" si="33"/>
        <v>0.25921042036299213</v>
      </c>
      <c r="L262">
        <f t="shared" si="34"/>
        <v>-4.2981695519023574E-2</v>
      </c>
    </row>
    <row r="263" spans="1:12" x14ac:dyDescent="0.25">
      <c r="A263" s="1">
        <v>40560</v>
      </c>
      <c r="B263" s="6">
        <v>54.825499999999998</v>
      </c>
      <c r="C263" s="6">
        <v>11.7447</v>
      </c>
      <c r="D263" s="6">
        <v>8925.09</v>
      </c>
      <c r="E263" s="6">
        <v>0.79</v>
      </c>
      <c r="F263" s="6">
        <f t="shared" si="28"/>
        <v>8.7777777777777784E-3</v>
      </c>
      <c r="G263">
        <f t="shared" si="29"/>
        <v>1.3369142105126866</v>
      </c>
      <c r="H263">
        <f t="shared" si="30"/>
        <v>3.2936975602891714</v>
      </c>
      <c r="I263">
        <f t="shared" si="31"/>
        <v>-0.52850317246790557</v>
      </c>
      <c r="J263">
        <f t="shared" si="32"/>
        <v>0.93451153512153451</v>
      </c>
      <c r="K263">
        <f t="shared" si="33"/>
        <v>1.3281364327349088</v>
      </c>
      <c r="L263">
        <f t="shared" si="34"/>
        <v>-0.53728095024568334</v>
      </c>
    </row>
    <row r="264" spans="1:12" x14ac:dyDescent="0.25">
      <c r="A264" s="1">
        <v>40561</v>
      </c>
      <c r="B264" s="6">
        <v>55.5488</v>
      </c>
      <c r="C264" s="6">
        <v>12.1191</v>
      </c>
      <c r="D264" s="6">
        <v>8988</v>
      </c>
      <c r="E264" s="6">
        <v>0.79</v>
      </c>
      <c r="F264" s="6">
        <f t="shared" si="28"/>
        <v>8.7777777777777784E-3</v>
      </c>
      <c r="G264">
        <f t="shared" si="29"/>
        <v>1.3192766139843719</v>
      </c>
      <c r="H264">
        <f t="shared" si="30"/>
        <v>3.1878208894224596</v>
      </c>
      <c r="I264">
        <f t="shared" si="31"/>
        <v>0.70486684167890579</v>
      </c>
      <c r="J264">
        <f t="shared" si="32"/>
        <v>0.92210126084452482</v>
      </c>
      <c r="K264">
        <f t="shared" si="33"/>
        <v>1.3104988362065941</v>
      </c>
      <c r="L264">
        <f t="shared" si="34"/>
        <v>0.69608906390112801</v>
      </c>
    </row>
    <row r="265" spans="1:12" x14ac:dyDescent="0.25">
      <c r="A265" s="1">
        <v>40562</v>
      </c>
      <c r="B265" s="6">
        <v>56.416800000000002</v>
      </c>
      <c r="C265" s="6">
        <v>12.289400000000001</v>
      </c>
      <c r="D265" s="6">
        <v>9086.02</v>
      </c>
      <c r="E265" s="6">
        <v>0.79</v>
      </c>
      <c r="F265" s="6">
        <f t="shared" si="28"/>
        <v>8.7777777777777784E-3</v>
      </c>
      <c r="G265">
        <f t="shared" si="29"/>
        <v>1.5625900109453348</v>
      </c>
      <c r="H265">
        <f t="shared" si="30"/>
        <v>1.4052198595605367</v>
      </c>
      <c r="I265">
        <f t="shared" si="31"/>
        <v>1.0905651980418385</v>
      </c>
      <c r="J265">
        <f t="shared" si="32"/>
        <v>1.093302931475157</v>
      </c>
      <c r="K265">
        <f t="shared" si="33"/>
        <v>1.553812233167557</v>
      </c>
      <c r="L265">
        <f t="shared" si="34"/>
        <v>1.0817874202640607</v>
      </c>
    </row>
    <row r="266" spans="1:12" x14ac:dyDescent="0.25">
      <c r="A266" s="1">
        <v>40563</v>
      </c>
      <c r="B266" s="6">
        <v>55.259500000000003</v>
      </c>
      <c r="C266" s="6">
        <v>12.016999999999999</v>
      </c>
      <c r="D266" s="6">
        <v>9022.17</v>
      </c>
      <c r="E266" s="6">
        <v>0.79</v>
      </c>
      <c r="F266" s="6">
        <f t="shared" si="28"/>
        <v>8.7777777777777784E-3</v>
      </c>
      <c r="G266">
        <f t="shared" si="29"/>
        <v>-2.0513393173664571</v>
      </c>
      <c r="H266">
        <f t="shared" si="30"/>
        <v>-2.216544339023883</v>
      </c>
      <c r="I266">
        <f t="shared" si="31"/>
        <v>-0.70272792707918719</v>
      </c>
      <c r="J266">
        <f t="shared" si="32"/>
        <v>-1.4495522761535593</v>
      </c>
      <c r="K266">
        <f t="shared" si="33"/>
        <v>-2.0601170951442351</v>
      </c>
      <c r="L266">
        <f t="shared" si="34"/>
        <v>-0.71150570485696496</v>
      </c>
    </row>
    <row r="267" spans="1:12" x14ac:dyDescent="0.25">
      <c r="A267" s="1">
        <v>40564</v>
      </c>
      <c r="B267" s="6">
        <v>53.957599999999999</v>
      </c>
      <c r="C267" s="6">
        <v>11.914899999999999</v>
      </c>
      <c r="D267" s="6">
        <v>8954.3799999999992</v>
      </c>
      <c r="E267" s="6">
        <v>0.79</v>
      </c>
      <c r="F267" s="6">
        <f t="shared" si="28"/>
        <v>8.7777777777777784E-3</v>
      </c>
      <c r="G267">
        <f t="shared" si="29"/>
        <v>-2.3559749907255827</v>
      </c>
      <c r="H267">
        <f t="shared" si="30"/>
        <v>-0.84962969127070054</v>
      </c>
      <c r="I267">
        <f t="shared" si="31"/>
        <v>-0.75137134414448936</v>
      </c>
      <c r="J267">
        <f t="shared" si="32"/>
        <v>-1.6639019045101824</v>
      </c>
      <c r="K267">
        <f t="shared" si="33"/>
        <v>-2.3647527685033607</v>
      </c>
      <c r="L267">
        <f t="shared" si="34"/>
        <v>-0.76014912192226713</v>
      </c>
    </row>
    <row r="268" spans="1:12" x14ac:dyDescent="0.25">
      <c r="A268" s="1">
        <v>40567</v>
      </c>
      <c r="B268" s="6">
        <v>54.463900000000002</v>
      </c>
      <c r="C268" s="6">
        <v>11.8468</v>
      </c>
      <c r="D268" s="6">
        <v>8947.7900000000009</v>
      </c>
      <c r="E268" s="6">
        <v>0.79</v>
      </c>
      <c r="F268" s="6">
        <f t="shared" si="28"/>
        <v>8.7777777777777784E-3</v>
      </c>
      <c r="G268">
        <f t="shared" si="29"/>
        <v>0.93832935490089087</v>
      </c>
      <c r="H268">
        <f t="shared" si="30"/>
        <v>-0.57155326523931704</v>
      </c>
      <c r="I268">
        <f t="shared" si="31"/>
        <v>-7.3595268460779267E-2</v>
      </c>
      <c r="J268">
        <f t="shared" si="32"/>
        <v>0.65405680463352567</v>
      </c>
      <c r="K268">
        <f t="shared" si="33"/>
        <v>0.92955157712311309</v>
      </c>
      <c r="L268">
        <f t="shared" si="34"/>
        <v>-8.2373046238557041E-2</v>
      </c>
    </row>
    <row r="269" spans="1:12" x14ac:dyDescent="0.25">
      <c r="A269" s="1">
        <v>40568</v>
      </c>
      <c r="B269" s="6">
        <v>54.246899999999997</v>
      </c>
      <c r="C269" s="6">
        <v>11.8468</v>
      </c>
      <c r="D269" s="6">
        <v>8991.39</v>
      </c>
      <c r="E269" s="6">
        <v>0.79</v>
      </c>
      <c r="F269" s="6">
        <f t="shared" si="28"/>
        <v>8.7777777777777784E-3</v>
      </c>
      <c r="G269">
        <f t="shared" si="29"/>
        <v>-0.39842905116968458</v>
      </c>
      <c r="H269">
        <f t="shared" si="30"/>
        <v>0</v>
      </c>
      <c r="I269">
        <f t="shared" si="31"/>
        <v>0.48727115857657077</v>
      </c>
      <c r="J269">
        <f t="shared" si="32"/>
        <v>-0.2865213764583322</v>
      </c>
      <c r="K269">
        <f t="shared" si="33"/>
        <v>-0.40720682894746235</v>
      </c>
      <c r="L269">
        <f t="shared" si="34"/>
        <v>0.478493380798793</v>
      </c>
    </row>
    <row r="270" spans="1:12" x14ac:dyDescent="0.25">
      <c r="A270" s="1">
        <v>40569</v>
      </c>
      <c r="B270" s="6">
        <v>53.957599999999999</v>
      </c>
      <c r="C270" s="6">
        <v>11.8468</v>
      </c>
      <c r="D270" s="6">
        <v>9055.59</v>
      </c>
      <c r="E270" s="6">
        <v>0.79</v>
      </c>
      <c r="F270" s="6">
        <f t="shared" si="28"/>
        <v>8.7777777777777784E-3</v>
      </c>
      <c r="G270">
        <f t="shared" si="29"/>
        <v>-0.53330236382170637</v>
      </c>
      <c r="H270">
        <f t="shared" si="30"/>
        <v>0</v>
      </c>
      <c r="I270">
        <f t="shared" si="31"/>
        <v>0.7140164090313148</v>
      </c>
      <c r="J270">
        <f t="shared" si="32"/>
        <v>-0.38142176722151883</v>
      </c>
      <c r="K270">
        <f t="shared" si="33"/>
        <v>-0.54208014159948414</v>
      </c>
      <c r="L270">
        <f t="shared" si="34"/>
        <v>0.70523863125353703</v>
      </c>
    </row>
    <row r="271" spans="1:12" x14ac:dyDescent="0.25">
      <c r="A271" s="1">
        <v>40570</v>
      </c>
      <c r="B271" s="6">
        <v>54.391599999999997</v>
      </c>
      <c r="C271" s="6">
        <v>12.2553</v>
      </c>
      <c r="D271" s="6">
        <v>9102.33</v>
      </c>
      <c r="E271" s="6">
        <v>0.79</v>
      </c>
      <c r="F271" s="6">
        <f t="shared" si="28"/>
        <v>8.7777777777777784E-3</v>
      </c>
      <c r="G271">
        <f t="shared" si="29"/>
        <v>0.80433525583049936</v>
      </c>
      <c r="H271">
        <f t="shared" si="30"/>
        <v>3.4481885403653316</v>
      </c>
      <c r="I271">
        <f t="shared" si="31"/>
        <v>0.51614527601183113</v>
      </c>
      <c r="J271">
        <f t="shared" si="32"/>
        <v>0.5597750515446156</v>
      </c>
      <c r="K271">
        <f t="shared" si="33"/>
        <v>0.79555747805272159</v>
      </c>
      <c r="L271">
        <f t="shared" si="34"/>
        <v>0.50736749823405336</v>
      </c>
    </row>
    <row r="272" spans="1:12" x14ac:dyDescent="0.25">
      <c r="A272" s="1">
        <v>40571</v>
      </c>
      <c r="B272" s="6">
        <v>55.187199999999997</v>
      </c>
      <c r="C272" s="6">
        <v>12.323399999999999</v>
      </c>
      <c r="D272" s="6">
        <v>9145.35</v>
      </c>
      <c r="E272" s="6">
        <v>0.79</v>
      </c>
      <c r="F272" s="6">
        <f t="shared" si="28"/>
        <v>8.7777777777777784E-3</v>
      </c>
      <c r="G272">
        <f t="shared" si="29"/>
        <v>1.4627258620816457</v>
      </c>
      <c r="H272">
        <f t="shared" si="30"/>
        <v>0.55567795158012767</v>
      </c>
      <c r="I272">
        <f t="shared" si="31"/>
        <v>0.47262623965512607</v>
      </c>
      <c r="J272">
        <f t="shared" si="32"/>
        <v>1.0230359041140917</v>
      </c>
      <c r="K272">
        <f t="shared" si="33"/>
        <v>1.4539480843038679</v>
      </c>
      <c r="L272">
        <f t="shared" si="34"/>
        <v>0.46384846187734829</v>
      </c>
    </row>
    <row r="273" spans="1:12" x14ac:dyDescent="0.25">
      <c r="A273" s="1">
        <v>40582</v>
      </c>
      <c r="B273" s="6">
        <v>54.608499999999999</v>
      </c>
      <c r="C273" s="6">
        <v>11.983000000000001</v>
      </c>
      <c r="D273" s="6">
        <v>9111.4599999999991</v>
      </c>
      <c r="E273" s="6">
        <v>0.79</v>
      </c>
      <c r="F273" s="6">
        <f t="shared" si="28"/>
        <v>8.7777777777777784E-3</v>
      </c>
      <c r="G273">
        <f t="shared" si="29"/>
        <v>-1.0486127217905561</v>
      </c>
      <c r="H273">
        <f t="shared" si="30"/>
        <v>-2.7622247107129438</v>
      </c>
      <c r="I273">
        <f t="shared" si="31"/>
        <v>-0.37057083654536171</v>
      </c>
      <c r="J273">
        <f t="shared" si="32"/>
        <v>-0.74400761444344765</v>
      </c>
      <c r="K273">
        <f t="shared" si="33"/>
        <v>-1.0573904995683339</v>
      </c>
      <c r="L273">
        <f t="shared" si="34"/>
        <v>-0.37934861432313949</v>
      </c>
    </row>
    <row r="274" spans="1:12" x14ac:dyDescent="0.25">
      <c r="A274" s="1">
        <v>40583</v>
      </c>
      <c r="B274" s="6">
        <v>53.378900000000002</v>
      </c>
      <c r="C274" s="6">
        <v>11.5745</v>
      </c>
      <c r="D274" s="6">
        <v>9006.82</v>
      </c>
      <c r="E274" s="6">
        <v>0.79</v>
      </c>
      <c r="F274" s="6">
        <f t="shared" si="28"/>
        <v>8.7777777777777784E-3</v>
      </c>
      <c r="G274">
        <f t="shared" si="29"/>
        <v>-2.2516641182233497</v>
      </c>
      <c r="H274">
        <f t="shared" si="30"/>
        <v>-3.4089960777768509</v>
      </c>
      <c r="I274">
        <f t="shared" si="31"/>
        <v>-1.1484438278826821</v>
      </c>
      <c r="J274">
        <f t="shared" si="32"/>
        <v>-1.5905060460807909</v>
      </c>
      <c r="K274">
        <f t="shared" si="33"/>
        <v>-2.2604418960011277</v>
      </c>
      <c r="L274">
        <f t="shared" si="34"/>
        <v>-1.1572216056604598</v>
      </c>
    </row>
    <row r="275" spans="1:12" x14ac:dyDescent="0.25">
      <c r="A275" s="1">
        <v>40584</v>
      </c>
      <c r="B275" s="6">
        <v>52.076999999999998</v>
      </c>
      <c r="C275" s="6">
        <v>11.3362</v>
      </c>
      <c r="D275" s="6">
        <v>8836.56</v>
      </c>
      <c r="E275" s="6">
        <v>0.79</v>
      </c>
      <c r="F275" s="6">
        <f t="shared" si="28"/>
        <v>8.7777777777777784E-3</v>
      </c>
      <c r="G275">
        <f t="shared" si="29"/>
        <v>-2.4389786975752652</v>
      </c>
      <c r="H275">
        <f t="shared" si="30"/>
        <v>-2.0588362348265639</v>
      </c>
      <c r="I275">
        <f t="shared" si="31"/>
        <v>-1.8903453161049097</v>
      </c>
      <c r="J275">
        <f t="shared" si="32"/>
        <v>-1.7223054838391119</v>
      </c>
      <c r="K275">
        <f t="shared" si="33"/>
        <v>-2.4477564753530432</v>
      </c>
      <c r="L275">
        <f t="shared" si="34"/>
        <v>-1.8991230938826875</v>
      </c>
    </row>
    <row r="276" spans="1:12" x14ac:dyDescent="0.25">
      <c r="A276" s="1">
        <v>40585</v>
      </c>
      <c r="B276" s="6">
        <v>51.643000000000001</v>
      </c>
      <c r="C276" s="6">
        <v>11.0298</v>
      </c>
      <c r="D276" s="6">
        <v>8609.86</v>
      </c>
      <c r="E276" s="6">
        <v>0.79</v>
      </c>
      <c r="F276" s="6">
        <f t="shared" si="28"/>
        <v>8.7777777777777784E-3</v>
      </c>
      <c r="G276">
        <f t="shared" si="29"/>
        <v>-0.83338133917083845</v>
      </c>
      <c r="H276">
        <f t="shared" si="30"/>
        <v>-2.7028457507806851</v>
      </c>
      <c r="I276">
        <f t="shared" si="31"/>
        <v>-2.5654779688023273</v>
      </c>
      <c r="J276">
        <f t="shared" si="32"/>
        <v>-0.59256518366538258</v>
      </c>
      <c r="K276">
        <f t="shared" si="33"/>
        <v>-0.84215911694861623</v>
      </c>
      <c r="L276">
        <f t="shared" si="34"/>
        <v>-2.5742557465801053</v>
      </c>
    </row>
    <row r="277" spans="1:12" x14ac:dyDescent="0.25">
      <c r="A277" s="1">
        <v>40588</v>
      </c>
      <c r="B277" s="6">
        <v>52.438699999999997</v>
      </c>
      <c r="C277" s="6">
        <v>11.166</v>
      </c>
      <c r="D277" s="6">
        <v>8685.4699999999993</v>
      </c>
      <c r="E277" s="6">
        <v>0.79</v>
      </c>
      <c r="F277" s="6">
        <f t="shared" si="28"/>
        <v>8.7777777777777784E-3</v>
      </c>
      <c r="G277">
        <f t="shared" si="29"/>
        <v>1.5407702883256134</v>
      </c>
      <c r="H277">
        <f t="shared" si="30"/>
        <v>1.2348365337540168</v>
      </c>
      <c r="I277">
        <f t="shared" si="31"/>
        <v>0.87817920384302139</v>
      </c>
      <c r="J277">
        <f t="shared" si="32"/>
        <v>1.077950003885261</v>
      </c>
      <c r="K277">
        <f t="shared" si="33"/>
        <v>1.5319925105478356</v>
      </c>
      <c r="L277">
        <f t="shared" si="34"/>
        <v>0.86940142606524362</v>
      </c>
    </row>
    <row r="278" spans="1:12" x14ac:dyDescent="0.25">
      <c r="A278" s="1">
        <v>40589</v>
      </c>
      <c r="B278" s="6">
        <v>52.438699999999997</v>
      </c>
      <c r="C278" s="6">
        <v>11.0298</v>
      </c>
      <c r="D278" s="6">
        <v>8721.93</v>
      </c>
      <c r="E278" s="6">
        <v>0.79</v>
      </c>
      <c r="F278" s="6">
        <f t="shared" si="28"/>
        <v>8.7777777777777784E-3</v>
      </c>
      <c r="G278">
        <f t="shared" si="29"/>
        <v>0</v>
      </c>
      <c r="H278">
        <f t="shared" si="30"/>
        <v>-1.2197743148844755</v>
      </c>
      <c r="I278">
        <f t="shared" si="31"/>
        <v>0.41978154319801864</v>
      </c>
      <c r="J278">
        <f t="shared" si="32"/>
        <v>-6.1762740512849709E-3</v>
      </c>
      <c r="K278">
        <f t="shared" si="33"/>
        <v>-8.7777777777777784E-3</v>
      </c>
      <c r="L278">
        <f t="shared" si="34"/>
        <v>0.41100376542024086</v>
      </c>
    </row>
    <row r="279" spans="1:12" x14ac:dyDescent="0.25">
      <c r="A279" s="1">
        <v>40590</v>
      </c>
      <c r="B279" s="6">
        <v>52.1494</v>
      </c>
      <c r="C279" s="6">
        <v>11.097899999999999</v>
      </c>
      <c r="D279" s="6">
        <v>8712.9599999999991</v>
      </c>
      <c r="E279" s="6">
        <v>0.79</v>
      </c>
      <c r="F279" s="6">
        <f t="shared" si="28"/>
        <v>8.7777777777777784E-3</v>
      </c>
      <c r="G279">
        <f t="shared" si="29"/>
        <v>-0.55169178488405934</v>
      </c>
      <c r="H279">
        <f t="shared" si="30"/>
        <v>0.6174182668770003</v>
      </c>
      <c r="I279">
        <f t="shared" si="31"/>
        <v>-0.10284420993978585</v>
      </c>
      <c r="J279">
        <f t="shared" si="32"/>
        <v>-0.39436104490670965</v>
      </c>
      <c r="K279">
        <f t="shared" si="33"/>
        <v>-0.56046956266183712</v>
      </c>
      <c r="L279">
        <f t="shared" si="34"/>
        <v>-0.11162198771756363</v>
      </c>
    </row>
    <row r="280" spans="1:12" x14ac:dyDescent="0.25">
      <c r="A280" s="1">
        <v>40591</v>
      </c>
      <c r="B280" s="6">
        <v>52.438699999999997</v>
      </c>
      <c r="C280" s="6">
        <v>10.995699999999999</v>
      </c>
      <c r="D280" s="6">
        <v>8683.8799999999992</v>
      </c>
      <c r="E280" s="6">
        <v>0.79</v>
      </c>
      <c r="F280" s="6">
        <f t="shared" si="28"/>
        <v>8.7777777777777784E-3</v>
      </c>
      <c r="G280">
        <f t="shared" si="29"/>
        <v>0.55475230779260587</v>
      </c>
      <c r="H280">
        <f t="shared" si="30"/>
        <v>-0.92089494408851991</v>
      </c>
      <c r="I280">
        <f t="shared" si="31"/>
        <v>-0.33375569266931021</v>
      </c>
      <c r="J280">
        <f t="shared" si="32"/>
        <v>0.38416196077895959</v>
      </c>
      <c r="K280">
        <f t="shared" si="33"/>
        <v>0.5459745300148281</v>
      </c>
      <c r="L280">
        <f t="shared" si="34"/>
        <v>-0.34253347044708798</v>
      </c>
    </row>
    <row r="281" spans="1:12" x14ac:dyDescent="0.25">
      <c r="A281" s="1">
        <v>40592</v>
      </c>
      <c r="B281" s="6">
        <v>52.8003</v>
      </c>
      <c r="C281" s="6">
        <v>11.166</v>
      </c>
      <c r="D281" s="6">
        <v>8843.84</v>
      </c>
      <c r="E281" s="6">
        <v>0.79</v>
      </c>
      <c r="F281" s="6">
        <f t="shared" si="28"/>
        <v>8.7777777777777784E-3</v>
      </c>
      <c r="G281">
        <f t="shared" si="29"/>
        <v>0.68956705639156357</v>
      </c>
      <c r="H281">
        <f t="shared" si="30"/>
        <v>1.548787253198987</v>
      </c>
      <c r="I281">
        <f t="shared" si="31"/>
        <v>1.8420337452843771</v>
      </c>
      <c r="J281">
        <f t="shared" si="32"/>
        <v>0.47902114434250698</v>
      </c>
      <c r="K281">
        <f t="shared" si="33"/>
        <v>0.6807892786137858</v>
      </c>
      <c r="L281">
        <f t="shared" si="34"/>
        <v>1.8332559675065994</v>
      </c>
    </row>
    <row r="282" spans="1:12" x14ac:dyDescent="0.25">
      <c r="A282" s="1">
        <v>40595</v>
      </c>
      <c r="B282" s="6">
        <v>53.089599999999997</v>
      </c>
      <c r="C282" s="6">
        <v>11.097899999999999</v>
      </c>
      <c r="D282" s="6">
        <v>8839.2199999999993</v>
      </c>
      <c r="E282" s="6">
        <v>0.79</v>
      </c>
      <c r="F282" s="6">
        <f t="shared" si="28"/>
        <v>8.7777777777777784E-3</v>
      </c>
      <c r="G282">
        <f t="shared" si="29"/>
        <v>0.54791355352147098</v>
      </c>
      <c r="H282">
        <f t="shared" si="30"/>
        <v>-0.60988715744224575</v>
      </c>
      <c r="I282">
        <f t="shared" si="31"/>
        <v>-5.2239751058372835E-2</v>
      </c>
      <c r="J282">
        <f t="shared" si="32"/>
        <v>0.37935003438742387</v>
      </c>
      <c r="K282">
        <f t="shared" si="33"/>
        <v>0.5391357757436932</v>
      </c>
      <c r="L282">
        <f t="shared" si="34"/>
        <v>-6.1017528836150615E-2</v>
      </c>
    </row>
    <row r="283" spans="1:12" x14ac:dyDescent="0.25">
      <c r="A283" s="1">
        <v>40596</v>
      </c>
      <c r="B283" s="6">
        <v>52.438699999999997</v>
      </c>
      <c r="C283" s="6">
        <v>10.8255</v>
      </c>
      <c r="D283" s="6">
        <v>8673.67</v>
      </c>
      <c r="E283" s="6">
        <v>0.79</v>
      </c>
      <c r="F283" s="6">
        <f t="shared" si="28"/>
        <v>8.7777777777777784E-3</v>
      </c>
      <c r="G283">
        <f t="shared" si="29"/>
        <v>-1.2260405051083452</v>
      </c>
      <c r="H283">
        <f t="shared" si="30"/>
        <v>-2.4545184224042327</v>
      </c>
      <c r="I283">
        <f t="shared" si="31"/>
        <v>-1.8729028126916094</v>
      </c>
      <c r="J283">
        <f t="shared" si="32"/>
        <v>-0.86885044389590416</v>
      </c>
      <c r="K283">
        <f t="shared" si="33"/>
        <v>-1.2348182828861229</v>
      </c>
      <c r="L283">
        <f t="shared" si="34"/>
        <v>-1.8816805904693872</v>
      </c>
    </row>
    <row r="284" spans="1:12" x14ac:dyDescent="0.25">
      <c r="A284" s="1">
        <v>40597</v>
      </c>
      <c r="B284" s="6">
        <v>51.353700000000003</v>
      </c>
      <c r="C284" s="6">
        <v>10.485099999999999</v>
      </c>
      <c r="D284" s="6">
        <v>8528.94</v>
      </c>
      <c r="E284" s="6">
        <v>0.79</v>
      </c>
      <c r="F284" s="6">
        <f t="shared" si="28"/>
        <v>8.7777777777777784E-3</v>
      </c>
      <c r="G284">
        <f t="shared" si="29"/>
        <v>-2.0690825668828436</v>
      </c>
      <c r="H284">
        <f t="shared" si="30"/>
        <v>-3.1444275091219871</v>
      </c>
      <c r="I284">
        <f t="shared" si="31"/>
        <v>-1.6686131706647769</v>
      </c>
      <c r="J284">
        <f t="shared" si="32"/>
        <v>-1.4620368906366199</v>
      </c>
      <c r="K284">
        <f t="shared" si="33"/>
        <v>-2.0778603446606216</v>
      </c>
      <c r="L284">
        <f t="shared" si="34"/>
        <v>-1.6773909484425547</v>
      </c>
    </row>
    <row r="285" spans="1:12" x14ac:dyDescent="0.25">
      <c r="A285" s="1">
        <v>40598</v>
      </c>
      <c r="B285" s="6">
        <v>50.992100000000001</v>
      </c>
      <c r="C285" s="6">
        <v>10.5532</v>
      </c>
      <c r="D285" s="6">
        <v>8541.64</v>
      </c>
      <c r="E285" s="6">
        <v>0.79</v>
      </c>
      <c r="F285" s="6">
        <f t="shared" si="28"/>
        <v>8.7777777777777784E-3</v>
      </c>
      <c r="G285">
        <f t="shared" si="29"/>
        <v>-0.70413621608570132</v>
      </c>
      <c r="H285">
        <f t="shared" si="30"/>
        <v>0.64949309019466828</v>
      </c>
      <c r="I285">
        <f t="shared" si="31"/>
        <v>0.14890478769927926</v>
      </c>
      <c r="J285">
        <f t="shared" si="32"/>
        <v>-0.5016249343021828</v>
      </c>
      <c r="K285">
        <f t="shared" si="33"/>
        <v>-0.71291399386347909</v>
      </c>
      <c r="L285">
        <f t="shared" si="34"/>
        <v>0.14012700992150148</v>
      </c>
    </row>
    <row r="286" spans="1:12" x14ac:dyDescent="0.25">
      <c r="A286" s="1">
        <v>40599</v>
      </c>
      <c r="B286" s="6">
        <v>50.992100000000001</v>
      </c>
      <c r="C286" s="6">
        <v>10.485099999999999</v>
      </c>
      <c r="D286" s="6">
        <v>8599.65</v>
      </c>
      <c r="E286" s="6">
        <v>0.79</v>
      </c>
      <c r="F286" s="6">
        <f t="shared" si="28"/>
        <v>8.7777777777777784E-3</v>
      </c>
      <c r="G286">
        <f t="shared" si="29"/>
        <v>0</v>
      </c>
      <c r="H286">
        <f t="shared" si="30"/>
        <v>-0.64530189895009249</v>
      </c>
      <c r="I286">
        <f t="shared" si="31"/>
        <v>0.67914358366777605</v>
      </c>
      <c r="J286">
        <f t="shared" si="32"/>
        <v>-6.1762740512849709E-3</v>
      </c>
      <c r="K286">
        <f t="shared" si="33"/>
        <v>-8.7777777777777784E-3</v>
      </c>
      <c r="L286">
        <f t="shared" si="34"/>
        <v>0.67036580588999828</v>
      </c>
    </row>
    <row r="287" spans="1:12" x14ac:dyDescent="0.25">
      <c r="A287" s="1">
        <v>40603</v>
      </c>
      <c r="B287" s="6">
        <v>51.643000000000001</v>
      </c>
      <c r="C287" s="6">
        <v>10.757400000000001</v>
      </c>
      <c r="D287" s="6">
        <v>8727.56</v>
      </c>
      <c r="E287" s="6">
        <v>0.79</v>
      </c>
      <c r="F287" s="6">
        <f t="shared" si="28"/>
        <v>8.7777777777777784E-3</v>
      </c>
      <c r="G287">
        <f t="shared" si="29"/>
        <v>1.2764722378564524</v>
      </c>
      <c r="H287">
        <f t="shared" si="30"/>
        <v>2.5970186264318063</v>
      </c>
      <c r="I287">
        <f t="shared" si="31"/>
        <v>1.487386114551172</v>
      </c>
      <c r="J287">
        <f t="shared" si="32"/>
        <v>0.89198298213512217</v>
      </c>
      <c r="K287">
        <f t="shared" si="33"/>
        <v>1.2676944600786746</v>
      </c>
      <c r="L287">
        <f t="shared" si="34"/>
        <v>1.4786083367733942</v>
      </c>
    </row>
    <row r="288" spans="1:12" x14ac:dyDescent="0.25">
      <c r="A288" s="1">
        <v>40604</v>
      </c>
      <c r="B288" s="6">
        <v>50.919800000000002</v>
      </c>
      <c r="C288" s="6">
        <v>10.5191</v>
      </c>
      <c r="D288" s="6">
        <v>8619.9</v>
      </c>
      <c r="E288" s="6">
        <v>0.79</v>
      </c>
      <c r="F288" s="6">
        <f t="shared" si="28"/>
        <v>8.7777777777777784E-3</v>
      </c>
      <c r="G288">
        <f t="shared" si="29"/>
        <v>-1.4003834014290388</v>
      </c>
      <c r="H288">
        <f t="shared" si="30"/>
        <v>-2.2152192909067305</v>
      </c>
      <c r="I288">
        <f t="shared" si="31"/>
        <v>-1.233563561866087</v>
      </c>
      <c r="J288">
        <f t="shared" si="32"/>
        <v>-0.99152266616352813</v>
      </c>
      <c r="K288">
        <f t="shared" si="33"/>
        <v>-1.4091611792068166</v>
      </c>
      <c r="L288">
        <f t="shared" si="34"/>
        <v>-1.2423413396438647</v>
      </c>
    </row>
    <row r="289" spans="1:12" x14ac:dyDescent="0.25">
      <c r="A289" s="1">
        <v>40605</v>
      </c>
      <c r="B289" s="6">
        <v>51.209099999999999</v>
      </c>
      <c r="C289" s="6">
        <v>10.689399999999999</v>
      </c>
      <c r="D289" s="6">
        <v>8738.3700000000008</v>
      </c>
      <c r="E289" s="6">
        <v>0.79</v>
      </c>
      <c r="F289" s="6">
        <f t="shared" si="28"/>
        <v>8.7777777777777784E-3</v>
      </c>
      <c r="G289">
        <f t="shared" si="29"/>
        <v>0.56814834308068218</v>
      </c>
      <c r="H289">
        <f t="shared" si="30"/>
        <v>1.6189597969407956</v>
      </c>
      <c r="I289">
        <f t="shared" si="31"/>
        <v>1.3743778930150137</v>
      </c>
      <c r="J289">
        <f t="shared" si="32"/>
        <v>0.39358776161767595</v>
      </c>
      <c r="K289">
        <f t="shared" si="33"/>
        <v>0.55937056530290441</v>
      </c>
      <c r="L289">
        <f t="shared" si="34"/>
        <v>1.3656001152372359</v>
      </c>
    </row>
    <row r="290" spans="1:12" x14ac:dyDescent="0.25">
      <c r="A290" s="1">
        <v>40606</v>
      </c>
      <c r="B290" s="6">
        <v>51.932400000000001</v>
      </c>
      <c r="C290" s="6">
        <v>10.8255</v>
      </c>
      <c r="D290" s="6">
        <v>8784.4</v>
      </c>
      <c r="E290" s="6">
        <v>0.79</v>
      </c>
      <c r="F290" s="6">
        <f t="shared" si="28"/>
        <v>8.7777777777777784E-3</v>
      </c>
      <c r="G290">
        <f t="shared" si="29"/>
        <v>1.4124442725999906</v>
      </c>
      <c r="H290">
        <f t="shared" si="30"/>
        <v>1.2732239414747393</v>
      </c>
      <c r="I290">
        <f t="shared" si="31"/>
        <v>0.52675727853133747</v>
      </c>
      <c r="J290">
        <f t="shared" si="32"/>
        <v>0.98765646250198813</v>
      </c>
      <c r="K290">
        <f t="shared" si="33"/>
        <v>1.4036664948222128</v>
      </c>
      <c r="L290">
        <f t="shared" si="34"/>
        <v>0.5179795007535597</v>
      </c>
    </row>
    <row r="291" spans="1:12" x14ac:dyDescent="0.25">
      <c r="A291" s="1">
        <v>40609</v>
      </c>
      <c r="B291" s="6">
        <v>51.281399999999998</v>
      </c>
      <c r="C291" s="6">
        <v>10.6213</v>
      </c>
      <c r="D291" s="6">
        <v>8713.7900000000009</v>
      </c>
      <c r="E291" s="6">
        <v>0.79</v>
      </c>
      <c r="F291" s="6">
        <f t="shared" si="28"/>
        <v>8.7777777777777784E-3</v>
      </c>
      <c r="G291">
        <f t="shared" si="29"/>
        <v>-1.2535526954271385</v>
      </c>
      <c r="H291">
        <f t="shared" si="30"/>
        <v>-1.8862870075285221</v>
      </c>
      <c r="I291">
        <f t="shared" si="31"/>
        <v>-0.80381130185327132</v>
      </c>
      <c r="J291">
        <f t="shared" si="32"/>
        <v>-0.88820874066096478</v>
      </c>
      <c r="K291">
        <f t="shared" si="33"/>
        <v>-1.2623304732049163</v>
      </c>
      <c r="L291">
        <f t="shared" si="34"/>
        <v>-0.81258907963104909</v>
      </c>
    </row>
    <row r="292" spans="1:12" x14ac:dyDescent="0.25">
      <c r="A292" s="1">
        <v>40610</v>
      </c>
      <c r="B292" s="6">
        <v>51.715400000000002</v>
      </c>
      <c r="C292" s="6">
        <v>10.5532</v>
      </c>
      <c r="D292" s="6">
        <v>8747.75</v>
      </c>
      <c r="E292" s="6">
        <v>0.79</v>
      </c>
      <c r="F292" s="6">
        <f t="shared" si="28"/>
        <v>8.7777777777777784E-3</v>
      </c>
      <c r="G292">
        <f t="shared" si="29"/>
        <v>0.84631074814651053</v>
      </c>
      <c r="H292">
        <f t="shared" si="30"/>
        <v>-0.64116445256229826</v>
      </c>
      <c r="I292">
        <f t="shared" si="31"/>
        <v>0.38972708775399822</v>
      </c>
      <c r="J292">
        <f t="shared" si="32"/>
        <v>0.58931010592223099</v>
      </c>
      <c r="K292">
        <f t="shared" si="33"/>
        <v>0.83753297036873275</v>
      </c>
      <c r="L292">
        <f t="shared" si="34"/>
        <v>0.38094930997622045</v>
      </c>
    </row>
    <row r="293" spans="1:12" x14ac:dyDescent="0.25">
      <c r="A293" s="1">
        <v>40611</v>
      </c>
      <c r="B293" s="6">
        <v>51.643000000000001</v>
      </c>
      <c r="C293" s="6">
        <v>10.3149</v>
      </c>
      <c r="D293" s="6">
        <v>8750.02</v>
      </c>
      <c r="E293" s="6">
        <v>0.79</v>
      </c>
      <c r="F293" s="6">
        <f t="shared" si="28"/>
        <v>8.7777777777777784E-3</v>
      </c>
      <c r="G293">
        <f t="shared" si="29"/>
        <v>-0.13999698349041445</v>
      </c>
      <c r="H293">
        <f t="shared" si="30"/>
        <v>-2.258082856384799</v>
      </c>
      <c r="I293">
        <f t="shared" si="31"/>
        <v>2.5949529879116761E-2</v>
      </c>
      <c r="J293">
        <f t="shared" si="32"/>
        <v>-0.1046818136400211</v>
      </c>
      <c r="K293">
        <f t="shared" si="33"/>
        <v>-0.14877476126819222</v>
      </c>
      <c r="L293">
        <f t="shared" si="34"/>
        <v>1.7171752101338984E-2</v>
      </c>
    </row>
    <row r="294" spans="1:12" x14ac:dyDescent="0.25">
      <c r="A294" s="1">
        <v>40612</v>
      </c>
      <c r="B294" s="6">
        <v>50.992100000000001</v>
      </c>
      <c r="C294" s="6">
        <v>10.0085</v>
      </c>
      <c r="D294" s="6">
        <v>8642.9</v>
      </c>
      <c r="E294" s="6">
        <v>0.79</v>
      </c>
      <c r="F294" s="6">
        <f t="shared" si="28"/>
        <v>8.7777777777777784E-3</v>
      </c>
      <c r="G294">
        <f t="shared" si="29"/>
        <v>-1.2603837887032125</v>
      </c>
      <c r="H294">
        <f t="shared" si="30"/>
        <v>-2.9704602080485514</v>
      </c>
      <c r="I294">
        <f t="shared" si="31"/>
        <v>-1.2242257731982418</v>
      </c>
      <c r="J294">
        <f t="shared" si="32"/>
        <v>-0.89301527657598134</v>
      </c>
      <c r="K294">
        <f t="shared" si="33"/>
        <v>-1.2691615664809903</v>
      </c>
      <c r="L294">
        <f t="shared" si="34"/>
        <v>-1.2330035509760195</v>
      </c>
    </row>
    <row r="295" spans="1:12" x14ac:dyDescent="0.25">
      <c r="A295" s="1">
        <v>40613</v>
      </c>
      <c r="B295" s="6">
        <v>50.630400000000002</v>
      </c>
      <c r="C295" s="6">
        <v>10.1106</v>
      </c>
      <c r="D295" s="6">
        <v>8567.82</v>
      </c>
      <c r="E295" s="6">
        <v>0.79</v>
      </c>
      <c r="F295" s="6">
        <f t="shared" si="28"/>
        <v>8.7777777777777784E-3</v>
      </c>
      <c r="G295">
        <f t="shared" si="29"/>
        <v>-0.70932556219492626</v>
      </c>
      <c r="H295">
        <f t="shared" si="30"/>
        <v>1.0201328870460118</v>
      </c>
      <c r="I295">
        <f t="shared" si="31"/>
        <v>-0.86868990732277285</v>
      </c>
      <c r="J295">
        <f t="shared" si="32"/>
        <v>-0.50527629396620666</v>
      </c>
      <c r="K295">
        <f t="shared" si="33"/>
        <v>-0.71810333997270404</v>
      </c>
      <c r="L295">
        <f t="shared" si="34"/>
        <v>-0.87746768510055062</v>
      </c>
    </row>
    <row r="296" spans="1:12" x14ac:dyDescent="0.25">
      <c r="A296" s="1">
        <v>40616</v>
      </c>
      <c r="B296" s="6">
        <v>50.8474</v>
      </c>
      <c r="C296" s="6">
        <v>9.9404000000000003</v>
      </c>
      <c r="D296" s="6">
        <v>8520.02</v>
      </c>
      <c r="E296" s="6">
        <v>0.79</v>
      </c>
      <c r="F296" s="6">
        <f t="shared" si="28"/>
        <v>8.7777777777777784E-3</v>
      </c>
      <c r="G296">
        <f t="shared" si="29"/>
        <v>0.4285962583744129</v>
      </c>
      <c r="H296">
        <f t="shared" si="30"/>
        <v>-1.6833817973216176</v>
      </c>
      <c r="I296">
        <f t="shared" si="31"/>
        <v>-0.55790154321635232</v>
      </c>
      <c r="J296">
        <f t="shared" si="32"/>
        <v>0.29539526445101166</v>
      </c>
      <c r="K296">
        <f t="shared" si="33"/>
        <v>0.41981848059663512</v>
      </c>
      <c r="L296">
        <f t="shared" si="34"/>
        <v>-0.5666793209941301</v>
      </c>
    </row>
    <row r="297" spans="1:12" x14ac:dyDescent="0.25">
      <c r="A297" s="1">
        <v>40617</v>
      </c>
      <c r="B297" s="6">
        <v>49.183900000000001</v>
      </c>
      <c r="C297" s="6">
        <v>9.7362000000000002</v>
      </c>
      <c r="D297" s="6">
        <v>8234.7800000000007</v>
      </c>
      <c r="E297" s="6">
        <v>0.79</v>
      </c>
      <c r="F297" s="6">
        <f t="shared" si="28"/>
        <v>8.7777777777777784E-3</v>
      </c>
      <c r="G297">
        <f t="shared" si="29"/>
        <v>-3.2715537077608672</v>
      </c>
      <c r="H297">
        <f t="shared" si="30"/>
        <v>-2.054243290008452</v>
      </c>
      <c r="I297">
        <f t="shared" si="31"/>
        <v>-3.3478794650716757</v>
      </c>
      <c r="J297">
        <f t="shared" si="32"/>
        <v>-2.3081270392874522</v>
      </c>
      <c r="K297">
        <f t="shared" si="33"/>
        <v>-3.2803314855386452</v>
      </c>
      <c r="L297">
        <f t="shared" si="34"/>
        <v>-3.3566572428494537</v>
      </c>
    </row>
    <row r="298" spans="1:12" x14ac:dyDescent="0.25">
      <c r="A298" s="1">
        <v>40618</v>
      </c>
      <c r="B298" s="6">
        <v>49.545499999999997</v>
      </c>
      <c r="C298" s="6">
        <v>9.6</v>
      </c>
      <c r="D298" s="6">
        <v>8324.58</v>
      </c>
      <c r="E298" s="6">
        <v>0.79</v>
      </c>
      <c r="F298" s="6">
        <f t="shared" si="28"/>
        <v>8.7777777777777784E-3</v>
      </c>
      <c r="G298">
        <f t="shared" si="29"/>
        <v>0.73519993331150169</v>
      </c>
      <c r="H298">
        <f t="shared" si="30"/>
        <v>-1.3989030627965791</v>
      </c>
      <c r="I298">
        <f t="shared" si="31"/>
        <v>1.0904966495765431</v>
      </c>
      <c r="J298">
        <f t="shared" si="32"/>
        <v>0.51112963019636581</v>
      </c>
      <c r="K298">
        <f t="shared" si="33"/>
        <v>0.72642215553372391</v>
      </c>
      <c r="L298">
        <f t="shared" si="34"/>
        <v>1.0817188717987654</v>
      </c>
    </row>
    <row r="299" spans="1:12" x14ac:dyDescent="0.25">
      <c r="A299" s="1">
        <v>40619</v>
      </c>
      <c r="B299" s="6">
        <v>48.749899999999997</v>
      </c>
      <c r="C299" s="6">
        <v>9.8383000000000003</v>
      </c>
      <c r="D299" s="6">
        <v>8282.69</v>
      </c>
      <c r="E299" s="6">
        <v>0.79</v>
      </c>
      <c r="F299" s="6">
        <f t="shared" si="28"/>
        <v>8.7777777777777784E-3</v>
      </c>
      <c r="G299">
        <f t="shared" si="29"/>
        <v>-1.6057966919296411</v>
      </c>
      <c r="H299">
        <f t="shared" si="30"/>
        <v>2.4822916666666734</v>
      </c>
      <c r="I299">
        <f t="shared" si="31"/>
        <v>-0.50320857028221744</v>
      </c>
      <c r="J299">
        <f t="shared" si="32"/>
        <v>-1.1360568305074696</v>
      </c>
      <c r="K299">
        <f t="shared" si="33"/>
        <v>-1.6145744697074189</v>
      </c>
      <c r="L299">
        <f t="shared" si="34"/>
        <v>-0.51198634805999521</v>
      </c>
    </row>
    <row r="300" spans="1:12" x14ac:dyDescent="0.25">
      <c r="A300" s="1">
        <v>40620</v>
      </c>
      <c r="B300" s="6">
        <v>49.400799999999997</v>
      </c>
      <c r="C300" s="6">
        <v>9.9404000000000003</v>
      </c>
      <c r="D300" s="6">
        <v>8394.75</v>
      </c>
      <c r="E300" s="6">
        <v>0.79</v>
      </c>
      <c r="F300" s="6">
        <f t="shared" si="28"/>
        <v>8.7777777777777784E-3</v>
      </c>
      <c r="G300">
        <f t="shared" si="29"/>
        <v>1.3351822260148227</v>
      </c>
      <c r="H300">
        <f t="shared" si="30"/>
        <v>1.0377809174349235</v>
      </c>
      <c r="I300">
        <f t="shared" si="31"/>
        <v>1.3529420997284636</v>
      </c>
      <c r="J300">
        <f t="shared" si="32"/>
        <v>0.93329286552403512</v>
      </c>
      <c r="K300">
        <f t="shared" si="33"/>
        <v>1.326404448237045</v>
      </c>
      <c r="L300">
        <f t="shared" si="34"/>
        <v>1.3441643219506858</v>
      </c>
    </row>
    <row r="301" spans="1:12" x14ac:dyDescent="0.25">
      <c r="A301" s="1">
        <v>40623</v>
      </c>
      <c r="B301" s="6">
        <v>49.9071</v>
      </c>
      <c r="C301" s="6">
        <v>10.076599999999999</v>
      </c>
      <c r="D301" s="6">
        <v>8467.7099999999991</v>
      </c>
      <c r="E301" s="6">
        <v>0.79</v>
      </c>
      <c r="F301" s="6">
        <f t="shared" si="28"/>
        <v>8.7777777777777784E-3</v>
      </c>
      <c r="G301">
        <f t="shared" si="29"/>
        <v>1.0248821881427084</v>
      </c>
      <c r="H301">
        <f t="shared" si="30"/>
        <v>1.3701661904953399</v>
      </c>
      <c r="I301">
        <f t="shared" si="31"/>
        <v>0.86911462521217575</v>
      </c>
      <c r="J301">
        <f t="shared" si="32"/>
        <v>0.71495764212909141</v>
      </c>
      <c r="K301">
        <f t="shared" si="33"/>
        <v>1.0161044103649306</v>
      </c>
      <c r="L301">
        <f t="shared" si="34"/>
        <v>0.86033684743439798</v>
      </c>
    </row>
    <row r="302" spans="1:12" x14ac:dyDescent="0.25">
      <c r="A302" s="1">
        <v>40624</v>
      </c>
      <c r="B302" s="6">
        <v>49.617800000000003</v>
      </c>
      <c r="C302" s="6">
        <v>10.0085</v>
      </c>
      <c r="D302" s="6">
        <v>8508.0400000000009</v>
      </c>
      <c r="E302" s="6">
        <v>0.79</v>
      </c>
      <c r="F302" s="6">
        <f t="shared" si="28"/>
        <v>8.7777777777777784E-3</v>
      </c>
      <c r="G302">
        <f t="shared" si="29"/>
        <v>-0.57967703994020336</v>
      </c>
      <c r="H302">
        <f t="shared" si="30"/>
        <v>-0.67582319433141524</v>
      </c>
      <c r="I302">
        <f t="shared" si="31"/>
        <v>0.4762798914937067</v>
      </c>
      <c r="J302">
        <f t="shared" si="32"/>
        <v>-0.41405220239527529</v>
      </c>
      <c r="K302">
        <f t="shared" si="33"/>
        <v>-0.58845481771798114</v>
      </c>
      <c r="L302">
        <f t="shared" si="34"/>
        <v>0.46750211371592892</v>
      </c>
    </row>
    <row r="303" spans="1:12" x14ac:dyDescent="0.25">
      <c r="A303" s="1">
        <v>40625</v>
      </c>
      <c r="B303" s="6">
        <v>49.690199999999997</v>
      </c>
      <c r="C303" s="6">
        <v>10.1106</v>
      </c>
      <c r="D303" s="6">
        <v>8545.08</v>
      </c>
      <c r="E303" s="6">
        <v>0.79</v>
      </c>
      <c r="F303" s="6">
        <f t="shared" si="28"/>
        <v>8.7777777777777784E-3</v>
      </c>
      <c r="G303">
        <f t="shared" si="29"/>
        <v>0.14591537714286948</v>
      </c>
      <c r="H303">
        <f t="shared" si="30"/>
        <v>1.0201328870460118</v>
      </c>
      <c r="I303">
        <f t="shared" si="31"/>
        <v>0.43535291324440234</v>
      </c>
      <c r="J303">
        <f t="shared" si="32"/>
        <v>9.6493602123128741E-2</v>
      </c>
      <c r="K303">
        <f t="shared" si="33"/>
        <v>0.13713759936509171</v>
      </c>
      <c r="L303">
        <f t="shared" si="34"/>
        <v>0.42657513546662457</v>
      </c>
    </row>
    <row r="304" spans="1:12" x14ac:dyDescent="0.25">
      <c r="A304" s="1">
        <v>40626</v>
      </c>
      <c r="B304" s="6">
        <v>50.1965</v>
      </c>
      <c r="C304" s="6">
        <v>10.2128</v>
      </c>
      <c r="D304" s="6">
        <v>8576.4</v>
      </c>
      <c r="E304" s="6">
        <v>0.79</v>
      </c>
      <c r="F304" s="6">
        <f t="shared" si="28"/>
        <v>8.7777777777777784E-3</v>
      </c>
      <c r="G304">
        <f t="shared" si="29"/>
        <v>1.0189131861010885</v>
      </c>
      <c r="H304">
        <f t="shared" si="30"/>
        <v>1.0108203271813725</v>
      </c>
      <c r="I304">
        <f t="shared" si="31"/>
        <v>0.36652670308528074</v>
      </c>
      <c r="J304">
        <f t="shared" si="32"/>
        <v>0.71075769615699624</v>
      </c>
      <c r="K304">
        <f t="shared" si="33"/>
        <v>1.0101354083233107</v>
      </c>
      <c r="L304">
        <f t="shared" si="34"/>
        <v>0.35774892530750296</v>
      </c>
    </row>
    <row r="305" spans="1:12" x14ac:dyDescent="0.25">
      <c r="A305" s="1">
        <v>40627</v>
      </c>
      <c r="B305" s="6">
        <v>51.498399999999997</v>
      </c>
      <c r="C305" s="6">
        <v>10.280900000000001</v>
      </c>
      <c r="D305" s="6">
        <v>8610.39</v>
      </c>
      <c r="E305" s="6">
        <v>0.79</v>
      </c>
      <c r="F305" s="6">
        <f t="shared" si="28"/>
        <v>8.7777777777777784E-3</v>
      </c>
      <c r="G305">
        <f t="shared" si="29"/>
        <v>2.5936071240026619</v>
      </c>
      <c r="H305">
        <f t="shared" si="30"/>
        <v>0.66681027729908704</v>
      </c>
      <c r="I305">
        <f t="shared" si="31"/>
        <v>0.39632013432209068</v>
      </c>
      <c r="J305">
        <f t="shared" si="32"/>
        <v>1.8187535413012379</v>
      </c>
      <c r="K305">
        <f t="shared" si="33"/>
        <v>2.5848293462248839</v>
      </c>
      <c r="L305">
        <f t="shared" si="34"/>
        <v>0.3875423565443129</v>
      </c>
    </row>
    <row r="306" spans="1:12" x14ac:dyDescent="0.25">
      <c r="A306" s="1">
        <v>40630</v>
      </c>
      <c r="B306" s="6">
        <v>51.353700000000003</v>
      </c>
      <c r="C306" s="6">
        <v>10.2468</v>
      </c>
      <c r="D306" s="6">
        <v>8553.06</v>
      </c>
      <c r="E306" s="6">
        <v>0.79</v>
      </c>
      <c r="F306" s="6">
        <f t="shared" si="28"/>
        <v>8.7777777777777784E-3</v>
      </c>
      <c r="G306">
        <f t="shared" si="29"/>
        <v>-0.28097960324979643</v>
      </c>
      <c r="H306">
        <f t="shared" si="30"/>
        <v>-0.33168302385978327</v>
      </c>
      <c r="I306">
        <f t="shared" si="31"/>
        <v>-0.66582349928400375</v>
      </c>
      <c r="J306">
        <f t="shared" si="32"/>
        <v>-0.20388087268962135</v>
      </c>
      <c r="K306">
        <f t="shared" si="33"/>
        <v>-0.2897573810275742</v>
      </c>
      <c r="L306">
        <f t="shared" si="34"/>
        <v>-0.67460127706178152</v>
      </c>
    </row>
    <row r="307" spans="1:12" x14ac:dyDescent="0.25">
      <c r="A307" s="1">
        <v>40631</v>
      </c>
      <c r="B307" s="6">
        <v>51.209099999999999</v>
      </c>
      <c r="C307" s="6">
        <v>10.3149</v>
      </c>
      <c r="D307" s="6">
        <v>8596.57</v>
      </c>
      <c r="E307" s="6">
        <v>0.79</v>
      </c>
      <c r="F307" s="6">
        <f t="shared" si="28"/>
        <v>8.7777777777777784E-3</v>
      </c>
      <c r="G307">
        <f t="shared" si="29"/>
        <v>-0.28157659525994044</v>
      </c>
      <c r="H307">
        <f t="shared" si="30"/>
        <v>0.66459772807119666</v>
      </c>
      <c r="I307">
        <f t="shared" si="31"/>
        <v>0.50870682539348744</v>
      </c>
      <c r="J307">
        <f t="shared" si="32"/>
        <v>-0.20430093188392126</v>
      </c>
      <c r="K307">
        <f t="shared" si="33"/>
        <v>-0.29035437303771822</v>
      </c>
      <c r="L307">
        <f t="shared" si="34"/>
        <v>0.49992904761570967</v>
      </c>
    </row>
    <row r="308" spans="1:12" x14ac:dyDescent="0.25">
      <c r="A308" s="1">
        <v>40632</v>
      </c>
      <c r="B308" s="6">
        <v>50.8474</v>
      </c>
      <c r="C308" s="6">
        <v>10.3149</v>
      </c>
      <c r="D308" s="6">
        <v>8646.31</v>
      </c>
      <c r="E308" s="6">
        <v>0.79</v>
      </c>
      <c r="F308" s="6">
        <f t="shared" si="28"/>
        <v>8.7777777777777784E-3</v>
      </c>
      <c r="G308">
        <f t="shared" si="29"/>
        <v>-0.70631977519620348</v>
      </c>
      <c r="H308">
        <f t="shared" si="30"/>
        <v>0</v>
      </c>
      <c r="I308">
        <f t="shared" si="31"/>
        <v>0.57860286137377792</v>
      </c>
      <c r="J308">
        <f t="shared" si="32"/>
        <v>-0.50316134360930653</v>
      </c>
      <c r="K308">
        <f t="shared" si="33"/>
        <v>-0.71509755297398125</v>
      </c>
      <c r="L308">
        <f t="shared" si="34"/>
        <v>0.56982508359600015</v>
      </c>
    </row>
    <row r="309" spans="1:12" x14ac:dyDescent="0.25">
      <c r="A309" s="1">
        <v>40633</v>
      </c>
      <c r="B309" s="6">
        <v>51.064399999999999</v>
      </c>
      <c r="C309" s="6">
        <v>10.417</v>
      </c>
      <c r="D309" s="6">
        <v>8683.2999999999993</v>
      </c>
      <c r="E309" s="6">
        <v>0.79</v>
      </c>
      <c r="F309" s="6">
        <f t="shared" si="28"/>
        <v>8.7777777777777784E-3</v>
      </c>
      <c r="G309">
        <f t="shared" si="29"/>
        <v>0.42676715033610124</v>
      </c>
      <c r="H309">
        <f t="shared" si="30"/>
        <v>0.98983024556709309</v>
      </c>
      <c r="I309">
        <f t="shared" si="31"/>
        <v>0.42781255818956043</v>
      </c>
      <c r="J309">
        <f t="shared" si="32"/>
        <v>0.29410825618992065</v>
      </c>
      <c r="K309">
        <f t="shared" si="33"/>
        <v>0.41798937255832347</v>
      </c>
      <c r="L309">
        <f t="shared" si="34"/>
        <v>0.41903478041178266</v>
      </c>
    </row>
    <row r="310" spans="1:12" x14ac:dyDescent="0.25">
      <c r="A310" s="1">
        <v>40634</v>
      </c>
      <c r="B310" s="6">
        <v>51.136699999999998</v>
      </c>
      <c r="C310" s="6">
        <v>10.3149</v>
      </c>
      <c r="D310" s="6">
        <v>8705.1299999999992</v>
      </c>
      <c r="E310" s="6">
        <v>0.79</v>
      </c>
      <c r="F310" s="6">
        <f t="shared" si="28"/>
        <v>8.7777777777777784E-3</v>
      </c>
      <c r="G310">
        <f t="shared" si="29"/>
        <v>0.14158591895723532</v>
      </c>
      <c r="H310">
        <f t="shared" si="30"/>
        <v>-0.98012863588365251</v>
      </c>
      <c r="I310">
        <f t="shared" si="31"/>
        <v>0.25140211670678114</v>
      </c>
      <c r="J310">
        <f t="shared" si="32"/>
        <v>9.3447282094869258E-2</v>
      </c>
      <c r="K310">
        <f t="shared" si="33"/>
        <v>0.13280814117945755</v>
      </c>
      <c r="L310">
        <f t="shared" si="34"/>
        <v>0.24262433892900337</v>
      </c>
    </row>
    <row r="311" spans="1:12" x14ac:dyDescent="0.25">
      <c r="A311" s="1">
        <v>40639</v>
      </c>
      <c r="B311" s="6">
        <v>52.728000000000002</v>
      </c>
      <c r="C311" s="6">
        <v>10.4511</v>
      </c>
      <c r="D311" s="6">
        <v>8851.98</v>
      </c>
      <c r="E311" s="6">
        <v>0.79</v>
      </c>
      <c r="F311" s="6">
        <f t="shared" si="28"/>
        <v>8.7777777777777784E-3</v>
      </c>
      <c r="G311">
        <f t="shared" si="29"/>
        <v>3.111855086464328</v>
      </c>
      <c r="H311">
        <f t="shared" si="30"/>
        <v>1.3204199749876446</v>
      </c>
      <c r="I311">
        <f t="shared" si="31"/>
        <v>1.6869363237539288</v>
      </c>
      <c r="J311">
        <f t="shared" si="32"/>
        <v>2.1834063638854109</v>
      </c>
      <c r="K311">
        <f t="shared" si="33"/>
        <v>3.10307730868655</v>
      </c>
      <c r="L311">
        <f t="shared" si="34"/>
        <v>1.678158545976151</v>
      </c>
    </row>
    <row r="312" spans="1:12" x14ac:dyDescent="0.25">
      <c r="A312" s="1">
        <v>40640</v>
      </c>
      <c r="B312" s="6">
        <v>52.655700000000003</v>
      </c>
      <c r="C312" s="6">
        <v>10.5532</v>
      </c>
      <c r="D312" s="6">
        <v>8901.7199999999993</v>
      </c>
      <c r="E312" s="6">
        <v>0.79</v>
      </c>
      <c r="F312" s="6">
        <f t="shared" si="28"/>
        <v>8.7777777777777784E-3</v>
      </c>
      <c r="G312">
        <f t="shared" si="29"/>
        <v>-0.13711879836139901</v>
      </c>
      <c r="H312">
        <f t="shared" si="30"/>
        <v>0.97693065801686019</v>
      </c>
      <c r="I312">
        <f t="shared" si="31"/>
        <v>0.56190818325391367</v>
      </c>
      <c r="J312">
        <f t="shared" si="32"/>
        <v>-0.10265664729642374</v>
      </c>
      <c r="K312">
        <f t="shared" si="33"/>
        <v>-0.14589657613917678</v>
      </c>
      <c r="L312">
        <f t="shared" si="34"/>
        <v>0.5531304054761359</v>
      </c>
    </row>
    <row r="313" spans="1:12" x14ac:dyDescent="0.25">
      <c r="A313" s="1">
        <v>40641</v>
      </c>
      <c r="B313" s="6">
        <v>52.728000000000002</v>
      </c>
      <c r="C313" s="6">
        <v>10.6213</v>
      </c>
      <c r="D313" s="6">
        <v>8894.5400000000009</v>
      </c>
      <c r="E313" s="6">
        <v>0.79</v>
      </c>
      <c r="F313" s="6">
        <f t="shared" si="28"/>
        <v>8.7777777777777784E-3</v>
      </c>
      <c r="G313">
        <f t="shared" si="29"/>
        <v>0.13730707216882213</v>
      </c>
      <c r="H313">
        <f t="shared" si="30"/>
        <v>0.64530189895007561</v>
      </c>
      <c r="I313">
        <f t="shared" si="31"/>
        <v>-8.0658569355118698E-2</v>
      </c>
      <c r="J313">
        <f t="shared" si="32"/>
        <v>9.0436573569574269E-2</v>
      </c>
      <c r="K313">
        <f t="shared" si="33"/>
        <v>0.12852929439104435</v>
      </c>
      <c r="L313">
        <f t="shared" si="34"/>
        <v>-8.9436347132896471E-2</v>
      </c>
    </row>
    <row r="314" spans="1:12" x14ac:dyDescent="0.25">
      <c r="A314" s="1">
        <v>40644</v>
      </c>
      <c r="B314" s="6">
        <v>51.426099999999998</v>
      </c>
      <c r="C314" s="6">
        <v>10.5191</v>
      </c>
      <c r="D314" s="6">
        <v>8880.27</v>
      </c>
      <c r="E314" s="6">
        <v>0.79</v>
      </c>
      <c r="F314" s="6">
        <f t="shared" si="28"/>
        <v>8.7777777777777784E-3</v>
      </c>
      <c r="G314">
        <f t="shared" si="29"/>
        <v>-2.469086633287823</v>
      </c>
      <c r="H314">
        <f t="shared" si="30"/>
        <v>-0.96221743101126833</v>
      </c>
      <c r="I314">
        <f t="shared" si="31"/>
        <v>-0.16043550312889071</v>
      </c>
      <c r="J314">
        <f t="shared" si="32"/>
        <v>-1.7434902149620617</v>
      </c>
      <c r="K314">
        <f t="shared" si="33"/>
        <v>-2.477864411065601</v>
      </c>
      <c r="L314">
        <f t="shared" si="34"/>
        <v>-0.16921328090666848</v>
      </c>
    </row>
    <row r="315" spans="1:12" x14ac:dyDescent="0.25">
      <c r="A315" s="1">
        <v>40645</v>
      </c>
      <c r="B315" s="6">
        <v>50.702800000000003</v>
      </c>
      <c r="C315" s="6">
        <v>10.4511</v>
      </c>
      <c r="D315" s="6">
        <v>8732.59</v>
      </c>
      <c r="E315" s="6">
        <v>0.87</v>
      </c>
      <c r="F315" s="6">
        <f t="shared" si="28"/>
        <v>9.6666666666666672E-3</v>
      </c>
      <c r="G315">
        <f t="shared" si="29"/>
        <v>-1.406484256048961</v>
      </c>
      <c r="H315">
        <f t="shared" si="30"/>
        <v>-0.64644313677025234</v>
      </c>
      <c r="I315">
        <f t="shared" si="31"/>
        <v>-1.6630124984938552</v>
      </c>
      <c r="J315">
        <f t="shared" si="32"/>
        <v>-0.99644083253223026</v>
      </c>
      <c r="K315">
        <f t="shared" si="33"/>
        <v>-1.4161509227156277</v>
      </c>
      <c r="L315">
        <f t="shared" si="34"/>
        <v>-1.672679165160522</v>
      </c>
    </row>
    <row r="316" spans="1:12" x14ac:dyDescent="0.25">
      <c r="A316" s="1">
        <v>40646</v>
      </c>
      <c r="B316" s="6">
        <v>51.136699999999998</v>
      </c>
      <c r="C316" s="6">
        <v>10.417</v>
      </c>
      <c r="D316" s="6">
        <v>8780.2000000000007</v>
      </c>
      <c r="E316" s="6">
        <v>0.87</v>
      </c>
      <c r="F316" s="6">
        <f t="shared" si="28"/>
        <v>9.6666666666666672E-3</v>
      </c>
      <c r="G316">
        <f t="shared" si="29"/>
        <v>0.85577127890371762</v>
      </c>
      <c r="H316">
        <f t="shared" si="30"/>
        <v>-0.32628144405852461</v>
      </c>
      <c r="I316">
        <f t="shared" si="31"/>
        <v>0.54519907610457585</v>
      </c>
      <c r="J316">
        <f t="shared" si="32"/>
        <v>0.59534133735557038</v>
      </c>
      <c r="K316">
        <f t="shared" si="33"/>
        <v>0.84610461223705091</v>
      </c>
      <c r="L316">
        <f t="shared" si="34"/>
        <v>0.53553240943790914</v>
      </c>
    </row>
    <row r="317" spans="1:12" x14ac:dyDescent="0.25">
      <c r="A317" s="1">
        <v>40647</v>
      </c>
      <c r="B317" s="6">
        <v>50.485799999999998</v>
      </c>
      <c r="C317" s="6">
        <v>10.3149</v>
      </c>
      <c r="D317" s="6">
        <v>8802.73</v>
      </c>
      <c r="E317" s="6">
        <v>0.87</v>
      </c>
      <c r="F317" s="6">
        <f t="shared" si="28"/>
        <v>9.6666666666666672E-3</v>
      </c>
      <c r="G317">
        <f t="shared" si="29"/>
        <v>-1.2728627385028757</v>
      </c>
      <c r="H317">
        <f t="shared" si="30"/>
        <v>-0.98012863588365251</v>
      </c>
      <c r="I317">
        <f t="shared" si="31"/>
        <v>0.25660007744696972</v>
      </c>
      <c r="J317">
        <f t="shared" si="32"/>
        <v>-0.90242123754971304</v>
      </c>
      <c r="K317">
        <f t="shared" si="33"/>
        <v>-1.2825294051695424</v>
      </c>
      <c r="L317">
        <f t="shared" si="34"/>
        <v>0.24693341078030306</v>
      </c>
    </row>
    <row r="318" spans="1:12" x14ac:dyDescent="0.25">
      <c r="A318" s="1">
        <v>40648</v>
      </c>
      <c r="B318" s="6">
        <v>50.0518</v>
      </c>
      <c r="C318" s="6">
        <v>10.1447</v>
      </c>
      <c r="D318" s="6">
        <v>8718.1200000000008</v>
      </c>
      <c r="E318" s="6">
        <v>0.87</v>
      </c>
      <c r="F318" s="6">
        <f t="shared" si="28"/>
        <v>9.6666666666666672E-3</v>
      </c>
      <c r="G318">
        <f t="shared" si="29"/>
        <v>-0.85964766330333975</v>
      </c>
      <c r="H318">
        <f t="shared" si="30"/>
        <v>-1.6500402330609067</v>
      </c>
      <c r="I318">
        <f t="shared" si="31"/>
        <v>-0.96117908875995028</v>
      </c>
      <c r="J318">
        <f t="shared" si="32"/>
        <v>-0.61167230186627064</v>
      </c>
      <c r="K318">
        <f t="shared" si="33"/>
        <v>-0.86931432997000646</v>
      </c>
      <c r="L318">
        <f t="shared" si="34"/>
        <v>-0.970845755426617</v>
      </c>
    </row>
    <row r="319" spans="1:12" x14ac:dyDescent="0.25">
      <c r="A319" s="1">
        <v>40651</v>
      </c>
      <c r="B319" s="6">
        <v>49.9071</v>
      </c>
      <c r="C319" s="6">
        <v>10.0426</v>
      </c>
      <c r="D319" s="6">
        <v>8714.48</v>
      </c>
      <c r="E319" s="6">
        <v>0.87</v>
      </c>
      <c r="F319" s="6">
        <f t="shared" si="28"/>
        <v>9.6666666666666672E-3</v>
      </c>
      <c r="G319">
        <f t="shared" si="29"/>
        <v>-0.2891004918904021</v>
      </c>
      <c r="H319">
        <f t="shared" si="30"/>
        <v>-1.0064368586552592</v>
      </c>
      <c r="I319">
        <f t="shared" si="31"/>
        <v>-4.1752120870110029E-2</v>
      </c>
      <c r="J319">
        <f t="shared" si="32"/>
        <v>-0.21022038783480373</v>
      </c>
      <c r="K319">
        <f t="shared" si="33"/>
        <v>-0.29876715855706876</v>
      </c>
      <c r="L319">
        <f t="shared" si="34"/>
        <v>-5.14187875367767E-2</v>
      </c>
    </row>
    <row r="320" spans="1:12" x14ac:dyDescent="0.25">
      <c r="A320" s="1">
        <v>40652</v>
      </c>
      <c r="B320" s="6">
        <v>49.2562</v>
      </c>
      <c r="C320" s="6">
        <v>10.1447</v>
      </c>
      <c r="D320" s="6">
        <v>8638.5499999999993</v>
      </c>
      <c r="E320" s="6">
        <v>0.87</v>
      </c>
      <c r="F320" s="6">
        <f t="shared" si="28"/>
        <v>9.6666666666666672E-3</v>
      </c>
      <c r="G320">
        <f t="shared" si="29"/>
        <v>-1.3042232467925405</v>
      </c>
      <c r="H320">
        <f t="shared" si="30"/>
        <v>1.0166689901021655</v>
      </c>
      <c r="I320">
        <f t="shared" si="31"/>
        <v>-0.87130844295930787</v>
      </c>
      <c r="J320">
        <f t="shared" si="32"/>
        <v>-0.92448731150238495</v>
      </c>
      <c r="K320">
        <f t="shared" si="33"/>
        <v>-1.3138899134592072</v>
      </c>
      <c r="L320">
        <f t="shared" si="34"/>
        <v>-0.88097510962597458</v>
      </c>
    </row>
    <row r="321" spans="1:12" x14ac:dyDescent="0.25">
      <c r="A321" s="1">
        <v>40653</v>
      </c>
      <c r="B321" s="6">
        <v>50.485799999999998</v>
      </c>
      <c r="C321" s="6">
        <v>10.280900000000001</v>
      </c>
      <c r="D321" s="6">
        <v>8813.2800000000007</v>
      </c>
      <c r="E321" s="6">
        <v>0.87</v>
      </c>
      <c r="F321" s="6">
        <f t="shared" si="28"/>
        <v>9.6666666666666672E-3</v>
      </c>
      <c r="G321">
        <f t="shared" si="29"/>
        <v>2.496335486700147</v>
      </c>
      <c r="H321">
        <f t="shared" si="30"/>
        <v>1.3425729691365988</v>
      </c>
      <c r="I321">
        <f t="shared" si="31"/>
        <v>2.0226774169276256</v>
      </c>
      <c r="J321">
        <f t="shared" si="32"/>
        <v>1.7496852274153141</v>
      </c>
      <c r="K321">
        <f t="shared" si="33"/>
        <v>2.4866688200334806</v>
      </c>
      <c r="L321">
        <f t="shared" si="34"/>
        <v>2.0130107502609591</v>
      </c>
    </row>
    <row r="322" spans="1:12" x14ac:dyDescent="0.25">
      <c r="A322" s="1">
        <v>40654</v>
      </c>
      <c r="B322" s="6">
        <v>51.136699999999998</v>
      </c>
      <c r="C322" s="6">
        <v>10.417</v>
      </c>
      <c r="D322" s="6">
        <v>8957.65</v>
      </c>
      <c r="E322" s="6">
        <v>0.87</v>
      </c>
      <c r="F322" s="6">
        <f t="shared" si="28"/>
        <v>9.6666666666666672E-3</v>
      </c>
      <c r="G322">
        <f t="shared" si="29"/>
        <v>1.2892734194565603</v>
      </c>
      <c r="H322">
        <f t="shared" si="30"/>
        <v>1.3238140629711308</v>
      </c>
      <c r="I322">
        <f t="shared" si="31"/>
        <v>1.6380961458163019</v>
      </c>
      <c r="J322">
        <f t="shared" si="32"/>
        <v>0.90036478288540722</v>
      </c>
      <c r="K322">
        <f t="shared" si="33"/>
        <v>1.2796067527898936</v>
      </c>
      <c r="L322">
        <f t="shared" si="34"/>
        <v>1.6284294791496352</v>
      </c>
    </row>
    <row r="323" spans="1:12" x14ac:dyDescent="0.25">
      <c r="A323" s="1">
        <v>40655</v>
      </c>
      <c r="B323" s="6">
        <v>51.281399999999998</v>
      </c>
      <c r="C323" s="6">
        <v>10.3489</v>
      </c>
      <c r="D323" s="6">
        <v>8969.43</v>
      </c>
      <c r="E323" s="6">
        <v>0.87</v>
      </c>
      <c r="F323" s="6">
        <f t="shared" ref="F323:F386" si="35">E323/90</f>
        <v>9.6666666666666672E-3</v>
      </c>
      <c r="G323">
        <f t="shared" si="29"/>
        <v>0.28296702759466347</v>
      </c>
      <c r="H323">
        <f t="shared" si="30"/>
        <v>-0.65373908034942296</v>
      </c>
      <c r="I323">
        <f t="shared" si="31"/>
        <v>0.13150770570407033</v>
      </c>
      <c r="J323">
        <f t="shared" si="32"/>
        <v>0.19230128286908393</v>
      </c>
      <c r="K323">
        <f t="shared" si="33"/>
        <v>0.27330036092799681</v>
      </c>
      <c r="L323">
        <f t="shared" si="34"/>
        <v>0.12184103903740366</v>
      </c>
    </row>
    <row r="324" spans="1:12" x14ac:dyDescent="0.25">
      <c r="A324" s="1">
        <v>40658</v>
      </c>
      <c r="B324" s="6">
        <v>50.8474</v>
      </c>
      <c r="C324" s="6">
        <v>10.2468</v>
      </c>
      <c r="D324" s="6">
        <v>8950.75</v>
      </c>
      <c r="E324" s="6">
        <v>0.87</v>
      </c>
      <c r="F324" s="6">
        <f t="shared" si="35"/>
        <v>9.6666666666666672E-3</v>
      </c>
      <c r="G324">
        <f t="shared" ref="G324:G358" si="36">100*(B324-B323)/B323</f>
        <v>-0.84631074814649665</v>
      </c>
      <c r="H324">
        <f t="shared" ref="H324:H387" si="37">100*(C324-C323)/C323</f>
        <v>-0.98657828368232448</v>
      </c>
      <c r="I324">
        <f t="shared" ref="I324:I387" si="38">100*(D324-D323)/D323</f>
        <v>-0.20826295539404724</v>
      </c>
      <c r="J324">
        <f t="shared" ref="J324:J387" si="39">(G324-F324)/$N$3</f>
        <v>-0.60228809949833906</v>
      </c>
      <c r="K324">
        <f t="shared" ref="K324:K387" si="40">G324-F324</f>
        <v>-0.85597741481316336</v>
      </c>
      <c r="L324">
        <f t="shared" ref="L324:L387" si="41">I324-F324</f>
        <v>-0.2179296220607139</v>
      </c>
    </row>
    <row r="325" spans="1:12" x14ac:dyDescent="0.25">
      <c r="A325" s="1">
        <v>40659</v>
      </c>
      <c r="B325" s="6">
        <v>50.8474</v>
      </c>
      <c r="C325" s="6">
        <v>10.382999999999999</v>
      </c>
      <c r="D325" s="6">
        <v>8948.14</v>
      </c>
      <c r="E325" s="6">
        <v>0.87</v>
      </c>
      <c r="F325" s="6">
        <f t="shared" si="35"/>
        <v>9.6666666666666672E-3</v>
      </c>
      <c r="G325">
        <f t="shared" si="36"/>
        <v>0</v>
      </c>
      <c r="H325">
        <f t="shared" si="37"/>
        <v>1.3291954561423933</v>
      </c>
      <c r="I325">
        <f t="shared" si="38"/>
        <v>-2.9159567634003652E-2</v>
      </c>
      <c r="J325">
        <f t="shared" si="39"/>
        <v>-6.8017195248328156E-3</v>
      </c>
      <c r="K325">
        <f t="shared" si="40"/>
        <v>-9.6666666666666672E-3</v>
      </c>
      <c r="L325">
        <f t="shared" si="41"/>
        <v>-3.8826234300670323E-2</v>
      </c>
    </row>
    <row r="326" spans="1:12" x14ac:dyDescent="0.25">
      <c r="A326" s="1">
        <v>40660</v>
      </c>
      <c r="B326" s="6">
        <v>52.293999999999997</v>
      </c>
      <c r="C326" s="6">
        <v>10.417</v>
      </c>
      <c r="D326" s="6">
        <v>9049.25</v>
      </c>
      <c r="E326" s="6">
        <v>0.87</v>
      </c>
      <c r="F326" s="6">
        <f t="shared" si="35"/>
        <v>9.6666666666666672E-3</v>
      </c>
      <c r="G326">
        <f t="shared" si="36"/>
        <v>2.8449832243143143</v>
      </c>
      <c r="H326">
        <f t="shared" si="37"/>
        <v>0.32745834537224983</v>
      </c>
      <c r="I326">
        <f t="shared" si="38"/>
        <v>1.1299554991316696</v>
      </c>
      <c r="J326">
        <f t="shared" si="39"/>
        <v>1.9950028954379764</v>
      </c>
      <c r="K326">
        <f t="shared" si="40"/>
        <v>2.8353165576476478</v>
      </c>
      <c r="L326">
        <f t="shared" si="41"/>
        <v>1.1202888324650029</v>
      </c>
    </row>
    <row r="327" spans="1:12" x14ac:dyDescent="0.25">
      <c r="A327" s="1">
        <v>40661</v>
      </c>
      <c r="B327" s="6">
        <v>52.8003</v>
      </c>
      <c r="C327" s="6">
        <v>10.280900000000001</v>
      </c>
      <c r="D327" s="6">
        <v>9040.77</v>
      </c>
      <c r="E327" s="6">
        <v>0.87</v>
      </c>
      <c r="F327" s="6">
        <f t="shared" si="35"/>
        <v>9.6666666666666672E-3</v>
      </c>
      <c r="G327">
        <f t="shared" si="36"/>
        <v>0.96817990591655467</v>
      </c>
      <c r="H327">
        <f t="shared" si="37"/>
        <v>-1.306518191417865</v>
      </c>
      <c r="I327">
        <f t="shared" si="38"/>
        <v>-9.370942343287636E-2</v>
      </c>
      <c r="J327">
        <f t="shared" si="39"/>
        <v>0.67443498767759069</v>
      </c>
      <c r="K327">
        <f t="shared" si="40"/>
        <v>0.95851323924988796</v>
      </c>
      <c r="L327">
        <f t="shared" si="41"/>
        <v>-0.10337609009954303</v>
      </c>
    </row>
    <row r="328" spans="1:12" x14ac:dyDescent="0.25">
      <c r="A328" s="1">
        <v>40662</v>
      </c>
      <c r="B328" s="6">
        <v>52.944899999999997</v>
      </c>
      <c r="C328" s="6">
        <v>10.1106</v>
      </c>
      <c r="D328" s="6">
        <v>9007.8700000000008</v>
      </c>
      <c r="E328" s="6">
        <v>0.87</v>
      </c>
      <c r="F328" s="6">
        <f t="shared" si="35"/>
        <v>9.6666666666666672E-3</v>
      </c>
      <c r="G328">
        <f t="shared" si="36"/>
        <v>0.27386208032908327</v>
      </c>
      <c r="H328">
        <f t="shared" si="37"/>
        <v>-1.6564697643202539</v>
      </c>
      <c r="I328">
        <f t="shared" si="38"/>
        <v>-0.36390705658920242</v>
      </c>
      <c r="J328">
        <f t="shared" si="39"/>
        <v>0.18589480380816636</v>
      </c>
      <c r="K328">
        <f t="shared" si="40"/>
        <v>0.26419541366241661</v>
      </c>
      <c r="L328">
        <f t="shared" si="41"/>
        <v>-0.37357372325586907</v>
      </c>
    </row>
    <row r="329" spans="1:12" x14ac:dyDescent="0.25">
      <c r="A329" s="1">
        <v>40666</v>
      </c>
      <c r="B329" s="6">
        <v>53.957500000000003</v>
      </c>
      <c r="C329" s="6">
        <v>10.178699999999999</v>
      </c>
      <c r="D329" s="6">
        <v>8946.08</v>
      </c>
      <c r="E329" s="6">
        <v>0.87</v>
      </c>
      <c r="F329" s="6">
        <f t="shared" si="35"/>
        <v>9.6666666666666672E-3</v>
      </c>
      <c r="G329">
        <f t="shared" si="36"/>
        <v>1.912554372564697</v>
      </c>
      <c r="H329">
        <f t="shared" si="37"/>
        <v>0.67355053112574315</v>
      </c>
      <c r="I329">
        <f t="shared" si="38"/>
        <v>-0.68595572538236971</v>
      </c>
      <c r="J329">
        <f t="shared" si="39"/>
        <v>1.3389215651142368</v>
      </c>
      <c r="K329">
        <f t="shared" si="40"/>
        <v>1.9028877058980302</v>
      </c>
      <c r="L329">
        <f t="shared" si="41"/>
        <v>-0.69562239204903642</v>
      </c>
    </row>
    <row r="330" spans="1:12" x14ac:dyDescent="0.25">
      <c r="A330" s="1">
        <v>40667</v>
      </c>
      <c r="B330" s="6">
        <v>53.378900000000002</v>
      </c>
      <c r="C330" s="6">
        <v>10.178699999999999</v>
      </c>
      <c r="D330" s="6">
        <v>8947.35</v>
      </c>
      <c r="E330" s="6">
        <v>0.87</v>
      </c>
      <c r="F330" s="6">
        <f t="shared" si="35"/>
        <v>9.6666666666666672E-3</v>
      </c>
      <c r="G330">
        <f t="shared" si="36"/>
        <v>-1.07232544131956</v>
      </c>
      <c r="H330">
        <f t="shared" si="37"/>
        <v>0</v>
      </c>
      <c r="I330">
        <f t="shared" si="38"/>
        <v>1.4196161894376494E-2</v>
      </c>
      <c r="J330">
        <f t="shared" si="39"/>
        <v>-0.7613179496487863</v>
      </c>
      <c r="K330">
        <f t="shared" si="40"/>
        <v>-1.0819921079862267</v>
      </c>
      <c r="L330">
        <f t="shared" si="41"/>
        <v>4.5294952277098264E-3</v>
      </c>
    </row>
    <row r="331" spans="1:12" x14ac:dyDescent="0.25">
      <c r="A331" s="1">
        <v>40668</v>
      </c>
      <c r="B331" s="6">
        <v>54.102200000000003</v>
      </c>
      <c r="C331" s="6">
        <v>10.2128</v>
      </c>
      <c r="D331" s="6">
        <v>9018.61</v>
      </c>
      <c r="E331" s="6">
        <v>0.87</v>
      </c>
      <c r="F331" s="6">
        <f t="shared" si="35"/>
        <v>9.6666666666666672E-3</v>
      </c>
      <c r="G331">
        <f t="shared" si="36"/>
        <v>1.3550297964176889</v>
      </c>
      <c r="H331">
        <f t="shared" si="37"/>
        <v>0.33501331211255331</v>
      </c>
      <c r="I331">
        <f t="shared" si="38"/>
        <v>0.79643693384074854</v>
      </c>
      <c r="J331">
        <f t="shared" si="39"/>
        <v>0.94663268975355641</v>
      </c>
      <c r="K331">
        <f t="shared" si="40"/>
        <v>1.3453631297510222</v>
      </c>
      <c r="L331">
        <f t="shared" si="41"/>
        <v>0.78677026717408183</v>
      </c>
    </row>
    <row r="332" spans="1:12" x14ac:dyDescent="0.25">
      <c r="A332" s="1">
        <v>40669</v>
      </c>
      <c r="B332" s="6">
        <v>54.2468</v>
      </c>
      <c r="C332" s="6">
        <v>10.2128</v>
      </c>
      <c r="D332" s="6">
        <v>8977.23</v>
      </c>
      <c r="E332" s="6">
        <v>0.87</v>
      </c>
      <c r="F332" s="6">
        <f t="shared" si="35"/>
        <v>9.6666666666666672E-3</v>
      </c>
      <c r="G332">
        <f t="shared" si="36"/>
        <v>0.26727194088225054</v>
      </c>
      <c r="H332">
        <f t="shared" si="37"/>
        <v>0</v>
      </c>
      <c r="I332">
        <f t="shared" si="38"/>
        <v>-0.45882902132369641</v>
      </c>
      <c r="J332">
        <f t="shared" si="39"/>
        <v>0.18125780931021188</v>
      </c>
      <c r="K332">
        <f t="shared" si="40"/>
        <v>0.25760527421558388</v>
      </c>
      <c r="L332">
        <f t="shared" si="41"/>
        <v>-0.46849568799036306</v>
      </c>
    </row>
    <row r="333" spans="1:12" x14ac:dyDescent="0.25">
      <c r="A333" s="1">
        <v>40672</v>
      </c>
      <c r="B333" s="6">
        <v>54.608499999999999</v>
      </c>
      <c r="C333" s="6">
        <v>10.3489</v>
      </c>
      <c r="D333" s="6">
        <v>9035.48</v>
      </c>
      <c r="E333" s="6">
        <v>0.87</v>
      </c>
      <c r="F333" s="6">
        <f t="shared" si="35"/>
        <v>9.6666666666666672E-3</v>
      </c>
      <c r="G333">
        <f t="shared" si="36"/>
        <v>0.66676744066009241</v>
      </c>
      <c r="H333">
        <f t="shared" si="37"/>
        <v>1.3326413911953703</v>
      </c>
      <c r="I333">
        <f t="shared" si="38"/>
        <v>0.64886384775704753</v>
      </c>
      <c r="J333">
        <f t="shared" si="39"/>
        <v>0.46235329285384535</v>
      </c>
      <c r="K333">
        <f t="shared" si="40"/>
        <v>0.6571007739934257</v>
      </c>
      <c r="L333">
        <f t="shared" si="41"/>
        <v>0.63919718109038082</v>
      </c>
    </row>
    <row r="334" spans="1:12" x14ac:dyDescent="0.25">
      <c r="A334" s="1">
        <v>40673</v>
      </c>
      <c r="B334" s="6">
        <v>53.812899999999999</v>
      </c>
      <c r="C334" s="6">
        <v>10.280900000000001</v>
      </c>
      <c r="D334" s="6">
        <v>9023.2800000000007</v>
      </c>
      <c r="E334" s="6">
        <v>0.87</v>
      </c>
      <c r="F334" s="6">
        <f t="shared" si="35"/>
        <v>9.6666666666666672E-3</v>
      </c>
      <c r="G334">
        <f t="shared" si="36"/>
        <v>-1.4569160478680065</v>
      </c>
      <c r="H334">
        <f t="shared" si="37"/>
        <v>-0.65707466494023148</v>
      </c>
      <c r="I334">
        <f t="shared" si="38"/>
        <v>-0.13502326384429947</v>
      </c>
      <c r="J334">
        <f t="shared" si="39"/>
        <v>-1.0319259604378757</v>
      </c>
      <c r="K334">
        <f t="shared" si="40"/>
        <v>-1.4665827145346733</v>
      </c>
      <c r="L334">
        <f t="shared" si="41"/>
        <v>-0.14468993051096612</v>
      </c>
    </row>
    <row r="335" spans="1:12" x14ac:dyDescent="0.25">
      <c r="A335" s="1">
        <v>40674</v>
      </c>
      <c r="B335" s="6">
        <v>54.2468</v>
      </c>
      <c r="C335" s="6">
        <v>10.2468</v>
      </c>
      <c r="D335" s="6">
        <v>9020.4</v>
      </c>
      <c r="E335" s="6">
        <v>0.87</v>
      </c>
      <c r="F335" s="6">
        <f t="shared" si="35"/>
        <v>9.6666666666666672E-3</v>
      </c>
      <c r="G335">
        <f t="shared" si="36"/>
        <v>0.80631224111690936</v>
      </c>
      <c r="H335">
        <f t="shared" si="37"/>
        <v>-0.33168302385978327</v>
      </c>
      <c r="I335">
        <f t="shared" si="38"/>
        <v>-3.1917440221305542E-2</v>
      </c>
      <c r="J335">
        <f t="shared" si="39"/>
        <v>0.56054066463205543</v>
      </c>
      <c r="K335">
        <f t="shared" si="40"/>
        <v>0.79664557445024264</v>
      </c>
      <c r="L335">
        <f t="shared" si="41"/>
        <v>-4.1584106887972205E-2</v>
      </c>
    </row>
    <row r="336" spans="1:12" x14ac:dyDescent="0.25">
      <c r="A336" s="1">
        <v>40675</v>
      </c>
      <c r="B336" s="6">
        <v>54.753100000000003</v>
      </c>
      <c r="C336" s="6">
        <v>10.1447</v>
      </c>
      <c r="D336" s="6">
        <v>9033.68</v>
      </c>
      <c r="E336" s="6">
        <v>0.87</v>
      </c>
      <c r="F336" s="6">
        <f t="shared" si="35"/>
        <v>9.6666666666666672E-3</v>
      </c>
      <c r="G336">
        <f t="shared" si="36"/>
        <v>0.93332694278741435</v>
      </c>
      <c r="H336">
        <f t="shared" si="37"/>
        <v>-0.99640863489089349</v>
      </c>
      <c r="I336">
        <f t="shared" si="38"/>
        <v>0.14722185268946672</v>
      </c>
      <c r="J336">
        <f t="shared" si="39"/>
        <v>0.64991153114513367</v>
      </c>
      <c r="K336">
        <f t="shared" si="40"/>
        <v>0.92366027612074764</v>
      </c>
      <c r="L336">
        <f t="shared" si="41"/>
        <v>0.13755518602280006</v>
      </c>
    </row>
    <row r="337" spans="1:12" x14ac:dyDescent="0.25">
      <c r="A337" s="1">
        <v>40676</v>
      </c>
      <c r="B337" s="6">
        <v>54.897799999999997</v>
      </c>
      <c r="C337" s="6">
        <v>10.178699999999999</v>
      </c>
      <c r="D337" s="6">
        <v>9006.61</v>
      </c>
      <c r="E337" s="6">
        <v>0.87</v>
      </c>
      <c r="F337" s="6">
        <f t="shared" si="35"/>
        <v>9.6666666666666672E-3</v>
      </c>
      <c r="G337">
        <f t="shared" si="36"/>
        <v>0.26427727379818339</v>
      </c>
      <c r="H337">
        <f t="shared" si="37"/>
        <v>0.33515037408695103</v>
      </c>
      <c r="I337">
        <f t="shared" si="38"/>
        <v>-0.2996563969500769</v>
      </c>
      <c r="J337">
        <f t="shared" si="39"/>
        <v>0.17915068321613531</v>
      </c>
      <c r="K337">
        <f t="shared" si="40"/>
        <v>0.25461060713151673</v>
      </c>
      <c r="L337">
        <f t="shared" si="41"/>
        <v>-0.30932306361674355</v>
      </c>
    </row>
    <row r="338" spans="1:12" x14ac:dyDescent="0.25">
      <c r="A338" s="1">
        <v>40679</v>
      </c>
      <c r="B338" s="6">
        <v>54.174500000000002</v>
      </c>
      <c r="C338" s="6">
        <v>10.178699999999999</v>
      </c>
      <c r="D338" s="6">
        <v>8911.7099999999991</v>
      </c>
      <c r="E338" s="6">
        <v>0.87</v>
      </c>
      <c r="F338" s="6">
        <f t="shared" si="35"/>
        <v>9.6666666666666672E-3</v>
      </c>
      <c r="G338">
        <f t="shared" si="36"/>
        <v>-1.3175391363588245</v>
      </c>
      <c r="H338">
        <f t="shared" si="37"/>
        <v>0</v>
      </c>
      <c r="I338">
        <f t="shared" si="38"/>
        <v>-1.0536705819392806</v>
      </c>
      <c r="J338">
        <f t="shared" si="39"/>
        <v>-0.9338567197148171</v>
      </c>
      <c r="K338">
        <f t="shared" si="40"/>
        <v>-1.3272058030254912</v>
      </c>
      <c r="L338">
        <f t="shared" si="41"/>
        <v>-1.0633372486059474</v>
      </c>
    </row>
    <row r="339" spans="1:12" x14ac:dyDescent="0.25">
      <c r="A339" s="1">
        <v>40680</v>
      </c>
      <c r="B339" s="6">
        <v>54.680799999999998</v>
      </c>
      <c r="C339" s="6">
        <v>10.1106</v>
      </c>
      <c r="D339" s="6">
        <v>8884.09</v>
      </c>
      <c r="E339" s="6">
        <v>0.87</v>
      </c>
      <c r="F339" s="6">
        <f t="shared" si="35"/>
        <v>9.6666666666666672E-3</v>
      </c>
      <c r="G339">
        <f t="shared" si="36"/>
        <v>0.93457253874054391</v>
      </c>
      <c r="H339">
        <f t="shared" si="37"/>
        <v>-0.66904418049455616</v>
      </c>
      <c r="I339">
        <f t="shared" si="38"/>
        <v>-0.30992929527553054</v>
      </c>
      <c r="J339">
        <f t="shared" si="39"/>
        <v>0.65078796503973235</v>
      </c>
      <c r="K339">
        <f t="shared" si="40"/>
        <v>0.9249058720738772</v>
      </c>
      <c r="L339">
        <f t="shared" si="41"/>
        <v>-0.31959596194219719</v>
      </c>
    </row>
    <row r="340" spans="1:12" x14ac:dyDescent="0.25">
      <c r="A340" s="1">
        <v>40681</v>
      </c>
      <c r="B340" s="6">
        <v>54.463799999999999</v>
      </c>
      <c r="C340" s="6">
        <v>9.9404000000000003</v>
      </c>
      <c r="D340" s="6">
        <v>8944.84</v>
      </c>
      <c r="E340" s="6">
        <v>0.87</v>
      </c>
      <c r="F340" s="6">
        <f t="shared" si="35"/>
        <v>9.6666666666666672E-3</v>
      </c>
      <c r="G340">
        <f t="shared" si="36"/>
        <v>-0.39684861962516782</v>
      </c>
      <c r="H340">
        <f t="shared" si="37"/>
        <v>-1.6833817973216176</v>
      </c>
      <c r="I340">
        <f t="shared" si="38"/>
        <v>0.68380667012603424</v>
      </c>
      <c r="J340">
        <f t="shared" si="39"/>
        <v>-0.28603478895663853</v>
      </c>
      <c r="K340">
        <f t="shared" si="40"/>
        <v>-0.40651528629183448</v>
      </c>
      <c r="L340">
        <f t="shared" si="41"/>
        <v>0.67414000345936753</v>
      </c>
    </row>
    <row r="341" spans="1:12" x14ac:dyDescent="0.25">
      <c r="A341" s="1">
        <v>40682</v>
      </c>
      <c r="B341" s="6">
        <v>54.391500000000001</v>
      </c>
      <c r="C341" s="6">
        <v>10.0426</v>
      </c>
      <c r="D341" s="6">
        <v>8892.8799999999992</v>
      </c>
      <c r="E341" s="6">
        <v>0.87</v>
      </c>
      <c r="F341" s="6">
        <f t="shared" si="35"/>
        <v>9.6666666666666672E-3</v>
      </c>
      <c r="G341">
        <f t="shared" si="36"/>
        <v>-0.13274872484108433</v>
      </c>
      <c r="H341">
        <f t="shared" si="37"/>
        <v>1.0281276407388016</v>
      </c>
      <c r="I341">
        <f t="shared" si="38"/>
        <v>-0.58089356545227133</v>
      </c>
      <c r="J341">
        <f t="shared" si="39"/>
        <v>-0.10020719472982545</v>
      </c>
      <c r="K341">
        <f t="shared" si="40"/>
        <v>-0.14241539150775098</v>
      </c>
      <c r="L341">
        <f t="shared" si="41"/>
        <v>-0.59056023211893804</v>
      </c>
    </row>
    <row r="342" spans="1:12" x14ac:dyDescent="0.25">
      <c r="A342" s="1">
        <v>40683</v>
      </c>
      <c r="B342" s="6">
        <v>54.608499999999999</v>
      </c>
      <c r="C342" s="6">
        <v>9.9404000000000003</v>
      </c>
      <c r="D342" s="6">
        <v>8837.0300000000007</v>
      </c>
      <c r="E342" s="6">
        <v>0.87</v>
      </c>
      <c r="F342" s="6">
        <f t="shared" si="35"/>
        <v>9.6666666666666672E-3</v>
      </c>
      <c r="G342">
        <f t="shared" si="36"/>
        <v>0.39895939622918791</v>
      </c>
      <c r="H342">
        <f t="shared" si="37"/>
        <v>-1.0176647481727823</v>
      </c>
      <c r="I342">
        <f t="shared" si="38"/>
        <v>-0.62803051429906342</v>
      </c>
      <c r="J342">
        <f t="shared" si="39"/>
        <v>0.27391654753870981</v>
      </c>
      <c r="K342">
        <f t="shared" si="40"/>
        <v>0.38929272956252126</v>
      </c>
      <c r="L342">
        <f t="shared" si="41"/>
        <v>-0.63769718096573014</v>
      </c>
    </row>
    <row r="343" spans="1:12" x14ac:dyDescent="0.25">
      <c r="A343" s="1">
        <v>40686</v>
      </c>
      <c r="B343" s="6">
        <v>54.319200000000002</v>
      </c>
      <c r="C343" s="6">
        <v>9.8722999999999992</v>
      </c>
      <c r="D343" s="6">
        <v>8747.51</v>
      </c>
      <c r="E343" s="6">
        <v>0.87</v>
      </c>
      <c r="F343" s="6">
        <f t="shared" si="35"/>
        <v>9.6666666666666672E-3</v>
      </c>
      <c r="G343">
        <f t="shared" si="36"/>
        <v>-0.52977100634516094</v>
      </c>
      <c r="H343">
        <f t="shared" si="37"/>
        <v>-0.68508309524768785</v>
      </c>
      <c r="I343">
        <f t="shared" si="38"/>
        <v>-1.0130100271245026</v>
      </c>
      <c r="J343">
        <f t="shared" si="39"/>
        <v>-0.37956245720223392</v>
      </c>
      <c r="K343">
        <f t="shared" si="40"/>
        <v>-0.53943767301182766</v>
      </c>
      <c r="L343">
        <f t="shared" si="41"/>
        <v>-1.0226766937911693</v>
      </c>
    </row>
    <row r="344" spans="1:12" x14ac:dyDescent="0.25">
      <c r="A344" s="1">
        <v>40687</v>
      </c>
      <c r="B344" s="6">
        <v>54.102200000000003</v>
      </c>
      <c r="C344" s="6">
        <v>9.8383000000000003</v>
      </c>
      <c r="D344" s="6">
        <v>8756.61</v>
      </c>
      <c r="E344" s="6">
        <v>0.87</v>
      </c>
      <c r="F344" s="6">
        <f t="shared" si="35"/>
        <v>9.6666666666666672E-3</v>
      </c>
      <c r="G344">
        <f t="shared" si="36"/>
        <v>-0.39949041959380616</v>
      </c>
      <c r="H344">
        <f t="shared" si="37"/>
        <v>-0.34439796197440237</v>
      </c>
      <c r="I344">
        <f t="shared" si="38"/>
        <v>0.10402960385298632</v>
      </c>
      <c r="J344">
        <f t="shared" si="39"/>
        <v>-0.28789362851809264</v>
      </c>
      <c r="K344">
        <f t="shared" si="40"/>
        <v>-0.40915708626047281</v>
      </c>
      <c r="L344">
        <f t="shared" si="41"/>
        <v>9.4362937186319648E-2</v>
      </c>
    </row>
    <row r="345" spans="1:12" x14ac:dyDescent="0.25">
      <c r="A345" s="1">
        <v>40688</v>
      </c>
      <c r="B345" s="6">
        <v>53.885199999999998</v>
      </c>
      <c r="C345" s="6">
        <v>9.9063999999999997</v>
      </c>
      <c r="D345" s="6">
        <v>8727.09</v>
      </c>
      <c r="E345" s="6">
        <v>0.87</v>
      </c>
      <c r="F345" s="6">
        <f t="shared" si="35"/>
        <v>9.6666666666666672E-3</v>
      </c>
      <c r="G345">
        <f t="shared" si="36"/>
        <v>-0.40109274669053357</v>
      </c>
      <c r="H345">
        <f t="shared" si="37"/>
        <v>0.69219275687872273</v>
      </c>
      <c r="I345">
        <f t="shared" si="38"/>
        <v>-0.33711676093831328</v>
      </c>
      <c r="J345">
        <f t="shared" si="39"/>
        <v>-0.2890210677766078</v>
      </c>
      <c r="K345">
        <f t="shared" si="40"/>
        <v>-0.41075941335720023</v>
      </c>
      <c r="L345">
        <f t="shared" si="41"/>
        <v>-0.34678342760497993</v>
      </c>
    </row>
    <row r="346" spans="1:12" x14ac:dyDescent="0.25">
      <c r="A346" s="1">
        <v>40689</v>
      </c>
      <c r="B346" s="6">
        <v>53.668199999999999</v>
      </c>
      <c r="C346" s="6">
        <v>9.9063999999999997</v>
      </c>
      <c r="D346" s="6">
        <v>8788.4</v>
      </c>
      <c r="E346" s="6">
        <v>0.87</v>
      </c>
      <c r="F346" s="6">
        <f t="shared" si="35"/>
        <v>9.6666666666666672E-3</v>
      </c>
      <c r="G346">
        <f t="shared" si="36"/>
        <v>-0.40270797918537699</v>
      </c>
      <c r="H346">
        <f t="shared" si="37"/>
        <v>0</v>
      </c>
      <c r="I346">
        <f t="shared" si="38"/>
        <v>0.70252512578648196</v>
      </c>
      <c r="J346">
        <f t="shared" si="39"/>
        <v>-0.29015758761081339</v>
      </c>
      <c r="K346">
        <f t="shared" si="40"/>
        <v>-0.41237464585204364</v>
      </c>
      <c r="L346">
        <f t="shared" si="41"/>
        <v>0.69285845911981525</v>
      </c>
    </row>
    <row r="347" spans="1:12" x14ac:dyDescent="0.25">
      <c r="A347" s="1">
        <v>40690</v>
      </c>
      <c r="B347" s="6">
        <v>53.523499999999999</v>
      </c>
      <c r="C347" s="6">
        <v>9.7702000000000009</v>
      </c>
      <c r="D347" s="6">
        <v>8810</v>
      </c>
      <c r="E347" s="6">
        <v>0.87</v>
      </c>
      <c r="F347" s="6">
        <f t="shared" si="35"/>
        <v>9.6666666666666672E-3</v>
      </c>
      <c r="G347">
        <f t="shared" si="36"/>
        <v>-0.2696196257746678</v>
      </c>
      <c r="H347">
        <f t="shared" si="37"/>
        <v>-1.3748687717031289</v>
      </c>
      <c r="I347">
        <f t="shared" si="38"/>
        <v>0.24577852623913754</v>
      </c>
      <c r="J347">
        <f t="shared" si="39"/>
        <v>-0.19651314086031643</v>
      </c>
      <c r="K347">
        <f t="shared" si="40"/>
        <v>-0.27928629244133446</v>
      </c>
      <c r="L347">
        <f t="shared" si="41"/>
        <v>0.23611185957247088</v>
      </c>
    </row>
    <row r="348" spans="1:12" x14ac:dyDescent="0.25">
      <c r="A348" s="1">
        <v>40693</v>
      </c>
      <c r="B348" s="6">
        <v>54.319200000000002</v>
      </c>
      <c r="C348" s="6">
        <v>10.0085</v>
      </c>
      <c r="D348" s="6">
        <v>8823.68</v>
      </c>
      <c r="E348" s="6">
        <v>0.87</v>
      </c>
      <c r="F348" s="6">
        <f t="shared" si="35"/>
        <v>9.6666666666666672E-3</v>
      </c>
      <c r="G348">
        <f t="shared" si="36"/>
        <v>1.4866367109774279</v>
      </c>
      <c r="H348">
        <f t="shared" si="37"/>
        <v>2.4390493541585516</v>
      </c>
      <c r="I348">
        <f t="shared" si="38"/>
        <v>0.15527809307605325</v>
      </c>
      <c r="J348">
        <f t="shared" si="39"/>
        <v>1.0392347573774166</v>
      </c>
      <c r="K348">
        <f t="shared" si="40"/>
        <v>1.4769700443107612</v>
      </c>
      <c r="L348">
        <f t="shared" si="41"/>
        <v>0.1456114264093866</v>
      </c>
    </row>
    <row r="349" spans="1:12" x14ac:dyDescent="0.25">
      <c r="A349" s="1">
        <v>40694</v>
      </c>
      <c r="B349" s="6">
        <v>55.476399999999998</v>
      </c>
      <c r="C349" s="6">
        <v>10.076599999999999</v>
      </c>
      <c r="D349" s="6">
        <v>8988.84</v>
      </c>
      <c r="E349" s="6">
        <v>0.87</v>
      </c>
      <c r="F349" s="6">
        <f t="shared" si="35"/>
        <v>9.6666666666666672E-3</v>
      </c>
      <c r="G349">
        <f t="shared" si="36"/>
        <v>2.1303701085435645</v>
      </c>
      <c r="H349">
        <f t="shared" si="37"/>
        <v>0.68042164160462992</v>
      </c>
      <c r="I349">
        <f t="shared" si="38"/>
        <v>1.8717813882643053</v>
      </c>
      <c r="J349">
        <f t="shared" si="39"/>
        <v>1.4921824145166467</v>
      </c>
      <c r="K349">
        <f t="shared" si="40"/>
        <v>2.120703441876898</v>
      </c>
      <c r="L349">
        <f t="shared" si="41"/>
        <v>1.8621147215976386</v>
      </c>
    </row>
    <row r="350" spans="1:12" x14ac:dyDescent="0.25">
      <c r="A350" s="1">
        <v>40695</v>
      </c>
      <c r="B350" s="6">
        <v>55.693399999999997</v>
      </c>
      <c r="C350" s="6">
        <v>10.2468</v>
      </c>
      <c r="D350" s="6">
        <v>9062.35</v>
      </c>
      <c r="E350" s="6">
        <v>0.87</v>
      </c>
      <c r="F350" s="6">
        <f t="shared" si="35"/>
        <v>9.6666666666666672E-3</v>
      </c>
      <c r="G350">
        <f t="shared" si="36"/>
        <v>0.39115732095088857</v>
      </c>
      <c r="H350">
        <f t="shared" si="37"/>
        <v>1.6890617867137849</v>
      </c>
      <c r="I350">
        <f t="shared" si="38"/>
        <v>0.8177918396589573</v>
      </c>
      <c r="J350">
        <f t="shared" si="39"/>
        <v>0.26842680328823149</v>
      </c>
      <c r="K350">
        <f t="shared" si="40"/>
        <v>0.38149065428422191</v>
      </c>
      <c r="L350">
        <f t="shared" si="41"/>
        <v>0.80812517299229059</v>
      </c>
    </row>
    <row r="351" spans="1:12" x14ac:dyDescent="0.25">
      <c r="A351" s="1">
        <v>40696</v>
      </c>
      <c r="B351" s="6">
        <v>55.259399999999999</v>
      </c>
      <c r="C351" s="6">
        <v>10.2468</v>
      </c>
      <c r="D351" s="6">
        <v>8991.36</v>
      </c>
      <c r="E351" s="6">
        <v>0.87</v>
      </c>
      <c r="F351" s="6">
        <f t="shared" si="35"/>
        <v>9.6666666666666672E-3</v>
      </c>
      <c r="G351">
        <f t="shared" si="36"/>
        <v>-0.77926648399989495</v>
      </c>
      <c r="H351">
        <f t="shared" si="37"/>
        <v>0</v>
      </c>
      <c r="I351">
        <f t="shared" si="38"/>
        <v>-0.78335089684242809</v>
      </c>
      <c r="J351">
        <f t="shared" si="39"/>
        <v>-0.55511400151827117</v>
      </c>
      <c r="K351">
        <f t="shared" si="40"/>
        <v>-0.78893315066656167</v>
      </c>
      <c r="L351">
        <f t="shared" si="41"/>
        <v>-0.7930175635090948</v>
      </c>
    </row>
    <row r="352" spans="1:12" x14ac:dyDescent="0.25">
      <c r="A352" s="1">
        <v>40697</v>
      </c>
      <c r="B352" s="6">
        <v>55.838099999999997</v>
      </c>
      <c r="C352" s="6">
        <v>10.2128</v>
      </c>
      <c r="D352" s="6">
        <v>9046.2800000000007</v>
      </c>
      <c r="E352" s="6">
        <v>0.87</v>
      </c>
      <c r="F352" s="6">
        <f t="shared" si="35"/>
        <v>9.6666666666666672E-3</v>
      </c>
      <c r="G352">
        <f t="shared" si="36"/>
        <v>1.0472426410710174</v>
      </c>
      <c r="H352">
        <f t="shared" si="37"/>
        <v>-0.33181090681969683</v>
      </c>
      <c r="I352">
        <f t="shared" si="38"/>
        <v>0.61080859847676072</v>
      </c>
      <c r="J352">
        <f t="shared" si="39"/>
        <v>0.73006559623484535</v>
      </c>
      <c r="K352">
        <f t="shared" si="40"/>
        <v>1.0375759744043507</v>
      </c>
      <c r="L352">
        <f t="shared" si="41"/>
        <v>0.60114193181009401</v>
      </c>
    </row>
    <row r="353" spans="1:12" x14ac:dyDescent="0.25">
      <c r="A353" s="1">
        <v>40701</v>
      </c>
      <c r="B353" s="6">
        <v>56.055100000000003</v>
      </c>
      <c r="C353" s="6">
        <v>10.1106</v>
      </c>
      <c r="D353" s="6">
        <v>9057.1</v>
      </c>
      <c r="E353" s="6">
        <v>0.87</v>
      </c>
      <c r="F353" s="6">
        <f t="shared" si="35"/>
        <v>9.6666666666666672E-3</v>
      </c>
      <c r="G353">
        <f t="shared" si="36"/>
        <v>0.38862353840837327</v>
      </c>
      <c r="H353">
        <f t="shared" si="37"/>
        <v>-1.0007049976500064</v>
      </c>
      <c r="I353">
        <f t="shared" si="38"/>
        <v>0.11960717554618813</v>
      </c>
      <c r="J353">
        <f t="shared" si="39"/>
        <v>0.2666439676132894</v>
      </c>
      <c r="K353">
        <f t="shared" si="40"/>
        <v>0.37895687174170661</v>
      </c>
      <c r="L353">
        <f t="shared" si="41"/>
        <v>0.10994050887952146</v>
      </c>
    </row>
    <row r="354" spans="1:12" x14ac:dyDescent="0.25">
      <c r="A354" s="1">
        <v>40702</v>
      </c>
      <c r="B354" s="6">
        <v>56.055100000000003</v>
      </c>
      <c r="C354" s="6">
        <v>10.2128</v>
      </c>
      <c r="D354" s="6">
        <v>9007.5300000000007</v>
      </c>
      <c r="E354" s="6">
        <v>0.87</v>
      </c>
      <c r="F354" s="6">
        <f t="shared" si="35"/>
        <v>9.6666666666666672E-3</v>
      </c>
      <c r="G354">
        <f t="shared" si="36"/>
        <v>0</v>
      </c>
      <c r="H354">
        <f t="shared" si="37"/>
        <v>1.0108203271813725</v>
      </c>
      <c r="I354">
        <f t="shared" si="38"/>
        <v>-0.54730542889003886</v>
      </c>
      <c r="J354">
        <f t="shared" si="39"/>
        <v>-6.8017195248328156E-3</v>
      </c>
      <c r="K354">
        <f t="shared" si="40"/>
        <v>-9.6666666666666672E-3</v>
      </c>
      <c r="L354">
        <f t="shared" si="41"/>
        <v>-0.55697209555670557</v>
      </c>
    </row>
    <row r="355" spans="1:12" x14ac:dyDescent="0.25">
      <c r="A355" s="1">
        <v>40703</v>
      </c>
      <c r="B355" s="6">
        <v>55.621099999999998</v>
      </c>
      <c r="C355" s="6">
        <v>10.178699999999999</v>
      </c>
      <c r="D355" s="6">
        <v>9000.94</v>
      </c>
      <c r="E355" s="6">
        <v>0.87</v>
      </c>
      <c r="F355" s="6">
        <f t="shared" si="35"/>
        <v>9.6666666666666672E-3</v>
      </c>
      <c r="G355">
        <f t="shared" si="36"/>
        <v>-0.77423820490910655</v>
      </c>
      <c r="H355">
        <f t="shared" si="37"/>
        <v>-0.3338947203509367</v>
      </c>
      <c r="I355">
        <f t="shared" si="38"/>
        <v>-7.3161010843151728E-2</v>
      </c>
      <c r="J355">
        <f t="shared" si="39"/>
        <v>-0.55157597282156867</v>
      </c>
      <c r="K355">
        <f t="shared" si="40"/>
        <v>-0.78390487157577327</v>
      </c>
      <c r="L355">
        <f t="shared" si="41"/>
        <v>-8.2827677509818398E-2</v>
      </c>
    </row>
    <row r="356" spans="1:12" x14ac:dyDescent="0.25">
      <c r="A356" s="1">
        <v>40704</v>
      </c>
      <c r="B356" s="6">
        <v>54.463799999999999</v>
      </c>
      <c r="C356" s="6">
        <v>10.1447</v>
      </c>
      <c r="D356" s="6">
        <v>8837.82</v>
      </c>
      <c r="E356" s="6">
        <v>0.87</v>
      </c>
      <c r="F356" s="6">
        <f t="shared" si="35"/>
        <v>9.6666666666666672E-3</v>
      </c>
      <c r="G356">
        <f t="shared" si="36"/>
        <v>-2.0806852075920816</v>
      </c>
      <c r="H356">
        <f t="shared" si="37"/>
        <v>-0.33403086838200285</v>
      </c>
      <c r="I356">
        <f t="shared" si="38"/>
        <v>-1.8122551644606095</v>
      </c>
      <c r="J356">
        <f t="shared" si="39"/>
        <v>-1.4708262576120619</v>
      </c>
      <c r="K356">
        <f t="shared" si="40"/>
        <v>-2.0903518742587481</v>
      </c>
      <c r="L356">
        <f t="shared" si="41"/>
        <v>-1.8219218311272762</v>
      </c>
    </row>
    <row r="357" spans="1:12" x14ac:dyDescent="0.25">
      <c r="A357" s="1">
        <v>40707</v>
      </c>
      <c r="B357" s="6">
        <v>54.029800000000002</v>
      </c>
      <c r="C357" s="6">
        <v>9.9745000000000008</v>
      </c>
      <c r="D357" s="6">
        <v>8712.9500000000007</v>
      </c>
      <c r="E357" s="6">
        <v>0.87</v>
      </c>
      <c r="F357" s="6">
        <f t="shared" si="35"/>
        <v>9.6666666666666672E-3</v>
      </c>
      <c r="G357">
        <f t="shared" si="36"/>
        <v>-0.79685956543612002</v>
      </c>
      <c r="H357">
        <f t="shared" si="37"/>
        <v>-1.6777233432235499</v>
      </c>
      <c r="I357">
        <f t="shared" si="38"/>
        <v>-1.4129049924076185</v>
      </c>
      <c r="J357">
        <f t="shared" si="39"/>
        <v>-0.56749295381207254</v>
      </c>
      <c r="K357">
        <f t="shared" si="40"/>
        <v>-0.80652623210278673</v>
      </c>
      <c r="L357">
        <f t="shared" si="41"/>
        <v>-1.4225716590742852</v>
      </c>
    </row>
    <row r="358" spans="1:12" x14ac:dyDescent="0.25">
      <c r="A358" s="1">
        <v>40708</v>
      </c>
      <c r="B358" s="6">
        <v>55.114800000000002</v>
      </c>
      <c r="C358" s="6">
        <v>10.0426</v>
      </c>
      <c r="D358" s="6">
        <v>8829.2099999999991</v>
      </c>
      <c r="E358" s="6">
        <v>0.87</v>
      </c>
      <c r="F358" s="6">
        <f t="shared" si="35"/>
        <v>9.6666666666666672E-3</v>
      </c>
      <c r="G358">
        <f t="shared" si="36"/>
        <v>2.0081510573794477</v>
      </c>
      <c r="H358">
        <f t="shared" si="37"/>
        <v>0.68274098952327811</v>
      </c>
      <c r="I358">
        <f t="shared" si="38"/>
        <v>1.3343356727629379</v>
      </c>
      <c r="J358">
        <f t="shared" si="39"/>
        <v>1.4061858931432485</v>
      </c>
      <c r="K358">
        <f t="shared" si="40"/>
        <v>1.9984843907127809</v>
      </c>
      <c r="L358">
        <f t="shared" si="41"/>
        <v>1.3246690060962711</v>
      </c>
    </row>
    <row r="359" spans="1:12" x14ac:dyDescent="0.25">
      <c r="A359" s="1">
        <v>40709</v>
      </c>
      <c r="B359" s="6">
        <v>55.693399999999997</v>
      </c>
      <c r="C359" s="6">
        <v>10.076599999999999</v>
      </c>
      <c r="D359" s="6">
        <v>8831.4500000000007</v>
      </c>
      <c r="E359" s="6">
        <v>0.87</v>
      </c>
      <c r="F359" s="6">
        <f t="shared" si="35"/>
        <v>9.6666666666666672E-3</v>
      </c>
      <c r="G359">
        <f>100*(B359-B358)/B358</f>
        <v>1.0498087628005444</v>
      </c>
      <c r="H359">
        <f t="shared" si="37"/>
        <v>0.33855774401050442</v>
      </c>
      <c r="I359">
        <f t="shared" si="38"/>
        <v>2.5370333246140946E-2</v>
      </c>
      <c r="J359">
        <f t="shared" si="39"/>
        <v>0.73187118660768902</v>
      </c>
      <c r="K359">
        <f t="shared" si="40"/>
        <v>1.0401420961338776</v>
      </c>
      <c r="L359">
        <f t="shared" si="41"/>
        <v>1.5703666579474279E-2</v>
      </c>
    </row>
    <row r="360" spans="1:12" x14ac:dyDescent="0.25">
      <c r="A360" s="1">
        <v>40710</v>
      </c>
      <c r="B360" s="6">
        <v>54.608499999999999</v>
      </c>
      <c r="C360" s="6">
        <v>9.8042999999999996</v>
      </c>
      <c r="D360" s="6">
        <v>8654.43</v>
      </c>
      <c r="E360" s="6">
        <v>0.87</v>
      </c>
      <c r="F360" s="6">
        <f t="shared" si="35"/>
        <v>9.6666666666666672E-3</v>
      </c>
      <c r="G360">
        <f>100*(B360-B359)/B359</f>
        <v>-1.9479866555103433</v>
      </c>
      <c r="H360">
        <f t="shared" si="37"/>
        <v>-2.7023003790961195</v>
      </c>
      <c r="I360">
        <f t="shared" si="38"/>
        <v>-2.0044273590407058</v>
      </c>
      <c r="J360">
        <f t="shared" si="39"/>
        <v>-1.3774560852729512</v>
      </c>
      <c r="K360">
        <f t="shared" si="40"/>
        <v>-1.95765332217701</v>
      </c>
      <c r="L360">
        <f t="shared" si="41"/>
        <v>-2.0140940257073723</v>
      </c>
    </row>
    <row r="361" spans="1:12" x14ac:dyDescent="0.25">
      <c r="A361" s="1">
        <v>40711</v>
      </c>
      <c r="B361" s="6">
        <v>53.668199999999999</v>
      </c>
      <c r="C361" s="6">
        <v>9.7362000000000002</v>
      </c>
      <c r="D361" s="6">
        <v>8636.1</v>
      </c>
      <c r="E361" s="6">
        <v>0.94</v>
      </c>
      <c r="F361" s="6">
        <f t="shared" si="35"/>
        <v>1.0444444444444444E-2</v>
      </c>
      <c r="G361">
        <f>100*(B361-B360)/B360</f>
        <v>-1.7218931118781886</v>
      </c>
      <c r="H361">
        <f t="shared" si="37"/>
        <v>-0.69459318870290976</v>
      </c>
      <c r="I361">
        <f t="shared" si="38"/>
        <v>-0.21179904395783347</v>
      </c>
      <c r="J361">
        <f t="shared" si="39"/>
        <v>-1.2189180186662918</v>
      </c>
      <c r="K361">
        <f t="shared" si="40"/>
        <v>-1.7323375563226331</v>
      </c>
      <c r="L361">
        <f t="shared" si="41"/>
        <v>-0.22224348840227792</v>
      </c>
    </row>
    <row r="362" spans="1:12" x14ac:dyDescent="0.25">
      <c r="A362" s="1">
        <v>40714</v>
      </c>
      <c r="B362" s="6">
        <v>54.174500000000002</v>
      </c>
      <c r="C362" s="6">
        <v>9.6681000000000008</v>
      </c>
      <c r="D362" s="6">
        <v>8530.68</v>
      </c>
      <c r="E362" s="6">
        <v>0.87</v>
      </c>
      <c r="F362" s="6">
        <f t="shared" si="35"/>
        <v>9.6666666666666672E-3</v>
      </c>
      <c r="G362">
        <f>100*(B362-B361)/B361</f>
        <v>0.94338919509132613</v>
      </c>
      <c r="H362">
        <f t="shared" si="37"/>
        <v>-0.69945153139828042</v>
      </c>
      <c r="I362">
        <f t="shared" si="38"/>
        <v>-1.2206898947441562</v>
      </c>
      <c r="J362">
        <f t="shared" si="39"/>
        <v>0.65699159507195892</v>
      </c>
      <c r="K362">
        <f t="shared" si="40"/>
        <v>0.93372252842465941</v>
      </c>
      <c r="L362">
        <f t="shared" si="41"/>
        <v>-1.2303565614108229</v>
      </c>
    </row>
    <row r="363" spans="1:12" x14ac:dyDescent="0.25">
      <c r="A363" s="1">
        <v>40715</v>
      </c>
      <c r="B363" s="6">
        <v>54.897799999999997</v>
      </c>
      <c r="C363" s="6">
        <v>9.7362000000000002</v>
      </c>
      <c r="D363" s="6">
        <v>8597.6200000000008</v>
      </c>
      <c r="E363" s="6">
        <v>0.87</v>
      </c>
      <c r="F363" s="6">
        <f t="shared" si="35"/>
        <v>9.6666666666666672E-3</v>
      </c>
      <c r="G363">
        <f>100*(B363-B362)/B362</f>
        <v>1.3351299965850993</v>
      </c>
      <c r="H363">
        <f t="shared" si="37"/>
        <v>0.70437831631860837</v>
      </c>
      <c r="I363">
        <f t="shared" si="38"/>
        <v>0.7846971167597484</v>
      </c>
      <c r="J363">
        <f t="shared" si="39"/>
        <v>0.93263067005752998</v>
      </c>
      <c r="K363">
        <f t="shared" si="40"/>
        <v>1.3254633299184326</v>
      </c>
      <c r="L363">
        <f t="shared" si="41"/>
        <v>0.77503045009308169</v>
      </c>
    </row>
    <row r="364" spans="1:12" x14ac:dyDescent="0.25">
      <c r="A364" s="1">
        <v>40716</v>
      </c>
      <c r="B364" s="6">
        <v>54.2468</v>
      </c>
      <c r="C364" s="6">
        <v>9.7362000000000002</v>
      </c>
      <c r="D364" s="6">
        <v>8621.0400000000009</v>
      </c>
      <c r="E364" s="6">
        <v>0.87</v>
      </c>
      <c r="F364" s="6">
        <f t="shared" si="35"/>
        <v>9.6666666666666672E-3</v>
      </c>
      <c r="G364">
        <f>100*(B364-B363)/B363</f>
        <v>-1.1858398697215486</v>
      </c>
      <c r="H364">
        <f t="shared" si="37"/>
        <v>0</v>
      </c>
      <c r="I364">
        <f t="shared" si="38"/>
        <v>0.27240096677917924</v>
      </c>
      <c r="J364">
        <f t="shared" si="39"/>
        <v>-0.84118967075348039</v>
      </c>
      <c r="K364">
        <f t="shared" si="40"/>
        <v>-1.1955065363882154</v>
      </c>
      <c r="L364">
        <f t="shared" si="41"/>
        <v>0.26273430011251259</v>
      </c>
    </row>
    <row r="365" spans="1:12" x14ac:dyDescent="0.25">
      <c r="A365" s="1">
        <v>40717</v>
      </c>
      <c r="B365" s="6">
        <v>53.668199999999999</v>
      </c>
      <c r="C365" s="6">
        <v>9.6681000000000008</v>
      </c>
      <c r="D365" s="6">
        <v>8567.2800000000007</v>
      </c>
      <c r="E365" s="6">
        <v>0.87</v>
      </c>
      <c r="F365" s="6">
        <f t="shared" si="35"/>
        <v>9.6666666666666672E-3</v>
      </c>
      <c r="G365">
        <f>100*(B365-B364)/B364</f>
        <v>-1.0666066938510688</v>
      </c>
      <c r="H365">
        <f t="shared" si="37"/>
        <v>-0.69945153139828042</v>
      </c>
      <c r="I365">
        <f t="shared" si="38"/>
        <v>-0.62359065727569074</v>
      </c>
      <c r="J365">
        <f t="shared" si="39"/>
        <v>-0.75729408934043885</v>
      </c>
      <c r="K365">
        <f t="shared" si="40"/>
        <v>-1.0762733605177355</v>
      </c>
      <c r="L365">
        <f t="shared" si="41"/>
        <v>-0.63325732394235745</v>
      </c>
    </row>
    <row r="366" spans="1:12" x14ac:dyDescent="0.25">
      <c r="A366" s="1">
        <v>40718</v>
      </c>
      <c r="B366" s="6">
        <v>52.727899999999998</v>
      </c>
      <c r="C366" s="6">
        <v>9.5660000000000007</v>
      </c>
      <c r="D366" s="6">
        <v>8532.83</v>
      </c>
      <c r="E366" s="6">
        <v>0.87</v>
      </c>
      <c r="F366" s="6">
        <f t="shared" si="35"/>
        <v>9.6666666666666672E-3</v>
      </c>
      <c r="G366">
        <f>100*(B366-B365)/B365</f>
        <v>-1.7520617423353133</v>
      </c>
      <c r="H366">
        <f t="shared" si="37"/>
        <v>-1.0560503097816538</v>
      </c>
      <c r="I366">
        <f t="shared" si="38"/>
        <v>-0.4021112885303238</v>
      </c>
      <c r="J366">
        <f t="shared" si="39"/>
        <v>-1.239598191409802</v>
      </c>
      <c r="K366">
        <f t="shared" si="40"/>
        <v>-1.76172840900198</v>
      </c>
      <c r="L366">
        <f t="shared" si="41"/>
        <v>-0.41177795519699045</v>
      </c>
    </row>
    <row r="367" spans="1:12" x14ac:dyDescent="0.25">
      <c r="A367" s="1">
        <v>40721</v>
      </c>
      <c r="B367" s="6">
        <v>52.076999999999998</v>
      </c>
      <c r="C367" s="6">
        <v>9.4978999999999996</v>
      </c>
      <c r="D367" s="6">
        <v>8500.16</v>
      </c>
      <c r="E367" s="6">
        <v>0.87</v>
      </c>
      <c r="F367" s="6">
        <f t="shared" si="35"/>
        <v>9.6666666666666672E-3</v>
      </c>
      <c r="G367">
        <f>100*(B367-B366)/B366</f>
        <v>-1.2344508315332112</v>
      </c>
      <c r="H367">
        <f t="shared" si="37"/>
        <v>-0.71189629939369803</v>
      </c>
      <c r="I367">
        <f t="shared" si="38"/>
        <v>-0.38287414609221176</v>
      </c>
      <c r="J367">
        <f t="shared" si="39"/>
        <v>-0.87539361503713087</v>
      </c>
      <c r="K367">
        <f t="shared" si="40"/>
        <v>-1.2441174981998779</v>
      </c>
      <c r="L367">
        <f t="shared" si="41"/>
        <v>-0.39254081275887842</v>
      </c>
    </row>
    <row r="368" spans="1:12" x14ac:dyDescent="0.25">
      <c r="A368" s="1">
        <v>40722</v>
      </c>
      <c r="B368" s="6">
        <v>52.438600000000001</v>
      </c>
      <c r="C368" s="6">
        <v>9.5319000000000003</v>
      </c>
      <c r="D368" s="6">
        <v>8478.86</v>
      </c>
      <c r="E368" s="6">
        <v>0.87</v>
      </c>
      <c r="F368" s="6">
        <f t="shared" si="35"/>
        <v>9.6666666666666672E-3</v>
      </c>
      <c r="G368">
        <f>100*(B368-B367)/B367</f>
        <v>0.69435643374234846</v>
      </c>
      <c r="H368">
        <f t="shared" si="37"/>
        <v>0.35797386790765007</v>
      </c>
      <c r="I368">
        <f t="shared" si="38"/>
        <v>-0.25058351842787985</v>
      </c>
      <c r="J368">
        <f t="shared" si="39"/>
        <v>0.48176563005226519</v>
      </c>
      <c r="K368">
        <f t="shared" si="40"/>
        <v>0.68468976707568174</v>
      </c>
      <c r="L368">
        <f t="shared" si="41"/>
        <v>-0.2602501850945465</v>
      </c>
    </row>
    <row r="369" spans="1:12" x14ac:dyDescent="0.25">
      <c r="A369" s="1">
        <v>40723</v>
      </c>
      <c r="B369" s="6">
        <v>53.8718</v>
      </c>
      <c r="C369" s="6">
        <v>9.7020999999999997</v>
      </c>
      <c r="D369" s="6">
        <v>8573.3799999999992</v>
      </c>
      <c r="E369" s="6">
        <v>0.87</v>
      </c>
      <c r="F369" s="6">
        <f t="shared" si="35"/>
        <v>9.6666666666666672E-3</v>
      </c>
      <c r="G369">
        <f>100*(B369-B368)/B368</f>
        <v>2.7331011888189223</v>
      </c>
      <c r="H369">
        <f t="shared" si="37"/>
        <v>1.7855831471165189</v>
      </c>
      <c r="I369">
        <f t="shared" si="38"/>
        <v>1.1147725047942603</v>
      </c>
      <c r="J369">
        <f t="shared" si="39"/>
        <v>1.9162797686820752</v>
      </c>
      <c r="K369">
        <f t="shared" si="40"/>
        <v>2.7234345221522558</v>
      </c>
      <c r="L369">
        <f t="shared" si="41"/>
        <v>1.1051058381275936</v>
      </c>
    </row>
    <row r="370" spans="1:12" x14ac:dyDescent="0.25">
      <c r="A370" s="1">
        <v>40724</v>
      </c>
      <c r="B370" s="6">
        <v>54.4754</v>
      </c>
      <c r="C370" s="6">
        <v>9.7020999999999997</v>
      </c>
      <c r="D370" s="6">
        <v>8652.59</v>
      </c>
      <c r="E370" s="6">
        <v>0.87</v>
      </c>
      <c r="F370" s="6">
        <f t="shared" si="35"/>
        <v>9.6666666666666672E-3</v>
      </c>
      <c r="G370">
        <f>100*(B370-B369)/B369</f>
        <v>1.1204377800630387</v>
      </c>
      <c r="H370">
        <f t="shared" si="37"/>
        <v>0</v>
      </c>
      <c r="I370">
        <f t="shared" si="38"/>
        <v>0.92390632399358197</v>
      </c>
      <c r="J370">
        <f t="shared" si="39"/>
        <v>0.78156761064914371</v>
      </c>
      <c r="K370">
        <f t="shared" si="40"/>
        <v>1.110771113396372</v>
      </c>
      <c r="L370">
        <f t="shared" si="41"/>
        <v>0.91423965732691526</v>
      </c>
    </row>
    <row r="371" spans="1:12" x14ac:dyDescent="0.25">
      <c r="A371" s="1">
        <v>40725</v>
      </c>
      <c r="B371" s="6">
        <v>54.928100000000001</v>
      </c>
      <c r="C371" s="6">
        <v>9.7020999999999997</v>
      </c>
      <c r="D371" s="6">
        <v>8739.82</v>
      </c>
      <c r="E371" s="6">
        <v>0.87</v>
      </c>
      <c r="F371" s="6">
        <f t="shared" si="35"/>
        <v>9.6666666666666672E-3</v>
      </c>
      <c r="G371">
        <f>100*(B371-B370)/B370</f>
        <v>0.83101730322310641</v>
      </c>
      <c r="H371">
        <f t="shared" si="37"/>
        <v>0</v>
      </c>
      <c r="I371">
        <f t="shared" si="38"/>
        <v>1.008137447862427</v>
      </c>
      <c r="J371">
        <f t="shared" si="39"/>
        <v>0.57792379255859971</v>
      </c>
      <c r="K371">
        <f t="shared" si="40"/>
        <v>0.82135063655643969</v>
      </c>
      <c r="L371">
        <f t="shared" si="41"/>
        <v>0.99847078119576027</v>
      </c>
    </row>
    <row r="372" spans="1:12" x14ac:dyDescent="0.25">
      <c r="A372" s="1">
        <v>40728</v>
      </c>
      <c r="B372" s="6">
        <v>55.456299999999999</v>
      </c>
      <c r="C372" s="6">
        <v>9.7702000000000009</v>
      </c>
      <c r="D372" s="6">
        <v>8774.7199999999993</v>
      </c>
      <c r="E372" s="6">
        <v>0.87</v>
      </c>
      <c r="F372" s="6">
        <f t="shared" si="35"/>
        <v>9.6666666666666672E-3</v>
      </c>
      <c r="G372">
        <f>100*(B372-B371)/B371</f>
        <v>0.96162073692699768</v>
      </c>
      <c r="H372">
        <f t="shared" si="37"/>
        <v>0.70190989579576757</v>
      </c>
      <c r="I372">
        <f t="shared" si="38"/>
        <v>0.39932172516138359</v>
      </c>
      <c r="J372">
        <f t="shared" si="39"/>
        <v>0.66981978480349269</v>
      </c>
      <c r="K372">
        <f t="shared" si="40"/>
        <v>0.95195407026033096</v>
      </c>
      <c r="L372">
        <f t="shared" si="41"/>
        <v>0.38965505849471693</v>
      </c>
    </row>
    <row r="373" spans="1:12" x14ac:dyDescent="0.25">
      <c r="A373" s="1">
        <v>40729</v>
      </c>
      <c r="B373" s="6">
        <v>55.229900000000001</v>
      </c>
      <c r="C373" s="6">
        <v>9.7020999999999997</v>
      </c>
      <c r="D373" s="6">
        <v>8784.44</v>
      </c>
      <c r="E373" s="6">
        <v>0.87</v>
      </c>
      <c r="F373" s="6">
        <f t="shared" si="35"/>
        <v>9.6666666666666672E-3</v>
      </c>
      <c r="G373">
        <f>100*(B373-B372)/B372</f>
        <v>-0.40824937833933778</v>
      </c>
      <c r="H373">
        <f t="shared" si="37"/>
        <v>-0.69701746125976083</v>
      </c>
      <c r="I373">
        <f t="shared" si="38"/>
        <v>0.11077276539879523</v>
      </c>
      <c r="J373">
        <f t="shared" si="39"/>
        <v>-0.29405666100602584</v>
      </c>
      <c r="K373">
        <f t="shared" si="40"/>
        <v>-0.41791604500600443</v>
      </c>
      <c r="L373">
        <f t="shared" si="41"/>
        <v>0.10110609873212856</v>
      </c>
    </row>
    <row r="374" spans="1:12" x14ac:dyDescent="0.25">
      <c r="A374" s="1">
        <v>40730</v>
      </c>
      <c r="B374" s="6">
        <v>54.928100000000001</v>
      </c>
      <c r="C374" s="6">
        <v>9.7362000000000002</v>
      </c>
      <c r="D374" s="6">
        <v>8824.44</v>
      </c>
      <c r="E374" s="6">
        <v>0.87</v>
      </c>
      <c r="F374" s="6">
        <f t="shared" si="35"/>
        <v>9.6666666666666672E-3</v>
      </c>
      <c r="G374">
        <f>100*(B374-B373)/B373</f>
        <v>-0.54644314040039921</v>
      </c>
      <c r="H374">
        <f t="shared" si="37"/>
        <v>0.35147030024428177</v>
      </c>
      <c r="I374">
        <f t="shared" si="38"/>
        <v>0.45535059719230819</v>
      </c>
      <c r="J374">
        <f t="shared" si="39"/>
        <v>-0.39129340682886954</v>
      </c>
      <c r="K374">
        <f t="shared" si="40"/>
        <v>-0.55610980706706592</v>
      </c>
      <c r="L374">
        <f t="shared" si="41"/>
        <v>0.44568393052564154</v>
      </c>
    </row>
    <row r="375" spans="1:12" x14ac:dyDescent="0.25">
      <c r="A375" s="1">
        <v>40731</v>
      </c>
      <c r="B375" s="6">
        <v>54.0227</v>
      </c>
      <c r="C375" s="6">
        <v>9.7702000000000009</v>
      </c>
      <c r="D375" s="6">
        <v>8773.42</v>
      </c>
      <c r="E375" s="6">
        <v>0.87</v>
      </c>
      <c r="F375" s="6">
        <f t="shared" si="35"/>
        <v>9.6666666666666672E-3</v>
      </c>
      <c r="G375">
        <f>100*(B375-B374)/B374</f>
        <v>-1.6483366437215199</v>
      </c>
      <c r="H375">
        <f t="shared" si="37"/>
        <v>0.3492122183192693</v>
      </c>
      <c r="I375">
        <f t="shared" si="38"/>
        <v>-0.57816699983228892</v>
      </c>
      <c r="J375">
        <f t="shared" si="39"/>
        <v>-1.1666144988108385</v>
      </c>
      <c r="K375">
        <f t="shared" si="40"/>
        <v>-1.6580033103881866</v>
      </c>
      <c r="L375">
        <f t="shared" si="41"/>
        <v>-0.58783366649895563</v>
      </c>
    </row>
    <row r="376" spans="1:12" x14ac:dyDescent="0.25">
      <c r="A376" s="1">
        <v>40732</v>
      </c>
      <c r="B376" s="6">
        <v>54.701799999999999</v>
      </c>
      <c r="C376" s="6">
        <v>9.7020999999999997</v>
      </c>
      <c r="D376" s="6">
        <v>8749.5499999999993</v>
      </c>
      <c r="E376" s="6">
        <v>0.87</v>
      </c>
      <c r="F376" s="6">
        <f t="shared" si="35"/>
        <v>9.6666666666666672E-3</v>
      </c>
      <c r="G376">
        <f>100*(B376-B375)/B375</f>
        <v>1.257064160066043</v>
      </c>
      <c r="H376">
        <f t="shared" si="37"/>
        <v>-0.69701746125976083</v>
      </c>
      <c r="I376">
        <f t="shared" si="38"/>
        <v>-0.27207178044594699</v>
      </c>
      <c r="J376">
        <f t="shared" si="39"/>
        <v>0.87770150545676384</v>
      </c>
      <c r="K376">
        <f t="shared" si="40"/>
        <v>1.2473974933993763</v>
      </c>
      <c r="L376">
        <f t="shared" si="41"/>
        <v>-0.28173844711261364</v>
      </c>
    </row>
    <row r="377" spans="1:12" x14ac:dyDescent="0.25">
      <c r="A377" s="1">
        <v>40735</v>
      </c>
      <c r="B377" s="6">
        <v>53.796300000000002</v>
      </c>
      <c r="C377" s="6">
        <v>9.5658999999999992</v>
      </c>
      <c r="D377" s="6">
        <v>8665.85</v>
      </c>
      <c r="E377" s="6">
        <v>0.94</v>
      </c>
      <c r="F377" s="6">
        <f t="shared" si="35"/>
        <v>1.0444444444444444E-2</v>
      </c>
      <c r="G377">
        <f>100*(B377-B376)/B376</f>
        <v>-1.6553385811801375</v>
      </c>
      <c r="H377">
        <f t="shared" si="37"/>
        <v>-1.4038197915915167</v>
      </c>
      <c r="I377">
        <f t="shared" si="38"/>
        <v>-0.95662062620362098</v>
      </c>
      <c r="J377">
        <f t="shared" si="39"/>
        <v>-1.172088509950945</v>
      </c>
      <c r="K377">
        <f t="shared" si="40"/>
        <v>-1.665783025624582</v>
      </c>
      <c r="L377">
        <f t="shared" si="41"/>
        <v>-0.96706507064806546</v>
      </c>
    </row>
    <row r="378" spans="1:12" x14ac:dyDescent="0.25">
      <c r="A378" s="1">
        <v>40736</v>
      </c>
      <c r="B378" s="6">
        <v>53.041800000000002</v>
      </c>
      <c r="C378" s="6">
        <v>9.4638000000000009</v>
      </c>
      <c r="D378" s="6">
        <v>8491.01</v>
      </c>
      <c r="E378" s="6">
        <v>0.94</v>
      </c>
      <c r="F378" s="6">
        <f t="shared" si="35"/>
        <v>1.0444444444444444E-2</v>
      </c>
      <c r="G378">
        <f>100*(B378-B377)/B377</f>
        <v>-1.4025128122194279</v>
      </c>
      <c r="H378">
        <f t="shared" si="37"/>
        <v>-1.0673329221505379</v>
      </c>
      <c r="I378">
        <f t="shared" si="38"/>
        <v>-2.0175747330036886</v>
      </c>
      <c r="J378">
        <f t="shared" si="39"/>
        <v>-0.99419368555912468</v>
      </c>
      <c r="K378">
        <f t="shared" si="40"/>
        <v>-1.4129572566638724</v>
      </c>
      <c r="L378">
        <f t="shared" si="41"/>
        <v>-2.0280191774481331</v>
      </c>
    </row>
    <row r="379" spans="1:12" x14ac:dyDescent="0.25">
      <c r="A379" s="1">
        <v>40737</v>
      </c>
      <c r="B379" s="6">
        <v>54.4754</v>
      </c>
      <c r="C379" s="6">
        <v>9.4638000000000009</v>
      </c>
      <c r="D379" s="6">
        <v>8488.06</v>
      </c>
      <c r="E379" s="6">
        <v>0.94</v>
      </c>
      <c r="F379" s="6">
        <f t="shared" si="35"/>
        <v>1.0444444444444444E-2</v>
      </c>
      <c r="G379">
        <f>100*(B379-B378)/B378</f>
        <v>2.7027740385884309</v>
      </c>
      <c r="H379">
        <f t="shared" si="37"/>
        <v>0</v>
      </c>
      <c r="I379">
        <f t="shared" si="38"/>
        <v>-3.4742627791048739E-2</v>
      </c>
      <c r="J379">
        <f t="shared" si="39"/>
        <v>1.8943935277007959</v>
      </c>
      <c r="K379">
        <f t="shared" si="40"/>
        <v>2.6923295941439864</v>
      </c>
      <c r="L379">
        <f t="shared" si="41"/>
        <v>-4.5187072235493182E-2</v>
      </c>
    </row>
    <row r="380" spans="1:12" x14ac:dyDescent="0.25">
      <c r="A380" s="1">
        <v>40738</v>
      </c>
      <c r="B380" s="6">
        <v>53.343600000000002</v>
      </c>
      <c r="C380" s="6">
        <v>9.3617000000000008</v>
      </c>
      <c r="D380" s="6">
        <v>8481.35</v>
      </c>
      <c r="E380" s="6">
        <v>0.94</v>
      </c>
      <c r="F380" s="6">
        <f t="shared" si="35"/>
        <v>1.0444444444444444E-2</v>
      </c>
      <c r="G380">
        <f>100*(B380-B379)/B379</f>
        <v>-2.0776350426063845</v>
      </c>
      <c r="H380">
        <f t="shared" si="37"/>
        <v>-1.0788478201145424</v>
      </c>
      <c r="I380">
        <f t="shared" si="38"/>
        <v>-7.9052221591260283E-2</v>
      </c>
      <c r="J380">
        <f t="shared" si="39"/>
        <v>-1.4692273465320531</v>
      </c>
      <c r="K380">
        <f t="shared" si="40"/>
        <v>-2.088079487050829</v>
      </c>
      <c r="L380">
        <f t="shared" si="41"/>
        <v>-8.9496666035704719E-2</v>
      </c>
    </row>
    <row r="381" spans="1:12" x14ac:dyDescent="0.25">
      <c r="A381" s="1">
        <v>40739</v>
      </c>
      <c r="B381" s="6">
        <v>52.74</v>
      </c>
      <c r="C381" s="6">
        <v>9.4638000000000009</v>
      </c>
      <c r="D381" s="6">
        <v>8574.91</v>
      </c>
      <c r="E381" s="6">
        <v>0.94</v>
      </c>
      <c r="F381" s="6">
        <f t="shared" si="35"/>
        <v>1.0444444444444444E-2</v>
      </c>
      <c r="G381">
        <f>100*(B381-B380)/B380</f>
        <v>-1.1315321800553395</v>
      </c>
      <c r="H381">
        <f t="shared" si="37"/>
        <v>1.0906138842304289</v>
      </c>
      <c r="I381">
        <f t="shared" si="38"/>
        <v>1.1031262711714467</v>
      </c>
      <c r="J381">
        <f t="shared" si="39"/>
        <v>-0.80352462452719164</v>
      </c>
      <c r="K381">
        <f t="shared" si="40"/>
        <v>-1.141976624499784</v>
      </c>
      <c r="L381">
        <f t="shared" si="41"/>
        <v>1.0926818267270022</v>
      </c>
    </row>
    <row r="382" spans="1:12" x14ac:dyDescent="0.25">
      <c r="A382" s="1">
        <v>40742</v>
      </c>
      <c r="B382" s="6">
        <v>52.589100000000002</v>
      </c>
      <c r="C382" s="6">
        <v>9.4298000000000002</v>
      </c>
      <c r="D382" s="6">
        <v>8538.57</v>
      </c>
      <c r="E382" s="6">
        <v>0.94</v>
      </c>
      <c r="F382" s="6">
        <f t="shared" si="35"/>
        <v>1.0444444444444444E-2</v>
      </c>
      <c r="G382">
        <f>100*(B382-B381)/B381</f>
        <v>-0.28612059158134251</v>
      </c>
      <c r="H382">
        <f t="shared" si="37"/>
        <v>-0.35926372070416424</v>
      </c>
      <c r="I382">
        <f t="shared" si="38"/>
        <v>-0.42379453545285195</v>
      </c>
      <c r="J382">
        <f t="shared" si="39"/>
        <v>-0.2086709168192423</v>
      </c>
      <c r="K382">
        <f t="shared" si="40"/>
        <v>-0.29656503602578693</v>
      </c>
      <c r="L382">
        <f t="shared" si="41"/>
        <v>-0.43423897989729637</v>
      </c>
    </row>
    <row r="383" spans="1:12" x14ac:dyDescent="0.25">
      <c r="A383" s="1">
        <v>40743</v>
      </c>
      <c r="B383" s="6">
        <v>51.683700000000002</v>
      </c>
      <c r="C383" s="6">
        <v>9.4298000000000002</v>
      </c>
      <c r="D383" s="6">
        <v>8524.57</v>
      </c>
      <c r="E383" s="6">
        <v>0.94</v>
      </c>
      <c r="F383" s="6">
        <f t="shared" si="35"/>
        <v>1.0444444444444444E-2</v>
      </c>
      <c r="G383">
        <f>100*(B383-B382)/B382</f>
        <v>-1.7216495433464352</v>
      </c>
      <c r="H383">
        <f t="shared" si="37"/>
        <v>0</v>
      </c>
      <c r="I383">
        <f t="shared" si="38"/>
        <v>-0.16396188120493244</v>
      </c>
      <c r="J383">
        <f t="shared" si="39"/>
        <v>-1.2187466374761473</v>
      </c>
      <c r="K383">
        <f t="shared" si="40"/>
        <v>-1.7320939877908796</v>
      </c>
      <c r="L383">
        <f t="shared" si="41"/>
        <v>-0.17440632564937689</v>
      </c>
    </row>
    <row r="384" spans="1:12" x14ac:dyDescent="0.25">
      <c r="A384" s="1">
        <v>40744</v>
      </c>
      <c r="B384" s="6">
        <v>54.0227</v>
      </c>
      <c r="C384" s="6">
        <v>9.6</v>
      </c>
      <c r="D384" s="6">
        <v>8706.17</v>
      </c>
      <c r="E384" s="6">
        <v>0.94</v>
      </c>
      <c r="F384" s="6">
        <f t="shared" si="35"/>
        <v>1.0444444444444444E-2</v>
      </c>
      <c r="G384">
        <f>100*(B384-B383)/B383</f>
        <v>4.5256047844871761</v>
      </c>
      <c r="H384">
        <f t="shared" si="37"/>
        <v>1.8049163290843864</v>
      </c>
      <c r="I384">
        <f t="shared" si="38"/>
        <v>2.1303127313166574</v>
      </c>
      <c r="J384">
        <f t="shared" si="39"/>
        <v>3.176984921650285</v>
      </c>
      <c r="K384">
        <f t="shared" si="40"/>
        <v>4.5151603400427316</v>
      </c>
      <c r="L384">
        <f t="shared" si="41"/>
        <v>2.119868286872213</v>
      </c>
    </row>
    <row r="385" spans="1:12" x14ac:dyDescent="0.25">
      <c r="A385" s="1">
        <v>40745</v>
      </c>
      <c r="B385" s="6">
        <v>54.0227</v>
      </c>
      <c r="C385" s="6">
        <v>9.8383000000000003</v>
      </c>
      <c r="D385" s="6">
        <v>8717.14</v>
      </c>
      <c r="E385" s="6">
        <v>0.94</v>
      </c>
      <c r="F385" s="6">
        <f t="shared" si="35"/>
        <v>1.0444444444444444E-2</v>
      </c>
      <c r="G385">
        <f>100*(B385-B384)/B384</f>
        <v>0</v>
      </c>
      <c r="H385">
        <f t="shared" si="37"/>
        <v>2.4822916666666734</v>
      </c>
      <c r="I385">
        <f t="shared" si="38"/>
        <v>0.12600259356294841</v>
      </c>
      <c r="J385">
        <f t="shared" si="39"/>
        <v>-7.3489843141871791E-3</v>
      </c>
      <c r="K385">
        <f t="shared" si="40"/>
        <v>-1.0444444444444444E-2</v>
      </c>
      <c r="L385">
        <f t="shared" si="41"/>
        <v>0.11555814911850396</v>
      </c>
    </row>
    <row r="386" spans="1:12" x14ac:dyDescent="0.25">
      <c r="A386" s="1">
        <v>40746</v>
      </c>
      <c r="B386" s="6">
        <v>54.3245</v>
      </c>
      <c r="C386" s="6">
        <v>9.8838000000000008</v>
      </c>
      <c r="D386" s="6">
        <v>8765.32</v>
      </c>
      <c r="E386" s="6">
        <v>0.94</v>
      </c>
      <c r="F386" s="6">
        <f t="shared" si="35"/>
        <v>1.0444444444444444E-2</v>
      </c>
      <c r="G386">
        <f>100*(B386-B385)/B385</f>
        <v>0.55865404728012491</v>
      </c>
      <c r="H386">
        <f t="shared" si="37"/>
        <v>0.46247827368549993</v>
      </c>
      <c r="I386">
        <f t="shared" si="38"/>
        <v>0.55270421262019764</v>
      </c>
      <c r="J386">
        <f t="shared" si="39"/>
        <v>0.38573461648016799</v>
      </c>
      <c r="K386">
        <f t="shared" si="40"/>
        <v>0.54820960283568043</v>
      </c>
      <c r="L386">
        <f t="shared" si="41"/>
        <v>0.54225976817575317</v>
      </c>
    </row>
    <row r="387" spans="1:12" x14ac:dyDescent="0.25">
      <c r="A387" s="1">
        <v>40749</v>
      </c>
      <c r="B387" s="6">
        <v>54.3245</v>
      </c>
      <c r="C387" s="6">
        <v>9.7362000000000002</v>
      </c>
      <c r="D387" s="6">
        <v>8683.51</v>
      </c>
      <c r="E387" s="6">
        <v>0.94</v>
      </c>
      <c r="F387" s="6">
        <f t="shared" ref="F387:F450" si="42">E387/90</f>
        <v>1.0444444444444444E-2</v>
      </c>
      <c r="G387">
        <f>100*(B387-B386)/B386</f>
        <v>0</v>
      </c>
      <c r="H387">
        <f t="shared" si="37"/>
        <v>-1.4933527590602866</v>
      </c>
      <c r="I387">
        <f t="shared" si="38"/>
        <v>-0.93333728831348417</v>
      </c>
      <c r="J387">
        <f t="shared" si="39"/>
        <v>-7.3489843141871791E-3</v>
      </c>
      <c r="K387">
        <f t="shared" si="40"/>
        <v>-1.0444444444444444E-2</v>
      </c>
      <c r="L387">
        <f t="shared" si="41"/>
        <v>-0.94378173275792865</v>
      </c>
    </row>
    <row r="388" spans="1:12" x14ac:dyDescent="0.25">
      <c r="A388" s="1">
        <v>40750</v>
      </c>
      <c r="B388" s="6">
        <v>55.607199999999999</v>
      </c>
      <c r="C388" s="6">
        <v>9.81</v>
      </c>
      <c r="D388" s="6">
        <v>8794.24</v>
      </c>
      <c r="E388" s="6">
        <v>0.94</v>
      </c>
      <c r="F388" s="6">
        <f t="shared" si="42"/>
        <v>1.0444444444444444E-2</v>
      </c>
      <c r="G388">
        <f t="shared" ref="G388:G451" si="43">100*(B388-B387)/B387</f>
        <v>2.3611814190650597</v>
      </c>
      <c r="H388">
        <f t="shared" ref="H388:H451" si="44">100*(C388-C387)/C387</f>
        <v>0.75799593270475452</v>
      </c>
      <c r="I388">
        <f t="shared" ref="I388:I451" si="45">100*(D388-D387)/D387</f>
        <v>1.2751755914370981</v>
      </c>
      <c r="J388">
        <f t="shared" ref="J388:J451" si="46">(G388-F388)/$N$3</f>
        <v>1.6540400253127718</v>
      </c>
      <c r="K388">
        <f t="shared" ref="K388:K451" si="47">G388-F388</f>
        <v>2.3507369746206153</v>
      </c>
      <c r="L388">
        <f t="shared" ref="L388:L451" si="48">I388-F388</f>
        <v>1.2647311469926537</v>
      </c>
    </row>
    <row r="389" spans="1:12" x14ac:dyDescent="0.25">
      <c r="A389" s="1">
        <v>40751</v>
      </c>
      <c r="B389" s="6">
        <v>55.380800000000001</v>
      </c>
      <c r="C389" s="6">
        <v>9.6624999999999996</v>
      </c>
      <c r="D389" s="6">
        <v>8817.49</v>
      </c>
      <c r="E389" s="6">
        <v>0.94</v>
      </c>
      <c r="F389" s="6">
        <f t="shared" si="42"/>
        <v>1.0444444444444444E-2</v>
      </c>
      <c r="G389">
        <f t="shared" si="43"/>
        <v>-0.40714152124185027</v>
      </c>
      <c r="H389">
        <f t="shared" si="44"/>
        <v>-1.5035677879714664</v>
      </c>
      <c r="I389">
        <f t="shared" si="45"/>
        <v>0.26437759260606941</v>
      </c>
      <c r="J389">
        <f t="shared" si="46"/>
        <v>-0.2938244085625486</v>
      </c>
      <c r="K389">
        <f t="shared" si="47"/>
        <v>-0.41758596568629469</v>
      </c>
      <c r="L389">
        <f t="shared" si="48"/>
        <v>0.25393314816162499</v>
      </c>
    </row>
    <row r="390" spans="1:12" x14ac:dyDescent="0.25">
      <c r="A390" s="1">
        <v>40752</v>
      </c>
      <c r="B390" s="6">
        <v>55.079000000000001</v>
      </c>
      <c r="C390" s="6">
        <v>9.6256000000000004</v>
      </c>
      <c r="D390" s="6">
        <v>8767.2000000000007</v>
      </c>
      <c r="E390" s="6">
        <v>0.94</v>
      </c>
      <c r="F390" s="6">
        <f t="shared" si="42"/>
        <v>1.0444444444444444E-2</v>
      </c>
      <c r="G390">
        <f t="shared" si="43"/>
        <v>-0.54495420795654825</v>
      </c>
      <c r="H390">
        <f t="shared" si="44"/>
        <v>-0.38188874514876342</v>
      </c>
      <c r="I390">
        <f t="shared" si="45"/>
        <v>-0.57034371459450539</v>
      </c>
      <c r="J390">
        <f t="shared" si="46"/>
        <v>-0.39079301980362063</v>
      </c>
      <c r="K390">
        <f t="shared" si="47"/>
        <v>-0.55539865240099273</v>
      </c>
      <c r="L390">
        <f t="shared" si="48"/>
        <v>-0.58078815903894987</v>
      </c>
    </row>
    <row r="391" spans="1:12" x14ac:dyDescent="0.25">
      <c r="A391" s="1">
        <v>40753</v>
      </c>
      <c r="B391" s="6">
        <v>54.3245</v>
      </c>
      <c r="C391" s="6">
        <v>9.5518000000000001</v>
      </c>
      <c r="D391" s="6">
        <v>8644.18</v>
      </c>
      <c r="E391" s="6">
        <v>0.94</v>
      </c>
      <c r="F391" s="6">
        <f t="shared" si="42"/>
        <v>1.0444444444444444E-2</v>
      </c>
      <c r="G391">
        <f t="shared" si="43"/>
        <v>-1.3698505782603172</v>
      </c>
      <c r="H391">
        <f t="shared" si="44"/>
        <v>-0.76670545212766272</v>
      </c>
      <c r="I391">
        <f t="shared" si="45"/>
        <v>-1.4031845971347798</v>
      </c>
      <c r="J391">
        <f t="shared" si="46"/>
        <v>-0.97121168337522745</v>
      </c>
      <c r="K391">
        <f t="shared" si="47"/>
        <v>-1.3802950227047617</v>
      </c>
      <c r="L391">
        <f t="shared" si="48"/>
        <v>-1.4136290415792243</v>
      </c>
    </row>
    <row r="392" spans="1:12" x14ac:dyDescent="0.25">
      <c r="A392" s="1">
        <v>40756</v>
      </c>
      <c r="B392" s="6">
        <v>54.777200000000001</v>
      </c>
      <c r="C392" s="6">
        <v>9.6624999999999996</v>
      </c>
      <c r="D392" s="6">
        <v>8701.3799999999992</v>
      </c>
      <c r="E392" s="6">
        <v>0.94</v>
      </c>
      <c r="F392" s="6">
        <f t="shared" si="42"/>
        <v>1.0444444444444444E-2</v>
      </c>
      <c r="G392">
        <f t="shared" si="43"/>
        <v>0.83332566337472058</v>
      </c>
      <c r="H392">
        <f t="shared" si="44"/>
        <v>1.1589438639837473</v>
      </c>
      <c r="I392">
        <f t="shared" si="45"/>
        <v>0.66171690085119594</v>
      </c>
      <c r="J392">
        <f t="shared" si="46"/>
        <v>0.57900075035340881</v>
      </c>
      <c r="K392">
        <f t="shared" si="47"/>
        <v>0.8228812189302761</v>
      </c>
      <c r="L392">
        <f t="shared" si="48"/>
        <v>0.65127245640675147</v>
      </c>
    </row>
    <row r="393" spans="1:12" x14ac:dyDescent="0.25">
      <c r="A393" s="1">
        <v>40757</v>
      </c>
      <c r="B393" s="6">
        <v>53.8718</v>
      </c>
      <c r="C393" s="6">
        <v>9.4412000000000003</v>
      </c>
      <c r="D393" s="6">
        <v>8584.7199999999993</v>
      </c>
      <c r="E393" s="6">
        <v>0.94</v>
      </c>
      <c r="F393" s="6">
        <f t="shared" si="42"/>
        <v>1.0444444444444444E-2</v>
      </c>
      <c r="G393">
        <f t="shared" si="43"/>
        <v>-1.6528774745697119</v>
      </c>
      <c r="H393">
        <f t="shared" si="44"/>
        <v>-2.2902975420439784</v>
      </c>
      <c r="I393">
        <f t="shared" si="45"/>
        <v>-1.3407068763805265</v>
      </c>
      <c r="J393">
        <f t="shared" si="46"/>
        <v>-1.1703568109628595</v>
      </c>
      <c r="K393">
        <f t="shared" si="47"/>
        <v>-1.6633219190141564</v>
      </c>
      <c r="L393">
        <f t="shared" si="48"/>
        <v>-1.351151320824971</v>
      </c>
    </row>
    <row r="394" spans="1:12" x14ac:dyDescent="0.25">
      <c r="A394" s="1">
        <v>40758</v>
      </c>
      <c r="B394" s="6">
        <v>52.890900000000002</v>
      </c>
      <c r="C394" s="6">
        <v>9.3306000000000004</v>
      </c>
      <c r="D394" s="6">
        <v>8456.86</v>
      </c>
      <c r="E394" s="6">
        <v>0.94</v>
      </c>
      <c r="F394" s="6">
        <f t="shared" si="42"/>
        <v>1.0444444444444444E-2</v>
      </c>
      <c r="G394">
        <f t="shared" si="43"/>
        <v>-1.8208042055398155</v>
      </c>
      <c r="H394">
        <f t="shared" si="44"/>
        <v>-1.1714612549252192</v>
      </c>
      <c r="I394">
        <f t="shared" si="45"/>
        <v>-1.4893904518726153</v>
      </c>
      <c r="J394">
        <f t="shared" si="46"/>
        <v>-1.2885144514574147</v>
      </c>
      <c r="K394">
        <f t="shared" si="47"/>
        <v>-1.83124864998426</v>
      </c>
      <c r="L394">
        <f t="shared" si="48"/>
        <v>-1.4998348963170598</v>
      </c>
    </row>
    <row r="395" spans="1:12" x14ac:dyDescent="0.25">
      <c r="A395" s="1">
        <v>40759</v>
      </c>
      <c r="B395" s="6">
        <v>52.8155</v>
      </c>
      <c r="C395" s="6">
        <v>9.1462000000000003</v>
      </c>
      <c r="D395" s="6">
        <v>8317.27</v>
      </c>
      <c r="E395" s="6">
        <v>0.94</v>
      </c>
      <c r="F395" s="6">
        <f t="shared" si="42"/>
        <v>1.0444444444444444E-2</v>
      </c>
      <c r="G395">
        <f t="shared" si="43"/>
        <v>-0.14255760442723023</v>
      </c>
      <c r="H395">
        <f t="shared" si="44"/>
        <v>-1.9762930572524822</v>
      </c>
      <c r="I395">
        <f t="shared" si="45"/>
        <v>-1.6506126387335269</v>
      </c>
      <c r="J395">
        <f t="shared" si="46"/>
        <v>-0.107656243774127</v>
      </c>
      <c r="K395">
        <f t="shared" si="47"/>
        <v>-0.15300204887167468</v>
      </c>
      <c r="L395">
        <f t="shared" si="48"/>
        <v>-1.6610570831779714</v>
      </c>
    </row>
    <row r="396" spans="1:12" x14ac:dyDescent="0.25">
      <c r="A396" s="1">
        <v>40760</v>
      </c>
      <c r="B396" s="6">
        <v>50.2502</v>
      </c>
      <c r="C396" s="6">
        <v>8.5191999999999997</v>
      </c>
      <c r="D396" s="6">
        <v>7853.13</v>
      </c>
      <c r="E396" s="6">
        <v>0.94</v>
      </c>
      <c r="F396" s="6">
        <f t="shared" si="42"/>
        <v>1.0444444444444444E-2</v>
      </c>
      <c r="G396">
        <f t="shared" si="43"/>
        <v>-4.8570968749704173</v>
      </c>
      <c r="H396">
        <f t="shared" si="44"/>
        <v>-6.8553060287332519</v>
      </c>
      <c r="I396">
        <f t="shared" si="45"/>
        <v>-5.5804368500722026</v>
      </c>
      <c r="J396">
        <f t="shared" si="46"/>
        <v>-3.4249293962270224</v>
      </c>
      <c r="K396">
        <f t="shared" si="47"/>
        <v>-4.8675413194148618</v>
      </c>
      <c r="L396">
        <f t="shared" si="48"/>
        <v>-5.5908812945166471</v>
      </c>
    </row>
    <row r="397" spans="1:12" x14ac:dyDescent="0.25">
      <c r="A397" s="1">
        <v>40763</v>
      </c>
      <c r="B397" s="6">
        <v>49.193899999999999</v>
      </c>
      <c r="C397" s="6">
        <v>8.0397999999999996</v>
      </c>
      <c r="D397" s="6">
        <v>7552.8</v>
      </c>
      <c r="E397" s="6">
        <v>0.94</v>
      </c>
      <c r="F397" s="6">
        <f t="shared" si="42"/>
        <v>1.0444444444444444E-2</v>
      </c>
      <c r="G397">
        <f t="shared" si="43"/>
        <v>-2.1020811857465249</v>
      </c>
      <c r="H397">
        <f t="shared" si="44"/>
        <v>-5.6272889473189975</v>
      </c>
      <c r="I397">
        <f t="shared" si="45"/>
        <v>-3.8243350103716596</v>
      </c>
      <c r="J397">
        <f t="shared" si="46"/>
        <v>-1.4864282923013445</v>
      </c>
      <c r="K397">
        <f t="shared" si="47"/>
        <v>-2.1125256301909694</v>
      </c>
      <c r="L397">
        <f t="shared" si="48"/>
        <v>-3.834779454816104</v>
      </c>
    </row>
    <row r="398" spans="1:12" x14ac:dyDescent="0.25">
      <c r="A398" s="1">
        <v>40764</v>
      </c>
      <c r="B398" s="6">
        <v>47.760300000000001</v>
      </c>
      <c r="C398" s="6">
        <v>7.7079000000000004</v>
      </c>
      <c r="D398" s="6">
        <v>7493.12</v>
      </c>
      <c r="E398" s="6">
        <v>0.94</v>
      </c>
      <c r="F398" s="6">
        <f t="shared" si="42"/>
        <v>1.0444444444444444E-2</v>
      </c>
      <c r="G398">
        <f t="shared" si="43"/>
        <v>-2.9141824494500304</v>
      </c>
      <c r="H398">
        <f t="shared" si="44"/>
        <v>-4.1282121445807007</v>
      </c>
      <c r="I398">
        <f t="shared" si="45"/>
        <v>-0.79017053278254801</v>
      </c>
      <c r="J398">
        <f t="shared" si="46"/>
        <v>-2.057843984177917</v>
      </c>
      <c r="K398">
        <f t="shared" si="47"/>
        <v>-2.9246268938944748</v>
      </c>
      <c r="L398">
        <f t="shared" si="48"/>
        <v>-0.80061497722699249</v>
      </c>
    </row>
    <row r="399" spans="1:12" x14ac:dyDescent="0.25">
      <c r="A399" s="1">
        <v>40765</v>
      </c>
      <c r="B399" s="6">
        <v>49.646599999999999</v>
      </c>
      <c r="C399" s="6">
        <v>8.1873000000000005</v>
      </c>
      <c r="D399" s="6">
        <v>7736.32</v>
      </c>
      <c r="E399" s="6">
        <v>0.94</v>
      </c>
      <c r="F399" s="6">
        <f t="shared" si="42"/>
        <v>1.0444444444444444E-2</v>
      </c>
      <c r="G399">
        <f t="shared" si="43"/>
        <v>3.9495145549755728</v>
      </c>
      <c r="H399">
        <f t="shared" si="44"/>
        <v>6.2195928852216564</v>
      </c>
      <c r="I399">
        <f t="shared" si="45"/>
        <v>3.2456440040997583</v>
      </c>
      <c r="J399">
        <f t="shared" si="46"/>
        <v>2.7716327669467171</v>
      </c>
      <c r="K399">
        <f t="shared" si="47"/>
        <v>3.9390701105311283</v>
      </c>
      <c r="L399">
        <f t="shared" si="48"/>
        <v>3.2351995596553138</v>
      </c>
    </row>
    <row r="400" spans="1:12" x14ac:dyDescent="0.25">
      <c r="A400" s="1">
        <v>40766</v>
      </c>
      <c r="B400" s="6">
        <v>50.099299999999999</v>
      </c>
      <c r="C400" s="6">
        <v>7.9660000000000002</v>
      </c>
      <c r="D400" s="6">
        <v>7719.09</v>
      </c>
      <c r="E400" s="6">
        <v>0.94</v>
      </c>
      <c r="F400" s="6">
        <f t="shared" si="42"/>
        <v>1.0444444444444444E-2</v>
      </c>
      <c r="G400">
        <f t="shared" si="43"/>
        <v>0.91184491989380967</v>
      </c>
      <c r="H400">
        <f t="shared" si="44"/>
        <v>-2.7029667900284617</v>
      </c>
      <c r="I400">
        <f t="shared" si="45"/>
        <v>-0.22271570979483221</v>
      </c>
      <c r="J400">
        <f t="shared" si="46"/>
        <v>0.63424895312664098</v>
      </c>
      <c r="K400">
        <f t="shared" si="47"/>
        <v>0.90140047544936519</v>
      </c>
      <c r="L400">
        <f t="shared" si="48"/>
        <v>-0.23316015423927666</v>
      </c>
    </row>
    <row r="401" spans="1:12" x14ac:dyDescent="0.25">
      <c r="A401" s="1">
        <v>40767</v>
      </c>
      <c r="B401" s="6">
        <v>49.118400000000001</v>
      </c>
      <c r="C401" s="6">
        <v>8.0397999999999996</v>
      </c>
      <c r="D401" s="6">
        <v>7637.02</v>
      </c>
      <c r="E401" s="6">
        <v>0.94</v>
      </c>
      <c r="F401" s="6">
        <f t="shared" si="42"/>
        <v>1.0444444444444444E-2</v>
      </c>
      <c r="G401">
        <f t="shared" si="43"/>
        <v>-1.9579115875870488</v>
      </c>
      <c r="H401">
        <f t="shared" si="44"/>
        <v>0.92643735877478561</v>
      </c>
      <c r="I401">
        <f t="shared" si="45"/>
        <v>-1.0632082279128718</v>
      </c>
      <c r="J401">
        <f t="shared" si="46"/>
        <v>-1.3849867918852814</v>
      </c>
      <c r="K401">
        <f t="shared" si="47"/>
        <v>-1.9683560320314932</v>
      </c>
      <c r="L401">
        <f t="shared" si="48"/>
        <v>-1.0736526723573163</v>
      </c>
    </row>
    <row r="402" spans="1:12" x14ac:dyDescent="0.25">
      <c r="A402" s="1">
        <v>40770</v>
      </c>
      <c r="B402" s="6">
        <v>50.4011</v>
      </c>
      <c r="C402" s="6">
        <v>8.2611000000000008</v>
      </c>
      <c r="D402" s="6">
        <v>7819.39</v>
      </c>
      <c r="E402" s="6">
        <v>0.94</v>
      </c>
      <c r="F402" s="6">
        <f t="shared" si="42"/>
        <v>1.0444444444444444E-2</v>
      </c>
      <c r="G402">
        <f t="shared" si="43"/>
        <v>2.6114449982084076</v>
      </c>
      <c r="H402">
        <f t="shared" si="44"/>
        <v>2.7525560337321968</v>
      </c>
      <c r="I402">
        <f t="shared" si="45"/>
        <v>2.3879733194361137</v>
      </c>
      <c r="J402">
        <f t="shared" si="46"/>
        <v>1.8301320259279978</v>
      </c>
      <c r="K402">
        <f t="shared" si="47"/>
        <v>2.6010005537639631</v>
      </c>
      <c r="L402">
        <f t="shared" si="48"/>
        <v>2.3775288749916692</v>
      </c>
    </row>
    <row r="403" spans="1:12" x14ac:dyDescent="0.25">
      <c r="A403" s="1">
        <v>40771</v>
      </c>
      <c r="B403" s="6">
        <v>49.797499999999999</v>
      </c>
      <c r="C403" s="6">
        <v>8.2611000000000008</v>
      </c>
      <c r="D403" s="6">
        <v>7798.59</v>
      </c>
      <c r="E403" s="6">
        <v>0.94</v>
      </c>
      <c r="F403" s="6">
        <f t="shared" si="42"/>
        <v>1.0444444444444444E-2</v>
      </c>
      <c r="G403">
        <f t="shared" si="43"/>
        <v>-1.1975929096785589</v>
      </c>
      <c r="H403">
        <f t="shared" si="44"/>
        <v>0</v>
      </c>
      <c r="I403">
        <f t="shared" si="45"/>
        <v>-0.26600540451365362</v>
      </c>
      <c r="J403">
        <f t="shared" si="46"/>
        <v>-0.85000668188956618</v>
      </c>
      <c r="K403">
        <f t="shared" si="47"/>
        <v>-1.2080373541230034</v>
      </c>
      <c r="L403">
        <f t="shared" si="48"/>
        <v>-0.27644984895809804</v>
      </c>
    </row>
    <row r="404" spans="1:12" x14ac:dyDescent="0.25">
      <c r="A404" s="1">
        <v>40772</v>
      </c>
      <c r="B404" s="6">
        <v>49.646599999999999</v>
      </c>
      <c r="C404" s="6">
        <v>8.1873000000000005</v>
      </c>
      <c r="D404" s="6">
        <v>7741.76</v>
      </c>
      <c r="E404" s="6">
        <v>0.94</v>
      </c>
      <c r="F404" s="6">
        <f t="shared" si="42"/>
        <v>1.0444444444444444E-2</v>
      </c>
      <c r="G404">
        <f t="shared" si="43"/>
        <v>-0.30302726040463884</v>
      </c>
      <c r="H404">
        <f t="shared" si="44"/>
        <v>-0.89334350147075214</v>
      </c>
      <c r="I404">
        <f t="shared" si="45"/>
        <v>-0.7287214740100445</v>
      </c>
      <c r="J404">
        <f t="shared" si="46"/>
        <v>-0.22056689124358336</v>
      </c>
      <c r="K404">
        <f t="shared" si="47"/>
        <v>-0.31347170484908327</v>
      </c>
      <c r="L404">
        <f t="shared" si="48"/>
        <v>-0.73916591845448898</v>
      </c>
    </row>
    <row r="405" spans="1:12" x14ac:dyDescent="0.25">
      <c r="A405" s="1">
        <v>40773</v>
      </c>
      <c r="B405" s="6">
        <v>48.590299999999999</v>
      </c>
      <c r="C405" s="6">
        <v>8.0767000000000007</v>
      </c>
      <c r="D405" s="6">
        <v>7614.97</v>
      </c>
      <c r="E405" s="6">
        <v>0.94</v>
      </c>
      <c r="F405" s="6">
        <f t="shared" si="42"/>
        <v>1.0444444444444444E-2</v>
      </c>
      <c r="G405">
        <f t="shared" si="43"/>
        <v>-2.1276381464188892</v>
      </c>
      <c r="H405">
        <f t="shared" si="44"/>
        <v>-1.3508726930734163</v>
      </c>
      <c r="I405">
        <f t="shared" si="45"/>
        <v>-1.6377412888025458</v>
      </c>
      <c r="J405">
        <f t="shared" si="46"/>
        <v>-1.5044108383427863</v>
      </c>
      <c r="K405">
        <f t="shared" si="47"/>
        <v>-2.1380825908633336</v>
      </c>
      <c r="L405">
        <f t="shared" si="48"/>
        <v>-1.6481857332469902</v>
      </c>
    </row>
    <row r="406" spans="1:12" x14ac:dyDescent="0.25">
      <c r="A406" s="1">
        <v>40774</v>
      </c>
      <c r="B406" s="6">
        <v>48.213000000000001</v>
      </c>
      <c r="C406" s="6">
        <v>7.8922999999999996</v>
      </c>
      <c r="D406" s="6">
        <v>7342.96</v>
      </c>
      <c r="E406" s="6">
        <v>0.94</v>
      </c>
      <c r="F406" s="6">
        <f t="shared" si="42"/>
        <v>1.0444444444444444E-2</v>
      </c>
      <c r="G406">
        <f t="shared" si="43"/>
        <v>-0.77649242750095837</v>
      </c>
      <c r="H406">
        <f t="shared" si="44"/>
        <v>-2.2831106763901223</v>
      </c>
      <c r="I406">
        <f t="shared" si="45"/>
        <v>-3.5720429627431258</v>
      </c>
      <c r="J406">
        <f t="shared" si="46"/>
        <v>-0.55370936759192146</v>
      </c>
      <c r="K406">
        <f t="shared" si="47"/>
        <v>-0.78693687194540285</v>
      </c>
      <c r="L406">
        <f t="shared" si="48"/>
        <v>-3.5824874071875703</v>
      </c>
    </row>
    <row r="407" spans="1:12" x14ac:dyDescent="0.25">
      <c r="A407" s="1">
        <v>40777</v>
      </c>
      <c r="B407" s="6">
        <v>49.042999999999999</v>
      </c>
      <c r="C407" s="6">
        <v>7.8922999999999996</v>
      </c>
      <c r="D407" s="6">
        <v>7312.59</v>
      </c>
      <c r="E407" s="6">
        <v>0.94</v>
      </c>
      <c r="F407" s="6">
        <f t="shared" si="42"/>
        <v>1.0444444444444444E-2</v>
      </c>
      <c r="G407">
        <f t="shared" si="43"/>
        <v>1.7215273888785148</v>
      </c>
      <c r="H407">
        <f t="shared" si="44"/>
        <v>0</v>
      </c>
      <c r="I407">
        <f t="shared" si="45"/>
        <v>-0.41359342826326018</v>
      </c>
      <c r="J407">
        <f t="shared" si="46"/>
        <v>1.2039627177688592</v>
      </c>
      <c r="K407">
        <f t="shared" si="47"/>
        <v>1.7110829444340703</v>
      </c>
      <c r="L407">
        <f t="shared" si="48"/>
        <v>-0.4240378727077046</v>
      </c>
    </row>
    <row r="408" spans="1:12" x14ac:dyDescent="0.25">
      <c r="A408" s="1">
        <v>40778</v>
      </c>
      <c r="B408" s="6">
        <v>50.4011</v>
      </c>
      <c r="C408" s="6">
        <v>8.1873000000000005</v>
      </c>
      <c r="D408" s="6">
        <v>7550.23</v>
      </c>
      <c r="E408" s="6">
        <v>0.94</v>
      </c>
      <c r="F408" s="6">
        <f t="shared" si="42"/>
        <v>1.0444444444444444E-2</v>
      </c>
      <c r="G408">
        <f t="shared" si="43"/>
        <v>2.7692025365495594</v>
      </c>
      <c r="H408">
        <f t="shared" si="44"/>
        <v>3.7378204072323764</v>
      </c>
      <c r="I408">
        <f t="shared" si="45"/>
        <v>3.2497377810050803</v>
      </c>
      <c r="J408">
        <f t="shared" si="46"/>
        <v>1.9411343564857124</v>
      </c>
      <c r="K408">
        <f t="shared" si="47"/>
        <v>2.7587580921051149</v>
      </c>
      <c r="L408">
        <f t="shared" si="48"/>
        <v>3.2392933365606358</v>
      </c>
    </row>
    <row r="409" spans="1:12" x14ac:dyDescent="0.25">
      <c r="A409" s="1">
        <v>40779</v>
      </c>
      <c r="B409" s="6">
        <v>50.929200000000002</v>
      </c>
      <c r="C409" s="6">
        <v>8.0767000000000007</v>
      </c>
      <c r="D409" s="6">
        <v>7502.93</v>
      </c>
      <c r="E409" s="6">
        <v>0.94</v>
      </c>
      <c r="F409" s="6">
        <f t="shared" si="42"/>
        <v>1.0444444444444444E-2</v>
      </c>
      <c r="G409">
        <f t="shared" si="43"/>
        <v>1.0477945917847071</v>
      </c>
      <c r="H409">
        <f t="shared" si="44"/>
        <v>-1.3508726930734163</v>
      </c>
      <c r="I409">
        <f t="shared" si="45"/>
        <v>-0.62647098167869419</v>
      </c>
      <c r="J409">
        <f t="shared" si="46"/>
        <v>0.7299066984054271</v>
      </c>
      <c r="K409">
        <f t="shared" si="47"/>
        <v>1.0373501473402627</v>
      </c>
      <c r="L409">
        <f t="shared" si="48"/>
        <v>-0.63691542612313867</v>
      </c>
    </row>
    <row r="410" spans="1:12" x14ac:dyDescent="0.25">
      <c r="A410" s="1">
        <v>40780</v>
      </c>
      <c r="B410" s="6">
        <v>50.552</v>
      </c>
      <c r="C410" s="6">
        <v>8.0397999999999996</v>
      </c>
      <c r="D410" s="6">
        <v>7410.87</v>
      </c>
      <c r="E410" s="6">
        <v>0.94</v>
      </c>
      <c r="F410" s="6">
        <f t="shared" si="42"/>
        <v>1.0444444444444444E-2</v>
      </c>
      <c r="G410">
        <f t="shared" si="43"/>
        <v>-0.74063602020059605</v>
      </c>
      <c r="H410">
        <f t="shared" si="44"/>
        <v>-0.45686976116484507</v>
      </c>
      <c r="I410">
        <f t="shared" si="45"/>
        <v>-1.2269873236189115</v>
      </c>
      <c r="J410">
        <f t="shared" si="46"/>
        <v>-0.5284798614927595</v>
      </c>
      <c r="K410">
        <f t="shared" si="47"/>
        <v>-0.75108046464504052</v>
      </c>
      <c r="L410">
        <f t="shared" si="48"/>
        <v>-1.237431768063356</v>
      </c>
    </row>
    <row r="411" spans="1:12" x14ac:dyDescent="0.25">
      <c r="A411" s="1">
        <v>40781</v>
      </c>
      <c r="B411" s="6">
        <v>51.231000000000002</v>
      </c>
      <c r="C411" s="6">
        <v>7.9660000000000002</v>
      </c>
      <c r="D411" s="6">
        <v>7445.1</v>
      </c>
      <c r="E411" s="6">
        <v>0.94</v>
      </c>
      <c r="F411" s="6">
        <f t="shared" si="42"/>
        <v>1.0444444444444444E-2</v>
      </c>
      <c r="G411">
        <f t="shared" si="43"/>
        <v>1.3431713878778329</v>
      </c>
      <c r="H411">
        <f t="shared" si="44"/>
        <v>-0.91793328192242873</v>
      </c>
      <c r="I411">
        <f t="shared" si="45"/>
        <v>0.46188908994491162</v>
      </c>
      <c r="J411">
        <f t="shared" si="46"/>
        <v>0.93774153852637621</v>
      </c>
      <c r="K411">
        <f t="shared" si="47"/>
        <v>1.3327269434333884</v>
      </c>
      <c r="L411">
        <f t="shared" si="48"/>
        <v>0.4514446455004672</v>
      </c>
    </row>
    <row r="412" spans="1:12" x14ac:dyDescent="0.25">
      <c r="A412" s="1">
        <v>40784</v>
      </c>
      <c r="B412" s="6">
        <v>52.3628</v>
      </c>
      <c r="C412" s="6">
        <v>8.1135000000000002</v>
      </c>
      <c r="D412" s="6">
        <v>7578.01</v>
      </c>
      <c r="E412" s="6">
        <v>0.94</v>
      </c>
      <c r="F412" s="6">
        <f t="shared" si="42"/>
        <v>1.0444444444444444E-2</v>
      </c>
      <c r="G412">
        <f t="shared" si="43"/>
        <v>2.2092092678261177</v>
      </c>
      <c r="H412">
        <f t="shared" si="44"/>
        <v>1.8516193823750937</v>
      </c>
      <c r="I412">
        <f t="shared" si="45"/>
        <v>1.785201004687645</v>
      </c>
      <c r="J412">
        <f t="shared" si="46"/>
        <v>1.5471084444528314</v>
      </c>
      <c r="K412">
        <f t="shared" si="47"/>
        <v>2.1987648233816732</v>
      </c>
      <c r="L412">
        <f t="shared" si="48"/>
        <v>1.7747565602432005</v>
      </c>
    </row>
    <row r="413" spans="1:12" x14ac:dyDescent="0.25">
      <c r="A413" s="1">
        <v>40785</v>
      </c>
      <c r="B413" s="6">
        <v>52.061</v>
      </c>
      <c r="C413" s="6">
        <v>8.1873000000000005</v>
      </c>
      <c r="D413" s="6">
        <v>7646.19</v>
      </c>
      <c r="E413" s="6">
        <v>0.94</v>
      </c>
      <c r="F413" s="6">
        <f t="shared" si="42"/>
        <v>1.0444444444444444E-2</v>
      </c>
      <c r="G413">
        <f t="shared" si="43"/>
        <v>-0.5763633724705326</v>
      </c>
      <c r="H413">
        <f t="shared" si="44"/>
        <v>0.90959511924570546</v>
      </c>
      <c r="I413">
        <f t="shared" si="45"/>
        <v>0.89970849866916747</v>
      </c>
      <c r="J413">
        <f t="shared" si="46"/>
        <v>-0.41289332954846064</v>
      </c>
      <c r="K413">
        <f t="shared" si="47"/>
        <v>-0.58680781691497708</v>
      </c>
      <c r="L413">
        <f t="shared" si="48"/>
        <v>0.88926405422472299</v>
      </c>
    </row>
    <row r="414" spans="1:12" x14ac:dyDescent="0.25">
      <c r="A414" s="1">
        <v>40786</v>
      </c>
      <c r="B414" s="6">
        <v>52.3628</v>
      </c>
      <c r="C414" s="6">
        <v>8.3347999999999995</v>
      </c>
      <c r="D414" s="6">
        <v>7741.36</v>
      </c>
      <c r="E414" s="6">
        <v>0.94</v>
      </c>
      <c r="F414" s="6">
        <f t="shared" si="42"/>
        <v>1.0444444444444444E-2</v>
      </c>
      <c r="G414">
        <f t="shared" si="43"/>
        <v>0.57970457732275615</v>
      </c>
      <c r="H414">
        <f t="shared" si="44"/>
        <v>1.8015707253917539</v>
      </c>
      <c r="I414">
        <f t="shared" si="45"/>
        <v>1.2446721831395777</v>
      </c>
      <c r="J414">
        <f t="shared" si="46"/>
        <v>0.40054632005248297</v>
      </c>
      <c r="K414">
        <f t="shared" si="47"/>
        <v>0.56926013287831168</v>
      </c>
      <c r="L414">
        <f t="shared" si="48"/>
        <v>1.2342277386951332</v>
      </c>
    </row>
    <row r="415" spans="1:12" x14ac:dyDescent="0.25">
      <c r="A415" s="1">
        <v>40787</v>
      </c>
      <c r="B415" s="6">
        <v>51.7592</v>
      </c>
      <c r="C415" s="6">
        <v>8.6667000000000005</v>
      </c>
      <c r="D415" s="6">
        <v>7757.76</v>
      </c>
      <c r="E415" s="6">
        <v>0.94</v>
      </c>
      <c r="F415" s="6">
        <f t="shared" si="42"/>
        <v>1.0444444444444444E-2</v>
      </c>
      <c r="G415">
        <f t="shared" si="43"/>
        <v>-1.1527267449410652</v>
      </c>
      <c r="H415">
        <f t="shared" si="44"/>
        <v>3.9820991505495154</v>
      </c>
      <c r="I415">
        <f t="shared" si="45"/>
        <v>0.21184908078167849</v>
      </c>
      <c r="J415">
        <f t="shared" si="46"/>
        <v>-0.8184376747827341</v>
      </c>
      <c r="K415">
        <f t="shared" si="47"/>
        <v>-1.1631711893855097</v>
      </c>
      <c r="L415">
        <f t="shared" si="48"/>
        <v>0.20140463633723404</v>
      </c>
    </row>
    <row r="416" spans="1:12" x14ac:dyDescent="0.25">
      <c r="A416" s="1">
        <v>40788</v>
      </c>
      <c r="B416" s="6">
        <v>50.929200000000002</v>
      </c>
      <c r="C416" s="6">
        <v>8.5561000000000007</v>
      </c>
      <c r="D416" s="6">
        <v>7757.06</v>
      </c>
      <c r="E416" s="6">
        <v>0.94</v>
      </c>
      <c r="F416" s="6">
        <f t="shared" si="42"/>
        <v>1.0444444444444444E-2</v>
      </c>
      <c r="G416">
        <f t="shared" si="43"/>
        <v>-1.6035796534722297</v>
      </c>
      <c r="H416">
        <f t="shared" si="44"/>
        <v>-1.2761489378886981</v>
      </c>
      <c r="I416">
        <f t="shared" si="45"/>
        <v>-9.0232231984466917E-3</v>
      </c>
      <c r="J416">
        <f t="shared" si="46"/>
        <v>-1.1356695745190188</v>
      </c>
      <c r="K416">
        <f t="shared" si="47"/>
        <v>-1.6140240979166742</v>
      </c>
      <c r="L416">
        <f t="shared" si="48"/>
        <v>-1.9467667642891137E-2</v>
      </c>
    </row>
    <row r="417" spans="1:12" x14ac:dyDescent="0.25">
      <c r="A417" s="1">
        <v>40791</v>
      </c>
      <c r="B417" s="6">
        <v>50.2502</v>
      </c>
      <c r="C417" s="6">
        <v>8.1503999999999994</v>
      </c>
      <c r="D417" s="6">
        <v>7551.57</v>
      </c>
      <c r="E417" s="6">
        <v>0.94</v>
      </c>
      <c r="F417" s="6">
        <f t="shared" si="42"/>
        <v>1.0444444444444444E-2</v>
      </c>
      <c r="G417">
        <f t="shared" si="43"/>
        <v>-1.3332233767661814</v>
      </c>
      <c r="H417">
        <f t="shared" si="44"/>
        <v>-4.7416463108191964</v>
      </c>
      <c r="I417">
        <f t="shared" si="45"/>
        <v>-2.6490706530567083</v>
      </c>
      <c r="J417">
        <f t="shared" si="46"/>
        <v>-0.94543982631909129</v>
      </c>
      <c r="K417">
        <f t="shared" si="47"/>
        <v>-1.3436678212106259</v>
      </c>
      <c r="L417">
        <f t="shared" si="48"/>
        <v>-2.6595150975011528</v>
      </c>
    </row>
    <row r="418" spans="1:12" x14ac:dyDescent="0.25">
      <c r="A418" s="1">
        <v>40792</v>
      </c>
      <c r="B418" s="6">
        <v>49.872900000000001</v>
      </c>
      <c r="C418" s="6">
        <v>8.0397999999999996</v>
      </c>
      <c r="D418" s="6">
        <v>7367.19</v>
      </c>
      <c r="E418" s="6">
        <v>0.94</v>
      </c>
      <c r="F418" s="6">
        <f t="shared" si="42"/>
        <v>1.0444444444444444E-2</v>
      </c>
      <c r="G418">
        <f t="shared" si="43"/>
        <v>-0.75084278271528904</v>
      </c>
      <c r="H418">
        <f t="shared" si="44"/>
        <v>-1.3569886140557497</v>
      </c>
      <c r="I418">
        <f t="shared" si="45"/>
        <v>-2.441611479467185</v>
      </c>
      <c r="J418">
        <f t="shared" si="46"/>
        <v>-0.53566160658395112</v>
      </c>
      <c r="K418">
        <f t="shared" si="47"/>
        <v>-0.76128722715973351</v>
      </c>
      <c r="L418">
        <f t="shared" si="48"/>
        <v>-2.4520559239116295</v>
      </c>
    </row>
    <row r="419" spans="1:12" x14ac:dyDescent="0.25">
      <c r="A419" s="1">
        <v>40793</v>
      </c>
      <c r="B419" s="6">
        <v>51.7592</v>
      </c>
      <c r="C419" s="6">
        <v>8.4085999999999999</v>
      </c>
      <c r="D419" s="6">
        <v>7529.01</v>
      </c>
      <c r="E419" s="6">
        <v>0.94</v>
      </c>
      <c r="F419" s="6">
        <f t="shared" si="42"/>
        <v>1.0444444444444444E-2</v>
      </c>
      <c r="G419">
        <f t="shared" si="43"/>
        <v>3.7822143889767759</v>
      </c>
      <c r="H419">
        <f t="shared" si="44"/>
        <v>4.5871787855419317</v>
      </c>
      <c r="I419">
        <f t="shared" si="45"/>
        <v>2.1964955430768125</v>
      </c>
      <c r="J419">
        <f t="shared" si="46"/>
        <v>2.6539159939554975</v>
      </c>
      <c r="K419">
        <f t="shared" si="47"/>
        <v>3.7717699445323314</v>
      </c>
      <c r="L419">
        <f t="shared" si="48"/>
        <v>2.186051098632368</v>
      </c>
    </row>
    <row r="420" spans="1:12" x14ac:dyDescent="0.25">
      <c r="A420" s="1">
        <v>40794</v>
      </c>
      <c r="B420" s="6">
        <v>51.834600000000002</v>
      </c>
      <c r="C420" s="6">
        <v>8.3717000000000006</v>
      </c>
      <c r="D420" s="6">
        <v>7548.37</v>
      </c>
      <c r="E420" s="6">
        <v>0.94</v>
      </c>
      <c r="F420" s="6">
        <f t="shared" si="42"/>
        <v>1.0444444444444444E-2</v>
      </c>
      <c r="G420">
        <f t="shared" si="43"/>
        <v>0.14567458538772221</v>
      </c>
      <c r="H420">
        <f t="shared" si="44"/>
        <v>-0.43883642936992207</v>
      </c>
      <c r="I420">
        <f t="shared" si="45"/>
        <v>0.2571387207614238</v>
      </c>
      <c r="J420">
        <f t="shared" si="46"/>
        <v>9.5151464482736467E-2</v>
      </c>
      <c r="K420">
        <f t="shared" si="47"/>
        <v>0.13523014094327776</v>
      </c>
      <c r="L420">
        <f t="shared" si="48"/>
        <v>0.24669427631697935</v>
      </c>
    </row>
    <row r="421" spans="1:12" x14ac:dyDescent="0.25">
      <c r="A421" s="1">
        <v>40795</v>
      </c>
      <c r="B421" s="6">
        <v>52.287300000000002</v>
      </c>
      <c r="C421" s="6">
        <v>8.3347999999999995</v>
      </c>
      <c r="D421" s="6">
        <v>7610.57</v>
      </c>
      <c r="E421" s="6">
        <v>0.94</v>
      </c>
      <c r="F421" s="6">
        <f t="shared" si="42"/>
        <v>1.0444444444444444E-2</v>
      </c>
      <c r="G421">
        <f t="shared" si="43"/>
        <v>0.87335486335382173</v>
      </c>
      <c r="H421">
        <f t="shared" si="44"/>
        <v>-0.44077069173526334</v>
      </c>
      <c r="I421">
        <f t="shared" si="45"/>
        <v>0.82401896038482236</v>
      </c>
      <c r="J421">
        <f t="shared" si="46"/>
        <v>0.60716634253216295</v>
      </c>
      <c r="K421">
        <f t="shared" si="47"/>
        <v>0.86291041890937725</v>
      </c>
      <c r="L421">
        <f t="shared" si="48"/>
        <v>0.81357451594037788</v>
      </c>
    </row>
    <row r="422" spans="1:12" x14ac:dyDescent="0.25">
      <c r="A422" s="1">
        <v>40799</v>
      </c>
      <c r="B422" s="6">
        <v>51.6083</v>
      </c>
      <c r="C422" s="6">
        <v>8.0397999999999996</v>
      </c>
      <c r="D422" s="6">
        <v>7391.37</v>
      </c>
      <c r="E422" s="6">
        <v>0.94</v>
      </c>
      <c r="F422" s="6">
        <f t="shared" si="42"/>
        <v>1.0444444444444444E-2</v>
      </c>
      <c r="G422">
        <f t="shared" si="43"/>
        <v>-1.2985944961778519</v>
      </c>
      <c r="H422">
        <f t="shared" si="44"/>
        <v>-3.5393770696357434</v>
      </c>
      <c r="I422">
        <f t="shared" si="45"/>
        <v>-2.8802047678426166</v>
      </c>
      <c r="J422">
        <f t="shared" si="46"/>
        <v>-0.92107404012384186</v>
      </c>
      <c r="K422">
        <f t="shared" si="47"/>
        <v>-1.3090389406222964</v>
      </c>
      <c r="L422">
        <f t="shared" si="48"/>
        <v>-2.8906492122870611</v>
      </c>
    </row>
    <row r="423" spans="1:12" x14ac:dyDescent="0.25">
      <c r="A423" s="1">
        <v>40800</v>
      </c>
      <c r="B423" s="6">
        <v>50.7029</v>
      </c>
      <c r="C423" s="6">
        <v>7.9291</v>
      </c>
      <c r="D423" s="6">
        <v>7228.47</v>
      </c>
      <c r="E423" s="6">
        <v>0.94</v>
      </c>
      <c r="F423" s="6">
        <f t="shared" si="42"/>
        <v>1.0444444444444444E-2</v>
      </c>
      <c r="G423">
        <f t="shared" si="43"/>
        <v>-1.7543689677823144</v>
      </c>
      <c r="H423">
        <f t="shared" si="44"/>
        <v>-1.3768999228836487</v>
      </c>
      <c r="I423">
        <f t="shared" si="45"/>
        <v>-2.2039216004610735</v>
      </c>
      <c r="J423">
        <f t="shared" si="46"/>
        <v>-1.2417688803754727</v>
      </c>
      <c r="K423">
        <f t="shared" si="47"/>
        <v>-1.7648134122267589</v>
      </c>
      <c r="L423">
        <f t="shared" si="48"/>
        <v>-2.214366044905518</v>
      </c>
    </row>
    <row r="424" spans="1:12" x14ac:dyDescent="0.25">
      <c r="A424" s="1">
        <v>40801</v>
      </c>
      <c r="B424" s="6">
        <v>52.136400000000002</v>
      </c>
      <c r="C424" s="6">
        <v>8.1135000000000002</v>
      </c>
      <c r="D424" s="6">
        <v>7385.68</v>
      </c>
      <c r="E424" s="6">
        <v>0.94</v>
      </c>
      <c r="F424" s="6">
        <f t="shared" si="42"/>
        <v>1.0444444444444444E-2</v>
      </c>
      <c r="G424">
        <f t="shared" si="43"/>
        <v>2.8272544568456679</v>
      </c>
      <c r="H424">
        <f t="shared" si="44"/>
        <v>2.325610725050764</v>
      </c>
      <c r="I424">
        <f t="shared" si="45"/>
        <v>2.1748724142176701</v>
      </c>
      <c r="J424">
        <f t="shared" si="46"/>
        <v>1.981981206113169</v>
      </c>
      <c r="K424">
        <f t="shared" si="47"/>
        <v>2.8168100124012234</v>
      </c>
      <c r="L424">
        <f t="shared" si="48"/>
        <v>2.1644279697732256</v>
      </c>
    </row>
    <row r="425" spans="1:12" x14ac:dyDescent="0.25">
      <c r="A425" s="1">
        <v>40802</v>
      </c>
      <c r="B425" s="6">
        <v>53.645400000000002</v>
      </c>
      <c r="C425" s="6">
        <v>8.4454999999999991</v>
      </c>
      <c r="D425" s="6">
        <v>7577.4</v>
      </c>
      <c r="E425" s="6">
        <v>0.94</v>
      </c>
      <c r="F425" s="6">
        <f t="shared" si="42"/>
        <v>1.0444444444444444E-2</v>
      </c>
      <c r="G425">
        <f t="shared" si="43"/>
        <v>2.8943310240062612</v>
      </c>
      <c r="H425">
        <f t="shared" si="44"/>
        <v>4.091945522893929</v>
      </c>
      <c r="I425">
        <f t="shared" si="45"/>
        <v>2.5958341005838235</v>
      </c>
      <c r="J425">
        <f t="shared" si="46"/>
        <v>2.0291780333388552</v>
      </c>
      <c r="K425">
        <f t="shared" si="47"/>
        <v>2.8838865795618167</v>
      </c>
      <c r="L425">
        <f t="shared" si="48"/>
        <v>2.585389656139379</v>
      </c>
    </row>
    <row r="426" spans="1:12" x14ac:dyDescent="0.25">
      <c r="A426" s="1">
        <v>40805</v>
      </c>
      <c r="B426" s="6">
        <v>53.7209</v>
      </c>
      <c r="C426" s="6">
        <v>8.2611000000000008</v>
      </c>
      <c r="D426" s="6">
        <v>7480.88</v>
      </c>
      <c r="E426" s="6">
        <v>0.94</v>
      </c>
      <c r="F426" s="6">
        <f t="shared" si="42"/>
        <v>1.0444444444444444E-2</v>
      </c>
      <c r="G426">
        <f t="shared" si="43"/>
        <v>0.14073900092085831</v>
      </c>
      <c r="H426">
        <f t="shared" si="44"/>
        <v>-2.183411284115782</v>
      </c>
      <c r="I426">
        <f t="shared" si="45"/>
        <v>-1.2737878427956757</v>
      </c>
      <c r="J426">
        <f t="shared" si="46"/>
        <v>9.1678658148109243E-2</v>
      </c>
      <c r="K426">
        <f t="shared" si="47"/>
        <v>0.13029455647641386</v>
      </c>
      <c r="L426">
        <f t="shared" si="48"/>
        <v>-1.2842322872401202</v>
      </c>
    </row>
    <row r="427" spans="1:12" x14ac:dyDescent="0.25">
      <c r="A427" s="1">
        <v>40806</v>
      </c>
      <c r="B427" s="6">
        <v>53.192700000000002</v>
      </c>
      <c r="C427" s="6">
        <v>8.3347999999999995</v>
      </c>
      <c r="D427" s="6">
        <v>7492.85</v>
      </c>
      <c r="E427" s="6">
        <v>0.94</v>
      </c>
      <c r="F427" s="6">
        <f t="shared" si="42"/>
        <v>1.0444444444444444E-2</v>
      </c>
      <c r="G427">
        <f t="shared" si="43"/>
        <v>-0.98322999056232907</v>
      </c>
      <c r="H427">
        <f t="shared" si="44"/>
        <v>0.89213300892131508</v>
      </c>
      <c r="I427">
        <f t="shared" si="45"/>
        <v>0.16000791350750521</v>
      </c>
      <c r="J427">
        <f t="shared" si="46"/>
        <v>-0.69917532474959876</v>
      </c>
      <c r="K427">
        <f t="shared" si="47"/>
        <v>-0.99367443500677355</v>
      </c>
      <c r="L427">
        <f t="shared" si="48"/>
        <v>0.14956346906306076</v>
      </c>
    </row>
    <row r="428" spans="1:12" x14ac:dyDescent="0.25">
      <c r="A428" s="1">
        <v>40807</v>
      </c>
      <c r="B428" s="6">
        <v>54.3245</v>
      </c>
      <c r="C428" s="6">
        <v>8.4085999999999999</v>
      </c>
      <c r="D428" s="6">
        <v>7535.88</v>
      </c>
      <c r="E428" s="6">
        <v>0.94</v>
      </c>
      <c r="F428" s="6">
        <f t="shared" si="42"/>
        <v>1.0444444444444444E-2</v>
      </c>
      <c r="G428">
        <f t="shared" si="43"/>
        <v>2.1277355727383611</v>
      </c>
      <c r="H428">
        <f t="shared" si="44"/>
        <v>0.88544416182752217</v>
      </c>
      <c r="I428">
        <f t="shared" si="45"/>
        <v>0.57428081437636869</v>
      </c>
      <c r="J428">
        <f t="shared" si="46"/>
        <v>1.4897814214212448</v>
      </c>
      <c r="K428">
        <f t="shared" si="47"/>
        <v>2.1172911282939166</v>
      </c>
      <c r="L428">
        <f t="shared" si="48"/>
        <v>0.56383636993192421</v>
      </c>
    </row>
    <row r="429" spans="1:12" x14ac:dyDescent="0.25">
      <c r="A429" s="1">
        <v>40808</v>
      </c>
      <c r="B429" s="6">
        <v>52.061</v>
      </c>
      <c r="C429" s="6">
        <v>8.1135000000000002</v>
      </c>
      <c r="D429" s="6">
        <v>7305.5</v>
      </c>
      <c r="E429" s="6">
        <v>0.94</v>
      </c>
      <c r="F429" s="6">
        <f t="shared" si="42"/>
        <v>1.0444444444444444E-2</v>
      </c>
      <c r="G429">
        <f t="shared" si="43"/>
        <v>-4.1666283168736031</v>
      </c>
      <c r="H429">
        <f t="shared" si="44"/>
        <v>-3.5095021763432639</v>
      </c>
      <c r="I429">
        <f t="shared" si="45"/>
        <v>-3.0571081280487493</v>
      </c>
      <c r="J429">
        <f t="shared" si="46"/>
        <v>-2.9390976576521677</v>
      </c>
      <c r="K429">
        <f t="shared" si="47"/>
        <v>-4.1770727613180476</v>
      </c>
      <c r="L429">
        <f t="shared" si="48"/>
        <v>-3.0675525724931938</v>
      </c>
    </row>
    <row r="430" spans="1:12" x14ac:dyDescent="0.25">
      <c r="A430" s="1">
        <v>40809</v>
      </c>
      <c r="B430" s="6">
        <v>50.929200000000002</v>
      </c>
      <c r="C430" s="6">
        <v>7.9291</v>
      </c>
      <c r="D430" s="6">
        <v>7046.22</v>
      </c>
      <c r="E430" s="6">
        <v>0.94</v>
      </c>
      <c r="F430" s="6">
        <f t="shared" si="42"/>
        <v>1.0444444444444444E-2</v>
      </c>
      <c r="G430">
        <f t="shared" si="43"/>
        <v>-2.1739882061427909</v>
      </c>
      <c r="H430">
        <f t="shared" si="44"/>
        <v>-2.2727552844025403</v>
      </c>
      <c r="I430">
        <f t="shared" si="45"/>
        <v>-3.5491068373143486</v>
      </c>
      <c r="J430">
        <f t="shared" si="46"/>
        <v>-1.5370239527773963</v>
      </c>
      <c r="K430">
        <f t="shared" si="47"/>
        <v>-2.1844326505872353</v>
      </c>
      <c r="L430">
        <f t="shared" si="48"/>
        <v>-3.5595512817587931</v>
      </c>
    </row>
    <row r="431" spans="1:12" x14ac:dyDescent="0.25">
      <c r="A431" s="1">
        <v>40812</v>
      </c>
      <c r="B431" s="6">
        <v>50.7029</v>
      </c>
      <c r="C431" s="6">
        <v>8.0029000000000003</v>
      </c>
      <c r="D431" s="6">
        <v>6877.12</v>
      </c>
      <c r="E431" s="6">
        <v>0.94</v>
      </c>
      <c r="F431" s="6">
        <f t="shared" si="42"/>
        <v>1.0444444444444444E-2</v>
      </c>
      <c r="G431">
        <f t="shared" si="43"/>
        <v>-0.44434234191780342</v>
      </c>
      <c r="H431">
        <f t="shared" si="44"/>
        <v>0.93074876089342184</v>
      </c>
      <c r="I431">
        <f t="shared" si="45"/>
        <v>-2.3998682981797383</v>
      </c>
      <c r="J431">
        <f t="shared" si="46"/>
        <v>-0.3199998790795936</v>
      </c>
      <c r="K431">
        <f t="shared" si="47"/>
        <v>-0.45478678636224784</v>
      </c>
      <c r="L431">
        <f t="shared" si="48"/>
        <v>-2.4103127426241828</v>
      </c>
    </row>
    <row r="432" spans="1:12" x14ac:dyDescent="0.25">
      <c r="A432" s="1">
        <v>40813</v>
      </c>
      <c r="B432" s="6">
        <v>52.74</v>
      </c>
      <c r="C432" s="6">
        <v>8.4823000000000004</v>
      </c>
      <c r="D432" s="6">
        <v>7089.95</v>
      </c>
      <c r="E432" s="6">
        <v>0.94</v>
      </c>
      <c r="F432" s="6">
        <f t="shared" si="42"/>
        <v>1.0444444444444444E-2</v>
      </c>
      <c r="G432">
        <f t="shared" si="43"/>
        <v>4.0177189075970059</v>
      </c>
      <c r="H432">
        <f t="shared" si="44"/>
        <v>5.9903285059166054</v>
      </c>
      <c r="I432">
        <f t="shared" si="45"/>
        <v>3.0947547810711451</v>
      </c>
      <c r="J432">
        <f t="shared" si="46"/>
        <v>2.8196231335229704</v>
      </c>
      <c r="K432">
        <f t="shared" si="47"/>
        <v>4.0072744631525614</v>
      </c>
      <c r="L432">
        <f t="shared" si="48"/>
        <v>3.0843103366267006</v>
      </c>
    </row>
    <row r="433" spans="1:12" x14ac:dyDescent="0.25">
      <c r="A433" s="1">
        <v>40814</v>
      </c>
      <c r="B433" s="6">
        <v>53.041800000000002</v>
      </c>
      <c r="C433" s="6">
        <v>8.5191999999999997</v>
      </c>
      <c r="D433" s="6">
        <v>7146.98</v>
      </c>
      <c r="E433" s="6">
        <v>0.94</v>
      </c>
      <c r="F433" s="6">
        <f t="shared" si="42"/>
        <v>1.0444444444444444E-2</v>
      </c>
      <c r="G433">
        <f t="shared" si="43"/>
        <v>0.57224118316268502</v>
      </c>
      <c r="H433">
        <f t="shared" si="44"/>
        <v>0.43502351956426044</v>
      </c>
      <c r="I433">
        <f t="shared" si="45"/>
        <v>0.80437802805379088</v>
      </c>
      <c r="J433">
        <f t="shared" si="46"/>
        <v>0.39529488069592306</v>
      </c>
      <c r="K433">
        <f t="shared" si="47"/>
        <v>0.56179673871824054</v>
      </c>
      <c r="L433">
        <f t="shared" si="48"/>
        <v>0.7939335836093464</v>
      </c>
    </row>
    <row r="434" spans="1:12" x14ac:dyDescent="0.25">
      <c r="A434" s="1">
        <v>40815</v>
      </c>
      <c r="B434" s="6">
        <v>53.041800000000002</v>
      </c>
      <c r="C434" s="6">
        <v>8.4454999999999991</v>
      </c>
      <c r="D434" s="6">
        <v>7182.61</v>
      </c>
      <c r="E434" s="6">
        <v>0.94</v>
      </c>
      <c r="F434" s="6">
        <f t="shared" si="42"/>
        <v>1.0444444444444444E-2</v>
      </c>
      <c r="G434">
        <f t="shared" si="43"/>
        <v>0</v>
      </c>
      <c r="H434">
        <f t="shared" si="44"/>
        <v>-0.86510470466711131</v>
      </c>
      <c r="I434">
        <f t="shared" si="45"/>
        <v>0.49853224718692529</v>
      </c>
      <c r="J434">
        <f t="shared" si="46"/>
        <v>-7.3489843141871791E-3</v>
      </c>
      <c r="K434">
        <f t="shared" si="47"/>
        <v>-1.0444444444444444E-2</v>
      </c>
      <c r="L434">
        <f t="shared" si="48"/>
        <v>0.48808780274248087</v>
      </c>
    </row>
    <row r="435" spans="1:12" x14ac:dyDescent="0.25">
      <c r="A435" s="1">
        <v>40816</v>
      </c>
      <c r="B435" s="6">
        <v>52.8155</v>
      </c>
      <c r="C435" s="6">
        <v>8.4085999999999999</v>
      </c>
      <c r="D435" s="6">
        <v>7225.38</v>
      </c>
      <c r="E435" s="6">
        <v>0.94</v>
      </c>
      <c r="F435" s="6">
        <f t="shared" si="42"/>
        <v>1.0444444444444444E-2</v>
      </c>
      <c r="G435">
        <f t="shared" si="43"/>
        <v>-0.42664464629782911</v>
      </c>
      <c r="H435">
        <f t="shared" si="44"/>
        <v>-0.43691906932685182</v>
      </c>
      <c r="I435">
        <f t="shared" si="45"/>
        <v>0.5954659935594504</v>
      </c>
      <c r="J435">
        <f t="shared" si="46"/>
        <v>-0.3075473175096356</v>
      </c>
      <c r="K435">
        <f t="shared" si="47"/>
        <v>-0.43708909074227353</v>
      </c>
      <c r="L435">
        <f t="shared" si="48"/>
        <v>0.58502154911500592</v>
      </c>
    </row>
    <row r="436" spans="1:12" x14ac:dyDescent="0.25">
      <c r="A436" s="1">
        <v>40819</v>
      </c>
      <c r="B436" s="6">
        <v>51.7592</v>
      </c>
      <c r="C436" s="6">
        <v>8.3347999999999995</v>
      </c>
      <c r="D436" s="6">
        <v>7013.97</v>
      </c>
      <c r="E436" s="6">
        <v>0.94</v>
      </c>
      <c r="F436" s="6">
        <f t="shared" si="42"/>
        <v>1.0444444444444444E-2</v>
      </c>
      <c r="G436">
        <f t="shared" si="43"/>
        <v>-1.9999810661642894</v>
      </c>
      <c r="H436">
        <f t="shared" si="44"/>
        <v>-0.87767285873986522</v>
      </c>
      <c r="I436">
        <f t="shared" si="45"/>
        <v>-2.9259360753344441</v>
      </c>
      <c r="J436">
        <f t="shared" si="46"/>
        <v>-1.4145879774547661</v>
      </c>
      <c r="K436">
        <f t="shared" si="47"/>
        <v>-2.0104255106087336</v>
      </c>
      <c r="L436">
        <f t="shared" si="48"/>
        <v>-2.9363805197788886</v>
      </c>
    </row>
    <row r="437" spans="1:12" x14ac:dyDescent="0.25">
      <c r="A437" s="1">
        <v>40820</v>
      </c>
      <c r="B437" s="6">
        <v>52.136400000000002</v>
      </c>
      <c r="C437" s="6">
        <v>8.4823000000000004</v>
      </c>
      <c r="D437" s="6">
        <v>7047.87</v>
      </c>
      <c r="E437" s="6">
        <v>0.94</v>
      </c>
      <c r="F437" s="6">
        <f t="shared" si="42"/>
        <v>1.0444444444444444E-2</v>
      </c>
      <c r="G437">
        <f t="shared" si="43"/>
        <v>0.72875933167437279</v>
      </c>
      <c r="H437">
        <f t="shared" si="44"/>
        <v>1.7696885348178824</v>
      </c>
      <c r="I437">
        <f t="shared" si="45"/>
        <v>0.48332114337528725</v>
      </c>
      <c r="J437">
        <f t="shared" si="46"/>
        <v>0.50542514414998818</v>
      </c>
      <c r="K437">
        <f t="shared" si="47"/>
        <v>0.71831488722992831</v>
      </c>
      <c r="L437">
        <f t="shared" si="48"/>
        <v>0.47287669893084283</v>
      </c>
    </row>
    <row r="438" spans="1:12" x14ac:dyDescent="0.25">
      <c r="A438" s="1">
        <v>40821</v>
      </c>
      <c r="B438" s="6">
        <v>52.136400000000002</v>
      </c>
      <c r="C438" s="6">
        <v>8.4454999999999991</v>
      </c>
      <c r="D438" s="6">
        <v>6989.15</v>
      </c>
      <c r="E438" s="6">
        <v>0.94</v>
      </c>
      <c r="F438" s="6">
        <f t="shared" si="42"/>
        <v>1.0444444444444444E-2</v>
      </c>
      <c r="G438">
        <f t="shared" si="43"/>
        <v>0</v>
      </c>
      <c r="H438">
        <f t="shared" si="44"/>
        <v>-0.4338445940370097</v>
      </c>
      <c r="I438">
        <f t="shared" si="45"/>
        <v>-0.83315952195486376</v>
      </c>
      <c r="J438">
        <f t="shared" si="46"/>
        <v>-7.3489843141871791E-3</v>
      </c>
      <c r="K438">
        <f t="shared" si="47"/>
        <v>-1.0444444444444444E-2</v>
      </c>
      <c r="L438">
        <f t="shared" si="48"/>
        <v>-0.84360396639930824</v>
      </c>
    </row>
    <row r="439" spans="1:12" x14ac:dyDescent="0.25">
      <c r="A439" s="1">
        <v>40822</v>
      </c>
      <c r="B439" s="6">
        <v>52.061</v>
      </c>
      <c r="C439" s="6">
        <v>8.6667000000000005</v>
      </c>
      <c r="D439" s="6">
        <v>7132</v>
      </c>
      <c r="E439" s="6">
        <v>0.94</v>
      </c>
      <c r="F439" s="6">
        <f t="shared" si="42"/>
        <v>1.0444444444444444E-2</v>
      </c>
      <c r="G439">
        <f t="shared" si="43"/>
        <v>-0.14462064891323895</v>
      </c>
      <c r="H439">
        <f t="shared" si="44"/>
        <v>2.6191462909241774</v>
      </c>
      <c r="I439">
        <f t="shared" si="45"/>
        <v>2.043882303284382</v>
      </c>
      <c r="J439">
        <f t="shared" si="46"/>
        <v>-0.10910785583906674</v>
      </c>
      <c r="K439">
        <f t="shared" si="47"/>
        <v>-0.1550650933576834</v>
      </c>
      <c r="L439">
        <f t="shared" si="48"/>
        <v>2.0334378588399376</v>
      </c>
    </row>
    <row r="440" spans="1:12" x14ac:dyDescent="0.25">
      <c r="A440" s="1">
        <v>40823</v>
      </c>
      <c r="B440" s="6">
        <v>52.136400000000002</v>
      </c>
      <c r="C440" s="6">
        <v>8.7774000000000001</v>
      </c>
      <c r="D440" s="6">
        <v>7211.96</v>
      </c>
      <c r="E440" s="6">
        <v>0.94</v>
      </c>
      <c r="F440" s="6">
        <f t="shared" si="42"/>
        <v>1.0444444444444444E-2</v>
      </c>
      <c r="G440">
        <f t="shared" si="43"/>
        <v>0.14483010314823364</v>
      </c>
      <c r="H440">
        <f t="shared" si="44"/>
        <v>1.277302779604689</v>
      </c>
      <c r="I440">
        <f t="shared" si="45"/>
        <v>1.1211441390914194</v>
      </c>
      <c r="J440">
        <f t="shared" si="46"/>
        <v>9.4557264689284326E-2</v>
      </c>
      <c r="K440">
        <f t="shared" si="47"/>
        <v>0.13438565870378918</v>
      </c>
      <c r="L440">
        <f t="shared" si="48"/>
        <v>1.1106996946469749</v>
      </c>
    </row>
    <row r="441" spans="1:12" x14ac:dyDescent="0.25">
      <c r="A441" s="1">
        <v>40827</v>
      </c>
      <c r="B441" s="6">
        <v>52.8155</v>
      </c>
      <c r="C441" s="6">
        <v>8.9618000000000002</v>
      </c>
      <c r="D441" s="6">
        <v>7398.71</v>
      </c>
      <c r="E441" s="6">
        <v>0.94</v>
      </c>
      <c r="F441" s="6">
        <f t="shared" si="42"/>
        <v>1.0444444444444444E-2</v>
      </c>
      <c r="G441">
        <f t="shared" si="43"/>
        <v>1.3025448630898915</v>
      </c>
      <c r="H441">
        <f t="shared" si="44"/>
        <v>2.100849909996128</v>
      </c>
      <c r="I441">
        <f t="shared" si="45"/>
        <v>2.5894486380956079</v>
      </c>
      <c r="J441">
        <f t="shared" si="46"/>
        <v>0.90915565298745427</v>
      </c>
      <c r="K441">
        <f t="shared" si="47"/>
        <v>1.292100418645447</v>
      </c>
      <c r="L441">
        <f t="shared" si="48"/>
        <v>2.5790041936511634</v>
      </c>
    </row>
    <row r="442" spans="1:12" x14ac:dyDescent="0.25">
      <c r="A442" s="1">
        <v>40828</v>
      </c>
      <c r="B442" s="6">
        <v>53.1173</v>
      </c>
      <c r="C442" s="6">
        <v>8.9618000000000002</v>
      </c>
      <c r="D442" s="6">
        <v>7382.35</v>
      </c>
      <c r="E442" s="6">
        <v>0.94</v>
      </c>
      <c r="F442" s="6">
        <f t="shared" si="42"/>
        <v>1.0444444444444444E-2</v>
      </c>
      <c r="G442">
        <f t="shared" si="43"/>
        <v>0.57142316176122554</v>
      </c>
      <c r="H442">
        <f t="shared" si="44"/>
        <v>0</v>
      </c>
      <c r="I442">
        <f t="shared" si="45"/>
        <v>-0.22111962761075474</v>
      </c>
      <c r="J442">
        <f t="shared" si="46"/>
        <v>0.39471929944026396</v>
      </c>
      <c r="K442">
        <f t="shared" si="47"/>
        <v>0.56097871731678106</v>
      </c>
      <c r="L442">
        <f t="shared" si="48"/>
        <v>-0.23156407205519919</v>
      </c>
    </row>
    <row r="443" spans="1:12" x14ac:dyDescent="0.25">
      <c r="A443" s="1">
        <v>40829</v>
      </c>
      <c r="B443" s="6">
        <v>53.1173</v>
      </c>
      <c r="C443" s="6">
        <v>8.8141999999999996</v>
      </c>
      <c r="D443" s="6">
        <v>7428.33</v>
      </c>
      <c r="E443" s="6">
        <v>0.94</v>
      </c>
      <c r="F443" s="6">
        <f t="shared" si="42"/>
        <v>1.0444444444444444E-2</v>
      </c>
      <c r="G443">
        <f t="shared" si="43"/>
        <v>0</v>
      </c>
      <c r="H443">
        <f t="shared" si="44"/>
        <v>-1.6469905599321633</v>
      </c>
      <c r="I443">
        <f t="shared" si="45"/>
        <v>0.62283690152864013</v>
      </c>
      <c r="J443">
        <f t="shared" si="46"/>
        <v>-7.3489843141871791E-3</v>
      </c>
      <c r="K443">
        <f t="shared" si="47"/>
        <v>-1.0444444444444444E-2</v>
      </c>
      <c r="L443">
        <f t="shared" si="48"/>
        <v>0.61239245708419565</v>
      </c>
    </row>
    <row r="444" spans="1:12" x14ac:dyDescent="0.25">
      <c r="A444" s="1">
        <v>40830</v>
      </c>
      <c r="B444" s="6">
        <v>53.041800000000002</v>
      </c>
      <c r="C444" s="6">
        <v>8.7774000000000001</v>
      </c>
      <c r="D444" s="6">
        <v>7358.08</v>
      </c>
      <c r="E444" s="6">
        <v>0.94</v>
      </c>
      <c r="F444" s="6">
        <f t="shared" si="42"/>
        <v>1.0444444444444444E-2</v>
      </c>
      <c r="G444">
        <f t="shared" si="43"/>
        <v>-0.14213824874381439</v>
      </c>
      <c r="H444">
        <f t="shared" si="44"/>
        <v>-0.41750811191032089</v>
      </c>
      <c r="I444">
        <f t="shared" si="45"/>
        <v>-0.94570381229697653</v>
      </c>
      <c r="J444">
        <f t="shared" si="46"/>
        <v>-0.10736117414587812</v>
      </c>
      <c r="K444">
        <f t="shared" si="47"/>
        <v>-0.15258269318825884</v>
      </c>
      <c r="L444">
        <f t="shared" si="48"/>
        <v>-0.95614825674142101</v>
      </c>
    </row>
    <row r="445" spans="1:12" x14ac:dyDescent="0.25">
      <c r="A445" s="1">
        <v>40833</v>
      </c>
      <c r="B445" s="6">
        <v>53.645400000000002</v>
      </c>
      <c r="C445" s="6">
        <v>8.9985999999999997</v>
      </c>
      <c r="D445" s="6">
        <v>7461.12</v>
      </c>
      <c r="E445" s="6">
        <v>0.94</v>
      </c>
      <c r="F445" s="6">
        <f t="shared" si="42"/>
        <v>1.0444444444444444E-2</v>
      </c>
      <c r="G445">
        <f t="shared" si="43"/>
        <v>1.137970430867731</v>
      </c>
      <c r="H445">
        <f t="shared" si="44"/>
        <v>2.5201084603641126</v>
      </c>
      <c r="I445">
        <f t="shared" si="45"/>
        <v>1.4003653126902667</v>
      </c>
      <c r="J445">
        <f t="shared" si="46"/>
        <v>0.79335677758051526</v>
      </c>
      <c r="K445">
        <f t="shared" si="47"/>
        <v>1.1275259864232865</v>
      </c>
      <c r="L445">
        <f t="shared" si="48"/>
        <v>1.3899208682458222</v>
      </c>
    </row>
    <row r="446" spans="1:12" x14ac:dyDescent="0.25">
      <c r="A446" s="1">
        <v>40834</v>
      </c>
      <c r="B446" s="6">
        <v>53.343600000000002</v>
      </c>
      <c r="C446" s="6">
        <v>8.7774000000000001</v>
      </c>
      <c r="D446" s="6">
        <v>7359.48</v>
      </c>
      <c r="E446" s="6">
        <v>0.94</v>
      </c>
      <c r="F446" s="6">
        <f t="shared" si="42"/>
        <v>1.0444444444444444E-2</v>
      </c>
      <c r="G446">
        <f t="shared" si="43"/>
        <v>-0.56258318513796157</v>
      </c>
      <c r="H446">
        <f t="shared" si="44"/>
        <v>-2.4581601582468342</v>
      </c>
      <c r="I446">
        <f t="shared" si="45"/>
        <v>-1.3622619660319137</v>
      </c>
      <c r="J446">
        <f t="shared" si="46"/>
        <v>-0.40319722928268803</v>
      </c>
      <c r="K446">
        <f t="shared" si="47"/>
        <v>-0.57302762958240605</v>
      </c>
      <c r="L446">
        <f t="shared" si="48"/>
        <v>-1.3727064104763582</v>
      </c>
    </row>
    <row r="447" spans="1:12" x14ac:dyDescent="0.25">
      <c r="A447" s="1">
        <v>40835</v>
      </c>
      <c r="B447" s="6">
        <v>53.645400000000002</v>
      </c>
      <c r="C447" s="6">
        <v>8.8879999999999999</v>
      </c>
      <c r="D447" s="6">
        <v>7353.37</v>
      </c>
      <c r="E447" s="6">
        <v>0.94</v>
      </c>
      <c r="F447" s="6">
        <f t="shared" si="42"/>
        <v>1.0444444444444444E-2</v>
      </c>
      <c r="G447">
        <f t="shared" si="43"/>
        <v>0.56576609002766975</v>
      </c>
      <c r="H447">
        <f t="shared" si="44"/>
        <v>1.2600542301820563</v>
      </c>
      <c r="I447">
        <f t="shared" si="45"/>
        <v>-8.3022170044618274E-2</v>
      </c>
      <c r="J447">
        <f t="shared" si="46"/>
        <v>0.39073883579231505</v>
      </c>
      <c r="K447">
        <f t="shared" si="47"/>
        <v>0.55532164558322528</v>
      </c>
      <c r="L447">
        <f t="shared" si="48"/>
        <v>-9.346661448906271E-2</v>
      </c>
    </row>
    <row r="448" spans="1:12" x14ac:dyDescent="0.25">
      <c r="A448" s="1">
        <v>40836</v>
      </c>
      <c r="B448" s="6">
        <v>52.589100000000002</v>
      </c>
      <c r="C448" s="6">
        <v>8.8879999999999999</v>
      </c>
      <c r="D448" s="6">
        <v>7244.32</v>
      </c>
      <c r="E448" s="6">
        <v>0.94</v>
      </c>
      <c r="F448" s="6">
        <f t="shared" si="42"/>
        <v>1.0444444444444444E-2</v>
      </c>
      <c r="G448">
        <f t="shared" si="43"/>
        <v>-1.9690411479828656</v>
      </c>
      <c r="H448">
        <f t="shared" si="44"/>
        <v>0</v>
      </c>
      <c r="I448">
        <f t="shared" si="45"/>
        <v>-1.4829935118183932</v>
      </c>
      <c r="J448">
        <f t="shared" si="46"/>
        <v>-1.3928178417039401</v>
      </c>
      <c r="K448">
        <f t="shared" si="47"/>
        <v>-1.97948559242731</v>
      </c>
      <c r="L448">
        <f t="shared" si="48"/>
        <v>-1.4934379562628377</v>
      </c>
    </row>
    <row r="449" spans="1:12" x14ac:dyDescent="0.25">
      <c r="A449" s="1">
        <v>40837</v>
      </c>
      <c r="B449" s="6">
        <v>53.041800000000002</v>
      </c>
      <c r="C449" s="6">
        <v>8.8879999999999999</v>
      </c>
      <c r="D449" s="6">
        <v>7254.51</v>
      </c>
      <c r="E449" s="6">
        <v>0.94</v>
      </c>
      <c r="F449" s="6">
        <f t="shared" si="42"/>
        <v>1.0444444444444444E-2</v>
      </c>
      <c r="G449">
        <f t="shared" si="43"/>
        <v>0.86082477167321758</v>
      </c>
      <c r="H449">
        <f t="shared" si="44"/>
        <v>0</v>
      </c>
      <c r="I449">
        <f t="shared" si="45"/>
        <v>0.14066192548093553</v>
      </c>
      <c r="J449">
        <f t="shared" si="46"/>
        <v>0.59834984226679289</v>
      </c>
      <c r="K449">
        <f t="shared" si="47"/>
        <v>0.8503803272287731</v>
      </c>
      <c r="L449">
        <f t="shared" si="48"/>
        <v>0.13021748103649108</v>
      </c>
    </row>
    <row r="450" spans="1:12" x14ac:dyDescent="0.25">
      <c r="A450" s="1">
        <v>40840</v>
      </c>
      <c r="B450" s="6">
        <v>54.098199999999999</v>
      </c>
      <c r="C450" s="6">
        <v>9.3673999999999999</v>
      </c>
      <c r="D450" s="6">
        <v>7470.3</v>
      </c>
      <c r="E450" s="6">
        <v>0.94</v>
      </c>
      <c r="F450" s="6">
        <f t="shared" si="42"/>
        <v>1.0444444444444444E-2</v>
      </c>
      <c r="G450">
        <f t="shared" si="43"/>
        <v>1.9916367845736691</v>
      </c>
      <c r="H450">
        <f t="shared" si="44"/>
        <v>5.3937893789378943</v>
      </c>
      <c r="I450">
        <f t="shared" si="45"/>
        <v>2.9745634095204219</v>
      </c>
      <c r="J450">
        <f t="shared" si="46"/>
        <v>1.394018754031672</v>
      </c>
      <c r="K450">
        <f t="shared" si="47"/>
        <v>1.9811923401292246</v>
      </c>
      <c r="L450">
        <f t="shared" si="48"/>
        <v>2.9641189650759774</v>
      </c>
    </row>
    <row r="451" spans="1:12" x14ac:dyDescent="0.25">
      <c r="A451" s="1">
        <v>40841</v>
      </c>
      <c r="B451" s="6">
        <v>53.947299999999998</v>
      </c>
      <c r="C451" s="6">
        <v>9.3673999999999999</v>
      </c>
      <c r="D451" s="6">
        <v>7491.21</v>
      </c>
      <c r="E451" s="6">
        <v>0.94</v>
      </c>
      <c r="F451" s="6">
        <f t="shared" ref="F451:F514" si="49">E451/90</f>
        <v>1.0444444444444444E-2</v>
      </c>
      <c r="G451">
        <f t="shared" si="43"/>
        <v>-0.27893719199529748</v>
      </c>
      <c r="H451">
        <f t="shared" si="44"/>
        <v>0</v>
      </c>
      <c r="I451">
        <f t="shared" si="45"/>
        <v>0.27990843741215016</v>
      </c>
      <c r="J451">
        <f t="shared" si="46"/>
        <v>-0.20361648896899281</v>
      </c>
      <c r="K451">
        <f t="shared" si="47"/>
        <v>-0.28938163643974191</v>
      </c>
      <c r="L451">
        <f t="shared" si="48"/>
        <v>0.26946399296770573</v>
      </c>
    </row>
    <row r="452" spans="1:12" x14ac:dyDescent="0.25">
      <c r="A452" s="1">
        <v>40842</v>
      </c>
      <c r="B452" s="6">
        <v>54.249099999999999</v>
      </c>
      <c r="C452" s="6">
        <v>9.4412000000000003</v>
      </c>
      <c r="D452" s="6">
        <v>7535.82</v>
      </c>
      <c r="E452" s="6">
        <v>0.94</v>
      </c>
      <c r="F452" s="6">
        <f t="shared" si="49"/>
        <v>1.0444444444444444E-2</v>
      </c>
      <c r="G452">
        <f t="shared" ref="G452:G515" si="50">100*(B452-B451)/B451</f>
        <v>0.55943485586859787</v>
      </c>
      <c r="H452">
        <f t="shared" ref="H452:H515" si="51">100*(C452-C451)/C451</f>
        <v>0.7878386745521736</v>
      </c>
      <c r="I452">
        <f t="shared" ref="I452:I515" si="52">100*(D452-D451)/D451</f>
        <v>0.59549792356641551</v>
      </c>
      <c r="J452">
        <f t="shared" ref="J452:J515" si="53">(G452-F452)/$N$3</f>
        <v>0.38628401382720667</v>
      </c>
      <c r="K452">
        <f t="shared" ref="K452:K515" si="54">G452-F452</f>
        <v>0.54899041142415339</v>
      </c>
      <c r="L452">
        <f t="shared" ref="L452:L515" si="55">I452-F452</f>
        <v>0.58505347912197103</v>
      </c>
    </row>
    <row r="453" spans="1:12" x14ac:dyDescent="0.25">
      <c r="A453" s="1">
        <v>40843</v>
      </c>
      <c r="B453" s="6">
        <v>54.249099999999999</v>
      </c>
      <c r="C453" s="6">
        <v>9.7362000000000002</v>
      </c>
      <c r="D453" s="6">
        <v>7565.21</v>
      </c>
      <c r="E453" s="6">
        <v>0.94</v>
      </c>
      <c r="F453" s="6">
        <f t="shared" si="49"/>
        <v>1.0444444444444444E-2</v>
      </c>
      <c r="G453">
        <f t="shared" si="50"/>
        <v>0</v>
      </c>
      <c r="H453">
        <f t="shared" si="51"/>
        <v>3.1246028047282115</v>
      </c>
      <c r="I453">
        <f t="shared" si="52"/>
        <v>0.39000400752672343</v>
      </c>
      <c r="J453">
        <f t="shared" si="53"/>
        <v>-7.3489843141871791E-3</v>
      </c>
      <c r="K453">
        <f t="shared" si="54"/>
        <v>-1.0444444444444444E-2</v>
      </c>
      <c r="L453">
        <f t="shared" si="55"/>
        <v>0.37955956308227901</v>
      </c>
    </row>
    <row r="454" spans="1:12" x14ac:dyDescent="0.25">
      <c r="A454" s="1">
        <v>40844</v>
      </c>
      <c r="B454" s="6">
        <v>55.154499999999999</v>
      </c>
      <c r="C454" s="6">
        <v>9.7362000000000002</v>
      </c>
      <c r="D454" s="6">
        <v>7616.06</v>
      </c>
      <c r="E454" s="6">
        <v>0.94</v>
      </c>
      <c r="F454" s="6">
        <f t="shared" si="49"/>
        <v>1.0444444444444444E-2</v>
      </c>
      <c r="G454">
        <f t="shared" si="50"/>
        <v>1.6689677801106382</v>
      </c>
      <c r="H454">
        <f t="shared" si="51"/>
        <v>0</v>
      </c>
      <c r="I454">
        <f t="shared" si="52"/>
        <v>0.67215582911776883</v>
      </c>
      <c r="J454">
        <f t="shared" si="53"/>
        <v>1.166980402199131</v>
      </c>
      <c r="K454">
        <f t="shared" si="54"/>
        <v>1.6585233356661937</v>
      </c>
      <c r="L454">
        <f t="shared" si="55"/>
        <v>0.66171138467332435</v>
      </c>
    </row>
    <row r="455" spans="1:12" x14ac:dyDescent="0.25">
      <c r="A455" s="1">
        <v>40847</v>
      </c>
      <c r="B455" s="6">
        <v>55.531700000000001</v>
      </c>
      <c r="C455" s="6">
        <v>9.8468999999999998</v>
      </c>
      <c r="D455" s="6">
        <v>7587.69</v>
      </c>
      <c r="E455" s="6">
        <v>0.94</v>
      </c>
      <c r="F455" s="6">
        <f t="shared" si="49"/>
        <v>1.0444444444444444E-2</v>
      </c>
      <c r="G455">
        <f t="shared" si="50"/>
        <v>0.68389705282434254</v>
      </c>
      <c r="H455">
        <f t="shared" si="51"/>
        <v>1.1369938990571227</v>
      </c>
      <c r="I455">
        <f t="shared" si="52"/>
        <v>-0.3725023174712489</v>
      </c>
      <c r="J455">
        <f t="shared" si="53"/>
        <v>0.47385887125522141</v>
      </c>
      <c r="K455">
        <f t="shared" si="54"/>
        <v>0.67345260837989807</v>
      </c>
      <c r="L455">
        <f t="shared" si="55"/>
        <v>-0.38294676191569332</v>
      </c>
    </row>
    <row r="456" spans="1:12" x14ac:dyDescent="0.25">
      <c r="A456" s="1">
        <v>40848</v>
      </c>
      <c r="B456" s="6">
        <v>55.682600000000001</v>
      </c>
      <c r="C456" s="6">
        <v>9.6994000000000007</v>
      </c>
      <c r="D456" s="6">
        <v>7622.01</v>
      </c>
      <c r="E456" s="6">
        <v>0.94</v>
      </c>
      <c r="F456" s="6">
        <f t="shared" si="49"/>
        <v>1.0444444444444444E-2</v>
      </c>
      <c r="G456">
        <f t="shared" si="50"/>
        <v>0.27173668373199455</v>
      </c>
      <c r="H456">
        <f t="shared" si="51"/>
        <v>-1.497933359737573</v>
      </c>
      <c r="I456">
        <f t="shared" si="52"/>
        <v>0.45231157308746955</v>
      </c>
      <c r="J456">
        <f t="shared" si="53"/>
        <v>0.18385205437752597</v>
      </c>
      <c r="K456">
        <f t="shared" si="54"/>
        <v>0.26129223928755013</v>
      </c>
      <c r="L456">
        <f t="shared" si="55"/>
        <v>0.44186712864302513</v>
      </c>
    </row>
    <row r="457" spans="1:12" x14ac:dyDescent="0.25">
      <c r="A457" s="1">
        <v>40849</v>
      </c>
      <c r="B457" s="6">
        <v>55.758099999999999</v>
      </c>
      <c r="C457" s="6">
        <v>9.5886999999999993</v>
      </c>
      <c r="D457" s="6">
        <v>7598.45</v>
      </c>
      <c r="E457" s="6">
        <v>0.94</v>
      </c>
      <c r="F457" s="6">
        <f t="shared" si="49"/>
        <v>1.0444444444444444E-2</v>
      </c>
      <c r="G457">
        <f t="shared" si="50"/>
        <v>0.13558993294134636</v>
      </c>
      <c r="H457">
        <f t="shared" si="51"/>
        <v>-1.1413077097552564</v>
      </c>
      <c r="I457">
        <f t="shared" si="52"/>
        <v>-0.30910481618366281</v>
      </c>
      <c r="J457">
        <f t="shared" si="53"/>
        <v>8.805563922973636E-2</v>
      </c>
      <c r="K457">
        <f t="shared" si="54"/>
        <v>0.12514548849690191</v>
      </c>
      <c r="L457">
        <f t="shared" si="55"/>
        <v>-0.31954926062810723</v>
      </c>
    </row>
    <row r="458" spans="1:12" x14ac:dyDescent="0.25">
      <c r="A458" s="1">
        <v>40850</v>
      </c>
      <c r="B458" s="6">
        <v>55.456299999999999</v>
      </c>
      <c r="C458" s="6">
        <v>9.4042999999999992</v>
      </c>
      <c r="D458" s="6">
        <v>7460.31</v>
      </c>
      <c r="E458" s="6">
        <v>0.94</v>
      </c>
      <c r="F458" s="6">
        <f t="shared" si="49"/>
        <v>1.0444444444444444E-2</v>
      </c>
      <c r="G458">
        <f t="shared" si="50"/>
        <v>-0.54126665004725782</v>
      </c>
      <c r="H458">
        <f t="shared" si="51"/>
        <v>-1.9230969787353878</v>
      </c>
      <c r="I458">
        <f t="shared" si="52"/>
        <v>-1.818002355743598</v>
      </c>
      <c r="J458">
        <f t="shared" si="53"/>
        <v>-0.38819835760045801</v>
      </c>
      <c r="K458">
        <f t="shared" si="54"/>
        <v>-0.5517110944917023</v>
      </c>
      <c r="L458">
        <f t="shared" si="55"/>
        <v>-1.8284468001880425</v>
      </c>
    </row>
    <row r="459" spans="1:12" x14ac:dyDescent="0.25">
      <c r="A459" s="1">
        <v>40851</v>
      </c>
      <c r="B459" s="6">
        <v>56.286200000000001</v>
      </c>
      <c r="C459" s="6">
        <v>9.6256000000000004</v>
      </c>
      <c r="D459" s="6">
        <v>7603.23</v>
      </c>
      <c r="E459" s="6">
        <v>0.94</v>
      </c>
      <c r="F459" s="6">
        <f t="shared" si="49"/>
        <v>1.0444444444444444E-2</v>
      </c>
      <c r="G459">
        <f t="shared" si="50"/>
        <v>1.4964936355292404</v>
      </c>
      <c r="H459">
        <f t="shared" si="51"/>
        <v>2.3531788649873056</v>
      </c>
      <c r="I459">
        <f t="shared" si="52"/>
        <v>1.9157380859508406</v>
      </c>
      <c r="J459">
        <f t="shared" si="53"/>
        <v>1.0456230825376001</v>
      </c>
      <c r="K459">
        <f t="shared" si="54"/>
        <v>1.4860491910847959</v>
      </c>
      <c r="L459">
        <f t="shared" si="55"/>
        <v>1.9052936415063961</v>
      </c>
    </row>
    <row r="460" spans="1:12" x14ac:dyDescent="0.25">
      <c r="A460" s="1">
        <v>40854</v>
      </c>
      <c r="B460" s="6">
        <v>56.588000000000001</v>
      </c>
      <c r="C460" s="6">
        <v>9.5518000000000001</v>
      </c>
      <c r="D460" s="6">
        <v>7621.72</v>
      </c>
      <c r="E460" s="6">
        <v>0.94</v>
      </c>
      <c r="F460" s="6">
        <f t="shared" si="49"/>
        <v>1.0444444444444444E-2</v>
      </c>
      <c r="G460">
        <f t="shared" si="50"/>
        <v>0.53618826639567085</v>
      </c>
      <c r="H460">
        <f t="shared" si="51"/>
        <v>-0.76670545212766272</v>
      </c>
      <c r="I460">
        <f t="shared" si="52"/>
        <v>0.2431861195833967</v>
      </c>
      <c r="J460">
        <f t="shared" si="53"/>
        <v>0.36992710539578105</v>
      </c>
      <c r="K460">
        <f t="shared" si="54"/>
        <v>0.52574382195122638</v>
      </c>
      <c r="L460">
        <f t="shared" si="55"/>
        <v>0.23274167513895225</v>
      </c>
    </row>
    <row r="461" spans="1:12" x14ac:dyDescent="0.25">
      <c r="A461" s="1">
        <v>40855</v>
      </c>
      <c r="B461" s="6">
        <v>56.210799999999999</v>
      </c>
      <c r="C461" s="6">
        <v>9.5886999999999993</v>
      </c>
      <c r="D461" s="6">
        <v>7600.79</v>
      </c>
      <c r="E461" s="6">
        <v>0.94</v>
      </c>
      <c r="F461" s="6">
        <f t="shared" si="49"/>
        <v>1.0444444444444444E-2</v>
      </c>
      <c r="G461">
        <f t="shared" si="50"/>
        <v>-0.66657241818053647</v>
      </c>
      <c r="H461">
        <f t="shared" si="51"/>
        <v>0.38631462132790956</v>
      </c>
      <c r="I461">
        <f t="shared" si="52"/>
        <v>-0.27460993056685751</v>
      </c>
      <c r="J461">
        <f t="shared" si="53"/>
        <v>-0.47636677377490227</v>
      </c>
      <c r="K461">
        <f t="shared" si="54"/>
        <v>-0.67701686262498095</v>
      </c>
      <c r="L461">
        <f t="shared" si="55"/>
        <v>-0.28505437501130193</v>
      </c>
    </row>
    <row r="462" spans="1:12" x14ac:dyDescent="0.25">
      <c r="A462" s="1">
        <v>40856</v>
      </c>
      <c r="B462" s="6">
        <v>55.908999999999999</v>
      </c>
      <c r="C462" s="6">
        <v>9.6256000000000004</v>
      </c>
      <c r="D462" s="6">
        <v>7561.86</v>
      </c>
      <c r="E462" s="6">
        <v>0.94</v>
      </c>
      <c r="F462" s="6">
        <f t="shared" si="49"/>
        <v>1.0444444444444444E-2</v>
      </c>
      <c r="G462">
        <f t="shared" si="50"/>
        <v>-0.53690749820319239</v>
      </c>
      <c r="H462">
        <f t="shared" si="51"/>
        <v>0.3848279745951072</v>
      </c>
      <c r="I462">
        <f t="shared" si="52"/>
        <v>-0.51218360196769408</v>
      </c>
      <c r="J462">
        <f t="shared" si="53"/>
        <v>-0.38513114433740719</v>
      </c>
      <c r="K462">
        <f t="shared" si="54"/>
        <v>-0.54735194264763687</v>
      </c>
      <c r="L462">
        <f t="shared" si="55"/>
        <v>-0.52262804641213856</v>
      </c>
    </row>
    <row r="463" spans="1:12" x14ac:dyDescent="0.25">
      <c r="A463" s="1">
        <v>40857</v>
      </c>
      <c r="B463" s="6">
        <v>54.777200000000001</v>
      </c>
      <c r="C463" s="6">
        <v>9.2568000000000001</v>
      </c>
      <c r="D463" s="6">
        <v>7308.68</v>
      </c>
      <c r="E463" s="6">
        <v>0.94</v>
      </c>
      <c r="F463" s="6">
        <f t="shared" si="49"/>
        <v>1.0444444444444444E-2</v>
      </c>
      <c r="G463">
        <f t="shared" si="50"/>
        <v>-2.0243610152211602</v>
      </c>
      <c r="H463">
        <f t="shared" si="51"/>
        <v>-3.8314494680851086</v>
      </c>
      <c r="I463">
        <f t="shared" si="52"/>
        <v>-3.3481180556106485</v>
      </c>
      <c r="J463">
        <f t="shared" si="53"/>
        <v>-1.4317423473355815</v>
      </c>
      <c r="K463">
        <f t="shared" si="54"/>
        <v>-2.0348054596656047</v>
      </c>
      <c r="L463">
        <f t="shared" si="55"/>
        <v>-3.3585625000550929</v>
      </c>
    </row>
    <row r="464" spans="1:12" x14ac:dyDescent="0.25">
      <c r="A464" s="1">
        <v>40858</v>
      </c>
      <c r="B464" s="6">
        <v>55.380800000000001</v>
      </c>
      <c r="C464" s="6">
        <v>9.4412000000000003</v>
      </c>
      <c r="D464" s="6">
        <v>7367.29</v>
      </c>
      <c r="E464" s="6">
        <v>0.94</v>
      </c>
      <c r="F464" s="6">
        <f t="shared" si="49"/>
        <v>1.0444444444444444E-2</v>
      </c>
      <c r="G464">
        <f t="shared" si="50"/>
        <v>1.1019183163798079</v>
      </c>
      <c r="H464">
        <f t="shared" si="51"/>
        <v>1.9920490882378372</v>
      </c>
      <c r="I464">
        <f t="shared" si="52"/>
        <v>0.80192319269689838</v>
      </c>
      <c r="J464">
        <f t="shared" si="53"/>
        <v>0.76798956678492758</v>
      </c>
      <c r="K464">
        <f t="shared" si="54"/>
        <v>1.0914738719353634</v>
      </c>
      <c r="L464">
        <f t="shared" si="55"/>
        <v>0.7914787482524539</v>
      </c>
    </row>
    <row r="465" spans="1:12" x14ac:dyDescent="0.25">
      <c r="A465" s="1">
        <v>40861</v>
      </c>
      <c r="B465" s="6">
        <v>57.267099999999999</v>
      </c>
      <c r="C465" s="6">
        <v>9.6994000000000007</v>
      </c>
      <c r="D465" s="6">
        <v>7525.65</v>
      </c>
      <c r="E465" s="6">
        <v>0.94</v>
      </c>
      <c r="F465" s="6">
        <f t="shared" si="49"/>
        <v>1.0444444444444444E-2</v>
      </c>
      <c r="G465">
        <f t="shared" si="50"/>
        <v>3.4060540837257651</v>
      </c>
      <c r="H465">
        <f t="shared" si="51"/>
        <v>2.7348218446807655</v>
      </c>
      <c r="I465">
        <f t="shared" si="52"/>
        <v>2.1495013770327986</v>
      </c>
      <c r="J465">
        <f t="shared" si="53"/>
        <v>2.3892397636769247</v>
      </c>
      <c r="K465">
        <f t="shared" si="54"/>
        <v>3.3956096392813206</v>
      </c>
      <c r="L465">
        <f t="shared" si="55"/>
        <v>2.1390569325883542</v>
      </c>
    </row>
    <row r="466" spans="1:12" x14ac:dyDescent="0.25">
      <c r="A466" s="1">
        <v>40862</v>
      </c>
      <c r="B466" s="6">
        <v>57.342500000000001</v>
      </c>
      <c r="C466" s="6">
        <v>9.6256000000000004</v>
      </c>
      <c r="D466" s="6">
        <v>7491.06</v>
      </c>
      <c r="E466" s="6">
        <v>0.94</v>
      </c>
      <c r="F466" s="6">
        <f t="shared" si="49"/>
        <v>1.0444444444444444E-2</v>
      </c>
      <c r="G466">
        <f t="shared" si="50"/>
        <v>0.13166373013475785</v>
      </c>
      <c r="H466">
        <f t="shared" si="51"/>
        <v>-0.76087180650349817</v>
      </c>
      <c r="I466">
        <f t="shared" si="52"/>
        <v>-0.45962807199377115</v>
      </c>
      <c r="J466">
        <f t="shared" si="53"/>
        <v>8.529306023442329E-2</v>
      </c>
      <c r="K466">
        <f t="shared" si="54"/>
        <v>0.1212192856903134</v>
      </c>
      <c r="L466">
        <f t="shared" si="55"/>
        <v>-0.47007251643821557</v>
      </c>
    </row>
    <row r="467" spans="1:12" x14ac:dyDescent="0.25">
      <c r="A467" s="1">
        <v>40863</v>
      </c>
      <c r="B467" s="6">
        <v>56.889800000000001</v>
      </c>
      <c r="C467" s="6">
        <v>9.5886999999999993</v>
      </c>
      <c r="D467" s="6">
        <v>7387.52</v>
      </c>
      <c r="E467" s="6">
        <v>0.94</v>
      </c>
      <c r="F467" s="6">
        <f t="shared" si="49"/>
        <v>1.0444444444444444E-2</v>
      </c>
      <c r="G467">
        <f t="shared" si="50"/>
        <v>-0.78946680036622063</v>
      </c>
      <c r="H467">
        <f t="shared" si="51"/>
        <v>-0.38335272606384063</v>
      </c>
      <c r="I467">
        <f t="shared" si="52"/>
        <v>-1.3821808929577384</v>
      </c>
      <c r="J467">
        <f t="shared" si="53"/>
        <v>-0.56283847572020929</v>
      </c>
      <c r="K467">
        <f t="shared" si="54"/>
        <v>-0.79991124481066511</v>
      </c>
      <c r="L467">
        <f t="shared" si="55"/>
        <v>-1.3926253374021829</v>
      </c>
    </row>
    <row r="468" spans="1:12" x14ac:dyDescent="0.25">
      <c r="A468" s="1">
        <v>40864</v>
      </c>
      <c r="B468" s="6">
        <v>57.116199999999999</v>
      </c>
      <c r="C468" s="6">
        <v>9.4780999999999995</v>
      </c>
      <c r="D468" s="6">
        <v>7387.81</v>
      </c>
      <c r="E468" s="6">
        <v>0.94</v>
      </c>
      <c r="F468" s="6">
        <f t="shared" si="49"/>
        <v>1.0444444444444444E-2</v>
      </c>
      <c r="G468">
        <f t="shared" si="50"/>
        <v>0.39796237638381249</v>
      </c>
      <c r="H468">
        <f t="shared" si="51"/>
        <v>-1.153441029545192</v>
      </c>
      <c r="I468">
        <f t="shared" si="52"/>
        <v>3.9255392878796078E-3</v>
      </c>
      <c r="J468">
        <f t="shared" si="53"/>
        <v>0.27266775350636213</v>
      </c>
      <c r="K468">
        <f t="shared" si="54"/>
        <v>0.38751793193936807</v>
      </c>
      <c r="L468">
        <f t="shared" si="55"/>
        <v>-6.5189051565648359E-3</v>
      </c>
    </row>
    <row r="469" spans="1:12" x14ac:dyDescent="0.25">
      <c r="A469" s="1">
        <v>40865</v>
      </c>
      <c r="B469" s="6">
        <v>55.984400000000001</v>
      </c>
      <c r="C469" s="6">
        <v>9.2936999999999994</v>
      </c>
      <c r="D469" s="6">
        <v>7233.78</v>
      </c>
      <c r="E469" s="6">
        <v>0.94</v>
      </c>
      <c r="F469" s="6">
        <f t="shared" si="49"/>
        <v>1.0444444444444444E-2</v>
      </c>
      <c r="G469">
        <f t="shared" si="50"/>
        <v>-1.9815744044596777</v>
      </c>
      <c r="H469">
        <f t="shared" si="51"/>
        <v>-1.9455376077483897</v>
      </c>
      <c r="I469">
        <f t="shared" si="52"/>
        <v>-2.0849209711673775</v>
      </c>
      <c r="J469">
        <f t="shared" si="53"/>
        <v>-1.4016365688027059</v>
      </c>
      <c r="K469">
        <f t="shared" si="54"/>
        <v>-1.9920188489041222</v>
      </c>
      <c r="L469">
        <f t="shared" si="55"/>
        <v>-2.095365415611822</v>
      </c>
    </row>
    <row r="470" spans="1:12" x14ac:dyDescent="0.25">
      <c r="A470" s="1">
        <v>40868</v>
      </c>
      <c r="B470" s="6">
        <v>55.305399999999999</v>
      </c>
      <c r="C470" s="6">
        <v>9.1092999999999993</v>
      </c>
      <c r="D470" s="6">
        <v>7042.64</v>
      </c>
      <c r="E470" s="6">
        <v>0.94</v>
      </c>
      <c r="F470" s="6">
        <f t="shared" si="49"/>
        <v>1.0444444444444444E-2</v>
      </c>
      <c r="G470">
        <f t="shared" si="50"/>
        <v>-1.2128378619758398</v>
      </c>
      <c r="H470">
        <f t="shared" si="51"/>
        <v>-1.9841397936236389</v>
      </c>
      <c r="I470">
        <f t="shared" si="52"/>
        <v>-2.6423253126304562</v>
      </c>
      <c r="J470">
        <f t="shared" si="53"/>
        <v>-0.86073342909945161</v>
      </c>
      <c r="K470">
        <f t="shared" si="54"/>
        <v>-1.2232823064202842</v>
      </c>
      <c r="L470">
        <f t="shared" si="55"/>
        <v>-2.6527697570749007</v>
      </c>
    </row>
    <row r="471" spans="1:12" x14ac:dyDescent="0.25">
      <c r="A471" s="1">
        <v>40869</v>
      </c>
      <c r="B471" s="6">
        <v>55.833500000000001</v>
      </c>
      <c r="C471" s="6">
        <v>9.2568000000000001</v>
      </c>
      <c r="D471" s="6">
        <v>7000.03</v>
      </c>
      <c r="E471" s="6">
        <v>0.94</v>
      </c>
      <c r="F471" s="6">
        <f t="shared" si="49"/>
        <v>1.0444444444444444E-2</v>
      </c>
      <c r="G471">
        <f t="shared" si="50"/>
        <v>0.95487963200700476</v>
      </c>
      <c r="H471">
        <f t="shared" si="51"/>
        <v>1.6192243092224525</v>
      </c>
      <c r="I471">
        <f t="shared" si="52"/>
        <v>-0.60502879601968262</v>
      </c>
      <c r="J471">
        <f t="shared" si="53"/>
        <v>0.66452930226035256</v>
      </c>
      <c r="K471">
        <f t="shared" si="54"/>
        <v>0.94443518756256029</v>
      </c>
      <c r="L471">
        <f t="shared" si="55"/>
        <v>-0.6154732404641271</v>
      </c>
    </row>
    <row r="472" spans="1:12" x14ac:dyDescent="0.25">
      <c r="A472" s="1">
        <v>40870</v>
      </c>
      <c r="B472" s="6">
        <v>55.380800000000001</v>
      </c>
      <c r="C472" s="6">
        <v>8.8141999999999996</v>
      </c>
      <c r="D472" s="6">
        <v>6806.43</v>
      </c>
      <c r="E472" s="6">
        <v>0.94</v>
      </c>
      <c r="F472" s="6">
        <f t="shared" si="49"/>
        <v>1.0444444444444444E-2</v>
      </c>
      <c r="G472">
        <f t="shared" si="50"/>
        <v>-0.81080354984014991</v>
      </c>
      <c r="H472">
        <f t="shared" si="51"/>
        <v>-4.7813499265404946</v>
      </c>
      <c r="I472">
        <f t="shared" si="52"/>
        <v>-2.765702432703852</v>
      </c>
      <c r="J472">
        <f t="shared" si="53"/>
        <v>-0.57785157077123939</v>
      </c>
      <c r="K472">
        <f t="shared" si="54"/>
        <v>-0.82124799428459438</v>
      </c>
      <c r="L472">
        <f t="shared" si="55"/>
        <v>-2.7761468771482964</v>
      </c>
    </row>
    <row r="473" spans="1:12" x14ac:dyDescent="0.25">
      <c r="A473" s="1">
        <v>40871</v>
      </c>
      <c r="B473" s="6">
        <v>54.928100000000001</v>
      </c>
      <c r="C473" s="6">
        <v>8.7774000000000001</v>
      </c>
      <c r="D473" s="6">
        <v>6864.39</v>
      </c>
      <c r="E473" s="6">
        <v>0.94</v>
      </c>
      <c r="F473" s="6">
        <f t="shared" si="49"/>
        <v>1.0444444444444444E-2</v>
      </c>
      <c r="G473">
        <f t="shared" si="50"/>
        <v>-0.81743131193482232</v>
      </c>
      <c r="H473">
        <f t="shared" si="51"/>
        <v>-0.41750811191032089</v>
      </c>
      <c r="I473">
        <f t="shared" si="52"/>
        <v>0.85154772766340114</v>
      </c>
      <c r="J473">
        <f t="shared" si="53"/>
        <v>-0.58251503754833733</v>
      </c>
      <c r="K473">
        <f t="shared" si="54"/>
        <v>-0.8278757563792668</v>
      </c>
      <c r="L473">
        <f t="shared" si="55"/>
        <v>0.84110328321895667</v>
      </c>
    </row>
    <row r="474" spans="1:12" x14ac:dyDescent="0.25">
      <c r="A474" s="1">
        <v>40872</v>
      </c>
      <c r="B474" s="6">
        <v>54.0227</v>
      </c>
      <c r="C474" s="6">
        <v>8.9618000000000002</v>
      </c>
      <c r="D474" s="6">
        <v>6784.52</v>
      </c>
      <c r="E474" s="6">
        <v>0.94</v>
      </c>
      <c r="F474" s="6">
        <f t="shared" si="49"/>
        <v>1.0444444444444444E-2</v>
      </c>
      <c r="G474">
        <f t="shared" si="50"/>
        <v>-1.6483366437215199</v>
      </c>
      <c r="H474">
        <f t="shared" si="51"/>
        <v>2.100849909996128</v>
      </c>
      <c r="I474">
        <f t="shared" si="52"/>
        <v>-1.1635411158165532</v>
      </c>
      <c r="J474">
        <f t="shared" si="53"/>
        <v>-1.1671617636001927</v>
      </c>
      <c r="K474">
        <f t="shared" si="54"/>
        <v>-1.6587810881659644</v>
      </c>
      <c r="L474">
        <f t="shared" si="55"/>
        <v>-1.1739855602609977</v>
      </c>
    </row>
    <row r="475" spans="1:12" x14ac:dyDescent="0.25">
      <c r="A475" s="1">
        <v>40875</v>
      </c>
      <c r="B475" s="6">
        <v>55.531700000000001</v>
      </c>
      <c r="C475" s="6">
        <v>9.2568000000000001</v>
      </c>
      <c r="D475" s="6">
        <v>6898.78</v>
      </c>
      <c r="E475" s="6">
        <v>0.94</v>
      </c>
      <c r="F475" s="6">
        <f t="shared" si="49"/>
        <v>1.0444444444444444E-2</v>
      </c>
      <c r="G475">
        <f t="shared" si="50"/>
        <v>2.793270236400625</v>
      </c>
      <c r="H475">
        <f t="shared" si="51"/>
        <v>3.2917494253386588</v>
      </c>
      <c r="I475">
        <f t="shared" si="52"/>
        <v>1.6841279854728013</v>
      </c>
      <c r="J475">
        <f t="shared" si="53"/>
        <v>1.9580690196575892</v>
      </c>
      <c r="K475">
        <f t="shared" si="54"/>
        <v>2.7828257919561805</v>
      </c>
      <c r="L475">
        <f t="shared" si="55"/>
        <v>1.6736835410283568</v>
      </c>
    </row>
    <row r="476" spans="1:12" x14ac:dyDescent="0.25">
      <c r="A476" s="1">
        <v>40876</v>
      </c>
      <c r="B476" s="6">
        <v>55.531700000000001</v>
      </c>
      <c r="C476" s="6">
        <v>9.2936999999999994</v>
      </c>
      <c r="D476" s="6">
        <v>6988.65</v>
      </c>
      <c r="E476" s="6">
        <v>0.94</v>
      </c>
      <c r="F476" s="6">
        <f t="shared" si="49"/>
        <v>1.0444444444444444E-2</v>
      </c>
      <c r="G476">
        <f t="shared" si="50"/>
        <v>0</v>
      </c>
      <c r="H476">
        <f t="shared" si="51"/>
        <v>0.39862587503240066</v>
      </c>
      <c r="I476">
        <f t="shared" si="52"/>
        <v>1.3026940995364382</v>
      </c>
      <c r="J476">
        <f t="shared" si="53"/>
        <v>-7.3489843141871791E-3</v>
      </c>
      <c r="K476">
        <f t="shared" si="54"/>
        <v>-1.0444444444444444E-2</v>
      </c>
      <c r="L476">
        <f t="shared" si="55"/>
        <v>1.2922496550919937</v>
      </c>
    </row>
    <row r="477" spans="1:12" x14ac:dyDescent="0.25">
      <c r="A477" s="1">
        <v>40877</v>
      </c>
      <c r="B477" s="6">
        <v>56.286200000000001</v>
      </c>
      <c r="C477" s="6">
        <v>9.5886999999999993</v>
      </c>
      <c r="D477" s="6">
        <v>6904.12</v>
      </c>
      <c r="E477" s="6">
        <v>0.94</v>
      </c>
      <c r="F477" s="6">
        <f t="shared" si="49"/>
        <v>1.0444444444444444E-2</v>
      </c>
      <c r="G477">
        <f t="shared" si="50"/>
        <v>1.3586834186599728</v>
      </c>
      <c r="H477">
        <f t="shared" si="51"/>
        <v>3.1741932707102656</v>
      </c>
      <c r="I477">
        <f t="shared" si="52"/>
        <v>-1.2095325992859816</v>
      </c>
      <c r="J477">
        <f t="shared" si="53"/>
        <v>0.94865620914437854</v>
      </c>
      <c r="K477">
        <f t="shared" si="54"/>
        <v>1.3482389742155283</v>
      </c>
      <c r="L477">
        <f t="shared" si="55"/>
        <v>-1.219977043730426</v>
      </c>
    </row>
    <row r="478" spans="1:12" x14ac:dyDescent="0.25">
      <c r="A478" s="1">
        <v>40878</v>
      </c>
      <c r="B478" s="6">
        <v>57.795200000000001</v>
      </c>
      <c r="C478" s="6">
        <v>9.7730999999999995</v>
      </c>
      <c r="D478" s="6">
        <v>7178.69</v>
      </c>
      <c r="E478" s="6">
        <v>0.94</v>
      </c>
      <c r="F478" s="6">
        <f t="shared" si="49"/>
        <v>1.0444444444444444E-2</v>
      </c>
      <c r="G478">
        <f t="shared" si="50"/>
        <v>2.6809413319783539</v>
      </c>
      <c r="H478">
        <f t="shared" si="51"/>
        <v>1.9230969787353878</v>
      </c>
      <c r="I478">
        <f t="shared" si="52"/>
        <v>3.976900749117914</v>
      </c>
      <c r="J478">
        <f t="shared" si="53"/>
        <v>1.879031464235654</v>
      </c>
      <c r="K478">
        <f t="shared" si="54"/>
        <v>2.6704968875339095</v>
      </c>
      <c r="L478">
        <f t="shared" si="55"/>
        <v>3.9664563046734695</v>
      </c>
    </row>
    <row r="479" spans="1:12" x14ac:dyDescent="0.25">
      <c r="A479" s="1">
        <v>40879</v>
      </c>
      <c r="B479" s="6">
        <v>57.342500000000001</v>
      </c>
      <c r="C479" s="6">
        <v>9.6994000000000007</v>
      </c>
      <c r="D479" s="6">
        <v>7140.68</v>
      </c>
      <c r="E479" s="6">
        <v>0.94</v>
      </c>
      <c r="F479" s="6">
        <f t="shared" si="49"/>
        <v>1.0444444444444444E-2</v>
      </c>
      <c r="G479">
        <f t="shared" si="50"/>
        <v>-0.78328304080615707</v>
      </c>
      <c r="H479">
        <f t="shared" si="51"/>
        <v>-0.75411077344955824</v>
      </c>
      <c r="I479">
        <f t="shared" si="52"/>
        <v>-0.52948379161099468</v>
      </c>
      <c r="J479">
        <f t="shared" si="53"/>
        <v>-0.55848742074056557</v>
      </c>
      <c r="K479">
        <f t="shared" si="54"/>
        <v>-0.79372748525060155</v>
      </c>
      <c r="L479">
        <f t="shared" si="55"/>
        <v>-0.53992823605543916</v>
      </c>
    </row>
    <row r="480" spans="1:12" x14ac:dyDescent="0.25">
      <c r="A480" s="1">
        <v>40882</v>
      </c>
      <c r="B480" s="6">
        <v>57.568899999999999</v>
      </c>
      <c r="C480" s="6">
        <v>9.5518000000000001</v>
      </c>
      <c r="D480" s="6">
        <v>7098.08</v>
      </c>
      <c r="E480" s="6">
        <v>0.94</v>
      </c>
      <c r="F480" s="6">
        <f t="shared" si="49"/>
        <v>1.0444444444444444E-2</v>
      </c>
      <c r="G480">
        <f t="shared" si="50"/>
        <v>0.39482059554431381</v>
      </c>
      <c r="H480">
        <f t="shared" si="51"/>
        <v>-1.5217436130069963</v>
      </c>
      <c r="I480">
        <f t="shared" si="52"/>
        <v>-0.59658183814427146</v>
      </c>
      <c r="J480">
        <f t="shared" si="53"/>
        <v>0.27045711432580033</v>
      </c>
      <c r="K480">
        <f t="shared" si="54"/>
        <v>0.38437615109986939</v>
      </c>
      <c r="L480">
        <f t="shared" si="55"/>
        <v>-0.60702628258871594</v>
      </c>
    </row>
    <row r="481" spans="1:12" x14ac:dyDescent="0.25">
      <c r="A481" s="1">
        <v>40883</v>
      </c>
      <c r="B481" s="6">
        <v>56.889800000000001</v>
      </c>
      <c r="C481" s="6">
        <v>9.4042999999999992</v>
      </c>
      <c r="D481" s="6">
        <v>6956.28</v>
      </c>
      <c r="E481" s="6">
        <v>0.94</v>
      </c>
      <c r="F481" s="6">
        <f t="shared" si="49"/>
        <v>1.0444444444444444E-2</v>
      </c>
      <c r="G481">
        <f t="shared" si="50"/>
        <v>-1.1796299738226685</v>
      </c>
      <c r="H481">
        <f t="shared" si="51"/>
        <v>-1.5442115622186483</v>
      </c>
      <c r="I481">
        <f t="shared" si="52"/>
        <v>-1.99772332799856</v>
      </c>
      <c r="J481">
        <f t="shared" si="53"/>
        <v>-0.83736749035153213</v>
      </c>
      <c r="K481">
        <f t="shared" si="54"/>
        <v>-1.190074418267113</v>
      </c>
      <c r="L481">
        <f t="shared" si="55"/>
        <v>-2.0081677724430045</v>
      </c>
    </row>
    <row r="482" spans="1:12" x14ac:dyDescent="0.25">
      <c r="A482" s="1">
        <v>40884</v>
      </c>
      <c r="B482" s="6">
        <v>57.644300000000001</v>
      </c>
      <c r="C482" s="6">
        <v>9.4780999999999995</v>
      </c>
      <c r="D482" s="6">
        <v>7033</v>
      </c>
      <c r="E482" s="6">
        <v>0.94</v>
      </c>
      <c r="F482" s="6">
        <f t="shared" si="49"/>
        <v>1.0444444444444444E-2</v>
      </c>
      <c r="G482">
        <f t="shared" si="50"/>
        <v>1.3262482905547219</v>
      </c>
      <c r="H482">
        <f t="shared" si="51"/>
        <v>0.78474740278383626</v>
      </c>
      <c r="I482">
        <f t="shared" si="52"/>
        <v>1.1028883253693103</v>
      </c>
      <c r="J482">
        <f t="shared" si="53"/>
        <v>0.92583400457983311</v>
      </c>
      <c r="K482">
        <f t="shared" si="54"/>
        <v>1.3158038461102775</v>
      </c>
      <c r="L482">
        <f t="shared" si="55"/>
        <v>1.0924438809248658</v>
      </c>
    </row>
    <row r="483" spans="1:12" x14ac:dyDescent="0.25">
      <c r="A483" s="1">
        <v>40885</v>
      </c>
      <c r="B483" s="6">
        <v>57.568899999999999</v>
      </c>
      <c r="C483" s="6">
        <v>9.4412000000000003</v>
      </c>
      <c r="D483" s="6">
        <v>6982.9</v>
      </c>
      <c r="E483" s="6">
        <v>0.94</v>
      </c>
      <c r="F483" s="6">
        <f t="shared" si="49"/>
        <v>1.0444444444444444E-2</v>
      </c>
      <c r="G483">
        <f t="shared" si="50"/>
        <v>-0.13080217818587772</v>
      </c>
      <c r="H483">
        <f t="shared" si="51"/>
        <v>-0.38931853430539104</v>
      </c>
      <c r="I483">
        <f t="shared" si="52"/>
        <v>-0.7123560358310872</v>
      </c>
      <c r="J483">
        <f t="shared" si="53"/>
        <v>-9.9384818375312572E-2</v>
      </c>
      <c r="K483">
        <f t="shared" si="54"/>
        <v>-0.14124662263032217</v>
      </c>
      <c r="L483">
        <f t="shared" si="55"/>
        <v>-0.72280048027553168</v>
      </c>
    </row>
    <row r="484" spans="1:12" x14ac:dyDescent="0.25">
      <c r="A484" s="1">
        <v>40886</v>
      </c>
      <c r="B484" s="6">
        <v>55.908999999999999</v>
      </c>
      <c r="C484" s="6">
        <v>9.1829999999999998</v>
      </c>
      <c r="D484" s="6">
        <v>6893.3</v>
      </c>
      <c r="E484" s="6">
        <v>0.94</v>
      </c>
      <c r="F484" s="6">
        <f t="shared" si="49"/>
        <v>1.0444444444444444E-2</v>
      </c>
      <c r="G484">
        <f t="shared" si="50"/>
        <v>-2.8833276300224608</v>
      </c>
      <c r="H484">
        <f t="shared" si="51"/>
        <v>-2.7348218446807655</v>
      </c>
      <c r="I484">
        <f t="shared" si="52"/>
        <v>-1.2831345143135295</v>
      </c>
      <c r="J484">
        <f t="shared" si="53"/>
        <v>-2.0361337261362942</v>
      </c>
      <c r="K484">
        <f t="shared" si="54"/>
        <v>-2.8937720744669053</v>
      </c>
      <c r="L484">
        <f t="shared" si="55"/>
        <v>-1.293578958757974</v>
      </c>
    </row>
    <row r="485" spans="1:12" x14ac:dyDescent="0.25">
      <c r="A485" s="1">
        <v>40889</v>
      </c>
      <c r="B485" s="6">
        <v>56.588000000000001</v>
      </c>
      <c r="C485" s="6">
        <v>9.2568000000000001</v>
      </c>
      <c r="D485" s="6">
        <v>6949.04</v>
      </c>
      <c r="E485" s="6">
        <v>0.94</v>
      </c>
      <c r="F485" s="6">
        <f t="shared" si="49"/>
        <v>1.0444444444444444E-2</v>
      </c>
      <c r="G485">
        <f t="shared" si="50"/>
        <v>1.2144735194691409</v>
      </c>
      <c r="H485">
        <f t="shared" si="51"/>
        <v>0.80365893498856922</v>
      </c>
      <c r="I485">
        <f t="shared" si="52"/>
        <v>0.80861126020918539</v>
      </c>
      <c r="J485">
        <f t="shared" si="53"/>
        <v>0.84718635186846958</v>
      </c>
      <c r="K485">
        <f t="shared" si="54"/>
        <v>1.2040290750246965</v>
      </c>
      <c r="L485">
        <f t="shared" si="55"/>
        <v>0.79816681576474091</v>
      </c>
    </row>
    <row r="486" spans="1:12" x14ac:dyDescent="0.25">
      <c r="A486" s="1">
        <v>40890</v>
      </c>
      <c r="B486" s="6">
        <v>56.738900000000001</v>
      </c>
      <c r="C486" s="6">
        <v>8.9985999999999997</v>
      </c>
      <c r="D486" s="6">
        <v>6896.31</v>
      </c>
      <c r="E486" s="6">
        <v>0.94</v>
      </c>
      <c r="F486" s="6">
        <f t="shared" si="49"/>
        <v>1.0444444444444444E-2</v>
      </c>
      <c r="G486">
        <f t="shared" si="50"/>
        <v>0.26666431045451339</v>
      </c>
      <c r="H486">
        <f t="shared" si="51"/>
        <v>-2.7893008383026578</v>
      </c>
      <c r="I486">
        <f t="shared" si="52"/>
        <v>-0.75880984999366197</v>
      </c>
      <c r="J486">
        <f t="shared" si="53"/>
        <v>0.18028299985766214</v>
      </c>
      <c r="K486">
        <f t="shared" si="54"/>
        <v>0.25621986601006896</v>
      </c>
      <c r="L486">
        <f t="shared" si="55"/>
        <v>-0.76925429443810645</v>
      </c>
    </row>
    <row r="487" spans="1:12" x14ac:dyDescent="0.25">
      <c r="A487" s="1">
        <v>40891</v>
      </c>
      <c r="B487" s="6">
        <v>56.210799999999999</v>
      </c>
      <c r="C487" s="6">
        <v>8.8879999999999999</v>
      </c>
      <c r="D487" s="6">
        <v>6922.57</v>
      </c>
      <c r="E487" s="6">
        <v>0.94</v>
      </c>
      <c r="F487" s="6">
        <f t="shared" si="49"/>
        <v>1.0444444444444444E-2</v>
      </c>
      <c r="G487">
        <f t="shared" si="50"/>
        <v>-0.93075473793112307</v>
      </c>
      <c r="H487">
        <f t="shared" si="51"/>
        <v>-1.2290800791234171</v>
      </c>
      <c r="I487">
        <f t="shared" si="52"/>
        <v>0.38078334645628326</v>
      </c>
      <c r="J487">
        <f t="shared" si="53"/>
        <v>-0.66225236436419788</v>
      </c>
      <c r="K487">
        <f t="shared" si="54"/>
        <v>-0.94119918237556754</v>
      </c>
      <c r="L487">
        <f t="shared" si="55"/>
        <v>0.37033890201183883</v>
      </c>
    </row>
    <row r="488" spans="1:12" x14ac:dyDescent="0.25">
      <c r="A488" s="1">
        <v>40892</v>
      </c>
      <c r="B488" s="6">
        <v>54.701799999999999</v>
      </c>
      <c r="C488" s="6">
        <v>8.6667000000000005</v>
      </c>
      <c r="D488" s="6">
        <v>6764.59</v>
      </c>
      <c r="E488" s="6">
        <v>0.94</v>
      </c>
      <c r="F488" s="6">
        <f t="shared" si="49"/>
        <v>1.0444444444444444E-2</v>
      </c>
      <c r="G488">
        <f t="shared" si="50"/>
        <v>-2.6845374910159618</v>
      </c>
      <c r="H488">
        <f t="shared" si="51"/>
        <v>-2.4898739873987328</v>
      </c>
      <c r="I488">
        <f t="shared" si="52"/>
        <v>-2.2821004337984241</v>
      </c>
      <c r="J488">
        <f t="shared" si="53"/>
        <v>-1.8962597844302871</v>
      </c>
      <c r="K488">
        <f t="shared" si="54"/>
        <v>-2.6949819354604063</v>
      </c>
      <c r="L488">
        <f t="shared" si="55"/>
        <v>-2.2925448782428686</v>
      </c>
    </row>
    <row r="489" spans="1:12" x14ac:dyDescent="0.25">
      <c r="A489" s="1">
        <v>40893</v>
      </c>
      <c r="B489" s="6">
        <v>54.852699999999999</v>
      </c>
      <c r="C489" s="6">
        <v>9.0355000000000008</v>
      </c>
      <c r="D489" s="6">
        <v>6785.09</v>
      </c>
      <c r="E489" s="6">
        <v>0.94</v>
      </c>
      <c r="F489" s="6">
        <f t="shared" si="49"/>
        <v>1.0444444444444444E-2</v>
      </c>
      <c r="G489">
        <f t="shared" si="50"/>
        <v>0.27585929530655307</v>
      </c>
      <c r="H489">
        <f t="shared" si="51"/>
        <v>4.2553682485836619</v>
      </c>
      <c r="I489">
        <f t="shared" si="52"/>
        <v>0.30304866961634036</v>
      </c>
      <c r="J489">
        <f t="shared" si="53"/>
        <v>0.1867528317195925</v>
      </c>
      <c r="K489">
        <f t="shared" si="54"/>
        <v>0.26541485086210864</v>
      </c>
      <c r="L489">
        <f t="shared" si="55"/>
        <v>0.29260422517189594</v>
      </c>
    </row>
    <row r="490" spans="1:12" x14ac:dyDescent="0.25">
      <c r="A490" s="1">
        <v>40896</v>
      </c>
      <c r="B490" s="6">
        <v>54.701799999999999</v>
      </c>
      <c r="C490" s="6">
        <v>8.9618000000000002</v>
      </c>
      <c r="D490" s="6">
        <v>6633.33</v>
      </c>
      <c r="E490" s="6">
        <v>0.94</v>
      </c>
      <c r="F490" s="6">
        <f t="shared" si="49"/>
        <v>1.0444444444444444E-2</v>
      </c>
      <c r="G490">
        <f t="shared" si="50"/>
        <v>-0.27510040526719748</v>
      </c>
      <c r="H490">
        <f t="shared" si="51"/>
        <v>-0.81567151790161629</v>
      </c>
      <c r="I490">
        <f t="shared" si="52"/>
        <v>-2.2366689314364323</v>
      </c>
      <c r="J490">
        <f t="shared" si="53"/>
        <v>-0.20091682546542688</v>
      </c>
      <c r="K490">
        <f t="shared" si="54"/>
        <v>-0.2855448497116419</v>
      </c>
      <c r="L490">
        <f t="shared" si="55"/>
        <v>-2.2471133758808768</v>
      </c>
    </row>
    <row r="491" spans="1:12" x14ac:dyDescent="0.25">
      <c r="A491" s="1">
        <v>40897</v>
      </c>
      <c r="B491" s="6">
        <v>54.928100000000001</v>
      </c>
      <c r="C491" s="6">
        <v>8.6667000000000005</v>
      </c>
      <c r="D491" s="6">
        <v>6662.64</v>
      </c>
      <c r="E491" s="6">
        <v>0.94</v>
      </c>
      <c r="F491" s="6">
        <f t="shared" si="49"/>
        <v>1.0444444444444444E-2</v>
      </c>
      <c r="G491">
        <f t="shared" si="50"/>
        <v>0.41369753828942002</v>
      </c>
      <c r="H491">
        <f t="shared" si="51"/>
        <v>-3.2928652726014827</v>
      </c>
      <c r="I491">
        <f t="shared" si="52"/>
        <v>0.44185951852237715</v>
      </c>
      <c r="J491">
        <f t="shared" si="53"/>
        <v>0.28373942501944244</v>
      </c>
      <c r="K491">
        <f t="shared" si="54"/>
        <v>0.4032530938449756</v>
      </c>
      <c r="L491">
        <f t="shared" si="55"/>
        <v>0.43141507407793273</v>
      </c>
    </row>
    <row r="492" spans="1:12" x14ac:dyDescent="0.25">
      <c r="A492" s="1">
        <v>40898</v>
      </c>
      <c r="B492" s="6">
        <v>57.342500000000001</v>
      </c>
      <c r="C492" s="6">
        <v>9.1829999999999998</v>
      </c>
      <c r="D492" s="6">
        <v>6966.48</v>
      </c>
      <c r="E492" s="6">
        <v>0.94</v>
      </c>
      <c r="F492" s="6">
        <f t="shared" si="49"/>
        <v>1.0444444444444444E-2</v>
      </c>
      <c r="G492">
        <f t="shared" si="50"/>
        <v>4.3955643832573861</v>
      </c>
      <c r="H492">
        <f t="shared" si="51"/>
        <v>5.9572847796739161</v>
      </c>
      <c r="I492">
        <f t="shared" si="52"/>
        <v>4.560354454090259</v>
      </c>
      <c r="J492">
        <f t="shared" si="53"/>
        <v>3.0854850937818274</v>
      </c>
      <c r="K492">
        <f t="shared" si="54"/>
        <v>4.3851199388129416</v>
      </c>
      <c r="L492">
        <f t="shared" si="55"/>
        <v>4.5499100096458145</v>
      </c>
    </row>
    <row r="493" spans="1:12" x14ac:dyDescent="0.25">
      <c r="A493" s="1">
        <v>40899</v>
      </c>
      <c r="B493" s="6">
        <v>56.588000000000001</v>
      </c>
      <c r="C493" s="6">
        <v>9.1092999999999993</v>
      </c>
      <c r="D493" s="6">
        <v>6966.35</v>
      </c>
      <c r="E493" s="6">
        <v>0.94</v>
      </c>
      <c r="F493" s="6">
        <f t="shared" si="49"/>
        <v>1.0444444444444444E-2</v>
      </c>
      <c r="G493">
        <f t="shared" si="50"/>
        <v>-1.3157780006103679</v>
      </c>
      <c r="H493">
        <f t="shared" si="51"/>
        <v>-0.80256996624197474</v>
      </c>
      <c r="I493">
        <f t="shared" si="52"/>
        <v>-1.8660787083175385E-3</v>
      </c>
      <c r="J493">
        <f t="shared" si="53"/>
        <v>-0.93316480332422402</v>
      </c>
      <c r="K493">
        <f t="shared" si="54"/>
        <v>-1.3262224450548123</v>
      </c>
      <c r="L493">
        <f t="shared" si="55"/>
        <v>-1.2310523152761982E-2</v>
      </c>
    </row>
    <row r="494" spans="1:12" x14ac:dyDescent="0.25">
      <c r="A494" s="1">
        <v>40900</v>
      </c>
      <c r="B494" s="6">
        <v>56.889800000000001</v>
      </c>
      <c r="C494" s="6">
        <v>9.3673999999999999</v>
      </c>
      <c r="D494" s="6">
        <v>7110.73</v>
      </c>
      <c r="E494" s="6">
        <v>0.94</v>
      </c>
      <c r="F494" s="6">
        <f t="shared" si="49"/>
        <v>1.0444444444444444E-2</v>
      </c>
      <c r="G494">
        <f t="shared" si="50"/>
        <v>0.53332862090902677</v>
      </c>
      <c r="H494">
        <f t="shared" si="51"/>
        <v>2.8333680963411094</v>
      </c>
      <c r="I494">
        <f t="shared" si="52"/>
        <v>2.0725343974965251</v>
      </c>
      <c r="J494">
        <f t="shared" si="53"/>
        <v>0.36791498402951139</v>
      </c>
      <c r="K494">
        <f t="shared" si="54"/>
        <v>0.5228841764645823</v>
      </c>
      <c r="L494">
        <f t="shared" si="55"/>
        <v>2.0620899530520806</v>
      </c>
    </row>
    <row r="495" spans="1:12" x14ac:dyDescent="0.25">
      <c r="A495" s="1">
        <v>40903</v>
      </c>
      <c r="B495" s="6">
        <v>56.588000000000001</v>
      </c>
      <c r="C495" s="6">
        <v>9.2199000000000009</v>
      </c>
      <c r="D495" s="6">
        <v>7092.58</v>
      </c>
      <c r="E495" s="6">
        <v>0.94</v>
      </c>
      <c r="F495" s="6">
        <f t="shared" si="49"/>
        <v>1.0444444444444444E-2</v>
      </c>
      <c r="G495">
        <f t="shared" si="50"/>
        <v>-0.53049931622188873</v>
      </c>
      <c r="H495">
        <f t="shared" si="51"/>
        <v>-1.5746098170249918</v>
      </c>
      <c r="I495">
        <f t="shared" si="52"/>
        <v>-0.2552480547004265</v>
      </c>
      <c r="J495">
        <f t="shared" si="53"/>
        <v>-0.38062217987179531</v>
      </c>
      <c r="K495">
        <f t="shared" si="54"/>
        <v>-0.54094376066633321</v>
      </c>
      <c r="L495">
        <f t="shared" si="55"/>
        <v>-0.26569249914487092</v>
      </c>
    </row>
    <row r="496" spans="1:12" x14ac:dyDescent="0.25">
      <c r="A496" s="1">
        <v>40904</v>
      </c>
      <c r="B496" s="6">
        <v>56.965299999999999</v>
      </c>
      <c r="C496" s="6">
        <v>9.2936999999999994</v>
      </c>
      <c r="D496" s="6">
        <v>7085.03</v>
      </c>
      <c r="E496" s="6">
        <v>0.94</v>
      </c>
      <c r="F496" s="6">
        <f t="shared" si="49"/>
        <v>1.0444444444444444E-2</v>
      </c>
      <c r="G496">
        <f t="shared" si="50"/>
        <v>0.6667491340920304</v>
      </c>
      <c r="H496">
        <f t="shared" si="51"/>
        <v>0.80044252106854219</v>
      </c>
      <c r="I496">
        <f t="shared" si="52"/>
        <v>-0.10644927515798457</v>
      </c>
      <c r="J496">
        <f t="shared" si="53"/>
        <v>0.4617931470843441</v>
      </c>
      <c r="K496">
        <f t="shared" si="54"/>
        <v>0.65630468964758593</v>
      </c>
      <c r="L496">
        <f t="shared" si="55"/>
        <v>-0.116893719602429</v>
      </c>
    </row>
    <row r="497" spans="1:12" x14ac:dyDescent="0.25">
      <c r="A497" s="1">
        <v>40905</v>
      </c>
      <c r="B497" s="6">
        <v>57.116199999999999</v>
      </c>
      <c r="C497" s="6">
        <v>9.3306000000000004</v>
      </c>
      <c r="D497" s="6">
        <v>7056.67</v>
      </c>
      <c r="E497" s="6">
        <v>0.94</v>
      </c>
      <c r="F497" s="6">
        <f t="shared" si="49"/>
        <v>1.0444444444444444E-2</v>
      </c>
      <c r="G497">
        <f t="shared" si="50"/>
        <v>0.26489810463562913</v>
      </c>
      <c r="H497">
        <f t="shared" si="51"/>
        <v>0.39704315826851572</v>
      </c>
      <c r="I497">
        <f t="shared" si="52"/>
        <v>-0.40028059161358065</v>
      </c>
      <c r="J497">
        <f t="shared" si="53"/>
        <v>0.17904025124354023</v>
      </c>
      <c r="K497">
        <f t="shared" si="54"/>
        <v>0.25445366019118471</v>
      </c>
      <c r="L497">
        <f t="shared" si="55"/>
        <v>-0.41072503605802507</v>
      </c>
    </row>
    <row r="498" spans="1:12" x14ac:dyDescent="0.25">
      <c r="A498" s="1">
        <v>40906</v>
      </c>
      <c r="B498" s="6">
        <v>57.191600000000001</v>
      </c>
      <c r="C498" s="6">
        <v>9.3673999999999999</v>
      </c>
      <c r="D498" s="6">
        <v>7074.82</v>
      </c>
      <c r="E498" s="6">
        <v>0.94</v>
      </c>
      <c r="F498" s="6">
        <f t="shared" si="49"/>
        <v>1.0444444444444444E-2</v>
      </c>
      <c r="G498">
        <f t="shared" si="50"/>
        <v>0.13201158340366115</v>
      </c>
      <c r="H498">
        <f t="shared" si="51"/>
        <v>0.39440121749940515</v>
      </c>
      <c r="I498">
        <f t="shared" si="52"/>
        <v>0.2572034684915071</v>
      </c>
      <c r="J498">
        <f t="shared" si="53"/>
        <v>8.5537818893479473E-2</v>
      </c>
      <c r="K498">
        <f t="shared" si="54"/>
        <v>0.1215671389592167</v>
      </c>
      <c r="L498">
        <f t="shared" si="55"/>
        <v>0.24675902404706265</v>
      </c>
    </row>
    <row r="499" spans="1:12" x14ac:dyDescent="0.25">
      <c r="A499" s="1">
        <v>40907</v>
      </c>
      <c r="B499" s="6">
        <v>57.191600000000001</v>
      </c>
      <c r="C499" s="6">
        <v>9.3673999999999999</v>
      </c>
      <c r="D499" s="6">
        <v>7072.08</v>
      </c>
      <c r="E499" s="6">
        <v>0.94</v>
      </c>
      <c r="F499" s="6">
        <f t="shared" si="49"/>
        <v>1.0444444444444444E-2</v>
      </c>
      <c r="G499">
        <f t="shared" si="50"/>
        <v>0</v>
      </c>
      <c r="H499">
        <f t="shared" si="51"/>
        <v>0</v>
      </c>
      <c r="I499">
        <f t="shared" si="52"/>
        <v>-3.8728900523261112E-2</v>
      </c>
      <c r="J499">
        <f t="shared" si="53"/>
        <v>-7.3489843141871791E-3</v>
      </c>
      <c r="K499">
        <f t="shared" si="54"/>
        <v>-1.0444444444444444E-2</v>
      </c>
      <c r="L499">
        <f t="shared" si="55"/>
        <v>-4.9173344967705555E-2</v>
      </c>
    </row>
    <row r="500" spans="1:12" x14ac:dyDescent="0.25">
      <c r="A500" s="1">
        <v>40910</v>
      </c>
      <c r="B500" s="6">
        <v>56.588000000000001</v>
      </c>
      <c r="C500" s="6">
        <v>9.2936999999999994</v>
      </c>
      <c r="D500" s="6">
        <v>6952.21</v>
      </c>
      <c r="E500" s="6">
        <v>0.94</v>
      </c>
      <c r="F500" s="6">
        <f t="shared" si="49"/>
        <v>1.0444444444444444E-2</v>
      </c>
      <c r="G500">
        <f t="shared" si="50"/>
        <v>-1.0553997440183525</v>
      </c>
      <c r="H500">
        <f t="shared" si="51"/>
        <v>-0.78677114247283708</v>
      </c>
      <c r="I500">
        <f t="shared" si="52"/>
        <v>-1.6949751699641391</v>
      </c>
      <c r="J500">
        <f t="shared" si="53"/>
        <v>-0.7499558510789992</v>
      </c>
      <c r="K500">
        <f t="shared" si="54"/>
        <v>-1.0658441884627969</v>
      </c>
      <c r="L500">
        <f t="shared" si="55"/>
        <v>-1.7054196144085836</v>
      </c>
    </row>
    <row r="501" spans="1:12" x14ac:dyDescent="0.25">
      <c r="A501" s="1">
        <v>40911</v>
      </c>
      <c r="B501" s="6">
        <v>57.116199999999999</v>
      </c>
      <c r="C501" s="6">
        <v>9.4780999999999995</v>
      </c>
      <c r="D501" s="6">
        <v>7053.38</v>
      </c>
      <c r="E501" s="6">
        <v>0.94</v>
      </c>
      <c r="F501" s="6">
        <f t="shared" si="49"/>
        <v>1.0444444444444444E-2</v>
      </c>
      <c r="G501">
        <f t="shared" si="50"/>
        <v>0.93341344454654385</v>
      </c>
      <c r="H501">
        <f t="shared" si="51"/>
        <v>1.9841397936236389</v>
      </c>
      <c r="I501">
        <f t="shared" si="52"/>
        <v>1.4552207139887903</v>
      </c>
      <c r="J501">
        <f t="shared" si="53"/>
        <v>0.64942513125619339</v>
      </c>
      <c r="K501">
        <f t="shared" si="54"/>
        <v>0.92296900010209937</v>
      </c>
      <c r="L501">
        <f t="shared" si="55"/>
        <v>1.4447762695443458</v>
      </c>
    </row>
    <row r="502" spans="1:12" x14ac:dyDescent="0.25">
      <c r="A502" s="1">
        <v>40912</v>
      </c>
      <c r="B502" s="6">
        <v>57.191600000000001</v>
      </c>
      <c r="C502" s="6">
        <v>9.5886999999999993</v>
      </c>
      <c r="D502" s="6">
        <v>7082.97</v>
      </c>
      <c r="E502" s="6">
        <v>0.94</v>
      </c>
      <c r="F502" s="6">
        <f t="shared" si="49"/>
        <v>1.0444444444444444E-2</v>
      </c>
      <c r="G502">
        <f t="shared" si="50"/>
        <v>0.13201158340366115</v>
      </c>
      <c r="H502">
        <f t="shared" si="51"/>
        <v>1.1669005391375888</v>
      </c>
      <c r="I502">
        <f t="shared" si="52"/>
        <v>0.41951518279179834</v>
      </c>
      <c r="J502">
        <f t="shared" si="53"/>
        <v>8.5537818893479473E-2</v>
      </c>
      <c r="K502">
        <f t="shared" si="54"/>
        <v>0.1215671389592167</v>
      </c>
      <c r="L502">
        <f t="shared" si="55"/>
        <v>0.40907073834735391</v>
      </c>
    </row>
    <row r="503" spans="1:12" x14ac:dyDescent="0.25">
      <c r="A503" s="1">
        <v>40913</v>
      </c>
      <c r="B503" s="6">
        <v>57.342500000000001</v>
      </c>
      <c r="C503" s="6">
        <v>9.6994000000000007</v>
      </c>
      <c r="D503" s="6">
        <v>7130.86</v>
      </c>
      <c r="E503" s="6">
        <v>0.94</v>
      </c>
      <c r="F503" s="6">
        <f t="shared" si="49"/>
        <v>1.0444444444444444E-2</v>
      </c>
      <c r="G503">
        <f t="shared" si="50"/>
        <v>0.26384993600458811</v>
      </c>
      <c r="H503">
        <f t="shared" si="51"/>
        <v>1.1544839237853031</v>
      </c>
      <c r="I503">
        <f t="shared" si="52"/>
        <v>0.67612879907721501</v>
      </c>
      <c r="J503">
        <f t="shared" si="53"/>
        <v>0.17830273237701585</v>
      </c>
      <c r="K503">
        <f t="shared" si="54"/>
        <v>0.25340549156014369</v>
      </c>
      <c r="L503">
        <f t="shared" si="55"/>
        <v>0.66568435463277054</v>
      </c>
    </row>
    <row r="504" spans="1:12" x14ac:dyDescent="0.25">
      <c r="A504" s="1">
        <v>40914</v>
      </c>
      <c r="B504" s="6">
        <v>57.040700000000001</v>
      </c>
      <c r="C504" s="6">
        <v>9.5886999999999993</v>
      </c>
      <c r="D504" s="6">
        <v>7120.51</v>
      </c>
      <c r="E504" s="6">
        <v>0.94</v>
      </c>
      <c r="F504" s="6">
        <f t="shared" si="49"/>
        <v>1.0444444444444444E-2</v>
      </c>
      <c r="G504">
        <f t="shared" si="50"/>
        <v>-0.52631120024414713</v>
      </c>
      <c r="H504">
        <f t="shared" si="51"/>
        <v>-1.1413077097552564</v>
      </c>
      <c r="I504">
        <f t="shared" si="52"/>
        <v>-0.14514378349875687</v>
      </c>
      <c r="J504">
        <f t="shared" si="53"/>
        <v>-0.37767531191820192</v>
      </c>
      <c r="K504">
        <f t="shared" si="54"/>
        <v>-0.5367556446885916</v>
      </c>
      <c r="L504">
        <f t="shared" si="55"/>
        <v>-0.15558822794320132</v>
      </c>
    </row>
    <row r="505" spans="1:12" x14ac:dyDescent="0.25">
      <c r="A505" s="1">
        <v>40917</v>
      </c>
      <c r="B505" s="6">
        <v>57.040700000000001</v>
      </c>
      <c r="C505" s="6">
        <v>9.5150000000000006</v>
      </c>
      <c r="D505" s="6">
        <v>7093.04</v>
      </c>
      <c r="E505" s="6">
        <v>0.94</v>
      </c>
      <c r="F505" s="6">
        <f t="shared" si="49"/>
        <v>1.0444444444444444E-2</v>
      </c>
      <c r="G505">
        <f t="shared" si="50"/>
        <v>0</v>
      </c>
      <c r="H505">
        <f t="shared" si="51"/>
        <v>-0.7686130549500847</v>
      </c>
      <c r="I505">
        <f t="shared" si="52"/>
        <v>-0.38578697312411969</v>
      </c>
      <c r="J505">
        <f t="shared" si="53"/>
        <v>-7.3489843141871791E-3</v>
      </c>
      <c r="K505">
        <f t="shared" si="54"/>
        <v>-1.0444444444444444E-2</v>
      </c>
      <c r="L505">
        <f t="shared" si="55"/>
        <v>-0.39623141756856411</v>
      </c>
    </row>
    <row r="506" spans="1:12" x14ac:dyDescent="0.25">
      <c r="A506" s="1">
        <v>40918</v>
      </c>
      <c r="B506" s="6">
        <v>57.719799999999999</v>
      </c>
      <c r="C506" s="6">
        <v>9.81</v>
      </c>
      <c r="D506" s="6">
        <v>7178.87</v>
      </c>
      <c r="E506" s="6">
        <v>0.94</v>
      </c>
      <c r="F506" s="6">
        <f t="shared" si="49"/>
        <v>1.0444444444444444E-2</v>
      </c>
      <c r="G506">
        <f t="shared" si="50"/>
        <v>1.1905534118620533</v>
      </c>
      <c r="H506">
        <f t="shared" si="51"/>
        <v>3.1003678402522326</v>
      </c>
      <c r="I506">
        <f t="shared" si="52"/>
        <v>1.2100594385482095</v>
      </c>
      <c r="J506">
        <f t="shared" si="53"/>
        <v>0.83035553846013543</v>
      </c>
      <c r="K506">
        <f t="shared" si="54"/>
        <v>1.1801089674176088</v>
      </c>
      <c r="L506">
        <f t="shared" si="55"/>
        <v>1.199614994103765</v>
      </c>
    </row>
    <row r="507" spans="1:12" x14ac:dyDescent="0.25">
      <c r="A507" s="1">
        <v>40919</v>
      </c>
      <c r="B507" s="6">
        <v>57.719799999999999</v>
      </c>
      <c r="C507" s="6">
        <v>9.9206000000000003</v>
      </c>
      <c r="D507" s="6">
        <v>7188.21</v>
      </c>
      <c r="E507" s="6">
        <v>0.94</v>
      </c>
      <c r="F507" s="6">
        <f t="shared" si="49"/>
        <v>1.0444444444444444E-2</v>
      </c>
      <c r="G507">
        <f t="shared" si="50"/>
        <v>0</v>
      </c>
      <c r="H507">
        <f t="shared" si="51"/>
        <v>1.1274209989806301</v>
      </c>
      <c r="I507">
        <f t="shared" si="52"/>
        <v>0.13010404144385043</v>
      </c>
      <c r="J507">
        <f t="shared" si="53"/>
        <v>-7.3489843141871791E-3</v>
      </c>
      <c r="K507">
        <f t="shared" si="54"/>
        <v>-1.0444444444444444E-2</v>
      </c>
      <c r="L507">
        <f t="shared" si="55"/>
        <v>0.11965959699940598</v>
      </c>
    </row>
    <row r="508" spans="1:12" x14ac:dyDescent="0.25">
      <c r="A508" s="1">
        <v>40920</v>
      </c>
      <c r="B508" s="6">
        <v>58.097000000000001</v>
      </c>
      <c r="C508" s="6">
        <v>10.2157</v>
      </c>
      <c r="D508" s="6">
        <v>7186.58</v>
      </c>
      <c r="E508" s="6">
        <v>0.94</v>
      </c>
      <c r="F508" s="6">
        <f t="shared" si="49"/>
        <v>1.0444444444444444E-2</v>
      </c>
      <c r="G508">
        <f t="shared" si="50"/>
        <v>0.65350191788606682</v>
      </c>
      <c r="H508">
        <f t="shared" si="51"/>
        <v>2.9746184706570133</v>
      </c>
      <c r="I508">
        <f t="shared" si="52"/>
        <v>-2.2676020873070055E-2</v>
      </c>
      <c r="J508">
        <f t="shared" si="53"/>
        <v>0.45247205924457334</v>
      </c>
      <c r="K508">
        <f t="shared" si="54"/>
        <v>0.64305747344162234</v>
      </c>
      <c r="L508">
        <f t="shared" si="55"/>
        <v>-3.3120465317514503E-2</v>
      </c>
    </row>
    <row r="509" spans="1:12" x14ac:dyDescent="0.25">
      <c r="A509" s="1">
        <v>40921</v>
      </c>
      <c r="B509" s="6">
        <v>58.474299999999999</v>
      </c>
      <c r="C509" s="6">
        <v>10.2157</v>
      </c>
      <c r="D509" s="6">
        <v>7181.54</v>
      </c>
      <c r="E509" s="6">
        <v>0.94</v>
      </c>
      <c r="F509" s="6">
        <f t="shared" si="49"/>
        <v>1.0444444444444444E-2</v>
      </c>
      <c r="G509">
        <f t="shared" si="50"/>
        <v>0.64943112381017642</v>
      </c>
      <c r="H509">
        <f t="shared" si="51"/>
        <v>0</v>
      </c>
      <c r="I509">
        <f t="shared" si="52"/>
        <v>-7.0130715862064624E-2</v>
      </c>
      <c r="J509">
        <f t="shared" si="53"/>
        <v>0.44960774204999843</v>
      </c>
      <c r="K509">
        <f t="shared" si="54"/>
        <v>0.63898667936573195</v>
      </c>
      <c r="L509">
        <f t="shared" si="55"/>
        <v>-8.0575160306509075E-2</v>
      </c>
    </row>
    <row r="510" spans="1:12" x14ac:dyDescent="0.25">
      <c r="A510" s="1">
        <v>40924</v>
      </c>
      <c r="B510" s="6">
        <v>56.814399999999999</v>
      </c>
      <c r="C510" s="6">
        <v>9.9206000000000003</v>
      </c>
      <c r="D510" s="6">
        <v>7103.62</v>
      </c>
      <c r="E510" s="6">
        <v>0.94</v>
      </c>
      <c r="F510" s="6">
        <f t="shared" si="49"/>
        <v>1.0444444444444444E-2</v>
      </c>
      <c r="G510">
        <f t="shared" si="50"/>
        <v>-2.8386829769659498</v>
      </c>
      <c r="H510">
        <f t="shared" si="51"/>
        <v>-2.8886909364996987</v>
      </c>
      <c r="I510">
        <f t="shared" si="52"/>
        <v>-1.0850040520556883</v>
      </c>
      <c r="J510">
        <f t="shared" si="53"/>
        <v>-2.0047205804424468</v>
      </c>
      <c r="K510">
        <f t="shared" si="54"/>
        <v>-2.8491274214103943</v>
      </c>
      <c r="L510">
        <f t="shared" si="55"/>
        <v>-1.0954484965001328</v>
      </c>
    </row>
    <row r="511" spans="1:12" x14ac:dyDescent="0.25">
      <c r="A511" s="1">
        <v>40925</v>
      </c>
      <c r="B511" s="6">
        <v>57.040700000000001</v>
      </c>
      <c r="C511" s="6">
        <v>10.4001</v>
      </c>
      <c r="D511" s="6">
        <v>7221.08</v>
      </c>
      <c r="E511" s="6">
        <v>0.94</v>
      </c>
      <c r="F511" s="6">
        <f t="shared" si="49"/>
        <v>1.0444444444444444E-2</v>
      </c>
      <c r="G511">
        <f t="shared" si="50"/>
        <v>0.39831451181390976</v>
      </c>
      <c r="H511">
        <f t="shared" si="51"/>
        <v>4.8333770134870857</v>
      </c>
      <c r="I511">
        <f t="shared" si="52"/>
        <v>1.6535231332757108</v>
      </c>
      <c r="J511">
        <f t="shared" si="53"/>
        <v>0.27291552520604606</v>
      </c>
      <c r="K511">
        <f t="shared" si="54"/>
        <v>0.38787006736946533</v>
      </c>
      <c r="L511">
        <f t="shared" si="55"/>
        <v>1.6430786888312663</v>
      </c>
    </row>
    <row r="512" spans="1:12" x14ac:dyDescent="0.25">
      <c r="A512" s="1">
        <v>40926</v>
      </c>
      <c r="B512" s="6">
        <v>57.870699999999999</v>
      </c>
      <c r="C512" s="6">
        <v>10.5107</v>
      </c>
      <c r="D512" s="6">
        <v>7233.69</v>
      </c>
      <c r="E512" s="6">
        <v>0.94</v>
      </c>
      <c r="F512" s="6">
        <f t="shared" si="49"/>
        <v>1.0444444444444444E-2</v>
      </c>
      <c r="G512">
        <f t="shared" si="50"/>
        <v>1.4551013574517815</v>
      </c>
      <c r="H512">
        <f t="shared" si="51"/>
        <v>1.0634513129681427</v>
      </c>
      <c r="I512">
        <f t="shared" si="52"/>
        <v>0.1746276180294315</v>
      </c>
      <c r="J512">
        <f t="shared" si="53"/>
        <v>1.0164983929537972</v>
      </c>
      <c r="K512">
        <f t="shared" si="54"/>
        <v>1.444656913007337</v>
      </c>
      <c r="L512">
        <f t="shared" si="55"/>
        <v>0.16418317358498705</v>
      </c>
    </row>
    <row r="513" spans="1:12" x14ac:dyDescent="0.25">
      <c r="A513" s="1">
        <v>40938</v>
      </c>
      <c r="B513" s="6">
        <v>59.3797</v>
      </c>
      <c r="C513" s="6">
        <v>11.211399999999999</v>
      </c>
      <c r="D513" s="6">
        <v>7407.41</v>
      </c>
      <c r="E513" s="6">
        <v>0.94</v>
      </c>
      <c r="F513" s="6">
        <f t="shared" si="49"/>
        <v>1.0444444444444444E-2</v>
      </c>
      <c r="G513">
        <f t="shared" si="50"/>
        <v>2.6075371474684088</v>
      </c>
      <c r="H513">
        <f t="shared" si="51"/>
        <v>6.6665398118108152</v>
      </c>
      <c r="I513">
        <f t="shared" si="52"/>
        <v>2.4015405691977438</v>
      </c>
      <c r="J513">
        <f t="shared" si="53"/>
        <v>1.827382359926786</v>
      </c>
      <c r="K513">
        <f t="shared" si="54"/>
        <v>2.5970927030239643</v>
      </c>
      <c r="L513">
        <f t="shared" si="55"/>
        <v>2.3910961247532994</v>
      </c>
    </row>
    <row r="514" spans="1:12" x14ac:dyDescent="0.25">
      <c r="A514" s="1">
        <v>40939</v>
      </c>
      <c r="B514" s="6">
        <v>59.2288</v>
      </c>
      <c r="C514" s="6">
        <v>11.432700000000001</v>
      </c>
      <c r="D514" s="6">
        <v>7517.08</v>
      </c>
      <c r="E514" s="6">
        <v>0.94</v>
      </c>
      <c r="F514" s="6">
        <f t="shared" si="49"/>
        <v>1.0444444444444444E-2</v>
      </c>
      <c r="G514">
        <f t="shared" si="50"/>
        <v>-0.25412725224276989</v>
      </c>
      <c r="H514">
        <f t="shared" si="51"/>
        <v>1.9738837254937045</v>
      </c>
      <c r="I514">
        <f t="shared" si="52"/>
        <v>1.4805444818094324</v>
      </c>
      <c r="J514">
        <f t="shared" si="53"/>
        <v>-0.18615956638712805</v>
      </c>
      <c r="K514">
        <f t="shared" si="54"/>
        <v>-0.26457169668721431</v>
      </c>
      <c r="L514">
        <f t="shared" si="55"/>
        <v>1.470100037364988</v>
      </c>
    </row>
    <row r="515" spans="1:12" x14ac:dyDescent="0.25">
      <c r="A515" s="1">
        <v>40940</v>
      </c>
      <c r="B515" s="6">
        <v>58.097000000000001</v>
      </c>
      <c r="C515" s="6">
        <v>11.4696</v>
      </c>
      <c r="D515" s="6">
        <v>7549.21</v>
      </c>
      <c r="E515" s="6">
        <v>0.94</v>
      </c>
      <c r="F515" s="6">
        <f t="shared" ref="F515:F578" si="56">E515/90</f>
        <v>1.0444444444444444E-2</v>
      </c>
      <c r="G515">
        <f t="shared" si="50"/>
        <v>-1.9108946998757335</v>
      </c>
      <c r="H515">
        <f t="shared" si="51"/>
        <v>0.32275840352671953</v>
      </c>
      <c r="I515">
        <f t="shared" si="52"/>
        <v>0.42742660714000796</v>
      </c>
      <c r="J515">
        <f t="shared" si="53"/>
        <v>-1.3519044798360134</v>
      </c>
      <c r="K515">
        <f t="shared" si="54"/>
        <v>-1.9213391443201779</v>
      </c>
      <c r="L515">
        <f t="shared" si="55"/>
        <v>0.41698216269556354</v>
      </c>
    </row>
    <row r="516" spans="1:12" x14ac:dyDescent="0.25">
      <c r="A516" s="1">
        <v>40941</v>
      </c>
      <c r="B516" s="6">
        <v>57.946100000000001</v>
      </c>
      <c r="C516" s="6">
        <v>11.2852</v>
      </c>
      <c r="D516" s="6">
        <v>7652.46</v>
      </c>
      <c r="E516" s="6">
        <v>0.94</v>
      </c>
      <c r="F516" s="6">
        <f t="shared" si="56"/>
        <v>1.0444444444444444E-2</v>
      </c>
      <c r="G516">
        <f t="shared" ref="G516:G579" si="57">100*(B516-B515)/B515</f>
        <v>-0.25973802433860615</v>
      </c>
      <c r="H516">
        <f t="shared" ref="H516:H579" si="58">100*(C516-C515)/C515</f>
        <v>-1.6077282555625316</v>
      </c>
      <c r="I516">
        <f t="shared" ref="I516:I579" si="59">100*(D516-D515)/D515</f>
        <v>1.3676927784496655</v>
      </c>
      <c r="J516">
        <f t="shared" ref="J516:J579" si="60">(G516-F516)/$N$3</f>
        <v>-0.19010745239888355</v>
      </c>
      <c r="K516">
        <f t="shared" ref="K516:K579" si="61">G516-F516</f>
        <v>-0.27018246878305058</v>
      </c>
      <c r="L516">
        <f t="shared" ref="L516:L579" si="62">I516-F516</f>
        <v>1.357248334005221</v>
      </c>
    </row>
    <row r="517" spans="1:12" x14ac:dyDescent="0.25">
      <c r="A517" s="1">
        <v>40942</v>
      </c>
      <c r="B517" s="6">
        <v>57.493400000000001</v>
      </c>
      <c r="C517" s="6">
        <v>11.3589</v>
      </c>
      <c r="D517" s="6">
        <v>7674.99</v>
      </c>
      <c r="E517" s="6">
        <v>0.94</v>
      </c>
      <c r="F517" s="6">
        <f t="shared" si="56"/>
        <v>1.0444444444444444E-2</v>
      </c>
      <c r="G517">
        <f t="shared" si="57"/>
        <v>-0.7812432588215602</v>
      </c>
      <c r="H517">
        <f t="shared" si="58"/>
        <v>0.65306773473222046</v>
      </c>
      <c r="I517">
        <f t="shared" si="59"/>
        <v>0.29441512925255076</v>
      </c>
      <c r="J517">
        <f t="shared" si="60"/>
        <v>-0.55705217678011365</v>
      </c>
      <c r="K517">
        <f t="shared" si="61"/>
        <v>-0.79168770326600468</v>
      </c>
      <c r="L517">
        <f t="shared" si="62"/>
        <v>0.28397068480810633</v>
      </c>
    </row>
    <row r="518" spans="1:12" x14ac:dyDescent="0.25">
      <c r="A518" s="1">
        <v>40943</v>
      </c>
      <c r="B518" s="6">
        <v>57.719799999999999</v>
      </c>
      <c r="C518" s="6">
        <v>11.2852</v>
      </c>
      <c r="D518" s="6">
        <v>7741.24</v>
      </c>
      <c r="E518" s="6">
        <v>0.94</v>
      </c>
      <c r="F518" s="6">
        <f t="shared" si="56"/>
        <v>1.0444444444444444E-2</v>
      </c>
      <c r="G518">
        <f t="shared" si="57"/>
        <v>0.3937843300274434</v>
      </c>
      <c r="H518">
        <f t="shared" si="58"/>
        <v>-0.64883043252428085</v>
      </c>
      <c r="I518">
        <f t="shared" si="59"/>
        <v>0.86319330709225683</v>
      </c>
      <c r="J518">
        <f t="shared" si="60"/>
        <v>0.26972797080176497</v>
      </c>
      <c r="K518">
        <f t="shared" si="61"/>
        <v>0.38333988558299897</v>
      </c>
      <c r="L518">
        <f t="shared" si="62"/>
        <v>0.85274886264781236</v>
      </c>
    </row>
    <row r="519" spans="1:12" x14ac:dyDescent="0.25">
      <c r="A519" s="1">
        <v>40945</v>
      </c>
      <c r="B519" s="6">
        <v>58.398800000000001</v>
      </c>
      <c r="C519" s="6">
        <v>11.2852</v>
      </c>
      <c r="D519" s="6">
        <v>7687.98</v>
      </c>
      <c r="E519" s="6">
        <v>0.94</v>
      </c>
      <c r="F519" s="6">
        <f t="shared" si="56"/>
        <v>1.0444444444444444E-2</v>
      </c>
      <c r="G519">
        <f t="shared" si="57"/>
        <v>1.1763727525043435</v>
      </c>
      <c r="H519">
        <f t="shared" si="58"/>
        <v>0</v>
      </c>
      <c r="I519">
        <f t="shared" si="59"/>
        <v>-0.68800347231193215</v>
      </c>
      <c r="J519">
        <f t="shared" si="60"/>
        <v>0.82037765560203146</v>
      </c>
      <c r="K519">
        <f t="shared" si="61"/>
        <v>1.165928308059899</v>
      </c>
      <c r="L519">
        <f t="shared" si="62"/>
        <v>-0.69844791675637663</v>
      </c>
    </row>
    <row r="520" spans="1:12" x14ac:dyDescent="0.25">
      <c r="A520" s="1">
        <v>40946</v>
      </c>
      <c r="B520" s="6">
        <v>58.398800000000001</v>
      </c>
      <c r="C520" s="6">
        <v>11.322100000000001</v>
      </c>
      <c r="D520" s="6">
        <v>7707.44</v>
      </c>
      <c r="E520" s="6">
        <v>0.94</v>
      </c>
      <c r="F520" s="6">
        <f t="shared" si="56"/>
        <v>1.0444444444444444E-2</v>
      </c>
      <c r="G520">
        <f t="shared" si="57"/>
        <v>0</v>
      </c>
      <c r="H520">
        <f t="shared" si="58"/>
        <v>0.32697692553079294</v>
      </c>
      <c r="I520">
        <f t="shared" si="59"/>
        <v>0.25312240666599078</v>
      </c>
      <c r="J520">
        <f t="shared" si="60"/>
        <v>-7.3489843141871791E-3</v>
      </c>
      <c r="K520">
        <f t="shared" si="61"/>
        <v>-1.0444444444444444E-2</v>
      </c>
      <c r="L520">
        <f t="shared" si="62"/>
        <v>0.24267796222154633</v>
      </c>
    </row>
    <row r="521" spans="1:12" x14ac:dyDescent="0.25">
      <c r="A521" s="1">
        <v>40947</v>
      </c>
      <c r="B521" s="6">
        <v>58.474299999999999</v>
      </c>
      <c r="C521" s="6">
        <v>11.3589</v>
      </c>
      <c r="D521" s="6">
        <v>7869.91</v>
      </c>
      <c r="E521" s="6">
        <v>0.94</v>
      </c>
      <c r="F521" s="6">
        <f t="shared" si="56"/>
        <v>1.0444444444444444E-2</v>
      </c>
      <c r="G521">
        <f t="shared" si="57"/>
        <v>0.12928347842763571</v>
      </c>
      <c r="H521">
        <f t="shared" si="58"/>
        <v>0.32502804250094502</v>
      </c>
      <c r="I521">
        <f t="shared" si="59"/>
        <v>2.1079632147639198</v>
      </c>
      <c r="J521">
        <f t="shared" si="60"/>
        <v>8.3618252871283702E-2</v>
      </c>
      <c r="K521">
        <f t="shared" si="61"/>
        <v>0.11883903398319126</v>
      </c>
      <c r="L521">
        <f t="shared" si="62"/>
        <v>2.0975187703194753</v>
      </c>
    </row>
    <row r="522" spans="1:12" x14ac:dyDescent="0.25">
      <c r="A522" s="1">
        <v>40948</v>
      </c>
      <c r="B522" s="6">
        <v>58.851500000000001</v>
      </c>
      <c r="C522" s="6">
        <v>11.137700000000001</v>
      </c>
      <c r="D522" s="6">
        <v>7910.78</v>
      </c>
      <c r="E522" s="6">
        <v>0.94</v>
      </c>
      <c r="F522" s="6">
        <f t="shared" si="56"/>
        <v>1.0444444444444444E-2</v>
      </c>
      <c r="G522">
        <f t="shared" si="57"/>
        <v>0.64506971438734961</v>
      </c>
      <c r="H522">
        <f t="shared" si="58"/>
        <v>-1.9473716645097643</v>
      </c>
      <c r="I522">
        <f t="shared" si="59"/>
        <v>0.51931978891753394</v>
      </c>
      <c r="J522">
        <f t="shared" si="60"/>
        <v>0.44653894029547797</v>
      </c>
      <c r="K522">
        <f t="shared" si="61"/>
        <v>0.63462526994290513</v>
      </c>
      <c r="L522">
        <f t="shared" si="62"/>
        <v>0.50887534447308946</v>
      </c>
    </row>
    <row r="523" spans="1:12" x14ac:dyDescent="0.25">
      <c r="A523" s="1">
        <v>40949</v>
      </c>
      <c r="B523" s="6">
        <v>58.021599999999999</v>
      </c>
      <c r="C523" s="6">
        <v>11.0639</v>
      </c>
      <c r="D523" s="6">
        <v>7862.27</v>
      </c>
      <c r="E523" s="6">
        <v>0.94</v>
      </c>
      <c r="F523" s="6">
        <f t="shared" si="56"/>
        <v>1.0444444444444444E-2</v>
      </c>
      <c r="G523">
        <f t="shared" si="57"/>
        <v>-1.410159469172412</v>
      </c>
      <c r="H523">
        <f t="shared" si="58"/>
        <v>-0.66261436382736383</v>
      </c>
      <c r="I523">
        <f t="shared" si="59"/>
        <v>-0.61321386765905905</v>
      </c>
      <c r="J523">
        <f t="shared" si="60"/>
        <v>-0.99957407341051885</v>
      </c>
      <c r="K523">
        <f t="shared" si="61"/>
        <v>-1.4206039136168565</v>
      </c>
      <c r="L523">
        <f t="shared" si="62"/>
        <v>-0.62365831210350353</v>
      </c>
    </row>
    <row r="524" spans="1:12" x14ac:dyDescent="0.25">
      <c r="A524" s="1">
        <v>40952</v>
      </c>
      <c r="B524" s="6">
        <v>57.795200000000001</v>
      </c>
      <c r="C524" s="6">
        <v>11.026999999999999</v>
      </c>
      <c r="D524" s="6">
        <v>7912.91</v>
      </c>
      <c r="E524" s="6">
        <v>0.94</v>
      </c>
      <c r="F524" s="6">
        <f t="shared" si="56"/>
        <v>1.0444444444444444E-2</v>
      </c>
      <c r="G524">
        <f t="shared" si="57"/>
        <v>-0.39019951190590774</v>
      </c>
      <c r="H524">
        <f t="shared" si="58"/>
        <v>-0.33351711421832303</v>
      </c>
      <c r="I524">
        <f t="shared" si="59"/>
        <v>0.6440887936944345</v>
      </c>
      <c r="J524">
        <f t="shared" si="60"/>
        <v>-0.2819035676290817</v>
      </c>
      <c r="K524">
        <f t="shared" si="61"/>
        <v>-0.40064395635035216</v>
      </c>
      <c r="L524">
        <f t="shared" si="62"/>
        <v>0.63364434924999002</v>
      </c>
    </row>
    <row r="525" spans="1:12" x14ac:dyDescent="0.25">
      <c r="A525" s="1">
        <v>40953</v>
      </c>
      <c r="B525" s="6">
        <v>58.323399999999999</v>
      </c>
      <c r="C525" s="6">
        <v>10.8795</v>
      </c>
      <c r="D525" s="6">
        <v>7884.08</v>
      </c>
      <c r="E525" s="6">
        <v>0.94</v>
      </c>
      <c r="F525" s="6">
        <f t="shared" si="56"/>
        <v>1.0444444444444444E-2</v>
      </c>
      <c r="G525">
        <f t="shared" si="57"/>
        <v>0.9139167266485767</v>
      </c>
      <c r="H525">
        <f t="shared" si="58"/>
        <v>-1.3376258275142749</v>
      </c>
      <c r="I525">
        <f t="shared" si="59"/>
        <v>-0.36434131059243602</v>
      </c>
      <c r="J525">
        <f t="shared" si="60"/>
        <v>0.63570673055308025</v>
      </c>
      <c r="K525">
        <f t="shared" si="61"/>
        <v>0.90347228220413223</v>
      </c>
      <c r="L525">
        <f t="shared" si="62"/>
        <v>-0.37478575503688044</v>
      </c>
    </row>
    <row r="526" spans="1:12" x14ac:dyDescent="0.25">
      <c r="A526" s="1">
        <v>40954</v>
      </c>
      <c r="B526" s="6">
        <v>59.2288</v>
      </c>
      <c r="C526" s="6">
        <v>11.2483</v>
      </c>
      <c r="D526" s="6">
        <v>8005.24</v>
      </c>
      <c r="E526" s="6">
        <v>0.94</v>
      </c>
      <c r="F526" s="6">
        <f t="shared" si="56"/>
        <v>1.0444444444444444E-2</v>
      </c>
      <c r="G526">
        <f t="shared" si="57"/>
        <v>1.5523786336187537</v>
      </c>
      <c r="H526">
        <f t="shared" si="58"/>
        <v>3.3898616664368788</v>
      </c>
      <c r="I526">
        <f t="shared" si="59"/>
        <v>1.5367677649135962</v>
      </c>
      <c r="J526">
        <f t="shared" si="60"/>
        <v>1.0849452290187056</v>
      </c>
      <c r="K526">
        <f t="shared" si="61"/>
        <v>1.5419341891743092</v>
      </c>
      <c r="L526">
        <f t="shared" si="62"/>
        <v>1.5263233204691518</v>
      </c>
    </row>
    <row r="527" spans="1:12" x14ac:dyDescent="0.25">
      <c r="A527" s="1">
        <v>40955</v>
      </c>
      <c r="B527" s="6">
        <v>59.2288</v>
      </c>
      <c r="C527" s="6">
        <v>11.137700000000001</v>
      </c>
      <c r="D527" s="6">
        <v>7869.7</v>
      </c>
      <c r="E527" s="6">
        <v>0.94</v>
      </c>
      <c r="F527" s="6">
        <f t="shared" si="56"/>
        <v>1.0444444444444444E-2</v>
      </c>
      <c r="G527">
        <f t="shared" si="57"/>
        <v>0</v>
      </c>
      <c r="H527">
        <f t="shared" si="58"/>
        <v>-0.98325969257576529</v>
      </c>
      <c r="I527">
        <f t="shared" si="59"/>
        <v>-1.693140992649814</v>
      </c>
      <c r="J527">
        <f t="shared" si="60"/>
        <v>-7.3489843141871791E-3</v>
      </c>
      <c r="K527">
        <f t="shared" si="61"/>
        <v>-1.0444444444444444E-2</v>
      </c>
      <c r="L527">
        <f t="shared" si="62"/>
        <v>-1.7035854370942585</v>
      </c>
    </row>
    <row r="528" spans="1:12" x14ac:dyDescent="0.25">
      <c r="A528" s="1">
        <v>40956</v>
      </c>
      <c r="B528" s="6">
        <v>60.360599999999998</v>
      </c>
      <c r="C528" s="6">
        <v>11.026999999999999</v>
      </c>
      <c r="D528" s="6">
        <v>7894.36</v>
      </c>
      <c r="E528" s="6">
        <v>0.94</v>
      </c>
      <c r="F528" s="6">
        <f t="shared" si="56"/>
        <v>1.0444444444444444E-2</v>
      </c>
      <c r="G528">
        <f t="shared" si="57"/>
        <v>1.9108946998757335</v>
      </c>
      <c r="H528">
        <f t="shared" si="58"/>
        <v>-0.99392154574105374</v>
      </c>
      <c r="I528">
        <f t="shared" si="59"/>
        <v>0.31335374918992914</v>
      </c>
      <c r="J528">
        <f t="shared" si="60"/>
        <v>1.337206511207639</v>
      </c>
      <c r="K528">
        <f t="shared" si="61"/>
        <v>1.900450255431289</v>
      </c>
      <c r="L528">
        <f t="shared" si="62"/>
        <v>0.30290930474548472</v>
      </c>
    </row>
    <row r="529" spans="1:12" x14ac:dyDescent="0.25">
      <c r="A529" s="1">
        <v>40959</v>
      </c>
      <c r="B529" s="6">
        <v>60.360599999999998</v>
      </c>
      <c r="C529" s="6">
        <v>10.9533</v>
      </c>
      <c r="D529" s="6">
        <v>7954.82</v>
      </c>
      <c r="E529" s="6">
        <v>0.94</v>
      </c>
      <c r="F529" s="6">
        <f t="shared" si="56"/>
        <v>1.0444444444444444E-2</v>
      </c>
      <c r="G529">
        <f t="shared" si="57"/>
        <v>0</v>
      </c>
      <c r="H529">
        <f t="shared" si="58"/>
        <v>-0.66835948127322731</v>
      </c>
      <c r="I529">
        <f t="shared" si="59"/>
        <v>0.76586322387121997</v>
      </c>
      <c r="J529">
        <f t="shared" si="60"/>
        <v>-7.3489843141871791E-3</v>
      </c>
      <c r="K529">
        <f t="shared" si="61"/>
        <v>-1.0444444444444444E-2</v>
      </c>
      <c r="L529">
        <f t="shared" si="62"/>
        <v>0.75541877942677549</v>
      </c>
    </row>
    <row r="530" spans="1:12" x14ac:dyDescent="0.25">
      <c r="A530" s="1">
        <v>40960</v>
      </c>
      <c r="B530" s="6">
        <v>60.360599999999998</v>
      </c>
      <c r="C530" s="6">
        <v>11.0639</v>
      </c>
      <c r="D530" s="6">
        <v>7921.5</v>
      </c>
      <c r="E530" s="6">
        <v>0.94</v>
      </c>
      <c r="F530" s="6">
        <f t="shared" si="56"/>
        <v>1.0444444444444444E-2</v>
      </c>
      <c r="G530">
        <f t="shared" si="57"/>
        <v>0</v>
      </c>
      <c r="H530">
        <f t="shared" si="58"/>
        <v>1.0097413564861712</v>
      </c>
      <c r="I530">
        <f t="shared" si="59"/>
        <v>-0.41886554315496405</v>
      </c>
      <c r="J530">
        <f t="shared" si="60"/>
        <v>-7.3489843141871791E-3</v>
      </c>
      <c r="K530">
        <f t="shared" si="61"/>
        <v>-1.0444444444444444E-2</v>
      </c>
      <c r="L530">
        <f t="shared" si="62"/>
        <v>-0.42930998759940847</v>
      </c>
    </row>
    <row r="531" spans="1:12" x14ac:dyDescent="0.25">
      <c r="A531" s="1">
        <v>40961</v>
      </c>
      <c r="B531" s="6">
        <v>60.1342</v>
      </c>
      <c r="C531" s="6">
        <v>11.026999999999999</v>
      </c>
      <c r="D531" s="6">
        <v>8001.68</v>
      </c>
      <c r="E531" s="6">
        <v>0.94</v>
      </c>
      <c r="F531" s="6">
        <f t="shared" si="56"/>
        <v>1.0444444444444444E-2</v>
      </c>
      <c r="G531">
        <f t="shared" si="57"/>
        <v>-0.37507910789488202</v>
      </c>
      <c r="H531">
        <f t="shared" si="58"/>
        <v>-0.33351711421832303</v>
      </c>
      <c r="I531">
        <f t="shared" si="59"/>
        <v>1.0121820362305156</v>
      </c>
      <c r="J531">
        <f t="shared" si="60"/>
        <v>-0.27126445585130715</v>
      </c>
      <c r="K531">
        <f t="shared" si="61"/>
        <v>-0.38552355233932645</v>
      </c>
      <c r="L531">
        <f t="shared" si="62"/>
        <v>1.0017375917860711</v>
      </c>
    </row>
    <row r="532" spans="1:12" x14ac:dyDescent="0.25">
      <c r="A532" s="1">
        <v>40962</v>
      </c>
      <c r="B532" s="6">
        <v>58.927</v>
      </c>
      <c r="C532" s="6">
        <v>10.916399999999999</v>
      </c>
      <c r="D532" s="6">
        <v>7937.3</v>
      </c>
      <c r="E532" s="6">
        <v>0.94</v>
      </c>
      <c r="F532" s="6">
        <f t="shared" si="56"/>
        <v>1.0444444444444444E-2</v>
      </c>
      <c r="G532">
        <f t="shared" si="57"/>
        <v>-2.0075098695916802</v>
      </c>
      <c r="H532">
        <f t="shared" si="58"/>
        <v>-1.0029926543937591</v>
      </c>
      <c r="I532">
        <f t="shared" si="59"/>
        <v>-0.80458103798202507</v>
      </c>
      <c r="J532">
        <f t="shared" si="60"/>
        <v>-1.419885440482771</v>
      </c>
      <c r="K532">
        <f t="shared" si="61"/>
        <v>-2.0179543140361247</v>
      </c>
      <c r="L532">
        <f t="shared" si="62"/>
        <v>-0.81502548242646955</v>
      </c>
    </row>
    <row r="533" spans="1:12" x14ac:dyDescent="0.25">
      <c r="A533" s="1">
        <v>40963</v>
      </c>
      <c r="B533" s="6">
        <v>59.6815</v>
      </c>
      <c r="C533" s="6">
        <v>10.9902</v>
      </c>
      <c r="D533" s="6">
        <v>7959.34</v>
      </c>
      <c r="E533" s="6">
        <v>0.94</v>
      </c>
      <c r="F533" s="6">
        <f t="shared" si="56"/>
        <v>1.0444444444444444E-2</v>
      </c>
      <c r="G533">
        <f t="shared" si="57"/>
        <v>1.2803977803044448</v>
      </c>
      <c r="H533">
        <f t="shared" si="58"/>
        <v>0.67604704847752295</v>
      </c>
      <c r="I533">
        <f t="shared" si="59"/>
        <v>0.27767628790646648</v>
      </c>
      <c r="J533">
        <f t="shared" si="60"/>
        <v>0.89357238622195145</v>
      </c>
      <c r="K533">
        <f t="shared" si="61"/>
        <v>1.2699533358600004</v>
      </c>
      <c r="L533">
        <f t="shared" si="62"/>
        <v>0.26723184346202206</v>
      </c>
    </row>
    <row r="534" spans="1:12" x14ac:dyDescent="0.25">
      <c r="A534" s="1">
        <v>40968</v>
      </c>
      <c r="B534" s="6">
        <v>61.1905</v>
      </c>
      <c r="C534" s="6">
        <v>11.432700000000001</v>
      </c>
      <c r="D534" s="6">
        <v>8121.44</v>
      </c>
      <c r="E534" s="6">
        <v>0.94</v>
      </c>
      <c r="F534" s="6">
        <f t="shared" si="56"/>
        <v>1.0444444444444444E-2</v>
      </c>
      <c r="G534">
        <f t="shared" si="57"/>
        <v>2.5284217052185358</v>
      </c>
      <c r="H534">
        <f t="shared" si="58"/>
        <v>4.0263143527870353</v>
      </c>
      <c r="I534">
        <f t="shared" si="59"/>
        <v>2.0366010247080721</v>
      </c>
      <c r="J534">
        <f t="shared" si="60"/>
        <v>1.7717146652785021</v>
      </c>
      <c r="K534">
        <f t="shared" si="61"/>
        <v>2.5179772607740913</v>
      </c>
      <c r="L534">
        <f t="shared" si="62"/>
        <v>2.0261565802636277</v>
      </c>
    </row>
    <row r="535" spans="1:12" x14ac:dyDescent="0.25">
      <c r="A535" s="1">
        <v>40969</v>
      </c>
      <c r="B535" s="6">
        <v>60.436</v>
      </c>
      <c r="C535" s="6">
        <v>11.5433</v>
      </c>
      <c r="D535" s="6">
        <v>8118.34</v>
      </c>
      <c r="E535" s="6">
        <v>0.94</v>
      </c>
      <c r="F535" s="6">
        <f t="shared" si="56"/>
        <v>1.0444444444444444E-2</v>
      </c>
      <c r="G535">
        <f t="shared" si="57"/>
        <v>-1.2330345396752767</v>
      </c>
      <c r="H535">
        <f t="shared" si="58"/>
        <v>0.9674005265597786</v>
      </c>
      <c r="I535">
        <f t="shared" si="59"/>
        <v>-3.81705707362174E-2</v>
      </c>
      <c r="J535">
        <f t="shared" si="60"/>
        <v>-0.87494433982824638</v>
      </c>
      <c r="K535">
        <f t="shared" si="61"/>
        <v>-1.2434789841197211</v>
      </c>
      <c r="L535">
        <f t="shared" si="62"/>
        <v>-4.8615015180661844E-2</v>
      </c>
    </row>
    <row r="536" spans="1:12" x14ac:dyDescent="0.25">
      <c r="A536" s="1">
        <v>40970</v>
      </c>
      <c r="B536" s="6">
        <v>60.360599999999998</v>
      </c>
      <c r="C536" s="6">
        <v>11.395799999999999</v>
      </c>
      <c r="D536" s="6">
        <v>8144.04</v>
      </c>
      <c r="E536" s="6">
        <v>0.94</v>
      </c>
      <c r="F536" s="6">
        <f t="shared" si="56"/>
        <v>1.0444444444444444E-2</v>
      </c>
      <c r="G536">
        <f t="shared" si="57"/>
        <v>-0.12476007677543502</v>
      </c>
      <c r="H536">
        <f t="shared" si="58"/>
        <v>-1.2777975102440451</v>
      </c>
      <c r="I536">
        <f t="shared" si="59"/>
        <v>0.31656717998999573</v>
      </c>
      <c r="J536">
        <f t="shared" si="60"/>
        <v>-9.5133437775199337E-2</v>
      </c>
      <c r="K536">
        <f t="shared" si="61"/>
        <v>-0.13520452121987947</v>
      </c>
      <c r="L536">
        <f t="shared" si="62"/>
        <v>0.30612273554555131</v>
      </c>
    </row>
    <row r="537" spans="1:12" x14ac:dyDescent="0.25">
      <c r="A537" s="1">
        <v>40971</v>
      </c>
      <c r="B537" s="6">
        <v>59.8324</v>
      </c>
      <c r="C537" s="6">
        <v>11.2483</v>
      </c>
      <c r="D537" s="6">
        <v>8114.44</v>
      </c>
      <c r="E537" s="6">
        <v>0.94</v>
      </c>
      <c r="F537" s="6">
        <f t="shared" si="56"/>
        <v>1.0444444444444444E-2</v>
      </c>
      <c r="G537">
        <f t="shared" si="57"/>
        <v>-0.87507413776536058</v>
      </c>
      <c r="H537">
        <f t="shared" si="58"/>
        <v>-1.2943365099422515</v>
      </c>
      <c r="I537">
        <f t="shared" si="59"/>
        <v>-0.36345597516712053</v>
      </c>
      <c r="J537">
        <f t="shared" si="60"/>
        <v>-0.6230740376088314</v>
      </c>
      <c r="K537">
        <f t="shared" si="61"/>
        <v>-0.88551858220980506</v>
      </c>
      <c r="L537">
        <f t="shared" si="62"/>
        <v>-0.37390041961156495</v>
      </c>
    </row>
    <row r="538" spans="1:12" x14ac:dyDescent="0.25">
      <c r="A538" s="1">
        <v>40973</v>
      </c>
      <c r="B538" s="6">
        <v>59.5306</v>
      </c>
      <c r="C538" s="6">
        <v>11.137700000000001</v>
      </c>
      <c r="D538" s="6">
        <v>8004.74</v>
      </c>
      <c r="E538" s="6">
        <v>0.94</v>
      </c>
      <c r="F538" s="6">
        <f t="shared" si="56"/>
        <v>1.0444444444444444E-2</v>
      </c>
      <c r="G538">
        <f t="shared" si="57"/>
        <v>-0.50440898242423848</v>
      </c>
      <c r="H538">
        <f t="shared" si="58"/>
        <v>-0.98325969257576529</v>
      </c>
      <c r="I538">
        <f t="shared" si="59"/>
        <v>-1.3519109143699359</v>
      </c>
      <c r="J538">
        <f t="shared" si="60"/>
        <v>-0.36226433854756601</v>
      </c>
      <c r="K538">
        <f t="shared" si="61"/>
        <v>-0.51485342686868296</v>
      </c>
      <c r="L538">
        <f t="shared" si="62"/>
        <v>-1.3623553588143804</v>
      </c>
    </row>
    <row r="539" spans="1:12" x14ac:dyDescent="0.25">
      <c r="A539" s="1">
        <v>40974</v>
      </c>
      <c r="B539" s="6">
        <v>59.9833</v>
      </c>
      <c r="C539" s="6">
        <v>11.026999999999999</v>
      </c>
      <c r="D539" s="6">
        <v>7937.97</v>
      </c>
      <c r="E539" s="6">
        <v>0.94</v>
      </c>
      <c r="F539" s="6">
        <f t="shared" si="56"/>
        <v>1.0444444444444444E-2</v>
      </c>
      <c r="G539">
        <f t="shared" si="57"/>
        <v>0.76044924794979407</v>
      </c>
      <c r="H539">
        <f t="shared" si="58"/>
        <v>-0.99392154574105374</v>
      </c>
      <c r="I539">
        <f t="shared" si="59"/>
        <v>-0.83413077751431686</v>
      </c>
      <c r="J539">
        <f t="shared" si="60"/>
        <v>0.52772299817800716</v>
      </c>
      <c r="K539">
        <f t="shared" si="61"/>
        <v>0.75000480350534959</v>
      </c>
      <c r="L539">
        <f t="shared" si="62"/>
        <v>-0.84457522195876134</v>
      </c>
    </row>
    <row r="540" spans="1:12" x14ac:dyDescent="0.25">
      <c r="A540" s="1">
        <v>40975</v>
      </c>
      <c r="B540" s="6">
        <v>59.6815</v>
      </c>
      <c r="C540" s="6">
        <v>10.7689</v>
      </c>
      <c r="D540" s="6">
        <v>7903.08</v>
      </c>
      <c r="E540" s="6">
        <v>0.94</v>
      </c>
      <c r="F540" s="6">
        <f t="shared" si="56"/>
        <v>1.0444444444444444E-2</v>
      </c>
      <c r="G540">
        <f t="shared" si="57"/>
        <v>-0.50314004064464624</v>
      </c>
      <c r="H540">
        <f t="shared" si="58"/>
        <v>-2.340618481908034</v>
      </c>
      <c r="I540">
        <f t="shared" si="59"/>
        <v>-0.43953302922536019</v>
      </c>
      <c r="J540">
        <f t="shared" si="60"/>
        <v>-0.36137147791879409</v>
      </c>
      <c r="K540">
        <f t="shared" si="61"/>
        <v>-0.51358448508909071</v>
      </c>
      <c r="L540">
        <f t="shared" si="62"/>
        <v>-0.44997747366980462</v>
      </c>
    </row>
    <row r="541" spans="1:12" x14ac:dyDescent="0.25">
      <c r="A541" s="1">
        <v>40976</v>
      </c>
      <c r="B541" s="6">
        <v>60.1342</v>
      </c>
      <c r="C541" s="6">
        <v>10.8795</v>
      </c>
      <c r="D541" s="6">
        <v>7984.56</v>
      </c>
      <c r="E541" s="6">
        <v>0.94</v>
      </c>
      <c r="F541" s="6">
        <f t="shared" si="56"/>
        <v>1.0444444444444444E-2</v>
      </c>
      <c r="G541">
        <f t="shared" si="57"/>
        <v>0.75852651156556072</v>
      </c>
      <c r="H541">
        <f t="shared" si="58"/>
        <v>1.0270315445402949</v>
      </c>
      <c r="I541">
        <f t="shared" si="59"/>
        <v>1.0309904492931929</v>
      </c>
      <c r="J541">
        <f t="shared" si="60"/>
        <v>0.5263701105636196</v>
      </c>
      <c r="K541">
        <f t="shared" si="61"/>
        <v>0.74808206712111625</v>
      </c>
      <c r="L541">
        <f t="shared" si="62"/>
        <v>1.0205460048487485</v>
      </c>
    </row>
    <row r="542" spans="1:12" x14ac:dyDescent="0.25">
      <c r="A542" s="1">
        <v>40977</v>
      </c>
      <c r="B542" s="6">
        <v>60.360599999999998</v>
      </c>
      <c r="C542" s="6">
        <v>10.8795</v>
      </c>
      <c r="D542" s="6">
        <v>8016.01</v>
      </c>
      <c r="E542" s="6">
        <v>0.94</v>
      </c>
      <c r="F542" s="6">
        <f t="shared" si="56"/>
        <v>1.0444444444444444E-2</v>
      </c>
      <c r="G542">
        <f t="shared" si="57"/>
        <v>0.37649124790884081</v>
      </c>
      <c r="H542">
        <f t="shared" si="58"/>
        <v>0</v>
      </c>
      <c r="I542">
        <f t="shared" si="59"/>
        <v>0.39388519843297337</v>
      </c>
      <c r="J542">
        <f t="shared" si="60"/>
        <v>0.25756010587514744</v>
      </c>
      <c r="K542">
        <f t="shared" si="61"/>
        <v>0.36604680346439639</v>
      </c>
      <c r="L542">
        <f t="shared" si="62"/>
        <v>0.38344075398852895</v>
      </c>
    </row>
    <row r="543" spans="1:12" x14ac:dyDescent="0.25">
      <c r="A543" s="1">
        <v>40980</v>
      </c>
      <c r="B543" s="6">
        <v>60.360599999999998</v>
      </c>
      <c r="C543" s="6">
        <v>10.7689</v>
      </c>
      <c r="D543" s="6">
        <v>7927.55</v>
      </c>
      <c r="E543" s="6">
        <v>0.94</v>
      </c>
      <c r="F543" s="6">
        <f t="shared" si="56"/>
        <v>1.0444444444444444E-2</v>
      </c>
      <c r="G543">
        <f t="shared" si="57"/>
        <v>0</v>
      </c>
      <c r="H543">
        <f t="shared" si="58"/>
        <v>-1.0165908359759162</v>
      </c>
      <c r="I543">
        <f t="shared" si="59"/>
        <v>-1.1035415374980824</v>
      </c>
      <c r="J543">
        <f t="shared" si="60"/>
        <v>-7.3489843141871791E-3</v>
      </c>
      <c r="K543">
        <f t="shared" si="61"/>
        <v>-1.0444444444444444E-2</v>
      </c>
      <c r="L543">
        <f t="shared" si="62"/>
        <v>-1.1139859819425268</v>
      </c>
    </row>
    <row r="544" spans="1:12" x14ac:dyDescent="0.25">
      <c r="A544" s="1">
        <v>40981</v>
      </c>
      <c r="B544" s="6">
        <v>61.3414</v>
      </c>
      <c r="C544" s="6">
        <v>11.1745</v>
      </c>
      <c r="D544" s="6">
        <v>8031.51</v>
      </c>
      <c r="E544" s="6">
        <v>0.94</v>
      </c>
      <c r="F544" s="6">
        <f t="shared" si="56"/>
        <v>1.0444444444444444E-2</v>
      </c>
      <c r="G544">
        <f t="shared" si="57"/>
        <v>1.6249010115870322</v>
      </c>
      <c r="H544">
        <f t="shared" si="58"/>
        <v>3.7664013966143219</v>
      </c>
      <c r="I544">
        <f t="shared" si="59"/>
        <v>1.3113761502607999</v>
      </c>
      <c r="J544">
        <f t="shared" si="60"/>
        <v>1.1359738711787897</v>
      </c>
      <c r="K544">
        <f t="shared" si="61"/>
        <v>1.6144565671425877</v>
      </c>
      <c r="L544">
        <f t="shared" si="62"/>
        <v>1.3009317058163554</v>
      </c>
    </row>
    <row r="545" spans="1:12" x14ac:dyDescent="0.25">
      <c r="A545" s="1">
        <v>40982</v>
      </c>
      <c r="B545" s="6">
        <v>62.774999999999999</v>
      </c>
      <c r="C545" s="6">
        <v>11.211399999999999</v>
      </c>
      <c r="D545" s="6">
        <v>8125.26</v>
      </c>
      <c r="E545" s="6">
        <v>0.94</v>
      </c>
      <c r="F545" s="6">
        <f t="shared" si="56"/>
        <v>1.0444444444444444E-2</v>
      </c>
      <c r="G545">
        <f t="shared" si="57"/>
        <v>2.3370839270052501</v>
      </c>
      <c r="H545">
        <f t="shared" si="58"/>
        <v>0.33021611705221054</v>
      </c>
      <c r="I545">
        <f t="shared" si="59"/>
        <v>1.167277386195124</v>
      </c>
      <c r="J545">
        <f t="shared" si="60"/>
        <v>1.6370843995635258</v>
      </c>
      <c r="K545">
        <f t="shared" si="61"/>
        <v>2.3266394825608057</v>
      </c>
      <c r="L545">
        <f t="shared" si="62"/>
        <v>1.1568329417506795</v>
      </c>
    </row>
    <row r="546" spans="1:12" x14ac:dyDescent="0.25">
      <c r="A546" s="1">
        <v>40983</v>
      </c>
      <c r="B546" s="6">
        <v>62.774999999999999</v>
      </c>
      <c r="C546" s="6">
        <v>11.1008</v>
      </c>
      <c r="D546" s="6">
        <v>8121.62</v>
      </c>
      <c r="E546" s="6">
        <v>0.94</v>
      </c>
      <c r="F546" s="6">
        <f t="shared" si="56"/>
        <v>1.0444444444444444E-2</v>
      </c>
      <c r="G546">
        <f t="shared" si="57"/>
        <v>0</v>
      </c>
      <c r="H546">
        <f t="shared" si="58"/>
        <v>-0.98649588811388245</v>
      </c>
      <c r="I546">
        <f t="shared" si="59"/>
        <v>-4.4798566445877763E-2</v>
      </c>
      <c r="J546">
        <f t="shared" si="60"/>
        <v>-7.3489843141871791E-3</v>
      </c>
      <c r="K546">
        <f t="shared" si="61"/>
        <v>-1.0444444444444444E-2</v>
      </c>
      <c r="L546">
        <f t="shared" si="62"/>
        <v>-5.5243010890322207E-2</v>
      </c>
    </row>
    <row r="547" spans="1:12" x14ac:dyDescent="0.25">
      <c r="A547" s="1">
        <v>40984</v>
      </c>
      <c r="B547" s="6">
        <v>61.1905</v>
      </c>
      <c r="C547" s="6">
        <v>11.026999999999999</v>
      </c>
      <c r="D547" s="6">
        <v>8054.94</v>
      </c>
      <c r="E547" s="6">
        <v>0.94</v>
      </c>
      <c r="F547" s="6">
        <f t="shared" si="56"/>
        <v>1.0444444444444444E-2</v>
      </c>
      <c r="G547">
        <f t="shared" si="57"/>
        <v>-2.5240939864595755</v>
      </c>
      <c r="H547">
        <f t="shared" si="58"/>
        <v>-0.66481695012972319</v>
      </c>
      <c r="I547">
        <f t="shared" si="59"/>
        <v>-0.82101846675909851</v>
      </c>
      <c r="J547">
        <f t="shared" si="60"/>
        <v>-1.7833675377847242</v>
      </c>
      <c r="K547">
        <f t="shared" si="61"/>
        <v>-2.53453843090402</v>
      </c>
      <c r="L547">
        <f t="shared" si="62"/>
        <v>-0.83146291120354299</v>
      </c>
    </row>
    <row r="548" spans="1:12" x14ac:dyDescent="0.25">
      <c r="A548" s="1">
        <v>40987</v>
      </c>
      <c r="B548" s="6">
        <v>63.152200000000001</v>
      </c>
      <c r="C548" s="6">
        <v>10.9902</v>
      </c>
      <c r="D548" s="6">
        <v>8043.92</v>
      </c>
      <c r="E548" s="6">
        <v>0.94</v>
      </c>
      <c r="F548" s="6">
        <f t="shared" si="56"/>
        <v>1.0444444444444444E-2</v>
      </c>
      <c r="G548">
        <f t="shared" si="57"/>
        <v>3.2058898031557193</v>
      </c>
      <c r="H548">
        <f t="shared" si="58"/>
        <v>-0.33372630815271154</v>
      </c>
      <c r="I548">
        <f t="shared" si="59"/>
        <v>-0.1368104542057362</v>
      </c>
      <c r="J548">
        <f t="shared" si="60"/>
        <v>2.2483989400223665</v>
      </c>
      <c r="K548">
        <f t="shared" si="61"/>
        <v>3.1954453587112748</v>
      </c>
      <c r="L548">
        <f t="shared" si="62"/>
        <v>-0.14725489865018065</v>
      </c>
    </row>
    <row r="549" spans="1:12" x14ac:dyDescent="0.25">
      <c r="A549" s="1">
        <v>40988</v>
      </c>
      <c r="B549" s="6">
        <v>62.774999999999999</v>
      </c>
      <c r="C549" s="6">
        <v>11.0639</v>
      </c>
      <c r="D549" s="6">
        <v>7972.7</v>
      </c>
      <c r="E549" s="6">
        <v>0.94</v>
      </c>
      <c r="F549" s="6">
        <f t="shared" si="56"/>
        <v>1.0444444444444444E-2</v>
      </c>
      <c r="G549">
        <f t="shared" si="57"/>
        <v>-0.59728718872818676</v>
      </c>
      <c r="H549">
        <f t="shared" si="58"/>
        <v>0.67059744135685018</v>
      </c>
      <c r="I549">
        <f t="shared" si="59"/>
        <v>-0.88538921321942854</v>
      </c>
      <c r="J549">
        <f t="shared" si="60"/>
        <v>-0.42761587398711931</v>
      </c>
      <c r="K549">
        <f t="shared" si="61"/>
        <v>-0.60773163317263124</v>
      </c>
      <c r="L549">
        <f t="shared" si="62"/>
        <v>-0.89583365766387302</v>
      </c>
    </row>
    <row r="550" spans="1:12" x14ac:dyDescent="0.25">
      <c r="A550" s="1">
        <v>40989</v>
      </c>
      <c r="B550" s="6">
        <v>64.057599999999994</v>
      </c>
      <c r="C550" s="6">
        <v>11.0639</v>
      </c>
      <c r="D550" s="6">
        <v>7981.94</v>
      </c>
      <c r="E550" s="6">
        <v>0.94</v>
      </c>
      <c r="F550" s="6">
        <f t="shared" si="56"/>
        <v>1.0444444444444444E-2</v>
      </c>
      <c r="G550">
        <f t="shared" si="57"/>
        <v>2.0431700517721945</v>
      </c>
      <c r="H550">
        <f t="shared" si="58"/>
        <v>0</v>
      </c>
      <c r="I550">
        <f t="shared" si="59"/>
        <v>0.11589549337112624</v>
      </c>
      <c r="J550">
        <f t="shared" si="60"/>
        <v>1.4302789088264276</v>
      </c>
      <c r="K550">
        <f t="shared" si="61"/>
        <v>2.03272560732775</v>
      </c>
      <c r="L550">
        <f t="shared" si="62"/>
        <v>0.10545104892668181</v>
      </c>
    </row>
    <row r="551" spans="1:12" x14ac:dyDescent="0.25">
      <c r="A551" s="1">
        <v>40990</v>
      </c>
      <c r="B551" s="6">
        <v>64.284000000000006</v>
      </c>
      <c r="C551" s="6">
        <v>11.2852</v>
      </c>
      <c r="D551" s="6">
        <v>8059.94</v>
      </c>
      <c r="E551" s="6">
        <v>0.94</v>
      </c>
      <c r="F551" s="6">
        <f t="shared" si="56"/>
        <v>1.0444444444444444E-2</v>
      </c>
      <c r="G551">
        <f t="shared" si="57"/>
        <v>0.35343191127986751</v>
      </c>
      <c r="H551">
        <f t="shared" si="58"/>
        <v>2.0001988448919401</v>
      </c>
      <c r="I551">
        <f t="shared" si="59"/>
        <v>0.97720604264126265</v>
      </c>
      <c r="J551">
        <f t="shared" si="60"/>
        <v>0.24133495344283912</v>
      </c>
      <c r="K551">
        <f t="shared" si="61"/>
        <v>0.34298746683542308</v>
      </c>
      <c r="L551">
        <f t="shared" si="62"/>
        <v>0.96676159819681817</v>
      </c>
    </row>
    <row r="552" spans="1:12" x14ac:dyDescent="0.25">
      <c r="A552" s="1">
        <v>40991</v>
      </c>
      <c r="B552" s="6">
        <v>64.434899999999999</v>
      </c>
      <c r="C552" s="6">
        <v>11.2483</v>
      </c>
      <c r="D552" s="6">
        <v>8076.61</v>
      </c>
      <c r="E552" s="6">
        <v>0.94</v>
      </c>
      <c r="F552" s="6">
        <f t="shared" si="56"/>
        <v>1.0444444444444444E-2</v>
      </c>
      <c r="G552">
        <f t="shared" si="57"/>
        <v>0.2347395930558038</v>
      </c>
      <c r="H552">
        <f t="shared" si="58"/>
        <v>-0.32697692553077717</v>
      </c>
      <c r="I552">
        <f t="shared" si="59"/>
        <v>0.20682536098283702</v>
      </c>
      <c r="J552">
        <f t="shared" si="60"/>
        <v>0.15781993361743044</v>
      </c>
      <c r="K552">
        <f t="shared" si="61"/>
        <v>0.22429514861135935</v>
      </c>
      <c r="L552">
        <f t="shared" si="62"/>
        <v>0.19638091653839257</v>
      </c>
    </row>
    <row r="553" spans="1:12" x14ac:dyDescent="0.25">
      <c r="A553" s="1">
        <v>40994</v>
      </c>
      <c r="B553" s="6">
        <v>63.076799999999999</v>
      </c>
      <c r="C553" s="6">
        <v>10.9902</v>
      </c>
      <c r="D553" s="6">
        <v>7967.62</v>
      </c>
      <c r="E553" s="6">
        <v>0.94</v>
      </c>
      <c r="F553" s="6">
        <f t="shared" si="56"/>
        <v>1.0444444444444444E-2</v>
      </c>
      <c r="G553">
        <f t="shared" si="57"/>
        <v>-2.107708710652147</v>
      </c>
      <c r="H553">
        <f t="shared" si="58"/>
        <v>-2.2945689570868546</v>
      </c>
      <c r="I553">
        <f t="shared" si="59"/>
        <v>-1.3494523073418152</v>
      </c>
      <c r="J553">
        <f t="shared" si="60"/>
        <v>-1.4903879660282811</v>
      </c>
      <c r="K553">
        <f t="shared" si="61"/>
        <v>-2.1181531550965915</v>
      </c>
      <c r="L553">
        <f t="shared" si="62"/>
        <v>-1.3598967517862597</v>
      </c>
    </row>
    <row r="554" spans="1:12" x14ac:dyDescent="0.25">
      <c r="A554" s="1">
        <v>40995</v>
      </c>
      <c r="B554" s="6">
        <v>64.736699999999999</v>
      </c>
      <c r="C554" s="6">
        <v>11.137700000000001</v>
      </c>
      <c r="D554" s="6">
        <v>8029.46</v>
      </c>
      <c r="E554" s="6">
        <v>0.94</v>
      </c>
      <c r="F554" s="6">
        <f t="shared" si="56"/>
        <v>1.0444444444444444E-2</v>
      </c>
      <c r="G554">
        <f t="shared" si="57"/>
        <v>2.6315539152271521</v>
      </c>
      <c r="H554">
        <f t="shared" si="58"/>
        <v>1.3421047842623506</v>
      </c>
      <c r="I554">
        <f t="shared" si="59"/>
        <v>0.7761414324478344</v>
      </c>
      <c r="J554">
        <f t="shared" si="60"/>
        <v>1.8442811859462362</v>
      </c>
      <c r="K554">
        <f t="shared" si="61"/>
        <v>2.6211094707827076</v>
      </c>
      <c r="L554">
        <f t="shared" si="62"/>
        <v>0.76569698800338992</v>
      </c>
    </row>
    <row r="555" spans="1:12" x14ac:dyDescent="0.25">
      <c r="A555" s="1">
        <v>40996</v>
      </c>
      <c r="B555" s="6">
        <v>64.510300000000001</v>
      </c>
      <c r="C555" s="6">
        <v>11.137700000000001</v>
      </c>
      <c r="D555" s="6">
        <v>8038.07</v>
      </c>
      <c r="E555" s="6">
        <v>0.94</v>
      </c>
      <c r="F555" s="6">
        <f t="shared" si="56"/>
        <v>1.0444444444444444E-2</v>
      </c>
      <c r="G555">
        <f t="shared" si="57"/>
        <v>-0.34972434492335591</v>
      </c>
      <c r="H555">
        <f t="shared" si="58"/>
        <v>0</v>
      </c>
      <c r="I555">
        <f t="shared" si="59"/>
        <v>0.10723012506444608</v>
      </c>
      <c r="J555">
        <f t="shared" si="60"/>
        <v>-0.2534241814012102</v>
      </c>
      <c r="K555">
        <f t="shared" si="61"/>
        <v>-0.36016878936780033</v>
      </c>
      <c r="L555">
        <f t="shared" si="62"/>
        <v>9.6785680620001646E-2</v>
      </c>
    </row>
    <row r="556" spans="1:12" x14ac:dyDescent="0.25">
      <c r="A556" s="1">
        <v>40997</v>
      </c>
      <c r="B556" s="6">
        <v>63.454000000000001</v>
      </c>
      <c r="C556" s="6">
        <v>10.842599999999999</v>
      </c>
      <c r="D556" s="6">
        <v>7872.66</v>
      </c>
      <c r="E556" s="6">
        <v>0.94</v>
      </c>
      <c r="F556" s="6">
        <f t="shared" si="56"/>
        <v>1.0444444444444444E-2</v>
      </c>
      <c r="G556">
        <f t="shared" si="57"/>
        <v>-1.6374129402591528</v>
      </c>
      <c r="H556">
        <f t="shared" si="58"/>
        <v>-2.649559603867957</v>
      </c>
      <c r="I556">
        <f t="shared" si="59"/>
        <v>-2.0578322905871667</v>
      </c>
      <c r="J556">
        <f t="shared" si="60"/>
        <v>-1.1594755601046618</v>
      </c>
      <c r="K556">
        <f t="shared" si="61"/>
        <v>-1.6478573847035973</v>
      </c>
      <c r="L556">
        <f t="shared" si="62"/>
        <v>-2.0682767350316111</v>
      </c>
    </row>
    <row r="557" spans="1:12" x14ac:dyDescent="0.25">
      <c r="A557" s="1">
        <v>40998</v>
      </c>
      <c r="B557" s="6">
        <v>64.057599999999994</v>
      </c>
      <c r="C557" s="6">
        <v>10.658200000000001</v>
      </c>
      <c r="D557" s="6">
        <v>7933</v>
      </c>
      <c r="E557" s="6">
        <v>0.94</v>
      </c>
      <c r="F557" s="6">
        <f t="shared" si="56"/>
        <v>1.0444444444444444E-2</v>
      </c>
      <c r="G557">
        <f t="shared" si="57"/>
        <v>0.95124026854097932</v>
      </c>
      <c r="H557">
        <f t="shared" si="58"/>
        <v>-1.700699094313157</v>
      </c>
      <c r="I557">
        <f t="shared" si="59"/>
        <v>0.76644996735538107</v>
      </c>
      <c r="J557">
        <f t="shared" si="60"/>
        <v>0.6619685509281289</v>
      </c>
      <c r="K557">
        <f t="shared" si="61"/>
        <v>0.94079582409653484</v>
      </c>
      <c r="L557">
        <f t="shared" si="62"/>
        <v>0.75600552291093659</v>
      </c>
    </row>
    <row r="558" spans="1:12" x14ac:dyDescent="0.25">
      <c r="A558" s="1">
        <v>41001</v>
      </c>
      <c r="B558" s="6">
        <v>64.208500000000001</v>
      </c>
      <c r="C558" s="6">
        <v>10.473800000000001</v>
      </c>
      <c r="D558" s="6">
        <v>7862.9</v>
      </c>
      <c r="E558" s="6">
        <v>0.94</v>
      </c>
      <c r="F558" s="6">
        <f t="shared" si="56"/>
        <v>1.0444444444444444E-2</v>
      </c>
      <c r="G558">
        <f t="shared" si="57"/>
        <v>0.2355692376860937</v>
      </c>
      <c r="H558">
        <f t="shared" si="58"/>
        <v>-1.7301232853577537</v>
      </c>
      <c r="I558">
        <f t="shared" si="59"/>
        <v>-0.88365057355351528</v>
      </c>
      <c r="J558">
        <f t="shared" si="60"/>
        <v>0.15840369328093204</v>
      </c>
      <c r="K558">
        <f t="shared" si="61"/>
        <v>0.22512479324164925</v>
      </c>
      <c r="L558">
        <f t="shared" si="62"/>
        <v>-0.89409501799795976</v>
      </c>
    </row>
    <row r="559" spans="1:12" x14ac:dyDescent="0.25">
      <c r="A559" s="1">
        <v>41002</v>
      </c>
      <c r="B559" s="6">
        <v>64.133099999999999</v>
      </c>
      <c r="C559" s="6">
        <v>10.5845</v>
      </c>
      <c r="D559" s="6">
        <v>7760.85</v>
      </c>
      <c r="E559" s="6">
        <v>0.94</v>
      </c>
      <c r="F559" s="6">
        <f t="shared" si="56"/>
        <v>1.0444444444444444E-2</v>
      </c>
      <c r="G559">
        <f t="shared" si="57"/>
        <v>-0.11742993528894446</v>
      </c>
      <c r="H559">
        <f t="shared" si="58"/>
        <v>1.0569229887910745</v>
      </c>
      <c r="I559">
        <f t="shared" si="59"/>
        <v>-1.2978671991249955</v>
      </c>
      <c r="J559">
        <f t="shared" si="60"/>
        <v>-8.99757584853597E-2</v>
      </c>
      <c r="K559">
        <f t="shared" si="61"/>
        <v>-0.12787437973338892</v>
      </c>
      <c r="L559">
        <f t="shared" si="62"/>
        <v>-1.30831164356944</v>
      </c>
    </row>
    <row r="560" spans="1:12" x14ac:dyDescent="0.25">
      <c r="A560" s="1">
        <v>41004</v>
      </c>
      <c r="B560" s="6">
        <v>62.6995</v>
      </c>
      <c r="C560" s="6">
        <v>10.363200000000001</v>
      </c>
      <c r="D560" s="6">
        <v>7639.82</v>
      </c>
      <c r="E560" s="6">
        <v>0.94</v>
      </c>
      <c r="F560" s="6">
        <f t="shared" si="56"/>
        <v>1.0444444444444444E-2</v>
      </c>
      <c r="G560">
        <f t="shared" si="57"/>
        <v>-2.2353511681175533</v>
      </c>
      <c r="H560">
        <f t="shared" si="58"/>
        <v>-2.0907931409135943</v>
      </c>
      <c r="I560">
        <f t="shared" si="59"/>
        <v>-1.5594941275762404</v>
      </c>
      <c r="J560">
        <f t="shared" si="60"/>
        <v>-1.5802005379393256</v>
      </c>
      <c r="K560">
        <f t="shared" si="61"/>
        <v>-2.2457956125619978</v>
      </c>
      <c r="L560">
        <f t="shared" si="62"/>
        <v>-1.5699385720206849</v>
      </c>
    </row>
    <row r="561" spans="1:12" x14ac:dyDescent="0.25">
      <c r="A561" s="1">
        <v>41005</v>
      </c>
      <c r="B561" s="6">
        <v>63.227699999999999</v>
      </c>
      <c r="C561" s="6">
        <v>10.3263</v>
      </c>
      <c r="D561" s="6">
        <v>7706.26</v>
      </c>
      <c r="E561" s="6">
        <v>0.94</v>
      </c>
      <c r="F561" s="6">
        <f t="shared" si="56"/>
        <v>1.0444444444444444E-2</v>
      </c>
      <c r="G561">
        <f t="shared" si="57"/>
        <v>0.84243096037448184</v>
      </c>
      <c r="H561">
        <f t="shared" si="58"/>
        <v>-0.35606762389996371</v>
      </c>
      <c r="I561">
        <f t="shared" si="59"/>
        <v>0.86965399708370761</v>
      </c>
      <c r="J561">
        <f t="shared" si="60"/>
        <v>0.58540747549644445</v>
      </c>
      <c r="K561">
        <f t="shared" si="61"/>
        <v>0.83198651593003736</v>
      </c>
      <c r="L561">
        <f t="shared" si="62"/>
        <v>0.85920955263926313</v>
      </c>
    </row>
    <row r="562" spans="1:12" x14ac:dyDescent="0.25">
      <c r="A562" s="1">
        <v>41008</v>
      </c>
      <c r="B562" s="6">
        <v>62.624099999999999</v>
      </c>
      <c r="C562" s="6">
        <v>10.2157</v>
      </c>
      <c r="D562" s="6">
        <v>7600.87</v>
      </c>
      <c r="E562" s="6">
        <v>0.94</v>
      </c>
      <c r="F562" s="6">
        <f t="shared" si="56"/>
        <v>1.0444444444444444E-2</v>
      </c>
      <c r="G562">
        <f t="shared" si="57"/>
        <v>-0.95464487874776427</v>
      </c>
      <c r="H562">
        <f t="shared" si="58"/>
        <v>-1.0710515867251562</v>
      </c>
      <c r="I562">
        <f t="shared" si="59"/>
        <v>-1.3675894662261632</v>
      </c>
      <c r="J562">
        <f t="shared" si="60"/>
        <v>-0.67906209235491033</v>
      </c>
      <c r="K562">
        <f t="shared" si="61"/>
        <v>-0.96508932319220875</v>
      </c>
      <c r="L562">
        <f t="shared" si="62"/>
        <v>-1.3780339106706077</v>
      </c>
    </row>
    <row r="563" spans="1:12" x14ac:dyDescent="0.25">
      <c r="A563" s="1">
        <v>41009</v>
      </c>
      <c r="B563" s="6">
        <v>61.869599999999998</v>
      </c>
      <c r="C563" s="6">
        <v>10.436999999999999</v>
      </c>
      <c r="D563" s="6">
        <v>7640.68</v>
      </c>
      <c r="E563" s="6">
        <v>0.94</v>
      </c>
      <c r="F563" s="6">
        <f t="shared" si="56"/>
        <v>1.0444444444444444E-2</v>
      </c>
      <c r="G563">
        <f t="shared" si="57"/>
        <v>-1.2048077337638388</v>
      </c>
      <c r="H563">
        <f t="shared" si="58"/>
        <v>2.1662734810145108</v>
      </c>
      <c r="I563">
        <f t="shared" si="59"/>
        <v>0.52375583321383479</v>
      </c>
      <c r="J563">
        <f t="shared" si="60"/>
        <v>-0.85508322083947119</v>
      </c>
      <c r="K563">
        <f t="shared" si="61"/>
        <v>-1.2152521782082832</v>
      </c>
      <c r="L563">
        <f t="shared" si="62"/>
        <v>0.51331138876939031</v>
      </c>
    </row>
    <row r="564" spans="1:12" x14ac:dyDescent="0.25">
      <c r="A564" s="1">
        <v>41010</v>
      </c>
      <c r="B564" s="6">
        <v>62.171399999999998</v>
      </c>
      <c r="C564" s="6">
        <v>10.5845</v>
      </c>
      <c r="D564" s="6">
        <v>7656.67</v>
      </c>
      <c r="E564" s="6">
        <v>0.94</v>
      </c>
      <c r="F564" s="6">
        <f t="shared" si="56"/>
        <v>1.0444444444444444E-2</v>
      </c>
      <c r="G564">
        <f t="shared" si="57"/>
        <v>0.48780014740680411</v>
      </c>
      <c r="H564">
        <f t="shared" si="58"/>
        <v>1.4132413528791881</v>
      </c>
      <c r="I564">
        <f t="shared" si="59"/>
        <v>0.20927456718511678</v>
      </c>
      <c r="J564">
        <f t="shared" si="60"/>
        <v>0.33587995915131474</v>
      </c>
      <c r="K564">
        <f t="shared" si="61"/>
        <v>0.47735570296235968</v>
      </c>
      <c r="L564">
        <f t="shared" si="62"/>
        <v>0.19883012274067233</v>
      </c>
    </row>
    <row r="565" spans="1:12" x14ac:dyDescent="0.25">
      <c r="A565" s="1">
        <v>41011</v>
      </c>
      <c r="B565" s="6">
        <v>62.322299999999998</v>
      </c>
      <c r="C565" s="6">
        <v>10.4001</v>
      </c>
      <c r="D565" s="6">
        <v>7662.92</v>
      </c>
      <c r="E565" s="6">
        <v>0.94</v>
      </c>
      <c r="F565" s="6">
        <f t="shared" si="56"/>
        <v>1.0444444444444444E-2</v>
      </c>
      <c r="G565">
        <f t="shared" si="57"/>
        <v>0.24271610418938619</v>
      </c>
      <c r="H565">
        <f t="shared" si="58"/>
        <v>-1.7421701544711619</v>
      </c>
      <c r="I565">
        <f t="shared" si="59"/>
        <v>8.1628175172757875E-2</v>
      </c>
      <c r="J565">
        <f t="shared" si="60"/>
        <v>0.16343241549853391</v>
      </c>
      <c r="K565">
        <f t="shared" si="61"/>
        <v>0.23227165974494174</v>
      </c>
      <c r="L565">
        <f t="shared" si="62"/>
        <v>7.1183730728313438E-2</v>
      </c>
    </row>
    <row r="566" spans="1:12" x14ac:dyDescent="0.25">
      <c r="A566" s="1">
        <v>41012</v>
      </c>
      <c r="B566" s="6">
        <v>64.057599999999994</v>
      </c>
      <c r="C566" s="6">
        <v>10.658200000000001</v>
      </c>
      <c r="D566" s="6">
        <v>7788.27</v>
      </c>
      <c r="E566" s="6">
        <v>0.94</v>
      </c>
      <c r="F566" s="6">
        <f t="shared" si="56"/>
        <v>1.0444444444444444E-2</v>
      </c>
      <c r="G566">
        <f t="shared" si="57"/>
        <v>2.7843965964028849</v>
      </c>
      <c r="H566">
        <f t="shared" si="58"/>
        <v>2.4817069066643653</v>
      </c>
      <c r="I566">
        <f t="shared" si="59"/>
        <v>1.6357994080585516</v>
      </c>
      <c r="J566">
        <f t="shared" si="60"/>
        <v>1.9518252944407997</v>
      </c>
      <c r="K566">
        <f t="shared" si="61"/>
        <v>2.7739521519584405</v>
      </c>
      <c r="L566">
        <f t="shared" si="62"/>
        <v>1.6253549636141071</v>
      </c>
    </row>
    <row r="567" spans="1:12" x14ac:dyDescent="0.25">
      <c r="A567" s="1">
        <v>41015</v>
      </c>
      <c r="B567" s="6">
        <v>64.057599999999994</v>
      </c>
      <c r="C567" s="6">
        <v>10.5107</v>
      </c>
      <c r="D567" s="6">
        <v>7729.86</v>
      </c>
      <c r="E567" s="6">
        <v>0.94</v>
      </c>
      <c r="F567" s="6">
        <f t="shared" si="56"/>
        <v>1.0444444444444444E-2</v>
      </c>
      <c r="G567">
        <f t="shared" si="57"/>
        <v>0</v>
      </c>
      <c r="H567">
        <f t="shared" si="58"/>
        <v>-1.383910979339859</v>
      </c>
      <c r="I567">
        <f t="shared" si="59"/>
        <v>-0.74997399936058662</v>
      </c>
      <c r="J567">
        <f t="shared" si="60"/>
        <v>-7.3489843141871791E-3</v>
      </c>
      <c r="K567">
        <f t="shared" si="61"/>
        <v>-1.0444444444444444E-2</v>
      </c>
      <c r="L567">
        <f t="shared" si="62"/>
        <v>-0.7604184438050311</v>
      </c>
    </row>
    <row r="568" spans="1:12" x14ac:dyDescent="0.25">
      <c r="A568" s="1">
        <v>41016</v>
      </c>
      <c r="B568" s="6">
        <v>63.227699999999999</v>
      </c>
      <c r="C568" s="6">
        <v>10.473800000000001</v>
      </c>
      <c r="D568" s="6">
        <v>7585.87</v>
      </c>
      <c r="E568" s="6">
        <v>0.94</v>
      </c>
      <c r="F568" s="6">
        <f t="shared" si="56"/>
        <v>1.0444444444444444E-2</v>
      </c>
      <c r="G568">
        <f t="shared" si="57"/>
        <v>-1.2955527525227217</v>
      </c>
      <c r="H568">
        <f t="shared" si="58"/>
        <v>-0.35107081355189729</v>
      </c>
      <c r="I568">
        <f t="shared" si="59"/>
        <v>-1.8627762986651737</v>
      </c>
      <c r="J568">
        <f t="shared" si="60"/>
        <v>-0.91893378972294848</v>
      </c>
      <c r="K568">
        <f t="shared" si="61"/>
        <v>-1.3059971969671662</v>
      </c>
      <c r="L568">
        <f t="shared" si="62"/>
        <v>-1.8732207431096182</v>
      </c>
    </row>
    <row r="569" spans="1:12" x14ac:dyDescent="0.25">
      <c r="A569" s="1">
        <v>41017</v>
      </c>
      <c r="B569" s="6">
        <v>64.133099999999999</v>
      </c>
      <c r="C569" s="6">
        <v>10.436999999999999</v>
      </c>
      <c r="D569" s="6">
        <v>7605</v>
      </c>
      <c r="E569" s="6">
        <v>0.94</v>
      </c>
      <c r="F569" s="6">
        <f t="shared" si="56"/>
        <v>1.0444444444444444E-2</v>
      </c>
      <c r="G569">
        <f t="shared" si="57"/>
        <v>1.4319673181216463</v>
      </c>
      <c r="H569">
        <f t="shared" si="58"/>
        <v>-0.35135289961619731</v>
      </c>
      <c r="I569">
        <f t="shared" si="59"/>
        <v>0.25217938087523395</v>
      </c>
      <c r="J569">
        <f t="shared" si="60"/>
        <v>1.0002206777468974</v>
      </c>
      <c r="K569">
        <f t="shared" si="61"/>
        <v>1.4215228736772019</v>
      </c>
      <c r="L569">
        <f t="shared" si="62"/>
        <v>0.2417349364307895</v>
      </c>
    </row>
    <row r="570" spans="1:12" x14ac:dyDescent="0.25">
      <c r="A570" s="1">
        <v>41018</v>
      </c>
      <c r="B570" s="6">
        <v>64.736699999999999</v>
      </c>
      <c r="C570" s="6">
        <v>10.6951</v>
      </c>
      <c r="D570" s="6">
        <v>7622.69</v>
      </c>
      <c r="E570" s="6">
        <v>0.94</v>
      </c>
      <c r="F570" s="6">
        <f t="shared" si="56"/>
        <v>1.0444444444444444E-2</v>
      </c>
      <c r="G570">
        <f t="shared" si="57"/>
        <v>0.94116766537092411</v>
      </c>
      <c r="H570">
        <f t="shared" si="58"/>
        <v>2.4729328351058797</v>
      </c>
      <c r="I570">
        <f t="shared" si="59"/>
        <v>0.23261012491781197</v>
      </c>
      <c r="J570">
        <f t="shared" si="60"/>
        <v>0.65488120386112991</v>
      </c>
      <c r="K570">
        <f t="shared" si="61"/>
        <v>0.93072322092647963</v>
      </c>
      <c r="L570">
        <f t="shared" si="62"/>
        <v>0.22216568047336752</v>
      </c>
    </row>
    <row r="571" spans="1:12" x14ac:dyDescent="0.25">
      <c r="A571" s="1">
        <v>41019</v>
      </c>
      <c r="B571" s="6">
        <v>63.604900000000001</v>
      </c>
      <c r="C571" s="6">
        <v>10.7689</v>
      </c>
      <c r="D571" s="6">
        <v>7507.15</v>
      </c>
      <c r="E571" s="6">
        <v>0.94</v>
      </c>
      <c r="F571" s="6">
        <f t="shared" si="56"/>
        <v>1.0444444444444444E-2</v>
      </c>
      <c r="G571">
        <f t="shared" si="57"/>
        <v>-1.7483127808491912</v>
      </c>
      <c r="H571">
        <f t="shared" si="58"/>
        <v>0.69003562379033678</v>
      </c>
      <c r="I571">
        <f t="shared" si="59"/>
        <v>-1.515737882558519</v>
      </c>
      <c r="J571">
        <f t="shared" si="60"/>
        <v>-1.2375075888331559</v>
      </c>
      <c r="K571">
        <f t="shared" si="61"/>
        <v>-1.7587572252936357</v>
      </c>
      <c r="L571">
        <f t="shared" si="62"/>
        <v>-1.5261823270029635</v>
      </c>
    </row>
    <row r="572" spans="1:12" x14ac:dyDescent="0.25">
      <c r="A572" s="1">
        <v>41022</v>
      </c>
      <c r="B572" s="6">
        <v>63.604900000000001</v>
      </c>
      <c r="C572" s="6">
        <v>11.1008</v>
      </c>
      <c r="D572" s="6">
        <v>7481.09</v>
      </c>
      <c r="E572" s="6">
        <v>0.94</v>
      </c>
      <c r="F572" s="6">
        <f t="shared" si="56"/>
        <v>1.0444444444444444E-2</v>
      </c>
      <c r="G572">
        <f t="shared" si="57"/>
        <v>0</v>
      </c>
      <c r="H572">
        <f t="shared" si="58"/>
        <v>3.0820232335707378</v>
      </c>
      <c r="I572">
        <f t="shared" si="59"/>
        <v>-0.34713573060348457</v>
      </c>
      <c r="J572">
        <f t="shared" si="60"/>
        <v>-7.3489843141871791E-3</v>
      </c>
      <c r="K572">
        <f t="shared" si="61"/>
        <v>-1.0444444444444444E-2</v>
      </c>
      <c r="L572">
        <f t="shared" si="62"/>
        <v>-0.35758017504792899</v>
      </c>
    </row>
    <row r="573" spans="1:12" x14ac:dyDescent="0.25">
      <c r="A573" s="1">
        <v>41023</v>
      </c>
      <c r="B573" s="6">
        <v>63.831299999999999</v>
      </c>
      <c r="C573" s="6">
        <v>10.8795</v>
      </c>
      <c r="D573" s="6">
        <v>7498.84</v>
      </c>
      <c r="E573" s="6">
        <v>0.94</v>
      </c>
      <c r="F573" s="6">
        <f t="shared" si="56"/>
        <v>1.0444444444444444E-2</v>
      </c>
      <c r="G573">
        <f t="shared" si="57"/>
        <v>0.35594741914537742</v>
      </c>
      <c r="H573">
        <f t="shared" si="58"/>
        <v>-1.9935500144133702</v>
      </c>
      <c r="I573">
        <f t="shared" si="59"/>
        <v>0.237264890544025</v>
      </c>
      <c r="J573">
        <f t="shared" si="60"/>
        <v>0.24310493057701596</v>
      </c>
      <c r="K573">
        <f t="shared" si="61"/>
        <v>0.345502974700933</v>
      </c>
      <c r="L573">
        <f t="shared" si="62"/>
        <v>0.22682044609958055</v>
      </c>
    </row>
    <row r="574" spans="1:12" x14ac:dyDescent="0.25">
      <c r="A574" s="1">
        <v>41024</v>
      </c>
      <c r="B574" s="6">
        <v>63.529499999999999</v>
      </c>
      <c r="C574" s="6">
        <v>10.9902</v>
      </c>
      <c r="D574" s="6">
        <v>7563.18</v>
      </c>
      <c r="E574" s="6">
        <v>0.94</v>
      </c>
      <c r="F574" s="6">
        <f t="shared" si="56"/>
        <v>1.0444444444444444E-2</v>
      </c>
      <c r="G574">
        <f t="shared" si="57"/>
        <v>-0.47280879443157209</v>
      </c>
      <c r="H574">
        <f t="shared" si="58"/>
        <v>1.0175099958637766</v>
      </c>
      <c r="I574">
        <f t="shared" si="59"/>
        <v>0.85799937056931663</v>
      </c>
      <c r="J574">
        <f t="shared" si="60"/>
        <v>-0.34002961968638257</v>
      </c>
      <c r="K574">
        <f t="shared" si="61"/>
        <v>-0.48325323887601651</v>
      </c>
      <c r="L574">
        <f t="shared" si="62"/>
        <v>0.84755492612487215</v>
      </c>
    </row>
    <row r="575" spans="1:12" x14ac:dyDescent="0.25">
      <c r="A575" s="1">
        <v>41025</v>
      </c>
      <c r="B575" s="6">
        <v>63.378599999999999</v>
      </c>
      <c r="C575" s="6">
        <v>11.026999999999999</v>
      </c>
      <c r="D575" s="6">
        <v>7521.35</v>
      </c>
      <c r="E575" s="6">
        <v>0.94</v>
      </c>
      <c r="F575" s="6">
        <f t="shared" si="56"/>
        <v>1.0444444444444444E-2</v>
      </c>
      <c r="G575">
        <f t="shared" si="57"/>
        <v>-0.23752744787854468</v>
      </c>
      <c r="H575">
        <f t="shared" si="58"/>
        <v>0.33484376990409181</v>
      </c>
      <c r="I575">
        <f t="shared" si="59"/>
        <v>-0.5530742359695251</v>
      </c>
      <c r="J575">
        <f t="shared" si="60"/>
        <v>-0.17447950982307059</v>
      </c>
      <c r="K575">
        <f t="shared" si="61"/>
        <v>-0.24797189232298913</v>
      </c>
      <c r="L575">
        <f t="shared" si="62"/>
        <v>-0.56351868041396957</v>
      </c>
    </row>
    <row r="576" spans="1:12" x14ac:dyDescent="0.25">
      <c r="A576" s="1">
        <v>41026</v>
      </c>
      <c r="B576" s="6">
        <v>64.887600000000006</v>
      </c>
      <c r="C576" s="6">
        <v>11.2852</v>
      </c>
      <c r="D576" s="6">
        <v>7480.5</v>
      </c>
      <c r="E576" s="6">
        <v>0.94</v>
      </c>
      <c r="F576" s="6">
        <f t="shared" si="56"/>
        <v>1.0444444444444444E-2</v>
      </c>
      <c r="G576">
        <f t="shared" si="57"/>
        <v>2.3809298406717843</v>
      </c>
      <c r="H576">
        <f t="shared" si="58"/>
        <v>2.3415253468758541</v>
      </c>
      <c r="I576">
        <f t="shared" si="59"/>
        <v>-0.5431205834059093</v>
      </c>
      <c r="J576">
        <f t="shared" si="60"/>
        <v>1.6679355313293671</v>
      </c>
      <c r="K576">
        <f t="shared" si="61"/>
        <v>2.3704853962273398</v>
      </c>
      <c r="L576">
        <f t="shared" si="62"/>
        <v>-0.55356502785035377</v>
      </c>
    </row>
    <row r="577" spans="1:12" x14ac:dyDescent="0.25">
      <c r="A577" s="1">
        <v>41029</v>
      </c>
      <c r="B577" s="6">
        <v>65.491200000000006</v>
      </c>
      <c r="C577" s="6">
        <v>11.2852</v>
      </c>
      <c r="D577" s="6">
        <v>7501.72</v>
      </c>
      <c r="E577" s="6">
        <v>0.94</v>
      </c>
      <c r="F577" s="6">
        <f t="shared" si="56"/>
        <v>1.0444444444444444E-2</v>
      </c>
      <c r="G577">
        <f t="shared" si="57"/>
        <v>0.93022395650324574</v>
      </c>
      <c r="H577">
        <f t="shared" si="58"/>
        <v>0</v>
      </c>
      <c r="I577">
        <f t="shared" si="59"/>
        <v>0.2836708776151361</v>
      </c>
      <c r="J577">
        <f t="shared" si="60"/>
        <v>0.64718092403912575</v>
      </c>
      <c r="K577">
        <f t="shared" si="61"/>
        <v>0.91977951205880126</v>
      </c>
      <c r="L577">
        <f t="shared" si="62"/>
        <v>0.27322643317069167</v>
      </c>
    </row>
    <row r="578" spans="1:12" x14ac:dyDescent="0.25">
      <c r="A578" s="1">
        <v>41031</v>
      </c>
      <c r="B578" s="6">
        <v>66.698400000000007</v>
      </c>
      <c r="C578" s="6">
        <v>11.4696</v>
      </c>
      <c r="D578" s="6">
        <v>7676.81</v>
      </c>
      <c r="E578" s="6">
        <v>0.94</v>
      </c>
      <c r="F578" s="6">
        <f t="shared" si="56"/>
        <v>1.0444444444444444E-2</v>
      </c>
      <c r="G578">
        <f t="shared" si="57"/>
        <v>1.8433010847258871</v>
      </c>
      <c r="H578">
        <f t="shared" si="58"/>
        <v>1.6339985113245679</v>
      </c>
      <c r="I578">
        <f t="shared" si="59"/>
        <v>2.3339980697759999</v>
      </c>
      <c r="J578">
        <f t="shared" si="60"/>
        <v>1.2896458754919067</v>
      </c>
      <c r="K578">
        <f t="shared" si="61"/>
        <v>1.8328566402814426</v>
      </c>
      <c r="L578">
        <f t="shared" si="62"/>
        <v>2.3235536253315554</v>
      </c>
    </row>
    <row r="579" spans="1:12" x14ac:dyDescent="0.25">
      <c r="A579" s="1">
        <v>41032</v>
      </c>
      <c r="B579" s="6">
        <v>67.075699999999998</v>
      </c>
      <c r="C579" s="6">
        <v>11.4696</v>
      </c>
      <c r="D579" s="6">
        <v>7659.53</v>
      </c>
      <c r="E579" s="6">
        <v>0.94</v>
      </c>
      <c r="F579" s="6">
        <f t="shared" ref="F579:F642" si="63">E579/90</f>
        <v>1.0444444444444444E-2</v>
      </c>
      <c r="G579">
        <f t="shared" si="57"/>
        <v>0.56568073596966506</v>
      </c>
      <c r="H579">
        <f t="shared" si="58"/>
        <v>0</v>
      </c>
      <c r="I579">
        <f t="shared" si="59"/>
        <v>-0.22509349586613001</v>
      </c>
      <c r="J579">
        <f t="shared" si="60"/>
        <v>0.39067877844443355</v>
      </c>
      <c r="K579">
        <f t="shared" si="61"/>
        <v>0.55523629152522058</v>
      </c>
      <c r="L579">
        <f t="shared" si="62"/>
        <v>-0.23553794031057446</v>
      </c>
    </row>
    <row r="580" spans="1:12" x14ac:dyDescent="0.25">
      <c r="A580" s="1">
        <v>41033</v>
      </c>
      <c r="B580" s="6">
        <v>66.094800000000006</v>
      </c>
      <c r="C580" s="6">
        <v>11.2483</v>
      </c>
      <c r="D580" s="6">
        <v>7700.95</v>
      </c>
      <c r="E580" s="6">
        <v>0.94</v>
      </c>
      <c r="F580" s="6">
        <f t="shared" si="63"/>
        <v>1.0444444444444444E-2</v>
      </c>
      <c r="G580">
        <f t="shared" ref="G580:G643" si="64">100*(B580-B579)/B579</f>
        <v>-1.4623775823435183</v>
      </c>
      <c r="H580">
        <f t="shared" ref="H580:H643" si="65">100*(C580-C579)/C579</f>
        <v>-1.9294482806723807</v>
      </c>
      <c r="I580">
        <f t="shared" ref="I580:I643" si="66">100*(D580-D579)/D579</f>
        <v>0.54076425054801114</v>
      </c>
      <c r="J580">
        <f t="shared" ref="J580:J643" si="67">(G580-F580)/$N$3</f>
        <v>-1.0363161037456061</v>
      </c>
      <c r="K580">
        <f t="shared" ref="K580:K643" si="68">G580-F580</f>
        <v>-1.4728220267879628</v>
      </c>
      <c r="L580">
        <f t="shared" ref="L580:L643" si="69">I580-F580</f>
        <v>0.53031980610356666</v>
      </c>
    </row>
    <row r="581" spans="1:12" x14ac:dyDescent="0.25">
      <c r="A581" s="1">
        <v>41036</v>
      </c>
      <c r="B581" s="6">
        <v>64.585800000000006</v>
      </c>
      <c r="C581" s="6">
        <v>10.6951</v>
      </c>
      <c r="D581" s="6">
        <v>7538.08</v>
      </c>
      <c r="E581" s="6">
        <v>0.94</v>
      </c>
      <c r="F581" s="6">
        <f t="shared" si="63"/>
        <v>1.0444444444444444E-2</v>
      </c>
      <c r="G581">
        <f t="shared" si="64"/>
        <v>-2.2830842971005287</v>
      </c>
      <c r="H581">
        <f t="shared" si="65"/>
        <v>-4.9180765093391923</v>
      </c>
      <c r="I581">
        <f t="shared" si="66"/>
        <v>-2.1149338717950368</v>
      </c>
      <c r="J581">
        <f t="shared" si="67"/>
        <v>-1.6137868160825877</v>
      </c>
      <c r="K581">
        <f t="shared" si="68"/>
        <v>-2.2935287415449732</v>
      </c>
      <c r="L581">
        <f t="shared" si="69"/>
        <v>-2.1253783162394813</v>
      </c>
    </row>
    <row r="582" spans="1:12" x14ac:dyDescent="0.25">
      <c r="A582" s="1">
        <v>41037</v>
      </c>
      <c r="B582" s="6">
        <v>63.680399999999999</v>
      </c>
      <c r="C582" s="6">
        <v>10.8795</v>
      </c>
      <c r="D582" s="6">
        <v>7545.71</v>
      </c>
      <c r="E582" s="6">
        <v>0.94</v>
      </c>
      <c r="F582" s="6">
        <f t="shared" si="63"/>
        <v>1.0444444444444444E-2</v>
      </c>
      <c r="G582">
        <f t="shared" si="64"/>
        <v>-1.4018561355592207</v>
      </c>
      <c r="H582">
        <f t="shared" si="65"/>
        <v>1.7241540518555238</v>
      </c>
      <c r="I582">
        <f t="shared" si="66"/>
        <v>0.10121940865578648</v>
      </c>
      <c r="J582">
        <f t="shared" si="67"/>
        <v>-0.99373163068382475</v>
      </c>
      <c r="K582">
        <f t="shared" si="68"/>
        <v>-1.4123005800036652</v>
      </c>
      <c r="L582">
        <f t="shared" si="69"/>
        <v>9.0774964211342041E-2</v>
      </c>
    </row>
    <row r="583" spans="1:12" x14ac:dyDescent="0.25">
      <c r="A583" s="1">
        <v>41038</v>
      </c>
      <c r="B583" s="6">
        <v>63.831299999999999</v>
      </c>
      <c r="C583" s="6">
        <v>10.658200000000001</v>
      </c>
      <c r="D583" s="6">
        <v>7475.71</v>
      </c>
      <c r="E583" s="6">
        <v>0.94</v>
      </c>
      <c r="F583" s="6">
        <f t="shared" si="63"/>
        <v>1.0444444444444444E-2</v>
      </c>
      <c r="G583">
        <f t="shared" si="64"/>
        <v>0.23696459193095526</v>
      </c>
      <c r="H583">
        <f t="shared" si="65"/>
        <v>-2.0341008318396927</v>
      </c>
      <c r="I583">
        <f t="shared" si="66"/>
        <v>-0.92767943639498474</v>
      </c>
      <c r="J583">
        <f t="shared" si="67"/>
        <v>0.15938550102693202</v>
      </c>
      <c r="K583">
        <f t="shared" si="68"/>
        <v>0.22652014748651081</v>
      </c>
      <c r="L583">
        <f t="shared" si="69"/>
        <v>-0.93812388083942921</v>
      </c>
    </row>
    <row r="584" spans="1:12" x14ac:dyDescent="0.25">
      <c r="A584" s="1">
        <v>41039</v>
      </c>
      <c r="B584" s="6">
        <v>64.359399999999994</v>
      </c>
      <c r="C584" s="6">
        <v>10.731999999999999</v>
      </c>
      <c r="D584" s="6">
        <v>7484.01</v>
      </c>
      <c r="E584" s="6">
        <v>0.94</v>
      </c>
      <c r="F584" s="6">
        <f t="shared" si="63"/>
        <v>1.0444444444444444E-2</v>
      </c>
      <c r="G584">
        <f t="shared" si="64"/>
        <v>0.82733705877836561</v>
      </c>
      <c r="H584">
        <f t="shared" si="65"/>
        <v>0.69242461203578964</v>
      </c>
      <c r="I584">
        <f t="shared" si="66"/>
        <v>0.11102624366113964</v>
      </c>
      <c r="J584">
        <f t="shared" si="67"/>
        <v>0.5747870115110435</v>
      </c>
      <c r="K584">
        <f t="shared" si="68"/>
        <v>0.81689261433392113</v>
      </c>
      <c r="L584">
        <f t="shared" si="69"/>
        <v>0.10058179921669519</v>
      </c>
    </row>
    <row r="585" spans="1:12" x14ac:dyDescent="0.25">
      <c r="A585" s="1">
        <v>41040</v>
      </c>
      <c r="B585" s="6">
        <v>64.510300000000001</v>
      </c>
      <c r="C585" s="6">
        <v>10.842599999999999</v>
      </c>
      <c r="D585" s="6">
        <v>7401.37</v>
      </c>
      <c r="E585" s="6">
        <v>0.94</v>
      </c>
      <c r="F585" s="6">
        <f t="shared" si="63"/>
        <v>1.0444444444444444E-2</v>
      </c>
      <c r="G585">
        <f t="shared" si="64"/>
        <v>0.23446458481590438</v>
      </c>
      <c r="H585">
        <f t="shared" si="65"/>
        <v>1.0305628028326483</v>
      </c>
      <c r="I585">
        <f t="shared" si="66"/>
        <v>-1.104220865552028</v>
      </c>
      <c r="J585">
        <f t="shared" si="67"/>
        <v>0.15762643062624279</v>
      </c>
      <c r="K585">
        <f t="shared" si="68"/>
        <v>0.22402014037145992</v>
      </c>
      <c r="L585">
        <f t="shared" si="69"/>
        <v>-1.1146653099964725</v>
      </c>
    </row>
    <row r="586" spans="1:12" x14ac:dyDescent="0.25">
      <c r="A586" s="1">
        <v>41043</v>
      </c>
      <c r="B586" s="6">
        <v>64.434899999999999</v>
      </c>
      <c r="C586" s="6">
        <v>10.842599999999999</v>
      </c>
      <c r="D586" s="6">
        <v>7377.18</v>
      </c>
      <c r="E586" s="6">
        <v>0.94</v>
      </c>
      <c r="F586" s="6">
        <f t="shared" si="63"/>
        <v>1.0444444444444444E-2</v>
      </c>
      <c r="G586">
        <f t="shared" si="64"/>
        <v>-0.11688056015861328</v>
      </c>
      <c r="H586">
        <f t="shared" si="65"/>
        <v>0</v>
      </c>
      <c r="I586">
        <f t="shared" si="66"/>
        <v>-0.32683138391945815</v>
      </c>
      <c r="J586">
        <f t="shared" si="67"/>
        <v>-8.9589203773246126E-2</v>
      </c>
      <c r="K586">
        <f t="shared" si="68"/>
        <v>-0.12732500460305773</v>
      </c>
      <c r="L586">
        <f t="shared" si="69"/>
        <v>-0.33727582836390257</v>
      </c>
    </row>
    <row r="587" spans="1:12" x14ac:dyDescent="0.25">
      <c r="A587" s="1">
        <v>41044</v>
      </c>
      <c r="B587" s="6">
        <v>64.510300000000001</v>
      </c>
      <c r="C587" s="6">
        <v>10.658200000000001</v>
      </c>
      <c r="D587" s="6">
        <v>7395.64</v>
      </c>
      <c r="E587" s="6">
        <v>0.94</v>
      </c>
      <c r="F587" s="6">
        <f t="shared" si="63"/>
        <v>1.0444444444444444E-2</v>
      </c>
      <c r="G587">
        <f t="shared" si="64"/>
        <v>0.11701733067018326</v>
      </c>
      <c r="H587">
        <f t="shared" si="65"/>
        <v>-1.700699094313157</v>
      </c>
      <c r="I587">
        <f t="shared" si="66"/>
        <v>0.250231118123728</v>
      </c>
      <c r="J587">
        <f t="shared" si="67"/>
        <v>7.4987470454420058E-2</v>
      </c>
      <c r="K587">
        <f t="shared" si="68"/>
        <v>0.10657288622573882</v>
      </c>
      <c r="L587">
        <f t="shared" si="69"/>
        <v>0.23978667367928355</v>
      </c>
    </row>
    <row r="588" spans="1:12" x14ac:dyDescent="0.25">
      <c r="A588" s="1">
        <v>41045</v>
      </c>
      <c r="B588" s="6">
        <v>62.925899999999999</v>
      </c>
      <c r="C588" s="6">
        <v>10.178800000000001</v>
      </c>
      <c r="D588" s="6">
        <v>7234.57</v>
      </c>
      <c r="E588" s="6">
        <v>0.94</v>
      </c>
      <c r="F588" s="6">
        <f t="shared" si="63"/>
        <v>1.0444444444444444E-2</v>
      </c>
      <c r="G588">
        <f t="shared" si="64"/>
        <v>-2.4560419033859744</v>
      </c>
      <c r="H588">
        <f t="shared" si="65"/>
        <v>-4.4979452440374548</v>
      </c>
      <c r="I588">
        <f t="shared" si="66"/>
        <v>-2.177904819596419</v>
      </c>
      <c r="J588">
        <f t="shared" si="67"/>
        <v>-1.7354843120453527</v>
      </c>
      <c r="K588">
        <f t="shared" si="68"/>
        <v>-2.4664863478304189</v>
      </c>
      <c r="L588">
        <f t="shared" si="69"/>
        <v>-2.1883492640408635</v>
      </c>
    </row>
    <row r="589" spans="1:12" x14ac:dyDescent="0.25">
      <c r="A589" s="1">
        <v>41046</v>
      </c>
      <c r="B589" s="6">
        <v>64.208500000000001</v>
      </c>
      <c r="C589" s="6">
        <v>10.3263</v>
      </c>
      <c r="D589" s="6">
        <v>7356.77</v>
      </c>
      <c r="E589" s="6">
        <v>0.94</v>
      </c>
      <c r="F589" s="6">
        <f t="shared" si="63"/>
        <v>1.0444444444444444E-2</v>
      </c>
      <c r="G589">
        <f t="shared" si="64"/>
        <v>2.0382704101173004</v>
      </c>
      <c r="H589">
        <f t="shared" si="65"/>
        <v>1.4490902660431393</v>
      </c>
      <c r="I589">
        <f t="shared" si="66"/>
        <v>1.6891121379708915</v>
      </c>
      <c r="J589">
        <f t="shared" si="67"/>
        <v>1.4268313927944851</v>
      </c>
      <c r="K589">
        <f t="shared" si="68"/>
        <v>2.0278259656728559</v>
      </c>
      <c r="L589">
        <f t="shared" si="69"/>
        <v>1.6786676935264471</v>
      </c>
    </row>
    <row r="590" spans="1:12" x14ac:dyDescent="0.25">
      <c r="A590" s="1">
        <v>41047</v>
      </c>
      <c r="B590" s="6">
        <v>61.718699999999998</v>
      </c>
      <c r="C590" s="6">
        <v>9.7730999999999995</v>
      </c>
      <c r="D590" s="6">
        <v>7151.19</v>
      </c>
      <c r="E590" s="6">
        <v>0.94</v>
      </c>
      <c r="F590" s="6">
        <f t="shared" si="63"/>
        <v>1.0444444444444444E-2</v>
      </c>
      <c r="G590">
        <f t="shared" si="64"/>
        <v>-3.8776797464510189</v>
      </c>
      <c r="H590">
        <f t="shared" si="65"/>
        <v>-5.3571947357717704</v>
      </c>
      <c r="I590">
        <f t="shared" si="66"/>
        <v>-2.7944328829092226</v>
      </c>
      <c r="J590">
        <f t="shared" si="67"/>
        <v>-2.7357858852608756</v>
      </c>
      <c r="K590">
        <f t="shared" si="68"/>
        <v>-3.8881241908954634</v>
      </c>
      <c r="L590">
        <f t="shared" si="69"/>
        <v>-2.8048773273536671</v>
      </c>
    </row>
    <row r="591" spans="1:12" x14ac:dyDescent="0.25">
      <c r="A591" s="1">
        <v>41050</v>
      </c>
      <c r="B591" s="6">
        <v>62.2468</v>
      </c>
      <c r="C591" s="6">
        <v>9.7730999999999995</v>
      </c>
      <c r="D591" s="6">
        <v>7192.23</v>
      </c>
      <c r="E591" s="6">
        <v>0.94</v>
      </c>
      <c r="F591" s="6">
        <f t="shared" si="63"/>
        <v>1.0444444444444444E-2</v>
      </c>
      <c r="G591">
        <f t="shared" si="64"/>
        <v>0.85565638939252131</v>
      </c>
      <c r="H591">
        <f t="shared" si="65"/>
        <v>0</v>
      </c>
      <c r="I591">
        <f t="shared" si="66"/>
        <v>0.57389049934346548</v>
      </c>
      <c r="J591">
        <f t="shared" si="67"/>
        <v>0.59471323330088821</v>
      </c>
      <c r="K591">
        <f t="shared" si="68"/>
        <v>0.84521194494807683</v>
      </c>
      <c r="L591">
        <f t="shared" si="69"/>
        <v>0.563446054899021</v>
      </c>
    </row>
    <row r="592" spans="1:12" x14ac:dyDescent="0.25">
      <c r="A592" s="1">
        <v>41051</v>
      </c>
      <c r="B592" s="6">
        <v>62.020499999999998</v>
      </c>
      <c r="C592" s="6">
        <v>9.8468999999999998</v>
      </c>
      <c r="D592" s="6">
        <v>7274.89</v>
      </c>
      <c r="E592" s="6">
        <v>0.94</v>
      </c>
      <c r="F592" s="6">
        <f t="shared" si="63"/>
        <v>1.0444444444444444E-2</v>
      </c>
      <c r="G592">
        <f t="shared" si="64"/>
        <v>-0.36355282520547555</v>
      </c>
      <c r="H592">
        <f t="shared" si="65"/>
        <v>0.75513399023851502</v>
      </c>
      <c r="I592">
        <f t="shared" si="66"/>
        <v>1.1492958373133335</v>
      </c>
      <c r="J592">
        <f t="shared" si="67"/>
        <v>-0.26315426184951973</v>
      </c>
      <c r="K592">
        <f t="shared" si="68"/>
        <v>-0.37399726964991997</v>
      </c>
      <c r="L592">
        <f t="shared" si="69"/>
        <v>1.138851392868889</v>
      </c>
    </row>
    <row r="593" spans="1:12" x14ac:dyDescent="0.25">
      <c r="A593" s="1">
        <v>41052</v>
      </c>
      <c r="B593" s="6">
        <v>59.6815</v>
      </c>
      <c r="C593" s="6">
        <v>9.4042999999999992</v>
      </c>
      <c r="D593" s="6">
        <v>7147.75</v>
      </c>
      <c r="E593" s="6">
        <v>0.94</v>
      </c>
      <c r="F593" s="6">
        <f t="shared" si="63"/>
        <v>1.0444444444444444E-2</v>
      </c>
      <c r="G593">
        <f t="shared" si="64"/>
        <v>-3.7713336719310528</v>
      </c>
      <c r="H593">
        <f t="shared" si="65"/>
        <v>-4.4948156272532529</v>
      </c>
      <c r="I593">
        <f t="shared" si="66"/>
        <v>-1.7476552910078409</v>
      </c>
      <c r="J593">
        <f t="shared" si="67"/>
        <v>-2.6609580054555195</v>
      </c>
      <c r="K593">
        <f t="shared" si="68"/>
        <v>-3.7817781163754973</v>
      </c>
      <c r="L593">
        <f t="shared" si="69"/>
        <v>-1.7580997354522854</v>
      </c>
    </row>
    <row r="594" spans="1:12" x14ac:dyDescent="0.25">
      <c r="A594" s="1">
        <v>41053</v>
      </c>
      <c r="B594" s="6">
        <v>60.813299999999998</v>
      </c>
      <c r="C594" s="6">
        <v>9.2568000000000001</v>
      </c>
      <c r="D594" s="6">
        <v>7124.89</v>
      </c>
      <c r="E594" s="6">
        <v>0.94</v>
      </c>
      <c r="F594" s="6">
        <f t="shared" si="63"/>
        <v>1.0444444444444444E-2</v>
      </c>
      <c r="G594">
        <f t="shared" si="64"/>
        <v>1.8964000569690749</v>
      </c>
      <c r="H594">
        <f t="shared" si="65"/>
        <v>-1.5684314622034505</v>
      </c>
      <c r="I594">
        <f t="shared" si="66"/>
        <v>-0.31982092266796786</v>
      </c>
      <c r="J594">
        <f t="shared" si="67"/>
        <v>1.3270077013113941</v>
      </c>
      <c r="K594">
        <f t="shared" si="68"/>
        <v>1.8859556125246304</v>
      </c>
      <c r="L594">
        <f t="shared" si="69"/>
        <v>-0.33026536711241228</v>
      </c>
    </row>
    <row r="595" spans="1:12" x14ac:dyDescent="0.25">
      <c r="A595" s="1">
        <v>41054</v>
      </c>
      <c r="B595" s="6">
        <v>60.360599999999998</v>
      </c>
      <c r="C595" s="6">
        <v>9.2936999999999994</v>
      </c>
      <c r="D595" s="6">
        <v>7071.63</v>
      </c>
      <c r="E595" s="6">
        <v>0.94</v>
      </c>
      <c r="F595" s="6">
        <f t="shared" si="63"/>
        <v>1.0444444444444444E-2</v>
      </c>
      <c r="G595">
        <f t="shared" si="64"/>
        <v>-0.74440952883661982</v>
      </c>
      <c r="H595">
        <f t="shared" si="65"/>
        <v>0.39862587503240066</v>
      </c>
      <c r="I595">
        <f t="shared" si="66"/>
        <v>-0.74752031259430274</v>
      </c>
      <c r="J595">
        <f t="shared" si="67"/>
        <v>-0.53113500087552856</v>
      </c>
      <c r="K595">
        <f t="shared" si="68"/>
        <v>-0.75485397328106429</v>
      </c>
      <c r="L595">
        <f t="shared" si="69"/>
        <v>-0.75796475703874722</v>
      </c>
    </row>
    <row r="596" spans="1:12" x14ac:dyDescent="0.25">
      <c r="A596" s="1">
        <v>41057</v>
      </c>
      <c r="B596" s="6">
        <v>61.567799999999998</v>
      </c>
      <c r="C596" s="6">
        <v>9.3674999999999997</v>
      </c>
      <c r="D596" s="6">
        <v>7136</v>
      </c>
      <c r="E596" s="6">
        <v>0.94</v>
      </c>
      <c r="F596" s="6">
        <f t="shared" si="63"/>
        <v>1.0444444444444444E-2</v>
      </c>
      <c r="G596">
        <f t="shared" si="64"/>
        <v>1.9999801194819142</v>
      </c>
      <c r="H596">
        <f t="shared" si="65"/>
        <v>0.79408631653701234</v>
      </c>
      <c r="I596">
        <f t="shared" si="66"/>
        <v>0.91025689975295498</v>
      </c>
      <c r="J596">
        <f t="shared" si="67"/>
        <v>1.3998893427159096</v>
      </c>
      <c r="K596">
        <f t="shared" si="68"/>
        <v>1.9895356750374698</v>
      </c>
      <c r="L596">
        <f t="shared" si="69"/>
        <v>0.89981245530851051</v>
      </c>
    </row>
    <row r="597" spans="1:12" x14ac:dyDescent="0.25">
      <c r="A597" s="1">
        <v>41058</v>
      </c>
      <c r="B597" s="6">
        <v>62.0959</v>
      </c>
      <c r="C597" s="6">
        <v>9.81</v>
      </c>
      <c r="D597" s="6">
        <v>7342.29</v>
      </c>
      <c r="E597" s="6">
        <v>0.94</v>
      </c>
      <c r="F597" s="6">
        <f t="shared" si="63"/>
        <v>1.0444444444444444E-2</v>
      </c>
      <c r="G597">
        <f t="shared" si="64"/>
        <v>0.85775356598741881</v>
      </c>
      <c r="H597">
        <f t="shared" si="65"/>
        <v>4.723779023218583</v>
      </c>
      <c r="I597">
        <f t="shared" si="66"/>
        <v>2.8908352017937213</v>
      </c>
      <c r="J597">
        <f t="shared" si="67"/>
        <v>0.59618886161046103</v>
      </c>
      <c r="K597">
        <f t="shared" si="68"/>
        <v>0.84730912154297433</v>
      </c>
      <c r="L597">
        <f t="shared" si="69"/>
        <v>2.8803907573492769</v>
      </c>
    </row>
    <row r="598" spans="1:12" x14ac:dyDescent="0.25">
      <c r="A598" s="1">
        <v>41059</v>
      </c>
      <c r="B598" s="6">
        <v>61.6432</v>
      </c>
      <c r="C598" s="6">
        <v>9.8468999999999998</v>
      </c>
      <c r="D598" s="6">
        <v>7261.8</v>
      </c>
      <c r="E598" s="6">
        <v>0.94</v>
      </c>
      <c r="F598" s="6">
        <f t="shared" si="63"/>
        <v>1.0444444444444444E-2</v>
      </c>
      <c r="G598">
        <f t="shared" si="64"/>
        <v>-0.72903363990215153</v>
      </c>
      <c r="H598">
        <f t="shared" si="65"/>
        <v>0.37614678899081821</v>
      </c>
      <c r="I598">
        <f t="shared" si="66"/>
        <v>-1.0962519867779641</v>
      </c>
      <c r="J598">
        <f t="shared" si="67"/>
        <v>-0.52031612322271137</v>
      </c>
      <c r="K598">
        <f t="shared" si="68"/>
        <v>-0.73947808434659601</v>
      </c>
      <c r="L598">
        <f t="shared" si="69"/>
        <v>-1.1066964312224086</v>
      </c>
    </row>
    <row r="599" spans="1:12" x14ac:dyDescent="0.25">
      <c r="A599" s="1">
        <v>41060</v>
      </c>
      <c r="B599" s="6">
        <v>64.208500000000001</v>
      </c>
      <c r="C599" s="6">
        <v>9.6624999999999996</v>
      </c>
      <c r="D599" s="6">
        <v>7301.5</v>
      </c>
      <c r="E599" s="6">
        <v>0.94</v>
      </c>
      <c r="F599" s="6">
        <f t="shared" si="63"/>
        <v>1.0444444444444444E-2</v>
      </c>
      <c r="G599">
        <f t="shared" si="64"/>
        <v>4.1615295766605254</v>
      </c>
      <c r="H599">
        <f t="shared" si="65"/>
        <v>-1.8726705866821043</v>
      </c>
      <c r="I599">
        <f t="shared" si="66"/>
        <v>0.54669641135806302</v>
      </c>
      <c r="J599">
        <f t="shared" si="67"/>
        <v>2.9208120820383439</v>
      </c>
      <c r="K599">
        <f t="shared" si="68"/>
        <v>4.1510851322160809</v>
      </c>
      <c r="L599">
        <f t="shared" si="69"/>
        <v>0.53625196691361854</v>
      </c>
    </row>
    <row r="600" spans="1:12" x14ac:dyDescent="0.25">
      <c r="A600" s="1">
        <v>41061</v>
      </c>
      <c r="B600" s="6">
        <v>60.2851</v>
      </c>
      <c r="C600" s="6">
        <v>9.2568000000000001</v>
      </c>
      <c r="D600" s="6">
        <v>7106.09</v>
      </c>
      <c r="E600" s="6">
        <v>0.94</v>
      </c>
      <c r="F600" s="6">
        <f t="shared" si="63"/>
        <v>1.0444444444444444E-2</v>
      </c>
      <c r="G600">
        <f t="shared" si="64"/>
        <v>-6.110405943138371</v>
      </c>
      <c r="H600">
        <f t="shared" si="65"/>
        <v>-4.1987063389391928</v>
      </c>
      <c r="I600">
        <f t="shared" si="66"/>
        <v>-2.6762993905361894</v>
      </c>
      <c r="J600">
        <f t="shared" si="67"/>
        <v>-4.3067904403244004</v>
      </c>
      <c r="K600">
        <f t="shared" si="68"/>
        <v>-6.1208503875828155</v>
      </c>
      <c r="L600">
        <f t="shared" si="69"/>
        <v>-2.6867438349806338</v>
      </c>
    </row>
    <row r="601" spans="1:12" x14ac:dyDescent="0.25">
      <c r="A601" s="1">
        <v>41064</v>
      </c>
      <c r="B601" s="6">
        <v>57.719799999999999</v>
      </c>
      <c r="C601" s="6">
        <v>8.7405000000000008</v>
      </c>
      <c r="D601" s="6">
        <v>6894.66</v>
      </c>
      <c r="E601" s="6">
        <v>0.94</v>
      </c>
      <c r="F601" s="6">
        <f t="shared" si="63"/>
        <v>1.0444444444444444E-2</v>
      </c>
      <c r="G601">
        <f t="shared" si="64"/>
        <v>-4.2552803263161225</v>
      </c>
      <c r="H601">
        <f t="shared" si="65"/>
        <v>-5.5775213896810918</v>
      </c>
      <c r="I601">
        <f t="shared" si="66"/>
        <v>-2.9753352406175591</v>
      </c>
      <c r="J601">
        <f t="shared" si="67"/>
        <v>-3.0014755304322551</v>
      </c>
      <c r="K601">
        <f t="shared" si="68"/>
        <v>-4.265724770760567</v>
      </c>
      <c r="L601">
        <f t="shared" si="69"/>
        <v>-2.9857796850620035</v>
      </c>
    </row>
    <row r="602" spans="1:12" x14ac:dyDescent="0.25">
      <c r="A602" s="1">
        <v>41065</v>
      </c>
      <c r="B602" s="6">
        <v>59.002400000000002</v>
      </c>
      <c r="C602" s="6">
        <v>8.7035999999999998</v>
      </c>
      <c r="D602" s="6">
        <v>7000.45</v>
      </c>
      <c r="E602" s="6">
        <v>0.94</v>
      </c>
      <c r="F602" s="6">
        <f t="shared" si="63"/>
        <v>1.0444444444444444E-2</v>
      </c>
      <c r="G602">
        <f t="shared" si="64"/>
        <v>2.2221144217408968</v>
      </c>
      <c r="H602">
        <f t="shared" si="65"/>
        <v>-0.42217264458556192</v>
      </c>
      <c r="I602">
        <f t="shared" si="66"/>
        <v>1.5343758793036926</v>
      </c>
      <c r="J602">
        <f t="shared" si="67"/>
        <v>1.5561888483169479</v>
      </c>
      <c r="K602">
        <f t="shared" si="68"/>
        <v>2.2116699772964523</v>
      </c>
      <c r="L602">
        <f t="shared" si="69"/>
        <v>1.5239314348592481</v>
      </c>
    </row>
    <row r="603" spans="1:12" x14ac:dyDescent="0.25">
      <c r="A603" s="1">
        <v>41066</v>
      </c>
      <c r="B603" s="6">
        <v>58.700600000000001</v>
      </c>
      <c r="C603" s="6">
        <v>8.7405000000000008</v>
      </c>
      <c r="D603" s="6">
        <v>7056.15</v>
      </c>
      <c r="E603" s="6">
        <v>0.94</v>
      </c>
      <c r="F603" s="6">
        <f t="shared" si="63"/>
        <v>1.0444444444444444E-2</v>
      </c>
      <c r="G603">
        <f t="shared" si="64"/>
        <v>-0.51150461676135217</v>
      </c>
      <c r="H603">
        <f t="shared" si="65"/>
        <v>0.42396249827658722</v>
      </c>
      <c r="I603">
        <f t="shared" si="66"/>
        <v>0.79566313594125837</v>
      </c>
      <c r="J603">
        <f t="shared" si="67"/>
        <v>-0.36725701247292675</v>
      </c>
      <c r="K603">
        <f t="shared" si="68"/>
        <v>-0.52194906120579665</v>
      </c>
      <c r="L603">
        <f t="shared" si="69"/>
        <v>0.78521869149681389</v>
      </c>
    </row>
    <row r="604" spans="1:12" x14ac:dyDescent="0.25">
      <c r="A604" s="1">
        <v>41067</v>
      </c>
      <c r="B604" s="6">
        <v>60.209699999999998</v>
      </c>
      <c r="C604" s="6">
        <v>8.7774000000000001</v>
      </c>
      <c r="D604" s="6">
        <v>7080.31</v>
      </c>
      <c r="E604" s="6">
        <v>0.94</v>
      </c>
      <c r="F604" s="6">
        <f t="shared" si="63"/>
        <v>1.0444444444444444E-2</v>
      </c>
      <c r="G604">
        <f t="shared" si="64"/>
        <v>2.5708425467542009</v>
      </c>
      <c r="H604">
        <f t="shared" si="65"/>
        <v>0.4221726445855416</v>
      </c>
      <c r="I604">
        <f t="shared" si="66"/>
        <v>0.34239634928396884</v>
      </c>
      <c r="J604">
        <f t="shared" si="67"/>
        <v>1.8015630790163957</v>
      </c>
      <c r="K604">
        <f t="shared" si="68"/>
        <v>2.5603981023097564</v>
      </c>
      <c r="L604">
        <f t="shared" si="69"/>
        <v>0.33195190483952441</v>
      </c>
    </row>
    <row r="605" spans="1:12" x14ac:dyDescent="0.25">
      <c r="A605" s="1">
        <v>41068</v>
      </c>
      <c r="B605" s="6">
        <v>58.7761</v>
      </c>
      <c r="C605" s="6">
        <v>8.8511000000000006</v>
      </c>
      <c r="D605" s="6">
        <v>6999.65</v>
      </c>
      <c r="E605" s="6">
        <v>0.94</v>
      </c>
      <c r="F605" s="6">
        <f t="shared" si="63"/>
        <v>1.0444444444444444E-2</v>
      </c>
      <c r="G605">
        <f t="shared" si="64"/>
        <v>-2.3810116974507403</v>
      </c>
      <c r="H605">
        <f t="shared" si="65"/>
        <v>0.8396563902750307</v>
      </c>
      <c r="I605">
        <f t="shared" si="66"/>
        <v>-1.1392156558116913</v>
      </c>
      <c r="J605">
        <f t="shared" si="67"/>
        <v>-1.6826910965286035</v>
      </c>
      <c r="K605">
        <f t="shared" si="68"/>
        <v>-2.3914561418951847</v>
      </c>
      <c r="L605">
        <f t="shared" si="69"/>
        <v>-1.1496601002561357</v>
      </c>
    </row>
    <row r="606" spans="1:12" x14ac:dyDescent="0.25">
      <c r="A606" s="1">
        <v>41071</v>
      </c>
      <c r="B606" s="6">
        <v>60.662399999999998</v>
      </c>
      <c r="C606" s="6">
        <v>8.9248999999999992</v>
      </c>
      <c r="D606" s="6">
        <v>7120.23</v>
      </c>
      <c r="E606" s="6">
        <v>0.94</v>
      </c>
      <c r="F606" s="6">
        <f t="shared" si="63"/>
        <v>1.0444444444444444E-2</v>
      </c>
      <c r="G606">
        <f t="shared" si="64"/>
        <v>3.2092976567005951</v>
      </c>
      <c r="H606">
        <f t="shared" si="65"/>
        <v>0.833794669589074</v>
      </c>
      <c r="I606">
        <f t="shared" si="66"/>
        <v>1.7226575614495001</v>
      </c>
      <c r="J606">
        <f t="shared" si="67"/>
        <v>2.2507967949182928</v>
      </c>
      <c r="K606">
        <f t="shared" si="68"/>
        <v>3.1988532122561506</v>
      </c>
      <c r="L606">
        <f t="shared" si="69"/>
        <v>1.7122131170050556</v>
      </c>
    </row>
    <row r="607" spans="1:12" x14ac:dyDescent="0.25">
      <c r="A607" s="1">
        <v>41072</v>
      </c>
      <c r="B607" s="6">
        <v>59.907899999999998</v>
      </c>
      <c r="C607" s="6">
        <v>9.0355000000000008</v>
      </c>
      <c r="D607" s="6">
        <v>7072.08</v>
      </c>
      <c r="E607" s="6">
        <v>0.94</v>
      </c>
      <c r="F607" s="6">
        <f t="shared" si="63"/>
        <v>1.0444444444444444E-2</v>
      </c>
      <c r="G607">
        <f t="shared" si="64"/>
        <v>-1.2437687925304639</v>
      </c>
      <c r="H607">
        <f t="shared" si="65"/>
        <v>1.2392295711996952</v>
      </c>
      <c r="I607">
        <f t="shared" si="66"/>
        <v>-0.67624220004128577</v>
      </c>
      <c r="J607">
        <f t="shared" si="67"/>
        <v>-0.8824972409209656</v>
      </c>
      <c r="K607">
        <f t="shared" si="68"/>
        <v>-1.2542132369749084</v>
      </c>
      <c r="L607">
        <f t="shared" si="69"/>
        <v>-0.68668664448573025</v>
      </c>
    </row>
    <row r="608" spans="1:12" x14ac:dyDescent="0.25">
      <c r="A608" s="1">
        <v>41073</v>
      </c>
      <c r="B608" s="6">
        <v>60.360599999999998</v>
      </c>
      <c r="C608" s="6">
        <v>9.0724</v>
      </c>
      <c r="D608" s="6">
        <v>7088.83</v>
      </c>
      <c r="E608" s="6">
        <v>0.94</v>
      </c>
      <c r="F608" s="6">
        <f t="shared" si="63"/>
        <v>1.0444444444444444E-2</v>
      </c>
      <c r="G608">
        <f t="shared" si="64"/>
        <v>0.75565993800483766</v>
      </c>
      <c r="H608">
        <f t="shared" si="65"/>
        <v>0.40838913175805724</v>
      </c>
      <c r="I608">
        <f t="shared" si="66"/>
        <v>0.23684686824809675</v>
      </c>
      <c r="J608">
        <f t="shared" si="67"/>
        <v>0.52435311442320509</v>
      </c>
      <c r="K608">
        <f t="shared" si="68"/>
        <v>0.74521549356039318</v>
      </c>
      <c r="L608">
        <f t="shared" si="69"/>
        <v>0.2264024238036523</v>
      </c>
    </row>
    <row r="609" spans="1:12" x14ac:dyDescent="0.25">
      <c r="A609" s="1">
        <v>41074</v>
      </c>
      <c r="B609" s="6">
        <v>59.756999999999998</v>
      </c>
      <c r="C609" s="6">
        <v>8.9618000000000002</v>
      </c>
      <c r="D609" s="6">
        <v>7075.1</v>
      </c>
      <c r="E609" s="6">
        <v>0.94</v>
      </c>
      <c r="F609" s="6">
        <f t="shared" si="63"/>
        <v>1.0444444444444444E-2</v>
      </c>
      <c r="G609">
        <f t="shared" si="64"/>
        <v>-0.99999005974095712</v>
      </c>
      <c r="H609">
        <f t="shared" si="65"/>
        <v>-1.2190820510559479</v>
      </c>
      <c r="I609">
        <f t="shared" si="66"/>
        <v>-0.19368499456186089</v>
      </c>
      <c r="J609">
        <f t="shared" si="67"/>
        <v>-0.71096814782923556</v>
      </c>
      <c r="K609">
        <f t="shared" si="68"/>
        <v>-1.0104345041854015</v>
      </c>
      <c r="L609">
        <f t="shared" si="69"/>
        <v>-0.20412943900630534</v>
      </c>
    </row>
    <row r="610" spans="1:12" x14ac:dyDescent="0.25">
      <c r="A610" s="1">
        <v>41075</v>
      </c>
      <c r="B610" s="6">
        <v>58.927</v>
      </c>
      <c r="C610" s="6">
        <v>9.0355000000000008</v>
      </c>
      <c r="D610" s="6">
        <v>7155.83</v>
      </c>
      <c r="E610" s="6">
        <v>0.94</v>
      </c>
      <c r="F610" s="6">
        <f t="shared" si="63"/>
        <v>1.0444444444444444E-2</v>
      </c>
      <c r="G610">
        <f t="shared" si="64"/>
        <v>-1.3889586157270251</v>
      </c>
      <c r="H610">
        <f t="shared" si="65"/>
        <v>0.82237943270325764</v>
      </c>
      <c r="I610">
        <f t="shared" si="66"/>
        <v>1.1410439428417911</v>
      </c>
      <c r="J610">
        <f t="shared" si="67"/>
        <v>-0.98465659835990438</v>
      </c>
      <c r="K610">
        <f t="shared" si="68"/>
        <v>-1.3994030601714695</v>
      </c>
      <c r="L610">
        <f t="shared" si="69"/>
        <v>1.1305994983973466</v>
      </c>
    </row>
    <row r="611" spans="1:12" x14ac:dyDescent="0.25">
      <c r="A611" s="1">
        <v>41078</v>
      </c>
      <c r="B611" s="6">
        <v>60.964199999999998</v>
      </c>
      <c r="C611" s="6">
        <v>9.1092999999999993</v>
      </c>
      <c r="D611" s="6">
        <v>7281.5</v>
      </c>
      <c r="E611" s="6">
        <v>0.94</v>
      </c>
      <c r="F611" s="6">
        <f t="shared" si="63"/>
        <v>1.0444444444444444E-2</v>
      </c>
      <c r="G611">
        <f t="shared" si="64"/>
        <v>3.4571588575695329</v>
      </c>
      <c r="H611">
        <f t="shared" si="65"/>
        <v>0.81677826351611449</v>
      </c>
      <c r="I611">
        <f t="shared" si="66"/>
        <v>1.7561904069828389</v>
      </c>
      <c r="J611">
        <f t="shared" si="67"/>
        <v>2.4251984193388543</v>
      </c>
      <c r="K611">
        <f t="shared" si="68"/>
        <v>3.4467144131250884</v>
      </c>
      <c r="L611">
        <f t="shared" si="69"/>
        <v>1.7457459625383944</v>
      </c>
    </row>
    <row r="612" spans="1:12" x14ac:dyDescent="0.25">
      <c r="A612" s="1">
        <v>41079</v>
      </c>
      <c r="B612" s="6">
        <v>60.7378</v>
      </c>
      <c r="C612" s="6">
        <v>9.1092999999999993</v>
      </c>
      <c r="D612" s="6">
        <v>7273.13</v>
      </c>
      <c r="E612" s="6">
        <v>0.94</v>
      </c>
      <c r="F612" s="6">
        <f t="shared" si="63"/>
        <v>1.0444444444444444E-2</v>
      </c>
      <c r="G612">
        <f t="shared" si="64"/>
        <v>-0.37136548991046903</v>
      </c>
      <c r="H612">
        <f t="shared" si="65"/>
        <v>0</v>
      </c>
      <c r="I612">
        <f t="shared" si="66"/>
        <v>-0.1149488429581802</v>
      </c>
      <c r="J612">
        <f t="shared" si="67"/>
        <v>-0.26865145709761556</v>
      </c>
      <c r="K612">
        <f t="shared" si="68"/>
        <v>-0.38180993435491345</v>
      </c>
      <c r="L612">
        <f t="shared" si="69"/>
        <v>-0.12539328740262465</v>
      </c>
    </row>
    <row r="613" spans="1:12" x14ac:dyDescent="0.25">
      <c r="A613" s="1">
        <v>41080</v>
      </c>
      <c r="B613" s="6">
        <v>61.567799999999998</v>
      </c>
      <c r="C613" s="6">
        <v>9.3674999999999997</v>
      </c>
      <c r="D613" s="6">
        <v>7334.63</v>
      </c>
      <c r="E613" s="6">
        <v>0.94</v>
      </c>
      <c r="F613" s="6">
        <f t="shared" si="63"/>
        <v>1.0444444444444444E-2</v>
      </c>
      <c r="G613">
        <f t="shared" si="64"/>
        <v>1.3665295746635511</v>
      </c>
      <c r="H613">
        <f t="shared" si="65"/>
        <v>2.8344658755337999</v>
      </c>
      <c r="I613">
        <f t="shared" si="66"/>
        <v>0.84557817610849795</v>
      </c>
      <c r="J613">
        <f t="shared" si="67"/>
        <v>0.95417696974621535</v>
      </c>
      <c r="K613">
        <f t="shared" si="68"/>
        <v>1.3560851302191066</v>
      </c>
      <c r="L613">
        <f t="shared" si="69"/>
        <v>0.83513373166405347</v>
      </c>
    </row>
    <row r="614" spans="1:12" x14ac:dyDescent="0.25">
      <c r="A614" s="1">
        <v>41081</v>
      </c>
      <c r="B614" s="6">
        <v>60.813299999999998</v>
      </c>
      <c r="C614" s="6">
        <v>9.4780999999999995</v>
      </c>
      <c r="D614" s="6">
        <v>7279.05</v>
      </c>
      <c r="E614" s="6">
        <v>0.94</v>
      </c>
      <c r="F614" s="6">
        <f t="shared" si="63"/>
        <v>1.0444444444444444E-2</v>
      </c>
      <c r="G614">
        <f t="shared" si="64"/>
        <v>-1.2254782532427668</v>
      </c>
      <c r="H614">
        <f t="shared" si="65"/>
        <v>1.1806778756338383</v>
      </c>
      <c r="I614">
        <f t="shared" si="66"/>
        <v>-0.75777510249323998</v>
      </c>
      <c r="J614">
        <f t="shared" si="67"/>
        <v>-0.86962753903894652</v>
      </c>
      <c r="K614">
        <f t="shared" si="68"/>
        <v>-1.2359226976872113</v>
      </c>
      <c r="L614">
        <f t="shared" si="69"/>
        <v>-0.76821954693768446</v>
      </c>
    </row>
    <row r="615" spans="1:12" x14ac:dyDescent="0.25">
      <c r="A615" s="1">
        <v>41082</v>
      </c>
      <c r="B615" s="6">
        <v>60.436</v>
      </c>
      <c r="C615" s="6">
        <v>9.2199000000000009</v>
      </c>
      <c r="D615" s="6">
        <v>7222.05</v>
      </c>
      <c r="E615" s="6">
        <v>0.94</v>
      </c>
      <c r="F615" s="6">
        <f t="shared" si="63"/>
        <v>1.0444444444444444E-2</v>
      </c>
      <c r="G615">
        <f t="shared" si="64"/>
        <v>-0.62042349288724374</v>
      </c>
      <c r="H615">
        <f t="shared" si="65"/>
        <v>-2.7241746763591719</v>
      </c>
      <c r="I615">
        <f t="shared" si="66"/>
        <v>-0.78306921919756012</v>
      </c>
      <c r="J615">
        <f t="shared" si="67"/>
        <v>-0.44389518278689122</v>
      </c>
      <c r="K615">
        <f t="shared" si="68"/>
        <v>-0.63086793733168822</v>
      </c>
      <c r="L615">
        <f t="shared" si="69"/>
        <v>-0.7935136636420046</v>
      </c>
    </row>
    <row r="616" spans="1:12" x14ac:dyDescent="0.25">
      <c r="A616" s="1">
        <v>41085</v>
      </c>
      <c r="B616" s="6">
        <v>60.058799999999998</v>
      </c>
      <c r="C616" s="6">
        <v>9.0355000000000008</v>
      </c>
      <c r="D616" s="6">
        <v>7166.38</v>
      </c>
      <c r="E616" s="6">
        <v>0.94</v>
      </c>
      <c r="F616" s="6">
        <f t="shared" si="63"/>
        <v>1.0444444444444444E-2</v>
      </c>
      <c r="G616">
        <f t="shared" si="64"/>
        <v>-0.62413131246277376</v>
      </c>
      <c r="H616">
        <f t="shared" si="65"/>
        <v>-2.000021692209244</v>
      </c>
      <c r="I616">
        <f t="shared" si="66"/>
        <v>-0.77083376603596032</v>
      </c>
      <c r="J616">
        <f t="shared" si="67"/>
        <v>-0.44650410162841953</v>
      </c>
      <c r="K616">
        <f t="shared" si="68"/>
        <v>-0.63457575690721824</v>
      </c>
      <c r="L616">
        <f t="shared" si="69"/>
        <v>-0.7812782104804048</v>
      </c>
    </row>
    <row r="617" spans="1:12" x14ac:dyDescent="0.25">
      <c r="A617" s="1">
        <v>41086</v>
      </c>
      <c r="B617" s="6">
        <v>59.3797</v>
      </c>
      <c r="C617" s="6">
        <v>9.0355000000000008</v>
      </c>
      <c r="D617" s="6">
        <v>7137.93</v>
      </c>
      <c r="E617" s="6">
        <v>0.94</v>
      </c>
      <c r="F617" s="6">
        <f t="shared" si="63"/>
        <v>1.0444444444444444E-2</v>
      </c>
      <c r="G617">
        <f t="shared" si="64"/>
        <v>-1.1307252226151676</v>
      </c>
      <c r="H617">
        <f t="shared" si="65"/>
        <v>0</v>
      </c>
      <c r="I617">
        <f t="shared" si="66"/>
        <v>-0.3969926238909996</v>
      </c>
      <c r="J617">
        <f t="shared" si="67"/>
        <v>-0.80295682816410274</v>
      </c>
      <c r="K617">
        <f t="shared" si="68"/>
        <v>-1.1411696670596121</v>
      </c>
      <c r="L617">
        <f t="shared" si="69"/>
        <v>-0.40743706833544402</v>
      </c>
    </row>
    <row r="618" spans="1:12" x14ac:dyDescent="0.25">
      <c r="A618" s="1">
        <v>41087</v>
      </c>
      <c r="B618" s="6">
        <v>59.8324</v>
      </c>
      <c r="C618" s="6">
        <v>8.9986999999999995</v>
      </c>
      <c r="D618" s="6">
        <v>7183.01</v>
      </c>
      <c r="E618" s="6">
        <v>0.94</v>
      </c>
      <c r="F618" s="6">
        <f t="shared" si="63"/>
        <v>1.0444444444444444E-2</v>
      </c>
      <c r="G618">
        <f t="shared" si="64"/>
        <v>0.76238175672830966</v>
      </c>
      <c r="H618">
        <f t="shared" si="65"/>
        <v>-0.40728238614355899</v>
      </c>
      <c r="I618">
        <f t="shared" si="66"/>
        <v>0.63155564708535838</v>
      </c>
      <c r="J618">
        <f t="shared" si="67"/>
        <v>0.52908276190463543</v>
      </c>
      <c r="K618">
        <f t="shared" si="68"/>
        <v>0.75193731228386518</v>
      </c>
      <c r="L618">
        <f t="shared" si="69"/>
        <v>0.62111120264091391</v>
      </c>
    </row>
    <row r="619" spans="1:12" x14ac:dyDescent="0.25">
      <c r="A619" s="1">
        <v>41088</v>
      </c>
      <c r="B619" s="6">
        <v>60.2851</v>
      </c>
      <c r="C619" s="6">
        <v>8.9248999999999992</v>
      </c>
      <c r="D619" s="6">
        <v>7169.61</v>
      </c>
      <c r="E619" s="6">
        <v>0.94</v>
      </c>
      <c r="F619" s="6">
        <f t="shared" si="63"/>
        <v>1.0444444444444444E-2</v>
      </c>
      <c r="G619">
        <f t="shared" si="64"/>
        <v>0.75661347363635778</v>
      </c>
      <c r="H619">
        <f t="shared" si="65"/>
        <v>-0.82011846155556156</v>
      </c>
      <c r="I619">
        <f t="shared" si="66"/>
        <v>-0.18655132040746908</v>
      </c>
      <c r="J619">
        <f t="shared" si="67"/>
        <v>0.52502404703588101</v>
      </c>
      <c r="K619">
        <f t="shared" si="68"/>
        <v>0.7461690291919133</v>
      </c>
      <c r="L619">
        <f t="shared" si="69"/>
        <v>-0.19699576485191353</v>
      </c>
    </row>
    <row r="620" spans="1:12" x14ac:dyDescent="0.25">
      <c r="A620" s="1">
        <v>41089</v>
      </c>
      <c r="B620" s="6">
        <v>61.3414</v>
      </c>
      <c r="C620" s="6">
        <v>9.5150000000000006</v>
      </c>
      <c r="D620" s="6">
        <v>7296.28</v>
      </c>
      <c r="E620" s="6">
        <v>0.94</v>
      </c>
      <c r="F620" s="6">
        <f t="shared" si="63"/>
        <v>1.0444444444444444E-2</v>
      </c>
      <c r="G620">
        <f t="shared" si="64"/>
        <v>1.752174252012521</v>
      </c>
      <c r="H620">
        <f t="shared" si="65"/>
        <v>6.6118387881096874</v>
      </c>
      <c r="I620">
        <f t="shared" si="66"/>
        <v>1.7667627667334775</v>
      </c>
      <c r="J620">
        <f t="shared" si="67"/>
        <v>1.2255266523226642</v>
      </c>
      <c r="K620">
        <f t="shared" si="68"/>
        <v>1.7417298075680765</v>
      </c>
      <c r="L620">
        <f t="shared" si="69"/>
        <v>1.7563183222890331</v>
      </c>
    </row>
    <row r="621" spans="1:12" x14ac:dyDescent="0.25">
      <c r="A621" s="1">
        <v>41092</v>
      </c>
      <c r="B621" s="6">
        <v>62.8504</v>
      </c>
      <c r="C621" s="6">
        <v>9.8838000000000008</v>
      </c>
      <c r="D621" s="6">
        <v>7345.16</v>
      </c>
      <c r="E621" s="6">
        <v>0.94</v>
      </c>
      <c r="F621" s="6">
        <f t="shared" si="63"/>
        <v>1.0444444444444444E-2</v>
      </c>
      <c r="G621">
        <f t="shared" si="64"/>
        <v>2.4600025431437826</v>
      </c>
      <c r="H621">
        <f t="shared" si="65"/>
        <v>3.8759852863899131</v>
      </c>
      <c r="I621">
        <f t="shared" si="66"/>
        <v>0.66993043030147026</v>
      </c>
      <c r="J621">
        <f t="shared" si="67"/>
        <v>1.7235731531519625</v>
      </c>
      <c r="K621">
        <f t="shared" si="68"/>
        <v>2.4495580986993382</v>
      </c>
      <c r="L621">
        <f t="shared" si="69"/>
        <v>0.65948598585702578</v>
      </c>
    </row>
    <row r="622" spans="1:12" x14ac:dyDescent="0.25">
      <c r="A622" s="1">
        <v>41093</v>
      </c>
      <c r="B622" s="6">
        <v>63.529499999999999</v>
      </c>
      <c r="C622" s="6">
        <v>9.8838000000000008</v>
      </c>
      <c r="D622" s="6">
        <v>7418.36</v>
      </c>
      <c r="E622" s="6">
        <v>0.94</v>
      </c>
      <c r="F622" s="6">
        <f t="shared" si="63"/>
        <v>1.0444444444444444E-2</v>
      </c>
      <c r="G622">
        <f t="shared" si="64"/>
        <v>1.0805022720619093</v>
      </c>
      <c r="H622">
        <f t="shared" si="65"/>
        <v>0</v>
      </c>
      <c r="I622">
        <f t="shared" si="66"/>
        <v>0.99657461512070289</v>
      </c>
      <c r="J622">
        <f t="shared" si="67"/>
        <v>0.7529206778075066</v>
      </c>
      <c r="K622">
        <f t="shared" si="68"/>
        <v>1.0700578276174648</v>
      </c>
      <c r="L622">
        <f t="shared" si="69"/>
        <v>0.98613017067625841</v>
      </c>
    </row>
    <row r="623" spans="1:12" x14ac:dyDescent="0.25">
      <c r="A623" s="1">
        <v>41094</v>
      </c>
      <c r="B623" s="6">
        <v>63.5291</v>
      </c>
      <c r="C623" s="6">
        <v>9.7363</v>
      </c>
      <c r="D623" s="6">
        <v>7422.59</v>
      </c>
      <c r="E623" s="6">
        <v>0.94</v>
      </c>
      <c r="F623" s="6">
        <f t="shared" si="63"/>
        <v>1.0444444444444444E-2</v>
      </c>
      <c r="G623">
        <f t="shared" si="64"/>
        <v>-6.296287551437801E-4</v>
      </c>
      <c r="H623">
        <f t="shared" si="65"/>
        <v>-1.4923410024484596</v>
      </c>
      <c r="I623">
        <f t="shared" si="66"/>
        <v>5.7020689208942044E-2</v>
      </c>
      <c r="J623">
        <f t="shared" si="67"/>
        <v>-7.7920075759724521E-3</v>
      </c>
      <c r="K623">
        <f t="shared" si="68"/>
        <v>-1.1074073199588225E-2</v>
      </c>
      <c r="L623">
        <f t="shared" si="69"/>
        <v>4.65762447644976E-2</v>
      </c>
    </row>
    <row r="624" spans="1:12" x14ac:dyDescent="0.25">
      <c r="A624" s="1">
        <v>41095</v>
      </c>
      <c r="B624" s="6">
        <v>63.372599999999998</v>
      </c>
      <c r="C624" s="6">
        <v>9.6994000000000007</v>
      </c>
      <c r="D624" s="6">
        <v>7387.78</v>
      </c>
      <c r="E624" s="6">
        <v>0.94</v>
      </c>
      <c r="F624" s="6">
        <f t="shared" si="63"/>
        <v>1.0444444444444444E-2</v>
      </c>
      <c r="G624">
        <f t="shared" si="64"/>
        <v>-0.24634380150199073</v>
      </c>
      <c r="H624">
        <f t="shared" si="65"/>
        <v>-0.3789940737240971</v>
      </c>
      <c r="I624">
        <f t="shared" si="66"/>
        <v>-0.46897376791659512</v>
      </c>
      <c r="J624">
        <f t="shared" si="67"/>
        <v>-0.18068292684842474</v>
      </c>
      <c r="K624">
        <f t="shared" si="68"/>
        <v>-0.25678824594643518</v>
      </c>
      <c r="L624">
        <f t="shared" si="69"/>
        <v>-0.47941821236103954</v>
      </c>
    </row>
    <row r="625" spans="1:12" x14ac:dyDescent="0.25">
      <c r="A625" s="1">
        <v>41096</v>
      </c>
      <c r="B625" s="6">
        <v>63.294400000000003</v>
      </c>
      <c r="C625" s="6">
        <v>9.5886999999999993</v>
      </c>
      <c r="D625" s="6">
        <v>7368.59</v>
      </c>
      <c r="E625" s="6">
        <v>0.94</v>
      </c>
      <c r="F625" s="6">
        <f t="shared" si="63"/>
        <v>1.0444444444444444E-2</v>
      </c>
      <c r="G625">
        <f t="shared" si="64"/>
        <v>-0.12339717796018372</v>
      </c>
      <c r="H625">
        <f t="shared" si="65"/>
        <v>-1.1413077097552564</v>
      </c>
      <c r="I625">
        <f t="shared" si="66"/>
        <v>-0.25975326823483647</v>
      </c>
      <c r="J625">
        <f t="shared" si="67"/>
        <v>-9.417446651843385E-2</v>
      </c>
      <c r="K625">
        <f t="shared" si="68"/>
        <v>-0.13384162240462816</v>
      </c>
      <c r="L625">
        <f t="shared" si="69"/>
        <v>-0.27019771267928089</v>
      </c>
    </row>
    <row r="626" spans="1:12" x14ac:dyDescent="0.25">
      <c r="A626" s="1">
        <v>41099</v>
      </c>
      <c r="B626" s="6">
        <v>62.590200000000003</v>
      </c>
      <c r="C626" s="6">
        <v>9.4352</v>
      </c>
      <c r="D626" s="6">
        <v>7309.96</v>
      </c>
      <c r="E626" s="6">
        <v>0.94</v>
      </c>
      <c r="F626" s="6">
        <f t="shared" si="63"/>
        <v>1.0444444444444444E-2</v>
      </c>
      <c r="G626">
        <f t="shared" si="64"/>
        <v>-1.1125786799464095</v>
      </c>
      <c r="H626">
        <f t="shared" si="65"/>
        <v>-1.6008426585459896</v>
      </c>
      <c r="I626">
        <f t="shared" si="66"/>
        <v>-0.79567461346064994</v>
      </c>
      <c r="J626">
        <f t="shared" si="67"/>
        <v>-0.79018844606979544</v>
      </c>
      <c r="K626">
        <f t="shared" si="68"/>
        <v>-1.1230231243908539</v>
      </c>
      <c r="L626">
        <f t="shared" si="69"/>
        <v>-0.80611905790509442</v>
      </c>
    </row>
    <row r="627" spans="1:12" x14ac:dyDescent="0.25">
      <c r="A627" s="1">
        <v>41100</v>
      </c>
      <c r="B627" s="6">
        <v>61.886099999999999</v>
      </c>
      <c r="C627" s="6">
        <v>9.5119000000000007</v>
      </c>
      <c r="D627" s="6">
        <v>7251.35</v>
      </c>
      <c r="E627" s="6">
        <v>0.94</v>
      </c>
      <c r="F627" s="6">
        <f t="shared" si="63"/>
        <v>1.0444444444444444E-2</v>
      </c>
      <c r="G627">
        <f t="shared" si="64"/>
        <v>-1.1249364916552493</v>
      </c>
      <c r="H627">
        <f t="shared" si="65"/>
        <v>0.81291334576904206</v>
      </c>
      <c r="I627">
        <f t="shared" si="66"/>
        <v>-0.80178277309314516</v>
      </c>
      <c r="J627">
        <f t="shared" si="67"/>
        <v>-0.79888372564057719</v>
      </c>
      <c r="K627">
        <f t="shared" si="68"/>
        <v>-1.1353809360996938</v>
      </c>
      <c r="L627">
        <f t="shared" si="69"/>
        <v>-0.81222721753758964</v>
      </c>
    </row>
    <row r="628" spans="1:12" x14ac:dyDescent="0.25">
      <c r="A628" s="1">
        <v>41101</v>
      </c>
      <c r="B628" s="6">
        <v>61.103700000000003</v>
      </c>
      <c r="C628" s="6">
        <v>9.4734999999999996</v>
      </c>
      <c r="D628" s="6">
        <v>7257.91</v>
      </c>
      <c r="E628" s="6">
        <v>0.94</v>
      </c>
      <c r="F628" s="6">
        <f t="shared" si="63"/>
        <v>1.0444444444444444E-2</v>
      </c>
      <c r="G628">
        <f t="shared" si="64"/>
        <v>-1.2642580482531547</v>
      </c>
      <c r="H628">
        <f t="shared" si="65"/>
        <v>-0.40370483289354492</v>
      </c>
      <c r="I628">
        <f t="shared" si="66"/>
        <v>9.0465913243733792E-2</v>
      </c>
      <c r="J628">
        <f t="shared" si="67"/>
        <v>-0.896914017200102</v>
      </c>
      <c r="K628">
        <f t="shared" si="68"/>
        <v>-1.2747024926975992</v>
      </c>
      <c r="L628">
        <f t="shared" si="69"/>
        <v>8.0021468799289341E-2</v>
      </c>
    </row>
    <row r="629" spans="1:12" x14ac:dyDescent="0.25">
      <c r="A629" s="1">
        <v>41102</v>
      </c>
      <c r="B629" s="6">
        <v>59.225999999999999</v>
      </c>
      <c r="C629" s="6">
        <v>9.2433999999999994</v>
      </c>
      <c r="D629" s="6">
        <v>7130.93</v>
      </c>
      <c r="E629" s="6">
        <v>0.94</v>
      </c>
      <c r="F629" s="6">
        <f t="shared" si="63"/>
        <v>1.0444444444444444E-2</v>
      </c>
      <c r="G629">
        <f t="shared" si="64"/>
        <v>-3.0729726677762628</v>
      </c>
      <c r="H629">
        <f t="shared" si="65"/>
        <v>-2.4288805615664772</v>
      </c>
      <c r="I629">
        <f t="shared" si="66"/>
        <v>-1.7495394679735568</v>
      </c>
      <c r="J629">
        <f t="shared" si="67"/>
        <v>-2.1695729353857103</v>
      </c>
      <c r="K629">
        <f t="shared" si="68"/>
        <v>-3.0834171122207072</v>
      </c>
      <c r="L629">
        <f t="shared" si="69"/>
        <v>-1.7599839124180012</v>
      </c>
    </row>
    <row r="630" spans="1:12" x14ac:dyDescent="0.25">
      <c r="A630" s="1">
        <v>41103</v>
      </c>
      <c r="B630" s="6">
        <v>59.304299999999998</v>
      </c>
      <c r="C630" s="6">
        <v>9.2050000000000001</v>
      </c>
      <c r="D630" s="6">
        <v>7104.27</v>
      </c>
      <c r="E630" s="6">
        <v>0.94</v>
      </c>
      <c r="F630" s="6">
        <f t="shared" si="63"/>
        <v>1.0444444444444444E-2</v>
      </c>
      <c r="G630">
        <f t="shared" si="64"/>
        <v>0.13220545030898373</v>
      </c>
      <c r="H630">
        <f t="shared" si="65"/>
        <v>-0.41543155116082098</v>
      </c>
      <c r="I630">
        <f t="shared" si="66"/>
        <v>-0.37386427857235804</v>
      </c>
      <c r="J630">
        <f t="shared" si="67"/>
        <v>8.56742287191848E-2</v>
      </c>
      <c r="K630">
        <f t="shared" si="68"/>
        <v>0.12176100586453928</v>
      </c>
      <c r="L630">
        <f t="shared" si="69"/>
        <v>-0.38430872301680247</v>
      </c>
    </row>
    <row r="631" spans="1:12" x14ac:dyDescent="0.25">
      <c r="A631" s="1">
        <v>41106</v>
      </c>
      <c r="B631" s="6">
        <v>59.069499999999998</v>
      </c>
      <c r="C631" s="6">
        <v>9.2433999999999994</v>
      </c>
      <c r="D631" s="6">
        <v>7090.04</v>
      </c>
      <c r="E631" s="6">
        <v>0.94</v>
      </c>
      <c r="F631" s="6">
        <f t="shared" si="63"/>
        <v>1.0444444444444444E-2</v>
      </c>
      <c r="G631">
        <f t="shared" si="64"/>
        <v>-0.39592407295929621</v>
      </c>
      <c r="H631">
        <f t="shared" si="65"/>
        <v>0.41716458446495736</v>
      </c>
      <c r="I631">
        <f t="shared" si="66"/>
        <v>-0.20030207185256854</v>
      </c>
      <c r="J631">
        <f t="shared" si="67"/>
        <v>-0.28593151852783305</v>
      </c>
      <c r="K631">
        <f t="shared" si="68"/>
        <v>-0.40636851740374064</v>
      </c>
      <c r="L631">
        <f t="shared" si="69"/>
        <v>-0.21074651629701299</v>
      </c>
    </row>
    <row r="632" spans="1:12" x14ac:dyDescent="0.25">
      <c r="A632" s="1">
        <v>41107</v>
      </c>
      <c r="B632" s="6">
        <v>58.521900000000002</v>
      </c>
      <c r="C632" s="6">
        <v>9.5502000000000002</v>
      </c>
      <c r="D632" s="6">
        <v>7127</v>
      </c>
      <c r="E632" s="6">
        <v>0.94</v>
      </c>
      <c r="F632" s="6">
        <f t="shared" si="63"/>
        <v>1.0444444444444444E-2</v>
      </c>
      <c r="G632">
        <f t="shared" si="64"/>
        <v>-0.92704356732323057</v>
      </c>
      <c r="H632">
        <f t="shared" si="65"/>
        <v>3.3191249972953769</v>
      </c>
      <c r="I632">
        <f t="shared" si="66"/>
        <v>0.52129466124309642</v>
      </c>
      <c r="J632">
        <f t="shared" si="67"/>
        <v>-0.65964108764864393</v>
      </c>
      <c r="K632">
        <f t="shared" si="68"/>
        <v>-0.93748801176767504</v>
      </c>
      <c r="L632">
        <f t="shared" si="69"/>
        <v>0.51085021679865195</v>
      </c>
    </row>
    <row r="633" spans="1:12" x14ac:dyDescent="0.25">
      <c r="A633" s="1">
        <v>41108</v>
      </c>
      <c r="B633" s="6">
        <v>58.521900000000002</v>
      </c>
      <c r="C633" s="6">
        <v>9.3201000000000001</v>
      </c>
      <c r="D633" s="6">
        <v>7049.05</v>
      </c>
      <c r="E633" s="6">
        <v>0.94</v>
      </c>
      <c r="F633" s="6">
        <f t="shared" si="63"/>
        <v>1.0444444444444444E-2</v>
      </c>
      <c r="G633">
        <f t="shared" si="64"/>
        <v>0</v>
      </c>
      <c r="H633">
        <f t="shared" si="65"/>
        <v>-2.4093736256832337</v>
      </c>
      <c r="I633">
        <f t="shared" si="66"/>
        <v>-1.0937280763294488</v>
      </c>
      <c r="J633">
        <f t="shared" si="67"/>
        <v>-7.3489843141871791E-3</v>
      </c>
      <c r="K633">
        <f t="shared" si="68"/>
        <v>-1.0444444444444444E-2</v>
      </c>
      <c r="L633">
        <f t="shared" si="69"/>
        <v>-1.1041725207738933</v>
      </c>
    </row>
    <row r="634" spans="1:12" x14ac:dyDescent="0.25">
      <c r="A634" s="1">
        <v>41109</v>
      </c>
      <c r="B634" s="6">
        <v>60.634300000000003</v>
      </c>
      <c r="C634" s="6">
        <v>9.5885999999999996</v>
      </c>
      <c r="D634" s="6">
        <v>7148.57</v>
      </c>
      <c r="E634" s="6">
        <v>0.94</v>
      </c>
      <c r="F634" s="6">
        <f t="shared" si="63"/>
        <v>1.0444444444444444E-2</v>
      </c>
      <c r="G634">
        <f t="shared" si="64"/>
        <v>3.609588888945849</v>
      </c>
      <c r="H634">
        <f t="shared" si="65"/>
        <v>2.8808703769272812</v>
      </c>
      <c r="I634">
        <f t="shared" si="66"/>
        <v>1.4118214511175198</v>
      </c>
      <c r="J634">
        <f t="shared" si="67"/>
        <v>2.5324521766405614</v>
      </c>
      <c r="K634">
        <f t="shared" si="68"/>
        <v>3.5991444445014045</v>
      </c>
      <c r="L634">
        <f t="shared" si="69"/>
        <v>1.4013770066730753</v>
      </c>
    </row>
    <row r="635" spans="1:12" x14ac:dyDescent="0.25">
      <c r="A635" s="1">
        <v>41110</v>
      </c>
      <c r="B635" s="6">
        <v>60.008400000000002</v>
      </c>
      <c r="C635" s="6">
        <v>9.6268999999999991</v>
      </c>
      <c r="D635" s="6">
        <v>7164.68</v>
      </c>
      <c r="E635" s="6">
        <v>0.94</v>
      </c>
      <c r="F635" s="6">
        <f t="shared" si="63"/>
        <v>1.0444444444444444E-2</v>
      </c>
      <c r="G635">
        <f t="shared" si="64"/>
        <v>-1.0322540212388061</v>
      </c>
      <c r="H635">
        <f t="shared" si="65"/>
        <v>0.3994326596166235</v>
      </c>
      <c r="I635">
        <f t="shared" si="66"/>
        <v>0.22535975726614668</v>
      </c>
      <c r="J635">
        <f t="shared" si="67"/>
        <v>-0.73366991509148116</v>
      </c>
      <c r="K635">
        <f t="shared" si="68"/>
        <v>-1.0426984656832505</v>
      </c>
      <c r="L635">
        <f t="shared" si="69"/>
        <v>0.21491531282170223</v>
      </c>
    </row>
    <row r="636" spans="1:12" x14ac:dyDescent="0.25">
      <c r="A636" s="1">
        <v>41113</v>
      </c>
      <c r="B636" s="6">
        <v>58.130699999999997</v>
      </c>
      <c r="C636" s="6">
        <v>9.4352</v>
      </c>
      <c r="D636" s="6">
        <v>7028.73</v>
      </c>
      <c r="E636" s="6">
        <v>0.94</v>
      </c>
      <c r="F636" s="6">
        <f t="shared" si="63"/>
        <v>1.0444444444444444E-2</v>
      </c>
      <c r="G636">
        <f t="shared" si="64"/>
        <v>-3.1290619313296211</v>
      </c>
      <c r="H636">
        <f t="shared" si="65"/>
        <v>-1.9912952248387239</v>
      </c>
      <c r="I636">
        <f t="shared" si="66"/>
        <v>-1.8975027495994339</v>
      </c>
      <c r="J636">
        <f t="shared" si="67"/>
        <v>-2.2090388083903005</v>
      </c>
      <c r="K636">
        <f t="shared" si="68"/>
        <v>-3.1395063757740655</v>
      </c>
      <c r="L636">
        <f t="shared" si="69"/>
        <v>-1.9079471940438784</v>
      </c>
    </row>
    <row r="637" spans="1:12" x14ac:dyDescent="0.25">
      <c r="A637" s="1">
        <v>41114</v>
      </c>
      <c r="B637" s="6">
        <v>58.521900000000002</v>
      </c>
      <c r="C637" s="6">
        <v>9.4734999999999996</v>
      </c>
      <c r="D637" s="6">
        <v>7008.35</v>
      </c>
      <c r="E637" s="6">
        <v>0.94</v>
      </c>
      <c r="F637" s="6">
        <f t="shared" si="63"/>
        <v>1.0444444444444444E-2</v>
      </c>
      <c r="G637">
        <f t="shared" si="64"/>
        <v>0.6729662639534788</v>
      </c>
      <c r="H637">
        <f t="shared" si="65"/>
        <v>0.40592674241139093</v>
      </c>
      <c r="I637">
        <f t="shared" si="66"/>
        <v>-0.28995280797525586</v>
      </c>
      <c r="J637">
        <f t="shared" si="67"/>
        <v>0.46616768228093391</v>
      </c>
      <c r="K637">
        <f t="shared" si="68"/>
        <v>0.66252181950903433</v>
      </c>
      <c r="L637">
        <f t="shared" si="69"/>
        <v>-0.30039725241970028</v>
      </c>
    </row>
    <row r="638" spans="1:12" x14ac:dyDescent="0.25">
      <c r="A638" s="1">
        <v>41115</v>
      </c>
      <c r="B638" s="6">
        <v>58.365400000000001</v>
      </c>
      <c r="C638" s="6">
        <v>9.2817000000000007</v>
      </c>
      <c r="D638" s="6">
        <v>6979.13</v>
      </c>
      <c r="E638" s="6">
        <v>0.94</v>
      </c>
      <c r="F638" s="6">
        <f t="shared" si="63"/>
        <v>1.0444444444444444E-2</v>
      </c>
      <c r="G638">
        <f t="shared" si="64"/>
        <v>-0.26742125597426125</v>
      </c>
      <c r="H638">
        <f t="shared" si="65"/>
        <v>-2.0245949226790403</v>
      </c>
      <c r="I638">
        <f t="shared" si="66"/>
        <v>-0.41693123203036742</v>
      </c>
      <c r="J638">
        <f t="shared" si="67"/>
        <v>-0.19551357515371615</v>
      </c>
      <c r="K638">
        <f t="shared" si="68"/>
        <v>-0.27786570041870567</v>
      </c>
      <c r="L638">
        <f t="shared" si="69"/>
        <v>-0.42737567647481184</v>
      </c>
    </row>
    <row r="639" spans="1:12" x14ac:dyDescent="0.25">
      <c r="A639" s="1">
        <v>41116</v>
      </c>
      <c r="B639" s="6">
        <v>59.695399999999999</v>
      </c>
      <c r="C639" s="6">
        <v>9.3583999999999996</v>
      </c>
      <c r="D639" s="6">
        <v>6970.69</v>
      </c>
      <c r="E639" s="6">
        <v>0.94</v>
      </c>
      <c r="F639" s="6">
        <f t="shared" si="63"/>
        <v>1.0444444444444444E-2</v>
      </c>
      <c r="G639">
        <f t="shared" si="64"/>
        <v>2.2787473400336471</v>
      </c>
      <c r="H639">
        <f t="shared" si="65"/>
        <v>0.8263572405916898</v>
      </c>
      <c r="I639">
        <f t="shared" si="66"/>
        <v>-0.1209319786277159</v>
      </c>
      <c r="J639">
        <f t="shared" si="67"/>
        <v>1.5960372510169543</v>
      </c>
      <c r="K639">
        <f t="shared" si="68"/>
        <v>2.2683028955892026</v>
      </c>
      <c r="L639">
        <f t="shared" si="69"/>
        <v>-0.13137642307216035</v>
      </c>
    </row>
    <row r="640" spans="1:12" x14ac:dyDescent="0.25">
      <c r="A640" s="1">
        <v>41117</v>
      </c>
      <c r="B640" s="6">
        <v>62.0426</v>
      </c>
      <c r="C640" s="6">
        <v>9.5119000000000007</v>
      </c>
      <c r="D640" s="6">
        <v>7124.49</v>
      </c>
      <c r="E640" s="6">
        <v>0.94</v>
      </c>
      <c r="F640" s="6">
        <f t="shared" si="63"/>
        <v>1.0444444444444444E-2</v>
      </c>
      <c r="G640">
        <f t="shared" si="64"/>
        <v>3.9319612566462423</v>
      </c>
      <c r="H640">
        <f t="shared" si="65"/>
        <v>1.640237647461116</v>
      </c>
      <c r="I640">
        <f t="shared" si="66"/>
        <v>2.2063812908047868</v>
      </c>
      <c r="J640">
        <f t="shared" si="67"/>
        <v>2.7592818070875631</v>
      </c>
      <c r="K640">
        <f t="shared" si="68"/>
        <v>3.9215168122017978</v>
      </c>
      <c r="L640">
        <f t="shared" si="69"/>
        <v>2.1959368463603424</v>
      </c>
    </row>
    <row r="641" spans="1:12" x14ac:dyDescent="0.25">
      <c r="A641" s="1">
        <v>41120</v>
      </c>
      <c r="B641" s="6">
        <v>61.807899999999997</v>
      </c>
      <c r="C641" s="6">
        <v>9.5885999999999996</v>
      </c>
      <c r="D641" s="6">
        <v>7158.88</v>
      </c>
      <c r="E641" s="6">
        <v>0.94</v>
      </c>
      <c r="F641" s="6">
        <f t="shared" si="63"/>
        <v>1.0444444444444444E-2</v>
      </c>
      <c r="G641">
        <f t="shared" si="64"/>
        <v>-0.37828846631186264</v>
      </c>
      <c r="H641">
        <f t="shared" si="65"/>
        <v>0.80635835111806131</v>
      </c>
      <c r="I641">
        <f t="shared" si="66"/>
        <v>0.48270121791174286</v>
      </c>
      <c r="J641">
        <f t="shared" si="67"/>
        <v>-0.27352264438306201</v>
      </c>
      <c r="K641">
        <f t="shared" si="68"/>
        <v>-0.38873291075630706</v>
      </c>
      <c r="L641">
        <f t="shared" si="69"/>
        <v>0.47225677346729844</v>
      </c>
    </row>
    <row r="642" spans="1:12" x14ac:dyDescent="0.25">
      <c r="A642" s="1">
        <v>41121</v>
      </c>
      <c r="B642" s="6">
        <v>63.372599999999998</v>
      </c>
      <c r="C642" s="6">
        <v>9.6653000000000002</v>
      </c>
      <c r="D642" s="6">
        <v>7270.49</v>
      </c>
      <c r="E642" s="6">
        <v>0.94</v>
      </c>
      <c r="F642" s="6">
        <f t="shared" si="63"/>
        <v>1.0444444444444444E-2</v>
      </c>
      <c r="G642">
        <f t="shared" si="64"/>
        <v>2.5315534098391987</v>
      </c>
      <c r="H642">
        <f t="shared" si="65"/>
        <v>0.7999082243497555</v>
      </c>
      <c r="I642">
        <f t="shared" si="66"/>
        <v>1.559042755291326</v>
      </c>
      <c r="J642">
        <f t="shared" si="67"/>
        <v>1.7739182145679198</v>
      </c>
      <c r="K642">
        <f t="shared" si="68"/>
        <v>2.5211089653947543</v>
      </c>
      <c r="L642">
        <f t="shared" si="69"/>
        <v>1.5485983108468815</v>
      </c>
    </row>
    <row r="643" spans="1:12" x14ac:dyDescent="0.25">
      <c r="A643" s="1">
        <v>41122</v>
      </c>
      <c r="B643" s="6">
        <v>62.590200000000003</v>
      </c>
      <c r="C643" s="6">
        <v>9.6268999999999991</v>
      </c>
      <c r="D643" s="6">
        <v>7267.96</v>
      </c>
      <c r="E643" s="6">
        <v>0.94</v>
      </c>
      <c r="F643" s="6">
        <f t="shared" ref="F643:F706" si="70">E643/90</f>
        <v>1.0444444444444444E-2</v>
      </c>
      <c r="G643">
        <f t="shared" si="64"/>
        <v>-1.2346029672129526</v>
      </c>
      <c r="H643">
        <f t="shared" si="65"/>
        <v>-0.3972975489638304</v>
      </c>
      <c r="I643">
        <f t="shared" si="66"/>
        <v>-3.4798204797747409E-2</v>
      </c>
      <c r="J643">
        <f t="shared" si="67"/>
        <v>-0.87604792647027696</v>
      </c>
      <c r="K643">
        <f t="shared" si="68"/>
        <v>-1.2450474116573971</v>
      </c>
      <c r="L643">
        <f t="shared" si="69"/>
        <v>-4.5242649242191853E-2</v>
      </c>
    </row>
    <row r="644" spans="1:12" x14ac:dyDescent="0.25">
      <c r="A644" s="1">
        <v>41124</v>
      </c>
      <c r="B644" s="6">
        <v>62.433799999999998</v>
      </c>
      <c r="C644" s="6">
        <v>9.5119000000000007</v>
      </c>
      <c r="D644" s="6">
        <v>7217.51</v>
      </c>
      <c r="E644" s="6">
        <v>0.94</v>
      </c>
      <c r="F644" s="6">
        <f t="shared" si="70"/>
        <v>1.0444444444444444E-2</v>
      </c>
      <c r="G644">
        <f t="shared" ref="G644:G707" si="71">100*(B644-B643)/B643</f>
        <v>-0.24987937408732513</v>
      </c>
      <c r="H644">
        <f t="shared" ref="H644:H707" si="72">100*(C644-C643)/C643</f>
        <v>-1.1945693837060576</v>
      </c>
      <c r="I644">
        <f t="shared" ref="I644:I707" si="73">100*(D644-D643)/D643</f>
        <v>-0.69414251041557495</v>
      </c>
      <c r="J644">
        <f t="shared" ref="J644:J707" si="74">(G644-F644)/$N$3</f>
        <v>-0.18317064820205914</v>
      </c>
      <c r="K644">
        <f t="shared" ref="K644:K707" si="75">G644-F644</f>
        <v>-0.26032381853176956</v>
      </c>
      <c r="L644">
        <f t="shared" ref="L644:L707" si="76">I644-F644</f>
        <v>-0.70458695486001943</v>
      </c>
    </row>
    <row r="645" spans="1:12" x14ac:dyDescent="0.25">
      <c r="A645" s="1">
        <v>41127</v>
      </c>
      <c r="B645" s="6">
        <v>63.294400000000003</v>
      </c>
      <c r="C645" s="6">
        <v>9.7420000000000009</v>
      </c>
      <c r="D645" s="6">
        <v>7286.33</v>
      </c>
      <c r="E645" s="6">
        <v>0.94</v>
      </c>
      <c r="F645" s="6">
        <f t="shared" si="70"/>
        <v>1.0444444444444444E-2</v>
      </c>
      <c r="G645">
        <f t="shared" si="71"/>
        <v>1.3784200224878274</v>
      </c>
      <c r="H645">
        <f t="shared" si="72"/>
        <v>2.4190750533542213</v>
      </c>
      <c r="I645">
        <f t="shared" si="73"/>
        <v>0.95351443919024303</v>
      </c>
      <c r="J645">
        <f t="shared" si="74"/>
        <v>0.9625433998626346</v>
      </c>
      <c r="K645">
        <f t="shared" si="75"/>
        <v>1.3679755780433829</v>
      </c>
      <c r="L645">
        <f t="shared" si="76"/>
        <v>0.94306999474579856</v>
      </c>
    </row>
    <row r="646" spans="1:12" x14ac:dyDescent="0.25">
      <c r="A646" s="1">
        <v>41128</v>
      </c>
      <c r="B646" s="6">
        <v>63.685600000000001</v>
      </c>
      <c r="C646" s="6">
        <v>9.7420000000000009</v>
      </c>
      <c r="D646" s="6">
        <v>7295.46</v>
      </c>
      <c r="E646" s="6">
        <v>0.94</v>
      </c>
      <c r="F646" s="6">
        <f t="shared" si="70"/>
        <v>1.0444444444444444E-2</v>
      </c>
      <c r="G646">
        <f t="shared" si="71"/>
        <v>0.61806415733461062</v>
      </c>
      <c r="H646">
        <f t="shared" si="72"/>
        <v>0</v>
      </c>
      <c r="I646">
        <f t="shared" si="73"/>
        <v>0.12530313614673105</v>
      </c>
      <c r="J646">
        <f t="shared" si="74"/>
        <v>0.42753712394879506</v>
      </c>
      <c r="K646">
        <f t="shared" si="75"/>
        <v>0.60761971289016614</v>
      </c>
      <c r="L646">
        <f t="shared" si="76"/>
        <v>0.1148586917022866</v>
      </c>
    </row>
    <row r="647" spans="1:12" x14ac:dyDescent="0.25">
      <c r="A647" s="1">
        <v>41129</v>
      </c>
      <c r="B647" s="6">
        <v>62.981400000000001</v>
      </c>
      <c r="C647" s="6">
        <v>9.7803000000000004</v>
      </c>
      <c r="D647" s="6">
        <v>7319.8</v>
      </c>
      <c r="E647" s="6">
        <v>0.94</v>
      </c>
      <c r="F647" s="6">
        <f t="shared" si="70"/>
        <v>1.0444444444444444E-2</v>
      </c>
      <c r="G647">
        <f t="shared" si="71"/>
        <v>-1.1057444697074381</v>
      </c>
      <c r="H647">
        <f t="shared" si="72"/>
        <v>0.3931430917675996</v>
      </c>
      <c r="I647">
        <f t="shared" si="73"/>
        <v>0.33363214930929846</v>
      </c>
      <c r="J647">
        <f t="shared" si="74"/>
        <v>-0.78537971697815157</v>
      </c>
      <c r="K647">
        <f t="shared" si="75"/>
        <v>-1.1161889141518826</v>
      </c>
      <c r="L647">
        <f t="shared" si="76"/>
        <v>0.32318770486485404</v>
      </c>
    </row>
    <row r="648" spans="1:12" x14ac:dyDescent="0.25">
      <c r="A648" s="1">
        <v>41130</v>
      </c>
      <c r="B648" s="6">
        <v>64.389700000000005</v>
      </c>
      <c r="C648" s="6">
        <v>9.8571000000000009</v>
      </c>
      <c r="D648" s="6">
        <v>7433.7</v>
      </c>
      <c r="E648" s="6">
        <v>0.94</v>
      </c>
      <c r="F648" s="6">
        <f t="shared" si="70"/>
        <v>1.0444444444444444E-2</v>
      </c>
      <c r="G648">
        <f t="shared" si="71"/>
        <v>2.236056994604763</v>
      </c>
      <c r="H648">
        <f t="shared" si="72"/>
        <v>0.78525198613539893</v>
      </c>
      <c r="I648">
        <f t="shared" si="73"/>
        <v>1.5560534440831666</v>
      </c>
      <c r="J648">
        <f t="shared" si="74"/>
        <v>1.5659992072901785</v>
      </c>
      <c r="K648">
        <f t="shared" si="75"/>
        <v>2.2256125501603186</v>
      </c>
      <c r="L648">
        <f t="shared" si="76"/>
        <v>1.5456089996387221</v>
      </c>
    </row>
    <row r="649" spans="1:12" x14ac:dyDescent="0.25">
      <c r="A649" s="1">
        <v>41131</v>
      </c>
      <c r="B649" s="6">
        <v>64.155000000000001</v>
      </c>
      <c r="C649" s="6">
        <v>9.7420000000000009</v>
      </c>
      <c r="D649" s="6">
        <v>7441.12</v>
      </c>
      <c r="E649" s="6">
        <v>0.94</v>
      </c>
      <c r="F649" s="6">
        <f t="shared" si="70"/>
        <v>1.0444444444444444E-2</v>
      </c>
      <c r="G649">
        <f t="shared" si="71"/>
        <v>-0.36449929103568374</v>
      </c>
      <c r="H649">
        <f t="shared" si="72"/>
        <v>-1.1676862363169691</v>
      </c>
      <c r="I649">
        <f t="shared" si="73"/>
        <v>9.9815704158091836E-2</v>
      </c>
      <c r="J649">
        <f t="shared" si="74"/>
        <v>-0.26382021996506255</v>
      </c>
      <c r="K649">
        <f t="shared" si="75"/>
        <v>-0.37494373548012816</v>
      </c>
      <c r="L649">
        <f t="shared" si="76"/>
        <v>8.93712597136474E-2</v>
      </c>
    </row>
    <row r="650" spans="1:12" x14ac:dyDescent="0.25">
      <c r="A650" s="1">
        <v>41134</v>
      </c>
      <c r="B650" s="6">
        <v>64.702699999999993</v>
      </c>
      <c r="C650" s="6">
        <v>9.5885999999999996</v>
      </c>
      <c r="D650" s="6">
        <v>7436.3</v>
      </c>
      <c r="E650" s="6">
        <v>0.94</v>
      </c>
      <c r="F650" s="6">
        <f t="shared" si="70"/>
        <v>1.0444444444444444E-2</v>
      </c>
      <c r="G650">
        <f t="shared" si="71"/>
        <v>0.85371366222428779</v>
      </c>
      <c r="H650">
        <f t="shared" si="72"/>
        <v>-1.5746253336070755</v>
      </c>
      <c r="I650">
        <f t="shared" si="73"/>
        <v>-6.4775195131911711E-2</v>
      </c>
      <c r="J650">
        <f t="shared" si="74"/>
        <v>0.59334627964796438</v>
      </c>
      <c r="K650">
        <f t="shared" si="75"/>
        <v>0.84326921777984332</v>
      </c>
      <c r="L650">
        <f t="shared" si="76"/>
        <v>-7.5219639576356162E-2</v>
      </c>
    </row>
    <row r="651" spans="1:12" x14ac:dyDescent="0.25">
      <c r="A651" s="1">
        <v>41135</v>
      </c>
      <c r="B651" s="6">
        <v>65.093800000000002</v>
      </c>
      <c r="C651" s="6">
        <v>9.5885999999999996</v>
      </c>
      <c r="D651" s="6">
        <v>7479.25</v>
      </c>
      <c r="E651" s="6">
        <v>0.94</v>
      </c>
      <c r="F651" s="6">
        <f t="shared" si="70"/>
        <v>1.0444444444444444E-2</v>
      </c>
      <c r="G651">
        <f t="shared" si="71"/>
        <v>0.60445700102160915</v>
      </c>
      <c r="H651">
        <f t="shared" si="72"/>
        <v>0</v>
      </c>
      <c r="I651">
        <f t="shared" si="73"/>
        <v>0.57757217971302688</v>
      </c>
      <c r="J651">
        <f t="shared" si="74"/>
        <v>0.41796277283449224</v>
      </c>
      <c r="K651">
        <f t="shared" si="75"/>
        <v>0.59401255657716467</v>
      </c>
      <c r="L651">
        <f t="shared" si="76"/>
        <v>0.5671277352685824</v>
      </c>
    </row>
    <row r="652" spans="1:12" x14ac:dyDescent="0.25">
      <c r="A652" s="1">
        <v>41136</v>
      </c>
      <c r="B652" s="6">
        <v>64.937399999999997</v>
      </c>
      <c r="C652" s="6">
        <v>9.5502000000000002</v>
      </c>
      <c r="D652" s="6">
        <v>7467.74</v>
      </c>
      <c r="E652" s="6">
        <v>0.94</v>
      </c>
      <c r="F652" s="6">
        <f t="shared" si="70"/>
        <v>1.0444444444444444E-2</v>
      </c>
      <c r="G652">
        <f t="shared" si="71"/>
        <v>-0.24026865845903139</v>
      </c>
      <c r="H652">
        <f t="shared" si="72"/>
        <v>-0.40047556473311352</v>
      </c>
      <c r="I652">
        <f t="shared" si="73"/>
        <v>-0.15389243573888048</v>
      </c>
      <c r="J652">
        <f t="shared" si="74"/>
        <v>-0.1764082972913783</v>
      </c>
      <c r="K652">
        <f t="shared" si="75"/>
        <v>-0.25071310290347582</v>
      </c>
      <c r="L652">
        <f t="shared" si="76"/>
        <v>-0.16433688018332493</v>
      </c>
    </row>
    <row r="653" spans="1:12" x14ac:dyDescent="0.25">
      <c r="A653" s="1">
        <v>41137</v>
      </c>
      <c r="B653" s="6">
        <v>64.859099999999998</v>
      </c>
      <c r="C653" s="6">
        <v>9.4734999999999996</v>
      </c>
      <c r="D653" s="6">
        <v>7490.21</v>
      </c>
      <c r="E653" s="6">
        <v>0.94</v>
      </c>
      <c r="F653" s="6">
        <f t="shared" si="70"/>
        <v>1.0444444444444444E-2</v>
      </c>
      <c r="G653">
        <f t="shared" si="71"/>
        <v>-0.12057766402719959</v>
      </c>
      <c r="H653">
        <f t="shared" si="72"/>
        <v>-0.8031245418944174</v>
      </c>
      <c r="I653">
        <f t="shared" si="73"/>
        <v>0.30089424645207591</v>
      </c>
      <c r="J653">
        <f t="shared" si="74"/>
        <v>-9.2190582763070086E-2</v>
      </c>
      <c r="K653">
        <f t="shared" si="75"/>
        <v>-0.13102210847164403</v>
      </c>
      <c r="L653">
        <f t="shared" si="76"/>
        <v>0.29044980200763149</v>
      </c>
    </row>
    <row r="654" spans="1:12" x14ac:dyDescent="0.25">
      <c r="A654" s="1">
        <v>41138</v>
      </c>
      <c r="B654" s="6">
        <v>64.155000000000001</v>
      </c>
      <c r="C654" s="6">
        <v>9.5502000000000002</v>
      </c>
      <c r="D654" s="6">
        <v>7467.92</v>
      </c>
      <c r="E654" s="6">
        <v>0.94</v>
      </c>
      <c r="F654" s="6">
        <f t="shared" si="70"/>
        <v>1.0444444444444444E-2</v>
      </c>
      <c r="G654">
        <f t="shared" si="71"/>
        <v>-1.085583981276331</v>
      </c>
      <c r="H654">
        <f t="shared" si="72"/>
        <v>0.8096268538554986</v>
      </c>
      <c r="I654">
        <f t="shared" si="73"/>
        <v>-0.29758845212617491</v>
      </c>
      <c r="J654">
        <f t="shared" si="74"/>
        <v>-0.77119426996518325</v>
      </c>
      <c r="K654">
        <f t="shared" si="75"/>
        <v>-1.0960284257207755</v>
      </c>
      <c r="L654">
        <f t="shared" si="76"/>
        <v>-0.30803289657061933</v>
      </c>
    </row>
    <row r="655" spans="1:12" x14ac:dyDescent="0.25">
      <c r="A655" s="1">
        <v>41141</v>
      </c>
      <c r="B655" s="6">
        <v>64.4679</v>
      </c>
      <c r="C655" s="6">
        <v>9.3201000000000001</v>
      </c>
      <c r="D655" s="6">
        <v>7431.91</v>
      </c>
      <c r="E655" s="6">
        <v>0.94</v>
      </c>
      <c r="F655" s="6">
        <f t="shared" si="70"/>
        <v>1.0444444444444444E-2</v>
      </c>
      <c r="G655">
        <f t="shared" si="71"/>
        <v>0.4877250409165288</v>
      </c>
      <c r="H655">
        <f t="shared" si="72"/>
        <v>-2.4093736256832337</v>
      </c>
      <c r="I655">
        <f t="shared" si="73"/>
        <v>-0.48219584569733231</v>
      </c>
      <c r="J655">
        <f t="shared" si="74"/>
        <v>0.33582711226014089</v>
      </c>
      <c r="K655">
        <f t="shared" si="75"/>
        <v>0.47728059647208437</v>
      </c>
      <c r="L655">
        <f t="shared" si="76"/>
        <v>-0.49264029014177674</v>
      </c>
    </row>
    <row r="656" spans="1:12" x14ac:dyDescent="0.25">
      <c r="A656" s="1">
        <v>41142</v>
      </c>
      <c r="B656" s="6">
        <v>65.406800000000004</v>
      </c>
      <c r="C656" s="6">
        <v>9.3583999999999996</v>
      </c>
      <c r="D656" s="6">
        <v>7506.81</v>
      </c>
      <c r="E656" s="6">
        <v>0.94</v>
      </c>
      <c r="F656" s="6">
        <f t="shared" si="70"/>
        <v>1.0444444444444444E-2</v>
      </c>
      <c r="G656">
        <f t="shared" si="71"/>
        <v>1.4563837196496301</v>
      </c>
      <c r="H656">
        <f t="shared" si="72"/>
        <v>0.41093979678329157</v>
      </c>
      <c r="I656">
        <f t="shared" si="73"/>
        <v>1.0078162948690248</v>
      </c>
      <c r="J656">
        <f t="shared" si="74"/>
        <v>1.0174006965399021</v>
      </c>
      <c r="K656">
        <f t="shared" si="75"/>
        <v>1.4459392752051856</v>
      </c>
      <c r="L656">
        <f t="shared" si="76"/>
        <v>0.99737185042458032</v>
      </c>
    </row>
    <row r="657" spans="1:12" x14ac:dyDescent="0.25">
      <c r="A657" s="1">
        <v>41143</v>
      </c>
      <c r="B657" s="6">
        <v>64.4679</v>
      </c>
      <c r="C657" s="6">
        <v>9.2433999999999994</v>
      </c>
      <c r="D657" s="6">
        <v>7496.58</v>
      </c>
      <c r="E657" s="6">
        <v>0.94</v>
      </c>
      <c r="F657" s="6">
        <f t="shared" si="70"/>
        <v>1.0444444444444444E-2</v>
      </c>
      <c r="G657">
        <f t="shared" si="71"/>
        <v>-1.4354776567574072</v>
      </c>
      <c r="H657">
        <f t="shared" si="72"/>
        <v>-1.228842537185846</v>
      </c>
      <c r="I657">
        <f t="shared" si="73"/>
        <v>-0.13627626115487768</v>
      </c>
      <c r="J657">
        <f t="shared" si="74"/>
        <v>-1.0173886124619231</v>
      </c>
      <c r="K657">
        <f t="shared" si="75"/>
        <v>-1.4459221012018517</v>
      </c>
      <c r="L657">
        <f t="shared" si="76"/>
        <v>-0.14672070559932213</v>
      </c>
    </row>
    <row r="658" spans="1:12" x14ac:dyDescent="0.25">
      <c r="A658" s="1">
        <v>41144</v>
      </c>
      <c r="B658" s="6">
        <v>64.702699999999993</v>
      </c>
      <c r="C658" s="6">
        <v>9.3583999999999996</v>
      </c>
      <c r="D658" s="6">
        <v>7505.17</v>
      </c>
      <c r="E658" s="6">
        <v>0.94</v>
      </c>
      <c r="F658" s="6">
        <f t="shared" si="70"/>
        <v>1.0444444444444444E-2</v>
      </c>
      <c r="G658">
        <f t="shared" si="71"/>
        <v>0.36421226688009506</v>
      </c>
      <c r="H658">
        <f t="shared" si="72"/>
        <v>1.2441309474868578</v>
      </c>
      <c r="I658">
        <f t="shared" si="73"/>
        <v>0.11458558435980334</v>
      </c>
      <c r="J658">
        <f t="shared" si="74"/>
        <v>0.24892029363291243</v>
      </c>
      <c r="K658">
        <f t="shared" si="75"/>
        <v>0.35376782243565064</v>
      </c>
      <c r="L658">
        <f t="shared" si="76"/>
        <v>0.10414113991535889</v>
      </c>
    </row>
    <row r="659" spans="1:12" x14ac:dyDescent="0.25">
      <c r="A659" s="1">
        <v>41145</v>
      </c>
      <c r="B659" s="6">
        <v>64.155000000000001</v>
      </c>
      <c r="C659" s="6">
        <v>9.3201000000000001</v>
      </c>
      <c r="D659" s="6">
        <v>7477.53</v>
      </c>
      <c r="E659" s="6">
        <v>0.94</v>
      </c>
      <c r="F659" s="6">
        <f t="shared" si="70"/>
        <v>1.0444444444444444E-2</v>
      </c>
      <c r="G659">
        <f t="shared" si="71"/>
        <v>-0.84648708631941472</v>
      </c>
      <c r="H659">
        <f t="shared" si="72"/>
        <v>-0.4092579928192806</v>
      </c>
      <c r="I659">
        <f t="shared" si="73"/>
        <v>-0.36827946602142692</v>
      </c>
      <c r="J659">
        <f t="shared" si="74"/>
        <v>-0.60295944043876692</v>
      </c>
      <c r="K659">
        <f t="shared" si="75"/>
        <v>-0.85693153076385919</v>
      </c>
      <c r="L659">
        <f t="shared" si="76"/>
        <v>-0.37872391046587134</v>
      </c>
    </row>
    <row r="660" spans="1:12" x14ac:dyDescent="0.25">
      <c r="A660" s="1">
        <v>41148</v>
      </c>
      <c r="B660" s="6">
        <v>64.937399999999997</v>
      </c>
      <c r="C660" s="6">
        <v>9.2433999999999994</v>
      </c>
      <c r="D660" s="6">
        <v>7468.22</v>
      </c>
      <c r="E660" s="6">
        <v>0.94</v>
      </c>
      <c r="F660" s="6">
        <f t="shared" si="70"/>
        <v>1.0444444444444444E-2</v>
      </c>
      <c r="G660">
        <f t="shared" si="71"/>
        <v>1.2195464110357657</v>
      </c>
      <c r="H660">
        <f t="shared" si="72"/>
        <v>-0.82295254342765267</v>
      </c>
      <c r="I660">
        <f t="shared" si="73"/>
        <v>-0.12450635437102213</v>
      </c>
      <c r="J660">
        <f t="shared" si="74"/>
        <v>0.85075577107013212</v>
      </c>
      <c r="K660">
        <f t="shared" si="75"/>
        <v>1.2091019665913212</v>
      </c>
      <c r="L660">
        <f t="shared" si="76"/>
        <v>-0.13495079881546657</v>
      </c>
    </row>
    <row r="661" spans="1:12" x14ac:dyDescent="0.25">
      <c r="A661" s="1">
        <v>41149</v>
      </c>
      <c r="B661" s="6">
        <v>64.4679</v>
      </c>
      <c r="C661" s="6">
        <v>9.2433999999999994</v>
      </c>
      <c r="D661" s="6">
        <v>7361.94</v>
      </c>
      <c r="E661" s="6">
        <v>0.94</v>
      </c>
      <c r="F661" s="6">
        <f t="shared" si="70"/>
        <v>1.0444444444444444E-2</v>
      </c>
      <c r="G661">
        <f t="shared" si="71"/>
        <v>-0.7230040007761267</v>
      </c>
      <c r="H661">
        <f t="shared" si="72"/>
        <v>0</v>
      </c>
      <c r="I661">
        <f t="shared" si="73"/>
        <v>-1.4230968021831261</v>
      </c>
      <c r="J661">
        <f t="shared" si="74"/>
        <v>-0.51607351141189972</v>
      </c>
      <c r="K661">
        <f t="shared" si="75"/>
        <v>-0.73344844522057118</v>
      </c>
      <c r="L661">
        <f t="shared" si="76"/>
        <v>-1.4335412466275705</v>
      </c>
    </row>
    <row r="662" spans="1:12" x14ac:dyDescent="0.25">
      <c r="A662" s="1">
        <v>41150</v>
      </c>
      <c r="B662" s="6">
        <v>64.702699999999993</v>
      </c>
      <c r="C662" s="6">
        <v>9.2433999999999994</v>
      </c>
      <c r="D662" s="6">
        <v>7391.15</v>
      </c>
      <c r="E662" s="6">
        <v>0.94</v>
      </c>
      <c r="F662" s="6">
        <f t="shared" si="70"/>
        <v>1.0444444444444444E-2</v>
      </c>
      <c r="G662">
        <f t="shared" si="71"/>
        <v>0.36421226688009506</v>
      </c>
      <c r="H662">
        <f t="shared" si="72"/>
        <v>0</v>
      </c>
      <c r="I662">
        <f t="shared" si="73"/>
        <v>0.39677041649347916</v>
      </c>
      <c r="J662">
        <f t="shared" si="74"/>
        <v>0.24892029363291243</v>
      </c>
      <c r="K662">
        <f t="shared" si="75"/>
        <v>0.35376782243565064</v>
      </c>
      <c r="L662">
        <f t="shared" si="76"/>
        <v>0.38632597204903474</v>
      </c>
    </row>
    <row r="663" spans="1:12" x14ac:dyDescent="0.25">
      <c r="A663" s="1">
        <v>41151</v>
      </c>
      <c r="B663" s="6">
        <v>64.702699999999993</v>
      </c>
      <c r="C663" s="6">
        <v>9.2433999999999994</v>
      </c>
      <c r="D663" s="6">
        <v>7371.44</v>
      </c>
      <c r="E663" s="6">
        <v>0.94</v>
      </c>
      <c r="F663" s="6">
        <f t="shared" si="70"/>
        <v>1.0444444444444444E-2</v>
      </c>
      <c r="G663">
        <f t="shared" si="71"/>
        <v>0</v>
      </c>
      <c r="H663">
        <f t="shared" si="72"/>
        <v>0</v>
      </c>
      <c r="I663">
        <f t="shared" si="73"/>
        <v>-0.26667027458514625</v>
      </c>
      <c r="J663">
        <f t="shared" si="74"/>
        <v>-7.3489843141871791E-3</v>
      </c>
      <c r="K663">
        <f t="shared" si="75"/>
        <v>-1.0444444444444444E-2</v>
      </c>
      <c r="L663">
        <f t="shared" si="76"/>
        <v>-0.27711471902959067</v>
      </c>
    </row>
    <row r="664" spans="1:12" x14ac:dyDescent="0.25">
      <c r="A664" s="1">
        <v>41152</v>
      </c>
      <c r="B664" s="6">
        <v>65.1721</v>
      </c>
      <c r="C664" s="6">
        <v>9.2050000000000001</v>
      </c>
      <c r="D664" s="6">
        <v>7397.06</v>
      </c>
      <c r="E664" s="6">
        <v>0.94</v>
      </c>
      <c r="F664" s="6">
        <f t="shared" si="70"/>
        <v>1.0444444444444444E-2</v>
      </c>
      <c r="G664">
        <f t="shared" si="71"/>
        <v>0.72547204367052287</v>
      </c>
      <c r="H664">
        <f t="shared" si="72"/>
        <v>-0.41543155116082098</v>
      </c>
      <c r="I664">
        <f t="shared" si="73"/>
        <v>0.3475576006859013</v>
      </c>
      <c r="J664">
        <f t="shared" si="74"/>
        <v>0.50311212232245006</v>
      </c>
      <c r="K664">
        <f t="shared" si="75"/>
        <v>0.71502759922607839</v>
      </c>
      <c r="L664">
        <f t="shared" si="76"/>
        <v>0.33711315624145688</v>
      </c>
    </row>
    <row r="665" spans="1:12" x14ac:dyDescent="0.25">
      <c r="A665" s="1">
        <v>41155</v>
      </c>
      <c r="B665" s="6">
        <v>65.641499999999994</v>
      </c>
      <c r="C665" s="6">
        <v>9.1667000000000005</v>
      </c>
      <c r="D665" s="6">
        <v>7450.53</v>
      </c>
      <c r="E665" s="6">
        <v>0.94</v>
      </c>
      <c r="F665" s="6">
        <f t="shared" si="70"/>
        <v>1.0444444444444444E-2</v>
      </c>
      <c r="G665">
        <f t="shared" si="71"/>
        <v>0.72024685409859912</v>
      </c>
      <c r="H665">
        <f t="shared" si="72"/>
        <v>-0.41607821835958236</v>
      </c>
      <c r="I665">
        <f t="shared" si="73"/>
        <v>0.72285475580837988</v>
      </c>
      <c r="J665">
        <f t="shared" si="74"/>
        <v>0.49943554226048731</v>
      </c>
      <c r="K665">
        <f t="shared" si="75"/>
        <v>0.70980240965415464</v>
      </c>
      <c r="L665">
        <f t="shared" si="76"/>
        <v>0.7124103113639354</v>
      </c>
    </row>
    <row r="666" spans="1:12" x14ac:dyDescent="0.25">
      <c r="A666" s="1">
        <v>41156</v>
      </c>
      <c r="B666" s="6">
        <v>65.719800000000006</v>
      </c>
      <c r="C666" s="6">
        <v>9.1667000000000005</v>
      </c>
      <c r="D666" s="6">
        <v>7451.35</v>
      </c>
      <c r="E666" s="6">
        <v>0.94</v>
      </c>
      <c r="F666" s="6">
        <f t="shared" si="70"/>
        <v>1.0444444444444444E-2</v>
      </c>
      <c r="G666">
        <f t="shared" si="71"/>
        <v>0.11928429423461213</v>
      </c>
      <c r="H666">
        <f t="shared" si="72"/>
        <v>0</v>
      </c>
      <c r="I666">
        <f t="shared" si="73"/>
        <v>1.1005928437314103E-2</v>
      </c>
      <c r="J666">
        <f t="shared" si="74"/>
        <v>7.6582565316998738E-2</v>
      </c>
      <c r="K666">
        <f t="shared" si="75"/>
        <v>0.1088398497901677</v>
      </c>
      <c r="L666">
        <f t="shared" si="76"/>
        <v>5.6148399286965953E-4</v>
      </c>
    </row>
    <row r="667" spans="1:12" x14ac:dyDescent="0.25">
      <c r="A667" s="1">
        <v>41157</v>
      </c>
      <c r="B667" s="6">
        <v>64.155000000000001</v>
      </c>
      <c r="C667" s="6">
        <v>8.9748999999999999</v>
      </c>
      <c r="D667" s="6">
        <v>7367.44</v>
      </c>
      <c r="E667" s="6">
        <v>0.94</v>
      </c>
      <c r="F667" s="6">
        <f t="shared" si="70"/>
        <v>1.0444444444444444E-2</v>
      </c>
      <c r="G667">
        <f t="shared" si="71"/>
        <v>-2.3810175928715624</v>
      </c>
      <c r="H667">
        <f t="shared" si="72"/>
        <v>-2.0923560277962694</v>
      </c>
      <c r="I667">
        <f t="shared" si="73"/>
        <v>-1.1261046655975193</v>
      </c>
      <c r="J667">
        <f t="shared" si="74"/>
        <v>-1.6826952447009049</v>
      </c>
      <c r="K667">
        <f t="shared" si="75"/>
        <v>-2.3914620373160069</v>
      </c>
      <c r="L667">
        <f t="shared" si="76"/>
        <v>-1.1365491100419638</v>
      </c>
    </row>
    <row r="668" spans="1:12" x14ac:dyDescent="0.25">
      <c r="A668" s="1">
        <v>41158</v>
      </c>
      <c r="B668" s="6">
        <v>63.450899999999997</v>
      </c>
      <c r="C668" s="6">
        <v>8.9366000000000003</v>
      </c>
      <c r="D668" s="6">
        <v>7326.72</v>
      </c>
      <c r="E668" s="6">
        <v>0.94</v>
      </c>
      <c r="F668" s="6">
        <f t="shared" si="70"/>
        <v>1.0444444444444444E-2</v>
      </c>
      <c r="G668">
        <f t="shared" si="71"/>
        <v>-1.0974982464344227</v>
      </c>
      <c r="H668">
        <f t="shared" si="72"/>
        <v>-0.42674570190196615</v>
      </c>
      <c r="I668">
        <f t="shared" si="73"/>
        <v>-0.55270215977326376</v>
      </c>
      <c r="J668">
        <f t="shared" si="74"/>
        <v>-0.77957745858068273</v>
      </c>
      <c r="K668">
        <f t="shared" si="75"/>
        <v>-1.1079426908788672</v>
      </c>
      <c r="L668">
        <f t="shared" si="76"/>
        <v>-0.56314660421770824</v>
      </c>
    </row>
    <row r="669" spans="1:12" x14ac:dyDescent="0.25">
      <c r="A669" s="1">
        <v>41159</v>
      </c>
      <c r="B669" s="6">
        <v>65.563299999999998</v>
      </c>
      <c r="C669" s="6">
        <v>9.0516000000000005</v>
      </c>
      <c r="D669" s="6">
        <v>7424.91</v>
      </c>
      <c r="E669" s="6">
        <v>0.94</v>
      </c>
      <c r="F669" s="6">
        <f t="shared" si="70"/>
        <v>1.0444444444444444E-2</v>
      </c>
      <c r="G669">
        <f t="shared" si="71"/>
        <v>3.3291883960668818</v>
      </c>
      <c r="H669">
        <f t="shared" si="72"/>
        <v>1.2868428708904975</v>
      </c>
      <c r="I669">
        <f t="shared" si="73"/>
        <v>1.340163128930812</v>
      </c>
      <c r="J669">
        <f t="shared" si="74"/>
        <v>2.3351550552073599</v>
      </c>
      <c r="K669">
        <f t="shared" si="75"/>
        <v>3.3187439516224373</v>
      </c>
      <c r="L669">
        <f t="shared" si="76"/>
        <v>1.3297186844863675</v>
      </c>
    </row>
    <row r="670" spans="1:12" x14ac:dyDescent="0.25">
      <c r="A670" s="1">
        <v>41162</v>
      </c>
      <c r="B670" s="6">
        <v>65.328599999999994</v>
      </c>
      <c r="C670" s="6">
        <v>9.2817000000000007</v>
      </c>
      <c r="D670" s="6">
        <v>7482.74</v>
      </c>
      <c r="E670" s="6">
        <v>0.94</v>
      </c>
      <c r="F670" s="6">
        <f t="shared" si="70"/>
        <v>1.0444444444444444E-2</v>
      </c>
      <c r="G670">
        <f t="shared" si="71"/>
        <v>-0.35797465960377783</v>
      </c>
      <c r="H670">
        <f t="shared" si="72"/>
        <v>2.5420920058332248</v>
      </c>
      <c r="I670">
        <f t="shared" si="73"/>
        <v>0.77886465963897111</v>
      </c>
      <c r="J670">
        <f t="shared" si="74"/>
        <v>-0.25922931861995235</v>
      </c>
      <c r="K670">
        <f t="shared" si="75"/>
        <v>-0.36841910404822226</v>
      </c>
      <c r="L670">
        <f t="shared" si="76"/>
        <v>0.76842021519452663</v>
      </c>
    </row>
    <row r="671" spans="1:12" x14ac:dyDescent="0.25">
      <c r="A671" s="1">
        <v>41163</v>
      </c>
      <c r="B671" s="6">
        <v>66.032700000000006</v>
      </c>
      <c r="C671" s="6">
        <v>9.2817000000000007</v>
      </c>
      <c r="D671" s="6">
        <v>7485.13</v>
      </c>
      <c r="E671" s="6">
        <v>0.94</v>
      </c>
      <c r="F671" s="6">
        <f t="shared" si="70"/>
        <v>1.0444444444444444E-2</v>
      </c>
      <c r="G671">
        <f t="shared" si="71"/>
        <v>1.0777821658508082</v>
      </c>
      <c r="H671">
        <f t="shared" si="72"/>
        <v>0</v>
      </c>
      <c r="I671">
        <f t="shared" si="73"/>
        <v>3.1940171648357787E-2</v>
      </c>
      <c r="J671">
        <f t="shared" si="74"/>
        <v>0.75100673992554123</v>
      </c>
      <c r="K671">
        <f t="shared" si="75"/>
        <v>1.0673377214063637</v>
      </c>
      <c r="L671">
        <f t="shared" si="76"/>
        <v>2.1495727203913344E-2</v>
      </c>
    </row>
    <row r="672" spans="1:12" x14ac:dyDescent="0.25">
      <c r="A672" s="1">
        <v>41164</v>
      </c>
      <c r="B672" s="6">
        <v>66.110900000000001</v>
      </c>
      <c r="C672" s="6">
        <v>9.2050000000000001</v>
      </c>
      <c r="D672" s="6">
        <v>7570.45</v>
      </c>
      <c r="E672" s="6">
        <v>0.94</v>
      </c>
      <c r="F672" s="6">
        <f t="shared" si="70"/>
        <v>1.0444444444444444E-2</v>
      </c>
      <c r="G672">
        <f t="shared" si="71"/>
        <v>0.11842617369878163</v>
      </c>
      <c r="H672">
        <f t="shared" si="72"/>
        <v>-0.82635724059170901</v>
      </c>
      <c r="I672">
        <f t="shared" si="73"/>
        <v>1.1398599623520194</v>
      </c>
      <c r="J672">
        <f t="shared" si="74"/>
        <v>7.5978769261493384E-2</v>
      </c>
      <c r="K672">
        <f t="shared" si="75"/>
        <v>0.10798172925433719</v>
      </c>
      <c r="L672">
        <f t="shared" si="76"/>
        <v>1.1294155179075749</v>
      </c>
    </row>
    <row r="673" spans="1:12" x14ac:dyDescent="0.25">
      <c r="A673" s="1">
        <v>41165</v>
      </c>
      <c r="B673" s="6">
        <v>66.502099999999999</v>
      </c>
      <c r="C673" s="6">
        <v>9.2050000000000001</v>
      </c>
      <c r="D673" s="6">
        <v>7578.8</v>
      </c>
      <c r="E673" s="6">
        <v>0.94</v>
      </c>
      <c r="F673" s="6">
        <f t="shared" si="70"/>
        <v>1.0444444444444444E-2</v>
      </c>
      <c r="G673">
        <f t="shared" si="71"/>
        <v>0.59173298200447699</v>
      </c>
      <c r="H673">
        <f t="shared" si="72"/>
        <v>0</v>
      </c>
      <c r="I673">
        <f t="shared" si="73"/>
        <v>0.11029727427035861</v>
      </c>
      <c r="J673">
        <f t="shared" si="74"/>
        <v>0.40900982022243998</v>
      </c>
      <c r="K673">
        <f t="shared" si="75"/>
        <v>0.58128853756003251</v>
      </c>
      <c r="L673">
        <f t="shared" si="76"/>
        <v>9.9852829825914174E-2</v>
      </c>
    </row>
    <row r="674" spans="1:12" x14ac:dyDescent="0.25">
      <c r="A674" s="1">
        <v>41166</v>
      </c>
      <c r="B674" s="6">
        <v>67.675700000000006</v>
      </c>
      <c r="C674" s="6">
        <v>9.3968000000000007</v>
      </c>
      <c r="D674" s="6">
        <v>7738.05</v>
      </c>
      <c r="E674" s="6">
        <v>0.94</v>
      </c>
      <c r="F674" s="6">
        <f t="shared" si="70"/>
        <v>1.0444444444444444E-2</v>
      </c>
      <c r="G674">
        <f t="shared" si="71"/>
        <v>1.7647563009288543</v>
      </c>
      <c r="H674">
        <f t="shared" si="72"/>
        <v>2.0836501901140752</v>
      </c>
      <c r="I674">
        <f t="shared" si="73"/>
        <v>2.1012561355359689</v>
      </c>
      <c r="J674">
        <f t="shared" si="74"/>
        <v>1.2343797110581773</v>
      </c>
      <c r="K674">
        <f t="shared" si="75"/>
        <v>1.7543118564844098</v>
      </c>
      <c r="L674">
        <f t="shared" si="76"/>
        <v>2.0908116910915244</v>
      </c>
    </row>
    <row r="675" spans="1:12" x14ac:dyDescent="0.25">
      <c r="A675" s="1">
        <v>41169</v>
      </c>
      <c r="B675" s="6">
        <v>67.675700000000006</v>
      </c>
      <c r="C675" s="6">
        <v>9.4352</v>
      </c>
      <c r="D675" s="6">
        <v>7762.22</v>
      </c>
      <c r="E675" s="6">
        <v>0.94</v>
      </c>
      <c r="F675" s="6">
        <f t="shared" si="70"/>
        <v>1.0444444444444444E-2</v>
      </c>
      <c r="G675">
        <f t="shared" si="71"/>
        <v>0</v>
      </c>
      <c r="H675">
        <f t="shared" si="72"/>
        <v>0.40864975310743362</v>
      </c>
      <c r="I675">
        <f t="shared" si="73"/>
        <v>0.31235259529209647</v>
      </c>
      <c r="J675">
        <f t="shared" si="74"/>
        <v>-7.3489843141871791E-3</v>
      </c>
      <c r="K675">
        <f t="shared" si="75"/>
        <v>-1.0444444444444444E-2</v>
      </c>
      <c r="L675">
        <f t="shared" si="76"/>
        <v>0.30190815084765205</v>
      </c>
    </row>
    <row r="676" spans="1:12" x14ac:dyDescent="0.25">
      <c r="A676" s="1">
        <v>41170</v>
      </c>
      <c r="B676" s="6">
        <v>67.049800000000005</v>
      </c>
      <c r="C676" s="6">
        <v>9.3583999999999996</v>
      </c>
      <c r="D676" s="6">
        <v>7734.26</v>
      </c>
      <c r="E676" s="6">
        <v>0.94</v>
      </c>
      <c r="F676" s="6">
        <f t="shared" si="70"/>
        <v>1.0444444444444444E-2</v>
      </c>
      <c r="G676">
        <f t="shared" si="71"/>
        <v>-0.92485190400690553</v>
      </c>
      <c r="H676">
        <f t="shared" si="72"/>
        <v>-0.81397320671528339</v>
      </c>
      <c r="I676">
        <f t="shared" si="73"/>
        <v>-0.36020622966110255</v>
      </c>
      <c r="J676">
        <f t="shared" si="74"/>
        <v>-0.65809897601031553</v>
      </c>
      <c r="K676">
        <f t="shared" si="75"/>
        <v>-0.93529634845135001</v>
      </c>
      <c r="L676">
        <f t="shared" si="76"/>
        <v>-0.37065067410554697</v>
      </c>
    </row>
    <row r="677" spans="1:12" x14ac:dyDescent="0.25">
      <c r="A677" s="1">
        <v>41171</v>
      </c>
      <c r="B677" s="6">
        <v>67.284499999999994</v>
      </c>
      <c r="C677" s="6">
        <v>9.4352</v>
      </c>
      <c r="D677" s="6">
        <v>7781.91</v>
      </c>
      <c r="E677" s="6">
        <v>0.94</v>
      </c>
      <c r="F677" s="6">
        <f t="shared" si="70"/>
        <v>1.0444444444444444E-2</v>
      </c>
      <c r="G677">
        <f t="shared" si="71"/>
        <v>0.3500383297190886</v>
      </c>
      <c r="H677">
        <f t="shared" si="72"/>
        <v>0.82065310309455064</v>
      </c>
      <c r="I677">
        <f t="shared" si="73"/>
        <v>0.61608996852962838</v>
      </c>
      <c r="J677">
        <f t="shared" si="74"/>
        <v>0.23894714068824646</v>
      </c>
      <c r="K677">
        <f t="shared" si="75"/>
        <v>0.33959388527464418</v>
      </c>
      <c r="L677">
        <f t="shared" si="76"/>
        <v>0.60564552408518391</v>
      </c>
    </row>
    <row r="678" spans="1:12" x14ac:dyDescent="0.25">
      <c r="A678" s="1">
        <v>41172</v>
      </c>
      <c r="B678" s="6">
        <v>66.736800000000002</v>
      </c>
      <c r="C678" s="6">
        <v>9.3583999999999996</v>
      </c>
      <c r="D678" s="6">
        <v>7727.55</v>
      </c>
      <c r="E678" s="6">
        <v>0.94</v>
      </c>
      <c r="F678" s="6">
        <f t="shared" si="70"/>
        <v>1.0444444444444444E-2</v>
      </c>
      <c r="G678">
        <f t="shared" si="71"/>
        <v>-0.81400619756406289</v>
      </c>
      <c r="H678">
        <f t="shared" si="72"/>
        <v>-0.81397320671528339</v>
      </c>
      <c r="I678">
        <f t="shared" si="73"/>
        <v>-0.69854315971271419</v>
      </c>
      <c r="J678">
        <f t="shared" si="74"/>
        <v>-0.58010503748381526</v>
      </c>
      <c r="K678">
        <f t="shared" si="75"/>
        <v>-0.82445064200850737</v>
      </c>
      <c r="L678">
        <f t="shared" si="76"/>
        <v>-0.70898760415715867</v>
      </c>
    </row>
    <row r="679" spans="1:12" x14ac:dyDescent="0.25">
      <c r="A679" s="1">
        <v>41173</v>
      </c>
      <c r="B679" s="6">
        <v>67.049800000000005</v>
      </c>
      <c r="C679" s="6">
        <v>9.4352</v>
      </c>
      <c r="D679" s="6">
        <v>7754.59</v>
      </c>
      <c r="E679" s="6">
        <v>0.94</v>
      </c>
      <c r="F679" s="6">
        <f t="shared" si="70"/>
        <v>1.0444444444444444E-2</v>
      </c>
      <c r="G679">
        <f t="shared" si="71"/>
        <v>0.46900660505148939</v>
      </c>
      <c r="H679">
        <f t="shared" si="72"/>
        <v>0.82065310309455064</v>
      </c>
      <c r="I679">
        <f t="shared" si="73"/>
        <v>0.34991685592458105</v>
      </c>
      <c r="J679">
        <f t="shared" si="74"/>
        <v>0.32265633115349573</v>
      </c>
      <c r="K679">
        <f t="shared" si="75"/>
        <v>0.45856216060704497</v>
      </c>
      <c r="L679">
        <f t="shared" si="76"/>
        <v>0.33947241148013663</v>
      </c>
    </row>
    <row r="680" spans="1:12" x14ac:dyDescent="0.25">
      <c r="A680" s="1">
        <v>41176</v>
      </c>
      <c r="B680" s="6">
        <v>67.362700000000004</v>
      </c>
      <c r="C680" s="6">
        <v>9.3201000000000001</v>
      </c>
      <c r="D680" s="6">
        <v>7768.3</v>
      </c>
      <c r="E680" s="6">
        <v>0.94</v>
      </c>
      <c r="F680" s="6">
        <f t="shared" si="70"/>
        <v>1.0444444444444444E-2</v>
      </c>
      <c r="G680">
        <f t="shared" si="71"/>
        <v>0.46666805866684025</v>
      </c>
      <c r="H680">
        <f t="shared" si="72"/>
        <v>-1.2198999491266744</v>
      </c>
      <c r="I680">
        <f t="shared" si="73"/>
        <v>0.17679851545987649</v>
      </c>
      <c r="J680">
        <f t="shared" si="74"/>
        <v>0.32101086874616519</v>
      </c>
      <c r="K680">
        <f t="shared" si="75"/>
        <v>0.45622361422239582</v>
      </c>
      <c r="L680">
        <f t="shared" si="76"/>
        <v>0.16635407101543204</v>
      </c>
    </row>
    <row r="681" spans="1:12" x14ac:dyDescent="0.25">
      <c r="A681" s="1">
        <v>41177</v>
      </c>
      <c r="B681" s="6">
        <v>67.206299999999999</v>
      </c>
      <c r="C681" s="6">
        <v>9.3201000000000001</v>
      </c>
      <c r="D681" s="6">
        <v>7734.13</v>
      </c>
      <c r="E681" s="6">
        <v>0.94</v>
      </c>
      <c r="F681" s="6">
        <f t="shared" si="70"/>
        <v>1.0444444444444444E-2</v>
      </c>
      <c r="G681">
        <f t="shared" si="71"/>
        <v>-0.23217596681843955</v>
      </c>
      <c r="H681">
        <f t="shared" si="72"/>
        <v>0</v>
      </c>
      <c r="I681">
        <f t="shared" si="73"/>
        <v>-0.43986457783556343</v>
      </c>
      <c r="J681">
        <f t="shared" si="74"/>
        <v>-0.17071406776652334</v>
      </c>
      <c r="K681">
        <f t="shared" si="75"/>
        <v>-0.242620411262884</v>
      </c>
      <c r="L681">
        <f t="shared" si="76"/>
        <v>-0.45030902228000785</v>
      </c>
    </row>
    <row r="682" spans="1:12" x14ac:dyDescent="0.25">
      <c r="A682" s="1">
        <v>41178</v>
      </c>
      <c r="B682" s="6">
        <v>67.597499999999997</v>
      </c>
      <c r="C682" s="6">
        <v>9.2433999999999994</v>
      </c>
      <c r="D682" s="6">
        <v>7669.63</v>
      </c>
      <c r="E682" s="6">
        <v>0.94</v>
      </c>
      <c r="F682" s="6">
        <f t="shared" si="70"/>
        <v>1.0444444444444444E-2</v>
      </c>
      <c r="G682">
        <f t="shared" si="71"/>
        <v>0.58208828636600707</v>
      </c>
      <c r="H682">
        <f t="shared" si="72"/>
        <v>-0.82295254342765267</v>
      </c>
      <c r="I682">
        <f t="shared" si="73"/>
        <v>-0.83396581128064828</v>
      </c>
      <c r="J682">
        <f t="shared" si="74"/>
        <v>0.40222356008775884</v>
      </c>
      <c r="K682">
        <f t="shared" si="75"/>
        <v>0.57164384192156259</v>
      </c>
      <c r="L682">
        <f t="shared" si="76"/>
        <v>-0.84441025572509276</v>
      </c>
    </row>
    <row r="683" spans="1:12" x14ac:dyDescent="0.25">
      <c r="A683" s="1">
        <v>41179</v>
      </c>
      <c r="B683" s="6">
        <v>68.536299999999997</v>
      </c>
      <c r="C683" s="6">
        <v>9.3201000000000001</v>
      </c>
      <c r="D683" s="6">
        <v>7683.8</v>
      </c>
      <c r="E683" s="6">
        <v>0.94</v>
      </c>
      <c r="F683" s="6">
        <f t="shared" si="70"/>
        <v>1.0444444444444444E-2</v>
      </c>
      <c r="G683">
        <f t="shared" si="71"/>
        <v>1.3888087577203307</v>
      </c>
      <c r="H683">
        <f t="shared" si="72"/>
        <v>0.829781249323849</v>
      </c>
      <c r="I683">
        <f t="shared" si="73"/>
        <v>0.18475467525812944</v>
      </c>
      <c r="J683">
        <f t="shared" si="74"/>
        <v>0.96985318571807289</v>
      </c>
      <c r="K683">
        <f t="shared" si="75"/>
        <v>1.3783643132758863</v>
      </c>
      <c r="L683">
        <f t="shared" si="76"/>
        <v>0.17431023081368499</v>
      </c>
    </row>
    <row r="684" spans="1:12" x14ac:dyDescent="0.25">
      <c r="A684" s="1">
        <v>41180</v>
      </c>
      <c r="B684" s="6">
        <v>70.257499999999993</v>
      </c>
      <c r="C684" s="6">
        <v>9.3583999999999996</v>
      </c>
      <c r="D684" s="6">
        <v>7715.16</v>
      </c>
      <c r="E684" s="6">
        <v>0.94</v>
      </c>
      <c r="F684" s="6">
        <f t="shared" si="70"/>
        <v>1.0444444444444444E-2</v>
      </c>
      <c r="G684">
        <f t="shared" si="71"/>
        <v>2.5113698871984571</v>
      </c>
      <c r="H684">
        <f t="shared" si="72"/>
        <v>0.41093979678329157</v>
      </c>
      <c r="I684">
        <f t="shared" si="73"/>
        <v>0.40813139332100878</v>
      </c>
      <c r="J684">
        <f t="shared" si="74"/>
        <v>1.7597165600825297</v>
      </c>
      <c r="K684">
        <f t="shared" si="75"/>
        <v>2.5009254427540126</v>
      </c>
      <c r="L684">
        <f t="shared" si="76"/>
        <v>0.39768694887656436</v>
      </c>
    </row>
    <row r="685" spans="1:12" x14ac:dyDescent="0.25">
      <c r="A685" s="1">
        <v>41183</v>
      </c>
      <c r="B685" s="6">
        <v>69.553399999999996</v>
      </c>
      <c r="C685" s="6">
        <v>9.2050000000000001</v>
      </c>
      <c r="D685" s="6">
        <v>7675.72</v>
      </c>
      <c r="E685" s="6">
        <v>0.94</v>
      </c>
      <c r="F685" s="6">
        <f t="shared" si="70"/>
        <v>1.0444444444444444E-2</v>
      </c>
      <c r="G685">
        <f t="shared" si="71"/>
        <v>-1.0021705867700914</v>
      </c>
      <c r="H685">
        <f t="shared" si="72"/>
        <v>-1.6391690887331118</v>
      </c>
      <c r="I685">
        <f t="shared" si="73"/>
        <v>-0.51120132310930166</v>
      </c>
      <c r="J685">
        <f t="shared" si="74"/>
        <v>-0.71250242368459649</v>
      </c>
      <c r="K685">
        <f t="shared" si="75"/>
        <v>-1.0126150312145359</v>
      </c>
      <c r="L685">
        <f t="shared" si="76"/>
        <v>-0.52164576755374614</v>
      </c>
    </row>
    <row r="686" spans="1:12" x14ac:dyDescent="0.25">
      <c r="A686" s="1">
        <v>41184</v>
      </c>
      <c r="B686" s="6">
        <v>70.101100000000002</v>
      </c>
      <c r="C686" s="6">
        <v>9.2817000000000007</v>
      </c>
      <c r="D686" s="6">
        <v>7718.68</v>
      </c>
      <c r="E686" s="6">
        <v>0.94</v>
      </c>
      <c r="F686" s="6">
        <f t="shared" si="70"/>
        <v>1.0444444444444444E-2</v>
      </c>
      <c r="G686">
        <f t="shared" si="71"/>
        <v>0.78745251849658837</v>
      </c>
      <c r="H686">
        <f t="shared" si="72"/>
        <v>0.83324280282455898</v>
      </c>
      <c r="I686">
        <f t="shared" si="73"/>
        <v>0.55968690885024508</v>
      </c>
      <c r="J686">
        <f t="shared" si="74"/>
        <v>0.54672320567929744</v>
      </c>
      <c r="K686">
        <f t="shared" si="75"/>
        <v>0.77700807405214389</v>
      </c>
      <c r="L686">
        <f t="shared" si="76"/>
        <v>0.5492424644058006</v>
      </c>
    </row>
    <row r="687" spans="1:12" x14ac:dyDescent="0.25">
      <c r="A687" s="1">
        <v>41185</v>
      </c>
      <c r="B687" s="6">
        <v>70.257499999999993</v>
      </c>
      <c r="C687" s="6">
        <v>9.2433999999999994</v>
      </c>
      <c r="D687" s="6">
        <v>7684.63</v>
      </c>
      <c r="E687" s="6">
        <v>0.94</v>
      </c>
      <c r="F687" s="6">
        <f t="shared" si="70"/>
        <v>1.0444444444444444E-2</v>
      </c>
      <c r="G687">
        <f t="shared" si="71"/>
        <v>0.22310634212585931</v>
      </c>
      <c r="H687">
        <f t="shared" si="72"/>
        <v>-0.41263992587566212</v>
      </c>
      <c r="I687">
        <f t="shared" si="73"/>
        <v>-0.44113760383900069</v>
      </c>
      <c r="J687">
        <f t="shared" si="74"/>
        <v>0.14963447396355289</v>
      </c>
      <c r="K687">
        <f t="shared" si="75"/>
        <v>0.21266189768141486</v>
      </c>
      <c r="L687">
        <f t="shared" si="76"/>
        <v>-0.45158204828344511</v>
      </c>
    </row>
    <row r="688" spans="1:12" x14ac:dyDescent="0.25">
      <c r="A688" s="1">
        <v>41186</v>
      </c>
      <c r="B688" s="6">
        <v>70.883399999999995</v>
      </c>
      <c r="C688" s="6">
        <v>9.1282999999999994</v>
      </c>
      <c r="D688" s="6">
        <v>7682.34</v>
      </c>
      <c r="E688" s="6">
        <v>0.94</v>
      </c>
      <c r="F688" s="6">
        <f t="shared" si="70"/>
        <v>1.0444444444444444E-2</v>
      </c>
      <c r="G688">
        <f t="shared" si="71"/>
        <v>0.89086574387076334</v>
      </c>
      <c r="H688">
        <f t="shared" si="72"/>
        <v>-1.2452128004846701</v>
      </c>
      <c r="I688">
        <f t="shared" si="73"/>
        <v>-2.9799743123611205E-2</v>
      </c>
      <c r="J688">
        <f t="shared" si="74"/>
        <v>0.61948745610896605</v>
      </c>
      <c r="K688">
        <f t="shared" si="75"/>
        <v>0.88042129942631886</v>
      </c>
      <c r="L688">
        <f t="shared" si="76"/>
        <v>-4.0244187568055645E-2</v>
      </c>
    </row>
    <row r="689" spans="1:12" x14ac:dyDescent="0.25">
      <c r="A689" s="1">
        <v>41187</v>
      </c>
      <c r="B689" s="6">
        <v>71.196399999999997</v>
      </c>
      <c r="C689" s="6">
        <v>9.0516000000000005</v>
      </c>
      <c r="D689" s="6">
        <v>7690.65</v>
      </c>
      <c r="E689" s="6">
        <v>0.94</v>
      </c>
      <c r="F689" s="6">
        <f t="shared" si="70"/>
        <v>1.0444444444444444E-2</v>
      </c>
      <c r="G689">
        <f t="shared" si="71"/>
        <v>0.44157024070516143</v>
      </c>
      <c r="H689">
        <f t="shared" si="72"/>
        <v>-0.84024407611492702</v>
      </c>
      <c r="I689">
        <f t="shared" si="73"/>
        <v>0.10817016690226533</v>
      </c>
      <c r="J689">
        <f t="shared" si="74"/>
        <v>0.30335138752609792</v>
      </c>
      <c r="K689">
        <f t="shared" si="75"/>
        <v>0.43112579626071701</v>
      </c>
      <c r="L689">
        <f t="shared" si="76"/>
        <v>9.7725722457820879E-2</v>
      </c>
    </row>
    <row r="690" spans="1:12" x14ac:dyDescent="0.25">
      <c r="A690" s="1">
        <v>41190</v>
      </c>
      <c r="B690" s="6">
        <v>69.709900000000005</v>
      </c>
      <c r="C690" s="6">
        <v>9.0516000000000005</v>
      </c>
      <c r="D690" s="6">
        <v>7615.89</v>
      </c>
      <c r="E690" s="6">
        <v>0.94</v>
      </c>
      <c r="F690" s="6">
        <f t="shared" si="70"/>
        <v>1.0444444444444444E-2</v>
      </c>
      <c r="G690">
        <f t="shared" si="71"/>
        <v>-2.087886466169627</v>
      </c>
      <c r="H690">
        <f t="shared" si="72"/>
        <v>0</v>
      </c>
      <c r="I690">
        <f t="shared" si="73"/>
        <v>-0.9720894852840698</v>
      </c>
      <c r="J690">
        <f t="shared" si="74"/>
        <v>-1.4764405163052363</v>
      </c>
      <c r="K690">
        <f t="shared" si="75"/>
        <v>-2.0983309106140715</v>
      </c>
      <c r="L690">
        <f t="shared" si="76"/>
        <v>-0.98253392972851428</v>
      </c>
    </row>
    <row r="691" spans="1:12" x14ac:dyDescent="0.25">
      <c r="A691" s="1">
        <v>41191</v>
      </c>
      <c r="B691" s="6">
        <v>68.145099999999999</v>
      </c>
      <c r="C691" s="6">
        <v>9.1282999999999994</v>
      </c>
      <c r="D691" s="6">
        <v>7592.01</v>
      </c>
      <c r="E691" s="6">
        <v>0.94</v>
      </c>
      <c r="F691" s="6">
        <f t="shared" si="70"/>
        <v>1.0444444444444444E-2</v>
      </c>
      <c r="G691">
        <f t="shared" si="71"/>
        <v>-2.2447313796175368</v>
      </c>
      <c r="H691">
        <f t="shared" si="72"/>
        <v>0.84736400194439521</v>
      </c>
      <c r="I691">
        <f t="shared" si="73"/>
        <v>-0.31355494892914826</v>
      </c>
      <c r="J691">
        <f t="shared" si="74"/>
        <v>-1.5868007001158599</v>
      </c>
      <c r="K691">
        <f t="shared" si="75"/>
        <v>-2.2551758240619812</v>
      </c>
      <c r="L691">
        <f t="shared" si="76"/>
        <v>-0.32399939337359268</v>
      </c>
    </row>
    <row r="692" spans="1:12" x14ac:dyDescent="0.25">
      <c r="A692" s="1">
        <v>41193</v>
      </c>
      <c r="B692" s="6">
        <v>66.893299999999996</v>
      </c>
      <c r="C692" s="6">
        <v>8.9748999999999999</v>
      </c>
      <c r="D692" s="6">
        <v>7451.72</v>
      </c>
      <c r="E692" s="6">
        <v>0.94</v>
      </c>
      <c r="F692" s="6">
        <f t="shared" si="70"/>
        <v>1.0444444444444444E-2</v>
      </c>
      <c r="G692">
        <f t="shared" si="71"/>
        <v>-1.8369625989249454</v>
      </c>
      <c r="H692">
        <f t="shared" si="72"/>
        <v>-1.6804881522298736</v>
      </c>
      <c r="I692">
        <f t="shared" si="73"/>
        <v>-1.8478637409592449</v>
      </c>
      <c r="J692">
        <f t="shared" si="74"/>
        <v>-1.2998839197102665</v>
      </c>
      <c r="K692">
        <f t="shared" si="75"/>
        <v>-1.8474070433693899</v>
      </c>
      <c r="L692">
        <f t="shared" si="76"/>
        <v>-1.8583081854036894</v>
      </c>
    </row>
    <row r="693" spans="1:12" x14ac:dyDescent="0.25">
      <c r="A693" s="1">
        <v>41194</v>
      </c>
      <c r="B693" s="6">
        <v>67.519199999999998</v>
      </c>
      <c r="C693" s="6">
        <v>8.9366000000000003</v>
      </c>
      <c r="D693" s="6">
        <v>7437.04</v>
      </c>
      <c r="E693" s="6">
        <v>0.94</v>
      </c>
      <c r="F693" s="6">
        <f t="shared" si="70"/>
        <v>1.0444444444444444E-2</v>
      </c>
      <c r="G693">
        <f t="shared" si="71"/>
        <v>0.93566919257982706</v>
      </c>
      <c r="H693">
        <f t="shared" si="72"/>
        <v>-0.42674570190196615</v>
      </c>
      <c r="I693">
        <f t="shared" si="73"/>
        <v>-0.19700149764081704</v>
      </c>
      <c r="J693">
        <f t="shared" si="74"/>
        <v>0.65101233457768504</v>
      </c>
      <c r="K693">
        <f t="shared" si="75"/>
        <v>0.92522474813538258</v>
      </c>
      <c r="L693">
        <f t="shared" si="76"/>
        <v>-0.20744594208526149</v>
      </c>
    </row>
    <row r="694" spans="1:12" x14ac:dyDescent="0.25">
      <c r="A694" s="1">
        <v>41197</v>
      </c>
      <c r="B694" s="6">
        <v>67.597499999999997</v>
      </c>
      <c r="C694" s="6">
        <v>8.7447999999999997</v>
      </c>
      <c r="D694" s="6">
        <v>7418.9</v>
      </c>
      <c r="E694" s="6">
        <v>0.94</v>
      </c>
      <c r="F694" s="6">
        <f t="shared" si="70"/>
        <v>1.0444444444444444E-2</v>
      </c>
      <c r="G694">
        <f t="shared" si="71"/>
        <v>0.11596701382717613</v>
      </c>
      <c r="H694">
        <f t="shared" si="72"/>
        <v>-2.1462301098851984</v>
      </c>
      <c r="I694">
        <f t="shared" si="73"/>
        <v>-0.24391424545249626</v>
      </c>
      <c r="J694">
        <f t="shared" si="74"/>
        <v>7.4248440049763956E-2</v>
      </c>
      <c r="K694">
        <f t="shared" si="75"/>
        <v>0.10552256938273169</v>
      </c>
      <c r="L694">
        <f t="shared" si="76"/>
        <v>-0.25435868989694072</v>
      </c>
    </row>
    <row r="695" spans="1:12" x14ac:dyDescent="0.25">
      <c r="A695" s="1">
        <v>41198</v>
      </c>
      <c r="B695" s="6">
        <v>68.458100000000002</v>
      </c>
      <c r="C695" s="6">
        <v>8.7447999999999997</v>
      </c>
      <c r="D695" s="6">
        <v>7471.02</v>
      </c>
      <c r="E695" s="6">
        <v>0.94</v>
      </c>
      <c r="F695" s="6">
        <f t="shared" si="70"/>
        <v>1.0444444444444444E-2</v>
      </c>
      <c r="G695">
        <f t="shared" si="71"/>
        <v>1.2731240060653208</v>
      </c>
      <c r="H695">
        <f t="shared" si="72"/>
        <v>0</v>
      </c>
      <c r="I695">
        <f t="shared" si="73"/>
        <v>0.70253002466674042</v>
      </c>
      <c r="J695">
        <f t="shared" si="74"/>
        <v>0.8884543684017987</v>
      </c>
      <c r="K695">
        <f t="shared" si="75"/>
        <v>1.2626795616208764</v>
      </c>
      <c r="L695">
        <f t="shared" si="76"/>
        <v>0.69208558022229594</v>
      </c>
    </row>
    <row r="696" spans="1:12" x14ac:dyDescent="0.25">
      <c r="A696" s="1">
        <v>41199</v>
      </c>
      <c r="B696" s="6">
        <v>68.379800000000003</v>
      </c>
      <c r="C696" s="6">
        <v>8.7447999999999997</v>
      </c>
      <c r="D696" s="6">
        <v>7464.4</v>
      </c>
      <c r="E696" s="6">
        <v>0.94</v>
      </c>
      <c r="F696" s="6">
        <f t="shared" si="70"/>
        <v>1.0444444444444444E-2</v>
      </c>
      <c r="G696">
        <f t="shared" si="71"/>
        <v>-0.11437653104599559</v>
      </c>
      <c r="H696">
        <f t="shared" si="72"/>
        <v>0</v>
      </c>
      <c r="I696">
        <f t="shared" si="73"/>
        <v>-8.8609052043774478E-2</v>
      </c>
      <c r="J696">
        <f t="shared" si="74"/>
        <v>-8.7827303389862499E-2</v>
      </c>
      <c r="K696">
        <f t="shared" si="75"/>
        <v>-0.12482097549044002</v>
      </c>
      <c r="L696">
        <f t="shared" si="76"/>
        <v>-9.9053496488218928E-2</v>
      </c>
    </row>
    <row r="697" spans="1:12" x14ac:dyDescent="0.25">
      <c r="A697" s="1">
        <v>41200</v>
      </c>
      <c r="B697" s="6">
        <v>68.927499999999995</v>
      </c>
      <c r="C697" s="6">
        <v>8.6681000000000008</v>
      </c>
      <c r="D697" s="6">
        <v>7465.41</v>
      </c>
      <c r="E697" s="6">
        <v>0.94</v>
      </c>
      <c r="F697" s="6">
        <f t="shared" si="70"/>
        <v>1.0444444444444444E-2</v>
      </c>
      <c r="G697">
        <f t="shared" si="71"/>
        <v>0.8009675371966456</v>
      </c>
      <c r="H697">
        <f t="shared" si="72"/>
        <v>-0.8770926722166188</v>
      </c>
      <c r="I697">
        <f t="shared" si="73"/>
        <v>1.3530893306899661E-2</v>
      </c>
      <c r="J697">
        <f t="shared" si="74"/>
        <v>0.55623272635902088</v>
      </c>
      <c r="K697">
        <f t="shared" si="75"/>
        <v>0.79052309275220112</v>
      </c>
      <c r="L697">
        <f t="shared" si="76"/>
        <v>3.0864488624552169E-3</v>
      </c>
    </row>
    <row r="698" spans="1:12" x14ac:dyDescent="0.25">
      <c r="A698" s="1">
        <v>41201</v>
      </c>
      <c r="B698" s="6">
        <v>67.8322</v>
      </c>
      <c r="C698" s="6">
        <v>8.5530000000000008</v>
      </c>
      <c r="D698" s="6">
        <v>7408.76</v>
      </c>
      <c r="E698" s="6">
        <v>0.94</v>
      </c>
      <c r="F698" s="6">
        <f t="shared" si="70"/>
        <v>1.0444444444444444E-2</v>
      </c>
      <c r="G698">
        <f t="shared" si="71"/>
        <v>-1.5890609698596274</v>
      </c>
      <c r="H698">
        <f t="shared" si="72"/>
        <v>-1.3278573159054461</v>
      </c>
      <c r="I698">
        <f t="shared" si="73"/>
        <v>-0.75883307145889689</v>
      </c>
      <c r="J698">
        <f t="shared" si="74"/>
        <v>-1.1254538489532215</v>
      </c>
      <c r="K698">
        <f t="shared" si="75"/>
        <v>-1.5995054143040719</v>
      </c>
      <c r="L698">
        <f t="shared" si="76"/>
        <v>-0.76927751590334137</v>
      </c>
    </row>
    <row r="699" spans="1:12" x14ac:dyDescent="0.25">
      <c r="A699" s="1">
        <v>41204</v>
      </c>
      <c r="B699" s="6">
        <v>67.284499999999994</v>
      </c>
      <c r="C699" s="6">
        <v>8.5530000000000008</v>
      </c>
      <c r="D699" s="6">
        <v>7373.04</v>
      </c>
      <c r="E699" s="6">
        <v>0.94</v>
      </c>
      <c r="F699" s="6">
        <f t="shared" si="70"/>
        <v>1.0444444444444444E-2</v>
      </c>
      <c r="G699">
        <f t="shared" si="71"/>
        <v>-0.80743363771189214</v>
      </c>
      <c r="H699">
        <f t="shared" si="72"/>
        <v>0</v>
      </c>
      <c r="I699">
        <f t="shared" si="73"/>
        <v>-0.48213196270361375</v>
      </c>
      <c r="J699">
        <f t="shared" si="74"/>
        <v>-0.57548041244850745</v>
      </c>
      <c r="K699">
        <f t="shared" si="75"/>
        <v>-0.81787808215633662</v>
      </c>
      <c r="L699">
        <f t="shared" si="76"/>
        <v>-0.49257640714805817</v>
      </c>
    </row>
    <row r="700" spans="1:12" x14ac:dyDescent="0.25">
      <c r="A700" s="1">
        <v>41205</v>
      </c>
      <c r="B700" s="6">
        <v>67.049800000000005</v>
      </c>
      <c r="C700" s="6">
        <v>8.4763000000000002</v>
      </c>
      <c r="D700" s="6">
        <v>7337.48</v>
      </c>
      <c r="E700" s="6">
        <v>0.94</v>
      </c>
      <c r="F700" s="6">
        <f t="shared" si="70"/>
        <v>1.0444444444444444E-2</v>
      </c>
      <c r="G700">
        <f t="shared" si="71"/>
        <v>-0.34881733534467746</v>
      </c>
      <c r="H700">
        <f t="shared" si="72"/>
        <v>-0.89676137027944169</v>
      </c>
      <c r="I700">
        <f t="shared" si="73"/>
        <v>-0.48229766826167225</v>
      </c>
      <c r="J700">
        <f t="shared" si="74"/>
        <v>-0.2527859857363301</v>
      </c>
      <c r="K700">
        <f t="shared" si="75"/>
        <v>-0.35926177978912188</v>
      </c>
      <c r="L700">
        <f t="shared" si="76"/>
        <v>-0.49274211270611668</v>
      </c>
    </row>
    <row r="701" spans="1:12" x14ac:dyDescent="0.25">
      <c r="A701" s="1">
        <v>41206</v>
      </c>
      <c r="B701" s="6">
        <v>66.815100000000001</v>
      </c>
      <c r="C701" s="6">
        <v>8.5530000000000008</v>
      </c>
      <c r="D701" s="6">
        <v>7314.88</v>
      </c>
      <c r="E701" s="6">
        <v>0.94</v>
      </c>
      <c r="F701" s="6">
        <f t="shared" si="70"/>
        <v>1.0444444444444444E-2</v>
      </c>
      <c r="G701">
        <f t="shared" si="71"/>
        <v>-0.35003832971910975</v>
      </c>
      <c r="H701">
        <f t="shared" si="72"/>
        <v>0.90487594823213735</v>
      </c>
      <c r="I701">
        <f t="shared" si="73"/>
        <v>-0.30800765385390427</v>
      </c>
      <c r="J701">
        <f t="shared" si="74"/>
        <v>-0.25364510931663564</v>
      </c>
      <c r="K701">
        <f t="shared" si="75"/>
        <v>-0.36048277416355418</v>
      </c>
      <c r="L701">
        <f t="shared" si="76"/>
        <v>-0.3184520982983487</v>
      </c>
    </row>
    <row r="702" spans="1:12" x14ac:dyDescent="0.25">
      <c r="A702" s="1">
        <v>41207</v>
      </c>
      <c r="B702" s="6">
        <v>66.345699999999994</v>
      </c>
      <c r="C702" s="6">
        <v>8.6296999999999997</v>
      </c>
      <c r="D702" s="6">
        <v>7262.08</v>
      </c>
      <c r="E702" s="6">
        <v>0.94</v>
      </c>
      <c r="F702" s="6">
        <f t="shared" si="70"/>
        <v>1.0444444444444444E-2</v>
      </c>
      <c r="G702">
        <f t="shared" si="71"/>
        <v>-0.70253580403233307</v>
      </c>
      <c r="H702">
        <f t="shared" si="72"/>
        <v>0.89676137027942093</v>
      </c>
      <c r="I702">
        <f t="shared" si="73"/>
        <v>-0.72181635242136821</v>
      </c>
      <c r="J702">
        <f t="shared" si="74"/>
        <v>-0.5016715527811707</v>
      </c>
      <c r="K702">
        <f t="shared" si="75"/>
        <v>-0.71298024847677755</v>
      </c>
      <c r="L702">
        <f t="shared" si="76"/>
        <v>-0.73226079686581269</v>
      </c>
    </row>
    <row r="703" spans="1:12" x14ac:dyDescent="0.25">
      <c r="A703" s="1">
        <v>41208</v>
      </c>
      <c r="B703" s="6">
        <v>68.301599999999993</v>
      </c>
      <c r="C703" s="6">
        <v>8.3995999999999995</v>
      </c>
      <c r="D703" s="6">
        <v>7134.06</v>
      </c>
      <c r="E703" s="6">
        <v>0.94</v>
      </c>
      <c r="F703" s="6">
        <f t="shared" si="70"/>
        <v>1.0444444444444444E-2</v>
      </c>
      <c r="G703">
        <f t="shared" si="71"/>
        <v>2.9480433547313538</v>
      </c>
      <c r="H703">
        <f t="shared" si="72"/>
        <v>-2.6663731068287451</v>
      </c>
      <c r="I703">
        <f t="shared" si="73"/>
        <v>-1.762855820921823</v>
      </c>
      <c r="J703">
        <f t="shared" si="74"/>
        <v>2.0669714342302834</v>
      </c>
      <c r="K703">
        <f t="shared" si="75"/>
        <v>2.9375989102869093</v>
      </c>
      <c r="L703">
        <f t="shared" si="76"/>
        <v>-1.7733002653662675</v>
      </c>
    </row>
    <row r="704" spans="1:12" x14ac:dyDescent="0.25">
      <c r="A704" s="1">
        <v>41211</v>
      </c>
      <c r="B704" s="6">
        <v>68.927499999999995</v>
      </c>
      <c r="C704" s="6">
        <v>8.3229000000000006</v>
      </c>
      <c r="D704" s="6">
        <v>7091.67</v>
      </c>
      <c r="E704" s="6">
        <v>0.94</v>
      </c>
      <c r="F704" s="6">
        <f t="shared" si="70"/>
        <v>1.0444444444444444E-2</v>
      </c>
      <c r="G704">
        <f t="shared" si="71"/>
        <v>0.91637677594668576</v>
      </c>
      <c r="H704">
        <f t="shared" si="72"/>
        <v>-0.91313872089145776</v>
      </c>
      <c r="I704">
        <f t="shared" si="73"/>
        <v>-0.59419180662904891</v>
      </c>
      <c r="J704">
        <f t="shared" si="74"/>
        <v>0.63743768558856306</v>
      </c>
      <c r="K704">
        <f t="shared" si="75"/>
        <v>0.90593233150224128</v>
      </c>
      <c r="L704">
        <f t="shared" si="76"/>
        <v>-0.60463625107349339</v>
      </c>
    </row>
    <row r="705" spans="1:12" x14ac:dyDescent="0.25">
      <c r="A705" s="1">
        <v>41212</v>
      </c>
      <c r="B705" s="6">
        <v>68.849299999999999</v>
      </c>
      <c r="C705" s="6">
        <v>8.4379000000000008</v>
      </c>
      <c r="D705" s="6">
        <v>7182.59</v>
      </c>
      <c r="E705" s="6">
        <v>0.94</v>
      </c>
      <c r="F705" s="6">
        <f t="shared" si="70"/>
        <v>1.0444444444444444E-2</v>
      </c>
      <c r="G705">
        <f t="shared" si="71"/>
        <v>-0.11345254071306139</v>
      </c>
      <c r="H705">
        <f t="shared" si="72"/>
        <v>1.3817299258671882</v>
      </c>
      <c r="I705">
        <f t="shared" si="73"/>
        <v>1.2820675524946885</v>
      </c>
      <c r="J705">
        <f t="shared" si="74"/>
        <v>-8.7177159622109882E-2</v>
      </c>
      <c r="K705">
        <f t="shared" si="75"/>
        <v>-0.12389698515750583</v>
      </c>
      <c r="L705">
        <f t="shared" si="76"/>
        <v>1.271623108050244</v>
      </c>
    </row>
    <row r="706" spans="1:12" x14ac:dyDescent="0.25">
      <c r="A706" s="1">
        <v>41213</v>
      </c>
      <c r="B706" s="6">
        <v>69.396900000000002</v>
      </c>
      <c r="C706" s="6">
        <v>8.3229000000000006</v>
      </c>
      <c r="D706" s="6">
        <v>7166.05</v>
      </c>
      <c r="E706" s="6">
        <v>0.94</v>
      </c>
      <c r="F706" s="6">
        <f t="shared" si="70"/>
        <v>1.0444444444444444E-2</v>
      </c>
      <c r="G706">
        <f t="shared" si="71"/>
        <v>0.79536030141192826</v>
      </c>
      <c r="H706">
        <f t="shared" si="72"/>
        <v>-1.3628983514855615</v>
      </c>
      <c r="I706">
        <f t="shared" si="73"/>
        <v>-0.23027904975781666</v>
      </c>
      <c r="J706">
        <f t="shared" si="74"/>
        <v>0.55228732858827057</v>
      </c>
      <c r="K706">
        <f t="shared" si="75"/>
        <v>0.78491585696748378</v>
      </c>
      <c r="L706">
        <f t="shared" si="76"/>
        <v>-0.24072349420226111</v>
      </c>
    </row>
    <row r="707" spans="1:12" x14ac:dyDescent="0.25">
      <c r="A707" s="1">
        <v>41214</v>
      </c>
      <c r="B707" s="6">
        <v>69.7881</v>
      </c>
      <c r="C707" s="6">
        <v>8.0928000000000004</v>
      </c>
      <c r="D707" s="6">
        <v>7179.64</v>
      </c>
      <c r="E707" s="6">
        <v>0.94</v>
      </c>
      <c r="F707" s="6">
        <f t="shared" ref="F707:F770" si="77">E707/90</f>
        <v>1.0444444444444444E-2</v>
      </c>
      <c r="G707">
        <f t="shared" si="71"/>
        <v>0.56371394111264017</v>
      </c>
      <c r="H707">
        <f t="shared" si="72"/>
        <v>-2.7646613560177364</v>
      </c>
      <c r="I707">
        <f t="shared" si="73"/>
        <v>0.18964422520077512</v>
      </c>
      <c r="J707">
        <f t="shared" si="74"/>
        <v>0.38929489013611973</v>
      </c>
      <c r="K707">
        <f t="shared" si="75"/>
        <v>0.55326949666819569</v>
      </c>
      <c r="L707">
        <f t="shared" si="76"/>
        <v>0.17919978075633067</v>
      </c>
    </row>
    <row r="708" spans="1:12" x14ac:dyDescent="0.25">
      <c r="A708" s="1">
        <v>41215</v>
      </c>
      <c r="B708" s="6">
        <v>70.335800000000006</v>
      </c>
      <c r="C708" s="6">
        <v>8.1311</v>
      </c>
      <c r="D708" s="6">
        <v>7210.47</v>
      </c>
      <c r="E708" s="6">
        <v>0.94</v>
      </c>
      <c r="F708" s="6">
        <f t="shared" si="77"/>
        <v>1.0444444444444444E-2</v>
      </c>
      <c r="G708">
        <f t="shared" ref="G708:G771" si="78">100*(B708-B707)/B707</f>
        <v>0.78480428611755593</v>
      </c>
      <c r="H708">
        <f t="shared" ref="H708:H771" si="79">100*(C708-C707)/C707</f>
        <v>0.47326018189006963</v>
      </c>
      <c r="I708">
        <f t="shared" ref="I708:I771" si="80">100*(D708-D707)/D707</f>
        <v>0.42940871687159698</v>
      </c>
      <c r="J708">
        <f t="shared" ref="J708:J771" si="81">(G708-F708)/$N$3</f>
        <v>0.54485984010563271</v>
      </c>
      <c r="K708">
        <f t="shared" ref="K708:K771" si="82">G708-F708</f>
        <v>0.77435984167311145</v>
      </c>
      <c r="L708">
        <f t="shared" ref="L708:L771" si="83">I708-F708</f>
        <v>0.41896427242715256</v>
      </c>
    </row>
    <row r="709" spans="1:12" x14ac:dyDescent="0.25">
      <c r="A709" s="1">
        <v>41218</v>
      </c>
      <c r="B709" s="6">
        <v>70.648700000000005</v>
      </c>
      <c r="C709" s="6">
        <v>8.0928000000000004</v>
      </c>
      <c r="D709" s="6">
        <v>7185.36</v>
      </c>
      <c r="E709" s="6">
        <v>0.94</v>
      </c>
      <c r="F709" s="6">
        <f t="shared" si="77"/>
        <v>1.0444444444444444E-2</v>
      </c>
      <c r="G709">
        <f t="shared" si="78"/>
        <v>0.44486591465512448</v>
      </c>
      <c r="H709">
        <f t="shared" si="79"/>
        <v>-0.47103097981822334</v>
      </c>
      <c r="I709">
        <f t="shared" si="80"/>
        <v>-0.34824359577115749</v>
      </c>
      <c r="J709">
        <f t="shared" si="81"/>
        <v>0.30567030992467858</v>
      </c>
      <c r="K709">
        <f t="shared" si="82"/>
        <v>0.43442147021068006</v>
      </c>
      <c r="L709">
        <f t="shared" si="83"/>
        <v>-0.35868804021560191</v>
      </c>
    </row>
    <row r="710" spans="1:12" x14ac:dyDescent="0.25">
      <c r="A710" s="1">
        <v>41219</v>
      </c>
      <c r="B710" s="6">
        <v>70.727000000000004</v>
      </c>
      <c r="C710" s="6">
        <v>8.0928000000000004</v>
      </c>
      <c r="D710" s="6">
        <v>7236.68</v>
      </c>
      <c r="E710" s="6">
        <v>0.94</v>
      </c>
      <c r="F710" s="6">
        <f t="shared" si="77"/>
        <v>1.0444444444444444E-2</v>
      </c>
      <c r="G710">
        <f t="shared" si="78"/>
        <v>0.11083006481364653</v>
      </c>
      <c r="H710">
        <f t="shared" si="79"/>
        <v>0</v>
      </c>
      <c r="I710">
        <f t="shared" si="80"/>
        <v>0.71423004553704506</v>
      </c>
      <c r="J710">
        <f t="shared" si="81"/>
        <v>7.0633948352861034E-2</v>
      </c>
      <c r="K710">
        <f t="shared" si="82"/>
        <v>0.10038562036920209</v>
      </c>
      <c r="L710">
        <f t="shared" si="83"/>
        <v>0.70378560109260058</v>
      </c>
    </row>
    <row r="711" spans="1:12" x14ac:dyDescent="0.25">
      <c r="A711" s="1">
        <v>41220</v>
      </c>
      <c r="B711" s="6">
        <v>71.196399999999997</v>
      </c>
      <c r="C711" s="6">
        <v>8.1694999999999993</v>
      </c>
      <c r="D711" s="6">
        <v>7287.18</v>
      </c>
      <c r="E711" s="6">
        <v>0.94</v>
      </c>
      <c r="F711" s="6">
        <f t="shared" si="77"/>
        <v>1.0444444444444444E-2</v>
      </c>
      <c r="G711">
        <f t="shared" si="78"/>
        <v>0.66367865171715634</v>
      </c>
      <c r="H711">
        <f t="shared" si="79"/>
        <v>0.94775603005138986</v>
      </c>
      <c r="I711">
        <f t="shared" si="80"/>
        <v>0.69783381329559957</v>
      </c>
      <c r="J711">
        <f t="shared" si="81"/>
        <v>0.459632675368499</v>
      </c>
      <c r="K711">
        <f t="shared" si="82"/>
        <v>0.65323420727271186</v>
      </c>
      <c r="L711">
        <f t="shared" si="83"/>
        <v>0.68738936885115509</v>
      </c>
    </row>
    <row r="712" spans="1:12" x14ac:dyDescent="0.25">
      <c r="A712" s="1">
        <v>41221</v>
      </c>
      <c r="B712" s="6">
        <v>70.805199999999999</v>
      </c>
      <c r="C712" s="6">
        <v>8.1311</v>
      </c>
      <c r="D712" s="6">
        <v>7242.63</v>
      </c>
      <c r="E712" s="6">
        <v>0.94</v>
      </c>
      <c r="F712" s="6">
        <f t="shared" si="77"/>
        <v>1.0444444444444444E-2</v>
      </c>
      <c r="G712">
        <f t="shared" si="78"/>
        <v>-0.5494659842351548</v>
      </c>
      <c r="H712">
        <f t="shared" si="79"/>
        <v>-0.47004100618152062</v>
      </c>
      <c r="I712">
        <f t="shared" si="80"/>
        <v>-0.61134759948293005</v>
      </c>
      <c r="J712">
        <f t="shared" si="81"/>
        <v>-0.39396762361112503</v>
      </c>
      <c r="K712">
        <f t="shared" si="82"/>
        <v>-0.55991042867959928</v>
      </c>
      <c r="L712">
        <f t="shared" si="83"/>
        <v>-0.62179204392737453</v>
      </c>
    </row>
    <row r="713" spans="1:12" x14ac:dyDescent="0.25">
      <c r="A713" s="1">
        <v>41222</v>
      </c>
      <c r="B713" s="6">
        <v>71.039900000000003</v>
      </c>
      <c r="C713" s="6">
        <v>8.3229000000000006</v>
      </c>
      <c r="D713" s="6">
        <v>7293.22</v>
      </c>
      <c r="E713" s="6">
        <v>0.94</v>
      </c>
      <c r="F713" s="6">
        <f t="shared" si="77"/>
        <v>1.0444444444444444E-2</v>
      </c>
      <c r="G713">
        <f t="shared" si="78"/>
        <v>0.33147282967918129</v>
      </c>
      <c r="H713">
        <f t="shared" si="79"/>
        <v>2.358844436792078</v>
      </c>
      <c r="I713">
        <f t="shared" si="80"/>
        <v>0.69850316804807289</v>
      </c>
      <c r="J713">
        <f t="shared" si="81"/>
        <v>0.22588396922862006</v>
      </c>
      <c r="K713">
        <f t="shared" si="82"/>
        <v>0.32102838523473687</v>
      </c>
      <c r="L713">
        <f t="shared" si="83"/>
        <v>0.68805872360362841</v>
      </c>
    </row>
    <row r="714" spans="1:12" x14ac:dyDescent="0.25">
      <c r="A714" s="1">
        <v>41225</v>
      </c>
      <c r="B714" s="6">
        <v>71.431100000000001</v>
      </c>
      <c r="C714" s="6">
        <v>8.1694999999999993</v>
      </c>
      <c r="D714" s="6">
        <v>7267.75</v>
      </c>
      <c r="E714" s="6">
        <v>0.94</v>
      </c>
      <c r="F714" s="6">
        <f t="shared" si="77"/>
        <v>1.0444444444444444E-2</v>
      </c>
      <c r="G714">
        <f t="shared" si="78"/>
        <v>0.55067645083959538</v>
      </c>
      <c r="H714">
        <f t="shared" si="79"/>
        <v>-1.8431075706785052</v>
      </c>
      <c r="I714">
        <f t="shared" si="80"/>
        <v>-0.3492284615026045</v>
      </c>
      <c r="J714">
        <f t="shared" si="81"/>
        <v>0.38012137094870735</v>
      </c>
      <c r="K714">
        <f t="shared" si="82"/>
        <v>0.5402320063951509</v>
      </c>
      <c r="L714">
        <f t="shared" si="83"/>
        <v>-0.35967290594704893</v>
      </c>
    </row>
    <row r="715" spans="1:12" x14ac:dyDescent="0.25">
      <c r="A715" s="1">
        <v>41226</v>
      </c>
      <c r="B715" s="6">
        <v>70.648700000000005</v>
      </c>
      <c r="C715" s="6">
        <v>8.0543999999999993</v>
      </c>
      <c r="D715" s="6">
        <v>7136.05</v>
      </c>
      <c r="E715" s="6">
        <v>0.94</v>
      </c>
      <c r="F715" s="6">
        <f t="shared" si="77"/>
        <v>1.0444444444444444E-2</v>
      </c>
      <c r="G715">
        <f t="shared" si="78"/>
        <v>-1.0953212256286065</v>
      </c>
      <c r="H715">
        <f t="shared" si="79"/>
        <v>-1.4088989534243221</v>
      </c>
      <c r="I715">
        <f t="shared" si="80"/>
        <v>-1.8121151663169457</v>
      </c>
      <c r="J715">
        <f t="shared" si="81"/>
        <v>-0.77804564979576329</v>
      </c>
      <c r="K715">
        <f t="shared" si="82"/>
        <v>-1.1057656700730509</v>
      </c>
      <c r="L715">
        <f t="shared" si="83"/>
        <v>-1.8225596107613902</v>
      </c>
    </row>
    <row r="716" spans="1:12" x14ac:dyDescent="0.25">
      <c r="A716" s="1">
        <v>41227</v>
      </c>
      <c r="B716" s="6">
        <v>70.805199999999999</v>
      </c>
      <c r="C716" s="6">
        <v>8.0928000000000004</v>
      </c>
      <c r="D716" s="6">
        <v>7159.75</v>
      </c>
      <c r="E716" s="6">
        <v>0.94</v>
      </c>
      <c r="F716" s="6">
        <f t="shared" si="77"/>
        <v>1.0444444444444444E-2</v>
      </c>
      <c r="G716">
        <f t="shared" si="78"/>
        <v>0.22151858420607043</v>
      </c>
      <c r="H716">
        <f t="shared" si="79"/>
        <v>0.47675804529202798</v>
      </c>
      <c r="I716">
        <f t="shared" si="80"/>
        <v>0.33211650703119816</v>
      </c>
      <c r="J716">
        <f t="shared" si="81"/>
        <v>0.14851728595902847</v>
      </c>
      <c r="K716">
        <f t="shared" si="82"/>
        <v>0.21107413976162598</v>
      </c>
      <c r="L716">
        <f t="shared" si="83"/>
        <v>0.32167206258675374</v>
      </c>
    </row>
    <row r="717" spans="1:12" x14ac:dyDescent="0.25">
      <c r="A717" s="1">
        <v>41228</v>
      </c>
      <c r="B717" s="6">
        <v>70.570499999999996</v>
      </c>
      <c r="C717" s="6">
        <v>8.1311</v>
      </c>
      <c r="D717" s="6">
        <v>7143.84</v>
      </c>
      <c r="E717" s="6">
        <v>0.94</v>
      </c>
      <c r="F717" s="6">
        <f t="shared" si="77"/>
        <v>1.0444444444444444E-2</v>
      </c>
      <c r="G717">
        <f t="shared" si="78"/>
        <v>-0.33147282967918129</v>
      </c>
      <c r="H717">
        <f t="shared" si="79"/>
        <v>0.47326018189006963</v>
      </c>
      <c r="I717">
        <f t="shared" si="80"/>
        <v>-0.22221446279548665</v>
      </c>
      <c r="J717">
        <f t="shared" si="81"/>
        <v>-0.24058193785699436</v>
      </c>
      <c r="K717">
        <f t="shared" si="82"/>
        <v>-0.34191727412362571</v>
      </c>
      <c r="L717">
        <f t="shared" si="83"/>
        <v>-0.2326589072399311</v>
      </c>
    </row>
    <row r="718" spans="1:12" x14ac:dyDescent="0.25">
      <c r="A718" s="1">
        <v>41229</v>
      </c>
      <c r="B718" s="6">
        <v>70.570499999999996</v>
      </c>
      <c r="C718" s="6">
        <v>8.0928000000000004</v>
      </c>
      <c r="D718" s="6">
        <v>7130.07</v>
      </c>
      <c r="E718" s="6">
        <v>0.94</v>
      </c>
      <c r="F718" s="6">
        <f t="shared" si="77"/>
        <v>1.0444444444444444E-2</v>
      </c>
      <c r="G718">
        <f t="shared" si="78"/>
        <v>0</v>
      </c>
      <c r="H718">
        <f t="shared" si="79"/>
        <v>-0.47103097981822334</v>
      </c>
      <c r="I718">
        <f t="shared" si="80"/>
        <v>-0.19275347712155419</v>
      </c>
      <c r="J718">
        <f t="shared" si="81"/>
        <v>-7.3489843141871791E-3</v>
      </c>
      <c r="K718">
        <f t="shared" si="82"/>
        <v>-1.0444444444444444E-2</v>
      </c>
      <c r="L718">
        <f t="shared" si="83"/>
        <v>-0.20319792156599864</v>
      </c>
    </row>
    <row r="719" spans="1:12" x14ac:dyDescent="0.25">
      <c r="A719" s="1">
        <v>41232</v>
      </c>
      <c r="B719" s="6">
        <v>70.414000000000001</v>
      </c>
      <c r="C719" s="6">
        <v>7.9776999999999996</v>
      </c>
      <c r="D719" s="6">
        <v>7129.04</v>
      </c>
      <c r="E719" s="6">
        <v>0.94</v>
      </c>
      <c r="F719" s="6">
        <f t="shared" si="77"/>
        <v>1.0444444444444444E-2</v>
      </c>
      <c r="G719">
        <f t="shared" si="78"/>
        <v>-0.22176405155127724</v>
      </c>
      <c r="H719">
        <f t="shared" si="79"/>
        <v>-1.4222518782127429</v>
      </c>
      <c r="I719">
        <f t="shared" si="80"/>
        <v>-1.4445860980323411E-2</v>
      </c>
      <c r="J719">
        <f t="shared" si="81"/>
        <v>-0.16338797183236167</v>
      </c>
      <c r="K719">
        <f t="shared" si="82"/>
        <v>-0.23220849599572169</v>
      </c>
      <c r="L719">
        <f t="shared" si="83"/>
        <v>-2.4890305424767854E-2</v>
      </c>
    </row>
    <row r="720" spans="1:12" x14ac:dyDescent="0.25">
      <c r="A720" s="1">
        <v>41233</v>
      </c>
      <c r="B720" s="6">
        <v>70.727000000000004</v>
      </c>
      <c r="C720" s="6">
        <v>7.9009999999999998</v>
      </c>
      <c r="D720" s="6">
        <v>7145.77</v>
      </c>
      <c r="E720" s="6">
        <v>0.94</v>
      </c>
      <c r="F720" s="6">
        <f t="shared" si="77"/>
        <v>1.0444444444444444E-2</v>
      </c>
      <c r="G720">
        <f t="shared" si="78"/>
        <v>0.44451387508166329</v>
      </c>
      <c r="H720">
        <f t="shared" si="79"/>
        <v>-0.96142998608621244</v>
      </c>
      <c r="I720">
        <f t="shared" si="80"/>
        <v>0.23467395329526097</v>
      </c>
      <c r="J720">
        <f t="shared" si="81"/>
        <v>0.30542260567223123</v>
      </c>
      <c r="K720">
        <f t="shared" si="82"/>
        <v>0.43406943063721887</v>
      </c>
      <c r="L720">
        <f t="shared" si="83"/>
        <v>0.22422950885081652</v>
      </c>
    </row>
    <row r="721" spans="1:12" x14ac:dyDescent="0.25">
      <c r="A721" s="1">
        <v>41234</v>
      </c>
      <c r="B721" s="6">
        <v>70.805199999999999</v>
      </c>
      <c r="C721" s="6">
        <v>7.7476000000000003</v>
      </c>
      <c r="D721" s="6">
        <v>7088.49</v>
      </c>
      <c r="E721" s="6">
        <v>0.94</v>
      </c>
      <c r="F721" s="6">
        <f t="shared" si="77"/>
        <v>1.0444444444444444E-2</v>
      </c>
      <c r="G721">
        <f t="shared" si="78"/>
        <v>0.11056597904618516</v>
      </c>
      <c r="H721">
        <f t="shared" si="79"/>
        <v>-1.9415263890646695</v>
      </c>
      <c r="I721">
        <f t="shared" si="80"/>
        <v>-0.80159311032961666</v>
      </c>
      <c r="J721">
        <f t="shared" si="81"/>
        <v>7.0448130698988018E-2</v>
      </c>
      <c r="K721">
        <f t="shared" si="82"/>
        <v>0.10012153460174072</v>
      </c>
      <c r="L721">
        <f t="shared" si="83"/>
        <v>-0.81203755477406114</v>
      </c>
    </row>
    <row r="722" spans="1:12" x14ac:dyDescent="0.25">
      <c r="A722" s="1">
        <v>41235</v>
      </c>
      <c r="B722" s="6">
        <v>71.431100000000001</v>
      </c>
      <c r="C722" s="6">
        <v>7.7476000000000003</v>
      </c>
      <c r="D722" s="6">
        <v>7105.76</v>
      </c>
      <c r="E722" s="6">
        <v>0.94</v>
      </c>
      <c r="F722" s="6">
        <f t="shared" si="77"/>
        <v>1.0444444444444444E-2</v>
      </c>
      <c r="G722">
        <f t="shared" si="78"/>
        <v>0.88397462333275167</v>
      </c>
      <c r="H722">
        <f t="shared" si="79"/>
        <v>0</v>
      </c>
      <c r="I722">
        <f t="shared" si="80"/>
        <v>0.24363439886351587</v>
      </c>
      <c r="J722">
        <f t="shared" si="81"/>
        <v>0.61463868344227246</v>
      </c>
      <c r="K722">
        <f t="shared" si="82"/>
        <v>0.8735301788883072</v>
      </c>
      <c r="L722">
        <f t="shared" si="83"/>
        <v>0.23318995441907142</v>
      </c>
    </row>
    <row r="723" spans="1:12" x14ac:dyDescent="0.25">
      <c r="A723" s="1">
        <v>41236</v>
      </c>
      <c r="B723" s="6">
        <v>74.717100000000002</v>
      </c>
      <c r="C723" s="6">
        <v>8.2844999999999995</v>
      </c>
      <c r="D723" s="6">
        <v>7326.01</v>
      </c>
      <c r="E723" s="6">
        <v>0.94</v>
      </c>
      <c r="F723" s="6">
        <f t="shared" si="77"/>
        <v>1.0444444444444444E-2</v>
      </c>
      <c r="G723">
        <f t="shared" si="78"/>
        <v>4.6002371516048353</v>
      </c>
      <c r="H723">
        <f t="shared" si="79"/>
        <v>6.9298879653053751</v>
      </c>
      <c r="I723">
        <f t="shared" si="80"/>
        <v>3.0995980725495933</v>
      </c>
      <c r="J723">
        <f t="shared" si="81"/>
        <v>3.2294982073684237</v>
      </c>
      <c r="K723">
        <f t="shared" si="82"/>
        <v>4.5897927071603908</v>
      </c>
      <c r="L723">
        <f t="shared" si="83"/>
        <v>3.0891536281051488</v>
      </c>
    </row>
    <row r="724" spans="1:12" x14ac:dyDescent="0.25">
      <c r="A724" s="1">
        <v>41239</v>
      </c>
      <c r="B724" s="6">
        <v>74.560599999999994</v>
      </c>
      <c r="C724" s="6">
        <v>8.5146999999999995</v>
      </c>
      <c r="D724" s="6">
        <v>7407.37</v>
      </c>
      <c r="E724" s="6">
        <v>0.94</v>
      </c>
      <c r="F724" s="6">
        <f t="shared" si="77"/>
        <v>1.0444444444444444E-2</v>
      </c>
      <c r="G724">
        <f t="shared" si="78"/>
        <v>-0.20945673748045399</v>
      </c>
      <c r="H724">
        <f t="shared" si="79"/>
        <v>2.7786830828655922</v>
      </c>
      <c r="I724">
        <f t="shared" si="80"/>
        <v>1.1105635946442836</v>
      </c>
      <c r="J724">
        <f t="shared" si="81"/>
        <v>-0.15472822372059256</v>
      </c>
      <c r="K724">
        <f t="shared" si="82"/>
        <v>-0.21990118192489844</v>
      </c>
      <c r="L724">
        <f t="shared" si="83"/>
        <v>1.1001191501998391</v>
      </c>
    </row>
    <row r="725" spans="1:12" x14ac:dyDescent="0.25">
      <c r="A725" s="1">
        <v>41240</v>
      </c>
      <c r="B725" s="6">
        <v>75.343000000000004</v>
      </c>
      <c r="C725" s="6">
        <v>8.5914000000000001</v>
      </c>
      <c r="D725" s="6">
        <v>7430.2</v>
      </c>
      <c r="E725" s="6">
        <v>0.94</v>
      </c>
      <c r="F725" s="6">
        <f t="shared" si="77"/>
        <v>1.0444444444444444E-2</v>
      </c>
      <c r="G725">
        <f t="shared" si="78"/>
        <v>1.0493477788537242</v>
      </c>
      <c r="H725">
        <f t="shared" si="79"/>
        <v>0.90079509554066095</v>
      </c>
      <c r="I725">
        <f t="shared" si="80"/>
        <v>0.30820655644310907</v>
      </c>
      <c r="J725">
        <f t="shared" si="81"/>
        <v>0.73099956145505307</v>
      </c>
      <c r="K725">
        <f t="shared" si="82"/>
        <v>1.0389033344092797</v>
      </c>
      <c r="L725">
        <f t="shared" si="83"/>
        <v>0.29776211199866465</v>
      </c>
    </row>
    <row r="726" spans="1:12" x14ac:dyDescent="0.25">
      <c r="A726" s="1">
        <v>41241</v>
      </c>
      <c r="B726" s="6">
        <v>75.030100000000004</v>
      </c>
      <c r="C726" s="6">
        <v>8.5914000000000001</v>
      </c>
      <c r="D726" s="6">
        <v>7434.93</v>
      </c>
      <c r="E726" s="6">
        <v>0.94</v>
      </c>
      <c r="F726" s="6">
        <f t="shared" si="77"/>
        <v>1.0444444444444444E-2</v>
      </c>
      <c r="G726">
        <f t="shared" si="78"/>
        <v>-0.41530069150418625</v>
      </c>
      <c r="H726">
        <f t="shared" si="79"/>
        <v>0</v>
      </c>
      <c r="I726">
        <f t="shared" si="80"/>
        <v>6.3659120885043108E-2</v>
      </c>
      <c r="J726">
        <f t="shared" si="81"/>
        <v>-0.29956541418459337</v>
      </c>
      <c r="K726">
        <f t="shared" si="82"/>
        <v>-0.42574513594863067</v>
      </c>
      <c r="L726">
        <f t="shared" si="83"/>
        <v>5.3214676440598664E-2</v>
      </c>
    </row>
    <row r="727" spans="1:12" x14ac:dyDescent="0.25">
      <c r="A727" s="1">
        <v>41242</v>
      </c>
      <c r="B727" s="6">
        <v>75.499499999999998</v>
      </c>
      <c r="C727" s="6">
        <v>8.5146999999999995</v>
      </c>
      <c r="D727" s="6">
        <v>7503.55</v>
      </c>
      <c r="E727" s="6">
        <v>0.94</v>
      </c>
      <c r="F727" s="6">
        <f t="shared" si="77"/>
        <v>1.0444444444444444E-2</v>
      </c>
      <c r="G727">
        <f t="shared" si="78"/>
        <v>0.62561558627803127</v>
      </c>
      <c r="H727">
        <f t="shared" si="79"/>
        <v>-0.89275321833462129</v>
      </c>
      <c r="I727">
        <f t="shared" si="80"/>
        <v>0.92294076743156817</v>
      </c>
      <c r="J727">
        <f t="shared" si="81"/>
        <v>0.43285050688171078</v>
      </c>
      <c r="K727">
        <f t="shared" si="82"/>
        <v>0.61517114183358679</v>
      </c>
      <c r="L727">
        <f t="shared" si="83"/>
        <v>0.91249632298712369</v>
      </c>
    </row>
    <row r="728" spans="1:12" x14ac:dyDescent="0.25">
      <c r="A728" s="1">
        <v>41243</v>
      </c>
      <c r="B728" s="6">
        <v>77.220699999999994</v>
      </c>
      <c r="C728" s="6">
        <v>8.6296999999999997</v>
      </c>
      <c r="D728" s="6">
        <v>7580.17</v>
      </c>
      <c r="E728" s="6">
        <v>0.94</v>
      </c>
      <c r="F728" s="6">
        <f t="shared" si="77"/>
        <v>1.0444444444444444E-2</v>
      </c>
      <c r="G728">
        <f t="shared" si="78"/>
        <v>2.2797501970211673</v>
      </c>
      <c r="H728">
        <f t="shared" si="79"/>
        <v>1.3506054235616078</v>
      </c>
      <c r="I728">
        <f t="shared" si="80"/>
        <v>1.0211166714421827</v>
      </c>
      <c r="J728">
        <f t="shared" si="81"/>
        <v>1.5967428874258471</v>
      </c>
      <c r="K728">
        <f t="shared" si="82"/>
        <v>2.2693057525767228</v>
      </c>
      <c r="L728">
        <f t="shared" si="83"/>
        <v>1.0106722269977382</v>
      </c>
    </row>
    <row r="729" spans="1:12" x14ac:dyDescent="0.25">
      <c r="A729" s="1">
        <v>41246</v>
      </c>
      <c r="B729" s="6">
        <v>76.594800000000006</v>
      </c>
      <c r="C729" s="6">
        <v>8.5530000000000008</v>
      </c>
      <c r="D729" s="6">
        <v>7599.91</v>
      </c>
      <c r="E729" s="6">
        <v>0.94</v>
      </c>
      <c r="F729" s="6">
        <f t="shared" si="77"/>
        <v>1.0444444444444444E-2</v>
      </c>
      <c r="G729">
        <f t="shared" si="78"/>
        <v>-0.81053396304357161</v>
      </c>
      <c r="H729">
        <f t="shared" si="79"/>
        <v>-0.88879103560956796</v>
      </c>
      <c r="I729">
        <f t="shared" si="80"/>
        <v>0.26041632311676099</v>
      </c>
      <c r="J729">
        <f t="shared" si="81"/>
        <v>-0.57766188244938521</v>
      </c>
      <c r="K729">
        <f t="shared" si="82"/>
        <v>-0.82097840748801609</v>
      </c>
      <c r="L729">
        <f t="shared" si="83"/>
        <v>0.24997187867231654</v>
      </c>
    </row>
    <row r="730" spans="1:12" x14ac:dyDescent="0.25">
      <c r="A730" s="1">
        <v>41247</v>
      </c>
      <c r="B730" s="6">
        <v>75.577699999999993</v>
      </c>
      <c r="C730" s="6">
        <v>8.5146999999999995</v>
      </c>
      <c r="D730" s="6">
        <v>7600.98</v>
      </c>
      <c r="E730" s="6">
        <v>0.94</v>
      </c>
      <c r="F730" s="6">
        <f t="shared" si="77"/>
        <v>1.0444444444444444E-2</v>
      </c>
      <c r="G730">
        <f t="shared" si="78"/>
        <v>-1.3278969329510795</v>
      </c>
      <c r="H730">
        <f t="shared" si="79"/>
        <v>-0.44779609493746442</v>
      </c>
      <c r="I730">
        <f t="shared" si="80"/>
        <v>1.4079114094768346E-2</v>
      </c>
      <c r="J730">
        <f t="shared" si="81"/>
        <v>-0.94169200112304607</v>
      </c>
      <c r="K730">
        <f t="shared" si="82"/>
        <v>-1.3383413773955239</v>
      </c>
      <c r="L730">
        <f t="shared" si="83"/>
        <v>3.6346696503239025E-3</v>
      </c>
    </row>
    <row r="731" spans="1:12" x14ac:dyDescent="0.25">
      <c r="A731" s="1">
        <v>41248</v>
      </c>
      <c r="B731" s="6">
        <v>75.812399999999997</v>
      </c>
      <c r="C731" s="6">
        <v>8.8981999999999992</v>
      </c>
      <c r="D731" s="6">
        <v>7649.05</v>
      </c>
      <c r="E731" s="6">
        <v>0.94</v>
      </c>
      <c r="F731" s="6">
        <f t="shared" si="77"/>
        <v>1.0444444444444444E-2</v>
      </c>
      <c r="G731">
        <f t="shared" si="78"/>
        <v>0.31054133692875507</v>
      </c>
      <c r="H731">
        <f t="shared" si="79"/>
        <v>4.5039754777032632</v>
      </c>
      <c r="I731">
        <f t="shared" si="80"/>
        <v>0.63241845130497143</v>
      </c>
      <c r="J731">
        <f t="shared" si="81"/>
        <v>0.21115602340884723</v>
      </c>
      <c r="K731">
        <f t="shared" si="82"/>
        <v>0.30009689248431065</v>
      </c>
      <c r="L731">
        <f t="shared" si="83"/>
        <v>0.62197400686052695</v>
      </c>
    </row>
    <row r="732" spans="1:12" x14ac:dyDescent="0.25">
      <c r="A732" s="1">
        <v>41249</v>
      </c>
      <c r="B732" s="6">
        <v>75.577699999999993</v>
      </c>
      <c r="C732" s="6">
        <v>8.9748999999999999</v>
      </c>
      <c r="D732" s="6">
        <v>7623.26</v>
      </c>
      <c r="E732" s="6">
        <v>0.94</v>
      </c>
      <c r="F732" s="6">
        <f t="shared" si="77"/>
        <v>1.0444444444444444E-2</v>
      </c>
      <c r="G732">
        <f t="shared" si="78"/>
        <v>-0.30957996317225639</v>
      </c>
      <c r="H732">
        <f t="shared" si="79"/>
        <v>0.86197208424176419</v>
      </c>
      <c r="I732">
        <f t="shared" si="80"/>
        <v>-0.33716605330073623</v>
      </c>
      <c r="J732">
        <f t="shared" si="81"/>
        <v>-0.22517754431478304</v>
      </c>
      <c r="K732">
        <f t="shared" si="82"/>
        <v>-0.32002440761670081</v>
      </c>
      <c r="L732">
        <f t="shared" si="83"/>
        <v>-0.34761049774518066</v>
      </c>
    </row>
    <row r="733" spans="1:12" x14ac:dyDescent="0.25">
      <c r="A733" s="1">
        <v>41250</v>
      </c>
      <c r="B733" s="6">
        <v>76.751300000000001</v>
      </c>
      <c r="C733" s="6">
        <v>8.9366000000000003</v>
      </c>
      <c r="D733" s="6">
        <v>7642.26</v>
      </c>
      <c r="E733" s="6">
        <v>0.94</v>
      </c>
      <c r="F733" s="6">
        <f t="shared" si="77"/>
        <v>1.0444444444444444E-2</v>
      </c>
      <c r="G733">
        <f t="shared" si="78"/>
        <v>1.5528389988052131</v>
      </c>
      <c r="H733">
        <f t="shared" si="79"/>
        <v>-0.42674570190196615</v>
      </c>
      <c r="I733">
        <f t="shared" si="80"/>
        <v>0.24923720298140165</v>
      </c>
      <c r="J733">
        <f t="shared" si="81"/>
        <v>1.085269154006012</v>
      </c>
      <c r="K733">
        <f t="shared" si="82"/>
        <v>1.5423945543607687</v>
      </c>
      <c r="L733">
        <f t="shared" si="83"/>
        <v>0.23879275853695719</v>
      </c>
    </row>
    <row r="734" spans="1:12" x14ac:dyDescent="0.25">
      <c r="A734" s="1">
        <v>41253</v>
      </c>
      <c r="B734" s="6">
        <v>75.499499999999998</v>
      </c>
      <c r="C734" s="6">
        <v>8.7830999999999992</v>
      </c>
      <c r="D734" s="6">
        <v>7609.5</v>
      </c>
      <c r="E734" s="6">
        <v>0.94</v>
      </c>
      <c r="F734" s="6">
        <f t="shared" si="77"/>
        <v>1.0444444444444444E-2</v>
      </c>
      <c r="G734">
        <f t="shared" si="78"/>
        <v>-1.6309821462307517</v>
      </c>
      <c r="H734">
        <f t="shared" si="79"/>
        <v>-1.7176554841886296</v>
      </c>
      <c r="I734">
        <f t="shared" si="80"/>
        <v>-0.42866900628871851</v>
      </c>
      <c r="J734">
        <f t="shared" si="81"/>
        <v>-1.1549506852112321</v>
      </c>
      <c r="K734">
        <f t="shared" si="82"/>
        <v>-1.6414265906751961</v>
      </c>
      <c r="L734">
        <f t="shared" si="83"/>
        <v>-0.43911345073316294</v>
      </c>
    </row>
    <row r="735" spans="1:12" x14ac:dyDescent="0.25">
      <c r="A735" s="1">
        <v>41254</v>
      </c>
      <c r="B735" s="6">
        <v>76.907799999999995</v>
      </c>
      <c r="C735" s="6">
        <v>8.7447999999999997</v>
      </c>
      <c r="D735" s="6">
        <v>7613.69</v>
      </c>
      <c r="E735" s="6">
        <v>0.94</v>
      </c>
      <c r="F735" s="6">
        <f t="shared" si="77"/>
        <v>1.0444444444444444E-2</v>
      </c>
      <c r="G735">
        <f t="shared" si="78"/>
        <v>1.8653103662938126</v>
      </c>
      <c r="H735">
        <f t="shared" si="79"/>
        <v>-0.43606471519166989</v>
      </c>
      <c r="I735">
        <f t="shared" si="80"/>
        <v>5.506275050922662E-2</v>
      </c>
      <c r="J735">
        <f t="shared" si="81"/>
        <v>1.3051321817161932</v>
      </c>
      <c r="K735">
        <f t="shared" si="82"/>
        <v>1.8548659218493682</v>
      </c>
      <c r="L735">
        <f t="shared" si="83"/>
        <v>4.4618306064782176E-2</v>
      </c>
    </row>
    <row r="736" spans="1:12" x14ac:dyDescent="0.25">
      <c r="A736" s="1">
        <v>41255</v>
      </c>
      <c r="B736" s="6">
        <v>76.986000000000004</v>
      </c>
      <c r="C736" s="6">
        <v>8.8597999999999999</v>
      </c>
      <c r="D736" s="6">
        <v>7690.19</v>
      </c>
      <c r="E736" s="6">
        <v>0.94</v>
      </c>
      <c r="F736" s="6">
        <f t="shared" si="77"/>
        <v>1.0444444444444444E-2</v>
      </c>
      <c r="G736">
        <f t="shared" si="78"/>
        <v>0.10168019368647861</v>
      </c>
      <c r="H736">
        <f t="shared" si="79"/>
        <v>1.3150672399597501</v>
      </c>
      <c r="I736">
        <f t="shared" si="80"/>
        <v>1.0047690410300394</v>
      </c>
      <c r="J736">
        <f t="shared" si="81"/>
        <v>6.4195859687823584E-2</v>
      </c>
      <c r="K736">
        <f t="shared" si="82"/>
        <v>9.1235749242034175E-2</v>
      </c>
      <c r="L736">
        <f t="shared" si="83"/>
        <v>0.99432459658559491</v>
      </c>
    </row>
    <row r="737" spans="1:12" x14ac:dyDescent="0.25">
      <c r="A737" s="1">
        <v>41256</v>
      </c>
      <c r="B737" s="6">
        <v>77.611900000000006</v>
      </c>
      <c r="C737" s="6">
        <v>9.2050000000000001</v>
      </c>
      <c r="D737" s="6">
        <v>7757.09</v>
      </c>
      <c r="E737" s="6">
        <v>0.94</v>
      </c>
      <c r="F737" s="6">
        <f t="shared" si="77"/>
        <v>1.0444444444444444E-2</v>
      </c>
      <c r="G737">
        <f t="shared" si="78"/>
        <v>0.81300496194113403</v>
      </c>
      <c r="H737">
        <f t="shared" si="79"/>
        <v>3.8962504796948032</v>
      </c>
      <c r="I737">
        <f t="shared" si="80"/>
        <v>0.86993949434279971</v>
      </c>
      <c r="J737">
        <f t="shared" si="81"/>
        <v>0.56470257328108564</v>
      </c>
      <c r="K737">
        <f t="shared" si="82"/>
        <v>0.80256051749668955</v>
      </c>
      <c r="L737">
        <f t="shared" si="83"/>
        <v>0.85949504989835523</v>
      </c>
    </row>
    <row r="738" spans="1:12" x14ac:dyDescent="0.25">
      <c r="A738" s="1">
        <v>41257</v>
      </c>
      <c r="B738" s="6">
        <v>76.986000000000004</v>
      </c>
      <c r="C738" s="6">
        <v>8.9748999999999999</v>
      </c>
      <c r="D738" s="6">
        <v>7698.77</v>
      </c>
      <c r="E738" s="6">
        <v>0.94</v>
      </c>
      <c r="F738" s="6">
        <f t="shared" si="77"/>
        <v>1.0444444444444444E-2</v>
      </c>
      <c r="G738">
        <f t="shared" si="78"/>
        <v>-0.80644849565595145</v>
      </c>
      <c r="H738">
        <f t="shared" si="79"/>
        <v>-2.4997284084736577</v>
      </c>
      <c r="I738">
        <f t="shared" si="80"/>
        <v>-0.75182832737533933</v>
      </c>
      <c r="J738">
        <f t="shared" si="81"/>
        <v>-0.57478724072885656</v>
      </c>
      <c r="K738">
        <f t="shared" si="82"/>
        <v>-0.81689294010039593</v>
      </c>
      <c r="L738">
        <f t="shared" si="83"/>
        <v>-0.76227277181978381</v>
      </c>
    </row>
    <row r="739" spans="1:12" x14ac:dyDescent="0.25">
      <c r="A739" s="1">
        <v>41260</v>
      </c>
      <c r="B739" s="6">
        <v>75.890699999999995</v>
      </c>
      <c r="C739" s="6">
        <v>8.8597999999999999</v>
      </c>
      <c r="D739" s="6">
        <v>7631.28</v>
      </c>
      <c r="E739" s="6">
        <v>0.94</v>
      </c>
      <c r="F739" s="6">
        <f t="shared" si="77"/>
        <v>1.0444444444444444E-2</v>
      </c>
      <c r="G739">
        <f t="shared" si="78"/>
        <v>-1.422726209960264</v>
      </c>
      <c r="H739">
        <f t="shared" si="79"/>
        <v>-1.282465542791563</v>
      </c>
      <c r="I739">
        <f t="shared" si="80"/>
        <v>-0.87663354016291806</v>
      </c>
      <c r="J739">
        <f t="shared" si="81"/>
        <v>-1.0084163609464065</v>
      </c>
      <c r="K739">
        <f t="shared" si="82"/>
        <v>-1.4331706544047085</v>
      </c>
      <c r="L739">
        <f t="shared" si="83"/>
        <v>-0.88707798460736254</v>
      </c>
    </row>
    <row r="740" spans="1:12" x14ac:dyDescent="0.25">
      <c r="A740" s="1">
        <v>41261</v>
      </c>
      <c r="B740" s="6">
        <v>75.656000000000006</v>
      </c>
      <c r="C740" s="6">
        <v>8.9366000000000003</v>
      </c>
      <c r="D740" s="6">
        <v>7643.74</v>
      </c>
      <c r="E740" s="6">
        <v>0.94</v>
      </c>
      <c r="F740" s="6">
        <f t="shared" si="77"/>
        <v>1.0444444444444444E-2</v>
      </c>
      <c r="G740">
        <f t="shared" si="78"/>
        <v>-0.30926055498234895</v>
      </c>
      <c r="H740">
        <f t="shared" si="79"/>
        <v>0.86683672317660021</v>
      </c>
      <c r="I740">
        <f t="shared" si="80"/>
        <v>0.16327536140726112</v>
      </c>
      <c r="J740">
        <f t="shared" si="81"/>
        <v>-0.22495280035736737</v>
      </c>
      <c r="K740">
        <f t="shared" si="82"/>
        <v>-0.31970499942679337</v>
      </c>
      <c r="L740">
        <f t="shared" si="83"/>
        <v>0.15283091696281667</v>
      </c>
    </row>
    <row r="741" spans="1:12" x14ac:dyDescent="0.25">
      <c r="A741" s="1">
        <v>41262</v>
      </c>
      <c r="B741" s="6">
        <v>76.125399999999999</v>
      </c>
      <c r="C741" s="6">
        <v>8.8215000000000003</v>
      </c>
      <c r="D741" s="6">
        <v>7677.47</v>
      </c>
      <c r="E741" s="6">
        <v>0.94</v>
      </c>
      <c r="F741" s="6">
        <f t="shared" si="77"/>
        <v>1.0444444444444444E-2</v>
      </c>
      <c r="G741">
        <f t="shared" si="78"/>
        <v>0.62043988579886999</v>
      </c>
      <c r="H741">
        <f t="shared" si="79"/>
        <v>-1.2879618646912694</v>
      </c>
      <c r="I741">
        <f t="shared" si="80"/>
        <v>0.4412761292247051</v>
      </c>
      <c r="J741">
        <f t="shared" si="81"/>
        <v>0.42920874863993863</v>
      </c>
      <c r="K741">
        <f t="shared" si="82"/>
        <v>0.60999544135442552</v>
      </c>
      <c r="L741">
        <f t="shared" si="83"/>
        <v>0.43083168478026068</v>
      </c>
    </row>
    <row r="742" spans="1:12" x14ac:dyDescent="0.25">
      <c r="A742" s="1">
        <v>41263</v>
      </c>
      <c r="B742" s="6">
        <v>75.1083</v>
      </c>
      <c r="C742" s="6">
        <v>8.9748999999999999</v>
      </c>
      <c r="D742" s="6">
        <v>7595.46</v>
      </c>
      <c r="E742" s="6">
        <v>0.94</v>
      </c>
      <c r="F742" s="6">
        <f t="shared" si="77"/>
        <v>1.0444444444444444E-2</v>
      </c>
      <c r="G742">
        <f t="shared" si="78"/>
        <v>-1.3360849335438623</v>
      </c>
      <c r="H742">
        <f t="shared" si="79"/>
        <v>1.7389332879895656</v>
      </c>
      <c r="I742">
        <f t="shared" si="80"/>
        <v>-1.0681904325253009</v>
      </c>
      <c r="J742">
        <f t="shared" si="81"/>
        <v>-0.94745329251972954</v>
      </c>
      <c r="K742">
        <f t="shared" si="82"/>
        <v>-1.3465293779883067</v>
      </c>
      <c r="L742">
        <f t="shared" si="83"/>
        <v>-1.0786348769697454</v>
      </c>
    </row>
    <row r="743" spans="1:12" x14ac:dyDescent="0.25">
      <c r="A743" s="1">
        <v>41264</v>
      </c>
      <c r="B743" s="6">
        <v>74.169399999999996</v>
      </c>
      <c r="C743" s="6">
        <v>8.9366000000000003</v>
      </c>
      <c r="D743" s="6">
        <v>7519.93</v>
      </c>
      <c r="E743" s="6">
        <v>0.94</v>
      </c>
      <c r="F743" s="6">
        <f t="shared" si="77"/>
        <v>1.0444444444444444E-2</v>
      </c>
      <c r="G743">
        <f t="shared" si="78"/>
        <v>-1.2500615777484032</v>
      </c>
      <c r="H743">
        <f t="shared" si="79"/>
        <v>-0.42674570190196615</v>
      </c>
      <c r="I743">
        <f t="shared" si="80"/>
        <v>-0.99440981849683552</v>
      </c>
      <c r="J743">
        <f t="shared" si="81"/>
        <v>-0.88692500920535566</v>
      </c>
      <c r="K743">
        <f t="shared" si="82"/>
        <v>-1.2605060221928477</v>
      </c>
      <c r="L743">
        <f t="shared" si="83"/>
        <v>-1.00485426294128</v>
      </c>
    </row>
    <row r="744" spans="1:12" x14ac:dyDescent="0.25">
      <c r="A744" s="1">
        <v>41265</v>
      </c>
      <c r="B744" s="6">
        <v>74.873599999999996</v>
      </c>
      <c r="C744" s="6">
        <v>8.9366000000000003</v>
      </c>
      <c r="D744" s="6">
        <v>7540.14</v>
      </c>
      <c r="E744" s="6">
        <v>0.94</v>
      </c>
      <c r="F744" s="6">
        <f t="shared" si="77"/>
        <v>1.0444444444444444E-2</v>
      </c>
      <c r="G744">
        <f t="shared" si="78"/>
        <v>0.94944815516911318</v>
      </c>
      <c r="H744">
        <f t="shared" si="79"/>
        <v>0</v>
      </c>
      <c r="I744">
        <f t="shared" si="80"/>
        <v>0.26875250168552151</v>
      </c>
      <c r="J744">
        <f t="shared" si="81"/>
        <v>0.66070757308204597</v>
      </c>
      <c r="K744">
        <f t="shared" si="82"/>
        <v>0.93900371072466871</v>
      </c>
      <c r="L744">
        <f t="shared" si="83"/>
        <v>0.25830805724107708</v>
      </c>
    </row>
    <row r="745" spans="1:12" x14ac:dyDescent="0.25">
      <c r="A745" s="1">
        <v>41267</v>
      </c>
      <c r="B745" s="6">
        <v>74.482399999999998</v>
      </c>
      <c r="C745" s="6">
        <v>8.8215000000000003</v>
      </c>
      <c r="D745" s="6">
        <v>7535.52</v>
      </c>
      <c r="E745" s="6">
        <v>0.94</v>
      </c>
      <c r="F745" s="6">
        <f t="shared" si="77"/>
        <v>1.0444444444444444E-2</v>
      </c>
      <c r="G745">
        <f t="shared" si="78"/>
        <v>-0.52248055389349224</v>
      </c>
      <c r="H745">
        <f t="shared" si="79"/>
        <v>-1.2879618646912694</v>
      </c>
      <c r="I745">
        <f t="shared" si="80"/>
        <v>-6.1272071871343113E-2</v>
      </c>
      <c r="J745">
        <f t="shared" si="81"/>
        <v>-0.37497996894482483</v>
      </c>
      <c r="K745">
        <f t="shared" si="82"/>
        <v>-0.53292499833793672</v>
      </c>
      <c r="L745">
        <f t="shared" si="83"/>
        <v>-7.1716516315787557E-2</v>
      </c>
    </row>
    <row r="746" spans="1:12" x14ac:dyDescent="0.25">
      <c r="A746" s="1">
        <v>41268</v>
      </c>
      <c r="B746" s="6">
        <v>75.499499999999998</v>
      </c>
      <c r="C746" s="6">
        <v>8.8981999999999992</v>
      </c>
      <c r="D746" s="6">
        <v>7636.57</v>
      </c>
      <c r="E746" s="6">
        <v>0.94</v>
      </c>
      <c r="F746" s="6">
        <f t="shared" si="77"/>
        <v>1.0444444444444444E-2</v>
      </c>
      <c r="G746">
        <f t="shared" si="78"/>
        <v>1.3655575008324103</v>
      </c>
      <c r="H746">
        <f t="shared" si="79"/>
        <v>0.86946664399477269</v>
      </c>
      <c r="I746">
        <f t="shared" si="80"/>
        <v>1.3409824404951385</v>
      </c>
      <c r="J746">
        <f t="shared" si="81"/>
        <v>0.95349299317136893</v>
      </c>
      <c r="K746">
        <f t="shared" si="82"/>
        <v>1.3551130563879659</v>
      </c>
      <c r="L746">
        <f t="shared" si="83"/>
        <v>1.330537996050694</v>
      </c>
    </row>
    <row r="747" spans="1:12" x14ac:dyDescent="0.25">
      <c r="A747" s="1">
        <v>41269</v>
      </c>
      <c r="B747" s="6">
        <v>75.1083</v>
      </c>
      <c r="C747" s="6">
        <v>8.9366000000000003</v>
      </c>
      <c r="D747" s="6">
        <v>7634.19</v>
      </c>
      <c r="E747" s="6">
        <v>0.94</v>
      </c>
      <c r="F747" s="6">
        <f t="shared" si="77"/>
        <v>1.0444444444444444E-2</v>
      </c>
      <c r="G747">
        <f t="shared" si="78"/>
        <v>-0.51814912681540648</v>
      </c>
      <c r="H747">
        <f t="shared" si="79"/>
        <v>0.43154795351870157</v>
      </c>
      <c r="I747">
        <f t="shared" si="80"/>
        <v>-3.1165824447364578E-2</v>
      </c>
      <c r="J747">
        <f t="shared" si="81"/>
        <v>-0.37193226355233461</v>
      </c>
      <c r="K747">
        <f t="shared" si="82"/>
        <v>-0.52859357125985096</v>
      </c>
      <c r="L747">
        <f t="shared" si="83"/>
        <v>-4.1610268891809021E-2</v>
      </c>
    </row>
    <row r="748" spans="1:12" x14ac:dyDescent="0.25">
      <c r="A748" s="1">
        <v>41270</v>
      </c>
      <c r="B748" s="6">
        <v>74.795299999999997</v>
      </c>
      <c r="C748" s="6">
        <v>8.9748999999999999</v>
      </c>
      <c r="D748" s="6">
        <v>7648.41</v>
      </c>
      <c r="E748" s="6">
        <v>0.94</v>
      </c>
      <c r="F748" s="6">
        <f t="shared" si="77"/>
        <v>1.0444444444444444E-2</v>
      </c>
      <c r="G748">
        <f t="shared" si="78"/>
        <v>-0.41673157294200824</v>
      </c>
      <c r="H748">
        <f t="shared" si="79"/>
        <v>0.42857462569656868</v>
      </c>
      <c r="I748">
        <f t="shared" si="80"/>
        <v>0.18626730537228253</v>
      </c>
      <c r="J748">
        <f t="shared" si="81"/>
        <v>-0.30057221979287146</v>
      </c>
      <c r="K748">
        <f t="shared" si="82"/>
        <v>-0.42717601738645267</v>
      </c>
      <c r="L748">
        <f t="shared" si="83"/>
        <v>0.17582286092783808</v>
      </c>
    </row>
    <row r="749" spans="1:12" x14ac:dyDescent="0.25">
      <c r="A749" s="1">
        <v>41271</v>
      </c>
      <c r="B749" s="6">
        <v>75.890699999999995</v>
      </c>
      <c r="C749" s="6">
        <v>8.9748999999999999</v>
      </c>
      <c r="D749" s="6">
        <v>7699.5</v>
      </c>
      <c r="E749" s="6">
        <v>0.94</v>
      </c>
      <c r="F749" s="6">
        <f t="shared" si="77"/>
        <v>1.0444444444444444E-2</v>
      </c>
      <c r="G749">
        <f t="shared" si="78"/>
        <v>1.4645305253137537</v>
      </c>
      <c r="H749">
        <f t="shared" si="79"/>
        <v>0</v>
      </c>
      <c r="I749">
        <f t="shared" si="80"/>
        <v>0.66798197272374449</v>
      </c>
      <c r="J749">
        <f t="shared" si="81"/>
        <v>1.0231330021072147</v>
      </c>
      <c r="K749">
        <f t="shared" si="82"/>
        <v>1.4540860808693092</v>
      </c>
      <c r="L749">
        <f t="shared" si="83"/>
        <v>0.65753752827930001</v>
      </c>
    </row>
    <row r="750" spans="1:12" x14ac:dyDescent="0.25">
      <c r="A750" s="1">
        <v>41276</v>
      </c>
      <c r="B750" s="6">
        <v>77.924800000000005</v>
      </c>
      <c r="C750" s="6">
        <v>9.0516000000000005</v>
      </c>
      <c r="D750" s="6">
        <v>7779.22</v>
      </c>
      <c r="E750" s="6">
        <v>0.94</v>
      </c>
      <c r="F750" s="6">
        <f t="shared" si="77"/>
        <v>1.0444444444444444E-2</v>
      </c>
      <c r="G750">
        <f t="shared" si="78"/>
        <v>2.6803020659975592</v>
      </c>
      <c r="H750">
        <f t="shared" si="79"/>
        <v>0.8546056223467744</v>
      </c>
      <c r="I750">
        <f t="shared" si="80"/>
        <v>1.0353919085654946</v>
      </c>
      <c r="J750">
        <f t="shared" si="81"/>
        <v>1.8785816599698126</v>
      </c>
      <c r="K750">
        <f t="shared" si="82"/>
        <v>2.6698576215531147</v>
      </c>
      <c r="L750">
        <f t="shared" si="83"/>
        <v>1.0249474641210501</v>
      </c>
    </row>
    <row r="751" spans="1:12" x14ac:dyDescent="0.25">
      <c r="A751" s="1">
        <v>41277</v>
      </c>
      <c r="B751" s="6">
        <v>79.020200000000003</v>
      </c>
      <c r="C751" s="6">
        <v>9.4734999999999996</v>
      </c>
      <c r="D751" s="6">
        <v>7836.84</v>
      </c>
      <c r="E751" s="6">
        <v>0.94</v>
      </c>
      <c r="F751" s="6">
        <f t="shared" si="77"/>
        <v>1.0444444444444444E-2</v>
      </c>
      <c r="G751">
        <f t="shared" si="78"/>
        <v>1.4057142270496656</v>
      </c>
      <c r="H751">
        <f t="shared" si="79"/>
        <v>4.661054399222226</v>
      </c>
      <c r="I751">
        <f t="shared" si="80"/>
        <v>0.74069122611264226</v>
      </c>
      <c r="J751">
        <f t="shared" si="81"/>
        <v>0.98174831614708657</v>
      </c>
      <c r="K751">
        <f t="shared" si="82"/>
        <v>1.3952697826052212</v>
      </c>
      <c r="L751">
        <f t="shared" si="83"/>
        <v>0.73024678166819779</v>
      </c>
    </row>
    <row r="752" spans="1:12" x14ac:dyDescent="0.25">
      <c r="A752" s="1">
        <v>41278</v>
      </c>
      <c r="B752" s="6">
        <v>79.4114</v>
      </c>
      <c r="C752" s="6">
        <v>9.5119000000000007</v>
      </c>
      <c r="D752" s="6">
        <v>7805.99</v>
      </c>
      <c r="E752" s="6">
        <v>0.94</v>
      </c>
      <c r="F752" s="6">
        <f t="shared" si="77"/>
        <v>1.0444444444444444E-2</v>
      </c>
      <c r="G752">
        <f t="shared" si="78"/>
        <v>0.49506328761506269</v>
      </c>
      <c r="H752">
        <f t="shared" si="79"/>
        <v>0.40534121496808045</v>
      </c>
      <c r="I752">
        <f t="shared" si="80"/>
        <v>-0.39365356444689903</v>
      </c>
      <c r="J752">
        <f t="shared" si="81"/>
        <v>0.34099049458918823</v>
      </c>
      <c r="K752">
        <f t="shared" si="82"/>
        <v>0.48461884317061826</v>
      </c>
      <c r="L752">
        <f t="shared" si="83"/>
        <v>-0.40409800889134345</v>
      </c>
    </row>
    <row r="753" spans="1:12" x14ac:dyDescent="0.25">
      <c r="A753" s="1">
        <v>41281</v>
      </c>
      <c r="B753" s="6">
        <v>78.629000000000005</v>
      </c>
      <c r="C753" s="6">
        <v>9.3583999999999996</v>
      </c>
      <c r="D753" s="6">
        <v>7755.09</v>
      </c>
      <c r="E753" s="6">
        <v>0.94</v>
      </c>
      <c r="F753" s="6">
        <f t="shared" si="77"/>
        <v>1.0444444444444444E-2</v>
      </c>
      <c r="G753">
        <f t="shared" si="78"/>
        <v>-0.98524896929155703</v>
      </c>
      <c r="H753">
        <f t="shared" si="79"/>
        <v>-1.6137680169051511</v>
      </c>
      <c r="I753">
        <f t="shared" si="80"/>
        <v>-0.65206335134940785</v>
      </c>
      <c r="J753">
        <f t="shared" si="81"/>
        <v>-0.70059593099540685</v>
      </c>
      <c r="K753">
        <f t="shared" si="82"/>
        <v>-0.99569341373600151</v>
      </c>
      <c r="L753">
        <f t="shared" si="83"/>
        <v>-0.66250779579385233</v>
      </c>
    </row>
    <row r="754" spans="1:12" x14ac:dyDescent="0.25">
      <c r="A754" s="1">
        <v>41282</v>
      </c>
      <c r="B754" s="6">
        <v>78.003100000000003</v>
      </c>
      <c r="C754" s="6">
        <v>9.2817000000000007</v>
      </c>
      <c r="D754" s="6">
        <v>7721.66</v>
      </c>
      <c r="E754" s="6">
        <v>0.94</v>
      </c>
      <c r="F754" s="6">
        <f t="shared" si="77"/>
        <v>1.0444444444444444E-2</v>
      </c>
      <c r="G754">
        <f t="shared" si="78"/>
        <v>-0.79601673682738106</v>
      </c>
      <c r="H754">
        <f t="shared" si="79"/>
        <v>-0.81958454436654649</v>
      </c>
      <c r="I754">
        <f t="shared" si="80"/>
        <v>-0.43107172192715093</v>
      </c>
      <c r="J754">
        <f t="shared" si="81"/>
        <v>-0.56744718234582536</v>
      </c>
      <c r="K754">
        <f t="shared" si="82"/>
        <v>-0.80646118127182553</v>
      </c>
      <c r="L754">
        <f t="shared" si="83"/>
        <v>-0.44151616637159535</v>
      </c>
    </row>
    <row r="755" spans="1:12" x14ac:dyDescent="0.25">
      <c r="A755" s="1">
        <v>41283</v>
      </c>
      <c r="B755" s="6">
        <v>78.237799999999993</v>
      </c>
      <c r="C755" s="6">
        <v>9.09</v>
      </c>
      <c r="D755" s="6">
        <v>7738.64</v>
      </c>
      <c r="E755" s="6">
        <v>0.94</v>
      </c>
      <c r="F755" s="6">
        <f t="shared" si="77"/>
        <v>1.0444444444444444E-2</v>
      </c>
      <c r="G755">
        <f t="shared" si="78"/>
        <v>0.3008854776284397</v>
      </c>
      <c r="H755">
        <f t="shared" si="79"/>
        <v>-2.0653544070590608</v>
      </c>
      <c r="I755">
        <f t="shared" si="80"/>
        <v>0.21990090213762939</v>
      </c>
      <c r="J755">
        <f t="shared" si="81"/>
        <v>0.20436190822967548</v>
      </c>
      <c r="K755">
        <f t="shared" si="82"/>
        <v>0.29044103318399528</v>
      </c>
      <c r="L755">
        <f t="shared" si="83"/>
        <v>0.20945645769318494</v>
      </c>
    </row>
    <row r="756" spans="1:12" x14ac:dyDescent="0.25">
      <c r="A756" s="1">
        <v>41284</v>
      </c>
      <c r="B756" s="6">
        <v>79.020200000000003</v>
      </c>
      <c r="C756" s="6">
        <v>9.0516000000000005</v>
      </c>
      <c r="D756" s="6">
        <v>7811.64</v>
      </c>
      <c r="E756" s="6">
        <v>0.94</v>
      </c>
      <c r="F756" s="6">
        <f t="shared" si="77"/>
        <v>1.0444444444444444E-2</v>
      </c>
      <c r="G756">
        <f t="shared" si="78"/>
        <v>1.0000281194000979</v>
      </c>
      <c r="H756">
        <f t="shared" si="79"/>
        <v>-0.42244224422441501</v>
      </c>
      <c r="I756">
        <f t="shared" si="80"/>
        <v>0.94331820578292824</v>
      </c>
      <c r="J756">
        <f t="shared" si="81"/>
        <v>0.69629695897258748</v>
      </c>
      <c r="K756">
        <f t="shared" si="82"/>
        <v>0.98958367495565347</v>
      </c>
      <c r="L756">
        <f t="shared" si="83"/>
        <v>0.93287376133848376</v>
      </c>
    </row>
    <row r="757" spans="1:12" x14ac:dyDescent="0.25">
      <c r="A757" s="1">
        <v>41285</v>
      </c>
      <c r="B757" s="6">
        <v>79.020200000000003</v>
      </c>
      <c r="C757" s="6">
        <v>9.09</v>
      </c>
      <c r="D757" s="6">
        <v>7819.15</v>
      </c>
      <c r="E757" s="6">
        <v>0.94</v>
      </c>
      <c r="F757" s="6">
        <f t="shared" si="77"/>
        <v>1.0444444444444444E-2</v>
      </c>
      <c r="G757">
        <f t="shared" si="78"/>
        <v>0</v>
      </c>
      <c r="H757">
        <f t="shared" si="79"/>
        <v>0.42423438950019138</v>
      </c>
      <c r="I757">
        <f t="shared" si="80"/>
        <v>9.6138582935200653E-2</v>
      </c>
      <c r="J757">
        <f t="shared" si="81"/>
        <v>-7.3489843141871791E-3</v>
      </c>
      <c r="K757">
        <f t="shared" si="82"/>
        <v>-1.0444444444444444E-2</v>
      </c>
      <c r="L757">
        <f t="shared" si="83"/>
        <v>8.5694138490756216E-2</v>
      </c>
    </row>
    <row r="758" spans="1:12" x14ac:dyDescent="0.25">
      <c r="A758" s="1">
        <v>41288</v>
      </c>
      <c r="B758" s="6">
        <v>79.802599999999998</v>
      </c>
      <c r="C758" s="6">
        <v>9.0516000000000005</v>
      </c>
      <c r="D758" s="6">
        <v>7823.97</v>
      </c>
      <c r="E758" s="6">
        <v>0.94</v>
      </c>
      <c r="F758" s="6">
        <f t="shared" si="77"/>
        <v>1.0444444444444444E-2</v>
      </c>
      <c r="G758">
        <f t="shared" si="78"/>
        <v>0.99012657523012537</v>
      </c>
      <c r="H758">
        <f t="shared" si="79"/>
        <v>-0.42244224422441501</v>
      </c>
      <c r="I758">
        <f t="shared" si="80"/>
        <v>6.1643529028099199E-2</v>
      </c>
      <c r="J758">
        <f t="shared" si="81"/>
        <v>0.68932997349256364</v>
      </c>
      <c r="K758">
        <f t="shared" si="82"/>
        <v>0.97968213078568089</v>
      </c>
      <c r="L758">
        <f t="shared" si="83"/>
        <v>5.1199084583654755E-2</v>
      </c>
    </row>
    <row r="759" spans="1:12" x14ac:dyDescent="0.25">
      <c r="A759" s="1">
        <v>41289</v>
      </c>
      <c r="B759" s="6">
        <v>78.629000000000005</v>
      </c>
      <c r="C759" s="6">
        <v>8.9366000000000003</v>
      </c>
      <c r="D759" s="6">
        <v>7765.02</v>
      </c>
      <c r="E759" s="6">
        <v>0.94</v>
      </c>
      <c r="F759" s="6">
        <f t="shared" si="77"/>
        <v>1.0444444444444444E-2</v>
      </c>
      <c r="G759">
        <f t="shared" si="78"/>
        <v>-1.4706287765060202</v>
      </c>
      <c r="H759">
        <f t="shared" si="79"/>
        <v>-1.2704936143886187</v>
      </c>
      <c r="I759">
        <f t="shared" si="80"/>
        <v>-0.75345380925540129</v>
      </c>
      <c r="J759">
        <f t="shared" si="81"/>
        <v>-1.042121859790945</v>
      </c>
      <c r="K759">
        <f t="shared" si="82"/>
        <v>-1.4810732209504647</v>
      </c>
      <c r="L759">
        <f t="shared" si="83"/>
        <v>-0.76389825369984576</v>
      </c>
    </row>
    <row r="760" spans="1:12" x14ac:dyDescent="0.25">
      <c r="A760" s="1">
        <v>41290</v>
      </c>
      <c r="B760" s="6">
        <v>77.611900000000006</v>
      </c>
      <c r="C760" s="6">
        <v>8.8215000000000003</v>
      </c>
      <c r="D760" s="6">
        <v>7700.43</v>
      </c>
      <c r="E760" s="6">
        <v>0.94</v>
      </c>
      <c r="F760" s="6">
        <f t="shared" si="77"/>
        <v>1.0444444444444444E-2</v>
      </c>
      <c r="G760">
        <f t="shared" si="78"/>
        <v>-1.2935430947869095</v>
      </c>
      <c r="H760">
        <f t="shared" si="79"/>
        <v>-1.2879618646912694</v>
      </c>
      <c r="I760">
        <f t="shared" si="80"/>
        <v>-0.83180725870635419</v>
      </c>
      <c r="J760">
        <f t="shared" si="81"/>
        <v>-0.91751974197192387</v>
      </c>
      <c r="K760">
        <f t="shared" si="82"/>
        <v>-1.303987539231354</v>
      </c>
      <c r="L760">
        <f t="shared" si="83"/>
        <v>-0.84225170315079867</v>
      </c>
    </row>
    <row r="761" spans="1:12" x14ac:dyDescent="0.25">
      <c r="A761" s="1">
        <v>41291</v>
      </c>
      <c r="B761" s="6">
        <v>77.690100000000001</v>
      </c>
      <c r="C761" s="6">
        <v>8.5914000000000001</v>
      </c>
      <c r="D761" s="6">
        <v>7616.64</v>
      </c>
      <c r="E761" s="6">
        <v>0.94</v>
      </c>
      <c r="F761" s="6">
        <f t="shared" si="77"/>
        <v>1.0444444444444444E-2</v>
      </c>
      <c r="G761">
        <f t="shared" si="78"/>
        <v>0.1007577446242076</v>
      </c>
      <c r="H761">
        <f t="shared" si="79"/>
        <v>-2.6083999319843585</v>
      </c>
      <c r="I761">
        <f t="shared" si="80"/>
        <v>-1.0881210529801577</v>
      </c>
      <c r="J761">
        <f t="shared" si="81"/>
        <v>6.3546800398425737E-2</v>
      </c>
      <c r="K761">
        <f t="shared" si="82"/>
        <v>9.0313300179763162E-2</v>
      </c>
      <c r="L761">
        <f t="shared" si="83"/>
        <v>-1.0985654974246022</v>
      </c>
    </row>
    <row r="762" spans="1:12" x14ac:dyDescent="0.25">
      <c r="A762" s="1">
        <v>41292</v>
      </c>
      <c r="B762" s="6">
        <v>79.4114</v>
      </c>
      <c r="C762" s="6">
        <v>8.8215000000000003</v>
      </c>
      <c r="D762" s="6">
        <v>7732.87</v>
      </c>
      <c r="E762" s="6">
        <v>0.94</v>
      </c>
      <c r="F762" s="6">
        <f t="shared" si="77"/>
        <v>1.0444444444444444E-2</v>
      </c>
      <c r="G762">
        <f t="shared" si="78"/>
        <v>2.2155976115360896</v>
      </c>
      <c r="H762">
        <f t="shared" si="79"/>
        <v>2.6782596550038433</v>
      </c>
      <c r="I762">
        <f t="shared" si="80"/>
        <v>1.5260009663053467</v>
      </c>
      <c r="J762">
        <f t="shared" si="81"/>
        <v>1.5516034501918099</v>
      </c>
      <c r="K762">
        <f t="shared" si="82"/>
        <v>2.2051531670916451</v>
      </c>
      <c r="L762">
        <f t="shared" si="83"/>
        <v>1.5155565218609022</v>
      </c>
    </row>
    <row r="763" spans="1:12" x14ac:dyDescent="0.25">
      <c r="A763" s="1">
        <v>41295</v>
      </c>
      <c r="B763" s="6">
        <v>78.629000000000005</v>
      </c>
      <c r="C763" s="6">
        <v>8.7830999999999992</v>
      </c>
      <c r="D763" s="6">
        <v>7724.92</v>
      </c>
      <c r="E763" s="6">
        <v>0.94</v>
      </c>
      <c r="F763" s="6">
        <f t="shared" si="77"/>
        <v>1.0444444444444444E-2</v>
      </c>
      <c r="G763">
        <f t="shared" si="78"/>
        <v>-0.98524896929155703</v>
      </c>
      <c r="H763">
        <f t="shared" si="79"/>
        <v>-0.43530011902738874</v>
      </c>
      <c r="I763">
        <f t="shared" si="80"/>
        <v>-0.10280788374820497</v>
      </c>
      <c r="J763">
        <f t="shared" si="81"/>
        <v>-0.70059593099540685</v>
      </c>
      <c r="K763">
        <f t="shared" si="82"/>
        <v>-0.99569341373600151</v>
      </c>
      <c r="L763">
        <f t="shared" si="83"/>
        <v>-0.11325232819264941</v>
      </c>
    </row>
    <row r="764" spans="1:12" x14ac:dyDescent="0.25">
      <c r="A764" s="1">
        <v>41296</v>
      </c>
      <c r="B764" s="6">
        <v>79.020200000000003</v>
      </c>
      <c r="C764" s="6">
        <v>8.8215000000000003</v>
      </c>
      <c r="D764" s="6">
        <v>7759.1</v>
      </c>
      <c r="E764" s="6">
        <v>0.94</v>
      </c>
      <c r="F764" s="6">
        <f t="shared" si="77"/>
        <v>1.0444444444444444E-2</v>
      </c>
      <c r="G764">
        <f t="shared" si="78"/>
        <v>0.4975263579595286</v>
      </c>
      <c r="H764">
        <f t="shared" si="79"/>
        <v>0.43720326536190074</v>
      </c>
      <c r="I764">
        <f t="shared" si="80"/>
        <v>0.44246412907836313</v>
      </c>
      <c r="J764">
        <f t="shared" si="81"/>
        <v>0.34272357531191139</v>
      </c>
      <c r="K764">
        <f t="shared" si="82"/>
        <v>0.48708191351508417</v>
      </c>
      <c r="L764">
        <f t="shared" si="83"/>
        <v>0.43201968463391871</v>
      </c>
    </row>
    <row r="765" spans="1:12" x14ac:dyDescent="0.25">
      <c r="A765" s="1">
        <v>41297</v>
      </c>
      <c r="B765" s="6">
        <v>79.020200000000003</v>
      </c>
      <c r="C765" s="6">
        <v>8.7830999999999992</v>
      </c>
      <c r="D765" s="6">
        <v>7744.18</v>
      </c>
      <c r="E765" s="6">
        <v>0.94</v>
      </c>
      <c r="F765" s="6">
        <f t="shared" si="77"/>
        <v>1.0444444444444444E-2</v>
      </c>
      <c r="G765">
        <f t="shared" si="78"/>
        <v>0</v>
      </c>
      <c r="H765">
        <f t="shared" si="79"/>
        <v>-0.43530011902738874</v>
      </c>
      <c r="I765">
        <f t="shared" si="80"/>
        <v>-0.19229034295214745</v>
      </c>
      <c r="J765">
        <f t="shared" si="81"/>
        <v>-7.3489843141871791E-3</v>
      </c>
      <c r="K765">
        <f t="shared" si="82"/>
        <v>-1.0444444444444444E-2</v>
      </c>
      <c r="L765">
        <f t="shared" si="83"/>
        <v>-0.2027347873965919</v>
      </c>
    </row>
    <row r="766" spans="1:12" x14ac:dyDescent="0.25">
      <c r="A766" s="1">
        <v>41298</v>
      </c>
      <c r="B766" s="6">
        <v>78.159599999999998</v>
      </c>
      <c r="C766" s="6">
        <v>8.7447999999999997</v>
      </c>
      <c r="D766" s="6">
        <v>7695.99</v>
      </c>
      <c r="E766" s="6">
        <v>0.94</v>
      </c>
      <c r="F766" s="6">
        <f t="shared" si="77"/>
        <v>1.0444444444444444E-2</v>
      </c>
      <c r="G766">
        <f t="shared" si="78"/>
        <v>-1.0890886127850918</v>
      </c>
      <c r="H766">
        <f t="shared" si="79"/>
        <v>-0.43606471519166989</v>
      </c>
      <c r="I766">
        <f t="shared" si="80"/>
        <v>-0.62227375913267136</v>
      </c>
      <c r="J766">
        <f t="shared" si="81"/>
        <v>-0.77366022036799187</v>
      </c>
      <c r="K766">
        <f t="shared" si="82"/>
        <v>-1.0995330572295363</v>
      </c>
      <c r="L766">
        <f t="shared" si="83"/>
        <v>-0.63271820357711583</v>
      </c>
    </row>
    <row r="767" spans="1:12" x14ac:dyDescent="0.25">
      <c r="A767" s="1">
        <v>41299</v>
      </c>
      <c r="B767" s="6">
        <v>77.455399999999997</v>
      </c>
      <c r="C767" s="6">
        <v>8.6296999999999997</v>
      </c>
      <c r="D767" s="6">
        <v>7672.58</v>
      </c>
      <c r="E767" s="6">
        <v>0.94</v>
      </c>
      <c r="F767" s="6">
        <f t="shared" si="77"/>
        <v>1.0444444444444444E-2</v>
      </c>
      <c r="G767">
        <f t="shared" si="78"/>
        <v>-0.9009769753171718</v>
      </c>
      <c r="H767">
        <f t="shared" si="79"/>
        <v>-1.3162107766901472</v>
      </c>
      <c r="I767">
        <f t="shared" si="80"/>
        <v>-0.30418438693397282</v>
      </c>
      <c r="J767">
        <f t="shared" si="81"/>
        <v>-0.64129995167001008</v>
      </c>
      <c r="K767">
        <f t="shared" si="82"/>
        <v>-0.91142141976161628</v>
      </c>
      <c r="L767">
        <f t="shared" si="83"/>
        <v>-0.31462883137841724</v>
      </c>
    </row>
    <row r="768" spans="1:12" x14ac:dyDescent="0.25">
      <c r="A768" s="1">
        <v>41302</v>
      </c>
      <c r="B768" s="6">
        <v>77.690100000000001</v>
      </c>
      <c r="C768" s="6">
        <v>8.7064000000000004</v>
      </c>
      <c r="D768" s="6">
        <v>7714.67</v>
      </c>
      <c r="E768" s="6">
        <v>0.94</v>
      </c>
      <c r="F768" s="6">
        <f t="shared" si="77"/>
        <v>1.0444444444444444E-2</v>
      </c>
      <c r="G768">
        <f t="shared" si="78"/>
        <v>0.3030130888227337</v>
      </c>
      <c r="H768">
        <f t="shared" si="79"/>
        <v>0.8887910356095885</v>
      </c>
      <c r="I768">
        <f t="shared" si="80"/>
        <v>0.54857688026713503</v>
      </c>
      <c r="J768">
        <f t="shared" si="81"/>
        <v>0.20585895111948399</v>
      </c>
      <c r="K768">
        <f t="shared" si="82"/>
        <v>0.29256864437828928</v>
      </c>
      <c r="L768">
        <f t="shared" si="83"/>
        <v>0.53813243582269055</v>
      </c>
    </row>
    <row r="769" spans="1:12" x14ac:dyDescent="0.25">
      <c r="A769" s="1">
        <v>41303</v>
      </c>
      <c r="B769" s="6">
        <v>79.020200000000003</v>
      </c>
      <c r="C769" s="6">
        <v>8.8597999999999999</v>
      </c>
      <c r="D769" s="6">
        <v>7802</v>
      </c>
      <c r="E769" s="6">
        <v>0.94</v>
      </c>
      <c r="F769" s="6">
        <f t="shared" si="77"/>
        <v>1.0444444444444444E-2</v>
      </c>
      <c r="G769">
        <f t="shared" si="78"/>
        <v>1.7120585505746571</v>
      </c>
      <c r="H769">
        <f t="shared" si="79"/>
        <v>1.7619222640815897</v>
      </c>
      <c r="I769">
        <f t="shared" si="80"/>
        <v>1.1319991652267682</v>
      </c>
      <c r="J769">
        <f t="shared" si="81"/>
        <v>1.1973001954548419</v>
      </c>
      <c r="K769">
        <f t="shared" si="82"/>
        <v>1.7016141061302126</v>
      </c>
      <c r="L769">
        <f t="shared" si="83"/>
        <v>1.1215547207823238</v>
      </c>
    </row>
    <row r="770" spans="1:12" x14ac:dyDescent="0.25">
      <c r="A770" s="1">
        <v>41304</v>
      </c>
      <c r="B770" s="6">
        <v>79.4114</v>
      </c>
      <c r="C770" s="6">
        <v>8.9366000000000003</v>
      </c>
      <c r="D770" s="6">
        <v>7832.98</v>
      </c>
      <c r="E770" s="6">
        <v>0.94</v>
      </c>
      <c r="F770" s="6">
        <f t="shared" si="77"/>
        <v>1.0444444444444444E-2</v>
      </c>
      <c r="G770">
        <f t="shared" si="78"/>
        <v>0.49506328761506269</v>
      </c>
      <c r="H770">
        <f t="shared" si="79"/>
        <v>0.86683672317660021</v>
      </c>
      <c r="I770">
        <f t="shared" si="80"/>
        <v>0.39707767239168884</v>
      </c>
      <c r="J770">
        <f t="shared" si="81"/>
        <v>0.34099049458918823</v>
      </c>
      <c r="K770">
        <f t="shared" si="82"/>
        <v>0.48461884317061826</v>
      </c>
      <c r="L770">
        <f t="shared" si="83"/>
        <v>0.38663322794724442</v>
      </c>
    </row>
    <row r="771" spans="1:12" x14ac:dyDescent="0.25">
      <c r="A771" s="1">
        <v>41305</v>
      </c>
      <c r="B771" s="6">
        <v>79.4114</v>
      </c>
      <c r="C771" s="6">
        <v>8.8215000000000003</v>
      </c>
      <c r="D771" s="6">
        <v>7850.02</v>
      </c>
      <c r="E771" s="6">
        <v>0.94</v>
      </c>
      <c r="F771" s="6">
        <f t="shared" ref="F771:F834" si="84">E771/90</f>
        <v>1.0444444444444444E-2</v>
      </c>
      <c r="G771">
        <f t="shared" si="78"/>
        <v>0</v>
      </c>
      <c r="H771">
        <f t="shared" si="79"/>
        <v>-1.2879618646912694</v>
      </c>
      <c r="I771">
        <f t="shared" si="80"/>
        <v>0.21754172741409877</v>
      </c>
      <c r="J771">
        <f t="shared" si="81"/>
        <v>-7.3489843141871791E-3</v>
      </c>
      <c r="K771">
        <f t="shared" si="82"/>
        <v>-1.0444444444444444E-2</v>
      </c>
      <c r="L771">
        <f t="shared" si="83"/>
        <v>0.20709728296965432</v>
      </c>
    </row>
    <row r="772" spans="1:12" x14ac:dyDescent="0.25">
      <c r="A772" s="1">
        <v>41306</v>
      </c>
      <c r="B772" s="6">
        <v>79.4114</v>
      </c>
      <c r="C772" s="6">
        <v>8.8981999999999992</v>
      </c>
      <c r="D772" s="6">
        <v>7855.97</v>
      </c>
      <c r="E772" s="6">
        <v>0.94</v>
      </c>
      <c r="F772" s="6">
        <f t="shared" si="84"/>
        <v>1.0444444444444444E-2</v>
      </c>
      <c r="G772">
        <f t="shared" ref="G772:G835" si="85">100*(B772-B771)/B771</f>
        <v>0</v>
      </c>
      <c r="H772">
        <f t="shared" ref="H772:H835" si="86">100*(C772-C771)/C771</f>
        <v>0.86946664399477269</v>
      </c>
      <c r="I772">
        <f t="shared" ref="I772:I835" si="87">100*(D772-D771)/D771</f>
        <v>7.5795985233156324E-2</v>
      </c>
      <c r="J772">
        <f t="shared" ref="J772:J835" si="88">(G772-F772)/$N$3</f>
        <v>-7.3489843141871791E-3</v>
      </c>
      <c r="K772">
        <f t="shared" ref="K772:K835" si="89">G772-F772</f>
        <v>-1.0444444444444444E-2</v>
      </c>
      <c r="L772">
        <f t="shared" ref="L772:L835" si="90">I772-F772</f>
        <v>6.5351540788711887E-2</v>
      </c>
    </row>
    <row r="773" spans="1:12" x14ac:dyDescent="0.25">
      <c r="A773" s="1">
        <v>41309</v>
      </c>
      <c r="B773" s="6">
        <v>80.584900000000005</v>
      </c>
      <c r="C773" s="6">
        <v>8.9366000000000003</v>
      </c>
      <c r="D773" s="6">
        <v>7923.16</v>
      </c>
      <c r="E773" s="6">
        <v>0.94</v>
      </c>
      <c r="F773" s="6">
        <f t="shared" si="84"/>
        <v>1.0444444444444444E-2</v>
      </c>
      <c r="G773">
        <f t="shared" si="85"/>
        <v>1.4777475274330942</v>
      </c>
      <c r="H773">
        <f t="shared" si="86"/>
        <v>0.43154795351870157</v>
      </c>
      <c r="I773">
        <f t="shared" si="87"/>
        <v>0.8552731234971569</v>
      </c>
      <c r="J773">
        <f t="shared" si="88"/>
        <v>1.0324328305253052</v>
      </c>
      <c r="K773">
        <f t="shared" si="89"/>
        <v>1.4673030829886498</v>
      </c>
      <c r="L773">
        <f t="shared" si="90"/>
        <v>0.84482867905271242</v>
      </c>
    </row>
    <row r="774" spans="1:12" x14ac:dyDescent="0.25">
      <c r="A774" s="1">
        <v>41310</v>
      </c>
      <c r="B774" s="6">
        <v>80.584900000000005</v>
      </c>
      <c r="C774" s="6">
        <v>8.7447999999999997</v>
      </c>
      <c r="D774" s="6">
        <v>7886.94</v>
      </c>
      <c r="E774" s="6">
        <v>0.94</v>
      </c>
      <c r="F774" s="6">
        <f t="shared" si="84"/>
        <v>1.0444444444444444E-2</v>
      </c>
      <c r="G774">
        <f t="shared" si="85"/>
        <v>0</v>
      </c>
      <c r="H774">
        <f t="shared" si="86"/>
        <v>-2.1462301098851984</v>
      </c>
      <c r="I774">
        <f t="shared" si="87"/>
        <v>-0.45714083774655889</v>
      </c>
      <c r="J774">
        <f t="shared" si="88"/>
        <v>-7.3489843141871791E-3</v>
      </c>
      <c r="K774">
        <f t="shared" si="89"/>
        <v>-1.0444444444444444E-2</v>
      </c>
      <c r="L774">
        <f t="shared" si="90"/>
        <v>-0.46758528219100332</v>
      </c>
    </row>
    <row r="775" spans="1:12" x14ac:dyDescent="0.25">
      <c r="A775" s="1">
        <v>41311</v>
      </c>
      <c r="B775" s="6">
        <v>82.149699999999996</v>
      </c>
      <c r="C775" s="6">
        <v>8.7064000000000004</v>
      </c>
      <c r="D775" s="6">
        <v>7906.65</v>
      </c>
      <c r="E775" s="6">
        <v>0.94</v>
      </c>
      <c r="F775" s="6">
        <f t="shared" si="84"/>
        <v>1.0444444444444444E-2</v>
      </c>
      <c r="G775">
        <f t="shared" si="85"/>
        <v>1.9418029928683798</v>
      </c>
      <c r="H775">
        <f t="shared" si="86"/>
        <v>-0.43911810447350796</v>
      </c>
      <c r="I775">
        <f t="shared" si="87"/>
        <v>0.24990680796354528</v>
      </c>
      <c r="J775">
        <f t="shared" si="88"/>
        <v>1.3589543946483977</v>
      </c>
      <c r="K775">
        <f t="shared" si="89"/>
        <v>1.9313585484239353</v>
      </c>
      <c r="L775">
        <f t="shared" si="90"/>
        <v>0.23946236351910083</v>
      </c>
    </row>
    <row r="776" spans="1:12" x14ac:dyDescent="0.25">
      <c r="A776" s="1">
        <v>41323</v>
      </c>
      <c r="B776" s="6">
        <v>83.714399999999998</v>
      </c>
      <c r="C776" s="6">
        <v>8.5530000000000008</v>
      </c>
      <c r="D776" s="6">
        <v>7943.53</v>
      </c>
      <c r="E776" s="6">
        <v>0.94</v>
      </c>
      <c r="F776" s="6">
        <f t="shared" si="84"/>
        <v>1.0444444444444444E-2</v>
      </c>
      <c r="G776">
        <f t="shared" si="85"/>
        <v>1.9046935046628315</v>
      </c>
      <c r="H776">
        <f t="shared" si="86"/>
        <v>-1.7619222640815897</v>
      </c>
      <c r="I776">
        <f t="shared" si="87"/>
        <v>0.4664428044747157</v>
      </c>
      <c r="J776">
        <f t="shared" si="88"/>
        <v>1.3328431880465808</v>
      </c>
      <c r="K776">
        <f t="shared" si="89"/>
        <v>1.894249060218387</v>
      </c>
      <c r="L776">
        <f t="shared" si="90"/>
        <v>0.45599836003027128</v>
      </c>
    </row>
    <row r="777" spans="1:12" x14ac:dyDescent="0.25">
      <c r="A777" s="1">
        <v>41324</v>
      </c>
      <c r="B777" s="6">
        <v>83.714399999999998</v>
      </c>
      <c r="C777" s="6">
        <v>8.7064000000000004</v>
      </c>
      <c r="D777" s="6">
        <v>7960.88</v>
      </c>
      <c r="E777" s="6">
        <v>0.94</v>
      </c>
      <c r="F777" s="6">
        <f t="shared" si="84"/>
        <v>1.0444444444444444E-2</v>
      </c>
      <c r="G777">
        <f t="shared" si="85"/>
        <v>0</v>
      </c>
      <c r="H777">
        <f t="shared" si="86"/>
        <v>1.7935227405588627</v>
      </c>
      <c r="I777">
        <f t="shared" si="87"/>
        <v>0.21841674922862209</v>
      </c>
      <c r="J777">
        <f t="shared" si="88"/>
        <v>-7.3489843141871791E-3</v>
      </c>
      <c r="K777">
        <f t="shared" si="89"/>
        <v>-1.0444444444444444E-2</v>
      </c>
      <c r="L777">
        <f t="shared" si="90"/>
        <v>0.20797230478417764</v>
      </c>
    </row>
    <row r="778" spans="1:12" x14ac:dyDescent="0.25">
      <c r="A778" s="1">
        <v>41325</v>
      </c>
      <c r="B778" s="6">
        <v>85.279200000000003</v>
      </c>
      <c r="C778" s="6">
        <v>8.6296999999999997</v>
      </c>
      <c r="D778" s="6">
        <v>8029.1</v>
      </c>
      <c r="E778" s="6">
        <v>0.94</v>
      </c>
      <c r="F778" s="6">
        <f t="shared" si="84"/>
        <v>1.0444444444444444E-2</v>
      </c>
      <c r="G778">
        <f t="shared" si="85"/>
        <v>1.8692124652389617</v>
      </c>
      <c r="H778">
        <f t="shared" si="86"/>
        <v>-0.88096113204080506</v>
      </c>
      <c r="I778">
        <f t="shared" si="87"/>
        <v>0.85694043874546855</v>
      </c>
      <c r="J778">
        <f t="shared" si="88"/>
        <v>1.3078778006040948</v>
      </c>
      <c r="K778">
        <f t="shared" si="89"/>
        <v>1.8587680207945172</v>
      </c>
      <c r="L778">
        <f t="shared" si="90"/>
        <v>0.84649599430102407</v>
      </c>
    </row>
    <row r="779" spans="1:12" x14ac:dyDescent="0.25">
      <c r="A779" s="1">
        <v>41326</v>
      </c>
      <c r="B779" s="6">
        <v>83.714399999999998</v>
      </c>
      <c r="C779" s="6">
        <v>8.5530000000000008</v>
      </c>
      <c r="D779" s="6">
        <v>7957.46</v>
      </c>
      <c r="E779" s="6">
        <v>0.94</v>
      </c>
      <c r="F779" s="6">
        <f t="shared" si="84"/>
        <v>1.0444444444444444E-2</v>
      </c>
      <c r="G779">
        <f t="shared" si="85"/>
        <v>-1.8349140235837171</v>
      </c>
      <c r="H779">
        <f t="shared" si="86"/>
        <v>-0.88879103560956796</v>
      </c>
      <c r="I779">
        <f t="shared" si="87"/>
        <v>-0.89225442453077342</v>
      </c>
      <c r="J779">
        <f t="shared" si="88"/>
        <v>-1.2984424885140744</v>
      </c>
      <c r="K779">
        <f t="shared" si="89"/>
        <v>-1.8453584680281616</v>
      </c>
      <c r="L779">
        <f t="shared" si="90"/>
        <v>-0.90269886897521789</v>
      </c>
    </row>
    <row r="780" spans="1:12" x14ac:dyDescent="0.25">
      <c r="A780" s="1">
        <v>41327</v>
      </c>
      <c r="B780" s="6">
        <v>82.540899999999993</v>
      </c>
      <c r="C780" s="6">
        <v>8.5914000000000001</v>
      </c>
      <c r="D780" s="6">
        <v>7947.72</v>
      </c>
      <c r="E780" s="6">
        <v>0.94</v>
      </c>
      <c r="F780" s="6">
        <f t="shared" si="84"/>
        <v>1.0444444444444444E-2</v>
      </c>
      <c r="G780">
        <f t="shared" si="85"/>
        <v>-1.4017898951673837</v>
      </c>
      <c r="H780">
        <f t="shared" si="86"/>
        <v>0.44896527534197733</v>
      </c>
      <c r="I780">
        <f t="shared" si="87"/>
        <v>-0.1224008666081863</v>
      </c>
      <c r="J780">
        <f t="shared" si="88"/>
        <v>-0.99368502221142918</v>
      </c>
      <c r="K780">
        <f t="shared" si="89"/>
        <v>-1.4122343396118282</v>
      </c>
      <c r="L780">
        <f t="shared" si="90"/>
        <v>-0.13284531105263075</v>
      </c>
    </row>
    <row r="781" spans="1:12" x14ac:dyDescent="0.25">
      <c r="A781" s="1">
        <v>41328</v>
      </c>
      <c r="B781" s="6">
        <v>83.714399999999998</v>
      </c>
      <c r="C781" s="6">
        <v>8.5914000000000001</v>
      </c>
      <c r="D781" s="6">
        <v>7986.89</v>
      </c>
      <c r="E781" s="6">
        <v>0.94</v>
      </c>
      <c r="F781" s="6">
        <f t="shared" si="84"/>
        <v>1.0444444444444444E-2</v>
      </c>
      <c r="G781">
        <f t="shared" si="85"/>
        <v>1.4217194142540295</v>
      </c>
      <c r="H781">
        <f t="shared" si="86"/>
        <v>0</v>
      </c>
      <c r="I781">
        <f t="shared" si="87"/>
        <v>0.49284574695636069</v>
      </c>
      <c r="J781">
        <f t="shared" si="88"/>
        <v>0.99300998452362377</v>
      </c>
      <c r="K781">
        <f t="shared" si="89"/>
        <v>1.411274969809585</v>
      </c>
      <c r="L781">
        <f t="shared" si="90"/>
        <v>0.48240130251191626</v>
      </c>
    </row>
    <row r="782" spans="1:12" x14ac:dyDescent="0.25">
      <c r="A782" s="1">
        <v>41330</v>
      </c>
      <c r="B782" s="6">
        <v>82.149699999999996</v>
      </c>
      <c r="C782" s="6">
        <v>8.6296999999999997</v>
      </c>
      <c r="D782" s="6">
        <v>7947.68</v>
      </c>
      <c r="E782" s="6">
        <v>0.94</v>
      </c>
      <c r="F782" s="6">
        <f t="shared" si="84"/>
        <v>1.0444444444444444E-2</v>
      </c>
      <c r="G782">
        <f t="shared" si="85"/>
        <v>-1.8690930114771198</v>
      </c>
      <c r="H782">
        <f t="shared" si="86"/>
        <v>0.44579463184113832</v>
      </c>
      <c r="I782">
        <f t="shared" si="87"/>
        <v>-0.49092951073571861</v>
      </c>
      <c r="J782">
        <f t="shared" si="88"/>
        <v>-1.3224917184409966</v>
      </c>
      <c r="K782">
        <f t="shared" si="89"/>
        <v>-1.8795374559215643</v>
      </c>
      <c r="L782">
        <f t="shared" si="90"/>
        <v>-0.50137395518016303</v>
      </c>
    </row>
    <row r="783" spans="1:12" x14ac:dyDescent="0.25">
      <c r="A783" s="1">
        <v>41331</v>
      </c>
      <c r="B783" s="6">
        <v>80.976100000000002</v>
      </c>
      <c r="C783" s="6">
        <v>8.5146999999999995</v>
      </c>
      <c r="D783" s="6">
        <v>7880.9</v>
      </c>
      <c r="E783" s="6">
        <v>0.94</v>
      </c>
      <c r="F783" s="6">
        <f t="shared" si="84"/>
        <v>1.0444444444444444E-2</v>
      </c>
      <c r="G783">
        <f t="shared" si="85"/>
        <v>-1.4286114252395241</v>
      </c>
      <c r="H783">
        <f t="shared" si="86"/>
        <v>-1.3326071589974184</v>
      </c>
      <c r="I783">
        <f t="shared" si="87"/>
        <v>-0.84024520363175992</v>
      </c>
      <c r="J783">
        <f t="shared" si="88"/>
        <v>-1.0125573523608327</v>
      </c>
      <c r="K783">
        <f t="shared" si="89"/>
        <v>-1.4390558696839686</v>
      </c>
      <c r="L783">
        <f t="shared" si="90"/>
        <v>-0.8506896480762044</v>
      </c>
    </row>
    <row r="784" spans="1:12" x14ac:dyDescent="0.25">
      <c r="A784" s="1">
        <v>41332</v>
      </c>
      <c r="B784" s="6">
        <v>81.758499999999998</v>
      </c>
      <c r="C784" s="6">
        <v>8.5146999999999995</v>
      </c>
      <c r="D784" s="6">
        <v>7897.98</v>
      </c>
      <c r="E784" s="6">
        <v>0.94</v>
      </c>
      <c r="F784" s="6">
        <f t="shared" si="84"/>
        <v>1.0444444444444444E-2</v>
      </c>
      <c r="G784">
        <f t="shared" si="85"/>
        <v>0.96621101781883234</v>
      </c>
      <c r="H784">
        <f t="shared" si="86"/>
        <v>0</v>
      </c>
      <c r="I784">
        <f t="shared" si="87"/>
        <v>0.21672651600705412</v>
      </c>
      <c r="J784">
        <f t="shared" si="88"/>
        <v>0.67250236172101341</v>
      </c>
      <c r="K784">
        <f t="shared" si="89"/>
        <v>0.95576657337438786</v>
      </c>
      <c r="L784">
        <f t="shared" si="90"/>
        <v>0.20628207156260966</v>
      </c>
    </row>
    <row r="785" spans="1:12" x14ac:dyDescent="0.25">
      <c r="A785" s="1">
        <v>41334</v>
      </c>
      <c r="B785" s="6">
        <v>82.149699999999996</v>
      </c>
      <c r="C785" s="6">
        <v>8.4763000000000002</v>
      </c>
      <c r="D785" s="6">
        <v>7964.63</v>
      </c>
      <c r="E785" s="6">
        <v>0.94</v>
      </c>
      <c r="F785" s="6">
        <f t="shared" si="84"/>
        <v>1.0444444444444444E-2</v>
      </c>
      <c r="G785">
        <f t="shared" si="85"/>
        <v>0.4784823596323291</v>
      </c>
      <c r="H785">
        <f t="shared" si="86"/>
        <v>-0.4509847675196933</v>
      </c>
      <c r="I785">
        <f t="shared" si="87"/>
        <v>0.84388666469148499</v>
      </c>
      <c r="J785">
        <f t="shared" si="88"/>
        <v>0.32932371994091175</v>
      </c>
      <c r="K785">
        <f t="shared" si="89"/>
        <v>0.46803791518788468</v>
      </c>
      <c r="L785">
        <f t="shared" si="90"/>
        <v>0.83344222024704051</v>
      </c>
    </row>
    <row r="786" spans="1:12" x14ac:dyDescent="0.25">
      <c r="A786" s="1">
        <v>41337</v>
      </c>
      <c r="B786" s="6">
        <v>79.802599999999998</v>
      </c>
      <c r="C786" s="6">
        <v>8.3612000000000002</v>
      </c>
      <c r="D786" s="6">
        <v>7867.34</v>
      </c>
      <c r="E786" s="6">
        <v>0.94</v>
      </c>
      <c r="F786" s="6">
        <f t="shared" si="84"/>
        <v>1.0444444444444444E-2</v>
      </c>
      <c r="G786">
        <f t="shared" si="85"/>
        <v>-2.8571011214891811</v>
      </c>
      <c r="H786">
        <f t="shared" si="86"/>
        <v>-1.3579038023665984</v>
      </c>
      <c r="I786">
        <f t="shared" si="87"/>
        <v>-1.2215256703701234</v>
      </c>
      <c r="J786">
        <f t="shared" si="88"/>
        <v>-2.0176800687060523</v>
      </c>
      <c r="K786">
        <f t="shared" si="89"/>
        <v>-2.8675455659336255</v>
      </c>
      <c r="L786">
        <f t="shared" si="90"/>
        <v>-1.2319701148145679</v>
      </c>
    </row>
    <row r="787" spans="1:12" x14ac:dyDescent="0.25">
      <c r="A787" s="1">
        <v>41338</v>
      </c>
      <c r="B787" s="6">
        <v>81.3673</v>
      </c>
      <c r="C787" s="6">
        <v>8.5146999999999995</v>
      </c>
      <c r="D787" s="6">
        <v>7932.71</v>
      </c>
      <c r="E787" s="6">
        <v>0.94</v>
      </c>
      <c r="F787" s="6">
        <f t="shared" si="84"/>
        <v>1.0444444444444444E-2</v>
      </c>
      <c r="G787">
        <f t="shared" si="85"/>
        <v>1.9607130594742552</v>
      </c>
      <c r="H787">
        <f t="shared" si="86"/>
        <v>1.8358608812132147</v>
      </c>
      <c r="I787">
        <f t="shared" si="87"/>
        <v>0.83090345656854658</v>
      </c>
      <c r="J787">
        <f t="shared" si="88"/>
        <v>1.3722600121569224</v>
      </c>
      <c r="K787">
        <f t="shared" si="89"/>
        <v>1.9502686150298107</v>
      </c>
      <c r="L787">
        <f t="shared" si="90"/>
        <v>0.82045901212410211</v>
      </c>
    </row>
    <row r="788" spans="1:12" x14ac:dyDescent="0.25">
      <c r="A788" s="1">
        <v>41339</v>
      </c>
      <c r="B788" s="6">
        <v>81.3673</v>
      </c>
      <c r="C788" s="6">
        <v>8.5914000000000001</v>
      </c>
      <c r="D788" s="6">
        <v>7950.3</v>
      </c>
      <c r="E788" s="6">
        <v>0.94</v>
      </c>
      <c r="F788" s="6">
        <f t="shared" si="84"/>
        <v>1.0444444444444444E-2</v>
      </c>
      <c r="G788">
        <f t="shared" si="85"/>
        <v>0</v>
      </c>
      <c r="H788">
        <f t="shared" si="86"/>
        <v>0.90079509554066095</v>
      </c>
      <c r="I788">
        <f t="shared" si="87"/>
        <v>0.22174011151296524</v>
      </c>
      <c r="J788">
        <f t="shared" si="88"/>
        <v>-7.3489843141871791E-3</v>
      </c>
      <c r="K788">
        <f t="shared" si="89"/>
        <v>-1.0444444444444444E-2</v>
      </c>
      <c r="L788">
        <f t="shared" si="90"/>
        <v>0.21129566706852079</v>
      </c>
    </row>
    <row r="789" spans="1:12" x14ac:dyDescent="0.25">
      <c r="A789" s="1">
        <v>41340</v>
      </c>
      <c r="B789" s="6">
        <v>80.584900000000005</v>
      </c>
      <c r="C789" s="6">
        <v>8.5146999999999995</v>
      </c>
      <c r="D789" s="6">
        <v>7960.51</v>
      </c>
      <c r="E789" s="6">
        <v>0.94</v>
      </c>
      <c r="F789" s="6">
        <f t="shared" si="84"/>
        <v>1.0444444444444444E-2</v>
      </c>
      <c r="G789">
        <f t="shared" si="85"/>
        <v>-0.96156564123424959</v>
      </c>
      <c r="H789">
        <f t="shared" si="86"/>
        <v>-0.89275321833462129</v>
      </c>
      <c r="I789">
        <f t="shared" si="87"/>
        <v>0.1284228268115673</v>
      </c>
      <c r="J789">
        <f t="shared" si="88"/>
        <v>-0.68393172187191631</v>
      </c>
      <c r="K789">
        <f t="shared" si="89"/>
        <v>-0.97201008567869407</v>
      </c>
      <c r="L789">
        <f t="shared" si="90"/>
        <v>0.11797838236712285</v>
      </c>
    </row>
    <row r="790" spans="1:12" x14ac:dyDescent="0.25">
      <c r="A790" s="1">
        <v>41341</v>
      </c>
      <c r="B790" s="6">
        <v>80.976100000000002</v>
      </c>
      <c r="C790" s="6">
        <v>8.4763000000000002</v>
      </c>
      <c r="D790" s="6">
        <v>8015.14</v>
      </c>
      <c r="E790" s="6">
        <v>0.94</v>
      </c>
      <c r="F790" s="6">
        <f t="shared" si="84"/>
        <v>1.0444444444444444E-2</v>
      </c>
      <c r="G790">
        <f t="shared" si="85"/>
        <v>0.48545074821709494</v>
      </c>
      <c r="H790">
        <f t="shared" si="86"/>
        <v>-0.4509847675196933</v>
      </c>
      <c r="I790">
        <f t="shared" si="87"/>
        <v>0.68626256357947046</v>
      </c>
      <c r="J790">
        <f t="shared" si="88"/>
        <v>0.33422686042645905</v>
      </c>
      <c r="K790">
        <f t="shared" si="89"/>
        <v>0.47500630377265052</v>
      </c>
      <c r="L790">
        <f t="shared" si="90"/>
        <v>0.67581811913502599</v>
      </c>
    </row>
    <row r="791" spans="1:12" x14ac:dyDescent="0.25">
      <c r="A791" s="1">
        <v>41344</v>
      </c>
      <c r="B791" s="6">
        <v>79.802599999999998</v>
      </c>
      <c r="C791" s="6">
        <v>8.5146999999999995</v>
      </c>
      <c r="D791" s="6">
        <v>8038.72</v>
      </c>
      <c r="E791" s="6">
        <v>0.94</v>
      </c>
      <c r="F791" s="6">
        <f t="shared" si="84"/>
        <v>1.0444444444444444E-2</v>
      </c>
      <c r="G791">
        <f t="shared" si="85"/>
        <v>-1.4491930335000132</v>
      </c>
      <c r="H791">
        <f t="shared" si="86"/>
        <v>0.45302785413446106</v>
      </c>
      <c r="I791">
        <f t="shared" si="87"/>
        <v>0.29419323929463398</v>
      </c>
      <c r="J791">
        <f t="shared" si="88"/>
        <v>-1.0270391103012977</v>
      </c>
      <c r="K791">
        <f t="shared" si="89"/>
        <v>-1.4596374779444576</v>
      </c>
      <c r="L791">
        <f t="shared" si="90"/>
        <v>0.28374879485018956</v>
      </c>
    </row>
    <row r="792" spans="1:12" x14ac:dyDescent="0.25">
      <c r="A792" s="1">
        <v>41345</v>
      </c>
      <c r="B792" s="6">
        <v>80.193700000000007</v>
      </c>
      <c r="C792" s="6">
        <v>8.5914000000000001</v>
      </c>
      <c r="D792" s="6">
        <v>7994.71</v>
      </c>
      <c r="E792" s="6">
        <v>0.94</v>
      </c>
      <c r="F792" s="6">
        <f t="shared" si="84"/>
        <v>1.0444444444444444E-2</v>
      </c>
      <c r="G792">
        <f t="shared" si="85"/>
        <v>0.49008428296823497</v>
      </c>
      <c r="H792">
        <f t="shared" si="86"/>
        <v>0.90079509554066095</v>
      </c>
      <c r="I792">
        <f t="shared" si="87"/>
        <v>-0.54747521993551485</v>
      </c>
      <c r="J792">
        <f t="shared" si="88"/>
        <v>0.33748713668016467</v>
      </c>
      <c r="K792">
        <f t="shared" si="89"/>
        <v>0.47963983852379055</v>
      </c>
      <c r="L792">
        <f t="shared" si="90"/>
        <v>-0.55791966437995932</v>
      </c>
    </row>
    <row r="793" spans="1:12" x14ac:dyDescent="0.25">
      <c r="A793" s="1">
        <v>41346</v>
      </c>
      <c r="B793" s="6">
        <v>81.758499999999998</v>
      </c>
      <c r="C793" s="6">
        <v>8.5146999999999995</v>
      </c>
      <c r="D793" s="6">
        <v>7995.51</v>
      </c>
      <c r="E793" s="6">
        <v>0.94</v>
      </c>
      <c r="F793" s="6">
        <f t="shared" si="84"/>
        <v>1.0444444444444444E-2</v>
      </c>
      <c r="G793">
        <f t="shared" si="85"/>
        <v>1.9512754742579417</v>
      </c>
      <c r="H793">
        <f t="shared" si="86"/>
        <v>-0.89275321833462129</v>
      </c>
      <c r="I793">
        <f t="shared" si="87"/>
        <v>1.0006616875411139E-2</v>
      </c>
      <c r="J793">
        <f t="shared" si="88"/>
        <v>1.3656194803328114</v>
      </c>
      <c r="K793">
        <f t="shared" si="89"/>
        <v>1.9408310298134972</v>
      </c>
      <c r="L793">
        <f t="shared" si="90"/>
        <v>-4.3782756903330486E-4</v>
      </c>
    </row>
    <row r="794" spans="1:12" x14ac:dyDescent="0.25">
      <c r="A794" s="1">
        <v>41347</v>
      </c>
      <c r="B794" s="6">
        <v>81.3673</v>
      </c>
      <c r="C794" s="6">
        <v>8.8981999999999992</v>
      </c>
      <c r="D794" s="6">
        <v>7951.76</v>
      </c>
      <c r="E794" s="6">
        <v>0.94</v>
      </c>
      <c r="F794" s="6">
        <f t="shared" si="84"/>
        <v>1.0444444444444444E-2</v>
      </c>
      <c r="G794">
        <f t="shared" si="85"/>
        <v>-0.4784823596323291</v>
      </c>
      <c r="H794">
        <f t="shared" si="86"/>
        <v>4.5039754777032632</v>
      </c>
      <c r="I794">
        <f t="shared" si="87"/>
        <v>-0.54718210595696837</v>
      </c>
      <c r="J794">
        <f t="shared" si="88"/>
        <v>-0.34402168856928611</v>
      </c>
      <c r="K794">
        <f t="shared" si="89"/>
        <v>-0.48892680407677352</v>
      </c>
      <c r="L794">
        <f t="shared" si="90"/>
        <v>-0.55762655040141285</v>
      </c>
    </row>
    <row r="795" spans="1:12" x14ac:dyDescent="0.25">
      <c r="A795" s="1">
        <v>41348</v>
      </c>
      <c r="B795" s="6">
        <v>80.584900000000005</v>
      </c>
      <c r="C795" s="6">
        <v>8.8981999999999992</v>
      </c>
      <c r="D795" s="6">
        <v>7927.49</v>
      </c>
      <c r="E795" s="6">
        <v>0.94</v>
      </c>
      <c r="F795" s="6">
        <f t="shared" si="84"/>
        <v>1.0444444444444444E-2</v>
      </c>
      <c r="G795">
        <f t="shared" si="85"/>
        <v>-0.96156564123424959</v>
      </c>
      <c r="H795">
        <f t="shared" si="86"/>
        <v>0</v>
      </c>
      <c r="I795">
        <f t="shared" si="87"/>
        <v>-0.3052154491584308</v>
      </c>
      <c r="J795">
        <f t="shared" si="88"/>
        <v>-0.68393172187191631</v>
      </c>
      <c r="K795">
        <f t="shared" si="89"/>
        <v>-0.97201008567869407</v>
      </c>
      <c r="L795">
        <f t="shared" si="90"/>
        <v>-0.31565989360287522</v>
      </c>
    </row>
    <row r="796" spans="1:12" x14ac:dyDescent="0.25">
      <c r="A796" s="1">
        <v>41351</v>
      </c>
      <c r="B796" s="6">
        <v>78.629000000000005</v>
      </c>
      <c r="C796" s="6">
        <v>8.5914000000000001</v>
      </c>
      <c r="D796" s="6">
        <v>7811.34</v>
      </c>
      <c r="E796" s="6">
        <v>0.94</v>
      </c>
      <c r="F796" s="6">
        <f t="shared" si="84"/>
        <v>1.0444444444444444E-2</v>
      </c>
      <c r="G796">
        <f t="shared" si="85"/>
        <v>-2.4271296483584388</v>
      </c>
      <c r="H796">
        <f t="shared" si="86"/>
        <v>-3.4478883369670168</v>
      </c>
      <c r="I796">
        <f t="shared" si="87"/>
        <v>-1.4651547967893954</v>
      </c>
      <c r="J796">
        <f t="shared" si="88"/>
        <v>-1.7151408931286904</v>
      </c>
      <c r="K796">
        <f t="shared" si="89"/>
        <v>-2.4375740928028833</v>
      </c>
      <c r="L796">
        <f t="shared" si="90"/>
        <v>-1.4755992412338399</v>
      </c>
    </row>
    <row r="797" spans="1:12" x14ac:dyDescent="0.25">
      <c r="A797" s="1">
        <v>41352</v>
      </c>
      <c r="B797" s="6">
        <v>78.237799999999993</v>
      </c>
      <c r="C797" s="6">
        <v>8.5914000000000001</v>
      </c>
      <c r="D797" s="6">
        <v>7838.47</v>
      </c>
      <c r="E797" s="6">
        <v>0.94</v>
      </c>
      <c r="F797" s="6">
        <f t="shared" si="84"/>
        <v>1.0444444444444444E-2</v>
      </c>
      <c r="G797">
        <f t="shared" si="85"/>
        <v>-0.49752635795954669</v>
      </c>
      <c r="H797">
        <f t="shared" si="86"/>
        <v>0</v>
      </c>
      <c r="I797">
        <f t="shared" si="87"/>
        <v>0.34731556941574826</v>
      </c>
      <c r="J797">
        <f t="shared" si="88"/>
        <v>-0.35742154394029851</v>
      </c>
      <c r="K797">
        <f t="shared" si="89"/>
        <v>-0.50797080240399117</v>
      </c>
      <c r="L797">
        <f t="shared" si="90"/>
        <v>0.33687112497130384</v>
      </c>
    </row>
    <row r="798" spans="1:12" x14ac:dyDescent="0.25">
      <c r="A798" s="1">
        <v>41353</v>
      </c>
      <c r="B798" s="6">
        <v>77.298900000000003</v>
      </c>
      <c r="C798" s="6">
        <v>8.5530000000000008</v>
      </c>
      <c r="D798" s="6">
        <v>7798.03</v>
      </c>
      <c r="E798" s="6">
        <v>0.94</v>
      </c>
      <c r="F798" s="6">
        <f t="shared" si="84"/>
        <v>1.0444444444444444E-2</v>
      </c>
      <c r="G798">
        <f t="shared" si="85"/>
        <v>-1.2000593063710761</v>
      </c>
      <c r="H798">
        <f t="shared" si="86"/>
        <v>-0.44695858649346232</v>
      </c>
      <c r="I798">
        <f t="shared" si="87"/>
        <v>-0.51591700931432416</v>
      </c>
      <c r="J798">
        <f t="shared" si="88"/>
        <v>-0.85174210311778786</v>
      </c>
      <c r="K798">
        <f t="shared" si="89"/>
        <v>-1.2105037508155205</v>
      </c>
      <c r="L798">
        <f t="shared" si="90"/>
        <v>-0.52636145375876864</v>
      </c>
    </row>
    <row r="799" spans="1:12" x14ac:dyDescent="0.25">
      <c r="A799" s="1">
        <v>41354</v>
      </c>
      <c r="B799" s="6">
        <v>77.220699999999994</v>
      </c>
      <c r="C799" s="6">
        <v>8.5146999999999995</v>
      </c>
      <c r="D799" s="6">
        <v>7811.84</v>
      </c>
      <c r="E799" s="6">
        <v>0.94</v>
      </c>
      <c r="F799" s="6">
        <f t="shared" si="84"/>
        <v>1.0444444444444444E-2</v>
      </c>
      <c r="G799">
        <f t="shared" si="85"/>
        <v>-0.10116573457062079</v>
      </c>
      <c r="H799">
        <f t="shared" si="86"/>
        <v>-0.44779609493746442</v>
      </c>
      <c r="I799">
        <f t="shared" si="87"/>
        <v>0.17709601014615745</v>
      </c>
      <c r="J799">
        <f t="shared" si="88"/>
        <v>-7.8531841425191887E-2</v>
      </c>
      <c r="K799">
        <f t="shared" si="89"/>
        <v>-0.11161017901506523</v>
      </c>
      <c r="L799">
        <f t="shared" si="90"/>
        <v>0.16665156570171299</v>
      </c>
    </row>
    <row r="800" spans="1:12" x14ac:dyDescent="0.25">
      <c r="A800" s="1">
        <v>41355</v>
      </c>
      <c r="B800" s="6">
        <v>76.673000000000002</v>
      </c>
      <c r="C800" s="6">
        <v>8.5146999999999995</v>
      </c>
      <c r="D800" s="6">
        <v>7796.22</v>
      </c>
      <c r="E800" s="6">
        <v>0.94</v>
      </c>
      <c r="F800" s="6">
        <f t="shared" si="84"/>
        <v>1.0444444444444444E-2</v>
      </c>
      <c r="G800">
        <f t="shared" si="85"/>
        <v>-0.70926577977147565</v>
      </c>
      <c r="H800">
        <f t="shared" si="86"/>
        <v>0</v>
      </c>
      <c r="I800">
        <f t="shared" si="87"/>
        <v>-0.19995289202031646</v>
      </c>
      <c r="J800">
        <f t="shared" si="88"/>
        <v>-0.50640693975219586</v>
      </c>
      <c r="K800">
        <f t="shared" si="89"/>
        <v>-0.71971022421592012</v>
      </c>
      <c r="L800">
        <f t="shared" si="90"/>
        <v>-0.21039733646476091</v>
      </c>
    </row>
    <row r="801" spans="1:12" x14ac:dyDescent="0.25">
      <c r="A801" s="1">
        <v>41358</v>
      </c>
      <c r="B801" s="6">
        <v>77.846599999999995</v>
      </c>
      <c r="C801" s="6">
        <v>8.5530000000000008</v>
      </c>
      <c r="D801" s="6">
        <v>7856.12</v>
      </c>
      <c r="E801" s="6">
        <v>0.94</v>
      </c>
      <c r="F801" s="6">
        <f t="shared" si="84"/>
        <v>1.0444444444444444E-2</v>
      </c>
      <c r="G801">
        <f t="shared" si="85"/>
        <v>1.5306561631865105</v>
      </c>
      <c r="H801">
        <f t="shared" si="86"/>
        <v>0.44981032802096771</v>
      </c>
      <c r="I801">
        <f t="shared" si="87"/>
        <v>0.76832105815381857</v>
      </c>
      <c r="J801">
        <f t="shared" si="88"/>
        <v>1.0696607306118169</v>
      </c>
      <c r="K801">
        <f t="shared" si="89"/>
        <v>1.5202117187420661</v>
      </c>
      <c r="L801">
        <f t="shared" si="90"/>
        <v>0.75787661370937409</v>
      </c>
    </row>
    <row r="802" spans="1:12" x14ac:dyDescent="0.25">
      <c r="A802" s="1">
        <v>41359</v>
      </c>
      <c r="B802" s="6">
        <v>77.455399999999997</v>
      </c>
      <c r="C802" s="6">
        <v>8.6296999999999997</v>
      </c>
      <c r="D802" s="6">
        <v>7856.36</v>
      </c>
      <c r="E802" s="6">
        <v>0.94</v>
      </c>
      <c r="F802" s="6">
        <f t="shared" si="84"/>
        <v>1.0444444444444444E-2</v>
      </c>
      <c r="G802">
        <f t="shared" si="85"/>
        <v>-0.50252676417466891</v>
      </c>
      <c r="H802">
        <f t="shared" si="86"/>
        <v>0.89676137027942093</v>
      </c>
      <c r="I802">
        <f t="shared" si="87"/>
        <v>3.0549431525967235E-3</v>
      </c>
      <c r="J802">
        <f t="shared" si="88"/>
        <v>-0.36093996055259076</v>
      </c>
      <c r="K802">
        <f t="shared" si="89"/>
        <v>-0.51297120861911338</v>
      </c>
      <c r="L802">
        <f t="shared" si="90"/>
        <v>-7.3895012918477202E-3</v>
      </c>
    </row>
    <row r="803" spans="1:12" x14ac:dyDescent="0.25">
      <c r="A803" s="1">
        <v>41360</v>
      </c>
      <c r="B803" s="6">
        <v>78.629000000000005</v>
      </c>
      <c r="C803" s="6">
        <v>8.5530000000000008</v>
      </c>
      <c r="D803" s="6">
        <v>7894.12</v>
      </c>
      <c r="E803" s="6">
        <v>0.94</v>
      </c>
      <c r="F803" s="6">
        <f t="shared" si="84"/>
        <v>1.0444444444444444E-2</v>
      </c>
      <c r="G803">
        <f t="shared" si="85"/>
        <v>1.51519455067046</v>
      </c>
      <c r="H803">
        <f t="shared" si="86"/>
        <v>-0.88879103560956796</v>
      </c>
      <c r="I803">
        <f t="shared" si="87"/>
        <v>0.48062970637802011</v>
      </c>
      <c r="J803">
        <f t="shared" si="88"/>
        <v>1.058781535604663</v>
      </c>
      <c r="K803">
        <f t="shared" si="89"/>
        <v>1.5047501062260156</v>
      </c>
      <c r="L803">
        <f t="shared" si="90"/>
        <v>0.47018526193357568</v>
      </c>
    </row>
    <row r="804" spans="1:12" x14ac:dyDescent="0.25">
      <c r="A804" s="1">
        <v>41361</v>
      </c>
      <c r="B804" s="6">
        <v>78.237799999999993</v>
      </c>
      <c r="C804" s="6">
        <v>8.5146999999999995</v>
      </c>
      <c r="D804" s="6">
        <v>7866.88</v>
      </c>
      <c r="E804" s="6">
        <v>0.94</v>
      </c>
      <c r="F804" s="6">
        <f t="shared" si="84"/>
        <v>1.0444444444444444E-2</v>
      </c>
      <c r="G804">
        <f t="shared" si="85"/>
        <v>-0.49752635795954669</v>
      </c>
      <c r="H804">
        <f t="shared" si="86"/>
        <v>-0.44779609493746442</v>
      </c>
      <c r="I804">
        <f t="shared" si="87"/>
        <v>-0.3450669612319015</v>
      </c>
      <c r="J804">
        <f t="shared" si="88"/>
        <v>-0.35742154394029851</v>
      </c>
      <c r="K804">
        <f t="shared" si="89"/>
        <v>-0.50797080240399117</v>
      </c>
      <c r="L804">
        <f t="shared" si="90"/>
        <v>-0.35551140567634593</v>
      </c>
    </row>
    <row r="805" spans="1:12" x14ac:dyDescent="0.25">
      <c r="A805" s="1">
        <v>41362</v>
      </c>
      <c r="B805" s="6">
        <v>78.629000000000005</v>
      </c>
      <c r="C805" s="6">
        <v>8.5914000000000001</v>
      </c>
      <c r="D805" s="6">
        <v>7918.61</v>
      </c>
      <c r="E805" s="6">
        <v>0.94</v>
      </c>
      <c r="F805" s="6">
        <f t="shared" si="84"/>
        <v>1.0444444444444444E-2</v>
      </c>
      <c r="G805">
        <f t="shared" si="85"/>
        <v>0.50001405970005808</v>
      </c>
      <c r="H805">
        <f t="shared" si="86"/>
        <v>0.90079509554066095</v>
      </c>
      <c r="I805">
        <f t="shared" si="87"/>
        <v>0.65756691343963003</v>
      </c>
      <c r="J805">
        <f t="shared" si="88"/>
        <v>0.34447398732920653</v>
      </c>
      <c r="K805">
        <f t="shared" si="89"/>
        <v>0.48956961525561365</v>
      </c>
      <c r="L805">
        <f t="shared" si="90"/>
        <v>0.64712246899518555</v>
      </c>
    </row>
    <row r="806" spans="1:12" x14ac:dyDescent="0.25">
      <c r="A806" s="1">
        <v>41365</v>
      </c>
      <c r="B806" s="6">
        <v>79.020200000000003</v>
      </c>
      <c r="C806" s="6">
        <v>8.5530000000000008</v>
      </c>
      <c r="D806" s="6">
        <v>7899.24</v>
      </c>
      <c r="E806" s="6">
        <v>0.94</v>
      </c>
      <c r="F806" s="6">
        <f t="shared" si="84"/>
        <v>1.0444444444444444E-2</v>
      </c>
      <c r="G806">
        <f t="shared" si="85"/>
        <v>0.4975263579595286</v>
      </c>
      <c r="H806">
        <f t="shared" si="86"/>
        <v>-0.44695858649346232</v>
      </c>
      <c r="I806">
        <f t="shared" si="87"/>
        <v>-0.24461363799959704</v>
      </c>
      <c r="J806">
        <f t="shared" si="88"/>
        <v>0.34272357531191139</v>
      </c>
      <c r="K806">
        <f t="shared" si="89"/>
        <v>0.48708191351508417</v>
      </c>
      <c r="L806">
        <f t="shared" si="90"/>
        <v>-0.25505808244404149</v>
      </c>
    </row>
    <row r="807" spans="1:12" x14ac:dyDescent="0.25">
      <c r="A807" s="1">
        <v>41366</v>
      </c>
      <c r="B807" s="6">
        <v>78.629000000000005</v>
      </c>
      <c r="C807" s="6">
        <v>8.6296999999999997</v>
      </c>
      <c r="D807" s="6">
        <v>7913.18</v>
      </c>
      <c r="E807" s="6">
        <v>0.94</v>
      </c>
      <c r="F807" s="6">
        <f t="shared" si="84"/>
        <v>1.0444444444444444E-2</v>
      </c>
      <c r="G807">
        <f t="shared" si="85"/>
        <v>-0.49506328761506269</v>
      </c>
      <c r="H807">
        <f t="shared" si="86"/>
        <v>0.89676137027942093</v>
      </c>
      <c r="I807">
        <f t="shared" si="87"/>
        <v>0.17647267332047778</v>
      </c>
      <c r="J807">
        <f t="shared" si="88"/>
        <v>-0.35568846321756259</v>
      </c>
      <c r="K807">
        <f t="shared" si="89"/>
        <v>-0.50550773205950716</v>
      </c>
      <c r="L807">
        <f t="shared" si="90"/>
        <v>0.16602822887603333</v>
      </c>
    </row>
    <row r="808" spans="1:12" x14ac:dyDescent="0.25">
      <c r="A808" s="1">
        <v>41367</v>
      </c>
      <c r="B808" s="6">
        <v>78.629000000000005</v>
      </c>
      <c r="C808" s="6">
        <v>8.6681000000000008</v>
      </c>
      <c r="D808" s="6">
        <v>7942.35</v>
      </c>
      <c r="E808" s="6">
        <v>0.94</v>
      </c>
      <c r="F808" s="6">
        <f t="shared" si="84"/>
        <v>1.0444444444444444E-2</v>
      </c>
      <c r="G808">
        <f t="shared" si="85"/>
        <v>0</v>
      </c>
      <c r="H808">
        <f t="shared" si="86"/>
        <v>0.44497491222175861</v>
      </c>
      <c r="I808">
        <f t="shared" si="87"/>
        <v>0.36862550832914293</v>
      </c>
      <c r="J808">
        <f t="shared" si="88"/>
        <v>-7.3489843141871791E-3</v>
      </c>
      <c r="K808">
        <f t="shared" si="89"/>
        <v>-1.0444444444444444E-2</v>
      </c>
      <c r="L808">
        <f t="shared" si="90"/>
        <v>0.3581810638846985</v>
      </c>
    </row>
    <row r="809" spans="1:12" x14ac:dyDescent="0.25">
      <c r="A809" s="1">
        <v>41372</v>
      </c>
      <c r="B809" s="6">
        <v>77.0642</v>
      </c>
      <c r="C809" s="6">
        <v>8.4763000000000002</v>
      </c>
      <c r="D809" s="6">
        <v>7752.79</v>
      </c>
      <c r="E809" s="6">
        <v>0.94</v>
      </c>
      <c r="F809" s="6">
        <f t="shared" si="84"/>
        <v>1.0444444444444444E-2</v>
      </c>
      <c r="G809">
        <f t="shared" si="85"/>
        <v>-1.9901054318381326</v>
      </c>
      <c r="H809">
        <f t="shared" si="86"/>
        <v>-2.2127109747234184</v>
      </c>
      <c r="I809">
        <f t="shared" si="87"/>
        <v>-2.3866991507551343</v>
      </c>
      <c r="J809">
        <f t="shared" si="88"/>
        <v>-1.4076392228185943</v>
      </c>
      <c r="K809">
        <f t="shared" si="89"/>
        <v>-2.0005498762825771</v>
      </c>
      <c r="L809">
        <f t="shared" si="90"/>
        <v>-2.3971435951995788</v>
      </c>
    </row>
    <row r="810" spans="1:12" x14ac:dyDescent="0.25">
      <c r="A810" s="1">
        <v>41373</v>
      </c>
      <c r="B810" s="6">
        <v>76.281899999999993</v>
      </c>
      <c r="C810" s="6">
        <v>8.5146999999999995</v>
      </c>
      <c r="D810" s="6">
        <v>7728.54</v>
      </c>
      <c r="E810" s="6">
        <v>0.94</v>
      </c>
      <c r="F810" s="6">
        <f t="shared" si="84"/>
        <v>1.0444444444444444E-2</v>
      </c>
      <c r="G810">
        <f t="shared" si="85"/>
        <v>-1.0151276468191539</v>
      </c>
      <c r="H810">
        <f t="shared" si="86"/>
        <v>0.45302785413446106</v>
      </c>
      <c r="I810">
        <f t="shared" si="87"/>
        <v>-0.3127906211828258</v>
      </c>
      <c r="J810">
        <f t="shared" si="88"/>
        <v>-0.72161935006254196</v>
      </c>
      <c r="K810">
        <f t="shared" si="89"/>
        <v>-1.0255720912635984</v>
      </c>
      <c r="L810">
        <f t="shared" si="90"/>
        <v>-0.32323506562727022</v>
      </c>
    </row>
    <row r="811" spans="1:12" x14ac:dyDescent="0.25">
      <c r="A811" s="1">
        <v>41374</v>
      </c>
      <c r="B811" s="6">
        <v>76.907799999999995</v>
      </c>
      <c r="C811" s="6">
        <v>8.4379000000000008</v>
      </c>
      <c r="D811" s="6">
        <v>7752.8</v>
      </c>
      <c r="E811" s="6">
        <v>0.94</v>
      </c>
      <c r="F811" s="6">
        <f t="shared" si="84"/>
        <v>1.0444444444444444E-2</v>
      </c>
      <c r="G811">
        <f t="shared" si="85"/>
        <v>0.8205091902535222</v>
      </c>
      <c r="H811">
        <f t="shared" si="86"/>
        <v>-0.90196953503938659</v>
      </c>
      <c r="I811">
        <f t="shared" si="87"/>
        <v>0.31390146133681418</v>
      </c>
      <c r="J811">
        <f t="shared" si="88"/>
        <v>0.56998274461534504</v>
      </c>
      <c r="K811">
        <f t="shared" si="89"/>
        <v>0.81006474580907772</v>
      </c>
      <c r="L811">
        <f t="shared" si="90"/>
        <v>0.30345701689236976</v>
      </c>
    </row>
    <row r="812" spans="1:12" x14ac:dyDescent="0.25">
      <c r="A812" s="1">
        <v>41375</v>
      </c>
      <c r="B812" s="6">
        <v>79.4114</v>
      </c>
      <c r="C812" s="6">
        <v>8.5914000000000001</v>
      </c>
      <c r="D812" s="6">
        <v>7857.98</v>
      </c>
      <c r="E812" s="6">
        <v>0.94</v>
      </c>
      <c r="F812" s="6">
        <f t="shared" si="84"/>
        <v>1.0444444444444444E-2</v>
      </c>
      <c r="G812">
        <f t="shared" si="85"/>
        <v>3.2553265078444658</v>
      </c>
      <c r="H812">
        <f t="shared" si="86"/>
        <v>1.8191730169828901</v>
      </c>
      <c r="I812">
        <f t="shared" si="87"/>
        <v>1.3566711381694276</v>
      </c>
      <c r="J812">
        <f t="shared" si="88"/>
        <v>2.2831838985939017</v>
      </c>
      <c r="K812">
        <f t="shared" si="89"/>
        <v>3.2448820634000213</v>
      </c>
      <c r="L812">
        <f t="shared" si="90"/>
        <v>1.3462266937249832</v>
      </c>
    </row>
    <row r="813" spans="1:12" x14ac:dyDescent="0.25">
      <c r="A813" s="1">
        <v>41376</v>
      </c>
      <c r="B813" s="6">
        <v>78.629000000000005</v>
      </c>
      <c r="C813" s="6">
        <v>8.4763000000000002</v>
      </c>
      <c r="D813" s="6">
        <v>7821.63</v>
      </c>
      <c r="E813" s="6">
        <v>0.94</v>
      </c>
      <c r="F813" s="6">
        <f t="shared" si="84"/>
        <v>1.0444444444444444E-2</v>
      </c>
      <c r="G813">
        <f t="shared" si="85"/>
        <v>-0.98524896929155703</v>
      </c>
      <c r="H813">
        <f t="shared" si="86"/>
        <v>-1.3397118048280836</v>
      </c>
      <c r="I813">
        <f t="shared" si="87"/>
        <v>-0.46258707708596175</v>
      </c>
      <c r="J813">
        <f t="shared" si="88"/>
        <v>-0.70059593099540685</v>
      </c>
      <c r="K813">
        <f t="shared" si="89"/>
        <v>-0.99569341373600151</v>
      </c>
      <c r="L813">
        <f t="shared" si="90"/>
        <v>-0.47303152153040617</v>
      </c>
    </row>
    <row r="814" spans="1:12" x14ac:dyDescent="0.25">
      <c r="A814" s="1">
        <v>41379</v>
      </c>
      <c r="B814" s="6">
        <v>77.7684</v>
      </c>
      <c r="C814" s="6">
        <v>8.4763000000000002</v>
      </c>
      <c r="D814" s="6">
        <v>7763.53</v>
      </c>
      <c r="E814" s="6">
        <v>0.94</v>
      </c>
      <c r="F814" s="6">
        <f t="shared" si="84"/>
        <v>1.0444444444444444E-2</v>
      </c>
      <c r="G814">
        <f t="shared" si="85"/>
        <v>-1.0945071156952335</v>
      </c>
      <c r="H814">
        <f t="shared" si="86"/>
        <v>0</v>
      </c>
      <c r="I814">
        <f t="shared" si="87"/>
        <v>-0.74281192027749154</v>
      </c>
      <c r="J814">
        <f t="shared" si="88"/>
        <v>-0.77747282075136503</v>
      </c>
      <c r="K814">
        <f t="shared" si="89"/>
        <v>-1.104951560139678</v>
      </c>
      <c r="L814">
        <f t="shared" si="90"/>
        <v>-0.75325636472193602</v>
      </c>
    </row>
    <row r="815" spans="1:12" x14ac:dyDescent="0.25">
      <c r="A815" s="1">
        <v>41380</v>
      </c>
      <c r="B815" s="6">
        <v>78.629000000000005</v>
      </c>
      <c r="C815" s="6">
        <v>8.6296999999999997</v>
      </c>
      <c r="D815" s="6">
        <v>7801.05</v>
      </c>
      <c r="E815" s="6">
        <v>0.94</v>
      </c>
      <c r="F815" s="6">
        <f t="shared" si="84"/>
        <v>1.0444444444444444E-2</v>
      </c>
      <c r="G815">
        <f t="shared" si="85"/>
        <v>1.1066191409364281</v>
      </c>
      <c r="H815">
        <f t="shared" si="86"/>
        <v>1.8097518964642536</v>
      </c>
      <c r="I815">
        <f t="shared" si="87"/>
        <v>0.48328530964651956</v>
      </c>
      <c r="J815">
        <f t="shared" si="88"/>
        <v>0.77129718990591833</v>
      </c>
      <c r="K815">
        <f t="shared" si="89"/>
        <v>1.0961746964919836</v>
      </c>
      <c r="L815">
        <f t="shared" si="90"/>
        <v>0.47284086520207513</v>
      </c>
    </row>
    <row r="816" spans="1:12" x14ac:dyDescent="0.25">
      <c r="A816" s="1">
        <v>41381</v>
      </c>
      <c r="B816" s="6">
        <v>78.237799999999993</v>
      </c>
      <c r="C816" s="6">
        <v>8.5914000000000001</v>
      </c>
      <c r="D816" s="6">
        <v>7809.07</v>
      </c>
      <c r="E816" s="6">
        <v>0.94</v>
      </c>
      <c r="F816" s="6">
        <f t="shared" si="84"/>
        <v>1.0444444444444444E-2</v>
      </c>
      <c r="G816">
        <f t="shared" si="85"/>
        <v>-0.49752635795954669</v>
      </c>
      <c r="H816">
        <f t="shared" si="86"/>
        <v>-0.44381612338782989</v>
      </c>
      <c r="I816">
        <f t="shared" si="87"/>
        <v>0.10280667346061782</v>
      </c>
      <c r="J816">
        <f t="shared" si="88"/>
        <v>-0.35742154394029851</v>
      </c>
      <c r="K816">
        <f t="shared" si="89"/>
        <v>-0.50797080240399117</v>
      </c>
      <c r="L816">
        <f t="shared" si="90"/>
        <v>9.2362229016173386E-2</v>
      </c>
    </row>
    <row r="817" spans="1:12" x14ac:dyDescent="0.25">
      <c r="A817" s="1">
        <v>41382</v>
      </c>
      <c r="B817" s="6">
        <v>78.159599999999998</v>
      </c>
      <c r="C817" s="6">
        <v>8.5146999999999995</v>
      </c>
      <c r="D817" s="6">
        <v>7791.35</v>
      </c>
      <c r="E817" s="6">
        <v>0.94</v>
      </c>
      <c r="F817" s="6">
        <f t="shared" si="84"/>
        <v>1.0444444444444444E-2</v>
      </c>
      <c r="G817">
        <f t="shared" si="85"/>
        <v>-9.9951685758029221E-2</v>
      </c>
      <c r="H817">
        <f t="shared" si="86"/>
        <v>-0.89275321833462129</v>
      </c>
      <c r="I817">
        <f t="shared" si="87"/>
        <v>-0.22691562503600743</v>
      </c>
      <c r="J817">
        <f t="shared" si="88"/>
        <v>-7.7677604923877666E-2</v>
      </c>
      <c r="K817">
        <f t="shared" si="89"/>
        <v>-0.11039613020247366</v>
      </c>
      <c r="L817">
        <f t="shared" si="90"/>
        <v>-0.23736006948045188</v>
      </c>
    </row>
    <row r="818" spans="1:12" x14ac:dyDescent="0.25">
      <c r="A818" s="1">
        <v>41383</v>
      </c>
      <c r="B818" s="6">
        <v>83.323300000000003</v>
      </c>
      <c r="C818" s="6">
        <v>8.7064000000000004</v>
      </c>
      <c r="D818" s="6">
        <v>7930.8</v>
      </c>
      <c r="E818" s="6">
        <v>0.94</v>
      </c>
      <c r="F818" s="6">
        <f t="shared" si="84"/>
        <v>1.0444444444444444E-2</v>
      </c>
      <c r="G818">
        <f t="shared" si="85"/>
        <v>6.6066100645346264</v>
      </c>
      <c r="H818">
        <f t="shared" si="86"/>
        <v>2.251400519102269</v>
      </c>
      <c r="I818">
        <f t="shared" si="87"/>
        <v>1.7898053610734959</v>
      </c>
      <c r="J818">
        <f t="shared" si="88"/>
        <v>4.6412346710894843</v>
      </c>
      <c r="K818">
        <f t="shared" si="89"/>
        <v>6.5961656200901819</v>
      </c>
      <c r="L818">
        <f t="shared" si="90"/>
        <v>1.7793609166290514</v>
      </c>
    </row>
    <row r="819" spans="1:12" x14ac:dyDescent="0.25">
      <c r="A819" s="1">
        <v>41386</v>
      </c>
      <c r="B819" s="6">
        <v>84.888000000000005</v>
      </c>
      <c r="C819" s="6">
        <v>8.5914000000000001</v>
      </c>
      <c r="D819" s="6">
        <v>7970.38</v>
      </c>
      <c r="E819" s="6">
        <v>0.94</v>
      </c>
      <c r="F819" s="6">
        <f t="shared" si="84"/>
        <v>1.0444444444444444E-2</v>
      </c>
      <c r="G819">
        <f t="shared" si="85"/>
        <v>1.8778660950778496</v>
      </c>
      <c r="H819">
        <f t="shared" si="86"/>
        <v>-1.320867407883858</v>
      </c>
      <c r="I819">
        <f t="shared" si="87"/>
        <v>0.49906692893528931</v>
      </c>
      <c r="J819">
        <f t="shared" si="88"/>
        <v>1.3139667209181471</v>
      </c>
      <c r="K819">
        <f t="shared" si="89"/>
        <v>1.8674216506334052</v>
      </c>
      <c r="L819">
        <f t="shared" si="90"/>
        <v>0.48862248449084489</v>
      </c>
    </row>
    <row r="820" spans="1:12" x14ac:dyDescent="0.25">
      <c r="A820" s="1">
        <v>41387</v>
      </c>
      <c r="B820" s="6">
        <v>82.932100000000005</v>
      </c>
      <c r="C820" s="6">
        <v>8.5914000000000001</v>
      </c>
      <c r="D820" s="6">
        <v>7942.77</v>
      </c>
      <c r="E820" s="6">
        <v>0.94</v>
      </c>
      <c r="F820" s="6">
        <f t="shared" si="84"/>
        <v>1.0444444444444444E-2</v>
      </c>
      <c r="G820">
        <f t="shared" si="85"/>
        <v>-2.3040948072754683</v>
      </c>
      <c r="H820">
        <f t="shared" si="86"/>
        <v>0</v>
      </c>
      <c r="I820">
        <f t="shared" si="87"/>
        <v>-0.34640757404288969</v>
      </c>
      <c r="J820">
        <f t="shared" si="88"/>
        <v>-1.6285703606291653</v>
      </c>
      <c r="K820">
        <f t="shared" si="89"/>
        <v>-2.3145392517199128</v>
      </c>
      <c r="L820">
        <f t="shared" si="90"/>
        <v>-0.35685201848733411</v>
      </c>
    </row>
    <row r="821" spans="1:12" x14ac:dyDescent="0.25">
      <c r="A821" s="1">
        <v>41388</v>
      </c>
      <c r="B821" s="6">
        <v>82.932100000000005</v>
      </c>
      <c r="C821" s="6">
        <v>8.7447999999999997</v>
      </c>
      <c r="D821" s="6">
        <v>8023.71</v>
      </c>
      <c r="E821" s="6">
        <v>0.94</v>
      </c>
      <c r="F821" s="6">
        <f t="shared" si="84"/>
        <v>1.0444444444444444E-2</v>
      </c>
      <c r="G821">
        <f t="shared" si="85"/>
        <v>0</v>
      </c>
      <c r="H821">
        <f t="shared" si="86"/>
        <v>1.7855064366692219</v>
      </c>
      <c r="I821">
        <f t="shared" si="87"/>
        <v>1.0190399570930493</v>
      </c>
      <c r="J821">
        <f t="shared" si="88"/>
        <v>-7.3489843141871791E-3</v>
      </c>
      <c r="K821">
        <f t="shared" si="89"/>
        <v>-1.0444444444444444E-2</v>
      </c>
      <c r="L821">
        <f t="shared" si="90"/>
        <v>1.0085955126486048</v>
      </c>
    </row>
    <row r="822" spans="1:12" x14ac:dyDescent="0.25">
      <c r="A822" s="1">
        <v>41389</v>
      </c>
      <c r="B822" s="6">
        <v>83.714399999999998</v>
      </c>
      <c r="C822" s="6">
        <v>8.6681000000000008</v>
      </c>
      <c r="D822" s="6">
        <v>8021.75</v>
      </c>
      <c r="E822" s="6">
        <v>0.94</v>
      </c>
      <c r="F822" s="6">
        <f t="shared" si="84"/>
        <v>1.0444444444444444E-2</v>
      </c>
      <c r="G822">
        <f t="shared" si="85"/>
        <v>0.94330180955262455</v>
      </c>
      <c r="H822">
        <f t="shared" si="86"/>
        <v>-0.8770926722166188</v>
      </c>
      <c r="I822">
        <f t="shared" si="87"/>
        <v>-2.4427602692520495E-2</v>
      </c>
      <c r="J822">
        <f t="shared" si="88"/>
        <v>0.65638284353176579</v>
      </c>
      <c r="K822">
        <f t="shared" si="89"/>
        <v>0.93285736510818007</v>
      </c>
      <c r="L822">
        <f t="shared" si="90"/>
        <v>-3.4872047136964943E-2</v>
      </c>
    </row>
    <row r="823" spans="1:12" x14ac:dyDescent="0.25">
      <c r="A823" s="1">
        <v>41390</v>
      </c>
      <c r="B823" s="6">
        <v>84.888000000000005</v>
      </c>
      <c r="C823" s="6">
        <v>8.5914000000000001</v>
      </c>
      <c r="D823" s="6">
        <v>8022.06</v>
      </c>
      <c r="E823" s="6">
        <v>0.94</v>
      </c>
      <c r="F823" s="6">
        <f t="shared" si="84"/>
        <v>1.0444444444444444E-2</v>
      </c>
      <c r="G823">
        <f t="shared" si="85"/>
        <v>1.4019093489292256</v>
      </c>
      <c r="H823">
        <f t="shared" si="86"/>
        <v>-0.88485365881797218</v>
      </c>
      <c r="I823">
        <f t="shared" si="87"/>
        <v>3.8644934085505056E-3</v>
      </c>
      <c r="J823">
        <f t="shared" si="88"/>
        <v>0.97907110437452727</v>
      </c>
      <c r="K823">
        <f t="shared" si="89"/>
        <v>1.3914649044847811</v>
      </c>
      <c r="L823">
        <f t="shared" si="90"/>
        <v>-6.5799510358939377E-3</v>
      </c>
    </row>
    <row r="824" spans="1:12" x14ac:dyDescent="0.25">
      <c r="A824" s="1">
        <v>41393</v>
      </c>
      <c r="B824" s="6">
        <v>84.496799999999993</v>
      </c>
      <c r="C824" s="6">
        <v>8.5146999999999995</v>
      </c>
      <c r="D824" s="6">
        <v>8029.74</v>
      </c>
      <c r="E824" s="6">
        <v>0.94</v>
      </c>
      <c r="F824" s="6">
        <f t="shared" si="84"/>
        <v>1.0444444444444444E-2</v>
      </c>
      <c r="G824">
        <f t="shared" si="85"/>
        <v>-0.46084252191123831</v>
      </c>
      <c r="H824">
        <f t="shared" si="86"/>
        <v>-0.89275321833462129</v>
      </c>
      <c r="I824">
        <f t="shared" si="87"/>
        <v>9.5736007958047944E-2</v>
      </c>
      <c r="J824">
        <f t="shared" si="88"/>
        <v>-0.33160983733041449</v>
      </c>
      <c r="K824">
        <f t="shared" si="89"/>
        <v>-0.47128696635568273</v>
      </c>
      <c r="L824">
        <f t="shared" si="90"/>
        <v>8.5291563513603508E-2</v>
      </c>
    </row>
    <row r="825" spans="1:12" x14ac:dyDescent="0.25">
      <c r="A825" s="1">
        <v>41394</v>
      </c>
      <c r="B825" s="6">
        <v>85.670400000000001</v>
      </c>
      <c r="C825" s="6">
        <v>8.6296999999999997</v>
      </c>
      <c r="D825" s="6">
        <v>8093.66</v>
      </c>
      <c r="E825" s="6">
        <v>0.94</v>
      </c>
      <c r="F825" s="6">
        <f t="shared" si="84"/>
        <v>1.0444444444444444E-2</v>
      </c>
      <c r="G825">
        <f t="shared" si="85"/>
        <v>1.3889283381145885</v>
      </c>
      <c r="H825">
        <f t="shared" si="86"/>
        <v>1.3506054235616078</v>
      </c>
      <c r="I825">
        <f t="shared" si="87"/>
        <v>0.79604071862849946</v>
      </c>
      <c r="J825">
        <f t="shared" si="88"/>
        <v>0.96993732561142565</v>
      </c>
      <c r="K825">
        <f t="shared" si="89"/>
        <v>1.378483893670144</v>
      </c>
      <c r="L825">
        <f t="shared" si="90"/>
        <v>0.78559627418405498</v>
      </c>
    </row>
    <row r="826" spans="1:12" x14ac:dyDescent="0.25">
      <c r="A826" s="1">
        <v>41396</v>
      </c>
      <c r="B826" s="6">
        <v>86.452799999999996</v>
      </c>
      <c r="C826" s="6">
        <v>8.5914000000000001</v>
      </c>
      <c r="D826" s="6">
        <v>8128.51</v>
      </c>
      <c r="E826" s="6">
        <v>0.94</v>
      </c>
      <c r="F826" s="6">
        <f t="shared" si="84"/>
        <v>1.0444444444444444E-2</v>
      </c>
      <c r="G826">
        <f t="shared" si="85"/>
        <v>0.91326759300761473</v>
      </c>
      <c r="H826">
        <f t="shared" si="86"/>
        <v>-0.44381612338782989</v>
      </c>
      <c r="I826">
        <f t="shared" si="87"/>
        <v>0.43058393853955274</v>
      </c>
      <c r="J826">
        <f t="shared" si="88"/>
        <v>0.63524998314342962</v>
      </c>
      <c r="K826">
        <f t="shared" si="89"/>
        <v>0.90282314856317025</v>
      </c>
      <c r="L826">
        <f t="shared" si="90"/>
        <v>0.42013949409510831</v>
      </c>
    </row>
    <row r="827" spans="1:12" x14ac:dyDescent="0.25">
      <c r="A827" s="1">
        <v>41397</v>
      </c>
      <c r="B827" s="6">
        <v>86.061599999999999</v>
      </c>
      <c r="C827" s="6">
        <v>8.7447999999999997</v>
      </c>
      <c r="D827" s="6">
        <v>8135.03</v>
      </c>
      <c r="E827" s="6">
        <v>0.94</v>
      </c>
      <c r="F827" s="6">
        <f t="shared" si="84"/>
        <v>1.0444444444444444E-2</v>
      </c>
      <c r="G827">
        <f t="shared" si="85"/>
        <v>-0.45250124923657509</v>
      </c>
      <c r="H827">
        <f t="shared" si="86"/>
        <v>1.7855064366692219</v>
      </c>
      <c r="I827">
        <f t="shared" si="87"/>
        <v>8.0211502477077923E-2</v>
      </c>
      <c r="J827">
        <f t="shared" si="88"/>
        <v>-0.3257406996876685</v>
      </c>
      <c r="K827">
        <f t="shared" si="89"/>
        <v>-0.46294569368101951</v>
      </c>
      <c r="L827">
        <f t="shared" si="90"/>
        <v>6.9767058032633472E-2</v>
      </c>
    </row>
    <row r="828" spans="1:12" x14ac:dyDescent="0.25">
      <c r="A828" s="1">
        <v>41400</v>
      </c>
      <c r="B828" s="6">
        <v>87.235100000000003</v>
      </c>
      <c r="C828" s="6">
        <v>9.0516000000000005</v>
      </c>
      <c r="D828" s="6">
        <v>8169.05</v>
      </c>
      <c r="E828" s="6">
        <v>0.94</v>
      </c>
      <c r="F828" s="6">
        <f t="shared" si="84"/>
        <v>1.0444444444444444E-2</v>
      </c>
      <c r="G828">
        <f t="shared" si="85"/>
        <v>1.3635581955250706</v>
      </c>
      <c r="H828">
        <f t="shared" si="86"/>
        <v>3.508370688866536</v>
      </c>
      <c r="I828">
        <f t="shared" si="87"/>
        <v>0.41819145104566841</v>
      </c>
      <c r="J828">
        <f t="shared" si="88"/>
        <v>0.9520862296598136</v>
      </c>
      <c r="K828">
        <f t="shared" si="89"/>
        <v>1.3531137510806261</v>
      </c>
      <c r="L828">
        <f t="shared" si="90"/>
        <v>0.40774700660122398</v>
      </c>
    </row>
    <row r="829" spans="1:12" x14ac:dyDescent="0.25">
      <c r="A829" s="1">
        <v>41401</v>
      </c>
      <c r="B829" s="6">
        <v>88.017499999999998</v>
      </c>
      <c r="C829" s="6">
        <v>8.8981999999999992</v>
      </c>
      <c r="D829" s="6">
        <v>8163.06</v>
      </c>
      <c r="E829" s="6">
        <v>0.94</v>
      </c>
      <c r="F829" s="6">
        <f t="shared" si="84"/>
        <v>1.0444444444444444E-2</v>
      </c>
      <c r="G829">
        <f t="shared" si="85"/>
        <v>0.89688668895891166</v>
      </c>
      <c r="H829">
        <f t="shared" si="86"/>
        <v>-1.6947280038888297</v>
      </c>
      <c r="I829">
        <f t="shared" si="87"/>
        <v>-7.3325539689434893E-2</v>
      </c>
      <c r="J829">
        <f t="shared" si="88"/>
        <v>0.62372395056731134</v>
      </c>
      <c r="K829">
        <f t="shared" si="89"/>
        <v>0.88644224451446718</v>
      </c>
      <c r="L829">
        <f t="shared" si="90"/>
        <v>-8.3769984133879344E-2</v>
      </c>
    </row>
    <row r="830" spans="1:12" x14ac:dyDescent="0.25">
      <c r="A830" s="1">
        <v>41402</v>
      </c>
      <c r="B830" s="6">
        <v>89.582300000000004</v>
      </c>
      <c r="C830" s="6">
        <v>9.2817000000000007</v>
      </c>
      <c r="D830" s="6">
        <v>8267.09</v>
      </c>
      <c r="E830" s="6">
        <v>0.94</v>
      </c>
      <c r="F830" s="6">
        <f t="shared" si="84"/>
        <v>1.0444444444444444E-2</v>
      </c>
      <c r="G830">
        <f t="shared" si="85"/>
        <v>1.7778282727866679</v>
      </c>
      <c r="H830">
        <f t="shared" si="86"/>
        <v>4.3098604212088008</v>
      </c>
      <c r="I830">
        <f t="shared" si="87"/>
        <v>1.2743995511487083</v>
      </c>
      <c r="J830">
        <f t="shared" si="88"/>
        <v>1.2435774923905933</v>
      </c>
      <c r="K830">
        <f t="shared" si="89"/>
        <v>1.7673838283422234</v>
      </c>
      <c r="L830">
        <f t="shared" si="90"/>
        <v>1.2639551067042638</v>
      </c>
    </row>
    <row r="831" spans="1:12" x14ac:dyDescent="0.25">
      <c r="A831" s="1">
        <v>41403</v>
      </c>
      <c r="B831" s="6">
        <v>89.973500000000001</v>
      </c>
      <c r="C831" s="6">
        <v>9.1282999999999994</v>
      </c>
      <c r="D831" s="6">
        <v>8285.89</v>
      </c>
      <c r="E831" s="6">
        <v>0.94</v>
      </c>
      <c r="F831" s="6">
        <f t="shared" si="84"/>
        <v>1.0444444444444444E-2</v>
      </c>
      <c r="G831">
        <f t="shared" si="85"/>
        <v>0.4366934093007187</v>
      </c>
      <c r="H831">
        <f t="shared" si="86"/>
        <v>-1.652714481183418</v>
      </c>
      <c r="I831">
        <f t="shared" si="87"/>
        <v>0.22740770936326171</v>
      </c>
      <c r="J831">
        <f t="shared" si="88"/>
        <v>0.29991992138303764</v>
      </c>
      <c r="K831">
        <f t="shared" si="89"/>
        <v>0.42624896485627428</v>
      </c>
      <c r="L831">
        <f t="shared" si="90"/>
        <v>0.21696326491881726</v>
      </c>
    </row>
    <row r="832" spans="1:12" x14ac:dyDescent="0.25">
      <c r="A832" s="1">
        <v>41404</v>
      </c>
      <c r="B832" s="6">
        <v>89.582300000000004</v>
      </c>
      <c r="C832" s="6">
        <v>9.6653000000000002</v>
      </c>
      <c r="D832" s="6">
        <v>8280.26</v>
      </c>
      <c r="E832" s="6">
        <v>0.94</v>
      </c>
      <c r="F832" s="6">
        <f t="shared" si="84"/>
        <v>1.0444444444444444E-2</v>
      </c>
      <c r="G832">
        <f t="shared" si="85"/>
        <v>-0.43479468954747541</v>
      </c>
      <c r="H832">
        <f t="shared" si="86"/>
        <v>5.8828040270368067</v>
      </c>
      <c r="I832">
        <f t="shared" si="87"/>
        <v>-6.794683492056014E-2</v>
      </c>
      <c r="J832">
        <f t="shared" si="88"/>
        <v>-0.31328190112680987</v>
      </c>
      <c r="K832">
        <f t="shared" si="89"/>
        <v>-0.44523913399191983</v>
      </c>
      <c r="L832">
        <f t="shared" si="90"/>
        <v>-7.839127936500459E-2</v>
      </c>
    </row>
    <row r="833" spans="1:12" x14ac:dyDescent="0.25">
      <c r="A833" s="1">
        <v>41407</v>
      </c>
      <c r="B833" s="6">
        <v>89.582300000000004</v>
      </c>
      <c r="C833" s="6">
        <v>10.0105</v>
      </c>
      <c r="D833" s="6">
        <v>8248.32</v>
      </c>
      <c r="E833" s="6">
        <v>0.94</v>
      </c>
      <c r="F833" s="6">
        <f t="shared" si="84"/>
        <v>1.0444444444444444E-2</v>
      </c>
      <c r="G833">
        <f t="shared" si="85"/>
        <v>0</v>
      </c>
      <c r="H833">
        <f t="shared" si="86"/>
        <v>3.571539424539333</v>
      </c>
      <c r="I833">
        <f t="shared" si="87"/>
        <v>-0.38573667976610043</v>
      </c>
      <c r="J833">
        <f t="shared" si="88"/>
        <v>-7.3489843141871791E-3</v>
      </c>
      <c r="K833">
        <f t="shared" si="89"/>
        <v>-1.0444444444444444E-2</v>
      </c>
      <c r="L833">
        <f t="shared" si="90"/>
        <v>-0.39618112421054485</v>
      </c>
    </row>
    <row r="834" spans="1:12" x14ac:dyDescent="0.25">
      <c r="A834" s="1">
        <v>41408</v>
      </c>
      <c r="B834" s="6">
        <v>90.364699999999999</v>
      </c>
      <c r="C834" s="6">
        <v>9.9337999999999997</v>
      </c>
      <c r="D834" s="6">
        <v>8251.82</v>
      </c>
      <c r="E834" s="6">
        <v>0.94</v>
      </c>
      <c r="F834" s="6">
        <f t="shared" si="84"/>
        <v>1.0444444444444444E-2</v>
      </c>
      <c r="G834">
        <f t="shared" si="85"/>
        <v>0.87338681860143741</v>
      </c>
      <c r="H834">
        <f t="shared" si="86"/>
        <v>-0.76619549473053949</v>
      </c>
      <c r="I834">
        <f t="shared" si="87"/>
        <v>4.2432883302296713E-2</v>
      </c>
      <c r="J834">
        <f t="shared" si="88"/>
        <v>0.60718882708026245</v>
      </c>
      <c r="K834">
        <f t="shared" si="89"/>
        <v>0.86294237415699293</v>
      </c>
      <c r="L834">
        <f t="shared" si="90"/>
        <v>3.1988438857852269E-2</v>
      </c>
    </row>
    <row r="835" spans="1:12" x14ac:dyDescent="0.25">
      <c r="A835" s="1">
        <v>41409</v>
      </c>
      <c r="B835" s="6">
        <v>89.973500000000001</v>
      </c>
      <c r="C835" s="6">
        <v>9.9720999999999993</v>
      </c>
      <c r="D835" s="6">
        <v>8318.59</v>
      </c>
      <c r="E835" s="6">
        <v>0.94</v>
      </c>
      <c r="F835" s="6">
        <f t="shared" ref="F835:F898" si="91">E835/90</f>
        <v>1.0444444444444444E-2</v>
      </c>
      <c r="G835">
        <f t="shared" si="85"/>
        <v>-0.43291240938109438</v>
      </c>
      <c r="H835">
        <f t="shared" si="86"/>
        <v>0.38555235660069215</v>
      </c>
      <c r="I835">
        <f t="shared" si="87"/>
        <v>0.80915482887412038</v>
      </c>
      <c r="J835">
        <f t="shared" si="88"/>
        <v>-0.31195747956554642</v>
      </c>
      <c r="K835">
        <f t="shared" si="89"/>
        <v>-0.4433568538255388</v>
      </c>
      <c r="L835">
        <f t="shared" si="90"/>
        <v>0.7987103844296759</v>
      </c>
    </row>
    <row r="836" spans="1:12" x14ac:dyDescent="0.25">
      <c r="A836" s="1">
        <v>41410</v>
      </c>
      <c r="B836" s="6">
        <v>88.799899999999994</v>
      </c>
      <c r="C836" s="6">
        <v>10.240600000000001</v>
      </c>
      <c r="D836" s="6">
        <v>8390.0499999999993</v>
      </c>
      <c r="E836" s="6">
        <v>0.94</v>
      </c>
      <c r="F836" s="6">
        <f t="shared" si="91"/>
        <v>1.0444444444444444E-2</v>
      </c>
      <c r="G836">
        <f t="shared" ref="G836:G899" si="92">100*(B836-B835)/B835</f>
        <v>-1.3043840686424419</v>
      </c>
      <c r="H836">
        <f t="shared" ref="H836:H899" si="93">100*(C836-C835)/C835</f>
        <v>2.6925121087835193</v>
      </c>
      <c r="I836">
        <f t="shared" ref="I836:I899" si="94">100*(D836-D835)/D835</f>
        <v>0.85903981323756939</v>
      </c>
      <c r="J836">
        <f t="shared" ref="J836:J899" si="95">(G836-F836)/$N$3</f>
        <v>-0.92514773475206624</v>
      </c>
      <c r="K836">
        <f t="shared" ref="K836:K899" si="96">G836-F836</f>
        <v>-1.3148285130868864</v>
      </c>
      <c r="L836">
        <f t="shared" ref="L836:L899" si="97">I836-F836</f>
        <v>0.84859536879312492</v>
      </c>
    </row>
    <row r="837" spans="1:12" x14ac:dyDescent="0.25">
      <c r="A837" s="1">
        <v>41411</v>
      </c>
      <c r="B837" s="6">
        <v>88.799899999999994</v>
      </c>
      <c r="C837" s="6">
        <v>10.087199999999999</v>
      </c>
      <c r="D837" s="6">
        <v>8368.19</v>
      </c>
      <c r="E837" s="6">
        <v>0.94</v>
      </c>
      <c r="F837" s="6">
        <f t="shared" si="91"/>
        <v>1.0444444444444444E-2</v>
      </c>
      <c r="G837">
        <f t="shared" si="92"/>
        <v>0</v>
      </c>
      <c r="H837">
        <f t="shared" si="93"/>
        <v>-1.4979591039587652</v>
      </c>
      <c r="I837">
        <f t="shared" si="94"/>
        <v>-0.26054671903026522</v>
      </c>
      <c r="J837">
        <f t="shared" si="95"/>
        <v>-7.3489843141871791E-3</v>
      </c>
      <c r="K837">
        <f t="shared" si="96"/>
        <v>-1.0444444444444444E-2</v>
      </c>
      <c r="L837">
        <f t="shared" si="97"/>
        <v>-0.27099116347470964</v>
      </c>
    </row>
    <row r="838" spans="1:12" x14ac:dyDescent="0.25">
      <c r="A838" s="1">
        <v>41414</v>
      </c>
      <c r="B838" s="6">
        <v>89.191100000000006</v>
      </c>
      <c r="C838" s="6">
        <v>10.317299999999999</v>
      </c>
      <c r="D838" s="6">
        <v>8377.0499999999993</v>
      </c>
      <c r="E838" s="6">
        <v>0.94</v>
      </c>
      <c r="F838" s="6">
        <f t="shared" si="91"/>
        <v>1.0444444444444444E-2</v>
      </c>
      <c r="G838">
        <f t="shared" si="92"/>
        <v>0.44054103664532507</v>
      </c>
      <c r="H838">
        <f t="shared" si="93"/>
        <v>2.2811087318581986</v>
      </c>
      <c r="I838">
        <f t="shared" si="94"/>
        <v>0.10587713711087778</v>
      </c>
      <c r="J838">
        <f t="shared" si="95"/>
        <v>0.30262721262794351</v>
      </c>
      <c r="K838">
        <f t="shared" si="96"/>
        <v>0.43009659220088065</v>
      </c>
      <c r="L838">
        <f t="shared" si="97"/>
        <v>9.5432692666433339E-2</v>
      </c>
    </row>
    <row r="839" spans="1:12" x14ac:dyDescent="0.25">
      <c r="A839" s="1">
        <v>41415</v>
      </c>
      <c r="B839" s="6">
        <v>88.017499999999998</v>
      </c>
      <c r="C839" s="6">
        <v>10.815899999999999</v>
      </c>
      <c r="D839" s="6">
        <v>8383.0499999999993</v>
      </c>
      <c r="E839" s="6">
        <v>0.94</v>
      </c>
      <c r="F839" s="6">
        <f t="shared" si="91"/>
        <v>1.0444444444444444E-2</v>
      </c>
      <c r="G839">
        <f t="shared" si="92"/>
        <v>-1.3158263548717388</v>
      </c>
      <c r="H839">
        <f t="shared" si="93"/>
        <v>4.8326597074816062</v>
      </c>
      <c r="I839">
        <f t="shared" si="94"/>
        <v>7.1624259136569557E-2</v>
      </c>
      <c r="J839">
        <f t="shared" si="95"/>
        <v>-0.93319882664736298</v>
      </c>
      <c r="K839">
        <f t="shared" si="96"/>
        <v>-1.3262707993161833</v>
      </c>
      <c r="L839">
        <f t="shared" si="97"/>
        <v>6.1179814692125113E-2</v>
      </c>
    </row>
    <row r="840" spans="1:12" x14ac:dyDescent="0.25">
      <c r="A840" s="1">
        <v>41416</v>
      </c>
      <c r="B840" s="6">
        <v>87.626300000000001</v>
      </c>
      <c r="C840" s="6">
        <v>10.6625</v>
      </c>
      <c r="D840" s="6">
        <v>8398.84</v>
      </c>
      <c r="E840" s="6">
        <v>0.94</v>
      </c>
      <c r="F840" s="6">
        <f t="shared" si="91"/>
        <v>1.0444444444444444E-2</v>
      </c>
      <c r="G840">
        <f t="shared" si="92"/>
        <v>-0.44445706819666292</v>
      </c>
      <c r="H840">
        <f t="shared" si="93"/>
        <v>-1.4182823435867524</v>
      </c>
      <c r="I840">
        <f t="shared" si="94"/>
        <v>0.18835626651398804</v>
      </c>
      <c r="J840">
        <f t="shared" si="95"/>
        <v>-0.32008060349037948</v>
      </c>
      <c r="K840">
        <f t="shared" si="96"/>
        <v>-0.45490151264110734</v>
      </c>
      <c r="L840">
        <f t="shared" si="97"/>
        <v>0.17791182206954359</v>
      </c>
    </row>
    <row r="841" spans="1:12" x14ac:dyDescent="0.25">
      <c r="A841" s="1">
        <v>41417</v>
      </c>
      <c r="B841" s="6">
        <v>84.496799999999993</v>
      </c>
      <c r="C841" s="6">
        <v>10.279</v>
      </c>
      <c r="D841" s="6">
        <v>8237.83</v>
      </c>
      <c r="E841" s="6">
        <v>0.94</v>
      </c>
      <c r="F841" s="6">
        <f t="shared" si="91"/>
        <v>1.0444444444444444E-2</v>
      </c>
      <c r="G841">
        <f t="shared" si="92"/>
        <v>-3.5714163441797808</v>
      </c>
      <c r="H841">
        <f t="shared" si="93"/>
        <v>-3.5967174677608416</v>
      </c>
      <c r="I841">
        <f t="shared" si="94"/>
        <v>-1.9170504498240259</v>
      </c>
      <c r="J841">
        <f t="shared" si="95"/>
        <v>-2.5202909442639787</v>
      </c>
      <c r="K841">
        <f t="shared" si="96"/>
        <v>-3.5818607886242253</v>
      </c>
      <c r="L841">
        <f t="shared" si="97"/>
        <v>-1.9274948942684704</v>
      </c>
    </row>
    <row r="842" spans="1:12" x14ac:dyDescent="0.25">
      <c r="A842" s="1">
        <v>41418</v>
      </c>
      <c r="B842" s="6">
        <v>85.670400000000001</v>
      </c>
      <c r="C842" s="6">
        <v>10.1639</v>
      </c>
      <c r="D842" s="6">
        <v>8209.7800000000007</v>
      </c>
      <c r="E842" s="6">
        <v>0.94</v>
      </c>
      <c r="F842" s="6">
        <f t="shared" si="91"/>
        <v>1.0444444444444444E-2</v>
      </c>
      <c r="G842">
        <f t="shared" si="92"/>
        <v>1.3889283381145885</v>
      </c>
      <c r="H842">
        <f t="shared" si="93"/>
        <v>-1.1197587313941042</v>
      </c>
      <c r="I842">
        <f t="shared" si="94"/>
        <v>-0.3405022924726448</v>
      </c>
      <c r="J842">
        <f t="shared" si="95"/>
        <v>0.96993732561142565</v>
      </c>
      <c r="K842">
        <f t="shared" si="96"/>
        <v>1.378483893670144</v>
      </c>
      <c r="L842">
        <f t="shared" si="97"/>
        <v>-0.35094673691708922</v>
      </c>
    </row>
    <row r="843" spans="1:12" x14ac:dyDescent="0.25">
      <c r="A843" s="1">
        <v>41421</v>
      </c>
      <c r="B843" s="6">
        <v>87.626300000000001</v>
      </c>
      <c r="C843" s="6">
        <v>10.6241</v>
      </c>
      <c r="D843" s="6">
        <v>8280.1</v>
      </c>
      <c r="E843" s="6">
        <v>0.94</v>
      </c>
      <c r="F843" s="6">
        <f t="shared" si="91"/>
        <v>1.0444444444444444E-2</v>
      </c>
      <c r="G843">
        <f t="shared" si="92"/>
        <v>2.2830522560884505</v>
      </c>
      <c r="H843">
        <f t="shared" si="93"/>
        <v>4.5277895296097013</v>
      </c>
      <c r="I843">
        <f t="shared" si="94"/>
        <v>0.85653939569634874</v>
      </c>
      <c r="J843">
        <f t="shared" si="95"/>
        <v>1.5990663025599945</v>
      </c>
      <c r="K843">
        <f t="shared" si="96"/>
        <v>2.272607811644006</v>
      </c>
      <c r="L843">
        <f t="shared" si="97"/>
        <v>0.84609495125190426</v>
      </c>
    </row>
    <row r="844" spans="1:12" x14ac:dyDescent="0.25">
      <c r="A844" s="1">
        <v>41422</v>
      </c>
      <c r="B844" s="6">
        <v>85.670400000000001</v>
      </c>
      <c r="C844" s="6">
        <v>10.432399999999999</v>
      </c>
      <c r="D844" s="6">
        <v>8263.0499999999993</v>
      </c>
      <c r="E844" s="6">
        <v>0.94</v>
      </c>
      <c r="F844" s="6">
        <f t="shared" si="91"/>
        <v>1.0444444444444444E-2</v>
      </c>
      <c r="G844">
        <f t="shared" si="92"/>
        <v>-2.2320924197415613</v>
      </c>
      <c r="H844">
        <f t="shared" si="93"/>
        <v>-1.8043881364068568</v>
      </c>
      <c r="I844">
        <f t="shared" si="94"/>
        <v>-0.20591538749533328</v>
      </c>
      <c r="J844">
        <f t="shared" si="95"/>
        <v>-1.5779075973404804</v>
      </c>
      <c r="K844">
        <f t="shared" si="96"/>
        <v>-2.2425368641860057</v>
      </c>
      <c r="L844">
        <f t="shared" si="97"/>
        <v>-0.21635983193977773</v>
      </c>
    </row>
    <row r="845" spans="1:12" x14ac:dyDescent="0.25">
      <c r="A845" s="1">
        <v>41423</v>
      </c>
      <c r="B845" s="6">
        <v>86.843999999999994</v>
      </c>
      <c r="C845" s="6">
        <v>10.470700000000001</v>
      </c>
      <c r="D845" s="6">
        <v>8337.9</v>
      </c>
      <c r="E845" s="6">
        <v>0.94</v>
      </c>
      <c r="F845" s="6">
        <f t="shared" si="91"/>
        <v>1.0444444444444444E-2</v>
      </c>
      <c r="G845">
        <f t="shared" si="92"/>
        <v>1.369901389511422</v>
      </c>
      <c r="H845">
        <f t="shared" si="93"/>
        <v>0.36712549365439723</v>
      </c>
      <c r="I845">
        <f t="shared" si="94"/>
        <v>0.90583985332293004</v>
      </c>
      <c r="J845">
        <f t="shared" si="95"/>
        <v>0.95654946687223796</v>
      </c>
      <c r="K845">
        <f t="shared" si="96"/>
        <v>1.3594569450669776</v>
      </c>
      <c r="L845">
        <f t="shared" si="97"/>
        <v>0.89539540887848557</v>
      </c>
    </row>
    <row r="846" spans="1:12" x14ac:dyDescent="0.25">
      <c r="A846" s="1">
        <v>41424</v>
      </c>
      <c r="B846" s="6">
        <v>86.061599999999999</v>
      </c>
      <c r="C846" s="6">
        <v>10.355700000000001</v>
      </c>
      <c r="D846" s="6">
        <v>8243.2900000000009</v>
      </c>
      <c r="E846" s="6">
        <v>0.94</v>
      </c>
      <c r="F846" s="6">
        <f t="shared" si="91"/>
        <v>1.0444444444444444E-2</v>
      </c>
      <c r="G846">
        <f t="shared" si="92"/>
        <v>-0.90092579798258443</v>
      </c>
      <c r="H846">
        <f t="shared" si="93"/>
        <v>-1.098302883283832</v>
      </c>
      <c r="I846">
        <f t="shared" si="94"/>
        <v>-1.1346981853943892</v>
      </c>
      <c r="J846">
        <f t="shared" si="95"/>
        <v>-0.64126394195871095</v>
      </c>
      <c r="K846">
        <f t="shared" si="96"/>
        <v>-0.91137024242702891</v>
      </c>
      <c r="L846">
        <f t="shared" si="97"/>
        <v>-1.1451426298388336</v>
      </c>
    </row>
    <row r="847" spans="1:12" x14ac:dyDescent="0.25">
      <c r="A847" s="1">
        <v>41425</v>
      </c>
      <c r="B847" s="6">
        <v>85.670400000000001</v>
      </c>
      <c r="C847" s="6">
        <v>10.125500000000001</v>
      </c>
      <c r="D847" s="6">
        <v>8254.7999999999993</v>
      </c>
      <c r="E847" s="6">
        <v>0.94</v>
      </c>
      <c r="F847" s="6">
        <f t="shared" si="91"/>
        <v>1.0444444444444444E-2</v>
      </c>
      <c r="G847">
        <f t="shared" si="92"/>
        <v>-0.45455813045539217</v>
      </c>
      <c r="H847">
        <f t="shared" si="93"/>
        <v>-2.2229303668511058</v>
      </c>
      <c r="I847">
        <f t="shared" si="94"/>
        <v>0.13962871620431161</v>
      </c>
      <c r="J847">
        <f t="shared" si="95"/>
        <v>-0.32718797511659503</v>
      </c>
      <c r="K847">
        <f t="shared" si="96"/>
        <v>-0.4650025748998366</v>
      </c>
      <c r="L847">
        <f t="shared" si="97"/>
        <v>0.12918427175986716</v>
      </c>
    </row>
    <row r="848" spans="1:12" x14ac:dyDescent="0.25">
      <c r="A848" s="1">
        <v>41428</v>
      </c>
      <c r="B848" s="6">
        <v>84.105599999999995</v>
      </c>
      <c r="C848" s="6">
        <v>10.279</v>
      </c>
      <c r="D848" s="6">
        <v>8201.02</v>
      </c>
      <c r="E848" s="6">
        <v>0.94</v>
      </c>
      <c r="F848" s="6">
        <f t="shared" si="91"/>
        <v>1.0444444444444444E-2</v>
      </c>
      <c r="G848">
        <f t="shared" si="92"/>
        <v>-1.8265351860152459</v>
      </c>
      <c r="H848">
        <f t="shared" si="93"/>
        <v>1.5159745197767942</v>
      </c>
      <c r="I848">
        <f t="shared" si="94"/>
        <v>-0.65149973348838064</v>
      </c>
      <c r="J848">
        <f t="shared" si="95"/>
        <v>-1.2925469192294323</v>
      </c>
      <c r="K848">
        <f t="shared" si="96"/>
        <v>-1.8369796304596904</v>
      </c>
      <c r="L848">
        <f t="shared" si="97"/>
        <v>-0.66194417793282512</v>
      </c>
    </row>
    <row r="849" spans="1:12" x14ac:dyDescent="0.25">
      <c r="A849" s="1">
        <v>41429</v>
      </c>
      <c r="B849" s="6">
        <v>85.279200000000003</v>
      </c>
      <c r="C849" s="6">
        <v>10.6625</v>
      </c>
      <c r="D849" s="6">
        <v>8191.22</v>
      </c>
      <c r="E849" s="6">
        <v>0.94</v>
      </c>
      <c r="F849" s="6">
        <f t="shared" si="91"/>
        <v>1.0444444444444444E-2</v>
      </c>
      <c r="G849">
        <f t="shared" si="92"/>
        <v>1.395388654263221</v>
      </c>
      <c r="H849">
        <f t="shared" si="93"/>
        <v>3.7309076758439512</v>
      </c>
      <c r="I849">
        <f t="shared" si="94"/>
        <v>-0.11949733081982707</v>
      </c>
      <c r="J849">
        <f t="shared" si="95"/>
        <v>0.97448297304088216</v>
      </c>
      <c r="K849">
        <f t="shared" si="96"/>
        <v>1.3849442098187765</v>
      </c>
      <c r="L849">
        <f t="shared" si="97"/>
        <v>-0.1299417752642715</v>
      </c>
    </row>
    <row r="850" spans="1:12" x14ac:dyDescent="0.25">
      <c r="A850" s="1">
        <v>41430</v>
      </c>
      <c r="B850" s="6">
        <v>85.670400000000001</v>
      </c>
      <c r="C850" s="6">
        <v>10.5091</v>
      </c>
      <c r="D850" s="6">
        <v>8181.91</v>
      </c>
      <c r="E850" s="6">
        <v>0.94</v>
      </c>
      <c r="F850" s="6">
        <f t="shared" si="91"/>
        <v>1.0444444444444444E-2</v>
      </c>
      <c r="G850">
        <f t="shared" si="92"/>
        <v>0.45872850589592512</v>
      </c>
      <c r="H850">
        <f t="shared" si="93"/>
        <v>-1.4386869871043333</v>
      </c>
      <c r="I850">
        <f t="shared" si="94"/>
        <v>-0.11365828289315144</v>
      </c>
      <c r="J850">
        <f t="shared" si="95"/>
        <v>0.31542439173578168</v>
      </c>
      <c r="K850">
        <f t="shared" si="96"/>
        <v>0.4482840614514807</v>
      </c>
      <c r="L850">
        <f t="shared" si="97"/>
        <v>-0.12410272733759589</v>
      </c>
    </row>
    <row r="851" spans="1:12" x14ac:dyDescent="0.25">
      <c r="A851" s="1">
        <v>41431</v>
      </c>
      <c r="B851" s="6">
        <v>84.105599999999995</v>
      </c>
      <c r="C851" s="6">
        <v>10.317299999999999</v>
      </c>
      <c r="D851" s="6">
        <v>8096.14</v>
      </c>
      <c r="E851" s="6">
        <v>0.94</v>
      </c>
      <c r="F851" s="6">
        <f t="shared" si="91"/>
        <v>1.0444444444444444E-2</v>
      </c>
      <c r="G851">
        <f t="shared" si="92"/>
        <v>-1.8265351860152459</v>
      </c>
      <c r="H851">
        <f t="shared" si="93"/>
        <v>-1.8250849263971285</v>
      </c>
      <c r="I851">
        <f t="shared" si="94"/>
        <v>-1.0482882358764583</v>
      </c>
      <c r="J851">
        <f t="shared" si="95"/>
        <v>-1.2925469192294323</v>
      </c>
      <c r="K851">
        <f t="shared" si="96"/>
        <v>-1.8369796304596904</v>
      </c>
      <c r="L851">
        <f t="shared" si="97"/>
        <v>-1.0587326803209027</v>
      </c>
    </row>
    <row r="852" spans="1:12" x14ac:dyDescent="0.25">
      <c r="A852" s="1">
        <v>41432</v>
      </c>
      <c r="B852" s="6">
        <v>84.888000000000005</v>
      </c>
      <c r="C852" s="6">
        <v>10.202199999999999</v>
      </c>
      <c r="D852" s="6">
        <v>8095.2</v>
      </c>
      <c r="E852" s="6">
        <v>0.94</v>
      </c>
      <c r="F852" s="6">
        <f t="shared" si="91"/>
        <v>1.0444444444444444E-2</v>
      </c>
      <c r="G852">
        <f t="shared" si="92"/>
        <v>0.93025910284215296</v>
      </c>
      <c r="H852">
        <f t="shared" si="93"/>
        <v>-1.1156019501226095</v>
      </c>
      <c r="I852">
        <f t="shared" si="94"/>
        <v>-1.1610471162807329E-2</v>
      </c>
      <c r="J852">
        <f t="shared" si="95"/>
        <v>0.64720565392252971</v>
      </c>
      <c r="K852">
        <f t="shared" si="96"/>
        <v>0.91981465839770848</v>
      </c>
      <c r="L852">
        <f t="shared" si="97"/>
        <v>-2.2054915607251771E-2</v>
      </c>
    </row>
    <row r="853" spans="1:12" x14ac:dyDescent="0.25">
      <c r="A853" s="1">
        <v>41435</v>
      </c>
      <c r="B853" s="6">
        <v>84.888000000000005</v>
      </c>
      <c r="C853" s="6">
        <v>10.470700000000001</v>
      </c>
      <c r="D853" s="6">
        <v>8160.55</v>
      </c>
      <c r="E853" s="6">
        <v>0.94</v>
      </c>
      <c r="F853" s="6">
        <f t="shared" si="91"/>
        <v>1.0444444444444444E-2</v>
      </c>
      <c r="G853">
        <f t="shared" si="92"/>
        <v>0</v>
      </c>
      <c r="H853">
        <f t="shared" si="93"/>
        <v>2.6317853012095558</v>
      </c>
      <c r="I853">
        <f t="shared" si="94"/>
        <v>0.80726850479296819</v>
      </c>
      <c r="J853">
        <f t="shared" si="95"/>
        <v>-7.3489843141871791E-3</v>
      </c>
      <c r="K853">
        <f t="shared" si="96"/>
        <v>-1.0444444444444444E-2</v>
      </c>
      <c r="L853">
        <f t="shared" si="97"/>
        <v>0.79682406034852371</v>
      </c>
    </row>
    <row r="854" spans="1:12" x14ac:dyDescent="0.25">
      <c r="A854" s="1">
        <v>41436</v>
      </c>
      <c r="B854" s="6">
        <v>84.496799999999993</v>
      </c>
      <c r="C854" s="6">
        <v>10.355700000000001</v>
      </c>
      <c r="D854" s="6">
        <v>8116.15</v>
      </c>
      <c r="E854" s="6">
        <v>0.94</v>
      </c>
      <c r="F854" s="6">
        <f t="shared" si="91"/>
        <v>1.0444444444444444E-2</v>
      </c>
      <c r="G854">
        <f t="shared" si="92"/>
        <v>-0.46084252191123831</v>
      </c>
      <c r="H854">
        <f t="shared" si="93"/>
        <v>-1.098302883283832</v>
      </c>
      <c r="I854">
        <f t="shared" si="94"/>
        <v>-0.54408097493429419</v>
      </c>
      <c r="J854">
        <f t="shared" si="95"/>
        <v>-0.33160983733041449</v>
      </c>
      <c r="K854">
        <f t="shared" si="96"/>
        <v>-0.47128696635568273</v>
      </c>
      <c r="L854">
        <f t="shared" si="97"/>
        <v>-0.55452541937873867</v>
      </c>
    </row>
    <row r="855" spans="1:12" x14ac:dyDescent="0.25">
      <c r="A855" s="1">
        <v>41438</v>
      </c>
      <c r="B855" s="6">
        <v>81.758499999999998</v>
      </c>
      <c r="C855" s="6">
        <v>10.0488</v>
      </c>
      <c r="D855" s="6">
        <v>7951.66</v>
      </c>
      <c r="E855" s="6">
        <v>0.94</v>
      </c>
      <c r="F855" s="6">
        <f t="shared" si="91"/>
        <v>1.0444444444444444E-2</v>
      </c>
      <c r="G855">
        <f t="shared" si="92"/>
        <v>-3.2407144412569417</v>
      </c>
      <c r="H855">
        <f t="shared" si="93"/>
        <v>-2.9635852718792606</v>
      </c>
      <c r="I855">
        <f t="shared" si="94"/>
        <v>-2.0266998515305876</v>
      </c>
      <c r="J855">
        <f t="shared" si="95"/>
        <v>-2.2876004349526364</v>
      </c>
      <c r="K855">
        <f t="shared" si="96"/>
        <v>-3.2511588857013862</v>
      </c>
      <c r="L855">
        <f t="shared" si="97"/>
        <v>-2.0371442959750321</v>
      </c>
    </row>
    <row r="856" spans="1:12" x14ac:dyDescent="0.25">
      <c r="A856" s="1">
        <v>41439</v>
      </c>
      <c r="B856" s="6">
        <v>82.932100000000005</v>
      </c>
      <c r="C856" s="6">
        <v>10.0488</v>
      </c>
      <c r="D856" s="6">
        <v>7937.74</v>
      </c>
      <c r="E856" s="6">
        <v>0.94</v>
      </c>
      <c r="F856" s="6">
        <f t="shared" si="91"/>
        <v>1.0444444444444444E-2</v>
      </c>
      <c r="G856">
        <f t="shared" si="92"/>
        <v>1.4354470788970046</v>
      </c>
      <c r="H856">
        <f t="shared" si="93"/>
        <v>0</v>
      </c>
      <c r="I856">
        <f t="shared" si="94"/>
        <v>-0.17505778667599059</v>
      </c>
      <c r="J856">
        <f t="shared" si="95"/>
        <v>1.0026691284511218</v>
      </c>
      <c r="K856">
        <f t="shared" si="96"/>
        <v>1.4250026344525601</v>
      </c>
      <c r="L856">
        <f t="shared" si="97"/>
        <v>-0.18550223112043504</v>
      </c>
    </row>
    <row r="857" spans="1:12" x14ac:dyDescent="0.25">
      <c r="A857" s="1">
        <v>41442</v>
      </c>
      <c r="B857" s="6">
        <v>82.932100000000005</v>
      </c>
      <c r="C857" s="6">
        <v>10.202199999999999</v>
      </c>
      <c r="D857" s="6">
        <v>7992.89</v>
      </c>
      <c r="E857" s="6">
        <v>0.94</v>
      </c>
      <c r="F857" s="6">
        <f t="shared" si="91"/>
        <v>1.0444444444444444E-2</v>
      </c>
      <c r="G857">
        <f t="shared" si="92"/>
        <v>0</v>
      </c>
      <c r="H857">
        <f t="shared" si="93"/>
        <v>1.5265504338826481</v>
      </c>
      <c r="I857">
        <f t="shared" si="94"/>
        <v>0.69478214202027966</v>
      </c>
      <c r="J857">
        <f t="shared" si="95"/>
        <v>-7.3489843141871791E-3</v>
      </c>
      <c r="K857">
        <f t="shared" si="96"/>
        <v>-1.0444444444444444E-2</v>
      </c>
      <c r="L857">
        <f t="shared" si="97"/>
        <v>0.68433769757583518</v>
      </c>
    </row>
    <row r="858" spans="1:12" x14ac:dyDescent="0.25">
      <c r="A858" s="1">
        <v>41443</v>
      </c>
      <c r="B858" s="6">
        <v>83.323300000000003</v>
      </c>
      <c r="C858" s="6">
        <v>10.394</v>
      </c>
      <c r="D858" s="6">
        <v>8011.02</v>
      </c>
      <c r="E858" s="6">
        <v>0.94</v>
      </c>
      <c r="F858" s="6">
        <f t="shared" si="91"/>
        <v>1.0444444444444444E-2</v>
      </c>
      <c r="G858">
        <f t="shared" si="92"/>
        <v>0.47171119506198173</v>
      </c>
      <c r="H858">
        <f t="shared" si="93"/>
        <v>1.8799866695418699</v>
      </c>
      <c r="I858">
        <f t="shared" si="94"/>
        <v>0.22682659213376025</v>
      </c>
      <c r="J858">
        <f t="shared" si="95"/>
        <v>0.32455935143084408</v>
      </c>
      <c r="K858">
        <f t="shared" si="96"/>
        <v>0.4612667506175373</v>
      </c>
      <c r="L858">
        <f t="shared" si="97"/>
        <v>0.2163821476893158</v>
      </c>
    </row>
    <row r="859" spans="1:12" x14ac:dyDescent="0.25">
      <c r="A859" s="1">
        <v>41444</v>
      </c>
      <c r="B859" s="6">
        <v>82.540899999999993</v>
      </c>
      <c r="C859" s="6">
        <v>10.240600000000001</v>
      </c>
      <c r="D859" s="6">
        <v>8007.39</v>
      </c>
      <c r="E859" s="6">
        <v>0.94</v>
      </c>
      <c r="F859" s="6">
        <f t="shared" si="91"/>
        <v>1.0444444444444444E-2</v>
      </c>
      <c r="G859">
        <f t="shared" si="92"/>
        <v>-0.93899305476380523</v>
      </c>
      <c r="H859">
        <f t="shared" si="93"/>
        <v>-1.4758514527612039</v>
      </c>
      <c r="I859">
        <f t="shared" si="94"/>
        <v>-4.5312581918408756E-2</v>
      </c>
      <c r="J859">
        <f t="shared" si="95"/>
        <v>-0.66804905958343375</v>
      </c>
      <c r="K859">
        <f t="shared" si="96"/>
        <v>-0.94943749920824971</v>
      </c>
      <c r="L859">
        <f t="shared" si="97"/>
        <v>-5.57570263628532E-2</v>
      </c>
    </row>
    <row r="860" spans="1:12" x14ac:dyDescent="0.25">
      <c r="A860" s="1">
        <v>41445</v>
      </c>
      <c r="B860" s="6">
        <v>81.3673</v>
      </c>
      <c r="C860" s="6">
        <v>9.9720999999999993</v>
      </c>
      <c r="D860" s="6">
        <v>7898.91</v>
      </c>
      <c r="E860" s="6">
        <v>0.94</v>
      </c>
      <c r="F860" s="6">
        <f t="shared" si="91"/>
        <v>1.0444444444444444E-2</v>
      </c>
      <c r="G860">
        <f t="shared" si="92"/>
        <v>-1.4218405663131775</v>
      </c>
      <c r="H860">
        <f t="shared" si="93"/>
        <v>-2.6219166845692761</v>
      </c>
      <c r="I860">
        <f t="shared" si="94"/>
        <v>-1.3547485510259956</v>
      </c>
      <c r="J860">
        <f t="shared" si="95"/>
        <v>-1.007793198909879</v>
      </c>
      <c r="K860">
        <f t="shared" si="96"/>
        <v>-1.4322850107576219</v>
      </c>
      <c r="L860">
        <f t="shared" si="97"/>
        <v>-1.36519299547044</v>
      </c>
    </row>
    <row r="861" spans="1:12" x14ac:dyDescent="0.25">
      <c r="A861" s="1">
        <v>41446</v>
      </c>
      <c r="B861" s="6">
        <v>80.976100000000002</v>
      </c>
      <c r="C861" s="6">
        <v>9.6268999999999991</v>
      </c>
      <c r="D861" s="6">
        <v>7793.31</v>
      </c>
      <c r="E861" s="6">
        <v>0.94</v>
      </c>
      <c r="F861" s="6">
        <f t="shared" si="91"/>
        <v>1.0444444444444444E-2</v>
      </c>
      <c r="G861">
        <f t="shared" si="92"/>
        <v>-0.4807828206171248</v>
      </c>
      <c r="H861">
        <f t="shared" si="93"/>
        <v>-3.4616580258922411</v>
      </c>
      <c r="I861">
        <f t="shared" si="94"/>
        <v>-1.3368933181919969</v>
      </c>
      <c r="J861">
        <f t="shared" si="95"/>
        <v>-0.34564035309305174</v>
      </c>
      <c r="K861">
        <f t="shared" si="96"/>
        <v>-0.49122726506156922</v>
      </c>
      <c r="L861">
        <f t="shared" si="97"/>
        <v>-1.3473377626364413</v>
      </c>
    </row>
    <row r="862" spans="1:12" x14ac:dyDescent="0.25">
      <c r="A862" s="1">
        <v>41449</v>
      </c>
      <c r="B862" s="6">
        <v>79.020200000000003</v>
      </c>
      <c r="C862" s="6">
        <v>9.8186999999999998</v>
      </c>
      <c r="D862" s="6">
        <v>7758.03</v>
      </c>
      <c r="E862" s="6">
        <v>0.94</v>
      </c>
      <c r="F862" s="6">
        <f t="shared" si="91"/>
        <v>1.0444444444444444E-2</v>
      </c>
      <c r="G862">
        <f t="shared" si="92"/>
        <v>-2.4154040513188457</v>
      </c>
      <c r="H862">
        <f t="shared" si="93"/>
        <v>1.9923339808245712</v>
      </c>
      <c r="I862">
        <f t="shared" si="94"/>
        <v>-0.45269596615559565</v>
      </c>
      <c r="J862">
        <f t="shared" si="95"/>
        <v>-1.7068904563364986</v>
      </c>
      <c r="K862">
        <f t="shared" si="96"/>
        <v>-2.4258484957632902</v>
      </c>
      <c r="L862">
        <f t="shared" si="97"/>
        <v>-0.46314041060004008</v>
      </c>
    </row>
    <row r="863" spans="1:12" x14ac:dyDescent="0.25">
      <c r="A863" s="1">
        <v>41450</v>
      </c>
      <c r="B863" s="6">
        <v>79.020200000000003</v>
      </c>
      <c r="C863" s="6">
        <v>9.7420000000000009</v>
      </c>
      <c r="D863" s="6">
        <v>7663.23</v>
      </c>
      <c r="E863" s="6">
        <v>0.94</v>
      </c>
      <c r="F863" s="6">
        <f t="shared" si="91"/>
        <v>1.0444444444444444E-2</v>
      </c>
      <c r="G863">
        <f t="shared" si="92"/>
        <v>0</v>
      </c>
      <c r="H863">
        <f t="shared" si="93"/>
        <v>-0.78116247568414232</v>
      </c>
      <c r="I863">
        <f t="shared" si="94"/>
        <v>-1.2219596985317174</v>
      </c>
      <c r="J863">
        <f t="shared" si="95"/>
        <v>-7.3489843141871791E-3</v>
      </c>
      <c r="K863">
        <f t="shared" si="96"/>
        <v>-1.0444444444444444E-2</v>
      </c>
      <c r="L863">
        <f t="shared" si="97"/>
        <v>-1.2324041429761619</v>
      </c>
    </row>
    <row r="864" spans="1:12" x14ac:dyDescent="0.25">
      <c r="A864" s="1">
        <v>41451</v>
      </c>
      <c r="B864" s="6">
        <v>79.4114</v>
      </c>
      <c r="C864" s="6">
        <v>10.394</v>
      </c>
      <c r="D864" s="6">
        <v>7784.8</v>
      </c>
      <c r="E864" s="6">
        <v>0.94</v>
      </c>
      <c r="F864" s="6">
        <f t="shared" si="91"/>
        <v>1.0444444444444444E-2</v>
      </c>
      <c r="G864">
        <f t="shared" si="92"/>
        <v>0.49506328761506269</v>
      </c>
      <c r="H864">
        <f t="shared" si="93"/>
        <v>6.6926709094641685</v>
      </c>
      <c r="I864">
        <f t="shared" si="94"/>
        <v>1.5864067762549294</v>
      </c>
      <c r="J864">
        <f t="shared" si="95"/>
        <v>0.34099049458918823</v>
      </c>
      <c r="K864">
        <f t="shared" si="96"/>
        <v>0.48461884317061826</v>
      </c>
      <c r="L864">
        <f t="shared" si="97"/>
        <v>1.575962331810485</v>
      </c>
    </row>
    <row r="865" spans="1:12" x14ac:dyDescent="0.25">
      <c r="A865" s="1">
        <v>41452</v>
      </c>
      <c r="B865" s="6">
        <v>81.758499999999998</v>
      </c>
      <c r="C865" s="6">
        <v>11.0844</v>
      </c>
      <c r="D865" s="6">
        <v>7883.9</v>
      </c>
      <c r="E865" s="6">
        <v>0.94</v>
      </c>
      <c r="F865" s="6">
        <f t="shared" si="91"/>
        <v>1.0444444444444444E-2</v>
      </c>
      <c r="G865">
        <f t="shared" si="92"/>
        <v>2.9556209813704299</v>
      </c>
      <c r="H865">
        <f t="shared" si="93"/>
        <v>6.6422936309409311</v>
      </c>
      <c r="I865">
        <f t="shared" si="94"/>
        <v>1.2729935258452298</v>
      </c>
      <c r="J865">
        <f t="shared" si="95"/>
        <v>2.0723032505471348</v>
      </c>
      <c r="K865">
        <f t="shared" si="96"/>
        <v>2.9451765369259855</v>
      </c>
      <c r="L865">
        <f t="shared" si="97"/>
        <v>1.2625490814007854</v>
      </c>
    </row>
    <row r="866" spans="1:12" x14ac:dyDescent="0.25">
      <c r="A866" s="1">
        <v>41453</v>
      </c>
      <c r="B866" s="6">
        <v>86.843999999999994</v>
      </c>
      <c r="C866" s="6">
        <v>11.1227</v>
      </c>
      <c r="D866" s="6">
        <v>8062.21</v>
      </c>
      <c r="E866" s="6">
        <v>0.94</v>
      </c>
      <c r="F866" s="6">
        <f t="shared" si="91"/>
        <v>1.0444444444444444E-2</v>
      </c>
      <c r="G866">
        <f t="shared" si="92"/>
        <v>6.2201483637786854</v>
      </c>
      <c r="H866">
        <f t="shared" si="93"/>
        <v>0.34553065569628988</v>
      </c>
      <c r="I866">
        <f t="shared" si="94"/>
        <v>2.2616978906378873</v>
      </c>
      <c r="J866">
        <f t="shared" si="95"/>
        <v>4.3693101094724032</v>
      </c>
      <c r="K866">
        <f t="shared" si="96"/>
        <v>6.2097039193342409</v>
      </c>
      <c r="L866">
        <f t="shared" si="97"/>
        <v>2.2512534461934428</v>
      </c>
    </row>
    <row r="867" spans="1:12" x14ac:dyDescent="0.25">
      <c r="A867" s="1">
        <v>41456</v>
      </c>
      <c r="B867" s="6">
        <v>84.496799999999993</v>
      </c>
      <c r="C867" s="6">
        <v>11.544600000000001</v>
      </c>
      <c r="D867" s="6">
        <v>8036</v>
      </c>
      <c r="E867" s="6">
        <v>0.94</v>
      </c>
      <c r="F867" s="6">
        <f t="shared" si="91"/>
        <v>1.0444444444444444E-2</v>
      </c>
      <c r="G867">
        <f t="shared" si="92"/>
        <v>-2.7027773939477697</v>
      </c>
      <c r="H867">
        <f t="shared" si="93"/>
        <v>3.7931437510676438</v>
      </c>
      <c r="I867">
        <f t="shared" si="94"/>
        <v>-0.32509696472803407</v>
      </c>
      <c r="J867">
        <f t="shared" si="95"/>
        <v>-1.9090938572477698</v>
      </c>
      <c r="K867">
        <f t="shared" si="96"/>
        <v>-2.7132218383922142</v>
      </c>
      <c r="L867">
        <f t="shared" si="97"/>
        <v>-0.33554140917247849</v>
      </c>
    </row>
    <row r="868" spans="1:12" x14ac:dyDescent="0.25">
      <c r="A868" s="1">
        <v>41457</v>
      </c>
      <c r="B868" s="6">
        <v>86.061599999999999</v>
      </c>
      <c r="C868" s="6">
        <v>11.276199999999999</v>
      </c>
      <c r="D868" s="6">
        <v>8015.86</v>
      </c>
      <c r="E868" s="6">
        <v>0.94</v>
      </c>
      <c r="F868" s="6">
        <f t="shared" si="91"/>
        <v>1.0444444444444444E-2</v>
      </c>
      <c r="G868">
        <f t="shared" si="92"/>
        <v>1.8519044508194458</v>
      </c>
      <c r="H868">
        <f t="shared" si="93"/>
        <v>-2.3248964884015169</v>
      </c>
      <c r="I868">
        <f t="shared" si="94"/>
        <v>-0.2506222000995561</v>
      </c>
      <c r="J868">
        <f t="shared" si="95"/>
        <v>1.2956994289199593</v>
      </c>
      <c r="K868">
        <f t="shared" si="96"/>
        <v>1.8414600063750013</v>
      </c>
      <c r="L868">
        <f t="shared" si="97"/>
        <v>-0.26106664454400053</v>
      </c>
    </row>
    <row r="869" spans="1:12" x14ac:dyDescent="0.25">
      <c r="A869" s="1">
        <v>41458</v>
      </c>
      <c r="B869" s="6">
        <v>86.061300000000003</v>
      </c>
      <c r="C869" s="6">
        <v>11.161099999999999</v>
      </c>
      <c r="D869" s="6">
        <v>7911.42</v>
      </c>
      <c r="E869" s="6">
        <v>0.94</v>
      </c>
      <c r="F869" s="6">
        <f t="shared" si="91"/>
        <v>1.0444444444444444E-2</v>
      </c>
      <c r="G869">
        <f t="shared" si="92"/>
        <v>-3.4858752335042357E-4</v>
      </c>
      <c r="H869">
        <f t="shared" si="93"/>
        <v>-1.020733935190933</v>
      </c>
      <c r="I869">
        <f t="shared" si="94"/>
        <v>-1.3029169671126941</v>
      </c>
      <c r="J869">
        <f t="shared" si="95"/>
        <v>-7.5942596138788019E-3</v>
      </c>
      <c r="K869">
        <f t="shared" si="96"/>
        <v>-1.0793031967794867E-2</v>
      </c>
      <c r="L869">
        <f t="shared" si="97"/>
        <v>-1.3133614115571386</v>
      </c>
    </row>
    <row r="870" spans="1:12" x14ac:dyDescent="0.25">
      <c r="A870" s="1">
        <v>41459</v>
      </c>
      <c r="B870" s="6">
        <v>86.061300000000003</v>
      </c>
      <c r="C870" s="6">
        <v>11.2378</v>
      </c>
      <c r="D870" s="6">
        <v>7893.72</v>
      </c>
      <c r="E870" s="6">
        <v>0.94</v>
      </c>
      <c r="F870" s="6">
        <f t="shared" si="91"/>
        <v>1.0444444444444444E-2</v>
      </c>
      <c r="G870">
        <f t="shared" si="92"/>
        <v>0</v>
      </c>
      <c r="H870">
        <f t="shared" si="93"/>
        <v>0.68720825008288311</v>
      </c>
      <c r="I870">
        <f t="shared" si="94"/>
        <v>-0.2237272196394556</v>
      </c>
      <c r="J870">
        <f t="shared" si="95"/>
        <v>-7.3489843141871791E-3</v>
      </c>
      <c r="K870">
        <f t="shared" si="96"/>
        <v>-1.0444444444444444E-2</v>
      </c>
      <c r="L870">
        <f t="shared" si="97"/>
        <v>-0.23417166408390006</v>
      </c>
    </row>
    <row r="871" spans="1:12" x14ac:dyDescent="0.25">
      <c r="A871" s="1">
        <v>41460</v>
      </c>
      <c r="B871" s="6">
        <v>87.669899999999998</v>
      </c>
      <c r="C871" s="6">
        <v>11.3529</v>
      </c>
      <c r="D871" s="6">
        <v>8001.82</v>
      </c>
      <c r="E871" s="6">
        <v>0.94</v>
      </c>
      <c r="F871" s="6">
        <f t="shared" si="91"/>
        <v>1.0444444444444444E-2</v>
      </c>
      <c r="G871">
        <f t="shared" si="92"/>
        <v>1.8691328157952478</v>
      </c>
      <c r="H871">
        <f t="shared" si="93"/>
        <v>1.0242218227766999</v>
      </c>
      <c r="I871">
        <f t="shared" si="94"/>
        <v>1.3694430509316198</v>
      </c>
      <c r="J871">
        <f t="shared" si="95"/>
        <v>1.3078217571720481</v>
      </c>
      <c r="K871">
        <f t="shared" si="96"/>
        <v>1.8586883713508033</v>
      </c>
      <c r="L871">
        <f t="shared" si="97"/>
        <v>1.3589986064871753</v>
      </c>
    </row>
    <row r="872" spans="1:12" x14ac:dyDescent="0.25">
      <c r="A872" s="1">
        <v>41463</v>
      </c>
      <c r="B872" s="6">
        <v>84.452699999999993</v>
      </c>
      <c r="C872" s="6">
        <v>11.1213</v>
      </c>
      <c r="D872" s="6">
        <v>7886.34</v>
      </c>
      <c r="E872" s="6">
        <v>0.94</v>
      </c>
      <c r="F872" s="6">
        <f t="shared" si="91"/>
        <v>1.0444444444444444E-2</v>
      </c>
      <c r="G872">
        <f t="shared" si="92"/>
        <v>-3.6696745405207549</v>
      </c>
      <c r="H872">
        <f t="shared" si="93"/>
        <v>-2.0400073989905687</v>
      </c>
      <c r="I872">
        <f t="shared" si="94"/>
        <v>-1.4431716784431488</v>
      </c>
      <c r="J872">
        <f t="shared" si="95"/>
        <v>-2.5894279814219709</v>
      </c>
      <c r="K872">
        <f t="shared" si="96"/>
        <v>-3.6801189849651994</v>
      </c>
      <c r="L872">
        <f t="shared" si="97"/>
        <v>-1.4536161228875932</v>
      </c>
    </row>
    <row r="873" spans="1:12" x14ac:dyDescent="0.25">
      <c r="A873" s="1">
        <v>41464</v>
      </c>
      <c r="B873" s="6">
        <v>85.257000000000005</v>
      </c>
      <c r="C873" s="6">
        <v>11.239599999999999</v>
      </c>
      <c r="D873" s="6">
        <v>7971.18</v>
      </c>
      <c r="E873" s="6">
        <v>0.94</v>
      </c>
      <c r="F873" s="6">
        <f t="shared" si="91"/>
        <v>1.0444444444444444E-2</v>
      </c>
      <c r="G873">
        <f t="shared" si="92"/>
        <v>0.95236741986936124</v>
      </c>
      <c r="H873">
        <f t="shared" si="93"/>
        <v>1.0637245645742821</v>
      </c>
      <c r="I873">
        <f t="shared" si="94"/>
        <v>1.0757842040794607</v>
      </c>
      <c r="J873">
        <f t="shared" si="95"/>
        <v>0.66276164408651139</v>
      </c>
      <c r="K873">
        <f t="shared" si="96"/>
        <v>0.94192297542491676</v>
      </c>
      <c r="L873">
        <f t="shared" si="97"/>
        <v>1.0653397596350163</v>
      </c>
    </row>
    <row r="874" spans="1:12" x14ac:dyDescent="0.25">
      <c r="A874" s="1">
        <v>41465</v>
      </c>
      <c r="B874" s="6">
        <v>85.257000000000005</v>
      </c>
      <c r="C874" s="6">
        <v>10.9635</v>
      </c>
      <c r="D874" s="6">
        <v>8011.69</v>
      </c>
      <c r="E874" s="6">
        <v>0.94</v>
      </c>
      <c r="F874" s="6">
        <f t="shared" si="91"/>
        <v>1.0444444444444444E-2</v>
      </c>
      <c r="G874">
        <f t="shared" si="92"/>
        <v>0</v>
      </c>
      <c r="H874">
        <f t="shared" si="93"/>
        <v>-2.4564931136339334</v>
      </c>
      <c r="I874">
        <f t="shared" si="94"/>
        <v>0.50820581143568844</v>
      </c>
      <c r="J874">
        <f t="shared" si="95"/>
        <v>-7.3489843141871791E-3</v>
      </c>
      <c r="K874">
        <f t="shared" si="96"/>
        <v>-1.0444444444444444E-2</v>
      </c>
      <c r="L874">
        <f t="shared" si="97"/>
        <v>0.49776136699124401</v>
      </c>
    </row>
    <row r="875" spans="1:12" x14ac:dyDescent="0.25">
      <c r="A875" s="1">
        <v>41466</v>
      </c>
      <c r="B875" s="6">
        <v>88.072100000000006</v>
      </c>
      <c r="C875" s="6">
        <v>11.4368</v>
      </c>
      <c r="D875" s="6">
        <v>8179.54</v>
      </c>
      <c r="E875" s="6">
        <v>0.94</v>
      </c>
      <c r="F875" s="6">
        <f t="shared" si="91"/>
        <v>1.0444444444444444E-2</v>
      </c>
      <c r="G875">
        <f t="shared" si="92"/>
        <v>3.3018989643079171</v>
      </c>
      <c r="H875">
        <f t="shared" si="93"/>
        <v>4.3170520363022762</v>
      </c>
      <c r="I875">
        <f t="shared" si="94"/>
        <v>2.0950635883315551</v>
      </c>
      <c r="J875">
        <f t="shared" si="95"/>
        <v>2.3159534971918552</v>
      </c>
      <c r="K875">
        <f t="shared" si="96"/>
        <v>3.2914545198634726</v>
      </c>
      <c r="L875">
        <f t="shared" si="97"/>
        <v>2.0846191438871107</v>
      </c>
    </row>
    <row r="876" spans="1:12" x14ac:dyDescent="0.25">
      <c r="A876" s="1">
        <v>41467</v>
      </c>
      <c r="B876" s="6">
        <v>88.474199999999996</v>
      </c>
      <c r="C876" s="6">
        <v>11.239599999999999</v>
      </c>
      <c r="D876" s="6">
        <v>8220.49</v>
      </c>
      <c r="E876" s="6">
        <v>0.94</v>
      </c>
      <c r="F876" s="6">
        <f t="shared" si="91"/>
        <v>1.0444444444444444E-2</v>
      </c>
      <c r="G876">
        <f t="shared" si="92"/>
        <v>0.45655775211444954</v>
      </c>
      <c r="H876">
        <f t="shared" si="93"/>
        <v>-1.7242585338556282</v>
      </c>
      <c r="I876">
        <f t="shared" si="94"/>
        <v>0.50063940025967013</v>
      </c>
      <c r="J876">
        <f t="shared" si="95"/>
        <v>0.31389699259311959</v>
      </c>
      <c r="K876">
        <f t="shared" si="96"/>
        <v>0.44611330767000512</v>
      </c>
      <c r="L876">
        <f t="shared" si="97"/>
        <v>0.49019495581522571</v>
      </c>
    </row>
    <row r="877" spans="1:12" x14ac:dyDescent="0.25">
      <c r="A877" s="1">
        <v>41470</v>
      </c>
      <c r="B877" s="6">
        <v>88.072100000000006</v>
      </c>
      <c r="C877" s="6">
        <v>11.357900000000001</v>
      </c>
      <c r="D877" s="6">
        <v>8254.68</v>
      </c>
      <c r="E877" s="6">
        <v>0.94</v>
      </c>
      <c r="F877" s="6">
        <f t="shared" si="91"/>
        <v>1.0444444444444444E-2</v>
      </c>
      <c r="G877">
        <f t="shared" si="92"/>
        <v>-0.4544827757696483</v>
      </c>
      <c r="H877">
        <f t="shared" si="93"/>
        <v>1.0525285597352345</v>
      </c>
      <c r="I877">
        <f t="shared" si="94"/>
        <v>0.41591194685475574</v>
      </c>
      <c r="J877">
        <f t="shared" si="95"/>
        <v>-0.32713495358859729</v>
      </c>
      <c r="K877">
        <f t="shared" si="96"/>
        <v>-0.46492722021409272</v>
      </c>
      <c r="L877">
        <f t="shared" si="97"/>
        <v>0.40546750241031132</v>
      </c>
    </row>
    <row r="878" spans="1:12" x14ac:dyDescent="0.25">
      <c r="A878" s="1">
        <v>41471</v>
      </c>
      <c r="B878" s="6">
        <v>86.865600000000001</v>
      </c>
      <c r="C878" s="6">
        <v>11.003</v>
      </c>
      <c r="D878" s="6">
        <v>8260.11</v>
      </c>
      <c r="E878" s="6">
        <v>0.94</v>
      </c>
      <c r="F878" s="6">
        <f t="shared" si="91"/>
        <v>1.0444444444444444E-2</v>
      </c>
      <c r="G878">
        <f t="shared" si="92"/>
        <v>-1.3699003430144228</v>
      </c>
      <c r="H878">
        <f t="shared" si="93"/>
        <v>-3.1246973472208825</v>
      </c>
      <c r="I878">
        <f t="shared" si="94"/>
        <v>6.57808661268552E-2</v>
      </c>
      <c r="J878">
        <f t="shared" si="95"/>
        <v>-0.97124669915794959</v>
      </c>
      <c r="K878">
        <f t="shared" si="96"/>
        <v>-1.3803447874588672</v>
      </c>
      <c r="L878">
        <f t="shared" si="97"/>
        <v>5.5336421682410757E-2</v>
      </c>
    </row>
    <row r="879" spans="1:12" x14ac:dyDescent="0.25">
      <c r="A879" s="1">
        <v>41472</v>
      </c>
      <c r="B879" s="6">
        <v>87.669899999999998</v>
      </c>
      <c r="C879" s="6">
        <v>10.5297</v>
      </c>
      <c r="D879" s="6">
        <v>8258.9500000000007</v>
      </c>
      <c r="E879" s="6">
        <v>0.94</v>
      </c>
      <c r="F879" s="6">
        <f t="shared" si="91"/>
        <v>1.0444444444444444E-2</v>
      </c>
      <c r="G879">
        <f t="shared" si="92"/>
        <v>0.92591313477371684</v>
      </c>
      <c r="H879">
        <f t="shared" si="93"/>
        <v>-4.3015541216031998</v>
      </c>
      <c r="I879">
        <f t="shared" si="94"/>
        <v>-1.4043396516509519E-2</v>
      </c>
      <c r="J879">
        <f t="shared" si="95"/>
        <v>0.64414771710886942</v>
      </c>
      <c r="K879">
        <f t="shared" si="96"/>
        <v>0.91546869032927236</v>
      </c>
      <c r="L879">
        <f t="shared" si="97"/>
        <v>-2.4487840960953963E-2</v>
      </c>
    </row>
    <row r="880" spans="1:12" x14ac:dyDescent="0.25">
      <c r="A880" s="1">
        <v>41473</v>
      </c>
      <c r="B880" s="6">
        <v>84.854799999999997</v>
      </c>
      <c r="C880" s="6">
        <v>10.5297</v>
      </c>
      <c r="D880" s="6">
        <v>8194.8799999999992</v>
      </c>
      <c r="E880" s="6">
        <v>0.94</v>
      </c>
      <c r="F880" s="6">
        <f t="shared" si="91"/>
        <v>1.0444444444444444E-2</v>
      </c>
      <c r="G880">
        <f t="shared" si="92"/>
        <v>-3.2110222550727228</v>
      </c>
      <c r="H880">
        <f t="shared" si="93"/>
        <v>0</v>
      </c>
      <c r="I880">
        <f t="shared" si="94"/>
        <v>-0.77576447369219481</v>
      </c>
      <c r="J880">
        <f t="shared" si="95"/>
        <v>-2.2667082360728941</v>
      </c>
      <c r="K880">
        <f t="shared" si="96"/>
        <v>-3.2214666995171672</v>
      </c>
      <c r="L880">
        <f t="shared" si="97"/>
        <v>-0.78620891813663929</v>
      </c>
    </row>
    <row r="881" spans="1:12" x14ac:dyDescent="0.25">
      <c r="A881" s="1">
        <v>41474</v>
      </c>
      <c r="B881" s="6">
        <v>78.9833</v>
      </c>
      <c r="C881" s="6">
        <v>10.0565</v>
      </c>
      <c r="D881" s="6">
        <v>8062.03</v>
      </c>
      <c r="E881" s="6">
        <v>0.94</v>
      </c>
      <c r="F881" s="6">
        <f t="shared" si="91"/>
        <v>1.0444444444444444E-2</v>
      </c>
      <c r="G881">
        <f t="shared" si="92"/>
        <v>-6.9194671368031013</v>
      </c>
      <c r="H881">
        <f t="shared" si="93"/>
        <v>-4.4939551934053226</v>
      </c>
      <c r="I881">
        <f t="shared" si="94"/>
        <v>-1.6211341715802974</v>
      </c>
      <c r="J881">
        <f t="shared" si="95"/>
        <v>-4.8760670594003255</v>
      </c>
      <c r="K881">
        <f t="shared" si="96"/>
        <v>-6.9299115812475458</v>
      </c>
      <c r="L881">
        <f t="shared" si="97"/>
        <v>-1.6315786160247419</v>
      </c>
    </row>
    <row r="882" spans="1:12" x14ac:dyDescent="0.25">
      <c r="A882" s="1">
        <v>41477</v>
      </c>
      <c r="B882" s="6">
        <v>78.018199999999993</v>
      </c>
      <c r="C882" s="6">
        <v>10.2537</v>
      </c>
      <c r="D882" s="6">
        <v>8105.45</v>
      </c>
      <c r="E882" s="6">
        <v>0.94</v>
      </c>
      <c r="F882" s="6">
        <f t="shared" si="91"/>
        <v>1.0444444444444444E-2</v>
      </c>
      <c r="G882">
        <f t="shared" si="92"/>
        <v>-1.2219038708182701</v>
      </c>
      <c r="H882">
        <f t="shared" si="93"/>
        <v>1.9609207974941629</v>
      </c>
      <c r="I882">
        <f t="shared" si="94"/>
        <v>0.53857403160246331</v>
      </c>
      <c r="J882">
        <f t="shared" si="95"/>
        <v>-0.86711251006729984</v>
      </c>
      <c r="K882">
        <f t="shared" si="96"/>
        <v>-1.2323483152627146</v>
      </c>
      <c r="L882">
        <f t="shared" si="97"/>
        <v>0.52812958715801883</v>
      </c>
    </row>
    <row r="883" spans="1:12" x14ac:dyDescent="0.25">
      <c r="A883" s="1">
        <v>41478</v>
      </c>
      <c r="B883" s="6">
        <v>80.431100000000001</v>
      </c>
      <c r="C883" s="6">
        <v>10.648</v>
      </c>
      <c r="D883" s="6">
        <v>8214.65</v>
      </c>
      <c r="E883" s="6">
        <v>0.94</v>
      </c>
      <c r="F883" s="6">
        <f t="shared" si="91"/>
        <v>1.0444444444444444E-2</v>
      </c>
      <c r="G883">
        <f t="shared" si="92"/>
        <v>3.0927398991517463</v>
      </c>
      <c r="H883">
        <f t="shared" si="93"/>
        <v>3.8454411578259498</v>
      </c>
      <c r="I883">
        <f t="shared" si="94"/>
        <v>1.3472416707277179</v>
      </c>
      <c r="J883">
        <f t="shared" si="95"/>
        <v>2.1687837078192511</v>
      </c>
      <c r="K883">
        <f t="shared" si="96"/>
        <v>3.0822954547073018</v>
      </c>
      <c r="L883">
        <f t="shared" si="97"/>
        <v>1.3367972262832735</v>
      </c>
    </row>
    <row r="884" spans="1:12" x14ac:dyDescent="0.25">
      <c r="A884" s="1">
        <v>41479</v>
      </c>
      <c r="B884" s="6">
        <v>82.039699999999996</v>
      </c>
      <c r="C884" s="6">
        <v>10.648</v>
      </c>
      <c r="D884" s="6">
        <v>8196.19</v>
      </c>
      <c r="E884" s="6">
        <v>0.94</v>
      </c>
      <c r="F884" s="6">
        <f t="shared" si="91"/>
        <v>1.0444444444444444E-2</v>
      </c>
      <c r="G884">
        <f t="shared" si="92"/>
        <v>1.9999726473963375</v>
      </c>
      <c r="H884">
        <f t="shared" si="93"/>
        <v>0</v>
      </c>
      <c r="I884">
        <f t="shared" si="94"/>
        <v>-0.22472046891832431</v>
      </c>
      <c r="J884">
        <f t="shared" si="95"/>
        <v>1.399884085161045</v>
      </c>
      <c r="K884">
        <f t="shared" si="96"/>
        <v>1.989528202951893</v>
      </c>
      <c r="L884">
        <f t="shared" si="97"/>
        <v>-0.23516491336276876</v>
      </c>
    </row>
    <row r="885" spans="1:12" x14ac:dyDescent="0.25">
      <c r="A885" s="1">
        <v>41480</v>
      </c>
      <c r="B885" s="6">
        <v>82.441900000000004</v>
      </c>
      <c r="C885" s="6">
        <v>10.5692</v>
      </c>
      <c r="D885" s="6">
        <v>8163.58</v>
      </c>
      <c r="E885" s="6">
        <v>0.94</v>
      </c>
      <c r="F885" s="6">
        <f t="shared" si="91"/>
        <v>1.0444444444444444E-2</v>
      </c>
      <c r="G885">
        <f t="shared" si="92"/>
        <v>0.49025045191536254</v>
      </c>
      <c r="H885">
        <f t="shared" si="93"/>
        <v>-0.74004507888804771</v>
      </c>
      <c r="I885">
        <f t="shared" si="94"/>
        <v>-0.39786778979014126</v>
      </c>
      <c r="J885">
        <f t="shared" si="95"/>
        <v>0.33760405749796796</v>
      </c>
      <c r="K885">
        <f t="shared" si="96"/>
        <v>0.47980600747091812</v>
      </c>
      <c r="L885">
        <f t="shared" si="97"/>
        <v>-0.40831223423458568</v>
      </c>
    </row>
    <row r="886" spans="1:12" x14ac:dyDescent="0.25">
      <c r="A886" s="1">
        <v>41481</v>
      </c>
      <c r="B886" s="6">
        <v>82.441900000000004</v>
      </c>
      <c r="C886" s="6">
        <v>10.8058</v>
      </c>
      <c r="D886" s="6">
        <v>8149.4</v>
      </c>
      <c r="E886" s="6">
        <v>0.94</v>
      </c>
      <c r="F886" s="6">
        <f t="shared" si="91"/>
        <v>1.0444444444444444E-2</v>
      </c>
      <c r="G886">
        <f t="shared" si="92"/>
        <v>0</v>
      </c>
      <c r="H886">
        <f t="shared" si="93"/>
        <v>2.2385800249782317</v>
      </c>
      <c r="I886">
        <f t="shared" si="94"/>
        <v>-0.17369830393038704</v>
      </c>
      <c r="J886">
        <f t="shared" si="95"/>
        <v>-7.3489843141871791E-3</v>
      </c>
      <c r="K886">
        <f t="shared" si="96"/>
        <v>-1.0444444444444444E-2</v>
      </c>
      <c r="L886">
        <f t="shared" si="97"/>
        <v>-0.18414274837483149</v>
      </c>
    </row>
    <row r="887" spans="1:12" x14ac:dyDescent="0.25">
      <c r="A887" s="1">
        <v>41484</v>
      </c>
      <c r="B887" s="6">
        <v>80.431100000000001</v>
      </c>
      <c r="C887" s="6">
        <v>10.450900000000001</v>
      </c>
      <c r="D887" s="6">
        <v>8084.5</v>
      </c>
      <c r="E887" s="6">
        <v>0.94</v>
      </c>
      <c r="F887" s="6">
        <f t="shared" si="91"/>
        <v>1.0444444444444444E-2</v>
      </c>
      <c r="G887">
        <f t="shared" si="92"/>
        <v>-2.439051016534072</v>
      </c>
      <c r="H887">
        <f t="shared" si="93"/>
        <v>-3.2843472949712091</v>
      </c>
      <c r="I887">
        <f t="shared" si="94"/>
        <v>-0.79637764743416251</v>
      </c>
      <c r="J887">
        <f t="shared" si="95"/>
        <v>-1.7235290796131311</v>
      </c>
      <c r="K887">
        <f t="shared" si="96"/>
        <v>-2.4494954609785164</v>
      </c>
      <c r="L887">
        <f t="shared" si="97"/>
        <v>-0.80682209187860698</v>
      </c>
    </row>
    <row r="888" spans="1:12" x14ac:dyDescent="0.25">
      <c r="A888" s="1">
        <v>41485</v>
      </c>
      <c r="B888" s="6">
        <v>82.039699999999996</v>
      </c>
      <c r="C888" s="6">
        <v>10.648</v>
      </c>
      <c r="D888" s="6">
        <v>8163.55</v>
      </c>
      <c r="E888" s="6">
        <v>0.94</v>
      </c>
      <c r="F888" s="6">
        <f t="shared" si="91"/>
        <v>1.0444444444444444E-2</v>
      </c>
      <c r="G888">
        <f t="shared" si="92"/>
        <v>1.9999726473963375</v>
      </c>
      <c r="H888">
        <f t="shared" si="93"/>
        <v>1.8859619745667735</v>
      </c>
      <c r="I888">
        <f t="shared" si="94"/>
        <v>0.97779701898695259</v>
      </c>
      <c r="J888">
        <f t="shared" si="95"/>
        <v>1.399884085161045</v>
      </c>
      <c r="K888">
        <f t="shared" si="96"/>
        <v>1.989528202951893</v>
      </c>
      <c r="L888">
        <f t="shared" si="97"/>
        <v>0.96735257454250811</v>
      </c>
    </row>
    <row r="889" spans="1:12" x14ac:dyDescent="0.25">
      <c r="A889" s="1">
        <v>41486</v>
      </c>
      <c r="B889" s="6">
        <v>82.441900000000004</v>
      </c>
      <c r="C889" s="6">
        <v>10.5297</v>
      </c>
      <c r="D889" s="6">
        <v>8107.94</v>
      </c>
      <c r="E889" s="6">
        <v>0.94</v>
      </c>
      <c r="F889" s="6">
        <f t="shared" si="91"/>
        <v>1.0444444444444444E-2</v>
      </c>
      <c r="G889">
        <f t="shared" si="92"/>
        <v>0.49025045191536254</v>
      </c>
      <c r="H889">
        <f t="shared" si="93"/>
        <v>-1.1110067618332047</v>
      </c>
      <c r="I889">
        <f t="shared" si="94"/>
        <v>-0.68119874319383822</v>
      </c>
      <c r="J889">
        <f t="shared" si="95"/>
        <v>0.33760405749796796</v>
      </c>
      <c r="K889">
        <f t="shared" si="96"/>
        <v>0.47980600747091812</v>
      </c>
      <c r="L889">
        <f t="shared" si="97"/>
        <v>-0.6916431876382827</v>
      </c>
    </row>
    <row r="890" spans="1:12" x14ac:dyDescent="0.25">
      <c r="A890" s="1">
        <v>41487</v>
      </c>
      <c r="B890" s="6">
        <v>80.833299999999994</v>
      </c>
      <c r="C890" s="6">
        <v>10.4903</v>
      </c>
      <c r="D890" s="6">
        <v>8056.22</v>
      </c>
      <c r="E890" s="6">
        <v>0.94</v>
      </c>
      <c r="F890" s="6">
        <f t="shared" si="91"/>
        <v>1.0444444444444444E-2</v>
      </c>
      <c r="G890">
        <f t="shared" si="92"/>
        <v>-1.9511922942096309</v>
      </c>
      <c r="H890">
        <f t="shared" si="93"/>
        <v>-0.37417970122606098</v>
      </c>
      <c r="I890">
        <f t="shared" si="94"/>
        <v>-0.63789322565287054</v>
      </c>
      <c r="J890">
        <f t="shared" si="95"/>
        <v>-1.3802589213033922</v>
      </c>
      <c r="K890">
        <f t="shared" si="96"/>
        <v>-1.9616367386540754</v>
      </c>
      <c r="L890">
        <f t="shared" si="97"/>
        <v>-0.64833767009731502</v>
      </c>
    </row>
    <row r="891" spans="1:12" x14ac:dyDescent="0.25">
      <c r="A891" s="1">
        <v>41488</v>
      </c>
      <c r="B891" s="6">
        <v>80.833299999999994</v>
      </c>
      <c r="C891" s="6">
        <v>10.372</v>
      </c>
      <c r="D891" s="6">
        <v>8099.88</v>
      </c>
      <c r="E891" s="6">
        <v>0.94</v>
      </c>
      <c r="F891" s="6">
        <f t="shared" si="91"/>
        <v>1.0444444444444444E-2</v>
      </c>
      <c r="G891">
        <f t="shared" si="92"/>
        <v>0</v>
      </c>
      <c r="H891">
        <f t="shared" si="93"/>
        <v>-1.1277084544769895</v>
      </c>
      <c r="I891">
        <f t="shared" si="94"/>
        <v>0.54194150606611846</v>
      </c>
      <c r="J891">
        <f t="shared" si="95"/>
        <v>-7.3489843141871791E-3</v>
      </c>
      <c r="K891">
        <f t="shared" si="96"/>
        <v>-1.0444444444444444E-2</v>
      </c>
      <c r="L891">
        <f t="shared" si="97"/>
        <v>0.53149706162167398</v>
      </c>
    </row>
    <row r="892" spans="1:12" x14ac:dyDescent="0.25">
      <c r="A892" s="1">
        <v>41491</v>
      </c>
      <c r="B892" s="6">
        <v>80.833299999999994</v>
      </c>
      <c r="C892" s="6">
        <v>10.5297</v>
      </c>
      <c r="D892" s="6">
        <v>8138.63</v>
      </c>
      <c r="E892" s="6">
        <v>0.94</v>
      </c>
      <c r="F892" s="6">
        <f t="shared" si="91"/>
        <v>1.0444444444444444E-2</v>
      </c>
      <c r="G892">
        <f t="shared" si="92"/>
        <v>0</v>
      </c>
      <c r="H892">
        <f t="shared" si="93"/>
        <v>1.5204396451986133</v>
      </c>
      <c r="I892">
        <f t="shared" si="94"/>
        <v>0.47840214916764201</v>
      </c>
      <c r="J892">
        <f t="shared" si="95"/>
        <v>-7.3489843141871791E-3</v>
      </c>
      <c r="K892">
        <f t="shared" si="96"/>
        <v>-1.0444444444444444E-2</v>
      </c>
      <c r="L892">
        <f t="shared" si="97"/>
        <v>0.46795770472319759</v>
      </c>
    </row>
    <row r="893" spans="1:12" x14ac:dyDescent="0.25">
      <c r="A893" s="1">
        <v>41492</v>
      </c>
      <c r="B893" s="6">
        <v>79.465900000000005</v>
      </c>
      <c r="C893" s="6">
        <v>10.293100000000001</v>
      </c>
      <c r="D893" s="6">
        <v>8038.91</v>
      </c>
      <c r="E893" s="6">
        <v>0.94</v>
      </c>
      <c r="F893" s="6">
        <f t="shared" si="91"/>
        <v>1.0444444444444444E-2</v>
      </c>
      <c r="G893">
        <f t="shared" si="92"/>
        <v>-1.6916295635585699</v>
      </c>
      <c r="H893">
        <f t="shared" si="93"/>
        <v>-2.2469775967026528</v>
      </c>
      <c r="I893">
        <f t="shared" si="94"/>
        <v>-1.2252676433257226</v>
      </c>
      <c r="J893">
        <f t="shared" si="95"/>
        <v>-1.1976237944425394</v>
      </c>
      <c r="K893">
        <f t="shared" si="96"/>
        <v>-1.7020740080030143</v>
      </c>
      <c r="L893">
        <f t="shared" si="97"/>
        <v>-1.2357120877701671</v>
      </c>
    </row>
    <row r="894" spans="1:12" x14ac:dyDescent="0.25">
      <c r="A894" s="1">
        <v>41493</v>
      </c>
      <c r="B894" s="6">
        <v>78.018199999999993</v>
      </c>
      <c r="C894" s="6">
        <v>10.0565</v>
      </c>
      <c r="D894" s="6">
        <v>7921.29</v>
      </c>
      <c r="E894" s="6">
        <v>0.94</v>
      </c>
      <c r="F894" s="6">
        <f t="shared" si="91"/>
        <v>1.0444444444444444E-2</v>
      </c>
      <c r="G894">
        <f t="shared" si="92"/>
        <v>-1.8217877102002389</v>
      </c>
      <c r="H894">
        <f t="shared" si="93"/>
        <v>-2.2986272357210269</v>
      </c>
      <c r="I894">
        <f t="shared" si="94"/>
        <v>-1.4631336835466486</v>
      </c>
      <c r="J894">
        <f t="shared" si="95"/>
        <v>-1.2892064710627491</v>
      </c>
      <c r="K894">
        <f t="shared" si="96"/>
        <v>-1.8322321546446834</v>
      </c>
      <c r="L894">
        <f t="shared" si="97"/>
        <v>-1.4735781279910931</v>
      </c>
    </row>
    <row r="895" spans="1:12" x14ac:dyDescent="0.25">
      <c r="A895" s="1">
        <v>41494</v>
      </c>
      <c r="B895" s="6">
        <v>77.535600000000002</v>
      </c>
      <c r="C895" s="6">
        <v>9.8199000000000005</v>
      </c>
      <c r="D895" s="6">
        <v>7907.67</v>
      </c>
      <c r="E895" s="6">
        <v>0.94</v>
      </c>
      <c r="F895" s="6">
        <f t="shared" si="91"/>
        <v>1.0444444444444444E-2</v>
      </c>
      <c r="G895">
        <f t="shared" si="92"/>
        <v>-0.61857361487446627</v>
      </c>
      <c r="H895">
        <f t="shared" si="93"/>
        <v>-2.3527072042957218</v>
      </c>
      <c r="I895">
        <f t="shared" si="94"/>
        <v>-0.1719416913154283</v>
      </c>
      <c r="J895">
        <f t="shared" si="95"/>
        <v>-0.44259356022847046</v>
      </c>
      <c r="K895">
        <f t="shared" si="96"/>
        <v>-0.62901805931891075</v>
      </c>
      <c r="L895">
        <f t="shared" si="97"/>
        <v>-0.18238613575987275</v>
      </c>
    </row>
    <row r="896" spans="1:12" x14ac:dyDescent="0.25">
      <c r="A896" s="1">
        <v>41495</v>
      </c>
      <c r="B896" s="6">
        <v>77.535600000000002</v>
      </c>
      <c r="C896" s="6">
        <v>9.7015999999999991</v>
      </c>
      <c r="D896" s="6">
        <v>7856.14</v>
      </c>
      <c r="E896" s="6">
        <v>0.94</v>
      </c>
      <c r="F896" s="6">
        <f t="shared" si="91"/>
        <v>1.0444444444444444E-2</v>
      </c>
      <c r="G896">
        <f t="shared" si="92"/>
        <v>0</v>
      </c>
      <c r="H896">
        <f t="shared" si="93"/>
        <v>-1.2046965855049583</v>
      </c>
      <c r="I896">
        <f t="shared" si="94"/>
        <v>-0.65164580717202092</v>
      </c>
      <c r="J896">
        <f t="shared" si="95"/>
        <v>-7.3489843141871791E-3</v>
      </c>
      <c r="K896">
        <f t="shared" si="96"/>
        <v>-1.0444444444444444E-2</v>
      </c>
      <c r="L896">
        <f t="shared" si="97"/>
        <v>-0.6620902516164654</v>
      </c>
    </row>
    <row r="897" spans="1:12" x14ac:dyDescent="0.25">
      <c r="A897" s="1">
        <v>41498</v>
      </c>
      <c r="B897" s="6">
        <v>77.213899999999995</v>
      </c>
      <c r="C897" s="6">
        <v>9.7409999999999997</v>
      </c>
      <c r="D897" s="6">
        <v>7903.38</v>
      </c>
      <c r="E897" s="6">
        <v>0.94</v>
      </c>
      <c r="F897" s="6">
        <f t="shared" si="91"/>
        <v>1.0444444444444444E-2</v>
      </c>
      <c r="G897">
        <f t="shared" si="92"/>
        <v>-0.41490618502985332</v>
      </c>
      <c r="H897">
        <f t="shared" si="93"/>
        <v>0.40611857837882975</v>
      </c>
      <c r="I897">
        <f t="shared" si="94"/>
        <v>0.60131311305551816</v>
      </c>
      <c r="J897">
        <f t="shared" si="95"/>
        <v>-0.29928782910985441</v>
      </c>
      <c r="K897">
        <f t="shared" si="96"/>
        <v>-0.42535062947429775</v>
      </c>
      <c r="L897">
        <f t="shared" si="97"/>
        <v>0.59086866861107368</v>
      </c>
    </row>
    <row r="898" spans="1:12" x14ac:dyDescent="0.25">
      <c r="A898" s="1">
        <v>41499</v>
      </c>
      <c r="B898" s="6">
        <v>78.179000000000002</v>
      </c>
      <c r="C898" s="6">
        <v>9.8592999999999993</v>
      </c>
      <c r="D898" s="6">
        <v>7986.27</v>
      </c>
      <c r="E898" s="6">
        <v>0.94</v>
      </c>
      <c r="F898" s="6">
        <f t="shared" si="91"/>
        <v>1.0444444444444444E-2</v>
      </c>
      <c r="G898">
        <f t="shared" si="92"/>
        <v>1.2499044861093751</v>
      </c>
      <c r="H898">
        <f t="shared" si="93"/>
        <v>1.2144543681346847</v>
      </c>
      <c r="I898">
        <f t="shared" si="94"/>
        <v>1.0487917827562425</v>
      </c>
      <c r="J898">
        <f t="shared" si="95"/>
        <v>0.8721165067905986</v>
      </c>
      <c r="K898">
        <f t="shared" si="96"/>
        <v>1.2394600416649306</v>
      </c>
      <c r="L898">
        <f t="shared" si="97"/>
        <v>1.038347338311798</v>
      </c>
    </row>
    <row r="899" spans="1:12" x14ac:dyDescent="0.25">
      <c r="A899" s="1">
        <v>41500</v>
      </c>
      <c r="B899" s="6">
        <v>77.857299999999995</v>
      </c>
      <c r="C899" s="6">
        <v>9.7015999999999991</v>
      </c>
      <c r="D899" s="6">
        <v>7951.33</v>
      </c>
      <c r="E899" s="6">
        <v>0.94</v>
      </c>
      <c r="F899" s="6">
        <f t="shared" ref="F899:F962" si="98">E899/90</f>
        <v>1.0444444444444444E-2</v>
      </c>
      <c r="G899">
        <f t="shared" si="92"/>
        <v>-0.41149157702197131</v>
      </c>
      <c r="H899">
        <f t="shared" si="93"/>
        <v>-1.5995050358544742</v>
      </c>
      <c r="I899">
        <f t="shared" si="94"/>
        <v>-0.43750086085244433</v>
      </c>
      <c r="J899">
        <f t="shared" si="95"/>
        <v>-0.29688522159707564</v>
      </c>
      <c r="K899">
        <f t="shared" si="96"/>
        <v>-0.42193602146641573</v>
      </c>
      <c r="L899">
        <f t="shared" si="97"/>
        <v>-0.44794530529688875</v>
      </c>
    </row>
    <row r="900" spans="1:12" x14ac:dyDescent="0.25">
      <c r="A900" s="1">
        <v>41501</v>
      </c>
      <c r="B900" s="6">
        <v>77.213899999999995</v>
      </c>
      <c r="C900" s="6">
        <v>9.5044000000000004</v>
      </c>
      <c r="D900" s="6">
        <v>7887.26</v>
      </c>
      <c r="E900" s="6">
        <v>0.94</v>
      </c>
      <c r="F900" s="6">
        <f t="shared" si="98"/>
        <v>1.0444444444444444E-2</v>
      </c>
      <c r="G900">
        <f t="shared" ref="G900:G963" si="99">100*(B900-B899)/B899</f>
        <v>-0.82638365317060802</v>
      </c>
      <c r="H900">
        <f t="shared" ref="H900:H963" si="100">100*(C900-C899)/C899</f>
        <v>-2.0326544075203961</v>
      </c>
      <c r="I900">
        <f t="shared" ref="I900:I963" si="101">100*(D900-D899)/D899</f>
        <v>-0.80577714671633183</v>
      </c>
      <c r="J900">
        <f t="shared" ref="J900:J963" si="102">(G900-F900)/$N$3</f>
        <v>-0.58881413901486246</v>
      </c>
      <c r="K900">
        <f t="shared" ref="K900:K963" si="103">G900-F900</f>
        <v>-0.8368280976150525</v>
      </c>
      <c r="L900">
        <f t="shared" ref="L900:L963" si="104">I900-F900</f>
        <v>-0.81622159116077631</v>
      </c>
    </row>
    <row r="901" spans="1:12" x14ac:dyDescent="0.25">
      <c r="A901" s="1">
        <v>41502</v>
      </c>
      <c r="B901" s="6">
        <v>77.616</v>
      </c>
      <c r="C901" s="6">
        <v>9.4254999999999995</v>
      </c>
      <c r="D901" s="6">
        <v>7925</v>
      </c>
      <c r="E901" s="6">
        <v>0.94</v>
      </c>
      <c r="F901" s="6">
        <f t="shared" si="98"/>
        <v>1.0444444444444444E-2</v>
      </c>
      <c r="G901">
        <f t="shared" si="99"/>
        <v>0.52076115828886294</v>
      </c>
      <c r="H901">
        <f t="shared" si="100"/>
        <v>-0.83014182904760803</v>
      </c>
      <c r="I901">
        <f t="shared" si="101"/>
        <v>0.47849316492672717</v>
      </c>
      <c r="J901">
        <f t="shared" si="102"/>
        <v>0.35907218859352774</v>
      </c>
      <c r="K901">
        <f t="shared" si="103"/>
        <v>0.51031671384441846</v>
      </c>
      <c r="L901">
        <f t="shared" si="104"/>
        <v>0.46804872048228274</v>
      </c>
    </row>
    <row r="902" spans="1:12" x14ac:dyDescent="0.25">
      <c r="A902" s="1">
        <v>41505</v>
      </c>
      <c r="B902" s="6">
        <v>76.811700000000002</v>
      </c>
      <c r="C902" s="6">
        <v>9.3466000000000005</v>
      </c>
      <c r="D902" s="6">
        <v>7900.21</v>
      </c>
      <c r="E902" s="6">
        <v>0.94</v>
      </c>
      <c r="F902" s="6">
        <f t="shared" si="98"/>
        <v>1.0444444444444444E-2</v>
      </c>
      <c r="G902">
        <f t="shared" si="99"/>
        <v>-1.0362554112554083</v>
      </c>
      <c r="H902">
        <f t="shared" si="100"/>
        <v>-0.83709087051083853</v>
      </c>
      <c r="I902">
        <f t="shared" si="101"/>
        <v>-0.3128075709779175</v>
      </c>
      <c r="J902">
        <f t="shared" si="102"/>
        <v>-0.73648539777448752</v>
      </c>
      <c r="K902">
        <f t="shared" si="103"/>
        <v>-1.0466998556998528</v>
      </c>
      <c r="L902">
        <f t="shared" si="104"/>
        <v>-0.32325201542236193</v>
      </c>
    </row>
    <row r="903" spans="1:12" x14ac:dyDescent="0.25">
      <c r="A903" s="1">
        <v>41506</v>
      </c>
      <c r="B903" s="6">
        <v>75.927000000000007</v>
      </c>
      <c r="C903" s="6">
        <v>9.3071999999999999</v>
      </c>
      <c r="D903" s="6">
        <v>7832.65</v>
      </c>
      <c r="E903" s="6">
        <v>0.94</v>
      </c>
      <c r="F903" s="6">
        <f t="shared" si="98"/>
        <v>1.0444444444444444E-2</v>
      </c>
      <c r="G903">
        <f t="shared" si="99"/>
        <v>-1.1517776588722748</v>
      </c>
      <c r="H903">
        <f t="shared" si="100"/>
        <v>-0.42154366293626072</v>
      </c>
      <c r="I903">
        <f t="shared" si="101"/>
        <v>-0.85516714112663339</v>
      </c>
      <c r="J903">
        <f t="shared" si="102"/>
        <v>-0.81776987299878523</v>
      </c>
      <c r="K903">
        <f t="shared" si="103"/>
        <v>-1.1622221033167193</v>
      </c>
      <c r="L903">
        <f t="shared" si="104"/>
        <v>-0.86561158557107787</v>
      </c>
    </row>
    <row r="904" spans="1:12" x14ac:dyDescent="0.25">
      <c r="A904" s="1">
        <v>41508</v>
      </c>
      <c r="B904" s="6">
        <v>76.007400000000004</v>
      </c>
      <c r="C904" s="6">
        <v>9.2676999999999996</v>
      </c>
      <c r="D904" s="6">
        <v>7814.38</v>
      </c>
      <c r="E904" s="6">
        <v>0.94</v>
      </c>
      <c r="F904" s="6">
        <f t="shared" si="98"/>
        <v>1.0444444444444444E-2</v>
      </c>
      <c r="G904">
        <f t="shared" si="99"/>
        <v>0.10589118495396546</v>
      </c>
      <c r="H904">
        <f t="shared" si="100"/>
        <v>-0.42440261303077526</v>
      </c>
      <c r="I904">
        <f t="shared" si="101"/>
        <v>-0.23325439027659256</v>
      </c>
      <c r="J904">
        <f t="shared" si="102"/>
        <v>6.7158823293647613E-2</v>
      </c>
      <c r="K904">
        <f t="shared" si="103"/>
        <v>9.5446740509521011E-2</v>
      </c>
      <c r="L904">
        <f t="shared" si="104"/>
        <v>-0.24369883472103701</v>
      </c>
    </row>
    <row r="905" spans="1:12" x14ac:dyDescent="0.25">
      <c r="A905" s="1">
        <v>41509</v>
      </c>
      <c r="B905" s="6">
        <v>78.018199999999993</v>
      </c>
      <c r="C905" s="6">
        <v>9.6621000000000006</v>
      </c>
      <c r="D905" s="6">
        <v>7873.31</v>
      </c>
      <c r="E905" s="6">
        <v>0.94</v>
      </c>
      <c r="F905" s="6">
        <f t="shared" si="98"/>
        <v>1.0444444444444444E-2</v>
      </c>
      <c r="G905">
        <f t="shared" si="99"/>
        <v>2.64553188242196</v>
      </c>
      <c r="H905">
        <f t="shared" si="100"/>
        <v>4.2556405580672765</v>
      </c>
      <c r="I905">
        <f t="shared" si="101"/>
        <v>0.75412252795487666</v>
      </c>
      <c r="J905">
        <f t="shared" si="102"/>
        <v>1.8541164492965532</v>
      </c>
      <c r="K905">
        <f t="shared" si="103"/>
        <v>2.6350874379775155</v>
      </c>
      <c r="L905">
        <f t="shared" si="104"/>
        <v>0.74367808351043219</v>
      </c>
    </row>
    <row r="906" spans="1:12" x14ac:dyDescent="0.25">
      <c r="A906" s="1">
        <v>41512</v>
      </c>
      <c r="B906" s="6">
        <v>77.857299999999995</v>
      </c>
      <c r="C906" s="6">
        <v>9.7015999999999991</v>
      </c>
      <c r="D906" s="6">
        <v>7894.97</v>
      </c>
      <c r="E906" s="6">
        <v>0.94</v>
      </c>
      <c r="F906" s="6">
        <f t="shared" si="98"/>
        <v>1.0444444444444444E-2</v>
      </c>
      <c r="G906">
        <f t="shared" si="99"/>
        <v>-0.20623393003170806</v>
      </c>
      <c r="H906">
        <f t="shared" si="100"/>
        <v>0.40881381894203678</v>
      </c>
      <c r="I906">
        <f t="shared" si="101"/>
        <v>0.27510665780973764</v>
      </c>
      <c r="J906">
        <f t="shared" si="102"/>
        <v>-0.15246057209829134</v>
      </c>
      <c r="K906">
        <f t="shared" si="103"/>
        <v>-0.21667837447615251</v>
      </c>
      <c r="L906">
        <f t="shared" si="104"/>
        <v>0.26466221336529322</v>
      </c>
    </row>
    <row r="907" spans="1:12" x14ac:dyDescent="0.25">
      <c r="A907" s="1">
        <v>41513</v>
      </c>
      <c r="B907" s="6">
        <v>76.892099999999999</v>
      </c>
      <c r="C907" s="6">
        <v>9.6227</v>
      </c>
      <c r="D907" s="6">
        <v>7820.84</v>
      </c>
      <c r="E907" s="6">
        <v>0.94</v>
      </c>
      <c r="F907" s="6">
        <f t="shared" si="98"/>
        <v>1.0444444444444444E-2</v>
      </c>
      <c r="G907">
        <f t="shared" si="99"/>
        <v>-1.2397039198636428</v>
      </c>
      <c r="H907">
        <f t="shared" si="100"/>
        <v>-0.81326791457078307</v>
      </c>
      <c r="I907">
        <f t="shared" si="101"/>
        <v>-0.93895226960963885</v>
      </c>
      <c r="J907">
        <f t="shared" si="102"/>
        <v>-0.8796370901847026</v>
      </c>
      <c r="K907">
        <f t="shared" si="103"/>
        <v>-1.2501483643080873</v>
      </c>
      <c r="L907">
        <f t="shared" si="104"/>
        <v>-0.94939671405408332</v>
      </c>
    </row>
    <row r="908" spans="1:12" x14ac:dyDescent="0.25">
      <c r="A908" s="1">
        <v>41514</v>
      </c>
      <c r="B908" s="6">
        <v>77.857299999999995</v>
      </c>
      <c r="C908" s="6">
        <v>9.5044000000000004</v>
      </c>
      <c r="D908" s="6">
        <v>7824.54</v>
      </c>
      <c r="E908" s="6">
        <v>0.94</v>
      </c>
      <c r="F908" s="6">
        <f t="shared" si="98"/>
        <v>1.0444444444444444E-2</v>
      </c>
      <c r="G908">
        <f t="shared" si="99"/>
        <v>1.2552654954149982</v>
      </c>
      <c r="H908">
        <f t="shared" si="100"/>
        <v>-1.2293846841323082</v>
      </c>
      <c r="I908">
        <f t="shared" si="101"/>
        <v>4.7309496166649846E-2</v>
      </c>
      <c r="J908">
        <f t="shared" si="102"/>
        <v>0.8758886531699297</v>
      </c>
      <c r="K908">
        <f t="shared" si="103"/>
        <v>1.2448210509705537</v>
      </c>
      <c r="L908">
        <f t="shared" si="104"/>
        <v>3.6865051722205402E-2</v>
      </c>
    </row>
    <row r="909" spans="1:12" x14ac:dyDescent="0.25">
      <c r="A909" s="1">
        <v>41515</v>
      </c>
      <c r="B909" s="6">
        <v>79.385499999999993</v>
      </c>
      <c r="C909" s="6">
        <v>9.4649000000000001</v>
      </c>
      <c r="D909" s="6">
        <v>7917.66</v>
      </c>
      <c r="E909" s="6">
        <v>0.94</v>
      </c>
      <c r="F909" s="6">
        <f t="shared" si="98"/>
        <v>1.0444444444444444E-2</v>
      </c>
      <c r="G909">
        <f t="shared" si="99"/>
        <v>1.962821726414862</v>
      </c>
      <c r="H909">
        <f t="shared" si="100"/>
        <v>-0.41559698665881395</v>
      </c>
      <c r="I909">
        <f t="shared" si="101"/>
        <v>1.1901019101442372</v>
      </c>
      <c r="J909">
        <f t="shared" si="102"/>
        <v>1.3737437253742977</v>
      </c>
      <c r="K909">
        <f t="shared" si="103"/>
        <v>1.9523772819704175</v>
      </c>
      <c r="L909">
        <f t="shared" si="104"/>
        <v>1.1796574656997927</v>
      </c>
    </row>
    <row r="910" spans="1:12" x14ac:dyDescent="0.25">
      <c r="A910" s="1">
        <v>41516</v>
      </c>
      <c r="B910" s="6">
        <v>80.833299999999994</v>
      </c>
      <c r="C910" s="6">
        <v>9.7015999999999991</v>
      </c>
      <c r="D910" s="6">
        <v>8021.89</v>
      </c>
      <c r="E910" s="6">
        <v>0.94</v>
      </c>
      <c r="F910" s="6">
        <f t="shared" si="98"/>
        <v>1.0444444444444444E-2</v>
      </c>
      <c r="G910">
        <f t="shared" si="99"/>
        <v>1.8237587468744305</v>
      </c>
      <c r="H910">
        <f t="shared" si="100"/>
        <v>2.5008188147788042</v>
      </c>
      <c r="I910">
        <f t="shared" si="101"/>
        <v>1.3164242970776778</v>
      </c>
      <c r="J910">
        <f t="shared" si="102"/>
        <v>1.2758953753962035</v>
      </c>
      <c r="K910">
        <f t="shared" si="103"/>
        <v>1.813314302429986</v>
      </c>
      <c r="L910">
        <f t="shared" si="104"/>
        <v>1.3059798526332334</v>
      </c>
    </row>
    <row r="911" spans="1:12" x14ac:dyDescent="0.25">
      <c r="A911" s="1">
        <v>41519</v>
      </c>
      <c r="B911" s="6">
        <v>82.039699999999996</v>
      </c>
      <c r="C911" s="6">
        <v>9.6621000000000006</v>
      </c>
      <c r="D911" s="6">
        <v>8038.86</v>
      </c>
      <c r="E911" s="6">
        <v>0.94</v>
      </c>
      <c r="F911" s="6">
        <f t="shared" si="98"/>
        <v>1.0444444444444444E-2</v>
      </c>
      <c r="G911">
        <f t="shared" si="99"/>
        <v>1.4924542236924661</v>
      </c>
      <c r="H911">
        <f t="shared" si="100"/>
        <v>-0.40714933619195326</v>
      </c>
      <c r="I911">
        <f t="shared" si="101"/>
        <v>0.21154615682837019</v>
      </c>
      <c r="J911">
        <f t="shared" si="102"/>
        <v>1.0427808467073558</v>
      </c>
      <c r="K911">
        <f t="shared" si="103"/>
        <v>1.4820097792480216</v>
      </c>
      <c r="L911">
        <f t="shared" si="104"/>
        <v>0.20110171238392574</v>
      </c>
    </row>
    <row r="912" spans="1:12" x14ac:dyDescent="0.25">
      <c r="A912" s="1">
        <v>41520</v>
      </c>
      <c r="B912" s="6">
        <v>82.039699999999996</v>
      </c>
      <c r="C912" s="6">
        <v>9.5437999999999992</v>
      </c>
      <c r="D912" s="6">
        <v>8088.37</v>
      </c>
      <c r="E912" s="6">
        <v>0.94</v>
      </c>
      <c r="F912" s="6">
        <f t="shared" si="98"/>
        <v>1.0444444444444444E-2</v>
      </c>
      <c r="G912">
        <f t="shared" si="99"/>
        <v>0</v>
      </c>
      <c r="H912">
        <f t="shared" si="100"/>
        <v>-1.224371513439122</v>
      </c>
      <c r="I912">
        <f t="shared" si="101"/>
        <v>0.61588334664368105</v>
      </c>
      <c r="J912">
        <f t="shared" si="102"/>
        <v>-7.3489843141871791E-3</v>
      </c>
      <c r="K912">
        <f t="shared" si="103"/>
        <v>-1.0444444444444444E-2</v>
      </c>
      <c r="L912">
        <f t="shared" si="104"/>
        <v>0.60543890219923657</v>
      </c>
    </row>
    <row r="913" spans="1:12" x14ac:dyDescent="0.25">
      <c r="A913" s="1">
        <v>41521</v>
      </c>
      <c r="B913" s="6">
        <v>80.833299999999994</v>
      </c>
      <c r="C913" s="6">
        <v>9.5831999999999997</v>
      </c>
      <c r="D913" s="6">
        <v>8083.44</v>
      </c>
      <c r="E913" s="6">
        <v>0.94</v>
      </c>
      <c r="F913" s="6">
        <f t="shared" si="98"/>
        <v>1.0444444444444444E-2</v>
      </c>
      <c r="G913">
        <f t="shared" si="99"/>
        <v>-1.4705075713343689</v>
      </c>
      <c r="H913">
        <f t="shared" si="100"/>
        <v>0.41283346256208792</v>
      </c>
      <c r="I913">
        <f t="shared" si="101"/>
        <v>-6.0951712149670344E-2</v>
      </c>
      <c r="J913">
        <f t="shared" si="102"/>
        <v>-1.0420365766617177</v>
      </c>
      <c r="K913">
        <f t="shared" si="103"/>
        <v>-1.4809520157788134</v>
      </c>
      <c r="L913">
        <f t="shared" si="104"/>
        <v>-7.1396156594114787E-2</v>
      </c>
    </row>
    <row r="914" spans="1:12" x14ac:dyDescent="0.25">
      <c r="A914" s="1">
        <v>41522</v>
      </c>
      <c r="B914" s="6">
        <v>81.637600000000006</v>
      </c>
      <c r="C914" s="6">
        <v>9.7015999999999991</v>
      </c>
      <c r="D914" s="6">
        <v>8169.1</v>
      </c>
      <c r="E914" s="6">
        <v>0.94</v>
      </c>
      <c r="F914" s="6">
        <f t="shared" si="98"/>
        <v>1.0444444444444444E-2</v>
      </c>
      <c r="G914">
        <f t="shared" si="99"/>
        <v>0.99501071959206422</v>
      </c>
      <c r="H914">
        <f t="shared" si="100"/>
        <v>1.2354954503714772</v>
      </c>
      <c r="I914">
        <f t="shared" si="101"/>
        <v>1.0596973565709744</v>
      </c>
      <c r="J914">
        <f t="shared" si="102"/>
        <v>0.69276658522380863</v>
      </c>
      <c r="K914">
        <f t="shared" si="103"/>
        <v>0.98456627514761974</v>
      </c>
      <c r="L914">
        <f t="shared" si="104"/>
        <v>1.0492529121265299</v>
      </c>
    </row>
    <row r="915" spans="1:12" x14ac:dyDescent="0.25">
      <c r="A915" s="1">
        <v>41523</v>
      </c>
      <c r="B915" s="6">
        <v>82.039699999999996</v>
      </c>
      <c r="C915" s="6">
        <v>9.6227</v>
      </c>
      <c r="D915" s="6">
        <v>8164.2</v>
      </c>
      <c r="E915" s="6">
        <v>0.94</v>
      </c>
      <c r="F915" s="6">
        <f t="shared" si="98"/>
        <v>1.0444444444444444E-2</v>
      </c>
      <c r="G915">
        <f t="shared" si="99"/>
        <v>0.49254265191528179</v>
      </c>
      <c r="H915">
        <f t="shared" si="100"/>
        <v>-0.81326791457078307</v>
      </c>
      <c r="I915">
        <f t="shared" si="101"/>
        <v>-5.9982127774180084E-2</v>
      </c>
      <c r="J915">
        <f t="shared" si="102"/>
        <v>0.3392169093766858</v>
      </c>
      <c r="K915">
        <f t="shared" si="103"/>
        <v>0.48209820747083737</v>
      </c>
      <c r="L915">
        <f t="shared" si="104"/>
        <v>-7.0426572218624528E-2</v>
      </c>
    </row>
    <row r="916" spans="1:12" x14ac:dyDescent="0.25">
      <c r="A916" s="1">
        <v>41526</v>
      </c>
      <c r="B916" s="6">
        <v>82.843999999999994</v>
      </c>
      <c r="C916" s="6">
        <v>9.5831999999999997</v>
      </c>
      <c r="D916" s="6">
        <v>8192.11</v>
      </c>
      <c r="E916" s="6">
        <v>0.94</v>
      </c>
      <c r="F916" s="6">
        <f t="shared" si="98"/>
        <v>1.0444444444444444E-2</v>
      </c>
      <c r="G916">
        <f t="shared" si="99"/>
        <v>0.98037901162485708</v>
      </c>
      <c r="H916">
        <f t="shared" si="100"/>
        <v>-0.41048770095711506</v>
      </c>
      <c r="I916">
        <f t="shared" si="101"/>
        <v>0.34185835721810787</v>
      </c>
      <c r="J916">
        <f t="shared" si="102"/>
        <v>0.68247133276564953</v>
      </c>
      <c r="K916">
        <f t="shared" si="103"/>
        <v>0.9699345671804126</v>
      </c>
      <c r="L916">
        <f t="shared" si="104"/>
        <v>0.33141391277366344</v>
      </c>
    </row>
    <row r="917" spans="1:12" x14ac:dyDescent="0.25">
      <c r="A917" s="1">
        <v>41527</v>
      </c>
      <c r="B917" s="6">
        <v>84.0505</v>
      </c>
      <c r="C917" s="6">
        <v>9.8592999999999993</v>
      </c>
      <c r="D917" s="6">
        <v>8208.77</v>
      </c>
      <c r="E917" s="6">
        <v>0.94</v>
      </c>
      <c r="F917" s="6">
        <f t="shared" si="98"/>
        <v>1.0444444444444444E-2</v>
      </c>
      <c r="G917">
        <f t="shared" si="99"/>
        <v>1.456351697165764</v>
      </c>
      <c r="H917">
        <f t="shared" si="100"/>
        <v>2.8810835629017402</v>
      </c>
      <c r="I917">
        <f t="shared" si="101"/>
        <v>0.20336640987486562</v>
      </c>
      <c r="J917">
        <f t="shared" si="102"/>
        <v>1.0173781646826181</v>
      </c>
      <c r="K917">
        <f t="shared" si="103"/>
        <v>1.4459072527213195</v>
      </c>
      <c r="L917">
        <f t="shared" si="104"/>
        <v>0.19292196543042117</v>
      </c>
    </row>
    <row r="918" spans="1:12" x14ac:dyDescent="0.25">
      <c r="A918" s="1">
        <v>41528</v>
      </c>
      <c r="B918" s="6">
        <v>84.0505</v>
      </c>
      <c r="C918" s="6">
        <v>9.8199000000000005</v>
      </c>
      <c r="D918" s="6">
        <v>8208.99</v>
      </c>
      <c r="E918" s="6">
        <v>0.94</v>
      </c>
      <c r="F918" s="6">
        <f t="shared" si="98"/>
        <v>1.0444444444444444E-2</v>
      </c>
      <c r="G918">
        <f t="shared" si="99"/>
        <v>0</v>
      </c>
      <c r="H918">
        <f t="shared" si="100"/>
        <v>-0.39962269126610178</v>
      </c>
      <c r="I918">
        <f t="shared" si="101"/>
        <v>2.6800604719019435E-3</v>
      </c>
      <c r="J918">
        <f t="shared" si="102"/>
        <v>-7.3489843141871791E-3</v>
      </c>
      <c r="K918">
        <f t="shared" si="103"/>
        <v>-1.0444444444444444E-2</v>
      </c>
      <c r="L918">
        <f t="shared" si="104"/>
        <v>-7.7643839725425002E-3</v>
      </c>
    </row>
    <row r="919" spans="1:12" x14ac:dyDescent="0.25">
      <c r="A919" s="1">
        <v>41529</v>
      </c>
      <c r="B919" s="6">
        <v>83.246200000000002</v>
      </c>
      <c r="C919" s="6">
        <v>9.7015999999999991</v>
      </c>
      <c r="D919" s="6">
        <v>8225.36</v>
      </c>
      <c r="E919" s="6">
        <v>0.94</v>
      </c>
      <c r="F919" s="6">
        <f t="shared" si="98"/>
        <v>1.0444444444444444E-2</v>
      </c>
      <c r="G919">
        <f t="shared" si="99"/>
        <v>-0.95692470598033064</v>
      </c>
      <c r="H919">
        <f t="shared" si="100"/>
        <v>-1.2046965855049583</v>
      </c>
      <c r="I919">
        <f t="shared" si="101"/>
        <v>0.19941551883972086</v>
      </c>
      <c r="J919">
        <f t="shared" si="102"/>
        <v>-0.68066623843087504</v>
      </c>
      <c r="K919">
        <f t="shared" si="103"/>
        <v>-0.96736915042477511</v>
      </c>
      <c r="L919">
        <f t="shared" si="104"/>
        <v>0.18897107439527641</v>
      </c>
    </row>
    <row r="920" spans="1:12" x14ac:dyDescent="0.25">
      <c r="A920" s="1">
        <v>41530</v>
      </c>
      <c r="B920" s="6">
        <v>82.441900000000004</v>
      </c>
      <c r="C920" s="6">
        <v>9.5437999999999992</v>
      </c>
      <c r="D920" s="6">
        <v>8168.2</v>
      </c>
      <c r="E920" s="6">
        <v>0.94</v>
      </c>
      <c r="F920" s="6">
        <f t="shared" si="98"/>
        <v>1.0444444444444444E-2</v>
      </c>
      <c r="G920">
        <f t="shared" si="99"/>
        <v>-0.9661702275899654</v>
      </c>
      <c r="H920">
        <f t="shared" si="100"/>
        <v>-1.6265358291415843</v>
      </c>
      <c r="I920">
        <f t="shared" si="101"/>
        <v>-0.69492399116878478</v>
      </c>
      <c r="J920">
        <f t="shared" si="102"/>
        <v>-0.68717162927737674</v>
      </c>
      <c r="K920">
        <f t="shared" si="103"/>
        <v>-0.97661467203440988</v>
      </c>
      <c r="L920">
        <f t="shared" si="104"/>
        <v>-0.70536843561322926</v>
      </c>
    </row>
    <row r="921" spans="1:12" x14ac:dyDescent="0.25">
      <c r="A921" s="1">
        <v>41531</v>
      </c>
      <c r="B921" s="6">
        <v>82.441900000000004</v>
      </c>
      <c r="C921" s="6">
        <v>9.5437999999999992</v>
      </c>
      <c r="D921" s="6">
        <v>8142.48</v>
      </c>
      <c r="E921" s="6">
        <v>0.94</v>
      </c>
      <c r="F921" s="6">
        <f t="shared" si="98"/>
        <v>1.0444444444444444E-2</v>
      </c>
      <c r="G921">
        <f t="shared" si="99"/>
        <v>0</v>
      </c>
      <c r="H921">
        <f t="shared" si="100"/>
        <v>0</v>
      </c>
      <c r="I921">
        <f t="shared" si="101"/>
        <v>-0.31487965524840544</v>
      </c>
      <c r="J921">
        <f t="shared" si="102"/>
        <v>-7.3489843141871791E-3</v>
      </c>
      <c r="K921">
        <f t="shared" si="103"/>
        <v>-1.0444444444444444E-2</v>
      </c>
      <c r="L921">
        <f t="shared" si="104"/>
        <v>-0.32532409969284987</v>
      </c>
    </row>
    <row r="922" spans="1:12" x14ac:dyDescent="0.25">
      <c r="A922" s="1">
        <v>41533</v>
      </c>
      <c r="B922" s="6">
        <v>84.854799999999997</v>
      </c>
      <c r="C922" s="6">
        <v>9.6621000000000006</v>
      </c>
      <c r="D922" s="6">
        <v>8255.34</v>
      </c>
      <c r="E922" s="6">
        <v>0.94</v>
      </c>
      <c r="F922" s="6">
        <f t="shared" si="98"/>
        <v>1.0444444444444444E-2</v>
      </c>
      <c r="G922">
        <f t="shared" si="99"/>
        <v>2.9267884413144207</v>
      </c>
      <c r="H922">
        <f t="shared" si="100"/>
        <v>1.2395481883526627</v>
      </c>
      <c r="I922">
        <f t="shared" si="101"/>
        <v>1.3860641966575367</v>
      </c>
      <c r="J922">
        <f t="shared" si="102"/>
        <v>2.0520159211696023</v>
      </c>
      <c r="K922">
        <f t="shared" si="103"/>
        <v>2.9163439968699763</v>
      </c>
      <c r="L922">
        <f t="shared" si="104"/>
        <v>1.3756197522130922</v>
      </c>
    </row>
    <row r="923" spans="1:12" x14ac:dyDescent="0.25">
      <c r="A923" s="1">
        <v>41534</v>
      </c>
      <c r="B923" s="6">
        <v>84.854799999999997</v>
      </c>
      <c r="C923" s="6">
        <v>9.5437999999999992</v>
      </c>
      <c r="D923" s="6">
        <v>8249.7800000000007</v>
      </c>
      <c r="E923" s="6">
        <v>0.94</v>
      </c>
      <c r="F923" s="6">
        <f t="shared" si="98"/>
        <v>1.0444444444444444E-2</v>
      </c>
      <c r="G923">
        <f t="shared" si="99"/>
        <v>0</v>
      </c>
      <c r="H923">
        <f t="shared" si="100"/>
        <v>-1.224371513439122</v>
      </c>
      <c r="I923">
        <f t="shared" si="101"/>
        <v>-6.7350345352214333E-2</v>
      </c>
      <c r="J923">
        <f t="shared" si="102"/>
        <v>-7.3489843141871791E-3</v>
      </c>
      <c r="K923">
        <f t="shared" si="103"/>
        <v>-1.0444444444444444E-2</v>
      </c>
      <c r="L923">
        <f t="shared" si="104"/>
        <v>-7.779478979665877E-2</v>
      </c>
    </row>
    <row r="924" spans="1:12" x14ac:dyDescent="0.25">
      <c r="A924" s="1">
        <v>41535</v>
      </c>
      <c r="B924" s="6">
        <v>82.843999999999994</v>
      </c>
      <c r="C924" s="6">
        <v>9.5437999999999992</v>
      </c>
      <c r="D924" s="6">
        <v>8209.18</v>
      </c>
      <c r="E924" s="6">
        <v>0.94</v>
      </c>
      <c r="F924" s="6">
        <f t="shared" si="98"/>
        <v>1.0444444444444444E-2</v>
      </c>
      <c r="G924">
        <f t="shared" si="99"/>
        <v>-2.3696950555537262</v>
      </c>
      <c r="H924">
        <f t="shared" si="100"/>
        <v>0</v>
      </c>
      <c r="I924">
        <f t="shared" si="101"/>
        <v>-0.4921343357035019</v>
      </c>
      <c r="J924">
        <f t="shared" si="102"/>
        <v>-1.6747284112720728</v>
      </c>
      <c r="K924">
        <f t="shared" si="103"/>
        <v>-2.3801394999981706</v>
      </c>
      <c r="L924">
        <f t="shared" si="104"/>
        <v>-0.50257878014794632</v>
      </c>
    </row>
    <row r="925" spans="1:12" x14ac:dyDescent="0.25">
      <c r="A925" s="1">
        <v>41540</v>
      </c>
      <c r="B925" s="6">
        <v>84.854799999999997</v>
      </c>
      <c r="C925" s="6">
        <v>9.9382000000000001</v>
      </c>
      <c r="D925" s="6">
        <v>8292.83</v>
      </c>
      <c r="E925" s="6">
        <v>0.94</v>
      </c>
      <c r="F925" s="6">
        <f t="shared" si="98"/>
        <v>1.0444444444444444E-2</v>
      </c>
      <c r="G925">
        <f t="shared" si="99"/>
        <v>2.4272125923422379</v>
      </c>
      <c r="H925">
        <f t="shared" si="100"/>
        <v>4.132525828286437</v>
      </c>
      <c r="I925">
        <f t="shared" si="101"/>
        <v>1.0189811893514289</v>
      </c>
      <c r="J925">
        <f t="shared" si="102"/>
        <v>1.7005012860569444</v>
      </c>
      <c r="K925">
        <f t="shared" si="103"/>
        <v>2.4167681478977934</v>
      </c>
      <c r="L925">
        <f t="shared" si="104"/>
        <v>1.0085367449069844</v>
      </c>
    </row>
    <row r="926" spans="1:12" x14ac:dyDescent="0.25">
      <c r="A926" s="1">
        <v>41541</v>
      </c>
      <c r="B926" s="6">
        <v>84.452699999999993</v>
      </c>
      <c r="C926" s="6">
        <v>10.293100000000001</v>
      </c>
      <c r="D926" s="6">
        <v>8299.1200000000008</v>
      </c>
      <c r="E926" s="6">
        <v>0.94</v>
      </c>
      <c r="F926" s="6">
        <f t="shared" si="98"/>
        <v>1.0444444444444444E-2</v>
      </c>
      <c r="G926">
        <f t="shared" si="99"/>
        <v>-0.47386830208780689</v>
      </c>
      <c r="H926">
        <f t="shared" si="100"/>
        <v>3.5710692077036148</v>
      </c>
      <c r="I926">
        <f t="shared" si="101"/>
        <v>7.584865480180919E-2</v>
      </c>
      <c r="J926">
        <f t="shared" si="102"/>
        <v>-0.34077511698763657</v>
      </c>
      <c r="K926">
        <f t="shared" si="103"/>
        <v>-0.48431274653225131</v>
      </c>
      <c r="L926">
        <f t="shared" si="104"/>
        <v>6.5404210357364739E-2</v>
      </c>
    </row>
    <row r="927" spans="1:12" x14ac:dyDescent="0.25">
      <c r="A927" s="1">
        <v>41542</v>
      </c>
      <c r="B927" s="6">
        <v>82.843999999999994</v>
      </c>
      <c r="C927" s="6">
        <v>10.2142</v>
      </c>
      <c r="D927" s="6">
        <v>8283.9</v>
      </c>
      <c r="E927" s="6">
        <v>0.94</v>
      </c>
      <c r="F927" s="6">
        <f t="shared" si="98"/>
        <v>1.0444444444444444E-2</v>
      </c>
      <c r="G927">
        <f t="shared" si="99"/>
        <v>-1.9048532492152401</v>
      </c>
      <c r="H927">
        <f t="shared" si="100"/>
        <v>-0.76653292011153928</v>
      </c>
      <c r="I927">
        <f t="shared" si="101"/>
        <v>-0.18339293804645748</v>
      </c>
      <c r="J927">
        <f t="shared" si="102"/>
        <v>-1.3476535571205865</v>
      </c>
      <c r="K927">
        <f t="shared" si="103"/>
        <v>-1.9152976936596846</v>
      </c>
      <c r="L927">
        <f t="shared" si="104"/>
        <v>-0.19383738249090193</v>
      </c>
    </row>
    <row r="928" spans="1:12" x14ac:dyDescent="0.25">
      <c r="A928" s="1">
        <v>41543</v>
      </c>
      <c r="B928" s="6">
        <v>81.637600000000006</v>
      </c>
      <c r="C928" s="6">
        <v>9.9776000000000007</v>
      </c>
      <c r="D928" s="6">
        <v>8184.68</v>
      </c>
      <c r="E928" s="6">
        <v>0.94</v>
      </c>
      <c r="F928" s="6">
        <f t="shared" si="98"/>
        <v>1.0444444444444444E-2</v>
      </c>
      <c r="G928">
        <f t="shared" si="99"/>
        <v>-1.4562309883636571</v>
      </c>
      <c r="H928">
        <f t="shared" si="100"/>
        <v>-2.3163830745432756</v>
      </c>
      <c r="I928">
        <f t="shared" si="101"/>
        <v>-1.1977450234792713</v>
      </c>
      <c r="J928">
        <f t="shared" si="102"/>
        <v>-1.0319911994403603</v>
      </c>
      <c r="K928">
        <f t="shared" si="103"/>
        <v>-1.4666754328081015</v>
      </c>
      <c r="L928">
        <f t="shared" si="104"/>
        <v>-1.2081894679237157</v>
      </c>
    </row>
    <row r="929" spans="1:12" x14ac:dyDescent="0.25">
      <c r="A929" s="1">
        <v>41544</v>
      </c>
      <c r="B929" s="6">
        <v>82.843999999999994</v>
      </c>
      <c r="C929" s="6">
        <v>10.016999999999999</v>
      </c>
      <c r="D929" s="6">
        <v>8230.68</v>
      </c>
      <c r="E929" s="6">
        <v>0.94</v>
      </c>
      <c r="F929" s="6">
        <f t="shared" si="98"/>
        <v>1.0444444444444444E-2</v>
      </c>
      <c r="G929">
        <f t="shared" si="99"/>
        <v>1.4777504483228168</v>
      </c>
      <c r="H929">
        <f t="shared" si="100"/>
        <v>0.39488454137266243</v>
      </c>
      <c r="I929">
        <f t="shared" si="101"/>
        <v>0.56202563814345829</v>
      </c>
      <c r="J929">
        <f t="shared" si="102"/>
        <v>1.0324348857397179</v>
      </c>
      <c r="K929">
        <f t="shared" si="103"/>
        <v>1.4673060038783723</v>
      </c>
      <c r="L929">
        <f t="shared" si="104"/>
        <v>0.55158119369901382</v>
      </c>
    </row>
    <row r="930" spans="1:12" x14ac:dyDescent="0.25">
      <c r="A930" s="1">
        <v>41547</v>
      </c>
      <c r="B930" s="6">
        <v>80.833299999999994</v>
      </c>
      <c r="C930" s="6">
        <v>9.9776000000000007</v>
      </c>
      <c r="D930" s="6">
        <v>8173.87</v>
      </c>
      <c r="E930" s="6">
        <v>0.94</v>
      </c>
      <c r="F930" s="6">
        <f t="shared" si="98"/>
        <v>1.0444444444444444E-2</v>
      </c>
      <c r="G930">
        <f t="shared" si="99"/>
        <v>-2.427091883540148</v>
      </c>
      <c r="H930">
        <f t="shared" si="100"/>
        <v>-0.39333133672755088</v>
      </c>
      <c r="I930">
        <f t="shared" si="101"/>
        <v>-0.69022243605632094</v>
      </c>
      <c r="J930">
        <f t="shared" si="102"/>
        <v>-1.7151143208146988</v>
      </c>
      <c r="K930">
        <f t="shared" si="103"/>
        <v>-2.4375363279845925</v>
      </c>
      <c r="L930">
        <f t="shared" si="104"/>
        <v>-0.70066688050076542</v>
      </c>
    </row>
    <row r="931" spans="1:12" x14ac:dyDescent="0.25">
      <c r="A931" s="1">
        <v>41548</v>
      </c>
      <c r="B931" s="6">
        <v>81.637600000000006</v>
      </c>
      <c r="C931" s="6">
        <v>9.9382000000000001</v>
      </c>
      <c r="D931" s="6">
        <v>8187.02</v>
      </c>
      <c r="E931" s="6">
        <v>0.94</v>
      </c>
      <c r="F931" s="6">
        <f t="shared" si="98"/>
        <v>1.0444444444444444E-2</v>
      </c>
      <c r="G931">
        <f t="shared" si="99"/>
        <v>0.99501071959206422</v>
      </c>
      <c r="H931">
        <f t="shared" si="100"/>
        <v>-0.39488454137268025</v>
      </c>
      <c r="I931">
        <f t="shared" si="101"/>
        <v>0.16087850675384543</v>
      </c>
      <c r="J931">
        <f t="shared" si="102"/>
        <v>0.69276658522380863</v>
      </c>
      <c r="K931">
        <f t="shared" si="103"/>
        <v>0.98456627514761974</v>
      </c>
      <c r="L931">
        <f t="shared" si="104"/>
        <v>0.15043406230940098</v>
      </c>
    </row>
    <row r="932" spans="1:12" x14ac:dyDescent="0.25">
      <c r="A932" s="1">
        <v>41549</v>
      </c>
      <c r="B932" s="6">
        <v>82.843999999999994</v>
      </c>
      <c r="C932" s="6">
        <v>9.8199000000000005</v>
      </c>
      <c r="D932" s="6">
        <v>8216.52</v>
      </c>
      <c r="E932" s="6">
        <v>0.94</v>
      </c>
      <c r="F932" s="6">
        <f t="shared" si="98"/>
        <v>1.0444444444444444E-2</v>
      </c>
      <c r="G932">
        <f t="shared" si="99"/>
        <v>1.4777504483228168</v>
      </c>
      <c r="H932">
        <f t="shared" si="100"/>
        <v>-1.1903564025678657</v>
      </c>
      <c r="I932">
        <f t="shared" si="101"/>
        <v>0.3603264679944595</v>
      </c>
      <c r="J932">
        <f t="shared" si="102"/>
        <v>1.0324348857397179</v>
      </c>
      <c r="K932">
        <f t="shared" si="103"/>
        <v>1.4673060038783723</v>
      </c>
      <c r="L932">
        <f t="shared" si="104"/>
        <v>0.34988202355001508</v>
      </c>
    </row>
    <row r="933" spans="1:12" x14ac:dyDescent="0.25">
      <c r="A933" s="1">
        <v>41550</v>
      </c>
      <c r="B933" s="6">
        <v>84.452699999999993</v>
      </c>
      <c r="C933" s="6">
        <v>10.293100000000001</v>
      </c>
      <c r="D933" s="6">
        <v>8359.02</v>
      </c>
      <c r="E933" s="6">
        <v>0.94</v>
      </c>
      <c r="F933" s="6">
        <f t="shared" si="98"/>
        <v>1.0444444444444444E-2</v>
      </c>
      <c r="G933">
        <f t="shared" si="99"/>
        <v>1.9418424991550371</v>
      </c>
      <c r="H933">
        <f t="shared" si="100"/>
        <v>4.818786342019779</v>
      </c>
      <c r="I933">
        <f t="shared" si="101"/>
        <v>1.7343108761373427</v>
      </c>
      <c r="J933">
        <f t="shared" si="102"/>
        <v>1.3589821923050851</v>
      </c>
      <c r="K933">
        <f t="shared" si="103"/>
        <v>1.9313980547105927</v>
      </c>
      <c r="L933">
        <f t="shared" si="104"/>
        <v>1.7238664316928982</v>
      </c>
    </row>
    <row r="934" spans="1:12" x14ac:dyDescent="0.25">
      <c r="A934" s="1">
        <v>41551</v>
      </c>
      <c r="B934" s="6">
        <v>83.648300000000006</v>
      </c>
      <c r="C934" s="6">
        <v>10.135400000000001</v>
      </c>
      <c r="D934" s="6">
        <v>8364.5499999999993</v>
      </c>
      <c r="E934" s="6">
        <v>0.94</v>
      </c>
      <c r="F934" s="6">
        <f t="shared" si="98"/>
        <v>1.0444444444444444E-2</v>
      </c>
      <c r="G934">
        <f t="shared" si="99"/>
        <v>-0.95248582934587878</v>
      </c>
      <c r="H934">
        <f t="shared" si="100"/>
        <v>-1.5320943156094875</v>
      </c>
      <c r="I934">
        <f t="shared" si="101"/>
        <v>6.6156080497460648E-2</v>
      </c>
      <c r="J934">
        <f t="shared" si="102"/>
        <v>-0.67754292871988797</v>
      </c>
      <c r="K934">
        <f t="shared" si="103"/>
        <v>-0.96293027379032325</v>
      </c>
      <c r="L934">
        <f t="shared" si="104"/>
        <v>5.5711636053016204E-2</v>
      </c>
    </row>
    <row r="935" spans="1:12" x14ac:dyDescent="0.25">
      <c r="A935" s="1">
        <v>41554</v>
      </c>
      <c r="B935" s="6">
        <v>82.843999999999994</v>
      </c>
      <c r="C935" s="6">
        <v>10.0565</v>
      </c>
      <c r="D935" s="6">
        <v>8333.66</v>
      </c>
      <c r="E935" s="6">
        <v>0.94</v>
      </c>
      <c r="F935" s="6">
        <f t="shared" si="98"/>
        <v>1.0444444444444444E-2</v>
      </c>
      <c r="G935">
        <f t="shared" si="99"/>
        <v>-0.96152581702199802</v>
      </c>
      <c r="H935">
        <f t="shared" si="100"/>
        <v>-0.77845965625432501</v>
      </c>
      <c r="I935">
        <f t="shared" si="101"/>
        <v>-0.36929661488065013</v>
      </c>
      <c r="J935">
        <f t="shared" si="102"/>
        <v>-0.6839037005144647</v>
      </c>
      <c r="K935">
        <f t="shared" si="103"/>
        <v>-0.9719702614664425</v>
      </c>
      <c r="L935">
        <f t="shared" si="104"/>
        <v>-0.37974105932509455</v>
      </c>
    </row>
    <row r="936" spans="1:12" x14ac:dyDescent="0.25">
      <c r="A936" s="1">
        <v>41555</v>
      </c>
      <c r="B936" s="6">
        <v>84.452699999999993</v>
      </c>
      <c r="C936" s="6">
        <v>10.3325</v>
      </c>
      <c r="D936" s="6">
        <v>8375.65</v>
      </c>
      <c r="E936" s="6">
        <v>0.94</v>
      </c>
      <c r="F936" s="6">
        <f t="shared" si="98"/>
        <v>1.0444444444444444E-2</v>
      </c>
      <c r="G936">
        <f t="shared" si="99"/>
        <v>1.9418424991550371</v>
      </c>
      <c r="H936">
        <f t="shared" si="100"/>
        <v>2.7444936110972984</v>
      </c>
      <c r="I936">
        <f t="shared" si="101"/>
        <v>0.50386024867824919</v>
      </c>
      <c r="J936">
        <f t="shared" si="102"/>
        <v>1.3589821923050851</v>
      </c>
      <c r="K936">
        <f t="shared" si="103"/>
        <v>1.9313980547105927</v>
      </c>
      <c r="L936">
        <f t="shared" si="104"/>
        <v>0.49341580423380477</v>
      </c>
    </row>
    <row r="937" spans="1:12" x14ac:dyDescent="0.25">
      <c r="A937" s="1">
        <v>41556</v>
      </c>
      <c r="B937" s="6">
        <v>84.452699999999993</v>
      </c>
      <c r="C937" s="6">
        <v>10.0959</v>
      </c>
      <c r="D937" s="6">
        <v>8344.73</v>
      </c>
      <c r="E937" s="6">
        <v>0.94</v>
      </c>
      <c r="F937" s="6">
        <f t="shared" si="98"/>
        <v>1.0444444444444444E-2</v>
      </c>
      <c r="G937">
        <f t="shared" si="99"/>
        <v>0</v>
      </c>
      <c r="H937">
        <f t="shared" si="100"/>
        <v>-2.2898620856520617</v>
      </c>
      <c r="I937">
        <f t="shared" si="101"/>
        <v>-0.36916537820945328</v>
      </c>
      <c r="J937">
        <f t="shared" si="102"/>
        <v>-7.3489843141871791E-3</v>
      </c>
      <c r="K937">
        <f t="shared" si="103"/>
        <v>-1.0444444444444444E-2</v>
      </c>
      <c r="L937">
        <f t="shared" si="104"/>
        <v>-0.3796098226538977</v>
      </c>
    </row>
    <row r="938" spans="1:12" x14ac:dyDescent="0.25">
      <c r="A938" s="1">
        <v>41558</v>
      </c>
      <c r="B938" s="6">
        <v>85.659099999999995</v>
      </c>
      <c r="C938" s="6">
        <v>9.9382000000000001</v>
      </c>
      <c r="D938" s="6">
        <v>8349.3700000000008</v>
      </c>
      <c r="E938" s="6">
        <v>0.94</v>
      </c>
      <c r="F938" s="6">
        <f t="shared" si="98"/>
        <v>1.0444444444444444E-2</v>
      </c>
      <c r="G938">
        <f t="shared" si="99"/>
        <v>1.4284919250657495</v>
      </c>
      <c r="H938">
        <f t="shared" si="100"/>
        <v>-1.5620202260323515</v>
      </c>
      <c r="I938">
        <f t="shared" si="101"/>
        <v>5.5603956029748561E-2</v>
      </c>
      <c r="J938">
        <f t="shared" si="102"/>
        <v>0.99777530028433592</v>
      </c>
      <c r="K938">
        <f t="shared" si="103"/>
        <v>1.418047480621305</v>
      </c>
      <c r="L938">
        <f t="shared" si="104"/>
        <v>4.5159511585304117E-2</v>
      </c>
    </row>
    <row r="939" spans="1:12" x14ac:dyDescent="0.25">
      <c r="A939" s="1">
        <v>41561</v>
      </c>
      <c r="B939" s="6">
        <v>84.452699999999993</v>
      </c>
      <c r="C939" s="6">
        <v>9.7015999999999991</v>
      </c>
      <c r="D939" s="6">
        <v>8273.9599999999991</v>
      </c>
      <c r="E939" s="6">
        <v>0.94</v>
      </c>
      <c r="F939" s="6">
        <f t="shared" si="98"/>
        <v>1.0444444444444444E-2</v>
      </c>
      <c r="G939">
        <f t="shared" si="99"/>
        <v>-1.4083734244230937</v>
      </c>
      <c r="H939">
        <f t="shared" si="100"/>
        <v>-2.3807128051357491</v>
      </c>
      <c r="I939">
        <f t="shared" si="101"/>
        <v>-0.903181916719485</v>
      </c>
      <c r="J939">
        <f t="shared" si="102"/>
        <v>-0.99831736560600193</v>
      </c>
      <c r="K939">
        <f t="shared" si="103"/>
        <v>-1.4188178688675381</v>
      </c>
      <c r="L939">
        <f t="shared" si="104"/>
        <v>-0.91362636116392948</v>
      </c>
    </row>
    <row r="940" spans="1:12" x14ac:dyDescent="0.25">
      <c r="A940" s="1">
        <v>41562</v>
      </c>
      <c r="B940" s="6">
        <v>86.061300000000003</v>
      </c>
      <c r="C940" s="6">
        <v>10.0565</v>
      </c>
      <c r="D940" s="6">
        <v>8367.8799999999992</v>
      </c>
      <c r="E940" s="6">
        <v>0.94</v>
      </c>
      <c r="F940" s="6">
        <f t="shared" si="98"/>
        <v>1.0444444444444444E-2</v>
      </c>
      <c r="G940">
        <f t="shared" si="99"/>
        <v>1.9047348397387058</v>
      </c>
      <c r="H940">
        <f t="shared" si="100"/>
        <v>3.6581594788488569</v>
      </c>
      <c r="I940">
        <f t="shared" si="101"/>
        <v>1.1351275568168093</v>
      </c>
      <c r="J940">
        <f t="shared" si="102"/>
        <v>1.3328722724871982</v>
      </c>
      <c r="K940">
        <f t="shared" si="103"/>
        <v>1.8942903952942614</v>
      </c>
      <c r="L940">
        <f t="shared" si="104"/>
        <v>1.1246831123723648</v>
      </c>
    </row>
    <row r="941" spans="1:12" x14ac:dyDescent="0.25">
      <c r="A941" s="1">
        <v>41563</v>
      </c>
      <c r="B941" s="6">
        <v>85.257000000000005</v>
      </c>
      <c r="C941" s="6">
        <v>9.8199000000000005</v>
      </c>
      <c r="D941" s="6">
        <v>8332.18</v>
      </c>
      <c r="E941" s="6">
        <v>0.94</v>
      </c>
      <c r="F941" s="6">
        <f t="shared" si="98"/>
        <v>1.0444444444444444E-2</v>
      </c>
      <c r="G941">
        <f t="shared" si="99"/>
        <v>-0.93456640789762391</v>
      </c>
      <c r="H941">
        <f t="shared" si="100"/>
        <v>-2.3527072042957218</v>
      </c>
      <c r="I941">
        <f t="shared" si="101"/>
        <v>-0.42663135704621613</v>
      </c>
      <c r="J941">
        <f t="shared" si="102"/>
        <v>-0.66493435505730492</v>
      </c>
      <c r="K941">
        <f t="shared" si="103"/>
        <v>-0.94501085234206839</v>
      </c>
      <c r="L941">
        <f t="shared" si="104"/>
        <v>-0.43707580149066055</v>
      </c>
    </row>
    <row r="942" spans="1:12" x14ac:dyDescent="0.25">
      <c r="A942" s="1">
        <v>41564</v>
      </c>
      <c r="B942" s="6">
        <v>86.061300000000003</v>
      </c>
      <c r="C942" s="6">
        <v>9.9776000000000007</v>
      </c>
      <c r="D942" s="6">
        <v>8374.68</v>
      </c>
      <c r="E942" s="6">
        <v>0.94</v>
      </c>
      <c r="F942" s="6">
        <f t="shared" si="98"/>
        <v>1.0444444444444444E-2</v>
      </c>
      <c r="G942">
        <f t="shared" si="99"/>
        <v>0.94338294802772527</v>
      </c>
      <c r="H942">
        <f t="shared" si="100"/>
        <v>1.6059226672369389</v>
      </c>
      <c r="I942">
        <f t="shared" si="101"/>
        <v>0.51007059377017783</v>
      </c>
      <c r="J942">
        <f t="shared" si="102"/>
        <v>0.65643993468524586</v>
      </c>
      <c r="K942">
        <f t="shared" si="103"/>
        <v>0.93293850358328079</v>
      </c>
      <c r="L942">
        <f t="shared" si="104"/>
        <v>0.4996261493257334</v>
      </c>
    </row>
    <row r="943" spans="1:12" x14ac:dyDescent="0.25">
      <c r="A943" s="1">
        <v>41565</v>
      </c>
      <c r="B943" s="6">
        <v>88.474199999999996</v>
      </c>
      <c r="C943" s="6">
        <v>10.2142</v>
      </c>
      <c r="D943" s="6">
        <v>8441.19</v>
      </c>
      <c r="E943" s="6">
        <v>0.94</v>
      </c>
      <c r="F943" s="6">
        <f t="shared" si="98"/>
        <v>1.0444444444444444E-2</v>
      </c>
      <c r="G943">
        <f t="shared" si="99"/>
        <v>2.8036992236928717</v>
      </c>
      <c r="H943">
        <f t="shared" si="100"/>
        <v>2.3713117382937705</v>
      </c>
      <c r="I943">
        <f t="shared" si="101"/>
        <v>0.79417959850406483</v>
      </c>
      <c r="J943">
        <f t="shared" si="102"/>
        <v>1.9654071279151659</v>
      </c>
      <c r="K943">
        <f t="shared" si="103"/>
        <v>2.7932547792484272</v>
      </c>
      <c r="L943">
        <f t="shared" si="104"/>
        <v>0.78373515405962035</v>
      </c>
    </row>
    <row r="944" spans="1:12" x14ac:dyDescent="0.25">
      <c r="A944" s="1">
        <v>41568</v>
      </c>
      <c r="B944" s="6">
        <v>88.474199999999996</v>
      </c>
      <c r="C944" s="6">
        <v>10.2537</v>
      </c>
      <c r="D944" s="6">
        <v>8419.32</v>
      </c>
      <c r="E944" s="6">
        <v>0.94</v>
      </c>
      <c r="F944" s="6">
        <f t="shared" si="98"/>
        <v>1.0444444444444444E-2</v>
      </c>
      <c r="G944">
        <f t="shared" si="99"/>
        <v>0</v>
      </c>
      <c r="H944">
        <f t="shared" si="100"/>
        <v>0.38671653188698391</v>
      </c>
      <c r="I944">
        <f t="shared" si="101"/>
        <v>-0.25908669275304547</v>
      </c>
      <c r="J944">
        <f t="shared" si="102"/>
        <v>-7.3489843141871791E-3</v>
      </c>
      <c r="K944">
        <f t="shared" si="103"/>
        <v>-1.0444444444444444E-2</v>
      </c>
      <c r="L944">
        <f t="shared" si="104"/>
        <v>-0.26953113719748989</v>
      </c>
    </row>
    <row r="945" spans="1:12" x14ac:dyDescent="0.25">
      <c r="A945" s="1">
        <v>41569</v>
      </c>
      <c r="B945" s="6">
        <v>89.680700000000002</v>
      </c>
      <c r="C945" s="6">
        <v>10.174799999999999</v>
      </c>
      <c r="D945" s="6">
        <v>8418.27</v>
      </c>
      <c r="E945" s="6">
        <v>0.94</v>
      </c>
      <c r="F945" s="6">
        <f t="shared" si="98"/>
        <v>1.0444444444444444E-2</v>
      </c>
      <c r="G945">
        <f t="shared" si="99"/>
        <v>1.3636743819102128</v>
      </c>
      <c r="H945">
        <f t="shared" si="100"/>
        <v>-0.76947833464993964</v>
      </c>
      <c r="I945">
        <f t="shared" si="101"/>
        <v>-1.2471315973252857E-2</v>
      </c>
      <c r="J945">
        <f t="shared" si="102"/>
        <v>0.95216798143957304</v>
      </c>
      <c r="K945">
        <f t="shared" si="103"/>
        <v>1.3532299374657684</v>
      </c>
      <c r="L945">
        <f t="shared" si="104"/>
        <v>-2.2915760417697301E-2</v>
      </c>
    </row>
    <row r="946" spans="1:12" x14ac:dyDescent="0.25">
      <c r="A946" s="1">
        <v>41570</v>
      </c>
      <c r="B946" s="6">
        <v>89.278499999999994</v>
      </c>
      <c r="C946" s="6">
        <v>10.0959</v>
      </c>
      <c r="D946" s="6">
        <v>8393.6200000000008</v>
      </c>
      <c r="E946" s="6">
        <v>0.94</v>
      </c>
      <c r="F946" s="6">
        <f t="shared" si="98"/>
        <v>1.0444444444444444E-2</v>
      </c>
      <c r="G946">
        <f t="shared" si="99"/>
        <v>-0.44847999625338303</v>
      </c>
      <c r="H946">
        <f t="shared" si="100"/>
        <v>-0.77544521759640572</v>
      </c>
      <c r="I946">
        <f t="shared" si="101"/>
        <v>-0.29281550722416405</v>
      </c>
      <c r="J946">
        <f t="shared" si="102"/>
        <v>-0.32291124090179923</v>
      </c>
      <c r="K946">
        <f t="shared" si="103"/>
        <v>-0.45892444069782745</v>
      </c>
      <c r="L946">
        <f t="shared" si="104"/>
        <v>-0.30325995166860847</v>
      </c>
    </row>
    <row r="947" spans="1:12" x14ac:dyDescent="0.25">
      <c r="A947" s="1">
        <v>41571</v>
      </c>
      <c r="B947" s="6">
        <v>88.474199999999996</v>
      </c>
      <c r="C947" s="6">
        <v>10.0565</v>
      </c>
      <c r="D947" s="6">
        <v>8413.7199999999993</v>
      </c>
      <c r="E947" s="6">
        <v>0.94</v>
      </c>
      <c r="F947" s="6">
        <f t="shared" si="98"/>
        <v>1.0444444444444444E-2</v>
      </c>
      <c r="G947">
        <f t="shared" si="99"/>
        <v>-0.9008887918143762</v>
      </c>
      <c r="H947">
        <f t="shared" si="100"/>
        <v>-0.39025743123446693</v>
      </c>
      <c r="I947">
        <f t="shared" si="101"/>
        <v>0.23946759562618444</v>
      </c>
      <c r="J947">
        <f t="shared" si="102"/>
        <v>-0.64123790345076181</v>
      </c>
      <c r="K947">
        <f t="shared" si="103"/>
        <v>-0.91133323625882068</v>
      </c>
      <c r="L947">
        <f t="shared" si="104"/>
        <v>0.22902315118173999</v>
      </c>
    </row>
    <row r="948" spans="1:12" x14ac:dyDescent="0.25">
      <c r="A948" s="1">
        <v>41572</v>
      </c>
      <c r="B948" s="6">
        <v>86.061300000000003</v>
      </c>
      <c r="C948" s="6">
        <v>9.8986999999999998</v>
      </c>
      <c r="D948" s="6">
        <v>8346.6200000000008</v>
      </c>
      <c r="E948" s="6">
        <v>0.94</v>
      </c>
      <c r="F948" s="6">
        <f t="shared" si="98"/>
        <v>1.0444444444444444E-2</v>
      </c>
      <c r="G948">
        <f t="shared" si="99"/>
        <v>-2.7272357365197917</v>
      </c>
      <c r="H948">
        <f t="shared" si="100"/>
        <v>-1.5691343906925863</v>
      </c>
      <c r="I948">
        <f t="shared" si="101"/>
        <v>-0.7975069291585476</v>
      </c>
      <c r="J948">
        <f t="shared" si="102"/>
        <v>-1.9263033868564428</v>
      </c>
      <c r="K948">
        <f t="shared" si="103"/>
        <v>-2.7376801809642362</v>
      </c>
      <c r="L948">
        <f t="shared" si="104"/>
        <v>-0.80795137360299207</v>
      </c>
    </row>
    <row r="949" spans="1:12" x14ac:dyDescent="0.25">
      <c r="A949" s="1">
        <v>41575</v>
      </c>
      <c r="B949" s="6">
        <v>88.072100000000006</v>
      </c>
      <c r="C949" s="6">
        <v>9.9776000000000007</v>
      </c>
      <c r="D949" s="6">
        <v>8407.83</v>
      </c>
      <c r="E949" s="6">
        <v>0.94</v>
      </c>
      <c r="F949" s="6">
        <f t="shared" si="98"/>
        <v>1.0444444444444444E-2</v>
      </c>
      <c r="G949">
        <f t="shared" si="99"/>
        <v>2.336474117867152</v>
      </c>
      <c r="H949">
        <f t="shared" si="100"/>
        <v>0.79707436330024006</v>
      </c>
      <c r="I949">
        <f t="shared" si="101"/>
        <v>0.73335074557125068</v>
      </c>
      <c r="J949">
        <f t="shared" si="102"/>
        <v>1.6366553219027304</v>
      </c>
      <c r="K949">
        <f t="shared" si="103"/>
        <v>2.3260296734227075</v>
      </c>
      <c r="L949">
        <f t="shared" si="104"/>
        <v>0.72290630112680621</v>
      </c>
    </row>
    <row r="950" spans="1:12" x14ac:dyDescent="0.25">
      <c r="A950" s="1">
        <v>41576</v>
      </c>
      <c r="B950" s="6">
        <v>88.072100000000006</v>
      </c>
      <c r="C950" s="6">
        <v>9.9776000000000007</v>
      </c>
      <c r="D950" s="6">
        <v>8420.98</v>
      </c>
      <c r="E950" s="6">
        <v>0.94</v>
      </c>
      <c r="F950" s="6">
        <f t="shared" si="98"/>
        <v>1.0444444444444444E-2</v>
      </c>
      <c r="G950">
        <f t="shared" si="99"/>
        <v>0</v>
      </c>
      <c r="H950">
        <f t="shared" si="100"/>
        <v>0</v>
      </c>
      <c r="I950">
        <f t="shared" si="101"/>
        <v>0.15640183019875087</v>
      </c>
      <c r="J950">
        <f t="shared" si="102"/>
        <v>-7.3489843141871791E-3</v>
      </c>
      <c r="K950">
        <f t="shared" si="103"/>
        <v>-1.0444444444444444E-2</v>
      </c>
      <c r="L950">
        <f t="shared" si="104"/>
        <v>0.14595738575430642</v>
      </c>
    </row>
    <row r="951" spans="1:12" x14ac:dyDescent="0.25">
      <c r="A951" s="1">
        <v>41577</v>
      </c>
      <c r="B951" s="6">
        <v>88.474199999999996</v>
      </c>
      <c r="C951" s="6">
        <v>10.3325</v>
      </c>
      <c r="D951" s="6">
        <v>8465.06</v>
      </c>
      <c r="E951" s="6">
        <v>0.94</v>
      </c>
      <c r="F951" s="6">
        <f t="shared" si="98"/>
        <v>1.0444444444444444E-2</v>
      </c>
      <c r="G951">
        <f t="shared" si="99"/>
        <v>0.45655775211444954</v>
      </c>
      <c r="H951">
        <f t="shared" si="100"/>
        <v>3.5569676074406558</v>
      </c>
      <c r="I951">
        <f t="shared" si="101"/>
        <v>0.52345451479518923</v>
      </c>
      <c r="J951">
        <f t="shared" si="102"/>
        <v>0.31389699259311959</v>
      </c>
      <c r="K951">
        <f t="shared" si="103"/>
        <v>0.44611330767000512</v>
      </c>
      <c r="L951">
        <f t="shared" si="104"/>
        <v>0.51301007035074475</v>
      </c>
    </row>
    <row r="952" spans="1:12" x14ac:dyDescent="0.25">
      <c r="A952" s="1">
        <v>41578</v>
      </c>
      <c r="B952" s="6">
        <v>88.072100000000006</v>
      </c>
      <c r="C952" s="6">
        <v>9.8199000000000005</v>
      </c>
      <c r="D952" s="6">
        <v>8450.06</v>
      </c>
      <c r="E952" s="6">
        <v>0.94</v>
      </c>
      <c r="F952" s="6">
        <f t="shared" si="98"/>
        <v>1.0444444444444444E-2</v>
      </c>
      <c r="G952">
        <f t="shared" si="99"/>
        <v>-0.4544827757696483</v>
      </c>
      <c r="H952">
        <f t="shared" si="100"/>
        <v>-4.9610452455843124</v>
      </c>
      <c r="I952">
        <f t="shared" si="101"/>
        <v>-0.17719898027893483</v>
      </c>
      <c r="J952">
        <f t="shared" si="102"/>
        <v>-0.32713495358859729</v>
      </c>
      <c r="K952">
        <f t="shared" si="103"/>
        <v>-0.46492722021409272</v>
      </c>
      <c r="L952">
        <f t="shared" si="104"/>
        <v>-0.18764342472337928</v>
      </c>
    </row>
    <row r="953" spans="1:12" x14ac:dyDescent="0.25">
      <c r="A953" s="1">
        <v>41579</v>
      </c>
      <c r="B953" s="6">
        <v>88.072100000000006</v>
      </c>
      <c r="C953" s="6">
        <v>9.8199000000000005</v>
      </c>
      <c r="D953" s="6">
        <v>8388.18</v>
      </c>
      <c r="E953" s="6">
        <v>0.94</v>
      </c>
      <c r="F953" s="6">
        <f t="shared" si="98"/>
        <v>1.0444444444444444E-2</v>
      </c>
      <c r="G953">
        <f t="shared" si="99"/>
        <v>0</v>
      </c>
      <c r="H953">
        <f t="shared" si="100"/>
        <v>0</v>
      </c>
      <c r="I953">
        <f t="shared" si="101"/>
        <v>-0.7323024925266709</v>
      </c>
      <c r="J953">
        <f t="shared" si="102"/>
        <v>-7.3489843141871791E-3</v>
      </c>
      <c r="K953">
        <f t="shared" si="103"/>
        <v>-1.0444444444444444E-2</v>
      </c>
      <c r="L953">
        <f t="shared" si="104"/>
        <v>-0.74274693697111538</v>
      </c>
    </row>
    <row r="954" spans="1:12" x14ac:dyDescent="0.25">
      <c r="A954" s="1">
        <v>41582</v>
      </c>
      <c r="B954" s="6">
        <v>87.669899999999998</v>
      </c>
      <c r="C954" s="6">
        <v>9.7409999999999997</v>
      </c>
      <c r="D954" s="6">
        <v>8354.14</v>
      </c>
      <c r="E954" s="6">
        <v>0.94</v>
      </c>
      <c r="F954" s="6">
        <f t="shared" si="98"/>
        <v>1.0444444444444444E-2</v>
      </c>
      <c r="G954">
        <f t="shared" si="99"/>
        <v>-0.45667129544998658</v>
      </c>
      <c r="H954">
        <f t="shared" si="100"/>
        <v>-0.80347050377295959</v>
      </c>
      <c r="I954">
        <f t="shared" si="101"/>
        <v>-0.40580912665203739</v>
      </c>
      <c r="J954">
        <f t="shared" si="102"/>
        <v>-0.32867485328241497</v>
      </c>
      <c r="K954">
        <f t="shared" si="103"/>
        <v>-0.467115739894431</v>
      </c>
      <c r="L954">
        <f t="shared" si="104"/>
        <v>-0.41625357109648181</v>
      </c>
    </row>
    <row r="955" spans="1:12" x14ac:dyDescent="0.25">
      <c r="A955" s="1">
        <v>41583</v>
      </c>
      <c r="B955" s="6">
        <v>85.659099999999995</v>
      </c>
      <c r="C955" s="6">
        <v>9.7409999999999997</v>
      </c>
      <c r="D955" s="6">
        <v>8262.2000000000007</v>
      </c>
      <c r="E955" s="6">
        <v>0.94</v>
      </c>
      <c r="F955" s="6">
        <f t="shared" si="98"/>
        <v>1.0444444444444444E-2</v>
      </c>
      <c r="G955">
        <f t="shared" si="99"/>
        <v>-2.2936036199425383</v>
      </c>
      <c r="H955">
        <f t="shared" si="100"/>
        <v>0</v>
      </c>
      <c r="I955">
        <f t="shared" si="101"/>
        <v>-1.100532191224934</v>
      </c>
      <c r="J955">
        <f t="shared" si="102"/>
        <v>-1.6211884867959514</v>
      </c>
      <c r="K955">
        <f t="shared" si="103"/>
        <v>-2.3040480643869827</v>
      </c>
      <c r="L955">
        <f t="shared" si="104"/>
        <v>-1.1109766356693784</v>
      </c>
    </row>
    <row r="956" spans="1:12" x14ac:dyDescent="0.25">
      <c r="A956" s="1">
        <v>41584</v>
      </c>
      <c r="B956" s="6">
        <v>86.061300000000003</v>
      </c>
      <c r="C956" s="6">
        <v>9.7015999999999991</v>
      </c>
      <c r="D956" s="6">
        <v>8281.9699999999993</v>
      </c>
      <c r="E956" s="6">
        <v>0.94</v>
      </c>
      <c r="F956" s="6">
        <f t="shared" si="98"/>
        <v>1.0444444444444444E-2</v>
      </c>
      <c r="G956">
        <f t="shared" si="99"/>
        <v>0.46953563602700438</v>
      </c>
      <c r="H956">
        <f t="shared" si="100"/>
        <v>-0.40447592649625858</v>
      </c>
      <c r="I956">
        <f t="shared" si="101"/>
        <v>0.2392825155527416</v>
      </c>
      <c r="J956">
        <f t="shared" si="102"/>
        <v>0.32302857118612349</v>
      </c>
      <c r="K956">
        <f t="shared" si="103"/>
        <v>0.45909119158255995</v>
      </c>
      <c r="L956">
        <f t="shared" si="104"/>
        <v>0.22883807110829715</v>
      </c>
    </row>
    <row r="957" spans="1:12" x14ac:dyDescent="0.25">
      <c r="A957" s="1">
        <v>41585</v>
      </c>
      <c r="B957" s="6">
        <v>86.061300000000003</v>
      </c>
      <c r="C957" s="6">
        <v>9.8199000000000005</v>
      </c>
      <c r="D957" s="6">
        <v>8283.7099999999991</v>
      </c>
      <c r="E957" s="6">
        <v>0.94</v>
      </c>
      <c r="F957" s="6">
        <f t="shared" si="98"/>
        <v>1.0444444444444444E-2</v>
      </c>
      <c r="G957">
        <f t="shared" si="99"/>
        <v>0</v>
      </c>
      <c r="H957">
        <f t="shared" si="100"/>
        <v>1.2193864929496312</v>
      </c>
      <c r="I957">
        <f t="shared" si="101"/>
        <v>2.1009494117942736E-2</v>
      </c>
      <c r="J957">
        <f t="shared" si="102"/>
        <v>-7.3489843141871791E-3</v>
      </c>
      <c r="K957">
        <f t="shared" si="103"/>
        <v>-1.0444444444444444E-2</v>
      </c>
      <c r="L957">
        <f t="shared" si="104"/>
        <v>1.0565049673498292E-2</v>
      </c>
    </row>
    <row r="958" spans="1:12" x14ac:dyDescent="0.25">
      <c r="A958" s="1">
        <v>41586</v>
      </c>
      <c r="B958" s="6">
        <v>85.257000000000005</v>
      </c>
      <c r="C958" s="6">
        <v>9.7409999999999997</v>
      </c>
      <c r="D958" s="6">
        <v>8229.59</v>
      </c>
      <c r="E958" s="6">
        <v>0.94</v>
      </c>
      <c r="F958" s="6">
        <f t="shared" si="98"/>
        <v>1.0444444444444444E-2</v>
      </c>
      <c r="G958">
        <f t="shared" si="99"/>
        <v>-0.93456640789762391</v>
      </c>
      <c r="H958">
        <f t="shared" si="100"/>
        <v>-0.80347050377295959</v>
      </c>
      <c r="I958">
        <f t="shared" si="101"/>
        <v>-0.65333045217660912</v>
      </c>
      <c r="J958">
        <f t="shared" si="102"/>
        <v>-0.66493435505730492</v>
      </c>
      <c r="K958">
        <f t="shared" si="103"/>
        <v>-0.94501085234206839</v>
      </c>
      <c r="L958">
        <f t="shared" si="104"/>
        <v>-0.6637748966210536</v>
      </c>
    </row>
    <row r="959" spans="1:12" x14ac:dyDescent="0.25">
      <c r="A959" s="1">
        <v>41589</v>
      </c>
      <c r="B959" s="6">
        <v>84.0505</v>
      </c>
      <c r="C959" s="6">
        <v>9.5831999999999997</v>
      </c>
      <c r="D959" s="6">
        <v>8182.56</v>
      </c>
      <c r="E959" s="6">
        <v>0.94</v>
      </c>
      <c r="F959" s="6">
        <f t="shared" si="98"/>
        <v>1.0444444444444444E-2</v>
      </c>
      <c r="G959">
        <f t="shared" si="99"/>
        <v>-1.4151330682524665</v>
      </c>
      <c r="H959">
        <f t="shared" si="100"/>
        <v>-1.6199568832768705</v>
      </c>
      <c r="I959">
        <f t="shared" si="101"/>
        <v>-0.57147439908913744</v>
      </c>
      <c r="J959">
        <f t="shared" si="102"/>
        <v>-1.0030736278213634</v>
      </c>
      <c r="K959">
        <f t="shared" si="103"/>
        <v>-1.425577512696911</v>
      </c>
      <c r="L959">
        <f t="shared" si="104"/>
        <v>-0.58191884353358192</v>
      </c>
    </row>
    <row r="960" spans="1:12" x14ac:dyDescent="0.25">
      <c r="A960" s="1">
        <v>41590</v>
      </c>
      <c r="B960" s="6">
        <v>84.452699999999993</v>
      </c>
      <c r="C960" s="6">
        <v>9.5437999999999992</v>
      </c>
      <c r="D960" s="6">
        <v>8195.26</v>
      </c>
      <c r="E960" s="6">
        <v>0.94</v>
      </c>
      <c r="F960" s="6">
        <f t="shared" si="98"/>
        <v>1.0444444444444444E-2</v>
      </c>
      <c r="G960">
        <f t="shared" si="99"/>
        <v>0.47852184103603601</v>
      </c>
      <c r="H960">
        <f t="shared" si="100"/>
        <v>-0.41113615493781352</v>
      </c>
      <c r="I960">
        <f t="shared" si="101"/>
        <v>0.15520815001661847</v>
      </c>
      <c r="J960">
        <f t="shared" si="102"/>
        <v>0.32935150008930431</v>
      </c>
      <c r="K960">
        <f t="shared" si="103"/>
        <v>0.46807739659159159</v>
      </c>
      <c r="L960">
        <f t="shared" si="104"/>
        <v>0.14476370557217402</v>
      </c>
    </row>
    <row r="961" spans="1:12" x14ac:dyDescent="0.25">
      <c r="A961" s="1">
        <v>41591</v>
      </c>
      <c r="B961" s="6">
        <v>82.843999999999994</v>
      </c>
      <c r="C961" s="6">
        <v>9.4649000000000001</v>
      </c>
      <c r="D961" s="6">
        <v>8104.26</v>
      </c>
      <c r="E961" s="6">
        <v>0.94</v>
      </c>
      <c r="F961" s="6">
        <f t="shared" si="98"/>
        <v>1.0444444444444444E-2</v>
      </c>
      <c r="G961">
        <f t="shared" si="99"/>
        <v>-1.9048532492152401</v>
      </c>
      <c r="H961">
        <f t="shared" si="100"/>
        <v>-0.82671472579055605</v>
      </c>
      <c r="I961">
        <f t="shared" si="101"/>
        <v>-1.1103979617486206</v>
      </c>
      <c r="J961">
        <f t="shared" si="102"/>
        <v>-1.3476535571205865</v>
      </c>
      <c r="K961">
        <f t="shared" si="103"/>
        <v>-1.9152976936596846</v>
      </c>
      <c r="L961">
        <f t="shared" si="104"/>
        <v>-1.1208424061930651</v>
      </c>
    </row>
    <row r="962" spans="1:12" x14ac:dyDescent="0.25">
      <c r="A962" s="1">
        <v>41592</v>
      </c>
      <c r="B962" s="6">
        <v>83.246200000000002</v>
      </c>
      <c r="C962" s="6">
        <v>9.4649000000000001</v>
      </c>
      <c r="D962" s="6">
        <v>8134.91</v>
      </c>
      <c r="E962" s="6">
        <v>0.94</v>
      </c>
      <c r="F962" s="6">
        <f t="shared" si="98"/>
        <v>1.0444444444444444E-2</v>
      </c>
      <c r="G962">
        <f t="shared" si="99"/>
        <v>0.48549080198929034</v>
      </c>
      <c r="H962">
        <f t="shared" si="100"/>
        <v>0</v>
      </c>
      <c r="I962">
        <f t="shared" si="101"/>
        <v>0.3781961585635164</v>
      </c>
      <c r="J962">
        <f t="shared" si="102"/>
        <v>0.33425504330829198</v>
      </c>
      <c r="K962">
        <f t="shared" si="103"/>
        <v>0.47504635754484592</v>
      </c>
      <c r="L962">
        <f t="shared" si="104"/>
        <v>0.36775171411907198</v>
      </c>
    </row>
    <row r="963" spans="1:12" x14ac:dyDescent="0.25">
      <c r="A963" s="1">
        <v>41593</v>
      </c>
      <c r="B963" s="6">
        <v>83.648300000000006</v>
      </c>
      <c r="C963" s="6">
        <v>9.5044000000000004</v>
      </c>
      <c r="D963" s="6">
        <v>8177.12</v>
      </c>
      <c r="E963" s="6">
        <v>0.94</v>
      </c>
      <c r="F963" s="6">
        <f t="shared" ref="F963:F1026" si="105">E963/90</f>
        <v>1.0444444444444444E-2</v>
      </c>
      <c r="G963">
        <f t="shared" si="99"/>
        <v>0.48302505099332382</v>
      </c>
      <c r="H963">
        <f t="shared" si="100"/>
        <v>0.4173314033957074</v>
      </c>
      <c r="I963">
        <f t="shared" si="101"/>
        <v>0.51887482467538104</v>
      </c>
      <c r="J963">
        <f t="shared" si="102"/>
        <v>0.33252007640905318</v>
      </c>
      <c r="K963">
        <f t="shared" si="103"/>
        <v>0.4725806065488794</v>
      </c>
      <c r="L963">
        <f t="shared" si="104"/>
        <v>0.50843038023093656</v>
      </c>
    </row>
    <row r="964" spans="1:12" x14ac:dyDescent="0.25">
      <c r="A964" s="1">
        <v>41596</v>
      </c>
      <c r="B964" s="6">
        <v>83.648300000000006</v>
      </c>
      <c r="C964" s="6">
        <v>9.5044000000000004</v>
      </c>
      <c r="D964" s="6">
        <v>8191.46</v>
      </c>
      <c r="E964" s="6">
        <v>0.94</v>
      </c>
      <c r="F964" s="6">
        <f t="shared" si="105"/>
        <v>1.0444444444444444E-2</v>
      </c>
      <c r="G964">
        <f t="shared" ref="G964:G1027" si="106">100*(B964-B963)/B963</f>
        <v>0</v>
      </c>
      <c r="H964">
        <f t="shared" ref="H964:H1027" si="107">100*(C964-C963)/C963</f>
        <v>0</v>
      </c>
      <c r="I964">
        <f t="shared" ref="I964:I1027" si="108">100*(D964-D963)/D963</f>
        <v>0.17536736650556853</v>
      </c>
      <c r="J964">
        <f t="shared" ref="J964:J1027" si="109">(G964-F964)/$N$3</f>
        <v>-7.3489843141871791E-3</v>
      </c>
      <c r="K964">
        <f t="shared" ref="K964:K1027" si="110">G964-F964</f>
        <v>-1.0444444444444444E-2</v>
      </c>
      <c r="L964">
        <f t="shared" ref="L964:L1027" si="111">I964-F964</f>
        <v>0.16492292206112408</v>
      </c>
    </row>
    <row r="965" spans="1:12" x14ac:dyDescent="0.25">
      <c r="A965" s="1">
        <v>41597</v>
      </c>
      <c r="B965" s="6">
        <v>84.452699999999993</v>
      </c>
      <c r="C965" s="6">
        <v>9.5044000000000004</v>
      </c>
      <c r="D965" s="6">
        <v>8260.2099999999991</v>
      </c>
      <c r="E965" s="6">
        <v>0.94</v>
      </c>
      <c r="F965" s="6">
        <f t="shared" si="105"/>
        <v>1.0444444444444444E-2</v>
      </c>
      <c r="G965">
        <f t="shared" si="106"/>
        <v>0.96164536517775834</v>
      </c>
      <c r="H965">
        <f t="shared" si="107"/>
        <v>0</v>
      </c>
      <c r="I965">
        <f t="shared" si="108"/>
        <v>0.83928872264528043</v>
      </c>
      <c r="J965">
        <f t="shared" si="109"/>
        <v>0.66928984909559297</v>
      </c>
      <c r="K965">
        <f t="shared" si="110"/>
        <v>0.95120092073331386</v>
      </c>
      <c r="L965">
        <f t="shared" si="111"/>
        <v>0.82884427820083595</v>
      </c>
    </row>
    <row r="966" spans="1:12" x14ac:dyDescent="0.25">
      <c r="A966" s="1">
        <v>41598</v>
      </c>
      <c r="B966" s="6">
        <v>82.843999999999994</v>
      </c>
      <c r="C966" s="6">
        <v>9.4649000000000001</v>
      </c>
      <c r="D966" s="6">
        <v>8204.4599999999991</v>
      </c>
      <c r="E966" s="6">
        <v>0.94</v>
      </c>
      <c r="F966" s="6">
        <f t="shared" si="105"/>
        <v>1.0444444444444444E-2</v>
      </c>
      <c r="G966">
        <f t="shared" si="106"/>
        <v>-1.9048532492152401</v>
      </c>
      <c r="H966">
        <f t="shared" si="107"/>
        <v>-0.41559698665881395</v>
      </c>
      <c r="I966">
        <f t="shared" si="108"/>
        <v>-0.67492230827061306</v>
      </c>
      <c r="J966">
        <f t="shared" si="109"/>
        <v>-1.3476535571205865</v>
      </c>
      <c r="K966">
        <f t="shared" si="110"/>
        <v>-1.9152976936596846</v>
      </c>
      <c r="L966">
        <f t="shared" si="111"/>
        <v>-0.68536675271505754</v>
      </c>
    </row>
    <row r="967" spans="1:12" x14ac:dyDescent="0.25">
      <c r="A967" s="1">
        <v>41599</v>
      </c>
      <c r="B967" s="6">
        <v>81.235399999999998</v>
      </c>
      <c r="C967" s="6">
        <v>9.3861000000000008</v>
      </c>
      <c r="D967" s="6">
        <v>8099.45</v>
      </c>
      <c r="E967" s="6">
        <v>0.94</v>
      </c>
      <c r="F967" s="6">
        <f t="shared" si="105"/>
        <v>1.0444444444444444E-2</v>
      </c>
      <c r="G967">
        <f t="shared" si="106"/>
        <v>-1.9417217903529473</v>
      </c>
      <c r="H967">
        <f t="shared" si="107"/>
        <v>-0.83254973639446073</v>
      </c>
      <c r="I967">
        <f t="shared" si="108"/>
        <v>-1.2799136079644404</v>
      </c>
      <c r="J967">
        <f t="shared" si="109"/>
        <v>-1.3735952270628395</v>
      </c>
      <c r="K967">
        <f t="shared" si="110"/>
        <v>-1.9521662347973918</v>
      </c>
      <c r="L967">
        <f t="shared" si="111"/>
        <v>-1.2903580524088849</v>
      </c>
    </row>
    <row r="968" spans="1:12" x14ac:dyDescent="0.25">
      <c r="A968" s="1">
        <v>41600</v>
      </c>
      <c r="B968" s="6">
        <v>80.431100000000001</v>
      </c>
      <c r="C968" s="6">
        <v>9.4254999999999995</v>
      </c>
      <c r="D968" s="6">
        <v>8116.78</v>
      </c>
      <c r="E968" s="6">
        <v>0.94</v>
      </c>
      <c r="F968" s="6">
        <f t="shared" si="105"/>
        <v>1.0444444444444444E-2</v>
      </c>
      <c r="G968">
        <f t="shared" si="106"/>
        <v>-0.99008560307451898</v>
      </c>
      <c r="H968">
        <f t="shared" si="107"/>
        <v>0.41976965938993582</v>
      </c>
      <c r="I968">
        <f t="shared" si="108"/>
        <v>0.2139651457815028</v>
      </c>
      <c r="J968">
        <f t="shared" si="109"/>
        <v>-0.70399911304051421</v>
      </c>
      <c r="K968">
        <f t="shared" si="110"/>
        <v>-1.0005300475189634</v>
      </c>
      <c r="L968">
        <f t="shared" si="111"/>
        <v>0.20352070133705835</v>
      </c>
    </row>
    <row r="969" spans="1:12" x14ac:dyDescent="0.25">
      <c r="A969" s="1">
        <v>41603</v>
      </c>
      <c r="B969" s="6">
        <v>81.235399999999998</v>
      </c>
      <c r="C969" s="6">
        <v>9.4649000000000001</v>
      </c>
      <c r="D969" s="6">
        <v>8187.51</v>
      </c>
      <c r="E969" s="6">
        <v>0.94</v>
      </c>
      <c r="F969" s="6">
        <f t="shared" si="105"/>
        <v>1.0444444444444444E-2</v>
      </c>
      <c r="G969">
        <f t="shared" si="106"/>
        <v>0.99998632369816876</v>
      </c>
      <c r="H969">
        <f t="shared" si="107"/>
        <v>0.41801495941860428</v>
      </c>
      <c r="I969">
        <f t="shared" si="108"/>
        <v>0.87140467032493762</v>
      </c>
      <c r="J969">
        <f t="shared" si="109"/>
        <v>0.69626755042342892</v>
      </c>
      <c r="K969">
        <f t="shared" si="110"/>
        <v>0.98954187925372428</v>
      </c>
      <c r="L969">
        <f t="shared" si="111"/>
        <v>0.86096022588049315</v>
      </c>
    </row>
    <row r="970" spans="1:12" x14ac:dyDescent="0.25">
      <c r="A970" s="1">
        <v>41604</v>
      </c>
      <c r="B970" s="6">
        <v>83.246200000000002</v>
      </c>
      <c r="C970" s="6">
        <v>9.5044000000000004</v>
      </c>
      <c r="D970" s="6">
        <v>8248.02</v>
      </c>
      <c r="E970" s="6">
        <v>0.94</v>
      </c>
      <c r="F970" s="6">
        <f t="shared" si="105"/>
        <v>1.0444444444444444E-2</v>
      </c>
      <c r="G970">
        <f t="shared" si="106"/>
        <v>2.4752755572078224</v>
      </c>
      <c r="H970">
        <f t="shared" si="107"/>
        <v>0.4173314033957074</v>
      </c>
      <c r="I970">
        <f t="shared" si="108"/>
        <v>0.73905253245492486</v>
      </c>
      <c r="J970">
        <f t="shared" si="109"/>
        <v>1.7343196453549721</v>
      </c>
      <c r="K970">
        <f t="shared" si="110"/>
        <v>2.464831112763378</v>
      </c>
      <c r="L970">
        <f t="shared" si="111"/>
        <v>0.72860808801048038</v>
      </c>
    </row>
    <row r="971" spans="1:12" x14ac:dyDescent="0.25">
      <c r="A971" s="1">
        <v>41605</v>
      </c>
      <c r="B971" s="6">
        <v>84.452699999999993</v>
      </c>
      <c r="C971" s="6">
        <v>9.5831999999999997</v>
      </c>
      <c r="D971" s="6">
        <v>8295.8799999999992</v>
      </c>
      <c r="E971" s="6">
        <v>0.94</v>
      </c>
      <c r="F971" s="6">
        <f t="shared" si="105"/>
        <v>1.0444444444444444E-2</v>
      </c>
      <c r="G971">
        <f t="shared" si="106"/>
        <v>1.449315404186607</v>
      </c>
      <c r="H971">
        <f t="shared" si="107"/>
        <v>0.8290896847775695</v>
      </c>
      <c r="I971">
        <f t="shared" si="108"/>
        <v>0.58026047463510955</v>
      </c>
      <c r="J971">
        <f t="shared" si="109"/>
        <v>1.0124272448889515</v>
      </c>
      <c r="K971">
        <f t="shared" si="110"/>
        <v>1.4388709597421625</v>
      </c>
      <c r="L971">
        <f t="shared" si="111"/>
        <v>0.56981603019066507</v>
      </c>
    </row>
    <row r="972" spans="1:12" x14ac:dyDescent="0.25">
      <c r="A972" s="1">
        <v>41606</v>
      </c>
      <c r="B972" s="6">
        <v>84.452699999999993</v>
      </c>
      <c r="C972" s="6">
        <v>9.7804000000000002</v>
      </c>
      <c r="D972" s="6">
        <v>8362.43</v>
      </c>
      <c r="E972" s="6">
        <v>0.94</v>
      </c>
      <c r="F972" s="6">
        <f t="shared" si="105"/>
        <v>1.0444444444444444E-2</v>
      </c>
      <c r="G972">
        <f t="shared" si="106"/>
        <v>0</v>
      </c>
      <c r="H972">
        <f t="shared" si="107"/>
        <v>2.0577677602471041</v>
      </c>
      <c r="I972">
        <f t="shared" si="108"/>
        <v>0.80220543209401651</v>
      </c>
      <c r="J972">
        <f t="shared" si="109"/>
        <v>-7.3489843141871791E-3</v>
      </c>
      <c r="K972">
        <f t="shared" si="110"/>
        <v>-1.0444444444444444E-2</v>
      </c>
      <c r="L972">
        <f t="shared" si="111"/>
        <v>0.79176098764957203</v>
      </c>
    </row>
    <row r="973" spans="1:12" x14ac:dyDescent="0.25">
      <c r="A973" s="1">
        <v>41607</v>
      </c>
      <c r="B973" s="6">
        <v>84.452699999999993</v>
      </c>
      <c r="C973" s="6">
        <v>9.7015999999999991</v>
      </c>
      <c r="D973" s="6">
        <v>8406.83</v>
      </c>
      <c r="E973" s="6">
        <v>0.94</v>
      </c>
      <c r="F973" s="6">
        <f t="shared" si="105"/>
        <v>1.0444444444444444E-2</v>
      </c>
      <c r="G973">
        <f t="shared" si="106"/>
        <v>0</v>
      </c>
      <c r="H973">
        <f t="shared" si="107"/>
        <v>-0.80569301869045329</v>
      </c>
      <c r="I973">
        <f t="shared" si="108"/>
        <v>0.53094614842814392</v>
      </c>
      <c r="J973">
        <f t="shared" si="109"/>
        <v>-7.3489843141871791E-3</v>
      </c>
      <c r="K973">
        <f t="shared" si="110"/>
        <v>-1.0444444444444444E-2</v>
      </c>
      <c r="L973">
        <f t="shared" si="111"/>
        <v>0.52050170398369944</v>
      </c>
    </row>
    <row r="974" spans="1:12" x14ac:dyDescent="0.25">
      <c r="A974" s="1">
        <v>41610</v>
      </c>
      <c r="B974" s="6">
        <v>84.0505</v>
      </c>
      <c r="C974" s="6">
        <v>9.7015999999999991</v>
      </c>
      <c r="D974" s="6">
        <v>8414.61</v>
      </c>
      <c r="E974" s="6">
        <v>0.94</v>
      </c>
      <c r="F974" s="6">
        <f t="shared" si="105"/>
        <v>1.0444444444444444E-2</v>
      </c>
      <c r="G974">
        <f t="shared" si="106"/>
        <v>-0.47624291467293939</v>
      </c>
      <c r="H974">
        <f t="shared" si="107"/>
        <v>0</v>
      </c>
      <c r="I974">
        <f t="shared" si="108"/>
        <v>9.2543800695394751E-2</v>
      </c>
      <c r="J974">
        <f t="shared" si="109"/>
        <v>-0.34244595651703752</v>
      </c>
      <c r="K974">
        <f t="shared" si="110"/>
        <v>-0.48668735911738381</v>
      </c>
      <c r="L974">
        <f t="shared" si="111"/>
        <v>8.2099356250950301E-2</v>
      </c>
    </row>
    <row r="975" spans="1:12" x14ac:dyDescent="0.25">
      <c r="A975" s="1">
        <v>41611</v>
      </c>
      <c r="B975" s="6">
        <v>83.648300000000006</v>
      </c>
      <c r="C975" s="6">
        <v>9.6227</v>
      </c>
      <c r="D975" s="6">
        <v>8392.5499999999993</v>
      </c>
      <c r="E975" s="6">
        <v>0.94</v>
      </c>
      <c r="F975" s="6">
        <f t="shared" si="105"/>
        <v>1.0444444444444444E-2</v>
      </c>
      <c r="G975">
        <f t="shared" si="106"/>
        <v>-0.47852184103603601</v>
      </c>
      <c r="H975">
        <f t="shared" si="107"/>
        <v>-0.81326791457078307</v>
      </c>
      <c r="I975">
        <f t="shared" si="108"/>
        <v>-0.26216307113462545</v>
      </c>
      <c r="J975">
        <f t="shared" si="109"/>
        <v>-0.34404946871767861</v>
      </c>
      <c r="K975">
        <f t="shared" si="110"/>
        <v>-0.48896628548048043</v>
      </c>
      <c r="L975">
        <f t="shared" si="111"/>
        <v>-0.27260751557906987</v>
      </c>
    </row>
    <row r="976" spans="1:12" x14ac:dyDescent="0.25">
      <c r="A976" s="1">
        <v>41612</v>
      </c>
      <c r="B976" s="6">
        <v>84.452699999999993</v>
      </c>
      <c r="C976" s="6">
        <v>9.5831999999999997</v>
      </c>
      <c r="D976" s="6">
        <v>8418</v>
      </c>
      <c r="E976" s="6">
        <v>0.94</v>
      </c>
      <c r="F976" s="6">
        <f t="shared" si="105"/>
        <v>1.0444444444444444E-2</v>
      </c>
      <c r="G976">
        <f t="shared" si="106"/>
        <v>0.96164536517775834</v>
      </c>
      <c r="H976">
        <f t="shared" si="107"/>
        <v>-0.41048770095711506</v>
      </c>
      <c r="I976">
        <f t="shared" si="108"/>
        <v>0.30324514003492059</v>
      </c>
      <c r="J976">
        <f t="shared" si="109"/>
        <v>0.66928984909559297</v>
      </c>
      <c r="K976">
        <f t="shared" si="110"/>
        <v>0.95120092073331386</v>
      </c>
      <c r="L976">
        <f t="shared" si="111"/>
        <v>0.29280069559047617</v>
      </c>
    </row>
    <row r="977" spans="1:12" x14ac:dyDescent="0.25">
      <c r="A977" s="1">
        <v>41613</v>
      </c>
      <c r="B977" s="6">
        <v>83.648300000000006</v>
      </c>
      <c r="C977" s="6">
        <v>9.5437999999999992</v>
      </c>
      <c r="D977" s="6">
        <v>8375.5400000000009</v>
      </c>
      <c r="E977" s="6">
        <v>0.94</v>
      </c>
      <c r="F977" s="6">
        <f t="shared" si="105"/>
        <v>1.0444444444444444E-2</v>
      </c>
      <c r="G977">
        <f t="shared" si="106"/>
        <v>-0.95248582934587878</v>
      </c>
      <c r="H977">
        <f t="shared" si="107"/>
        <v>-0.41113615493781352</v>
      </c>
      <c r="I977">
        <f t="shared" si="108"/>
        <v>-0.50439534331194025</v>
      </c>
      <c r="J977">
        <f t="shared" si="109"/>
        <v>-0.67754292871988797</v>
      </c>
      <c r="K977">
        <f t="shared" si="110"/>
        <v>-0.96293027379032325</v>
      </c>
      <c r="L977">
        <f t="shared" si="111"/>
        <v>-0.51483978775638473</v>
      </c>
    </row>
    <row r="978" spans="1:12" x14ac:dyDescent="0.25">
      <c r="A978" s="1">
        <v>41614</v>
      </c>
      <c r="B978" s="6">
        <v>82.843999999999994</v>
      </c>
      <c r="C978" s="6">
        <v>9.5437999999999992</v>
      </c>
      <c r="D978" s="6">
        <v>8367.7199999999993</v>
      </c>
      <c r="E978" s="6">
        <v>0.94</v>
      </c>
      <c r="F978" s="6">
        <f t="shared" si="105"/>
        <v>1.0444444444444444E-2</v>
      </c>
      <c r="G978">
        <f t="shared" si="106"/>
        <v>-0.96152581702199802</v>
      </c>
      <c r="H978">
        <f t="shared" si="107"/>
        <v>0</v>
      </c>
      <c r="I978">
        <f t="shared" si="108"/>
        <v>-9.3367114239816501E-2</v>
      </c>
      <c r="J978">
        <f t="shared" si="109"/>
        <v>-0.6839037005144647</v>
      </c>
      <c r="K978">
        <f t="shared" si="110"/>
        <v>-0.9719702614664425</v>
      </c>
      <c r="L978">
        <f t="shared" si="111"/>
        <v>-0.10381155868426095</v>
      </c>
    </row>
    <row r="979" spans="1:12" x14ac:dyDescent="0.25">
      <c r="A979" s="1">
        <v>41617</v>
      </c>
      <c r="B979" s="6">
        <v>84.452699999999993</v>
      </c>
      <c r="C979" s="6">
        <v>9.6227</v>
      </c>
      <c r="D979" s="6">
        <v>8444.6200000000008</v>
      </c>
      <c r="E979" s="6">
        <v>0.94</v>
      </c>
      <c r="F979" s="6">
        <f t="shared" si="105"/>
        <v>1.0444444444444444E-2</v>
      </c>
      <c r="G979">
        <f t="shared" si="106"/>
        <v>1.9418424991550371</v>
      </c>
      <c r="H979">
        <f t="shared" si="107"/>
        <v>0.8267147257905747</v>
      </c>
      <c r="I979">
        <f t="shared" si="108"/>
        <v>0.91900780618856104</v>
      </c>
      <c r="J979">
        <f t="shared" si="109"/>
        <v>1.3589821923050851</v>
      </c>
      <c r="K979">
        <f t="shared" si="110"/>
        <v>1.9313980547105927</v>
      </c>
      <c r="L979">
        <f t="shared" si="111"/>
        <v>0.90856336174411656</v>
      </c>
    </row>
    <row r="980" spans="1:12" x14ac:dyDescent="0.25">
      <c r="A980" s="1">
        <v>41618</v>
      </c>
      <c r="B980" s="6">
        <v>83.648300000000006</v>
      </c>
      <c r="C980" s="6">
        <v>9.6621000000000006</v>
      </c>
      <c r="D980" s="6">
        <v>8443.39</v>
      </c>
      <c r="E980" s="6">
        <v>0.94</v>
      </c>
      <c r="F980" s="6">
        <f t="shared" si="105"/>
        <v>1.0444444444444444E-2</v>
      </c>
      <c r="G980">
        <f t="shared" si="106"/>
        <v>-0.95248582934587878</v>
      </c>
      <c r="H980">
        <f t="shared" si="107"/>
        <v>0.40944849158760582</v>
      </c>
      <c r="I980">
        <f t="shared" si="108"/>
        <v>-1.4565486664898862E-2</v>
      </c>
      <c r="J980">
        <f t="shared" si="109"/>
        <v>-0.67754292871988797</v>
      </c>
      <c r="K980">
        <f t="shared" si="110"/>
        <v>-0.96293027379032325</v>
      </c>
      <c r="L980">
        <f t="shared" si="111"/>
        <v>-2.5009931109343304E-2</v>
      </c>
    </row>
    <row r="981" spans="1:12" x14ac:dyDescent="0.25">
      <c r="A981" s="1">
        <v>41619</v>
      </c>
      <c r="B981" s="6">
        <v>84.452699999999993</v>
      </c>
      <c r="C981" s="6">
        <v>9.6621000000000006</v>
      </c>
      <c r="D981" s="6">
        <v>8433.77</v>
      </c>
      <c r="E981" s="6">
        <v>0.94</v>
      </c>
      <c r="F981" s="6">
        <f t="shared" si="105"/>
        <v>1.0444444444444444E-2</v>
      </c>
      <c r="G981">
        <f t="shared" si="106"/>
        <v>0.96164536517775834</v>
      </c>
      <c r="H981">
        <f t="shared" si="107"/>
        <v>0</v>
      </c>
      <c r="I981">
        <f t="shared" si="108"/>
        <v>-0.1139352795500265</v>
      </c>
      <c r="J981">
        <f t="shared" si="109"/>
        <v>0.66928984909559297</v>
      </c>
      <c r="K981">
        <f t="shared" si="110"/>
        <v>0.95120092073331386</v>
      </c>
      <c r="L981">
        <f t="shared" si="111"/>
        <v>-0.12437972399447095</v>
      </c>
    </row>
    <row r="982" spans="1:12" x14ac:dyDescent="0.25">
      <c r="A982" s="1">
        <v>41620</v>
      </c>
      <c r="B982" s="6">
        <v>82.843999999999994</v>
      </c>
      <c r="C982" s="6">
        <v>9.5831999999999997</v>
      </c>
      <c r="D982" s="6">
        <v>8361.33</v>
      </c>
      <c r="E982" s="6">
        <v>0.94</v>
      </c>
      <c r="F982" s="6">
        <f t="shared" si="105"/>
        <v>1.0444444444444444E-2</v>
      </c>
      <c r="G982">
        <f t="shared" si="106"/>
        <v>-1.9048532492152401</v>
      </c>
      <c r="H982">
        <f t="shared" si="107"/>
        <v>-0.81659266619058857</v>
      </c>
      <c r="I982">
        <f t="shared" si="108"/>
        <v>-0.85892785788562531</v>
      </c>
      <c r="J982">
        <f t="shared" si="109"/>
        <v>-1.3476535571205865</v>
      </c>
      <c r="K982">
        <f t="shared" si="110"/>
        <v>-1.9152976936596846</v>
      </c>
      <c r="L982">
        <f t="shared" si="111"/>
        <v>-0.86937230233006979</v>
      </c>
    </row>
    <row r="983" spans="1:12" x14ac:dyDescent="0.25">
      <c r="A983" s="1">
        <v>41621</v>
      </c>
      <c r="B983" s="6">
        <v>82.441900000000004</v>
      </c>
      <c r="C983" s="6">
        <v>9.6227</v>
      </c>
      <c r="D983" s="6">
        <v>8376.94</v>
      </c>
      <c r="E983" s="6">
        <v>0.94</v>
      </c>
      <c r="F983" s="6">
        <f t="shared" si="105"/>
        <v>1.0444444444444444E-2</v>
      </c>
      <c r="G983">
        <f t="shared" si="106"/>
        <v>-0.48537009318718333</v>
      </c>
      <c r="H983">
        <f t="shared" si="107"/>
        <v>0.41217964771684107</v>
      </c>
      <c r="I983">
        <f t="shared" si="108"/>
        <v>0.18669278691309377</v>
      </c>
      <c r="J983">
        <f t="shared" si="109"/>
        <v>-0.3488680780660342</v>
      </c>
      <c r="K983">
        <f t="shared" si="110"/>
        <v>-0.49581453763162775</v>
      </c>
      <c r="L983">
        <f t="shared" si="111"/>
        <v>0.17624834246864932</v>
      </c>
    </row>
    <row r="984" spans="1:12" x14ac:dyDescent="0.25">
      <c r="A984" s="1">
        <v>41624</v>
      </c>
      <c r="B984" s="6">
        <v>82.039699999999996</v>
      </c>
      <c r="C984" s="6">
        <v>9.5044000000000004</v>
      </c>
      <c r="D984" s="6">
        <v>8313.8700000000008</v>
      </c>
      <c r="E984" s="6">
        <v>0.94</v>
      </c>
      <c r="F984" s="6">
        <f t="shared" si="105"/>
        <v>1.0444444444444444E-2</v>
      </c>
      <c r="G984">
        <f t="shared" si="106"/>
        <v>-0.48785872232445837</v>
      </c>
      <c r="H984">
        <f t="shared" si="107"/>
        <v>-1.2293846841323082</v>
      </c>
      <c r="I984">
        <f t="shared" si="108"/>
        <v>-0.75290022370937004</v>
      </c>
      <c r="J984">
        <f t="shared" si="109"/>
        <v>-0.35061914262393812</v>
      </c>
      <c r="K984">
        <f t="shared" si="110"/>
        <v>-0.49830316676890279</v>
      </c>
      <c r="L984">
        <f t="shared" si="111"/>
        <v>-0.76334466815381452</v>
      </c>
    </row>
    <row r="985" spans="1:12" x14ac:dyDescent="0.25">
      <c r="A985" s="1">
        <v>41625</v>
      </c>
      <c r="B985" s="6">
        <v>83.246200000000002</v>
      </c>
      <c r="C985" s="6">
        <v>9.5044000000000004</v>
      </c>
      <c r="D985" s="6">
        <v>8352.93</v>
      </c>
      <c r="E985" s="6">
        <v>0.94</v>
      </c>
      <c r="F985" s="6">
        <f t="shared" si="105"/>
        <v>1.0444444444444444E-2</v>
      </c>
      <c r="G985">
        <f t="shared" si="106"/>
        <v>1.4706294635402195</v>
      </c>
      <c r="H985">
        <f t="shared" si="107"/>
        <v>0</v>
      </c>
      <c r="I985">
        <f t="shared" si="108"/>
        <v>0.46981730529824844</v>
      </c>
      <c r="J985">
        <f t="shared" si="109"/>
        <v>1.0274243745778044</v>
      </c>
      <c r="K985">
        <f t="shared" si="110"/>
        <v>1.460185019095775</v>
      </c>
      <c r="L985">
        <f t="shared" si="111"/>
        <v>0.45937286085380402</v>
      </c>
    </row>
    <row r="986" spans="1:12" x14ac:dyDescent="0.25">
      <c r="A986" s="1">
        <v>41626</v>
      </c>
      <c r="B986" s="6">
        <v>81.235399999999998</v>
      </c>
      <c r="C986" s="6">
        <v>9.5044000000000004</v>
      </c>
      <c r="D986" s="6">
        <v>8349.0400000000009</v>
      </c>
      <c r="E986" s="6">
        <v>0.94</v>
      </c>
      <c r="F986" s="6">
        <f t="shared" si="105"/>
        <v>1.0444444444444444E-2</v>
      </c>
      <c r="G986">
        <f t="shared" si="106"/>
        <v>-2.4154856317765896</v>
      </c>
      <c r="H986">
        <f t="shared" si="107"/>
        <v>0</v>
      </c>
      <c r="I986">
        <f t="shared" si="108"/>
        <v>-4.6570484847824868E-2</v>
      </c>
      <c r="J986">
        <f t="shared" si="109"/>
        <v>-1.7069478584805275</v>
      </c>
      <c r="K986">
        <f t="shared" si="110"/>
        <v>-2.4259300762210341</v>
      </c>
      <c r="L986">
        <f t="shared" si="111"/>
        <v>-5.7014929292269312E-2</v>
      </c>
    </row>
    <row r="987" spans="1:12" x14ac:dyDescent="0.25">
      <c r="A987" s="1">
        <v>41627</v>
      </c>
      <c r="B987" s="6">
        <v>82.441900000000004</v>
      </c>
      <c r="C987" s="6">
        <v>9.5437999999999992</v>
      </c>
      <c r="D987" s="6">
        <v>8407.4</v>
      </c>
      <c r="E987" s="6">
        <v>0.94</v>
      </c>
      <c r="F987" s="6">
        <f t="shared" si="105"/>
        <v>1.0444444444444444E-2</v>
      </c>
      <c r="G987">
        <f t="shared" si="106"/>
        <v>1.4851899541333033</v>
      </c>
      <c r="H987">
        <f t="shared" si="107"/>
        <v>0.41454484238877537</v>
      </c>
      <c r="I987">
        <f t="shared" si="108"/>
        <v>0.69900252005019448</v>
      </c>
      <c r="J987">
        <f t="shared" si="109"/>
        <v>1.0376695166286447</v>
      </c>
      <c r="K987">
        <f t="shared" si="110"/>
        <v>1.4747455096888589</v>
      </c>
      <c r="L987">
        <f t="shared" si="111"/>
        <v>0.68855807560575</v>
      </c>
    </row>
    <row r="988" spans="1:12" x14ac:dyDescent="0.25">
      <c r="A988" s="1">
        <v>41628</v>
      </c>
      <c r="B988" s="6">
        <v>82.039699999999996</v>
      </c>
      <c r="C988" s="6">
        <v>9.6621000000000006</v>
      </c>
      <c r="D988" s="6">
        <v>8408.5300000000007</v>
      </c>
      <c r="E988" s="6">
        <v>0.94</v>
      </c>
      <c r="F988" s="6">
        <f t="shared" si="105"/>
        <v>1.0444444444444444E-2</v>
      </c>
      <c r="G988">
        <f t="shared" si="106"/>
        <v>-0.48785872232445837</v>
      </c>
      <c r="H988">
        <f t="shared" si="107"/>
        <v>1.2395481883526627</v>
      </c>
      <c r="I988">
        <f t="shared" si="108"/>
        <v>1.3440540476259233E-2</v>
      </c>
      <c r="J988">
        <f t="shared" si="109"/>
        <v>-0.35061914262393812</v>
      </c>
      <c r="K988">
        <f t="shared" si="110"/>
        <v>-0.49830316676890279</v>
      </c>
      <c r="L988">
        <f t="shared" si="111"/>
        <v>2.9960960318147888E-3</v>
      </c>
    </row>
    <row r="989" spans="1:12" x14ac:dyDescent="0.25">
      <c r="A989" s="1">
        <v>41631</v>
      </c>
      <c r="B989" s="6">
        <v>83.648300000000006</v>
      </c>
      <c r="C989" s="6">
        <v>9.7409999999999997</v>
      </c>
      <c r="D989" s="6">
        <v>8456.4599999999991</v>
      </c>
      <c r="E989" s="6">
        <v>0.94</v>
      </c>
      <c r="F989" s="6">
        <f t="shared" si="105"/>
        <v>1.0444444444444444E-2</v>
      </c>
      <c r="G989">
        <f t="shared" si="106"/>
        <v>1.9607580232497315</v>
      </c>
      <c r="H989">
        <f t="shared" si="107"/>
        <v>0.81659266619057014</v>
      </c>
      <c r="I989">
        <f t="shared" si="108"/>
        <v>0.57001640001282583</v>
      </c>
      <c r="J989">
        <f t="shared" si="109"/>
        <v>1.3722916498454985</v>
      </c>
      <c r="K989">
        <f t="shared" si="110"/>
        <v>1.950313578805287</v>
      </c>
      <c r="L989">
        <f t="shared" si="111"/>
        <v>0.55957195556838135</v>
      </c>
    </row>
    <row r="990" spans="1:12" x14ac:dyDescent="0.25">
      <c r="A990" s="1">
        <v>41632</v>
      </c>
      <c r="B990" s="6">
        <v>82.843999999999994</v>
      </c>
      <c r="C990" s="6">
        <v>9.6621000000000006</v>
      </c>
      <c r="D990" s="6">
        <v>8450.49</v>
      </c>
      <c r="E990" s="6">
        <v>0.94</v>
      </c>
      <c r="F990" s="6">
        <f t="shared" si="105"/>
        <v>1.0444444444444444E-2</v>
      </c>
      <c r="G990">
        <f t="shared" si="106"/>
        <v>-0.96152581702199802</v>
      </c>
      <c r="H990">
        <f t="shared" si="107"/>
        <v>-0.80997844163842603</v>
      </c>
      <c r="I990">
        <f t="shared" si="108"/>
        <v>-7.059691644020484E-2</v>
      </c>
      <c r="J990">
        <f t="shared" si="109"/>
        <v>-0.6839037005144647</v>
      </c>
      <c r="K990">
        <f t="shared" si="110"/>
        <v>-0.9719702614664425</v>
      </c>
      <c r="L990">
        <f t="shared" si="111"/>
        <v>-8.1041360884649277E-2</v>
      </c>
    </row>
    <row r="991" spans="1:12" x14ac:dyDescent="0.25">
      <c r="A991" s="1">
        <v>41633</v>
      </c>
      <c r="B991" s="6">
        <v>82.843999999999994</v>
      </c>
      <c r="C991" s="6">
        <v>9.6227</v>
      </c>
      <c r="D991" s="6">
        <v>8467.76</v>
      </c>
      <c r="E991" s="6">
        <v>0.94</v>
      </c>
      <c r="F991" s="6">
        <f t="shared" si="105"/>
        <v>1.0444444444444444E-2</v>
      </c>
      <c r="G991">
        <f t="shared" si="106"/>
        <v>0</v>
      </c>
      <c r="H991">
        <f t="shared" si="107"/>
        <v>-0.40777884724853336</v>
      </c>
      <c r="I991">
        <f t="shared" si="108"/>
        <v>0.20436684736625257</v>
      </c>
      <c r="J991">
        <f t="shared" si="109"/>
        <v>-7.3489843141871791E-3</v>
      </c>
      <c r="K991">
        <f t="shared" si="110"/>
        <v>-1.0444444444444444E-2</v>
      </c>
      <c r="L991">
        <f t="shared" si="111"/>
        <v>0.19392240292180812</v>
      </c>
    </row>
    <row r="992" spans="1:12" x14ac:dyDescent="0.25">
      <c r="A992" s="1">
        <v>41634</v>
      </c>
      <c r="B992" s="6">
        <v>83.648300000000006</v>
      </c>
      <c r="C992" s="6">
        <v>9.6227</v>
      </c>
      <c r="D992" s="6">
        <v>8485.89</v>
      </c>
      <c r="E992" s="6">
        <v>0.94</v>
      </c>
      <c r="F992" s="6">
        <f t="shared" si="105"/>
        <v>1.0444444444444444E-2</v>
      </c>
      <c r="G992">
        <f t="shared" si="106"/>
        <v>0.97086089517649088</v>
      </c>
      <c r="H992">
        <f t="shared" si="107"/>
        <v>0</v>
      </c>
      <c r="I992">
        <f t="shared" si="108"/>
        <v>0.21410620990674273</v>
      </c>
      <c r="J992">
        <f t="shared" si="109"/>
        <v>0.6757741370601511</v>
      </c>
      <c r="K992">
        <f t="shared" si="110"/>
        <v>0.9604164507320464</v>
      </c>
      <c r="L992">
        <f t="shared" si="111"/>
        <v>0.20366176546229828</v>
      </c>
    </row>
    <row r="993" spans="1:12" x14ac:dyDescent="0.25">
      <c r="A993" s="1">
        <v>41635</v>
      </c>
      <c r="B993" s="6">
        <v>84.0505</v>
      </c>
      <c r="C993" s="6">
        <v>9.7015999999999991</v>
      </c>
      <c r="D993" s="6">
        <v>8535.0400000000009</v>
      </c>
      <c r="E993" s="6">
        <v>0.94</v>
      </c>
      <c r="F993" s="6">
        <f t="shared" si="105"/>
        <v>1.0444444444444444E-2</v>
      </c>
      <c r="G993">
        <f t="shared" si="106"/>
        <v>0.48082268258887917</v>
      </c>
      <c r="H993">
        <f t="shared" si="107"/>
        <v>0.8199361925447024</v>
      </c>
      <c r="I993">
        <f t="shared" si="108"/>
        <v>0.57919676074049342</v>
      </c>
      <c r="J993">
        <f t="shared" si="109"/>
        <v>0.3309704323907029</v>
      </c>
      <c r="K993">
        <f t="shared" si="110"/>
        <v>0.47037823814443475</v>
      </c>
      <c r="L993">
        <f t="shared" si="111"/>
        <v>0.56875231629604894</v>
      </c>
    </row>
    <row r="994" spans="1:12" x14ac:dyDescent="0.25">
      <c r="A994" s="1">
        <v>41638</v>
      </c>
      <c r="B994" s="6">
        <v>85.257000000000005</v>
      </c>
      <c r="C994" s="6">
        <v>9.7804000000000002</v>
      </c>
      <c r="D994" s="6">
        <v>8623.43</v>
      </c>
      <c r="E994" s="6">
        <v>0.94</v>
      </c>
      <c r="F994" s="6">
        <f t="shared" si="105"/>
        <v>1.0444444444444444E-2</v>
      </c>
      <c r="G994">
        <f t="shared" si="106"/>
        <v>1.4354465470163835</v>
      </c>
      <c r="H994">
        <f t="shared" si="107"/>
        <v>0.81223715675765951</v>
      </c>
      <c r="I994">
        <f t="shared" si="108"/>
        <v>1.0356131898620207</v>
      </c>
      <c r="J994">
        <f t="shared" si="109"/>
        <v>1.002668754206004</v>
      </c>
      <c r="K994">
        <f t="shared" si="110"/>
        <v>1.425002102571939</v>
      </c>
      <c r="L994">
        <f t="shared" si="111"/>
        <v>1.0251687454175762</v>
      </c>
    </row>
    <row r="995" spans="1:12" x14ac:dyDescent="0.25">
      <c r="A995" s="1">
        <v>41639</v>
      </c>
      <c r="B995" s="6">
        <v>84.854799999999997</v>
      </c>
      <c r="C995" s="6">
        <v>9.7409999999999997</v>
      </c>
      <c r="D995" s="6">
        <v>8611.51</v>
      </c>
      <c r="E995" s="6">
        <v>0.94</v>
      </c>
      <c r="F995" s="6">
        <f t="shared" si="105"/>
        <v>1.0444444444444444E-2</v>
      </c>
      <c r="G995">
        <f t="shared" si="106"/>
        <v>-0.47175012022474122</v>
      </c>
      <c r="H995">
        <f t="shared" si="107"/>
        <v>-0.40284650934522664</v>
      </c>
      <c r="I995">
        <f t="shared" si="108"/>
        <v>-0.1382280600642676</v>
      </c>
      <c r="J995">
        <f t="shared" si="109"/>
        <v>-0.33928470882193029</v>
      </c>
      <c r="K995">
        <f t="shared" si="110"/>
        <v>-0.48219456466918564</v>
      </c>
      <c r="L995">
        <f t="shared" si="111"/>
        <v>-0.14867250450871206</v>
      </c>
    </row>
    <row r="996" spans="1:12" x14ac:dyDescent="0.25">
      <c r="A996" s="1">
        <v>41641</v>
      </c>
      <c r="B996" s="6">
        <v>84.0505</v>
      </c>
      <c r="C996" s="6">
        <v>9.7015999999999991</v>
      </c>
      <c r="D996" s="6">
        <v>8612.5400000000009</v>
      </c>
      <c r="E996" s="6">
        <v>0.94</v>
      </c>
      <c r="F996" s="6">
        <f t="shared" si="105"/>
        <v>1.0444444444444444E-2</v>
      </c>
      <c r="G996">
        <f t="shared" si="106"/>
        <v>-0.94785445254717215</v>
      </c>
      <c r="H996">
        <f t="shared" si="107"/>
        <v>-0.40447592649625858</v>
      </c>
      <c r="I996">
        <f t="shared" si="108"/>
        <v>1.1960736270417787E-2</v>
      </c>
      <c r="J996">
        <f t="shared" si="109"/>
        <v>-0.67428417085796166</v>
      </c>
      <c r="K996">
        <f t="shared" si="110"/>
        <v>-0.95829889699161663</v>
      </c>
      <c r="L996">
        <f t="shared" si="111"/>
        <v>1.516291825973343E-3</v>
      </c>
    </row>
    <row r="997" spans="1:12" x14ac:dyDescent="0.25">
      <c r="A997" s="1">
        <v>41642</v>
      </c>
      <c r="B997" s="6">
        <v>82.441900000000004</v>
      </c>
      <c r="C997" s="6">
        <v>9.6621000000000006</v>
      </c>
      <c r="D997" s="6">
        <v>8546.5400000000009</v>
      </c>
      <c r="E997" s="6">
        <v>0.94</v>
      </c>
      <c r="F997" s="6">
        <f t="shared" si="105"/>
        <v>1.0444444444444444E-2</v>
      </c>
      <c r="G997">
        <f t="shared" si="106"/>
        <v>-1.9138494119606613</v>
      </c>
      <c r="H997">
        <f t="shared" si="107"/>
        <v>-0.40714933619195326</v>
      </c>
      <c r="I997">
        <f t="shared" si="108"/>
        <v>-0.76632445248440062</v>
      </c>
      <c r="J997">
        <f t="shared" si="109"/>
        <v>-1.3539834925475629</v>
      </c>
      <c r="K997">
        <f t="shared" si="110"/>
        <v>-1.9242938564051058</v>
      </c>
      <c r="L997">
        <f t="shared" si="111"/>
        <v>-0.7767688969288451</v>
      </c>
    </row>
    <row r="998" spans="1:12" x14ac:dyDescent="0.25">
      <c r="A998" s="1">
        <v>41645</v>
      </c>
      <c r="B998" s="6">
        <v>82.441900000000004</v>
      </c>
      <c r="C998" s="6">
        <v>9.7804000000000002</v>
      </c>
      <c r="D998" s="6">
        <v>8500.01</v>
      </c>
      <c r="E998" s="6">
        <v>0.94</v>
      </c>
      <c r="F998" s="6">
        <f t="shared" si="105"/>
        <v>1.0444444444444444E-2</v>
      </c>
      <c r="G998">
        <f t="shared" si="106"/>
        <v>0</v>
      </c>
      <c r="H998">
        <f t="shared" si="107"/>
        <v>1.2243715134391036</v>
      </c>
      <c r="I998">
        <f t="shared" si="108"/>
        <v>-0.54443084569896882</v>
      </c>
      <c r="J998">
        <f t="shared" si="109"/>
        <v>-7.3489843141871791E-3</v>
      </c>
      <c r="K998">
        <f t="shared" si="110"/>
        <v>-1.0444444444444444E-2</v>
      </c>
      <c r="L998">
        <f t="shared" si="111"/>
        <v>-0.5548752901434133</v>
      </c>
    </row>
    <row r="999" spans="1:12" x14ac:dyDescent="0.25">
      <c r="A999" s="1">
        <v>41646</v>
      </c>
      <c r="B999" s="6">
        <v>82.039699999999996</v>
      </c>
      <c r="C999" s="6">
        <v>9.9382000000000001</v>
      </c>
      <c r="D999" s="6">
        <v>8512.2999999999993</v>
      </c>
      <c r="E999" s="6">
        <v>0.94</v>
      </c>
      <c r="F999" s="6">
        <f t="shared" si="105"/>
        <v>1.0444444444444444E-2</v>
      </c>
      <c r="G999">
        <f t="shared" si="106"/>
        <v>-0.48785872232445837</v>
      </c>
      <c r="H999">
        <f t="shared" si="107"/>
        <v>1.6134309435196919</v>
      </c>
      <c r="I999">
        <f t="shared" si="108"/>
        <v>0.14458806519050041</v>
      </c>
      <c r="J999">
        <f t="shared" si="109"/>
        <v>-0.35061914262393812</v>
      </c>
      <c r="K999">
        <f t="shared" si="110"/>
        <v>-0.49830316676890279</v>
      </c>
      <c r="L999">
        <f t="shared" si="111"/>
        <v>0.13414362074605596</v>
      </c>
    </row>
    <row r="1000" spans="1:12" x14ac:dyDescent="0.25">
      <c r="A1000" s="1">
        <v>41647</v>
      </c>
      <c r="B1000" s="6">
        <v>83.648300000000006</v>
      </c>
      <c r="C1000" s="6">
        <v>10.2142</v>
      </c>
      <c r="D1000" s="6">
        <v>8556.01</v>
      </c>
      <c r="E1000" s="6">
        <v>0.94</v>
      </c>
      <c r="F1000" s="6">
        <f t="shared" si="105"/>
        <v>1.0444444444444444E-2</v>
      </c>
      <c r="G1000">
        <f t="shared" si="106"/>
        <v>1.9607580232497315</v>
      </c>
      <c r="H1000">
        <f t="shared" si="107"/>
        <v>2.7771628665150612</v>
      </c>
      <c r="I1000">
        <f t="shared" si="108"/>
        <v>0.51349224064002619</v>
      </c>
      <c r="J1000">
        <f t="shared" si="109"/>
        <v>1.3722916498454985</v>
      </c>
      <c r="K1000">
        <f t="shared" si="110"/>
        <v>1.950313578805287</v>
      </c>
      <c r="L1000">
        <f t="shared" si="111"/>
        <v>0.50304779619558171</v>
      </c>
    </row>
    <row r="1001" spans="1:12" x14ac:dyDescent="0.25">
      <c r="A1001" s="1">
        <v>41648</v>
      </c>
      <c r="B1001" s="6">
        <v>81.235399999999998</v>
      </c>
      <c r="C1001" s="6">
        <v>10.135400000000001</v>
      </c>
      <c r="D1001" s="6">
        <v>8514.68</v>
      </c>
      <c r="E1001" s="6">
        <v>0.94</v>
      </c>
      <c r="F1001" s="6">
        <f t="shared" si="105"/>
        <v>1.0444444444444444E-2</v>
      </c>
      <c r="G1001">
        <f t="shared" si="106"/>
        <v>-2.8845774510659599</v>
      </c>
      <c r="H1001">
        <f t="shared" si="107"/>
        <v>-0.77147500538465386</v>
      </c>
      <c r="I1001">
        <f t="shared" si="108"/>
        <v>-0.48305226384728311</v>
      </c>
      <c r="J1001">
        <f t="shared" si="109"/>
        <v>-2.0370131329149954</v>
      </c>
      <c r="K1001">
        <f t="shared" si="110"/>
        <v>-2.8950218955104043</v>
      </c>
      <c r="L1001">
        <f t="shared" si="111"/>
        <v>-0.49349670829172754</v>
      </c>
    </row>
    <row r="1002" spans="1:12" x14ac:dyDescent="0.25">
      <c r="A1002" s="1">
        <v>41649</v>
      </c>
      <c r="B1002" s="6">
        <v>82.039699999999996</v>
      </c>
      <c r="C1002" s="6">
        <v>10.0959</v>
      </c>
      <c r="D1002" s="6">
        <v>8529.35</v>
      </c>
      <c r="E1002" s="6">
        <v>0.94</v>
      </c>
      <c r="F1002" s="6">
        <f t="shared" si="105"/>
        <v>1.0444444444444444E-2</v>
      </c>
      <c r="G1002">
        <f t="shared" si="106"/>
        <v>0.99008560307451898</v>
      </c>
      <c r="H1002">
        <f t="shared" si="107"/>
        <v>-0.38972314856838713</v>
      </c>
      <c r="I1002">
        <f t="shared" si="108"/>
        <v>0.17229067915646945</v>
      </c>
      <c r="J1002">
        <f t="shared" si="109"/>
        <v>0.68930114441213985</v>
      </c>
      <c r="K1002">
        <f t="shared" si="110"/>
        <v>0.9796411586300745</v>
      </c>
      <c r="L1002">
        <f t="shared" si="111"/>
        <v>0.161846234712025</v>
      </c>
    </row>
    <row r="1003" spans="1:12" x14ac:dyDescent="0.25">
      <c r="A1003" s="1">
        <v>41652</v>
      </c>
      <c r="B1003" s="6">
        <v>82.843999999999994</v>
      </c>
      <c r="C1003" s="6">
        <v>9.9776000000000007</v>
      </c>
      <c r="D1003" s="6">
        <v>8566.2000000000007</v>
      </c>
      <c r="E1003" s="6">
        <v>0.94</v>
      </c>
      <c r="F1003" s="6">
        <f t="shared" si="105"/>
        <v>1.0444444444444444E-2</v>
      </c>
      <c r="G1003">
        <f t="shared" si="106"/>
        <v>0.98037901162485708</v>
      </c>
      <c r="H1003">
        <f t="shared" si="107"/>
        <v>-1.1717627947978846</v>
      </c>
      <c r="I1003">
        <f t="shared" si="108"/>
        <v>0.43203761130684476</v>
      </c>
      <c r="J1003">
        <f t="shared" si="109"/>
        <v>0.68247133276564953</v>
      </c>
      <c r="K1003">
        <f t="shared" si="110"/>
        <v>0.9699345671804126</v>
      </c>
      <c r="L1003">
        <f t="shared" si="111"/>
        <v>0.42159316686240034</v>
      </c>
    </row>
    <row r="1004" spans="1:12" x14ac:dyDescent="0.25">
      <c r="A1004" s="1">
        <v>41653</v>
      </c>
      <c r="B1004" s="6">
        <v>83.246200000000002</v>
      </c>
      <c r="C1004" s="6">
        <v>9.9382000000000001</v>
      </c>
      <c r="D1004" s="6">
        <v>8548.14</v>
      </c>
      <c r="E1004" s="6">
        <v>0.94</v>
      </c>
      <c r="F1004" s="6">
        <f t="shared" si="105"/>
        <v>1.0444444444444444E-2</v>
      </c>
      <c r="G1004">
        <f t="shared" si="106"/>
        <v>0.48549080198929034</v>
      </c>
      <c r="H1004">
        <f t="shared" si="107"/>
        <v>-0.39488454137268025</v>
      </c>
      <c r="I1004">
        <f t="shared" si="108"/>
        <v>-0.21082860544933935</v>
      </c>
      <c r="J1004">
        <f t="shared" si="109"/>
        <v>0.33425504330829198</v>
      </c>
      <c r="K1004">
        <f t="shared" si="110"/>
        <v>0.47504635754484592</v>
      </c>
      <c r="L1004">
        <f t="shared" si="111"/>
        <v>-0.2212730498937838</v>
      </c>
    </row>
    <row r="1005" spans="1:12" x14ac:dyDescent="0.25">
      <c r="A1005" s="1">
        <v>41654</v>
      </c>
      <c r="B1005" s="6">
        <v>84.452699999999993</v>
      </c>
      <c r="C1005" s="6">
        <v>10.016999999999999</v>
      </c>
      <c r="D1005" s="6">
        <v>8602.5499999999993</v>
      </c>
      <c r="E1005" s="6">
        <v>0.94</v>
      </c>
      <c r="F1005" s="6">
        <f t="shared" si="105"/>
        <v>1.0444444444444444E-2</v>
      </c>
      <c r="G1005">
        <f t="shared" si="106"/>
        <v>1.449315404186607</v>
      </c>
      <c r="H1005">
        <f t="shared" si="107"/>
        <v>0.79290012275864152</v>
      </c>
      <c r="I1005">
        <f t="shared" si="108"/>
        <v>0.63651273844368317</v>
      </c>
      <c r="J1005">
        <f t="shared" si="109"/>
        <v>1.0124272448889515</v>
      </c>
      <c r="K1005">
        <f t="shared" si="110"/>
        <v>1.4388709597421625</v>
      </c>
      <c r="L1005">
        <f t="shared" si="111"/>
        <v>0.62606829399923869</v>
      </c>
    </row>
    <row r="1006" spans="1:12" x14ac:dyDescent="0.25">
      <c r="A1006" s="1">
        <v>41655</v>
      </c>
      <c r="B1006" s="6">
        <v>86.061300000000003</v>
      </c>
      <c r="C1006" s="6">
        <v>10.016999999999999</v>
      </c>
      <c r="D1006" s="6">
        <v>8612.11</v>
      </c>
      <c r="E1006" s="6">
        <v>0.94</v>
      </c>
      <c r="F1006" s="6">
        <f t="shared" si="105"/>
        <v>1.0444444444444444E-2</v>
      </c>
      <c r="G1006">
        <f t="shared" si="106"/>
        <v>1.9047348397387058</v>
      </c>
      <c r="H1006">
        <f t="shared" si="107"/>
        <v>0</v>
      </c>
      <c r="I1006">
        <f t="shared" si="108"/>
        <v>0.11112983940809772</v>
      </c>
      <c r="J1006">
        <f t="shared" si="109"/>
        <v>1.3328722724871982</v>
      </c>
      <c r="K1006">
        <f t="shared" si="110"/>
        <v>1.8942903952942614</v>
      </c>
      <c r="L1006">
        <f t="shared" si="111"/>
        <v>0.10068539496365328</v>
      </c>
    </row>
    <row r="1007" spans="1:12" x14ac:dyDescent="0.25">
      <c r="A1007" s="1">
        <v>41656</v>
      </c>
      <c r="B1007" s="6">
        <v>86.463399999999993</v>
      </c>
      <c r="C1007" s="6">
        <v>10.0565</v>
      </c>
      <c r="D1007" s="6">
        <v>8596</v>
      </c>
      <c r="E1007" s="6">
        <v>0.94</v>
      </c>
      <c r="F1007" s="6">
        <f t="shared" si="105"/>
        <v>1.0444444444444444E-2</v>
      </c>
      <c r="G1007">
        <f t="shared" si="106"/>
        <v>0.46722510582571969</v>
      </c>
      <c r="H1007">
        <f t="shared" si="107"/>
        <v>0.3943296396126616</v>
      </c>
      <c r="I1007">
        <f t="shared" si="108"/>
        <v>-0.18706217175582501</v>
      </c>
      <c r="J1007">
        <f t="shared" si="109"/>
        <v>0.3214028216982483</v>
      </c>
      <c r="K1007">
        <f t="shared" si="110"/>
        <v>0.45678066138127527</v>
      </c>
      <c r="L1007">
        <f t="shared" si="111"/>
        <v>-0.19750661620026946</v>
      </c>
    </row>
    <row r="1008" spans="1:12" x14ac:dyDescent="0.25">
      <c r="A1008" s="1">
        <v>41659</v>
      </c>
      <c r="B1008" s="6">
        <v>86.463399999999993</v>
      </c>
      <c r="C1008" s="6">
        <v>10.0959</v>
      </c>
      <c r="D1008" s="6">
        <v>8621.56</v>
      </c>
      <c r="E1008" s="6">
        <v>0.94</v>
      </c>
      <c r="F1008" s="6">
        <f t="shared" si="105"/>
        <v>1.0444444444444444E-2</v>
      </c>
      <c r="G1008">
        <f t="shared" si="106"/>
        <v>0</v>
      </c>
      <c r="H1008">
        <f t="shared" si="107"/>
        <v>0.39178640680157656</v>
      </c>
      <c r="I1008">
        <f t="shared" si="108"/>
        <v>0.29734760353652268</v>
      </c>
      <c r="J1008">
        <f t="shared" si="109"/>
        <v>-7.3489843141871791E-3</v>
      </c>
      <c r="K1008">
        <f t="shared" si="110"/>
        <v>-1.0444444444444444E-2</v>
      </c>
      <c r="L1008">
        <f t="shared" si="111"/>
        <v>0.28690315909207825</v>
      </c>
    </row>
    <row r="1009" spans="1:12" x14ac:dyDescent="0.25">
      <c r="A1009" s="1">
        <v>41660</v>
      </c>
      <c r="B1009" s="6">
        <v>85.659099999999995</v>
      </c>
      <c r="C1009" s="6">
        <v>10.0959</v>
      </c>
      <c r="D1009" s="6">
        <v>8599.9</v>
      </c>
      <c r="E1009" s="6">
        <v>0.94</v>
      </c>
      <c r="F1009" s="6">
        <f t="shared" si="105"/>
        <v>1.0444444444444444E-2</v>
      </c>
      <c r="G1009">
        <f t="shared" si="106"/>
        <v>-0.93022018565080467</v>
      </c>
      <c r="H1009">
        <f t="shared" si="107"/>
        <v>0</v>
      </c>
      <c r="I1009">
        <f t="shared" si="108"/>
        <v>-0.25123063575501248</v>
      </c>
      <c r="J1009">
        <f t="shared" si="109"/>
        <v>-0.66187623939708562</v>
      </c>
      <c r="K1009">
        <f t="shared" si="110"/>
        <v>-0.94066463009524914</v>
      </c>
      <c r="L1009">
        <f t="shared" si="111"/>
        <v>-0.2616750801994569</v>
      </c>
    </row>
    <row r="1010" spans="1:12" x14ac:dyDescent="0.25">
      <c r="A1010" s="1">
        <v>41661</v>
      </c>
      <c r="B1010" s="6">
        <v>86.463399999999993</v>
      </c>
      <c r="C1010" s="6">
        <v>10.0565</v>
      </c>
      <c r="D1010" s="6">
        <v>8625.2999999999993</v>
      </c>
      <c r="E1010" s="6">
        <v>0.94</v>
      </c>
      <c r="F1010" s="6">
        <f t="shared" si="105"/>
        <v>1.0444444444444444E-2</v>
      </c>
      <c r="G1010">
        <f t="shared" si="106"/>
        <v>0.93895453022504072</v>
      </c>
      <c r="H1010">
        <f t="shared" si="107"/>
        <v>-0.39025743123446693</v>
      </c>
      <c r="I1010">
        <f t="shared" si="108"/>
        <v>0.29535227153803695</v>
      </c>
      <c r="J1010">
        <f t="shared" si="109"/>
        <v>0.65332398408186965</v>
      </c>
      <c r="K1010">
        <f t="shared" si="110"/>
        <v>0.92851008578059624</v>
      </c>
      <c r="L1010">
        <f t="shared" si="111"/>
        <v>0.28490782709359253</v>
      </c>
    </row>
    <row r="1011" spans="1:12" x14ac:dyDescent="0.25">
      <c r="A1011" s="1">
        <v>41662</v>
      </c>
      <c r="B1011" s="6">
        <v>86.463399999999993</v>
      </c>
      <c r="C1011" s="6">
        <v>10.135400000000001</v>
      </c>
      <c r="D1011" s="6">
        <v>8595.1</v>
      </c>
      <c r="E1011" s="6">
        <v>0.94</v>
      </c>
      <c r="F1011" s="6">
        <f t="shared" si="105"/>
        <v>1.0444444444444444E-2</v>
      </c>
      <c r="G1011">
        <f t="shared" si="106"/>
        <v>0</v>
      </c>
      <c r="H1011">
        <f t="shared" si="107"/>
        <v>0.78456719534630204</v>
      </c>
      <c r="I1011">
        <f t="shared" si="108"/>
        <v>-0.35013274900581903</v>
      </c>
      <c r="J1011">
        <f t="shared" si="109"/>
        <v>-7.3489843141871791E-3</v>
      </c>
      <c r="K1011">
        <f t="shared" si="110"/>
        <v>-1.0444444444444444E-2</v>
      </c>
      <c r="L1011">
        <f t="shared" si="111"/>
        <v>-0.36057719345026346</v>
      </c>
    </row>
    <row r="1012" spans="1:12" x14ac:dyDescent="0.25">
      <c r="A1012" s="1">
        <v>41663</v>
      </c>
      <c r="B1012" s="6">
        <v>86.865600000000001</v>
      </c>
      <c r="C1012" s="6">
        <v>10.135400000000001</v>
      </c>
      <c r="D1012" s="6">
        <v>8598.31</v>
      </c>
      <c r="E1012" s="6">
        <v>0.94</v>
      </c>
      <c r="F1012" s="6">
        <f t="shared" si="105"/>
        <v>1.0444444444444444E-2</v>
      </c>
      <c r="G1012">
        <f t="shared" si="106"/>
        <v>0.46516792076185726</v>
      </c>
      <c r="H1012">
        <f t="shared" si="107"/>
        <v>0</v>
      </c>
      <c r="I1012">
        <f t="shared" si="108"/>
        <v>3.7346860420461966E-2</v>
      </c>
      <c r="J1012">
        <f t="shared" si="109"/>
        <v>0.31995533247599989</v>
      </c>
      <c r="K1012">
        <f t="shared" si="110"/>
        <v>0.45472347631741283</v>
      </c>
      <c r="L1012">
        <f t="shared" si="111"/>
        <v>2.6902415976017523E-2</v>
      </c>
    </row>
    <row r="1013" spans="1:12" x14ac:dyDescent="0.25">
      <c r="A1013" s="1">
        <v>41666</v>
      </c>
      <c r="B1013" s="6">
        <v>84.452699999999993</v>
      </c>
      <c r="C1013" s="6">
        <v>9.7409999999999997</v>
      </c>
      <c r="D1013" s="6">
        <v>8462.57</v>
      </c>
      <c r="E1013" s="6">
        <v>0.94</v>
      </c>
      <c r="F1013" s="6">
        <f t="shared" si="105"/>
        <v>1.0444444444444444E-2</v>
      </c>
      <c r="G1013">
        <f t="shared" si="106"/>
        <v>-2.7777394043211667</v>
      </c>
      <c r="H1013">
        <f t="shared" si="107"/>
        <v>-3.8913116403891403</v>
      </c>
      <c r="I1013">
        <f t="shared" si="108"/>
        <v>-1.5786823224563873</v>
      </c>
      <c r="J1013">
        <f t="shared" si="109"/>
        <v>-1.9618390885833685</v>
      </c>
      <c r="K1013">
        <f t="shared" si="110"/>
        <v>-2.7881838487656112</v>
      </c>
      <c r="L1013">
        <f t="shared" si="111"/>
        <v>-1.5891267669008318</v>
      </c>
    </row>
    <row r="1014" spans="1:12" x14ac:dyDescent="0.25">
      <c r="A1014" s="1">
        <v>41675</v>
      </c>
      <c r="B1014" s="6">
        <v>80.833299999999994</v>
      </c>
      <c r="C1014" s="6">
        <v>9.4649000000000001</v>
      </c>
      <c r="D1014" s="6">
        <v>8264.48</v>
      </c>
      <c r="E1014" s="6">
        <v>0.94</v>
      </c>
      <c r="F1014" s="6">
        <f t="shared" si="105"/>
        <v>1.0444444444444444E-2</v>
      </c>
      <c r="G1014">
        <f t="shared" si="106"/>
        <v>-4.2857125941503345</v>
      </c>
      <c r="H1014">
        <f t="shared" si="107"/>
        <v>-2.8344112514115549</v>
      </c>
      <c r="I1014">
        <f t="shared" si="108"/>
        <v>-2.3407782742122092</v>
      </c>
      <c r="J1014">
        <f t="shared" si="109"/>
        <v>-3.0228884701197969</v>
      </c>
      <c r="K1014">
        <f t="shared" si="110"/>
        <v>-4.2961570385947789</v>
      </c>
      <c r="L1014">
        <f t="shared" si="111"/>
        <v>-2.3512227186566537</v>
      </c>
    </row>
    <row r="1015" spans="1:12" x14ac:dyDescent="0.25">
      <c r="A1015" s="1">
        <v>41676</v>
      </c>
      <c r="B1015" s="6">
        <v>82.039699999999996</v>
      </c>
      <c r="C1015" s="6">
        <v>9.5044000000000004</v>
      </c>
      <c r="D1015" s="6">
        <v>8311.01</v>
      </c>
      <c r="E1015" s="6">
        <v>0.94</v>
      </c>
      <c r="F1015" s="6">
        <f t="shared" si="105"/>
        <v>1.0444444444444444E-2</v>
      </c>
      <c r="G1015">
        <f t="shared" si="106"/>
        <v>1.4924542236924661</v>
      </c>
      <c r="H1015">
        <f t="shared" si="107"/>
        <v>0.4173314033957074</v>
      </c>
      <c r="I1015">
        <f t="shared" si="108"/>
        <v>0.5630118289354038</v>
      </c>
      <c r="J1015">
        <f t="shared" si="109"/>
        <v>1.0427808467073558</v>
      </c>
      <c r="K1015">
        <f t="shared" si="110"/>
        <v>1.4820097792480216</v>
      </c>
      <c r="L1015">
        <f t="shared" si="111"/>
        <v>0.55256738449095932</v>
      </c>
    </row>
    <row r="1016" spans="1:12" x14ac:dyDescent="0.25">
      <c r="A1016" s="1">
        <v>41677</v>
      </c>
      <c r="B1016" s="6">
        <v>83.648300000000006</v>
      </c>
      <c r="C1016" s="6">
        <v>9.5437999999999992</v>
      </c>
      <c r="D1016" s="6">
        <v>8387.35</v>
      </c>
      <c r="E1016" s="6">
        <v>0.94</v>
      </c>
      <c r="F1016" s="6">
        <f t="shared" si="105"/>
        <v>1.0444444444444444E-2</v>
      </c>
      <c r="G1016">
        <f t="shared" si="106"/>
        <v>1.9607580232497315</v>
      </c>
      <c r="H1016">
        <f t="shared" si="107"/>
        <v>0.41454484238877537</v>
      </c>
      <c r="I1016">
        <f t="shared" si="108"/>
        <v>0.91854058652318005</v>
      </c>
      <c r="J1016">
        <f t="shared" si="109"/>
        <v>1.3722916498454985</v>
      </c>
      <c r="K1016">
        <f t="shared" si="110"/>
        <v>1.950313578805287</v>
      </c>
      <c r="L1016">
        <f t="shared" si="111"/>
        <v>0.90809614207873557</v>
      </c>
    </row>
    <row r="1017" spans="1:12" x14ac:dyDescent="0.25">
      <c r="A1017" s="1">
        <v>41680</v>
      </c>
      <c r="B1017" s="6">
        <v>82.843999999999994</v>
      </c>
      <c r="C1017" s="6">
        <v>9.5437999999999992</v>
      </c>
      <c r="D1017" s="6">
        <v>8391.9500000000007</v>
      </c>
      <c r="E1017" s="6">
        <v>0.94</v>
      </c>
      <c r="F1017" s="6">
        <f t="shared" si="105"/>
        <v>1.0444444444444444E-2</v>
      </c>
      <c r="G1017">
        <f t="shared" si="106"/>
        <v>-0.96152581702199802</v>
      </c>
      <c r="H1017">
        <f t="shared" si="107"/>
        <v>0</v>
      </c>
      <c r="I1017">
        <f t="shared" si="108"/>
        <v>5.4844497964200413E-2</v>
      </c>
      <c r="J1017">
        <f t="shared" si="109"/>
        <v>-0.6839037005144647</v>
      </c>
      <c r="K1017">
        <f t="shared" si="110"/>
        <v>-0.9719702614664425</v>
      </c>
      <c r="L1017">
        <f t="shared" si="111"/>
        <v>4.4400053519755969E-2</v>
      </c>
    </row>
    <row r="1018" spans="1:12" x14ac:dyDescent="0.25">
      <c r="A1018" s="1">
        <v>41681</v>
      </c>
      <c r="B1018" s="6">
        <v>84.0505</v>
      </c>
      <c r="C1018" s="6">
        <v>9.5437999999999992</v>
      </c>
      <c r="D1018" s="6">
        <v>8430.56</v>
      </c>
      <c r="E1018" s="6">
        <v>0.94</v>
      </c>
      <c r="F1018" s="6">
        <f t="shared" si="105"/>
        <v>1.0444444444444444E-2</v>
      </c>
      <c r="G1018">
        <f t="shared" si="106"/>
        <v>1.456351697165764</v>
      </c>
      <c r="H1018">
        <f t="shared" si="107"/>
        <v>0</v>
      </c>
      <c r="I1018">
        <f t="shared" si="108"/>
        <v>0.46008377075648399</v>
      </c>
      <c r="J1018">
        <f t="shared" si="109"/>
        <v>1.0173781646826181</v>
      </c>
      <c r="K1018">
        <f t="shared" si="110"/>
        <v>1.4459072527213195</v>
      </c>
      <c r="L1018">
        <f t="shared" si="111"/>
        <v>0.44963932631203957</v>
      </c>
    </row>
    <row r="1019" spans="1:12" x14ac:dyDescent="0.25">
      <c r="A1019" s="1">
        <v>41682</v>
      </c>
      <c r="B1019" s="6">
        <v>84.452699999999993</v>
      </c>
      <c r="C1019" s="6">
        <v>9.6227</v>
      </c>
      <c r="D1019" s="6">
        <v>8510.8700000000008</v>
      </c>
      <c r="E1019" s="6">
        <v>0.94</v>
      </c>
      <c r="F1019" s="6">
        <f t="shared" si="105"/>
        <v>1.0444444444444444E-2</v>
      </c>
      <c r="G1019">
        <f t="shared" si="106"/>
        <v>0.47852184103603601</v>
      </c>
      <c r="H1019">
        <f t="shared" si="107"/>
        <v>0.8267147257905747</v>
      </c>
      <c r="I1019">
        <f t="shared" si="108"/>
        <v>0.95260575809912174</v>
      </c>
      <c r="J1019">
        <f t="shared" si="109"/>
        <v>0.32935150008930431</v>
      </c>
      <c r="K1019">
        <f t="shared" si="110"/>
        <v>0.46807739659159159</v>
      </c>
      <c r="L1019">
        <f t="shared" si="111"/>
        <v>0.94216131365467726</v>
      </c>
    </row>
    <row r="1020" spans="1:12" x14ac:dyDescent="0.25">
      <c r="A1020" s="1">
        <v>41683</v>
      </c>
      <c r="B1020" s="6">
        <v>84.452699999999993</v>
      </c>
      <c r="C1020" s="6">
        <v>9.6227</v>
      </c>
      <c r="D1020" s="6">
        <v>8467.7000000000007</v>
      </c>
      <c r="E1020" s="6">
        <v>0.94</v>
      </c>
      <c r="F1020" s="6">
        <f t="shared" si="105"/>
        <v>1.0444444444444444E-2</v>
      </c>
      <c r="G1020">
        <f t="shared" si="106"/>
        <v>0</v>
      </c>
      <c r="H1020">
        <f t="shared" si="107"/>
        <v>0</v>
      </c>
      <c r="I1020">
        <f t="shared" si="108"/>
        <v>-0.50723369056277523</v>
      </c>
      <c r="J1020">
        <f t="shared" si="109"/>
        <v>-7.3489843141871791E-3</v>
      </c>
      <c r="K1020">
        <f t="shared" si="110"/>
        <v>-1.0444444444444444E-2</v>
      </c>
      <c r="L1020">
        <f t="shared" si="111"/>
        <v>-0.51767813500721971</v>
      </c>
    </row>
    <row r="1021" spans="1:12" x14ac:dyDescent="0.25">
      <c r="A1021" s="1">
        <v>41684</v>
      </c>
      <c r="B1021" s="6">
        <v>86.463399999999993</v>
      </c>
      <c r="C1021" s="6">
        <v>9.7015999999999991</v>
      </c>
      <c r="D1021" s="6">
        <v>8513.68</v>
      </c>
      <c r="E1021" s="6">
        <v>0.94</v>
      </c>
      <c r="F1021" s="6">
        <f t="shared" si="105"/>
        <v>1.0444444444444444E-2</v>
      </c>
      <c r="G1021">
        <f t="shared" si="106"/>
        <v>2.3808593449350939</v>
      </c>
      <c r="H1021">
        <f t="shared" si="107"/>
        <v>0.8199361925447024</v>
      </c>
      <c r="I1021">
        <f t="shared" si="108"/>
        <v>0.54300459392750755</v>
      </c>
      <c r="J1021">
        <f t="shared" si="109"/>
        <v>1.6678859286850225</v>
      </c>
      <c r="K1021">
        <f t="shared" si="110"/>
        <v>2.3704149004906494</v>
      </c>
      <c r="L1021">
        <f t="shared" si="111"/>
        <v>0.53256014948306307</v>
      </c>
    </row>
    <row r="1022" spans="1:12" x14ac:dyDescent="0.25">
      <c r="A1022" s="1">
        <v>41687</v>
      </c>
      <c r="B1022" s="6">
        <v>87.267700000000005</v>
      </c>
      <c r="C1022" s="6">
        <v>9.6227</v>
      </c>
      <c r="D1022" s="6">
        <v>8519.5499999999993</v>
      </c>
      <c r="E1022" s="6">
        <v>0.94</v>
      </c>
      <c r="F1022" s="6">
        <f t="shared" si="105"/>
        <v>1.0444444444444444E-2</v>
      </c>
      <c r="G1022">
        <f t="shared" si="106"/>
        <v>0.9302201856508211</v>
      </c>
      <c r="H1022">
        <f t="shared" si="107"/>
        <v>-0.81326791457078307</v>
      </c>
      <c r="I1022">
        <f t="shared" si="108"/>
        <v>6.8947858035526138E-2</v>
      </c>
      <c r="J1022">
        <f t="shared" si="109"/>
        <v>0.6471782707687227</v>
      </c>
      <c r="K1022">
        <f t="shared" si="110"/>
        <v>0.91977574120637662</v>
      </c>
      <c r="L1022">
        <f t="shared" si="111"/>
        <v>5.8503413591081695E-2</v>
      </c>
    </row>
    <row r="1023" spans="1:12" x14ac:dyDescent="0.25">
      <c r="A1023" s="1">
        <v>41688</v>
      </c>
      <c r="B1023" s="6">
        <v>86.865600000000001</v>
      </c>
      <c r="C1023" s="6">
        <v>9.6227</v>
      </c>
      <c r="D1023" s="6">
        <v>8556.23</v>
      </c>
      <c r="E1023" s="6">
        <v>0.94</v>
      </c>
      <c r="F1023" s="6">
        <f t="shared" si="105"/>
        <v>1.0444444444444444E-2</v>
      </c>
      <c r="G1023">
        <f t="shared" si="106"/>
        <v>-0.46076612538201916</v>
      </c>
      <c r="H1023">
        <f t="shared" si="107"/>
        <v>0</v>
      </c>
      <c r="I1023">
        <f t="shared" si="108"/>
        <v>0.43053917166986866</v>
      </c>
      <c r="J1023">
        <f t="shared" si="109"/>
        <v>-0.33155608273409526</v>
      </c>
      <c r="K1023">
        <f t="shared" si="110"/>
        <v>-0.47121056982646359</v>
      </c>
      <c r="L1023">
        <f t="shared" si="111"/>
        <v>0.42009472722542424</v>
      </c>
    </row>
    <row r="1024" spans="1:12" x14ac:dyDescent="0.25">
      <c r="A1024" s="1">
        <v>41689</v>
      </c>
      <c r="B1024" s="6">
        <v>86.865600000000001</v>
      </c>
      <c r="C1024" s="6">
        <v>9.6621000000000006</v>
      </c>
      <c r="D1024" s="6">
        <v>8577.01</v>
      </c>
      <c r="E1024" s="6">
        <v>0.94</v>
      </c>
      <c r="F1024" s="6">
        <f t="shared" si="105"/>
        <v>1.0444444444444444E-2</v>
      </c>
      <c r="G1024">
        <f t="shared" si="106"/>
        <v>0</v>
      </c>
      <c r="H1024">
        <f t="shared" si="107"/>
        <v>0.40944849158760582</v>
      </c>
      <c r="I1024">
        <f t="shared" si="108"/>
        <v>0.24286397163237378</v>
      </c>
      <c r="J1024">
        <f t="shared" si="109"/>
        <v>-7.3489843141871791E-3</v>
      </c>
      <c r="K1024">
        <f t="shared" si="110"/>
        <v>-1.0444444444444444E-2</v>
      </c>
      <c r="L1024">
        <f t="shared" si="111"/>
        <v>0.23241952718792933</v>
      </c>
    </row>
    <row r="1025" spans="1:12" x14ac:dyDescent="0.25">
      <c r="A1025" s="1">
        <v>41690</v>
      </c>
      <c r="B1025" s="6">
        <v>85.659099999999995</v>
      </c>
      <c r="C1025" s="6">
        <v>9.6227</v>
      </c>
      <c r="D1025" s="6">
        <v>8524.6200000000008</v>
      </c>
      <c r="E1025" s="6">
        <v>0.94</v>
      </c>
      <c r="F1025" s="6">
        <f t="shared" si="105"/>
        <v>1.0444444444444444E-2</v>
      </c>
      <c r="G1025">
        <f t="shared" si="106"/>
        <v>-1.3889272623455147</v>
      </c>
      <c r="H1025">
        <f t="shared" si="107"/>
        <v>-0.40777884724853336</v>
      </c>
      <c r="I1025">
        <f t="shared" si="108"/>
        <v>-0.61081892174544994</v>
      </c>
      <c r="J1025">
        <f t="shared" si="109"/>
        <v>-0.98463453730053996</v>
      </c>
      <c r="K1025">
        <f t="shared" si="110"/>
        <v>-1.3993717067899591</v>
      </c>
      <c r="L1025">
        <f t="shared" si="111"/>
        <v>-0.62126336618989442</v>
      </c>
    </row>
    <row r="1026" spans="1:12" x14ac:dyDescent="0.25">
      <c r="A1026" s="1">
        <v>41691</v>
      </c>
      <c r="B1026" s="6">
        <v>86.463399999999993</v>
      </c>
      <c r="C1026" s="6">
        <v>9.7015999999999991</v>
      </c>
      <c r="D1026" s="6">
        <v>8601.86</v>
      </c>
      <c r="E1026" s="6">
        <v>0.94</v>
      </c>
      <c r="F1026" s="6">
        <f t="shared" si="105"/>
        <v>1.0444444444444444E-2</v>
      </c>
      <c r="G1026">
        <f t="shared" si="106"/>
        <v>0.93895453022504072</v>
      </c>
      <c r="H1026">
        <f t="shared" si="107"/>
        <v>0.8199361925447024</v>
      </c>
      <c r="I1026">
        <f t="shared" si="108"/>
        <v>0.90608144409955838</v>
      </c>
      <c r="J1026">
        <f t="shared" si="109"/>
        <v>0.65332398408186965</v>
      </c>
      <c r="K1026">
        <f t="shared" si="110"/>
        <v>0.92851008578059624</v>
      </c>
      <c r="L1026">
        <f t="shared" si="111"/>
        <v>0.8956369996551139</v>
      </c>
    </row>
    <row r="1027" spans="1:12" x14ac:dyDescent="0.25">
      <c r="A1027" s="1">
        <v>41694</v>
      </c>
      <c r="B1027" s="6">
        <v>86.061300000000003</v>
      </c>
      <c r="C1027" s="6">
        <v>9.6621000000000006</v>
      </c>
      <c r="D1027" s="6">
        <v>8560.61</v>
      </c>
      <c r="E1027" s="6">
        <v>0.94</v>
      </c>
      <c r="F1027" s="6">
        <f t="shared" ref="F1027:F1090" si="112">E1027/90</f>
        <v>1.0444444444444444E-2</v>
      </c>
      <c r="G1027">
        <f t="shared" si="106"/>
        <v>-0.46505226488894741</v>
      </c>
      <c r="H1027">
        <f t="shared" si="107"/>
        <v>-0.40714933619195326</v>
      </c>
      <c r="I1027">
        <f t="shared" si="108"/>
        <v>-0.47954744671501276</v>
      </c>
      <c r="J1027">
        <f t="shared" si="109"/>
        <v>-0.33457192260689844</v>
      </c>
      <c r="K1027">
        <f t="shared" si="110"/>
        <v>-0.47549670933339183</v>
      </c>
      <c r="L1027">
        <f t="shared" si="111"/>
        <v>-0.48999189115945718</v>
      </c>
    </row>
    <row r="1028" spans="1:12" x14ac:dyDescent="0.25">
      <c r="A1028" s="1">
        <v>41695</v>
      </c>
      <c r="B1028" s="6">
        <v>86.865600000000001</v>
      </c>
      <c r="C1028" s="6">
        <v>9.6621000000000006</v>
      </c>
      <c r="D1028" s="6">
        <v>8575.6200000000008</v>
      </c>
      <c r="E1028" s="6">
        <v>0.94</v>
      </c>
      <c r="F1028" s="6">
        <f t="shared" si="112"/>
        <v>1.0444444444444444E-2</v>
      </c>
      <c r="G1028">
        <f t="shared" ref="G1028:G1091" si="113">100*(B1028-B1027)/B1027</f>
        <v>0.93456640789762391</v>
      </c>
      <c r="H1028">
        <f t="shared" ref="H1028:H1091" si="114">100*(C1028-C1027)/C1027</f>
        <v>0</v>
      </c>
      <c r="I1028">
        <f t="shared" ref="I1028:I1091" si="115">100*(D1028-D1027)/D1027</f>
        <v>0.17533797241084709</v>
      </c>
      <c r="J1028">
        <f t="shared" ref="J1028:J1091" si="116">(G1028-F1028)/$N$3</f>
        <v>0.65023638642893045</v>
      </c>
      <c r="K1028">
        <f t="shared" ref="K1028:K1091" si="117">G1028-F1028</f>
        <v>0.92412196345317943</v>
      </c>
      <c r="L1028">
        <f t="shared" ref="L1028:L1091" si="118">I1028-F1028</f>
        <v>0.16489352796640264</v>
      </c>
    </row>
    <row r="1029" spans="1:12" x14ac:dyDescent="0.25">
      <c r="A1029" s="1">
        <v>41696</v>
      </c>
      <c r="B1029" s="6">
        <v>86.463399999999993</v>
      </c>
      <c r="C1029" s="6">
        <v>9.7409999999999997</v>
      </c>
      <c r="D1029" s="6">
        <v>8600.86</v>
      </c>
      <c r="E1029" s="6">
        <v>0.94</v>
      </c>
      <c r="F1029" s="6">
        <f t="shared" si="112"/>
        <v>1.0444444444444444E-2</v>
      </c>
      <c r="G1029">
        <f t="shared" si="113"/>
        <v>-0.46301412757179788</v>
      </c>
      <c r="H1029">
        <f t="shared" si="114"/>
        <v>0.81659266619057014</v>
      </c>
      <c r="I1029">
        <f t="shared" si="115"/>
        <v>0.29432274284541271</v>
      </c>
      <c r="J1029">
        <f t="shared" si="116"/>
        <v>-0.33313783587748336</v>
      </c>
      <c r="K1029">
        <f t="shared" si="117"/>
        <v>-0.47345857201624231</v>
      </c>
      <c r="L1029">
        <f t="shared" si="118"/>
        <v>0.28387829840096829</v>
      </c>
    </row>
    <row r="1030" spans="1:12" x14ac:dyDescent="0.25">
      <c r="A1030" s="1">
        <v>41697</v>
      </c>
      <c r="B1030" s="6">
        <v>86.865600000000001</v>
      </c>
      <c r="C1030" s="6">
        <v>9.7015999999999991</v>
      </c>
      <c r="D1030" s="6">
        <v>8639.58</v>
      </c>
      <c r="E1030" s="6">
        <v>0.94</v>
      </c>
      <c r="F1030" s="6">
        <f t="shared" si="112"/>
        <v>1.0444444444444444E-2</v>
      </c>
      <c r="G1030">
        <f t="shared" si="113"/>
        <v>0.46516792076185726</v>
      </c>
      <c r="H1030">
        <f t="shared" si="114"/>
        <v>-0.40447592649625858</v>
      </c>
      <c r="I1030">
        <f t="shared" si="115"/>
        <v>0.4501875393855887</v>
      </c>
      <c r="J1030">
        <f t="shared" si="116"/>
        <v>0.31995533247599989</v>
      </c>
      <c r="K1030">
        <f t="shared" si="117"/>
        <v>0.45472347631741283</v>
      </c>
      <c r="L1030">
        <f t="shared" si="118"/>
        <v>0.43974309494114427</v>
      </c>
    </row>
    <row r="1031" spans="1:12" x14ac:dyDescent="0.25">
      <c r="A1031" s="1">
        <v>41701</v>
      </c>
      <c r="B1031" s="6">
        <v>86.865600000000001</v>
      </c>
      <c r="C1031" s="6">
        <v>9.8592999999999993</v>
      </c>
      <c r="D1031" s="6">
        <v>8601.98</v>
      </c>
      <c r="E1031" s="6">
        <v>0.94</v>
      </c>
      <c r="F1031" s="6">
        <f t="shared" si="112"/>
        <v>1.0444444444444444E-2</v>
      </c>
      <c r="G1031">
        <f t="shared" si="113"/>
        <v>0</v>
      </c>
      <c r="H1031">
        <f t="shared" si="114"/>
        <v>1.6255050713284427</v>
      </c>
      <c r="I1031">
        <f t="shared" si="115"/>
        <v>-0.43520634104899042</v>
      </c>
      <c r="J1031">
        <f t="shared" si="116"/>
        <v>-7.3489843141871791E-3</v>
      </c>
      <c r="K1031">
        <f t="shared" si="117"/>
        <v>-1.0444444444444444E-2</v>
      </c>
      <c r="L1031">
        <f t="shared" si="118"/>
        <v>-0.44565078549343484</v>
      </c>
    </row>
    <row r="1032" spans="1:12" x14ac:dyDescent="0.25">
      <c r="A1032" s="1">
        <v>41702</v>
      </c>
      <c r="B1032" s="6">
        <v>86.463399999999993</v>
      </c>
      <c r="C1032" s="6">
        <v>9.7804000000000002</v>
      </c>
      <c r="D1032" s="6">
        <v>8554.5400000000009</v>
      </c>
      <c r="E1032" s="6">
        <v>0.94</v>
      </c>
      <c r="F1032" s="6">
        <f t="shared" si="112"/>
        <v>1.0444444444444444E-2</v>
      </c>
      <c r="G1032">
        <f t="shared" si="113"/>
        <v>-0.46301412757179788</v>
      </c>
      <c r="H1032">
        <f t="shared" si="114"/>
        <v>-0.8002596533222347</v>
      </c>
      <c r="I1032">
        <f t="shared" si="115"/>
        <v>-0.55150093350599161</v>
      </c>
      <c r="J1032">
        <f t="shared" si="116"/>
        <v>-0.33313783587748336</v>
      </c>
      <c r="K1032">
        <f t="shared" si="117"/>
        <v>-0.47345857201624231</v>
      </c>
      <c r="L1032">
        <f t="shared" si="118"/>
        <v>-0.56194537795043609</v>
      </c>
    </row>
    <row r="1033" spans="1:12" x14ac:dyDescent="0.25">
      <c r="A1033" s="1">
        <v>41703</v>
      </c>
      <c r="B1033" s="6">
        <v>88.474199999999996</v>
      </c>
      <c r="C1033" s="6">
        <v>9.8199000000000005</v>
      </c>
      <c r="D1033" s="6">
        <v>8632.93</v>
      </c>
      <c r="E1033" s="6">
        <v>0.94</v>
      </c>
      <c r="F1033" s="6">
        <f t="shared" si="112"/>
        <v>1.0444444444444444E-2</v>
      </c>
      <c r="G1033">
        <f t="shared" si="113"/>
        <v>2.3256082920634666</v>
      </c>
      <c r="H1033">
        <f t="shared" si="114"/>
        <v>0.40386896241462833</v>
      </c>
      <c r="I1033">
        <f t="shared" si="115"/>
        <v>0.91635552583773539</v>
      </c>
      <c r="J1033">
        <f t="shared" si="116"/>
        <v>1.6290098426417967</v>
      </c>
      <c r="K1033">
        <f t="shared" si="117"/>
        <v>2.3151638476190222</v>
      </c>
      <c r="L1033">
        <f t="shared" si="118"/>
        <v>0.90591108139329091</v>
      </c>
    </row>
    <row r="1034" spans="1:12" x14ac:dyDescent="0.25">
      <c r="A1034" s="1">
        <v>41704</v>
      </c>
      <c r="B1034" s="6">
        <v>90.887100000000004</v>
      </c>
      <c r="C1034" s="6">
        <v>10.016999999999999</v>
      </c>
      <c r="D1034" s="6">
        <v>8713.7900000000009</v>
      </c>
      <c r="E1034" s="6">
        <v>0.94</v>
      </c>
      <c r="F1034" s="6">
        <f t="shared" si="112"/>
        <v>1.0444444444444444E-2</v>
      </c>
      <c r="G1034">
        <f t="shared" si="113"/>
        <v>2.7272357365198077</v>
      </c>
      <c r="H1034">
        <f t="shared" si="114"/>
        <v>2.0071487489689197</v>
      </c>
      <c r="I1034">
        <f t="shared" si="115"/>
        <v>0.93664607497107677</v>
      </c>
      <c r="J1034">
        <f t="shared" si="116"/>
        <v>1.9116054182280795</v>
      </c>
      <c r="K1034">
        <f t="shared" si="117"/>
        <v>2.7167912920753632</v>
      </c>
      <c r="L1034">
        <f t="shared" si="118"/>
        <v>0.92620163052663229</v>
      </c>
    </row>
    <row r="1035" spans="1:12" x14ac:dyDescent="0.25">
      <c r="A1035" s="1">
        <v>41705</v>
      </c>
      <c r="B1035" s="6">
        <v>92.093599999999995</v>
      </c>
      <c r="C1035" s="6">
        <v>9.9776000000000007</v>
      </c>
      <c r="D1035" s="6">
        <v>8713.9599999999991</v>
      </c>
      <c r="E1035" s="6">
        <v>0.94</v>
      </c>
      <c r="F1035" s="6">
        <f t="shared" si="112"/>
        <v>1.0444444444444444E-2</v>
      </c>
      <c r="G1035">
        <f t="shared" si="113"/>
        <v>1.3274711152627723</v>
      </c>
      <c r="H1035">
        <f t="shared" si="114"/>
        <v>-0.39333133672755088</v>
      </c>
      <c r="I1035">
        <f t="shared" si="115"/>
        <v>1.9509306512809437E-3</v>
      </c>
      <c r="J1035">
        <f t="shared" si="116"/>
        <v>0.92669441603074976</v>
      </c>
      <c r="K1035">
        <f t="shared" si="117"/>
        <v>1.3170266708183278</v>
      </c>
      <c r="L1035">
        <f t="shared" si="118"/>
        <v>-8.4935137931634996E-3</v>
      </c>
    </row>
    <row r="1036" spans="1:12" x14ac:dyDescent="0.25">
      <c r="A1036" s="1">
        <v>41708</v>
      </c>
      <c r="B1036" s="6">
        <v>90.887100000000004</v>
      </c>
      <c r="C1036" s="6">
        <v>9.8592999999999993</v>
      </c>
      <c r="D1036" s="6">
        <v>8665.24</v>
      </c>
      <c r="E1036" s="6">
        <v>0.94</v>
      </c>
      <c r="F1036" s="6">
        <f t="shared" si="112"/>
        <v>1.0444444444444444E-2</v>
      </c>
      <c r="G1036">
        <f t="shared" si="113"/>
        <v>-1.3100801792958374</v>
      </c>
      <c r="H1036">
        <f t="shared" si="114"/>
        <v>-1.185655869146903</v>
      </c>
      <c r="I1036">
        <f t="shared" si="115"/>
        <v>-0.5591028648283829</v>
      </c>
      <c r="J1036">
        <f t="shared" si="116"/>
        <v>-0.92915566720518439</v>
      </c>
      <c r="K1036">
        <f t="shared" si="117"/>
        <v>-1.3205246237402819</v>
      </c>
      <c r="L1036">
        <f t="shared" si="118"/>
        <v>-0.56954730927282737</v>
      </c>
    </row>
    <row r="1037" spans="1:12" x14ac:dyDescent="0.25">
      <c r="A1037" s="1">
        <v>41709</v>
      </c>
      <c r="B1037" s="6">
        <v>91.691500000000005</v>
      </c>
      <c r="C1037" s="6">
        <v>10.0565</v>
      </c>
      <c r="D1037" s="6">
        <v>8702.33</v>
      </c>
      <c r="E1037" s="6">
        <v>0.94</v>
      </c>
      <c r="F1037" s="6">
        <f t="shared" si="112"/>
        <v>1.0444444444444444E-2</v>
      </c>
      <c r="G1037">
        <f t="shared" si="113"/>
        <v>0.88505409458548145</v>
      </c>
      <c r="H1037">
        <f t="shared" si="114"/>
        <v>2.0001419979106072</v>
      </c>
      <c r="I1037">
        <f t="shared" si="115"/>
        <v>0.42803199911370193</v>
      </c>
      <c r="J1037">
        <f t="shared" si="116"/>
        <v>0.61539822765222296</v>
      </c>
      <c r="K1037">
        <f t="shared" si="117"/>
        <v>0.87460965014103698</v>
      </c>
      <c r="L1037">
        <f t="shared" si="118"/>
        <v>0.41758755466925751</v>
      </c>
    </row>
    <row r="1038" spans="1:12" x14ac:dyDescent="0.25">
      <c r="A1038" s="1">
        <v>41710</v>
      </c>
      <c r="B1038" s="6">
        <v>90.887100000000004</v>
      </c>
      <c r="C1038" s="6">
        <v>10.174799999999999</v>
      </c>
      <c r="D1038" s="6">
        <v>8684.73</v>
      </c>
      <c r="E1038" s="6">
        <v>0.94</v>
      </c>
      <c r="F1038" s="6">
        <f t="shared" si="112"/>
        <v>1.0444444444444444E-2</v>
      </c>
      <c r="G1038">
        <f t="shared" si="113"/>
        <v>-0.87728960699737824</v>
      </c>
      <c r="H1038">
        <f t="shared" si="114"/>
        <v>1.1763536021478609</v>
      </c>
      <c r="I1038">
        <f t="shared" si="115"/>
        <v>-0.2022446861932421</v>
      </c>
      <c r="J1038">
        <f t="shared" si="116"/>
        <v>-0.62463289971215008</v>
      </c>
      <c r="K1038">
        <f t="shared" si="117"/>
        <v>-0.88773405144182271</v>
      </c>
      <c r="L1038">
        <f t="shared" si="118"/>
        <v>-0.21268913063768655</v>
      </c>
    </row>
    <row r="1039" spans="1:12" x14ac:dyDescent="0.25">
      <c r="A1039" s="1">
        <v>41711</v>
      </c>
      <c r="B1039" s="6">
        <v>93.702200000000005</v>
      </c>
      <c r="C1039" s="6">
        <v>10.293100000000001</v>
      </c>
      <c r="D1039" s="6">
        <v>8747.7900000000009</v>
      </c>
      <c r="E1039" s="6">
        <v>0.94</v>
      </c>
      <c r="F1039" s="6">
        <f t="shared" si="112"/>
        <v>1.0444444444444444E-2</v>
      </c>
      <c r="G1039">
        <f t="shared" si="113"/>
        <v>3.0973592512028669</v>
      </c>
      <c r="H1039">
        <f t="shared" si="114"/>
        <v>1.1626764162440677</v>
      </c>
      <c r="I1039">
        <f t="shared" si="115"/>
        <v>0.72610202044279226</v>
      </c>
      <c r="J1039">
        <f t="shared" si="116"/>
        <v>2.1720340047542357</v>
      </c>
      <c r="K1039">
        <f t="shared" si="117"/>
        <v>3.0869148067584224</v>
      </c>
      <c r="L1039">
        <f t="shared" si="118"/>
        <v>0.71565757599834778</v>
      </c>
    </row>
    <row r="1040" spans="1:12" x14ac:dyDescent="0.25">
      <c r="A1040" s="1">
        <v>41712</v>
      </c>
      <c r="B1040" s="6">
        <v>92.495800000000003</v>
      </c>
      <c r="C1040" s="6">
        <v>10.174799999999999</v>
      </c>
      <c r="D1040" s="6">
        <v>8687.6299999999992</v>
      </c>
      <c r="E1040" s="6">
        <v>0.94</v>
      </c>
      <c r="F1040" s="6">
        <f t="shared" si="112"/>
        <v>1.0444444444444444E-2</v>
      </c>
      <c r="G1040">
        <f t="shared" si="113"/>
        <v>-1.2874831113890624</v>
      </c>
      <c r="H1040">
        <f t="shared" si="114"/>
        <v>-1.1493136178605221</v>
      </c>
      <c r="I1040">
        <f t="shared" si="115"/>
        <v>-0.68771655469554782</v>
      </c>
      <c r="J1040">
        <f t="shared" si="116"/>
        <v>-0.91325577913772038</v>
      </c>
      <c r="K1040">
        <f t="shared" si="117"/>
        <v>-1.2979275558335068</v>
      </c>
      <c r="L1040">
        <f t="shared" si="118"/>
        <v>-0.6981609991399923</v>
      </c>
    </row>
    <row r="1041" spans="1:12" x14ac:dyDescent="0.25">
      <c r="A1041" s="1">
        <v>41715</v>
      </c>
      <c r="B1041" s="6">
        <v>91.691500000000005</v>
      </c>
      <c r="C1041" s="6">
        <v>10.2142</v>
      </c>
      <c r="D1041" s="6">
        <v>8700.1</v>
      </c>
      <c r="E1041" s="6">
        <v>0.94</v>
      </c>
      <c r="F1041" s="6">
        <f t="shared" si="112"/>
        <v>1.0444444444444444E-2</v>
      </c>
      <c r="G1041">
        <f t="shared" si="113"/>
        <v>-0.86955299591981228</v>
      </c>
      <c r="H1041">
        <f t="shared" si="114"/>
        <v>0.38723119864764466</v>
      </c>
      <c r="I1041">
        <f t="shared" si="115"/>
        <v>0.14353742044724702</v>
      </c>
      <c r="J1041">
        <f t="shared" si="116"/>
        <v>-0.61918921778570335</v>
      </c>
      <c r="K1041">
        <f t="shared" si="117"/>
        <v>-0.87999744036425676</v>
      </c>
      <c r="L1041">
        <f t="shared" si="118"/>
        <v>0.13309297600280257</v>
      </c>
    </row>
    <row r="1042" spans="1:12" x14ac:dyDescent="0.25">
      <c r="A1042" s="1">
        <v>41716</v>
      </c>
      <c r="B1042" s="6">
        <v>92.093599999999995</v>
      </c>
      <c r="C1042" s="6">
        <v>10.293100000000001</v>
      </c>
      <c r="D1042" s="6">
        <v>8731.94</v>
      </c>
      <c r="E1042" s="6">
        <v>0.94</v>
      </c>
      <c r="F1042" s="6">
        <f t="shared" si="112"/>
        <v>1.0444444444444444E-2</v>
      </c>
      <c r="G1042">
        <f t="shared" si="113"/>
        <v>0.43853574213530166</v>
      </c>
      <c r="H1042">
        <f t="shared" si="114"/>
        <v>0.7724540345793196</v>
      </c>
      <c r="I1042">
        <f t="shared" si="115"/>
        <v>0.36597280491029005</v>
      </c>
      <c r="J1042">
        <f t="shared" si="116"/>
        <v>0.30121623495671596</v>
      </c>
      <c r="K1042">
        <f t="shared" si="117"/>
        <v>0.42809129769085724</v>
      </c>
      <c r="L1042">
        <f t="shared" si="118"/>
        <v>0.35552836046584563</v>
      </c>
    </row>
    <row r="1043" spans="1:12" x14ac:dyDescent="0.25">
      <c r="A1043" s="1">
        <v>41717</v>
      </c>
      <c r="B1043" s="6">
        <v>92.093599999999995</v>
      </c>
      <c r="C1043" s="6">
        <v>10.135400000000001</v>
      </c>
      <c r="D1043" s="6">
        <v>8689.4599999999991</v>
      </c>
      <c r="E1043" s="6">
        <v>0.94</v>
      </c>
      <c r="F1043" s="6">
        <f t="shared" si="112"/>
        <v>1.0444444444444444E-2</v>
      </c>
      <c r="G1043">
        <f t="shared" si="113"/>
        <v>0</v>
      </c>
      <c r="H1043">
        <f t="shared" si="114"/>
        <v>-1.5320943156094875</v>
      </c>
      <c r="I1043">
        <f t="shared" si="115"/>
        <v>-0.48648982929339163</v>
      </c>
      <c r="J1043">
        <f t="shared" si="116"/>
        <v>-7.3489843141871791E-3</v>
      </c>
      <c r="K1043">
        <f t="shared" si="117"/>
        <v>-1.0444444444444444E-2</v>
      </c>
      <c r="L1043">
        <f t="shared" si="118"/>
        <v>-0.49693427373783605</v>
      </c>
    </row>
    <row r="1044" spans="1:12" x14ac:dyDescent="0.25">
      <c r="A1044" s="1">
        <v>41718</v>
      </c>
      <c r="B1044" s="6">
        <v>90.082800000000006</v>
      </c>
      <c r="C1044" s="6">
        <v>9.9776000000000007</v>
      </c>
      <c r="D1044" s="6">
        <v>8597.33</v>
      </c>
      <c r="E1044" s="6">
        <v>0.94</v>
      </c>
      <c r="F1044" s="6">
        <f t="shared" si="112"/>
        <v>1.0444444444444444E-2</v>
      </c>
      <c r="G1044">
        <f t="shared" si="113"/>
        <v>-2.1834307704335472</v>
      </c>
      <c r="H1044">
        <f t="shared" si="114"/>
        <v>-1.5569193125086325</v>
      </c>
      <c r="I1044">
        <f t="shared" si="115"/>
        <v>-1.0602500040278591</v>
      </c>
      <c r="J1044">
        <f t="shared" si="116"/>
        <v>-1.5436679880085267</v>
      </c>
      <c r="K1044">
        <f t="shared" si="117"/>
        <v>-2.1938752148779916</v>
      </c>
      <c r="L1044">
        <f t="shared" si="118"/>
        <v>-1.0706944484723036</v>
      </c>
    </row>
    <row r="1045" spans="1:12" x14ac:dyDescent="0.25">
      <c r="A1045" s="1">
        <v>41719</v>
      </c>
      <c r="B1045" s="6">
        <v>90.484999999999999</v>
      </c>
      <c r="C1045" s="6">
        <v>9.8592999999999993</v>
      </c>
      <c r="D1045" s="6">
        <v>8577.17</v>
      </c>
      <c r="E1045" s="6">
        <v>0.94</v>
      </c>
      <c r="F1045" s="6">
        <f t="shared" si="112"/>
        <v>1.0444444444444444E-2</v>
      </c>
      <c r="G1045">
        <f t="shared" si="113"/>
        <v>0.44647812901019218</v>
      </c>
      <c r="H1045">
        <f t="shared" si="114"/>
        <v>-1.185655869146903</v>
      </c>
      <c r="I1045">
        <f t="shared" si="115"/>
        <v>-0.23449140605280772</v>
      </c>
      <c r="J1045">
        <f t="shared" si="116"/>
        <v>0.30680470611679028</v>
      </c>
      <c r="K1045">
        <f t="shared" si="117"/>
        <v>0.43603368456574776</v>
      </c>
      <c r="L1045">
        <f t="shared" si="118"/>
        <v>-0.24493585049725217</v>
      </c>
    </row>
    <row r="1046" spans="1:12" x14ac:dyDescent="0.25">
      <c r="A1046" s="1">
        <v>41722</v>
      </c>
      <c r="B1046" s="6">
        <v>90.484999999999999</v>
      </c>
      <c r="C1046" s="6">
        <v>9.9776000000000007</v>
      </c>
      <c r="D1046" s="6">
        <v>8605.3799999999992</v>
      </c>
      <c r="E1046" s="6">
        <v>0.94</v>
      </c>
      <c r="F1046" s="6">
        <f t="shared" si="112"/>
        <v>1.0444444444444444E-2</v>
      </c>
      <c r="G1046">
        <f t="shared" si="113"/>
        <v>0</v>
      </c>
      <c r="H1046">
        <f t="shared" si="114"/>
        <v>1.1998823445883726</v>
      </c>
      <c r="I1046">
        <f t="shared" si="115"/>
        <v>0.32889636092089963</v>
      </c>
      <c r="J1046">
        <f t="shared" si="116"/>
        <v>-7.3489843141871791E-3</v>
      </c>
      <c r="K1046">
        <f t="shared" si="117"/>
        <v>-1.0444444444444444E-2</v>
      </c>
      <c r="L1046">
        <f t="shared" si="118"/>
        <v>0.31845191647645521</v>
      </c>
    </row>
    <row r="1047" spans="1:12" x14ac:dyDescent="0.25">
      <c r="A1047" s="1">
        <v>41723</v>
      </c>
      <c r="B1047" s="6">
        <v>91.289299999999997</v>
      </c>
      <c r="C1047" s="6">
        <v>10.016999999999999</v>
      </c>
      <c r="D1047" s="6">
        <v>8689.2999999999993</v>
      </c>
      <c r="E1047" s="6">
        <v>0.94</v>
      </c>
      <c r="F1047" s="6">
        <f t="shared" si="112"/>
        <v>1.0444444444444444E-2</v>
      </c>
      <c r="G1047">
        <f t="shared" si="113"/>
        <v>0.88887660938276825</v>
      </c>
      <c r="H1047">
        <f t="shared" si="114"/>
        <v>0.39488454137266243</v>
      </c>
      <c r="I1047">
        <f t="shared" si="115"/>
        <v>0.97520388408181957</v>
      </c>
      <c r="J1047">
        <f t="shared" si="116"/>
        <v>0.61808784905194725</v>
      </c>
      <c r="K1047">
        <f t="shared" si="117"/>
        <v>0.87843216493832377</v>
      </c>
      <c r="L1047">
        <f t="shared" si="118"/>
        <v>0.96475943963737509</v>
      </c>
    </row>
    <row r="1048" spans="1:12" x14ac:dyDescent="0.25">
      <c r="A1048" s="1">
        <v>41724</v>
      </c>
      <c r="B1048" s="6">
        <v>92.897900000000007</v>
      </c>
      <c r="C1048" s="6">
        <v>10.174799999999999</v>
      </c>
      <c r="D1048" s="6">
        <v>8737.27</v>
      </c>
      <c r="E1048" s="6">
        <v>0.94</v>
      </c>
      <c r="F1048" s="6">
        <f t="shared" si="112"/>
        <v>1.0444444444444444E-2</v>
      </c>
      <c r="G1048">
        <f t="shared" si="113"/>
        <v>1.7620904092812737</v>
      </c>
      <c r="H1048">
        <f t="shared" si="114"/>
        <v>1.5753219526804427</v>
      </c>
      <c r="I1048">
        <f t="shared" si="115"/>
        <v>0.55205827857251066</v>
      </c>
      <c r="J1048">
        <f t="shared" si="116"/>
        <v>1.2325039199612355</v>
      </c>
      <c r="K1048">
        <f t="shared" si="117"/>
        <v>1.7516459648368292</v>
      </c>
      <c r="L1048">
        <f t="shared" si="118"/>
        <v>0.54161383412806618</v>
      </c>
    </row>
    <row r="1049" spans="1:12" x14ac:dyDescent="0.25">
      <c r="A1049" s="1">
        <v>41725</v>
      </c>
      <c r="B1049" s="6">
        <v>93.3001</v>
      </c>
      <c r="C1049" s="6">
        <v>10.174799999999999</v>
      </c>
      <c r="D1049" s="6">
        <v>8779.57</v>
      </c>
      <c r="E1049" s="6">
        <v>0.94</v>
      </c>
      <c r="F1049" s="6">
        <f t="shared" si="112"/>
        <v>1.0444444444444444E-2</v>
      </c>
      <c r="G1049">
        <f t="shared" si="113"/>
        <v>0.43294843048119863</v>
      </c>
      <c r="H1049">
        <f t="shared" si="114"/>
        <v>0</v>
      </c>
      <c r="I1049">
        <f t="shared" si="115"/>
        <v>0.48413291565900185</v>
      </c>
      <c r="J1049">
        <f t="shared" si="116"/>
        <v>0.29728485632543611</v>
      </c>
      <c r="K1049">
        <f t="shared" si="117"/>
        <v>0.42250398603675421</v>
      </c>
      <c r="L1049">
        <f t="shared" si="118"/>
        <v>0.47368847121455743</v>
      </c>
    </row>
    <row r="1050" spans="1:12" x14ac:dyDescent="0.25">
      <c r="A1050" s="1">
        <v>41726</v>
      </c>
      <c r="B1050" s="6">
        <v>94.506500000000003</v>
      </c>
      <c r="C1050" s="6">
        <v>10.174799999999999</v>
      </c>
      <c r="D1050" s="6">
        <v>8774.64</v>
      </c>
      <c r="E1050" s="6">
        <v>0.94</v>
      </c>
      <c r="F1050" s="6">
        <f t="shared" si="112"/>
        <v>1.0444444444444444E-2</v>
      </c>
      <c r="G1050">
        <f t="shared" si="113"/>
        <v>1.2930318402659826</v>
      </c>
      <c r="H1050">
        <f t="shared" si="114"/>
        <v>0</v>
      </c>
      <c r="I1050">
        <f t="shared" si="115"/>
        <v>-5.6153091780124668E-2</v>
      </c>
      <c r="J1050">
        <f t="shared" si="116"/>
        <v>0.9024620412893618</v>
      </c>
      <c r="K1050">
        <f t="shared" si="117"/>
        <v>1.2825873958215381</v>
      </c>
      <c r="L1050">
        <f t="shared" si="118"/>
        <v>-6.6597536224569112E-2</v>
      </c>
    </row>
    <row r="1051" spans="1:12" x14ac:dyDescent="0.25">
      <c r="A1051" s="1">
        <v>41729</v>
      </c>
      <c r="B1051" s="6">
        <v>95.310900000000004</v>
      </c>
      <c r="C1051" s="6">
        <v>10.135400000000001</v>
      </c>
      <c r="D1051" s="6">
        <v>8849.2800000000007</v>
      </c>
      <c r="E1051" s="6">
        <v>0.94</v>
      </c>
      <c r="F1051" s="6">
        <f t="shared" si="112"/>
        <v>1.0444444444444444E-2</v>
      </c>
      <c r="G1051">
        <f t="shared" si="113"/>
        <v>0.85115838593112758</v>
      </c>
      <c r="H1051">
        <f t="shared" si="114"/>
        <v>-0.38723119864762717</v>
      </c>
      <c r="I1051">
        <f t="shared" si="115"/>
        <v>0.85063318837013535</v>
      </c>
      <c r="J1051">
        <f t="shared" si="116"/>
        <v>0.59154832040784056</v>
      </c>
      <c r="K1051">
        <f t="shared" si="117"/>
        <v>0.8407139414866831</v>
      </c>
      <c r="L1051">
        <f t="shared" si="118"/>
        <v>0.84018874392569087</v>
      </c>
    </row>
    <row r="1052" spans="1:12" x14ac:dyDescent="0.25">
      <c r="A1052" s="1">
        <v>41730</v>
      </c>
      <c r="B1052" s="6">
        <v>96.115200000000002</v>
      </c>
      <c r="C1052" s="6">
        <v>10.2537</v>
      </c>
      <c r="D1052" s="6">
        <v>8873.15</v>
      </c>
      <c r="E1052" s="6">
        <v>0.94</v>
      </c>
      <c r="F1052" s="6">
        <f t="shared" si="112"/>
        <v>1.0444444444444444E-2</v>
      </c>
      <c r="G1052">
        <f t="shared" si="113"/>
        <v>0.84386990365215075</v>
      </c>
      <c r="H1052">
        <f t="shared" si="114"/>
        <v>1.1671961639402453</v>
      </c>
      <c r="I1052">
        <f t="shared" si="115"/>
        <v>0.26973945902942364</v>
      </c>
      <c r="J1052">
        <f t="shared" si="116"/>
        <v>0.58641995362611832</v>
      </c>
      <c r="K1052">
        <f t="shared" si="117"/>
        <v>0.83342545920770628</v>
      </c>
      <c r="L1052">
        <f t="shared" si="118"/>
        <v>0.25929501458497922</v>
      </c>
    </row>
    <row r="1053" spans="1:12" x14ac:dyDescent="0.25">
      <c r="A1053" s="1">
        <v>41731</v>
      </c>
      <c r="B1053" s="6">
        <v>96.517300000000006</v>
      </c>
      <c r="C1053" s="6">
        <v>10.174799999999999</v>
      </c>
      <c r="D1053" s="6">
        <v>8905.4500000000007</v>
      </c>
      <c r="E1053" s="6">
        <v>0.94</v>
      </c>
      <c r="F1053" s="6">
        <f t="shared" si="112"/>
        <v>1.0444444444444444E-2</v>
      </c>
      <c r="G1053">
        <f t="shared" si="113"/>
        <v>0.41835214409375865</v>
      </c>
      <c r="H1053">
        <f t="shared" si="114"/>
        <v>-0.76947833464993964</v>
      </c>
      <c r="I1053">
        <f t="shared" si="115"/>
        <v>0.3640195421017462</v>
      </c>
      <c r="J1053">
        <f t="shared" si="116"/>
        <v>0.28701452741734967</v>
      </c>
      <c r="K1053">
        <f t="shared" si="117"/>
        <v>0.40790769964931423</v>
      </c>
      <c r="L1053">
        <f t="shared" si="118"/>
        <v>0.35357509765730177</v>
      </c>
    </row>
    <row r="1054" spans="1:12" x14ac:dyDescent="0.25">
      <c r="A1054" s="1">
        <v>41732</v>
      </c>
      <c r="B1054" s="6">
        <v>95.310900000000004</v>
      </c>
      <c r="C1054" s="6">
        <v>10.293100000000001</v>
      </c>
      <c r="D1054" s="6">
        <v>8888.5400000000009</v>
      </c>
      <c r="E1054" s="6">
        <v>0.94</v>
      </c>
      <c r="F1054" s="6">
        <f t="shared" si="112"/>
        <v>1.0444444444444444E-2</v>
      </c>
      <c r="G1054">
        <f t="shared" si="113"/>
        <v>-1.2499313594557682</v>
      </c>
      <c r="H1054">
        <f t="shared" si="114"/>
        <v>1.1626764162440677</v>
      </c>
      <c r="I1054">
        <f t="shared" si="115"/>
        <v>-0.18988372288879116</v>
      </c>
      <c r="J1054">
        <f t="shared" si="116"/>
        <v>-0.88683338420844127</v>
      </c>
      <c r="K1054">
        <f t="shared" si="117"/>
        <v>-1.2603758039002126</v>
      </c>
      <c r="L1054">
        <f t="shared" si="118"/>
        <v>-0.20032816733323561</v>
      </c>
    </row>
    <row r="1055" spans="1:12" x14ac:dyDescent="0.25">
      <c r="A1055" s="1">
        <v>41736</v>
      </c>
      <c r="B1055" s="6">
        <v>94.506500000000003</v>
      </c>
      <c r="C1055" s="6">
        <v>10.2142</v>
      </c>
      <c r="D1055" s="6">
        <v>8876.44</v>
      </c>
      <c r="E1055" s="6">
        <v>0.94</v>
      </c>
      <c r="F1055" s="6">
        <f t="shared" si="112"/>
        <v>1.0444444444444444E-2</v>
      </c>
      <c r="G1055">
        <f t="shared" si="113"/>
        <v>-0.84397482344621766</v>
      </c>
      <c r="H1055">
        <f t="shared" si="114"/>
        <v>-0.76653292011153928</v>
      </c>
      <c r="I1055">
        <f t="shared" si="115"/>
        <v>-0.13613034311597139</v>
      </c>
      <c r="J1055">
        <f t="shared" si="116"/>
        <v>-0.60119174656606311</v>
      </c>
      <c r="K1055">
        <f t="shared" si="117"/>
        <v>-0.85441926789066214</v>
      </c>
      <c r="L1055">
        <f t="shared" si="118"/>
        <v>-0.14657478756041584</v>
      </c>
    </row>
    <row r="1056" spans="1:12" x14ac:dyDescent="0.25">
      <c r="A1056" s="1">
        <v>41737</v>
      </c>
      <c r="B1056" s="6">
        <v>95.712999999999994</v>
      </c>
      <c r="C1056" s="6">
        <v>10.293100000000001</v>
      </c>
      <c r="D1056" s="6">
        <v>8888.25</v>
      </c>
      <c r="E1056" s="6">
        <v>0.94</v>
      </c>
      <c r="F1056" s="6">
        <f t="shared" si="112"/>
        <v>1.0444444444444444E-2</v>
      </c>
      <c r="G1056">
        <f t="shared" si="113"/>
        <v>1.2766317660689912</v>
      </c>
      <c r="H1056">
        <f t="shared" si="114"/>
        <v>0.7724540345793196</v>
      </c>
      <c r="I1056">
        <f t="shared" si="115"/>
        <v>0.13304883489326227</v>
      </c>
      <c r="J1056">
        <f t="shared" si="116"/>
        <v>0.89092252009546002</v>
      </c>
      <c r="K1056">
        <f t="shared" si="117"/>
        <v>1.2661873216245467</v>
      </c>
      <c r="L1056">
        <f t="shared" si="118"/>
        <v>0.12260439044881782</v>
      </c>
    </row>
    <row r="1057" spans="1:12" x14ac:dyDescent="0.25">
      <c r="A1057" s="1">
        <v>41738</v>
      </c>
      <c r="B1057" s="6">
        <v>95.712999999999994</v>
      </c>
      <c r="C1057" s="6">
        <v>10.3325</v>
      </c>
      <c r="D1057" s="6">
        <v>8930.57</v>
      </c>
      <c r="E1057" s="6">
        <v>0.94</v>
      </c>
      <c r="F1057" s="6">
        <f t="shared" si="112"/>
        <v>1.0444444444444444E-2</v>
      </c>
      <c r="G1057">
        <f t="shared" si="113"/>
        <v>0</v>
      </c>
      <c r="H1057">
        <f t="shared" si="114"/>
        <v>0.3827806977489655</v>
      </c>
      <c r="I1057">
        <f t="shared" si="115"/>
        <v>0.47613422214721357</v>
      </c>
      <c r="J1057">
        <f t="shared" si="116"/>
        <v>-7.3489843141871791E-3</v>
      </c>
      <c r="K1057">
        <f t="shared" si="117"/>
        <v>-1.0444444444444444E-2</v>
      </c>
      <c r="L1057">
        <f t="shared" si="118"/>
        <v>0.46568977770276915</v>
      </c>
    </row>
    <row r="1058" spans="1:12" x14ac:dyDescent="0.25">
      <c r="A1058" s="1">
        <v>41739</v>
      </c>
      <c r="B1058" s="6">
        <v>96.115200000000002</v>
      </c>
      <c r="C1058" s="6">
        <v>10.4114</v>
      </c>
      <c r="D1058" s="6">
        <v>8948.1</v>
      </c>
      <c r="E1058" s="6">
        <v>0.94</v>
      </c>
      <c r="F1058" s="6">
        <f t="shared" si="112"/>
        <v>1.0444444444444444E-2</v>
      </c>
      <c r="G1058">
        <f t="shared" si="113"/>
        <v>0.42021459989761861</v>
      </c>
      <c r="H1058">
        <f t="shared" si="114"/>
        <v>0.76360996854585883</v>
      </c>
      <c r="I1058">
        <f t="shared" si="115"/>
        <v>0.19629206198485266</v>
      </c>
      <c r="J1058">
        <f t="shared" si="116"/>
        <v>0.28832500003858269</v>
      </c>
      <c r="K1058">
        <f t="shared" si="117"/>
        <v>0.40977015545317419</v>
      </c>
      <c r="L1058">
        <f t="shared" si="118"/>
        <v>0.18584761754040821</v>
      </c>
    </row>
    <row r="1059" spans="1:12" x14ac:dyDescent="0.25">
      <c r="A1059" s="1">
        <v>41740</v>
      </c>
      <c r="B1059" s="6">
        <v>96.517300000000006</v>
      </c>
      <c r="C1059" s="6">
        <v>10.3325</v>
      </c>
      <c r="D1059" s="6">
        <v>8908.0499999999993</v>
      </c>
      <c r="E1059" s="6">
        <v>0.94</v>
      </c>
      <c r="F1059" s="6">
        <f t="shared" si="112"/>
        <v>1.0444444444444444E-2</v>
      </c>
      <c r="G1059">
        <f t="shared" si="113"/>
        <v>0.41835214409375865</v>
      </c>
      <c r="H1059">
        <f t="shared" si="114"/>
        <v>-0.7578231553873721</v>
      </c>
      <c r="I1059">
        <f t="shared" si="115"/>
        <v>-0.44758105072586457</v>
      </c>
      <c r="J1059">
        <f t="shared" si="116"/>
        <v>0.28701452741734967</v>
      </c>
      <c r="K1059">
        <f t="shared" si="117"/>
        <v>0.40790769964931423</v>
      </c>
      <c r="L1059">
        <f t="shared" si="118"/>
        <v>-0.45802549517030899</v>
      </c>
    </row>
    <row r="1060" spans="1:12" x14ac:dyDescent="0.25">
      <c r="A1060" s="1">
        <v>41743</v>
      </c>
      <c r="B1060" s="6">
        <v>96.919499999999999</v>
      </c>
      <c r="C1060" s="6">
        <v>10.2142</v>
      </c>
      <c r="D1060" s="6">
        <v>8857.42</v>
      </c>
      <c r="E1060" s="6">
        <v>0.94</v>
      </c>
      <c r="F1060" s="6">
        <f t="shared" si="112"/>
        <v>1.0444444444444444E-2</v>
      </c>
      <c r="G1060">
        <f t="shared" si="113"/>
        <v>0.4167128587310186</v>
      </c>
      <c r="H1060">
        <f t="shared" si="114"/>
        <v>-1.1449310428260309</v>
      </c>
      <c r="I1060">
        <f t="shared" si="115"/>
        <v>-0.5683623239653931</v>
      </c>
      <c r="J1060">
        <f t="shared" si="116"/>
        <v>0.28586108335612331</v>
      </c>
      <c r="K1060">
        <f t="shared" si="117"/>
        <v>0.40626841428657418</v>
      </c>
      <c r="L1060">
        <f t="shared" si="118"/>
        <v>-0.57880676840983758</v>
      </c>
    </row>
    <row r="1061" spans="1:12" x14ac:dyDescent="0.25">
      <c r="A1061" s="1">
        <v>41744</v>
      </c>
      <c r="B1061" s="6">
        <v>98.528099999999995</v>
      </c>
      <c r="C1061" s="6">
        <v>10.2142</v>
      </c>
      <c r="D1061" s="6">
        <v>8916.7099999999991</v>
      </c>
      <c r="E1061" s="6">
        <v>0.94</v>
      </c>
      <c r="F1061" s="6">
        <f t="shared" si="112"/>
        <v>1.0444444444444444E-2</v>
      </c>
      <c r="G1061">
        <f t="shared" si="113"/>
        <v>1.6597279185303222</v>
      </c>
      <c r="H1061">
        <f t="shared" si="114"/>
        <v>0</v>
      </c>
      <c r="I1061">
        <f t="shared" si="115"/>
        <v>0.66938228061895055</v>
      </c>
      <c r="J1061">
        <f t="shared" si="116"/>
        <v>1.1604789938973115</v>
      </c>
      <c r="K1061">
        <f t="shared" si="117"/>
        <v>1.6492834740858777</v>
      </c>
      <c r="L1061">
        <f t="shared" si="118"/>
        <v>0.65893783617450608</v>
      </c>
    </row>
    <row r="1062" spans="1:12" x14ac:dyDescent="0.25">
      <c r="A1062" s="1">
        <v>41745</v>
      </c>
      <c r="B1062" s="6">
        <v>97.321600000000004</v>
      </c>
      <c r="C1062" s="6">
        <v>10.135400000000001</v>
      </c>
      <c r="D1062" s="6">
        <v>8923.82</v>
      </c>
      <c r="E1062" s="6">
        <v>0.94</v>
      </c>
      <c r="F1062" s="6">
        <f t="shared" si="112"/>
        <v>1.0444444444444444E-2</v>
      </c>
      <c r="G1062">
        <f t="shared" si="113"/>
        <v>-1.2245237653014636</v>
      </c>
      <c r="H1062">
        <f t="shared" si="114"/>
        <v>-0.77147500538465386</v>
      </c>
      <c r="I1062">
        <f t="shared" si="115"/>
        <v>7.9737930245579181E-2</v>
      </c>
      <c r="J1062">
        <f t="shared" si="116"/>
        <v>-0.86895593635619695</v>
      </c>
      <c r="K1062">
        <f t="shared" si="117"/>
        <v>-1.234968209745908</v>
      </c>
      <c r="L1062">
        <f t="shared" si="118"/>
        <v>6.929348580113473E-2</v>
      </c>
    </row>
    <row r="1063" spans="1:12" x14ac:dyDescent="0.25">
      <c r="A1063" s="1">
        <v>41746</v>
      </c>
      <c r="B1063" s="6">
        <v>96.517300000000006</v>
      </c>
      <c r="C1063" s="6">
        <v>10.135400000000001</v>
      </c>
      <c r="D1063" s="6">
        <v>8944.16</v>
      </c>
      <c r="E1063" s="6">
        <v>0.94</v>
      </c>
      <c r="F1063" s="6">
        <f t="shared" si="112"/>
        <v>1.0444444444444444E-2</v>
      </c>
      <c r="G1063">
        <f t="shared" si="113"/>
        <v>-0.82643524150856307</v>
      </c>
      <c r="H1063">
        <f t="shared" si="114"/>
        <v>0</v>
      </c>
      <c r="I1063">
        <f t="shared" si="115"/>
        <v>0.2279292948535509</v>
      </c>
      <c r="J1063">
        <f t="shared" si="116"/>
        <v>-0.58885043791888203</v>
      </c>
      <c r="K1063">
        <f t="shared" si="117"/>
        <v>-0.83687968595300755</v>
      </c>
      <c r="L1063">
        <f t="shared" si="118"/>
        <v>0.21748485040910645</v>
      </c>
    </row>
    <row r="1064" spans="1:12" x14ac:dyDescent="0.25">
      <c r="A1064" s="1">
        <v>41747</v>
      </c>
      <c r="B1064" s="6">
        <v>98.930300000000003</v>
      </c>
      <c r="C1064" s="6">
        <v>10.2142</v>
      </c>
      <c r="D1064" s="6">
        <v>8966.66</v>
      </c>
      <c r="E1064" s="6">
        <v>0.94</v>
      </c>
      <c r="F1064" s="6">
        <f t="shared" si="112"/>
        <v>1.0444444444444444E-2</v>
      </c>
      <c r="G1064">
        <f t="shared" si="113"/>
        <v>2.5000699356488387</v>
      </c>
      <c r="H1064">
        <f t="shared" si="114"/>
        <v>0.77747301537185809</v>
      </c>
      <c r="I1064">
        <f t="shared" si="115"/>
        <v>0.25156079497683403</v>
      </c>
      <c r="J1064">
        <f t="shared" si="116"/>
        <v>1.7517656185910087</v>
      </c>
      <c r="K1064">
        <f t="shared" si="117"/>
        <v>2.4896254912043942</v>
      </c>
      <c r="L1064">
        <f t="shared" si="118"/>
        <v>0.24111635053238958</v>
      </c>
    </row>
    <row r="1065" spans="1:12" x14ac:dyDescent="0.25">
      <c r="A1065" s="1">
        <v>41750</v>
      </c>
      <c r="B1065" s="6">
        <v>97.723799999999997</v>
      </c>
      <c r="C1065" s="6">
        <v>10.174799999999999</v>
      </c>
      <c r="D1065" s="6">
        <v>8951.19</v>
      </c>
      <c r="E1065" s="6">
        <v>0.94</v>
      </c>
      <c r="F1065" s="6">
        <f t="shared" si="112"/>
        <v>1.0444444444444444E-2</v>
      </c>
      <c r="G1065">
        <f t="shared" si="113"/>
        <v>-1.2195454779779353</v>
      </c>
      <c r="H1065">
        <f t="shared" si="114"/>
        <v>-0.38573750269233564</v>
      </c>
      <c r="I1065">
        <f t="shared" si="115"/>
        <v>-0.17252800931449777</v>
      </c>
      <c r="J1065">
        <f t="shared" si="116"/>
        <v>-0.86545308317461045</v>
      </c>
      <c r="K1065">
        <f t="shared" si="117"/>
        <v>-1.2299899224223798</v>
      </c>
      <c r="L1065">
        <f t="shared" si="118"/>
        <v>-0.18297245375894222</v>
      </c>
    </row>
    <row r="1066" spans="1:12" x14ac:dyDescent="0.25">
      <c r="A1066" s="1">
        <v>41751</v>
      </c>
      <c r="B1066" s="6">
        <v>97.723799999999997</v>
      </c>
      <c r="C1066" s="6">
        <v>10.135400000000001</v>
      </c>
      <c r="D1066" s="6">
        <v>8974.7099999999991</v>
      </c>
      <c r="E1066" s="6">
        <v>0.94</v>
      </c>
      <c r="F1066" s="6">
        <f t="shared" si="112"/>
        <v>1.0444444444444444E-2</v>
      </c>
      <c r="G1066">
        <f t="shared" si="113"/>
        <v>0</v>
      </c>
      <c r="H1066">
        <f t="shared" si="114"/>
        <v>-0.38723119864762717</v>
      </c>
      <c r="I1066">
        <f t="shared" si="115"/>
        <v>0.26275835950302268</v>
      </c>
      <c r="J1066">
        <f t="shared" si="116"/>
        <v>-7.3489843141871791E-3</v>
      </c>
      <c r="K1066">
        <f t="shared" si="117"/>
        <v>-1.0444444444444444E-2</v>
      </c>
      <c r="L1066">
        <f t="shared" si="118"/>
        <v>0.25231391505857825</v>
      </c>
    </row>
    <row r="1067" spans="1:12" x14ac:dyDescent="0.25">
      <c r="A1067" s="1">
        <v>41752</v>
      </c>
      <c r="B1067" s="6">
        <v>97.321600000000004</v>
      </c>
      <c r="C1067" s="6">
        <v>10.4114</v>
      </c>
      <c r="D1067" s="6">
        <v>8956.92</v>
      </c>
      <c r="E1067" s="6">
        <v>0.94</v>
      </c>
      <c r="F1067" s="6">
        <f t="shared" si="112"/>
        <v>1.0444444444444444E-2</v>
      </c>
      <c r="G1067">
        <f t="shared" si="113"/>
        <v>-0.41156811339713917</v>
      </c>
      <c r="H1067">
        <f t="shared" si="114"/>
        <v>2.7231288355664285</v>
      </c>
      <c r="I1067">
        <f t="shared" si="115"/>
        <v>-0.19822367519395118</v>
      </c>
      <c r="J1067">
        <f t="shared" si="116"/>
        <v>-0.29693907459266244</v>
      </c>
      <c r="K1067">
        <f t="shared" si="117"/>
        <v>-0.42201255784158359</v>
      </c>
      <c r="L1067">
        <f t="shared" si="118"/>
        <v>-0.20866811963839563</v>
      </c>
    </row>
    <row r="1068" spans="1:12" x14ac:dyDescent="0.25">
      <c r="A1068" s="1">
        <v>41753</v>
      </c>
      <c r="B1068" s="6">
        <v>97.321600000000004</v>
      </c>
      <c r="C1068" s="6">
        <v>10.372</v>
      </c>
      <c r="D1068" s="6">
        <v>8945.4500000000007</v>
      </c>
      <c r="E1068" s="6">
        <v>0.94</v>
      </c>
      <c r="F1068" s="6">
        <f t="shared" si="112"/>
        <v>1.0444444444444444E-2</v>
      </c>
      <c r="G1068">
        <f t="shared" si="113"/>
        <v>0</v>
      </c>
      <c r="H1068">
        <f t="shared" si="114"/>
        <v>-0.37843133488292202</v>
      </c>
      <c r="I1068">
        <f t="shared" si="115"/>
        <v>-0.1280574125927143</v>
      </c>
      <c r="J1068">
        <f t="shared" si="116"/>
        <v>-7.3489843141871791E-3</v>
      </c>
      <c r="K1068">
        <f t="shared" si="117"/>
        <v>-1.0444444444444444E-2</v>
      </c>
      <c r="L1068">
        <f t="shared" si="118"/>
        <v>-0.13850185703715875</v>
      </c>
    </row>
    <row r="1069" spans="1:12" x14ac:dyDescent="0.25">
      <c r="A1069" s="1">
        <v>41754</v>
      </c>
      <c r="B1069" s="6">
        <v>95.310900000000004</v>
      </c>
      <c r="C1069" s="6">
        <v>10.0959</v>
      </c>
      <c r="D1069" s="6">
        <v>8774.1200000000008</v>
      </c>
      <c r="E1069" s="6">
        <v>0.94</v>
      </c>
      <c r="F1069" s="6">
        <f t="shared" si="112"/>
        <v>1.0444444444444444E-2</v>
      </c>
      <c r="G1069">
        <f t="shared" si="113"/>
        <v>-2.0660367277151215</v>
      </c>
      <c r="H1069">
        <f t="shared" si="114"/>
        <v>-2.6619745468569183</v>
      </c>
      <c r="I1069">
        <f t="shared" si="115"/>
        <v>-1.9152753634529276</v>
      </c>
      <c r="J1069">
        <f t="shared" si="116"/>
        <v>-1.4610664687888397</v>
      </c>
      <c r="K1069">
        <f t="shared" si="117"/>
        <v>-2.076481172159566</v>
      </c>
      <c r="L1069">
        <f t="shared" si="118"/>
        <v>-1.9257198078973721</v>
      </c>
    </row>
    <row r="1070" spans="1:12" x14ac:dyDescent="0.25">
      <c r="A1070" s="1">
        <v>41757</v>
      </c>
      <c r="B1070" s="6">
        <v>95.712999999999994</v>
      </c>
      <c r="C1070" s="6">
        <v>10.0959</v>
      </c>
      <c r="D1070" s="6">
        <v>8809.7099999999991</v>
      </c>
      <c r="E1070" s="6">
        <v>0.94</v>
      </c>
      <c r="F1070" s="6">
        <f t="shared" si="112"/>
        <v>1.0444444444444444E-2</v>
      </c>
      <c r="G1070">
        <f t="shared" si="113"/>
        <v>0.42188249192903449</v>
      </c>
      <c r="H1070">
        <f t="shared" si="114"/>
        <v>0</v>
      </c>
      <c r="I1070">
        <f t="shared" si="115"/>
        <v>0.40562472361898771</v>
      </c>
      <c r="J1070">
        <f t="shared" si="116"/>
        <v>0.28949857250017524</v>
      </c>
      <c r="K1070">
        <f t="shared" si="117"/>
        <v>0.41143804748459006</v>
      </c>
      <c r="L1070">
        <f t="shared" si="118"/>
        <v>0.39518027917454329</v>
      </c>
    </row>
    <row r="1071" spans="1:12" x14ac:dyDescent="0.25">
      <c r="A1071" s="1">
        <v>41758</v>
      </c>
      <c r="B1071" s="6">
        <v>96.919499999999999</v>
      </c>
      <c r="C1071" s="6">
        <v>10.293100000000001</v>
      </c>
      <c r="D1071" s="6">
        <v>8872.11</v>
      </c>
      <c r="E1071" s="6">
        <v>0.94</v>
      </c>
      <c r="F1071" s="6">
        <f t="shared" si="112"/>
        <v>1.0444444444444444E-2</v>
      </c>
      <c r="G1071">
        <f t="shared" si="113"/>
        <v>1.2605393206774478</v>
      </c>
      <c r="H1071">
        <f t="shared" si="114"/>
        <v>1.9532681583613198</v>
      </c>
      <c r="I1071">
        <f t="shared" si="115"/>
        <v>0.70830935411042428</v>
      </c>
      <c r="J1071">
        <f t="shared" si="116"/>
        <v>0.87959945457594624</v>
      </c>
      <c r="K1071">
        <f t="shared" si="117"/>
        <v>1.2500948762330033</v>
      </c>
      <c r="L1071">
        <f t="shared" si="118"/>
        <v>0.6978649096659798</v>
      </c>
    </row>
    <row r="1072" spans="1:12" x14ac:dyDescent="0.25">
      <c r="A1072" s="1">
        <v>41759</v>
      </c>
      <c r="B1072" s="6">
        <v>95.310900000000004</v>
      </c>
      <c r="C1072" s="6">
        <v>10.293100000000001</v>
      </c>
      <c r="D1072" s="6">
        <v>8791.44</v>
      </c>
      <c r="E1072" s="6">
        <v>0.94</v>
      </c>
      <c r="F1072" s="6">
        <f t="shared" si="112"/>
        <v>1.0444444444444444E-2</v>
      </c>
      <c r="G1072">
        <f t="shared" si="113"/>
        <v>-1.6597279185303222</v>
      </c>
      <c r="H1072">
        <f t="shared" si="114"/>
        <v>0</v>
      </c>
      <c r="I1072">
        <f t="shared" si="115"/>
        <v>-0.90925383026134787</v>
      </c>
      <c r="J1072">
        <f t="shared" si="116"/>
        <v>-1.1751769625256858</v>
      </c>
      <c r="K1072">
        <f t="shared" si="117"/>
        <v>-1.6701723629747667</v>
      </c>
      <c r="L1072">
        <f t="shared" si="118"/>
        <v>-0.91969827470579235</v>
      </c>
    </row>
    <row r="1073" spans="1:12" x14ac:dyDescent="0.25">
      <c r="A1073" s="1">
        <v>41761</v>
      </c>
      <c r="B1073" s="6">
        <v>94.908699999999996</v>
      </c>
      <c r="C1073" s="6">
        <v>10.372</v>
      </c>
      <c r="D1073" s="6">
        <v>8867.32</v>
      </c>
      <c r="E1073" s="6">
        <v>0.94</v>
      </c>
      <c r="F1073" s="6">
        <f t="shared" si="112"/>
        <v>1.0444444444444444E-2</v>
      </c>
      <c r="G1073">
        <f t="shared" si="113"/>
        <v>-0.42198741172311627</v>
      </c>
      <c r="H1073">
        <f t="shared" si="114"/>
        <v>0.76653292011152208</v>
      </c>
      <c r="I1073">
        <f t="shared" si="115"/>
        <v>0.86311230014649698</v>
      </c>
      <c r="J1073">
        <f t="shared" si="116"/>
        <v>-0.30427036544013031</v>
      </c>
      <c r="K1073">
        <f t="shared" si="117"/>
        <v>-0.43243185616756069</v>
      </c>
      <c r="L1073">
        <f t="shared" si="118"/>
        <v>0.8526678557020525</v>
      </c>
    </row>
    <row r="1074" spans="1:12" x14ac:dyDescent="0.25">
      <c r="A1074" s="1">
        <v>41764</v>
      </c>
      <c r="B1074" s="6">
        <v>94.104399999999998</v>
      </c>
      <c r="C1074" s="6">
        <v>10.2142</v>
      </c>
      <c r="D1074" s="6">
        <v>8870.43</v>
      </c>
      <c r="E1074" s="6">
        <v>0.94</v>
      </c>
      <c r="F1074" s="6">
        <f t="shared" si="112"/>
        <v>1.0444444444444444E-2</v>
      </c>
      <c r="G1074">
        <f t="shared" si="113"/>
        <v>-0.84744601917421458</v>
      </c>
      <c r="H1074">
        <f t="shared" si="114"/>
        <v>-1.5214037794060928</v>
      </c>
      <c r="I1074">
        <f t="shared" si="115"/>
        <v>3.5072603672818642E-2</v>
      </c>
      <c r="J1074">
        <f t="shared" si="116"/>
        <v>-0.60363417067892167</v>
      </c>
      <c r="K1074">
        <f t="shared" si="117"/>
        <v>-0.85789046361865906</v>
      </c>
      <c r="L1074">
        <f t="shared" si="118"/>
        <v>2.4628159228374198E-2</v>
      </c>
    </row>
    <row r="1075" spans="1:12" x14ac:dyDescent="0.25">
      <c r="A1075" s="1">
        <v>41765</v>
      </c>
      <c r="B1075" s="6">
        <v>94.908699999999996</v>
      </c>
      <c r="C1075" s="6">
        <v>10.293100000000001</v>
      </c>
      <c r="D1075" s="6">
        <v>8912.39</v>
      </c>
      <c r="E1075" s="6">
        <v>0.94</v>
      </c>
      <c r="F1075" s="6">
        <f t="shared" si="112"/>
        <v>1.0444444444444444E-2</v>
      </c>
      <c r="G1075">
        <f t="shared" si="113"/>
        <v>0.854689047483431</v>
      </c>
      <c r="H1075">
        <f t="shared" si="114"/>
        <v>0.7724540345793196</v>
      </c>
      <c r="I1075">
        <f t="shared" si="115"/>
        <v>0.47303231072224372</v>
      </c>
      <c r="J1075">
        <f t="shared" si="116"/>
        <v>0.59403258623017285</v>
      </c>
      <c r="K1075">
        <f t="shared" si="117"/>
        <v>0.84424460303898652</v>
      </c>
      <c r="L1075">
        <f t="shared" si="118"/>
        <v>0.4625878662777993</v>
      </c>
    </row>
    <row r="1076" spans="1:12" x14ac:dyDescent="0.25">
      <c r="A1076" s="1">
        <v>41766</v>
      </c>
      <c r="B1076" s="6">
        <v>95.310900000000004</v>
      </c>
      <c r="C1076" s="6">
        <v>10.2537</v>
      </c>
      <c r="D1076" s="6">
        <v>8893.2199999999993</v>
      </c>
      <c r="E1076" s="6">
        <v>0.94</v>
      </c>
      <c r="F1076" s="6">
        <f t="shared" si="112"/>
        <v>1.0444444444444444E-2</v>
      </c>
      <c r="G1076">
        <f t="shared" si="113"/>
        <v>0.42377569179643981</v>
      </c>
      <c r="H1076">
        <f t="shared" si="114"/>
        <v>-0.38278069774898277</v>
      </c>
      <c r="I1076">
        <f t="shared" si="115"/>
        <v>-0.21509381882974235</v>
      </c>
      <c r="J1076">
        <f t="shared" si="116"/>
        <v>0.29083067744871405</v>
      </c>
      <c r="K1076">
        <f t="shared" si="117"/>
        <v>0.41333124735199539</v>
      </c>
      <c r="L1076">
        <f t="shared" si="118"/>
        <v>-0.2255382632741868</v>
      </c>
    </row>
    <row r="1077" spans="1:12" x14ac:dyDescent="0.25">
      <c r="A1077" s="1">
        <v>41767</v>
      </c>
      <c r="B1077" s="6">
        <v>96.115200000000002</v>
      </c>
      <c r="C1077" s="6">
        <v>10.5692</v>
      </c>
      <c r="D1077" s="6">
        <v>8930.9</v>
      </c>
      <c r="E1077" s="6">
        <v>0.94</v>
      </c>
      <c r="F1077" s="6">
        <f t="shared" si="112"/>
        <v>1.0444444444444444E-2</v>
      </c>
      <c r="G1077">
        <f t="shared" si="113"/>
        <v>0.84386990365215075</v>
      </c>
      <c r="H1077">
        <f t="shared" si="114"/>
        <v>3.0769380808878757</v>
      </c>
      <c r="I1077">
        <f t="shared" si="115"/>
        <v>0.423693555315176</v>
      </c>
      <c r="J1077">
        <f t="shared" si="116"/>
        <v>0.58641995362611832</v>
      </c>
      <c r="K1077">
        <f t="shared" si="117"/>
        <v>0.83342545920770628</v>
      </c>
      <c r="L1077">
        <f t="shared" si="118"/>
        <v>0.41324911087073157</v>
      </c>
    </row>
    <row r="1078" spans="1:12" x14ac:dyDescent="0.25">
      <c r="A1078" s="1">
        <v>41768</v>
      </c>
      <c r="B1078" s="6">
        <v>96.517300000000006</v>
      </c>
      <c r="C1078" s="6">
        <v>10.450900000000001</v>
      </c>
      <c r="D1078" s="6">
        <v>8889.69</v>
      </c>
      <c r="E1078" s="6">
        <v>0.94</v>
      </c>
      <c r="F1078" s="6">
        <f t="shared" si="112"/>
        <v>1.0444444444444444E-2</v>
      </c>
      <c r="G1078">
        <f t="shared" si="113"/>
        <v>0.41835214409375865</v>
      </c>
      <c r="H1078">
        <f t="shared" si="114"/>
        <v>-1.1192900124891159</v>
      </c>
      <c r="I1078">
        <f t="shared" si="115"/>
        <v>-0.46143165862342123</v>
      </c>
      <c r="J1078">
        <f t="shared" si="116"/>
        <v>0.28701452741734967</v>
      </c>
      <c r="K1078">
        <f t="shared" si="117"/>
        <v>0.40790769964931423</v>
      </c>
      <c r="L1078">
        <f t="shared" si="118"/>
        <v>-0.47187610306786565</v>
      </c>
    </row>
    <row r="1079" spans="1:12" x14ac:dyDescent="0.25">
      <c r="A1079" s="1">
        <v>41771</v>
      </c>
      <c r="B1079" s="6">
        <v>95.310900000000004</v>
      </c>
      <c r="C1079" s="6">
        <v>10.332599999999999</v>
      </c>
      <c r="D1079" s="6">
        <v>8808.61</v>
      </c>
      <c r="E1079" s="6">
        <v>0.94</v>
      </c>
      <c r="F1079" s="6">
        <f t="shared" si="112"/>
        <v>1.0444444444444444E-2</v>
      </c>
      <c r="G1079">
        <f t="shared" si="113"/>
        <v>-1.2499313594557682</v>
      </c>
      <c r="H1079">
        <f t="shared" si="114"/>
        <v>-1.1319599268962615</v>
      </c>
      <c r="I1079">
        <f t="shared" si="115"/>
        <v>-0.91206779988953413</v>
      </c>
      <c r="J1079">
        <f t="shared" si="116"/>
        <v>-0.88683338420844127</v>
      </c>
      <c r="K1079">
        <f t="shared" si="117"/>
        <v>-1.2603758039002126</v>
      </c>
      <c r="L1079">
        <f t="shared" si="118"/>
        <v>-0.9225122443339786</v>
      </c>
    </row>
    <row r="1080" spans="1:12" x14ac:dyDescent="0.25">
      <c r="A1080" s="1">
        <v>41772</v>
      </c>
      <c r="B1080" s="6">
        <v>96.919499999999999</v>
      </c>
      <c r="C1080" s="6">
        <v>10.332599999999999</v>
      </c>
      <c r="D1080" s="6">
        <v>8817.94</v>
      </c>
      <c r="E1080" s="6">
        <v>0.94</v>
      </c>
      <c r="F1080" s="6">
        <f t="shared" si="112"/>
        <v>1.0444444444444444E-2</v>
      </c>
      <c r="G1080">
        <f t="shared" si="113"/>
        <v>1.6877398073043015</v>
      </c>
      <c r="H1080">
        <f t="shared" si="114"/>
        <v>0</v>
      </c>
      <c r="I1080">
        <f t="shared" si="115"/>
        <v>0.10591909506721181</v>
      </c>
      <c r="J1080">
        <f t="shared" si="116"/>
        <v>1.1801888915664238</v>
      </c>
      <c r="K1080">
        <f t="shared" si="117"/>
        <v>1.677295362859857</v>
      </c>
      <c r="L1080">
        <f t="shared" si="118"/>
        <v>9.547465062276736E-2</v>
      </c>
    </row>
    <row r="1081" spans="1:12" x14ac:dyDescent="0.25">
      <c r="A1081" s="1">
        <v>41773</v>
      </c>
      <c r="B1081" s="6">
        <v>98.125900000000001</v>
      </c>
      <c r="C1081" s="6">
        <v>10.5297</v>
      </c>
      <c r="D1081" s="6">
        <v>8875.16</v>
      </c>
      <c r="E1081" s="6">
        <v>0.94</v>
      </c>
      <c r="F1081" s="6">
        <f t="shared" si="112"/>
        <v>1.0444444444444444E-2</v>
      </c>
      <c r="G1081">
        <f t="shared" si="113"/>
        <v>1.2447443496922725</v>
      </c>
      <c r="H1081">
        <f t="shared" si="114"/>
        <v>1.9075547296905013</v>
      </c>
      <c r="I1081">
        <f t="shared" si="115"/>
        <v>0.64890439263591426</v>
      </c>
      <c r="J1081">
        <f t="shared" si="116"/>
        <v>0.86848569983001167</v>
      </c>
      <c r="K1081">
        <f t="shared" si="117"/>
        <v>1.2342999052478281</v>
      </c>
      <c r="L1081">
        <f t="shared" si="118"/>
        <v>0.63845994819146978</v>
      </c>
    </row>
    <row r="1082" spans="1:12" x14ac:dyDescent="0.25">
      <c r="A1082" s="1">
        <v>41774</v>
      </c>
      <c r="B1082" s="6">
        <v>98.125900000000001</v>
      </c>
      <c r="C1082" s="6">
        <v>10.450900000000001</v>
      </c>
      <c r="D1082" s="6">
        <v>8880.65</v>
      </c>
      <c r="E1082" s="6">
        <v>0.94</v>
      </c>
      <c r="F1082" s="6">
        <f t="shared" si="112"/>
        <v>1.0444444444444444E-2</v>
      </c>
      <c r="G1082">
        <f t="shared" si="113"/>
        <v>0</v>
      </c>
      <c r="H1082">
        <f t="shared" si="114"/>
        <v>-0.74835940245210508</v>
      </c>
      <c r="I1082">
        <f t="shared" si="115"/>
        <v>6.1858039742379647E-2</v>
      </c>
      <c r="J1082">
        <f t="shared" si="116"/>
        <v>-7.3489843141871791E-3</v>
      </c>
      <c r="K1082">
        <f t="shared" si="117"/>
        <v>-1.0444444444444444E-2</v>
      </c>
      <c r="L1082">
        <f t="shared" si="118"/>
        <v>5.1413595297935204E-2</v>
      </c>
    </row>
    <row r="1083" spans="1:12" x14ac:dyDescent="0.25">
      <c r="A1083" s="1">
        <v>41775</v>
      </c>
      <c r="B1083" s="6">
        <v>98.125900000000001</v>
      </c>
      <c r="C1083" s="6">
        <v>10.450900000000001</v>
      </c>
      <c r="D1083" s="6">
        <v>8888.4500000000007</v>
      </c>
      <c r="E1083" s="6">
        <v>0.94</v>
      </c>
      <c r="F1083" s="6">
        <f t="shared" si="112"/>
        <v>1.0444444444444444E-2</v>
      </c>
      <c r="G1083">
        <f t="shared" si="113"/>
        <v>0</v>
      </c>
      <c r="H1083">
        <f t="shared" si="114"/>
        <v>0</v>
      </c>
      <c r="I1083">
        <f t="shared" si="115"/>
        <v>8.7831408736985375E-2</v>
      </c>
      <c r="J1083">
        <f t="shared" si="116"/>
        <v>-7.3489843141871791E-3</v>
      </c>
      <c r="K1083">
        <f t="shared" si="117"/>
        <v>-1.0444444444444444E-2</v>
      </c>
      <c r="L1083">
        <f t="shared" si="118"/>
        <v>7.7386964292540938E-2</v>
      </c>
    </row>
    <row r="1084" spans="1:12" x14ac:dyDescent="0.25">
      <c r="A1084" s="1">
        <v>41778</v>
      </c>
      <c r="B1084" s="6">
        <v>97.321600000000004</v>
      </c>
      <c r="C1084" s="6">
        <v>10.4903</v>
      </c>
      <c r="D1084" s="6">
        <v>8899.9</v>
      </c>
      <c r="E1084" s="6">
        <v>0.94</v>
      </c>
      <c r="F1084" s="6">
        <f t="shared" si="112"/>
        <v>1.0444444444444444E-2</v>
      </c>
      <c r="G1084">
        <f t="shared" si="113"/>
        <v>-0.8196612718966122</v>
      </c>
      <c r="H1084">
        <f t="shared" si="114"/>
        <v>0.37700102383525597</v>
      </c>
      <c r="I1084">
        <f t="shared" si="115"/>
        <v>0.12881886043122151</v>
      </c>
      <c r="J1084">
        <f t="shared" si="116"/>
        <v>-0.58408409570816855</v>
      </c>
      <c r="K1084">
        <f t="shared" si="117"/>
        <v>-0.83010571634105668</v>
      </c>
      <c r="L1084">
        <f t="shared" si="118"/>
        <v>0.11837441598677706</v>
      </c>
    </row>
    <row r="1085" spans="1:12" x14ac:dyDescent="0.25">
      <c r="A1085" s="1">
        <v>41779</v>
      </c>
      <c r="B1085" s="6">
        <v>97.321600000000004</v>
      </c>
      <c r="C1085" s="6">
        <v>10.4903</v>
      </c>
      <c r="D1085" s="6">
        <v>8887.7900000000009</v>
      </c>
      <c r="E1085" s="6">
        <v>0.94</v>
      </c>
      <c r="F1085" s="6">
        <f t="shared" si="112"/>
        <v>1.0444444444444444E-2</v>
      </c>
      <c r="G1085">
        <f t="shared" si="113"/>
        <v>0</v>
      </c>
      <c r="H1085">
        <f t="shared" si="114"/>
        <v>0</v>
      </c>
      <c r="I1085">
        <f t="shared" si="115"/>
        <v>-0.13606894459486921</v>
      </c>
      <c r="J1085">
        <f t="shared" si="116"/>
        <v>-7.3489843141871791E-3</v>
      </c>
      <c r="K1085">
        <f t="shared" si="117"/>
        <v>-1.0444444444444444E-2</v>
      </c>
      <c r="L1085">
        <f t="shared" si="118"/>
        <v>-0.14651338903931366</v>
      </c>
    </row>
    <row r="1086" spans="1:12" x14ac:dyDescent="0.25">
      <c r="A1086" s="1">
        <v>41780</v>
      </c>
      <c r="B1086" s="6">
        <v>96.919499999999999</v>
      </c>
      <c r="C1086" s="6">
        <v>10.4114</v>
      </c>
      <c r="D1086" s="6">
        <v>8862.42</v>
      </c>
      <c r="E1086" s="6">
        <v>0.94</v>
      </c>
      <c r="F1086" s="6">
        <f t="shared" si="112"/>
        <v>1.0444444444444444E-2</v>
      </c>
      <c r="G1086">
        <f t="shared" si="113"/>
        <v>-0.41316624469799546</v>
      </c>
      <c r="H1086">
        <f t="shared" si="114"/>
        <v>-0.75212339017949048</v>
      </c>
      <c r="I1086">
        <f t="shared" si="115"/>
        <v>-0.28544778848286018</v>
      </c>
      <c r="J1086">
        <f t="shared" si="116"/>
        <v>-0.29806356157945008</v>
      </c>
      <c r="K1086">
        <f t="shared" si="117"/>
        <v>-0.42361068914243988</v>
      </c>
      <c r="L1086">
        <f t="shared" si="118"/>
        <v>-0.2958922329273046</v>
      </c>
    </row>
    <row r="1087" spans="1:12" x14ac:dyDescent="0.25">
      <c r="A1087" s="1">
        <v>41781</v>
      </c>
      <c r="B1087" s="6">
        <v>98.125900000000001</v>
      </c>
      <c r="C1087" s="6">
        <v>10.5297</v>
      </c>
      <c r="D1087" s="6">
        <v>8969.6299999999992</v>
      </c>
      <c r="E1087" s="6">
        <v>0.94</v>
      </c>
      <c r="F1087" s="6">
        <f t="shared" si="112"/>
        <v>1.0444444444444444E-2</v>
      </c>
      <c r="G1087">
        <f t="shared" si="113"/>
        <v>1.2447443496922725</v>
      </c>
      <c r="H1087">
        <f t="shared" si="114"/>
        <v>1.1362544902702771</v>
      </c>
      <c r="I1087">
        <f t="shared" si="115"/>
        <v>1.2097147280313856</v>
      </c>
      <c r="J1087">
        <f t="shared" si="116"/>
        <v>0.86848569983001167</v>
      </c>
      <c r="K1087">
        <f t="shared" si="117"/>
        <v>1.2342999052478281</v>
      </c>
      <c r="L1087">
        <f t="shared" si="118"/>
        <v>1.1992702835869411</v>
      </c>
    </row>
    <row r="1088" spans="1:12" x14ac:dyDescent="0.25">
      <c r="A1088" s="1">
        <v>41782</v>
      </c>
      <c r="B1088" s="6">
        <v>98.125900000000001</v>
      </c>
      <c r="C1088" s="6">
        <v>10.5297</v>
      </c>
      <c r="D1088" s="6">
        <v>9008.2199999999993</v>
      </c>
      <c r="E1088" s="6">
        <v>0.94</v>
      </c>
      <c r="F1088" s="6">
        <f t="shared" si="112"/>
        <v>1.0444444444444444E-2</v>
      </c>
      <c r="G1088">
        <f t="shared" si="113"/>
        <v>0</v>
      </c>
      <c r="H1088">
        <f t="shared" si="114"/>
        <v>0</v>
      </c>
      <c r="I1088">
        <f t="shared" si="115"/>
        <v>0.430229563538297</v>
      </c>
      <c r="J1088">
        <f t="shared" si="116"/>
        <v>-7.3489843141871791E-3</v>
      </c>
      <c r="K1088">
        <f t="shared" si="117"/>
        <v>-1.0444444444444444E-2</v>
      </c>
      <c r="L1088">
        <f t="shared" si="118"/>
        <v>0.41978511909385258</v>
      </c>
    </row>
    <row r="1089" spans="1:12" x14ac:dyDescent="0.25">
      <c r="A1089" s="1">
        <v>41785</v>
      </c>
      <c r="B1089" s="6">
        <v>98.930300000000003</v>
      </c>
      <c r="C1089" s="6">
        <v>10.5692</v>
      </c>
      <c r="D1089" s="6">
        <v>9036.1200000000008</v>
      </c>
      <c r="E1089" s="6">
        <v>0.94</v>
      </c>
      <c r="F1089" s="6">
        <f t="shared" si="112"/>
        <v>1.0444444444444444E-2</v>
      </c>
      <c r="G1089">
        <f t="shared" si="113"/>
        <v>0.81976318178992613</v>
      </c>
      <c r="H1089">
        <f t="shared" si="114"/>
        <v>0.37512939589922134</v>
      </c>
      <c r="I1089">
        <f t="shared" si="115"/>
        <v>0.30971712502582593</v>
      </c>
      <c r="J1089">
        <f t="shared" si="116"/>
        <v>0.5694578335464624</v>
      </c>
      <c r="K1089">
        <f t="shared" si="117"/>
        <v>0.80931873734548165</v>
      </c>
      <c r="L1089">
        <f t="shared" si="118"/>
        <v>0.29927268058138151</v>
      </c>
    </row>
    <row r="1090" spans="1:12" x14ac:dyDescent="0.25">
      <c r="A1090" s="1">
        <v>41786</v>
      </c>
      <c r="B1090" s="6">
        <v>99.332400000000007</v>
      </c>
      <c r="C1090" s="6">
        <v>10.766400000000001</v>
      </c>
      <c r="D1090" s="6">
        <v>9055.2900000000009</v>
      </c>
      <c r="E1090" s="6">
        <v>0.94</v>
      </c>
      <c r="F1090" s="6">
        <f t="shared" si="112"/>
        <v>1.0444444444444444E-2</v>
      </c>
      <c r="G1090">
        <f t="shared" si="113"/>
        <v>0.40644777181511055</v>
      </c>
      <c r="H1090">
        <f t="shared" si="114"/>
        <v>1.8657987359497452</v>
      </c>
      <c r="I1090">
        <f t="shared" si="115"/>
        <v>0.21214857704413034</v>
      </c>
      <c r="J1090">
        <f t="shared" si="116"/>
        <v>0.27863829969060216</v>
      </c>
      <c r="K1090">
        <f t="shared" si="117"/>
        <v>0.39600332737066612</v>
      </c>
      <c r="L1090">
        <f t="shared" si="118"/>
        <v>0.20170413259968589</v>
      </c>
    </row>
    <row r="1091" spans="1:12" x14ac:dyDescent="0.25">
      <c r="A1091" s="1">
        <v>41787</v>
      </c>
      <c r="B1091" s="6">
        <v>99.7346</v>
      </c>
      <c r="C1091" s="6">
        <v>11.1607</v>
      </c>
      <c r="D1091" s="6">
        <v>9121.7099999999991</v>
      </c>
      <c r="E1091" s="6">
        <v>0.94</v>
      </c>
      <c r="F1091" s="6">
        <f t="shared" ref="F1091:F1154" si="119">E1091/90</f>
        <v>1.0444444444444444E-2</v>
      </c>
      <c r="G1091">
        <f t="shared" si="113"/>
        <v>0.40490313331802458</v>
      </c>
      <c r="H1091">
        <f t="shared" si="114"/>
        <v>3.6623198097785647</v>
      </c>
      <c r="I1091">
        <f t="shared" si="115"/>
        <v>0.73349390245920609</v>
      </c>
      <c r="J1091">
        <f t="shared" si="116"/>
        <v>0.27755145163979822</v>
      </c>
      <c r="K1091">
        <f t="shared" si="117"/>
        <v>0.39445868887358015</v>
      </c>
      <c r="L1091">
        <f t="shared" si="118"/>
        <v>0.72304945801476161</v>
      </c>
    </row>
    <row r="1092" spans="1:12" x14ac:dyDescent="0.25">
      <c r="A1092" s="1">
        <v>41788</v>
      </c>
      <c r="B1092" s="6">
        <v>98.125900000000001</v>
      </c>
      <c r="C1092" s="6">
        <v>10.8847</v>
      </c>
      <c r="D1092" s="6">
        <v>9109</v>
      </c>
      <c r="E1092" s="6">
        <v>0.94</v>
      </c>
      <c r="F1092" s="6">
        <f t="shared" si="119"/>
        <v>1.0444444444444444E-2</v>
      </c>
      <c r="G1092">
        <f t="shared" ref="G1092:G1155" si="120">100*(B1092-B1091)/B1091</f>
        <v>-1.612980851179028</v>
      </c>
      <c r="H1092">
        <f t="shared" ref="H1092:H1155" si="121">100*(C1092-C1091)/C1091</f>
        <v>-2.4729631653928497</v>
      </c>
      <c r="I1092">
        <f t="shared" ref="I1092:I1155" si="122">100*(D1092-D1091)/D1091</f>
        <v>-0.13933790922972916</v>
      </c>
      <c r="J1092">
        <f t="shared" ref="J1092:J1155" si="123">(G1092-F1092)/$N$3</f>
        <v>-1.1422845031396198</v>
      </c>
      <c r="K1092">
        <f t="shared" ref="K1092:K1155" si="124">G1092-F1092</f>
        <v>-1.6234252956234725</v>
      </c>
      <c r="L1092">
        <f t="shared" ref="L1092:L1155" si="125">I1092-F1092</f>
        <v>-0.14978235367417361</v>
      </c>
    </row>
    <row r="1093" spans="1:12" x14ac:dyDescent="0.25">
      <c r="A1093" s="1">
        <v>41789</v>
      </c>
      <c r="B1093" s="6">
        <v>96.115200000000002</v>
      </c>
      <c r="C1093" s="6">
        <v>11.081899999999999</v>
      </c>
      <c r="D1093" s="6">
        <v>9075.91</v>
      </c>
      <c r="E1093" s="6">
        <v>0.94</v>
      </c>
      <c r="F1093" s="6">
        <f t="shared" si="119"/>
        <v>1.0444444444444444E-2</v>
      </c>
      <c r="G1093">
        <f t="shared" si="120"/>
        <v>-2.0491022247948809</v>
      </c>
      <c r="H1093">
        <f t="shared" si="121"/>
        <v>1.8117173647413223</v>
      </c>
      <c r="I1093">
        <f t="shared" si="122"/>
        <v>-0.36326709847403826</v>
      </c>
      <c r="J1093">
        <f t="shared" si="123"/>
        <v>-1.4491509095658115</v>
      </c>
      <c r="K1093">
        <f t="shared" si="124"/>
        <v>-2.0595466692393254</v>
      </c>
      <c r="L1093">
        <f t="shared" si="125"/>
        <v>-0.37371154291848269</v>
      </c>
    </row>
    <row r="1094" spans="1:12" x14ac:dyDescent="0.25">
      <c r="A1094" s="1">
        <v>41793</v>
      </c>
      <c r="B1094" s="6">
        <v>98.528099999999995</v>
      </c>
      <c r="C1094" s="6">
        <v>11.1607</v>
      </c>
      <c r="D1094" s="6">
        <v>9123.4599999999991</v>
      </c>
      <c r="E1094" s="6">
        <v>0.94</v>
      </c>
      <c r="F1094" s="6">
        <f t="shared" si="119"/>
        <v>1.0444444444444444E-2</v>
      </c>
      <c r="G1094">
        <f t="shared" si="120"/>
        <v>2.5104249900119786</v>
      </c>
      <c r="H1094">
        <f t="shared" si="121"/>
        <v>0.71106940145643882</v>
      </c>
      <c r="I1094">
        <f t="shared" si="122"/>
        <v>0.52391440637907682</v>
      </c>
      <c r="J1094">
        <f t="shared" si="123"/>
        <v>1.7590517057057473</v>
      </c>
      <c r="K1094">
        <f t="shared" si="124"/>
        <v>2.4999805455675341</v>
      </c>
      <c r="L1094">
        <f t="shared" si="125"/>
        <v>0.51346996193463235</v>
      </c>
    </row>
    <row r="1095" spans="1:12" x14ac:dyDescent="0.25">
      <c r="A1095" s="1">
        <v>41794</v>
      </c>
      <c r="B1095" s="6">
        <v>99.332400000000007</v>
      </c>
      <c r="C1095" s="6">
        <v>11.2791</v>
      </c>
      <c r="D1095" s="6">
        <v>9119.9599999999991</v>
      </c>
      <c r="E1095" s="6">
        <v>0.94</v>
      </c>
      <c r="F1095" s="6">
        <f t="shared" si="119"/>
        <v>1.0444444444444444E-2</v>
      </c>
      <c r="G1095">
        <f t="shared" si="120"/>
        <v>0.81631534557147867</v>
      </c>
      <c r="H1095">
        <f t="shared" si="121"/>
        <v>1.0608653579076526</v>
      </c>
      <c r="I1095">
        <f t="shared" si="122"/>
        <v>-3.8362638735742804E-2</v>
      </c>
      <c r="J1095">
        <f t="shared" si="123"/>
        <v>0.56703184579555488</v>
      </c>
      <c r="K1095">
        <f t="shared" si="124"/>
        <v>0.80587090112703419</v>
      </c>
      <c r="L1095">
        <f t="shared" si="125"/>
        <v>-4.8807083180187248E-2</v>
      </c>
    </row>
    <row r="1096" spans="1:12" x14ac:dyDescent="0.25">
      <c r="A1096" s="1">
        <v>41795</v>
      </c>
      <c r="B1096" s="6">
        <v>98.930300000000003</v>
      </c>
      <c r="C1096" s="6">
        <v>11.239599999999999</v>
      </c>
      <c r="D1096" s="6">
        <v>9140.7199999999993</v>
      </c>
      <c r="E1096" s="6">
        <v>0.94</v>
      </c>
      <c r="F1096" s="6">
        <f t="shared" si="119"/>
        <v>1.0444444444444444E-2</v>
      </c>
      <c r="G1096">
        <f t="shared" si="120"/>
        <v>-0.40480246123118369</v>
      </c>
      <c r="H1096">
        <f t="shared" si="121"/>
        <v>-0.35020524687253696</v>
      </c>
      <c r="I1096">
        <f t="shared" si="122"/>
        <v>0.22763257733586792</v>
      </c>
      <c r="J1096">
        <f t="shared" si="123"/>
        <v>-0.29217858475451691</v>
      </c>
      <c r="K1096">
        <f t="shared" si="124"/>
        <v>-0.41524690567562811</v>
      </c>
      <c r="L1096">
        <f t="shared" si="125"/>
        <v>0.21718813289142347</v>
      </c>
    </row>
    <row r="1097" spans="1:12" x14ac:dyDescent="0.25">
      <c r="A1097" s="1">
        <v>41796</v>
      </c>
      <c r="B1097" s="6">
        <v>98.528099999999995</v>
      </c>
      <c r="C1097" s="6">
        <v>11.515700000000001</v>
      </c>
      <c r="D1097" s="6">
        <v>9134.4599999999991</v>
      </c>
      <c r="E1097" s="6">
        <v>0.94</v>
      </c>
      <c r="F1097" s="6">
        <f t="shared" si="119"/>
        <v>1.0444444444444444E-2</v>
      </c>
      <c r="G1097">
        <f t="shared" si="120"/>
        <v>-0.40654885308141958</v>
      </c>
      <c r="H1097">
        <f t="shared" si="121"/>
        <v>2.4564931136339494</v>
      </c>
      <c r="I1097">
        <f t="shared" si="122"/>
        <v>-6.8484758312257879E-2</v>
      </c>
      <c r="J1097">
        <f t="shared" si="123"/>
        <v>-0.29340739174200914</v>
      </c>
      <c r="K1097">
        <f t="shared" si="124"/>
        <v>-0.416993297525864</v>
      </c>
      <c r="L1097">
        <f t="shared" si="125"/>
        <v>-7.8929202756702316E-2</v>
      </c>
    </row>
    <row r="1098" spans="1:12" x14ac:dyDescent="0.25">
      <c r="A1098" s="1">
        <v>41799</v>
      </c>
      <c r="B1098" s="6">
        <v>98.930300000000003</v>
      </c>
      <c r="C1098" s="6">
        <v>11.397399999999999</v>
      </c>
      <c r="D1098" s="6">
        <v>9162.74</v>
      </c>
      <c r="E1098" s="6">
        <v>0.94</v>
      </c>
      <c r="F1098" s="6">
        <f t="shared" si="119"/>
        <v>1.0444444444444444E-2</v>
      </c>
      <c r="G1098">
        <f t="shared" si="120"/>
        <v>0.40820841973001376</v>
      </c>
      <c r="H1098">
        <f t="shared" si="121"/>
        <v>-1.0272931736672664</v>
      </c>
      <c r="I1098">
        <f t="shared" si="122"/>
        <v>0.3095968453526608</v>
      </c>
      <c r="J1098">
        <f t="shared" si="123"/>
        <v>0.27987713761810079</v>
      </c>
      <c r="K1098">
        <f t="shared" si="124"/>
        <v>0.39776397528556934</v>
      </c>
      <c r="L1098">
        <f t="shared" si="125"/>
        <v>0.29915240090821638</v>
      </c>
    </row>
    <row r="1099" spans="1:12" x14ac:dyDescent="0.25">
      <c r="A1099" s="1">
        <v>41800</v>
      </c>
      <c r="B1099" s="6">
        <v>100.1367</v>
      </c>
      <c r="C1099" s="6">
        <v>11.3185</v>
      </c>
      <c r="D1099" s="6">
        <v>9222.3700000000008</v>
      </c>
      <c r="E1099" s="6">
        <v>0.94</v>
      </c>
      <c r="F1099" s="6">
        <f t="shared" si="119"/>
        <v>1.0444444444444444E-2</v>
      </c>
      <c r="G1099">
        <f t="shared" si="120"/>
        <v>1.2194443967116264</v>
      </c>
      <c r="H1099">
        <f t="shared" si="121"/>
        <v>-0.6922631477354404</v>
      </c>
      <c r="I1099">
        <f t="shared" si="122"/>
        <v>0.65078786476535422</v>
      </c>
      <c r="J1099">
        <f t="shared" si="123"/>
        <v>0.85068399112320336</v>
      </c>
      <c r="K1099">
        <f t="shared" si="124"/>
        <v>1.2089999522671819</v>
      </c>
      <c r="L1099">
        <f t="shared" si="125"/>
        <v>0.64034342032090974</v>
      </c>
    </row>
    <row r="1100" spans="1:12" x14ac:dyDescent="0.25">
      <c r="A1100" s="1">
        <v>41801</v>
      </c>
      <c r="B1100" s="6">
        <v>100.5389</v>
      </c>
      <c r="C1100" s="6">
        <v>11.4368</v>
      </c>
      <c r="D1100" s="6">
        <v>9229.7999999999993</v>
      </c>
      <c r="E1100" s="6">
        <v>0.94</v>
      </c>
      <c r="F1100" s="6">
        <f t="shared" si="119"/>
        <v>1.0444444444444444E-2</v>
      </c>
      <c r="G1100">
        <f t="shared" si="120"/>
        <v>0.40165094316069277</v>
      </c>
      <c r="H1100">
        <f t="shared" si="121"/>
        <v>1.045191500640541</v>
      </c>
      <c r="I1100">
        <f t="shared" si="122"/>
        <v>8.0564974079314441E-2</v>
      </c>
      <c r="J1100">
        <f t="shared" si="123"/>
        <v>0.2752631255751507</v>
      </c>
      <c r="K1100">
        <f t="shared" si="124"/>
        <v>0.39120649871624835</v>
      </c>
      <c r="L1100">
        <f t="shared" si="125"/>
        <v>7.0120529634870005E-2</v>
      </c>
    </row>
    <row r="1101" spans="1:12" x14ac:dyDescent="0.25">
      <c r="A1101" s="1">
        <v>41802</v>
      </c>
      <c r="B1101" s="6">
        <v>99.332400000000007</v>
      </c>
      <c r="C1101" s="6">
        <v>11.8706</v>
      </c>
      <c r="D1101" s="6">
        <v>9204.65</v>
      </c>
      <c r="E1101" s="6">
        <v>0.94</v>
      </c>
      <c r="F1101" s="6">
        <f t="shared" si="119"/>
        <v>1.0444444444444444E-2</v>
      </c>
      <c r="G1101">
        <f t="shared" si="120"/>
        <v>-1.200033022044195</v>
      </c>
      <c r="H1101">
        <f t="shared" si="121"/>
        <v>3.793019026301061</v>
      </c>
      <c r="I1101">
        <f t="shared" si="122"/>
        <v>-0.27248694446249799</v>
      </c>
      <c r="J1101">
        <f t="shared" si="123"/>
        <v>-0.8517236087778558</v>
      </c>
      <c r="K1101">
        <f t="shared" si="124"/>
        <v>-1.2104774664886395</v>
      </c>
      <c r="L1101">
        <f t="shared" si="125"/>
        <v>-0.28293138890694242</v>
      </c>
    </row>
    <row r="1102" spans="1:12" x14ac:dyDescent="0.25">
      <c r="A1102" s="1">
        <v>41803</v>
      </c>
      <c r="B1102" s="6">
        <v>98.930300000000003</v>
      </c>
      <c r="C1102" s="6">
        <v>11.7523</v>
      </c>
      <c r="D1102" s="6">
        <v>9196.39</v>
      </c>
      <c r="E1102" s="6">
        <v>0.94</v>
      </c>
      <c r="F1102" s="6">
        <f t="shared" si="119"/>
        <v>1.0444444444444444E-2</v>
      </c>
      <c r="G1102">
        <f t="shared" si="120"/>
        <v>-0.40480246123118369</v>
      </c>
      <c r="H1102">
        <f t="shared" si="121"/>
        <v>-0.99657978535204317</v>
      </c>
      <c r="I1102">
        <f t="shared" si="122"/>
        <v>-8.9737252367012521E-2</v>
      </c>
      <c r="J1102">
        <f t="shared" si="123"/>
        <v>-0.29217858475451691</v>
      </c>
      <c r="K1102">
        <f t="shared" si="124"/>
        <v>-0.41524690567562811</v>
      </c>
      <c r="L1102">
        <f t="shared" si="125"/>
        <v>-0.10018169681145697</v>
      </c>
    </row>
    <row r="1103" spans="1:12" x14ac:dyDescent="0.25">
      <c r="A1103" s="1">
        <v>41806</v>
      </c>
      <c r="B1103" s="6">
        <v>99.7346</v>
      </c>
      <c r="C1103" s="6">
        <v>11.5946</v>
      </c>
      <c r="D1103" s="6">
        <v>9202.93</v>
      </c>
      <c r="E1103" s="6">
        <v>0.94</v>
      </c>
      <c r="F1103" s="6">
        <f t="shared" si="119"/>
        <v>1.0444444444444444E-2</v>
      </c>
      <c r="G1103">
        <f t="shared" si="120"/>
        <v>0.81299662489651581</v>
      </c>
      <c r="H1103">
        <f t="shared" si="121"/>
        <v>-1.3418649966389573</v>
      </c>
      <c r="I1103">
        <f t="shared" si="122"/>
        <v>7.1114861374962063E-2</v>
      </c>
      <c r="J1103">
        <f t="shared" si="123"/>
        <v>0.56469670711841402</v>
      </c>
      <c r="K1103">
        <f t="shared" si="124"/>
        <v>0.80255218045207133</v>
      </c>
      <c r="L1103">
        <f t="shared" si="125"/>
        <v>6.0670416930517619E-2</v>
      </c>
    </row>
    <row r="1104" spans="1:12" x14ac:dyDescent="0.25">
      <c r="A1104" s="1">
        <v>41807</v>
      </c>
      <c r="B1104" s="6">
        <v>100.5389</v>
      </c>
      <c r="C1104" s="6">
        <v>11.5946</v>
      </c>
      <c r="D1104" s="6">
        <v>9240.6</v>
      </c>
      <c r="E1104" s="6">
        <v>0.94</v>
      </c>
      <c r="F1104" s="6">
        <f t="shared" si="119"/>
        <v>1.0444444444444444E-2</v>
      </c>
      <c r="G1104">
        <f t="shared" si="120"/>
        <v>0.80644029253638938</v>
      </c>
      <c r="H1104">
        <f t="shared" si="121"/>
        <v>0</v>
      </c>
      <c r="I1104">
        <f t="shared" si="122"/>
        <v>0.40932616025548463</v>
      </c>
      <c r="J1104">
        <f t="shared" si="123"/>
        <v>0.56008350017098318</v>
      </c>
      <c r="K1104">
        <f t="shared" si="124"/>
        <v>0.7959958480919449</v>
      </c>
      <c r="L1104">
        <f t="shared" si="125"/>
        <v>0.39888171581104021</v>
      </c>
    </row>
    <row r="1105" spans="1:12" x14ac:dyDescent="0.25">
      <c r="A1105" s="1">
        <v>41808</v>
      </c>
      <c r="B1105" s="6">
        <v>100.941</v>
      </c>
      <c r="C1105" s="6">
        <v>11.4368</v>
      </c>
      <c r="D1105" s="6">
        <v>9279.93</v>
      </c>
      <c r="E1105" s="6">
        <v>0.94</v>
      </c>
      <c r="F1105" s="6">
        <f t="shared" si="119"/>
        <v>1.0444444444444444E-2</v>
      </c>
      <c r="G1105">
        <f t="shared" si="120"/>
        <v>0.39994469802236182</v>
      </c>
      <c r="H1105">
        <f t="shared" si="121"/>
        <v>-1.3609783864902623</v>
      </c>
      <c r="I1105">
        <f t="shared" si="122"/>
        <v>0.42562171287578648</v>
      </c>
      <c r="J1105">
        <f t="shared" si="123"/>
        <v>0.27406256686430208</v>
      </c>
      <c r="K1105">
        <f t="shared" si="124"/>
        <v>0.3895002535779174</v>
      </c>
      <c r="L1105">
        <f t="shared" si="125"/>
        <v>0.41517726843134206</v>
      </c>
    </row>
    <row r="1106" spans="1:12" x14ac:dyDescent="0.25">
      <c r="A1106" s="1">
        <v>41809</v>
      </c>
      <c r="B1106" s="6">
        <v>101.3432</v>
      </c>
      <c r="C1106" s="6">
        <v>11.7523</v>
      </c>
      <c r="D1106" s="6">
        <v>9316.81</v>
      </c>
      <c r="E1106" s="6">
        <v>0.94</v>
      </c>
      <c r="F1106" s="6">
        <f t="shared" si="119"/>
        <v>1.0444444444444444E-2</v>
      </c>
      <c r="G1106">
        <f t="shared" si="120"/>
        <v>0.39845058004180012</v>
      </c>
      <c r="H1106">
        <f t="shared" si="121"/>
        <v>2.7586387800783445</v>
      </c>
      <c r="I1106">
        <f t="shared" si="122"/>
        <v>0.39741679085940518</v>
      </c>
      <c r="J1106">
        <f t="shared" si="123"/>
        <v>0.27301126637042722</v>
      </c>
      <c r="K1106">
        <f t="shared" si="124"/>
        <v>0.38800613559735569</v>
      </c>
      <c r="L1106">
        <f t="shared" si="125"/>
        <v>0.38697234641496076</v>
      </c>
    </row>
    <row r="1107" spans="1:12" x14ac:dyDescent="0.25">
      <c r="A1107" s="1">
        <v>41810</v>
      </c>
      <c r="B1107" s="6">
        <v>100.1367</v>
      </c>
      <c r="C1107" s="6">
        <v>11.4762</v>
      </c>
      <c r="D1107" s="6">
        <v>9273.7900000000009</v>
      </c>
      <c r="E1107" s="6">
        <v>0.94</v>
      </c>
      <c r="F1107" s="6">
        <f t="shared" si="119"/>
        <v>1.0444444444444444E-2</v>
      </c>
      <c r="G1107">
        <f t="shared" si="120"/>
        <v>-1.1905090820104272</v>
      </c>
      <c r="H1107">
        <f t="shared" si="121"/>
        <v>-2.3493273657071345</v>
      </c>
      <c r="I1107">
        <f t="shared" si="122"/>
        <v>-0.4617460268052973</v>
      </c>
      <c r="J1107">
        <f t="shared" si="123"/>
        <v>-0.8450223154453369</v>
      </c>
      <c r="K1107">
        <f t="shared" si="124"/>
        <v>-1.2009535264548716</v>
      </c>
      <c r="L1107">
        <f t="shared" si="125"/>
        <v>-0.47219047124974173</v>
      </c>
    </row>
    <row r="1108" spans="1:12" x14ac:dyDescent="0.25">
      <c r="A1108" s="1">
        <v>41813</v>
      </c>
      <c r="B1108" s="6">
        <v>98.930300000000003</v>
      </c>
      <c r="C1108" s="6">
        <v>11.4368</v>
      </c>
      <c r="D1108" s="6">
        <v>9228.35</v>
      </c>
      <c r="E1108" s="6">
        <v>0.94</v>
      </c>
      <c r="F1108" s="6">
        <f t="shared" si="119"/>
        <v>1.0444444444444444E-2</v>
      </c>
      <c r="G1108">
        <f t="shared" si="120"/>
        <v>-1.2047531025088725</v>
      </c>
      <c r="H1108">
        <f t="shared" si="121"/>
        <v>-0.34331921716248015</v>
      </c>
      <c r="I1108">
        <f t="shared" si="122"/>
        <v>-0.48998305978462425</v>
      </c>
      <c r="J1108">
        <f t="shared" si="123"/>
        <v>-0.85504478085944668</v>
      </c>
      <c r="K1108">
        <f t="shared" si="124"/>
        <v>-1.2151975469533169</v>
      </c>
      <c r="L1108">
        <f t="shared" si="125"/>
        <v>-0.50042750422906868</v>
      </c>
    </row>
    <row r="1109" spans="1:12" x14ac:dyDescent="0.25">
      <c r="A1109" s="1">
        <v>41814</v>
      </c>
      <c r="B1109" s="6">
        <v>98.930300000000003</v>
      </c>
      <c r="C1109" s="6">
        <v>11.4762</v>
      </c>
      <c r="D1109" s="6">
        <v>9246.2000000000007</v>
      </c>
      <c r="E1109" s="6">
        <v>0.94</v>
      </c>
      <c r="F1109" s="6">
        <f t="shared" si="119"/>
        <v>1.0444444444444444E-2</v>
      </c>
      <c r="G1109">
        <f t="shared" si="120"/>
        <v>0</v>
      </c>
      <c r="H1109">
        <f t="shared" si="121"/>
        <v>0.34450195858982013</v>
      </c>
      <c r="I1109">
        <f t="shared" si="122"/>
        <v>0.19342569365054818</v>
      </c>
      <c r="J1109">
        <f t="shared" si="123"/>
        <v>-7.3489843141871791E-3</v>
      </c>
      <c r="K1109">
        <f t="shared" si="124"/>
        <v>-1.0444444444444444E-2</v>
      </c>
      <c r="L1109">
        <f t="shared" si="125"/>
        <v>0.18298124920610373</v>
      </c>
    </row>
    <row r="1110" spans="1:12" x14ac:dyDescent="0.25">
      <c r="A1110" s="1">
        <v>41815</v>
      </c>
      <c r="B1110" s="6">
        <v>99.332400000000007</v>
      </c>
      <c r="C1110" s="6">
        <v>11.515700000000001</v>
      </c>
      <c r="D1110" s="6">
        <v>9242.16</v>
      </c>
      <c r="E1110" s="6">
        <v>0.94</v>
      </c>
      <c r="F1110" s="6">
        <f t="shared" si="119"/>
        <v>1.0444444444444444E-2</v>
      </c>
      <c r="G1110">
        <f t="shared" si="120"/>
        <v>0.40644777181511055</v>
      </c>
      <c r="H1110">
        <f t="shared" si="121"/>
        <v>0.34419058573395644</v>
      </c>
      <c r="I1110">
        <f t="shared" si="122"/>
        <v>-4.3693625489399673E-2</v>
      </c>
      <c r="J1110">
        <f t="shared" si="123"/>
        <v>0.27863829969060216</v>
      </c>
      <c r="K1110">
        <f t="shared" si="124"/>
        <v>0.39600332737066612</v>
      </c>
      <c r="L1110">
        <f t="shared" si="125"/>
        <v>-5.4138069933844117E-2</v>
      </c>
    </row>
    <row r="1111" spans="1:12" x14ac:dyDescent="0.25">
      <c r="A1111" s="1">
        <v>41816</v>
      </c>
      <c r="B1111" s="6">
        <v>100.1367</v>
      </c>
      <c r="C1111" s="6">
        <v>11.91</v>
      </c>
      <c r="D1111" s="6">
        <v>9320.94</v>
      </c>
      <c r="E1111" s="6">
        <v>0.94</v>
      </c>
      <c r="F1111" s="6">
        <f t="shared" si="119"/>
        <v>1.0444444444444444E-2</v>
      </c>
      <c r="G1111">
        <f t="shared" si="120"/>
        <v>0.80970559454920821</v>
      </c>
      <c r="H1111">
        <f t="shared" si="121"/>
        <v>3.4240211189940637</v>
      </c>
      <c r="I1111">
        <f t="shared" si="122"/>
        <v>0.85239814069439024</v>
      </c>
      <c r="J1111">
        <f t="shared" si="123"/>
        <v>0.5623810520801279</v>
      </c>
      <c r="K1111">
        <f t="shared" si="124"/>
        <v>0.79926115010476373</v>
      </c>
      <c r="L1111">
        <f t="shared" si="125"/>
        <v>0.84195369624994576</v>
      </c>
    </row>
    <row r="1112" spans="1:12" x14ac:dyDescent="0.25">
      <c r="A1112" s="1">
        <v>41817</v>
      </c>
      <c r="B1112" s="6">
        <v>100.941</v>
      </c>
      <c r="C1112" s="6">
        <v>11.712899999999999</v>
      </c>
      <c r="D1112" s="6">
        <v>9306.83</v>
      </c>
      <c r="E1112" s="6">
        <v>0.94</v>
      </c>
      <c r="F1112" s="6">
        <f t="shared" si="119"/>
        <v>1.0444444444444444E-2</v>
      </c>
      <c r="G1112">
        <f t="shared" si="120"/>
        <v>0.80320202283478259</v>
      </c>
      <c r="H1112">
        <f t="shared" si="121"/>
        <v>-1.6549118387909381</v>
      </c>
      <c r="I1112">
        <f t="shared" si="122"/>
        <v>-0.15137958188766992</v>
      </c>
      <c r="J1112">
        <f t="shared" si="123"/>
        <v>0.55780496890311149</v>
      </c>
      <c r="K1112">
        <f t="shared" si="124"/>
        <v>0.79275757839033811</v>
      </c>
      <c r="L1112">
        <f t="shared" si="125"/>
        <v>-0.16182402633211437</v>
      </c>
    </row>
    <row r="1113" spans="1:12" x14ac:dyDescent="0.25">
      <c r="A1113" s="1">
        <v>41820</v>
      </c>
      <c r="B1113" s="6">
        <v>101.7453</v>
      </c>
      <c r="C1113" s="6">
        <v>11.791700000000001</v>
      </c>
      <c r="D1113" s="6">
        <v>9393.07</v>
      </c>
      <c r="E1113" s="6">
        <v>0.94</v>
      </c>
      <c r="F1113" s="6">
        <f t="shared" si="119"/>
        <v>1.0444444444444444E-2</v>
      </c>
      <c r="G1113">
        <f t="shared" si="120"/>
        <v>0.79680209231134802</v>
      </c>
      <c r="H1113">
        <f t="shared" si="121"/>
        <v>0.67276250971152396</v>
      </c>
      <c r="I1113">
        <f t="shared" si="122"/>
        <v>0.92663130195780719</v>
      </c>
      <c r="J1113">
        <f t="shared" si="123"/>
        <v>0.55330181037909576</v>
      </c>
      <c r="K1113">
        <f t="shared" si="124"/>
        <v>0.78635764786690354</v>
      </c>
      <c r="L1113">
        <f t="shared" si="125"/>
        <v>0.91618685751336271</v>
      </c>
    </row>
    <row r="1114" spans="1:12" x14ac:dyDescent="0.25">
      <c r="A1114" s="1">
        <v>41821</v>
      </c>
      <c r="B1114" s="6">
        <v>102.95180000000001</v>
      </c>
      <c r="C1114" s="6">
        <v>12.0284</v>
      </c>
      <c r="D1114" s="6">
        <v>9441.92</v>
      </c>
      <c r="E1114" s="6">
        <v>0.94</v>
      </c>
      <c r="F1114" s="6">
        <f t="shared" si="119"/>
        <v>1.0444444444444444E-2</v>
      </c>
      <c r="G1114">
        <f t="shared" si="120"/>
        <v>1.1858041599956022</v>
      </c>
      <c r="H1114">
        <f t="shared" si="121"/>
        <v>2.0073441488504544</v>
      </c>
      <c r="I1114">
        <f t="shared" si="122"/>
        <v>0.5200642601407246</v>
      </c>
      <c r="J1114">
        <f t="shared" si="123"/>
        <v>0.82701384061719863</v>
      </c>
      <c r="K1114">
        <f t="shared" si="124"/>
        <v>1.1753597155511577</v>
      </c>
      <c r="L1114">
        <f t="shared" si="125"/>
        <v>0.50961981569628012</v>
      </c>
    </row>
    <row r="1115" spans="1:12" x14ac:dyDescent="0.25">
      <c r="A1115" s="1">
        <v>41822</v>
      </c>
      <c r="B1115" s="6">
        <v>106.5712</v>
      </c>
      <c r="C1115" s="6">
        <v>12.0678</v>
      </c>
      <c r="D1115" s="6">
        <v>9484.9599999999991</v>
      </c>
      <c r="E1115" s="6">
        <v>0.94</v>
      </c>
      <c r="F1115" s="6">
        <f t="shared" si="119"/>
        <v>1.0444444444444444E-2</v>
      </c>
      <c r="G1115">
        <f t="shared" si="120"/>
        <v>3.5156257588502569</v>
      </c>
      <c r="H1115">
        <f t="shared" si="121"/>
        <v>0.3275581124671656</v>
      </c>
      <c r="I1115">
        <f t="shared" si="122"/>
        <v>0.45583949027315473</v>
      </c>
      <c r="J1115">
        <f t="shared" si="123"/>
        <v>2.4663372604420517</v>
      </c>
      <c r="K1115">
        <f t="shared" si="124"/>
        <v>3.5051813144058124</v>
      </c>
      <c r="L1115">
        <f t="shared" si="125"/>
        <v>0.44539504582871031</v>
      </c>
    </row>
    <row r="1116" spans="1:12" x14ac:dyDescent="0.25">
      <c r="A1116" s="1">
        <v>41823</v>
      </c>
      <c r="B1116" s="6">
        <v>108.1798</v>
      </c>
      <c r="C1116" s="6">
        <v>12.3439</v>
      </c>
      <c r="D1116" s="6">
        <v>9526.23</v>
      </c>
      <c r="E1116" s="6">
        <v>0.94</v>
      </c>
      <c r="F1116" s="6">
        <f t="shared" si="119"/>
        <v>1.0444444444444444E-2</v>
      </c>
      <c r="G1116">
        <f t="shared" si="120"/>
        <v>1.5094134250153846</v>
      </c>
      <c r="H1116">
        <f t="shared" si="121"/>
        <v>2.2879066607003726</v>
      </c>
      <c r="I1116">
        <f t="shared" si="122"/>
        <v>0.43510990030533014</v>
      </c>
      <c r="J1116">
        <f t="shared" si="123"/>
        <v>1.0547137843725625</v>
      </c>
      <c r="K1116">
        <f t="shared" si="124"/>
        <v>1.4989689805709401</v>
      </c>
      <c r="L1116">
        <f t="shared" si="125"/>
        <v>0.42466545586088572</v>
      </c>
    </row>
    <row r="1117" spans="1:12" x14ac:dyDescent="0.25">
      <c r="A1117" s="1">
        <v>41824</v>
      </c>
      <c r="B1117" s="6">
        <v>108.58199999999999</v>
      </c>
      <c r="C1117" s="6">
        <v>13.0143</v>
      </c>
      <c r="D1117" s="6">
        <v>9510.0499999999993</v>
      </c>
      <c r="E1117" s="6">
        <v>0.94</v>
      </c>
      <c r="F1117" s="6">
        <f t="shared" si="119"/>
        <v>1.0444444444444444E-2</v>
      </c>
      <c r="G1117">
        <f t="shared" si="120"/>
        <v>0.37178844849037757</v>
      </c>
      <c r="H1117">
        <f t="shared" si="121"/>
        <v>5.4310226103581591</v>
      </c>
      <c r="I1117">
        <f t="shared" si="122"/>
        <v>-0.16984683342728751</v>
      </c>
      <c r="J1117">
        <f t="shared" si="123"/>
        <v>0.25425109318970601</v>
      </c>
      <c r="K1117">
        <f t="shared" si="124"/>
        <v>0.36134400404593314</v>
      </c>
      <c r="L1117">
        <f t="shared" si="125"/>
        <v>-0.18029127787173196</v>
      </c>
    </row>
    <row r="1118" spans="1:12" x14ac:dyDescent="0.25">
      <c r="A1118" s="1">
        <v>41827</v>
      </c>
      <c r="B1118" s="6">
        <v>109.38630000000001</v>
      </c>
      <c r="C1118" s="6">
        <v>12.973599999999999</v>
      </c>
      <c r="D1118" s="6">
        <v>9520.2000000000007</v>
      </c>
      <c r="E1118" s="6">
        <v>0.94</v>
      </c>
      <c r="F1118" s="6">
        <f t="shared" si="119"/>
        <v>1.0444444444444444E-2</v>
      </c>
      <c r="G1118">
        <f t="shared" si="120"/>
        <v>0.74073050781898664</v>
      </c>
      <c r="H1118">
        <f t="shared" si="121"/>
        <v>-0.31273291686837607</v>
      </c>
      <c r="I1118">
        <f t="shared" si="122"/>
        <v>0.10672919700739171</v>
      </c>
      <c r="J1118">
        <f t="shared" si="123"/>
        <v>0.51384837682426743</v>
      </c>
      <c r="K1118">
        <f t="shared" si="124"/>
        <v>0.73028606337454216</v>
      </c>
      <c r="L1118">
        <f t="shared" si="125"/>
        <v>9.6284752562947273E-2</v>
      </c>
    </row>
    <row r="1119" spans="1:12" x14ac:dyDescent="0.25">
      <c r="A1119" s="1">
        <v>41828</v>
      </c>
      <c r="B1119" s="6">
        <v>108.1798</v>
      </c>
      <c r="C1119" s="6">
        <v>12.6889</v>
      </c>
      <c r="D1119" s="6">
        <v>9530.98</v>
      </c>
      <c r="E1119" s="6">
        <v>0.94</v>
      </c>
      <c r="F1119" s="6">
        <f t="shared" si="119"/>
        <v>1.0444444444444444E-2</v>
      </c>
      <c r="G1119">
        <f t="shared" si="120"/>
        <v>-1.1029717615460122</v>
      </c>
      <c r="H1119">
        <f t="shared" si="121"/>
        <v>-2.1944564346056534</v>
      </c>
      <c r="I1119">
        <f t="shared" si="122"/>
        <v>0.11323291527487694</v>
      </c>
      <c r="J1119">
        <f t="shared" si="123"/>
        <v>-0.78342876698798947</v>
      </c>
      <c r="K1119">
        <f t="shared" si="124"/>
        <v>-1.1134162059904567</v>
      </c>
      <c r="L1119">
        <f t="shared" si="125"/>
        <v>0.10278847083043249</v>
      </c>
    </row>
    <row r="1120" spans="1:12" x14ac:dyDescent="0.25">
      <c r="A1120" s="1">
        <v>41829</v>
      </c>
      <c r="B1120" s="6">
        <v>107.7777</v>
      </c>
      <c r="C1120" s="6">
        <v>12.6076</v>
      </c>
      <c r="D1120" s="6">
        <v>9489.98</v>
      </c>
      <c r="E1120" s="6">
        <v>0.94</v>
      </c>
      <c r="F1120" s="6">
        <f t="shared" si="119"/>
        <v>1.0444444444444444E-2</v>
      </c>
      <c r="G1120">
        <f t="shared" si="120"/>
        <v>-0.37169600979111106</v>
      </c>
      <c r="H1120">
        <f t="shared" si="121"/>
        <v>-0.64071747748032215</v>
      </c>
      <c r="I1120">
        <f t="shared" si="122"/>
        <v>-0.43017612039895164</v>
      </c>
      <c r="J1120">
        <f t="shared" si="123"/>
        <v>-0.26888401953128882</v>
      </c>
      <c r="K1120">
        <f t="shared" si="124"/>
        <v>-0.38214045423555548</v>
      </c>
      <c r="L1120">
        <f t="shared" si="125"/>
        <v>-0.44062056484339607</v>
      </c>
    </row>
    <row r="1121" spans="1:12" x14ac:dyDescent="0.25">
      <c r="A1121" s="1">
        <v>41830</v>
      </c>
      <c r="B1121" s="6">
        <v>108.1798</v>
      </c>
      <c r="C1121" s="6">
        <v>12.770300000000001</v>
      </c>
      <c r="D1121" s="6">
        <v>9565.1200000000008</v>
      </c>
      <c r="E1121" s="6">
        <v>0.94</v>
      </c>
      <c r="F1121" s="6">
        <f t="shared" si="119"/>
        <v>1.0444444444444444E-2</v>
      </c>
      <c r="G1121">
        <f t="shared" si="120"/>
        <v>0.37308274346177767</v>
      </c>
      <c r="H1121">
        <f t="shared" si="121"/>
        <v>1.2904914496018351</v>
      </c>
      <c r="I1121">
        <f t="shared" si="122"/>
        <v>0.79178249058481931</v>
      </c>
      <c r="J1121">
        <f t="shared" si="123"/>
        <v>0.25516179298741615</v>
      </c>
      <c r="K1121">
        <f t="shared" si="124"/>
        <v>0.36263829901733324</v>
      </c>
      <c r="L1121">
        <f t="shared" si="125"/>
        <v>0.78133804614037483</v>
      </c>
    </row>
    <row r="1122" spans="1:12" x14ac:dyDescent="0.25">
      <c r="A1122" s="1">
        <v>41831</v>
      </c>
      <c r="B1122" s="6">
        <v>109.7885</v>
      </c>
      <c r="C1122" s="6">
        <v>12.444900000000001</v>
      </c>
      <c r="D1122" s="6">
        <v>9495.84</v>
      </c>
      <c r="E1122" s="6">
        <v>0.94</v>
      </c>
      <c r="F1122" s="6">
        <f t="shared" si="119"/>
        <v>1.0444444444444444E-2</v>
      </c>
      <c r="G1122">
        <f t="shared" si="120"/>
        <v>1.4870613552622569</v>
      </c>
      <c r="H1122">
        <f t="shared" si="121"/>
        <v>-2.5480998880214258</v>
      </c>
      <c r="I1122">
        <f t="shared" si="122"/>
        <v>-0.72429828376435057</v>
      </c>
      <c r="J1122">
        <f t="shared" si="123"/>
        <v>1.0389862834146031</v>
      </c>
      <c r="K1122">
        <f t="shared" si="124"/>
        <v>1.4766169108178124</v>
      </c>
      <c r="L1122">
        <f t="shared" si="125"/>
        <v>-0.73474272820879505</v>
      </c>
    </row>
    <row r="1123" spans="1:12" x14ac:dyDescent="0.25">
      <c r="A1123" s="1">
        <v>41834</v>
      </c>
      <c r="B1123" s="6">
        <v>108.96599999999999</v>
      </c>
      <c r="C1123" s="6">
        <v>12.892300000000001</v>
      </c>
      <c r="D1123" s="6">
        <v>9520.2999999999993</v>
      </c>
      <c r="E1123" s="6">
        <v>0.94</v>
      </c>
      <c r="F1123" s="6">
        <f t="shared" si="119"/>
        <v>1.0444444444444444E-2</v>
      </c>
      <c r="G1123">
        <f t="shared" si="120"/>
        <v>-0.74916771793038894</v>
      </c>
      <c r="H1123">
        <f t="shared" si="121"/>
        <v>3.5950469670306711</v>
      </c>
      <c r="I1123">
        <f t="shared" si="122"/>
        <v>0.25758647997437961</v>
      </c>
      <c r="J1123">
        <f t="shared" si="123"/>
        <v>-0.53448298718538412</v>
      </c>
      <c r="K1123">
        <f t="shared" si="124"/>
        <v>-0.75961216237483342</v>
      </c>
      <c r="L1123">
        <f t="shared" si="125"/>
        <v>0.24714203552993516</v>
      </c>
    </row>
    <row r="1124" spans="1:12" x14ac:dyDescent="0.25">
      <c r="A1124" s="1">
        <v>41835</v>
      </c>
      <c r="B1124" s="6">
        <v>109.3772</v>
      </c>
      <c r="C1124" s="6">
        <v>12.770300000000001</v>
      </c>
      <c r="D1124" s="6">
        <v>9569.17</v>
      </c>
      <c r="E1124" s="6">
        <v>0.94</v>
      </c>
      <c r="F1124" s="6">
        <f t="shared" si="119"/>
        <v>1.0444444444444444E-2</v>
      </c>
      <c r="G1124">
        <f t="shared" si="120"/>
        <v>0.37736541673550283</v>
      </c>
      <c r="H1124">
        <f t="shared" si="121"/>
        <v>-0.94630128060935503</v>
      </c>
      <c r="I1124">
        <f t="shared" si="122"/>
        <v>0.51332415995295111</v>
      </c>
      <c r="J1124">
        <f t="shared" si="123"/>
        <v>0.25817519392786886</v>
      </c>
      <c r="K1124">
        <f t="shared" si="124"/>
        <v>0.36692097229105841</v>
      </c>
      <c r="L1124">
        <f t="shared" si="125"/>
        <v>0.50287971550850663</v>
      </c>
    </row>
    <row r="1125" spans="1:12" x14ac:dyDescent="0.25">
      <c r="A1125" s="1">
        <v>41836</v>
      </c>
      <c r="B1125" s="6">
        <v>107.3212</v>
      </c>
      <c r="C1125" s="6">
        <v>12.5669</v>
      </c>
      <c r="D1125" s="6">
        <v>9484.73</v>
      </c>
      <c r="E1125" s="6">
        <v>0.94</v>
      </c>
      <c r="F1125" s="6">
        <f t="shared" si="119"/>
        <v>1.0444444444444444E-2</v>
      </c>
      <c r="G1125">
        <f t="shared" si="120"/>
        <v>-1.8797336190723455</v>
      </c>
      <c r="H1125">
        <f t="shared" si="121"/>
        <v>-1.5927581967534061</v>
      </c>
      <c r="I1125">
        <f t="shared" si="122"/>
        <v>-0.88241717933739816</v>
      </c>
      <c r="J1125">
        <f t="shared" si="123"/>
        <v>-1.3299787282792583</v>
      </c>
      <c r="K1125">
        <f t="shared" si="124"/>
        <v>-1.89017806351679</v>
      </c>
      <c r="L1125">
        <f t="shared" si="125"/>
        <v>-0.89286162378184264</v>
      </c>
    </row>
    <row r="1126" spans="1:12" x14ac:dyDescent="0.25">
      <c r="A1126" s="1">
        <v>41837</v>
      </c>
      <c r="B1126" s="6">
        <v>102.3869</v>
      </c>
      <c r="C1126" s="6">
        <v>12.2822</v>
      </c>
      <c r="D1126" s="6">
        <v>9408.24</v>
      </c>
      <c r="E1126" s="6">
        <v>0.94</v>
      </c>
      <c r="F1126" s="6">
        <f t="shared" si="119"/>
        <v>1.0444444444444444E-2</v>
      </c>
      <c r="G1126">
        <f t="shared" si="120"/>
        <v>-4.5976936523259218</v>
      </c>
      <c r="H1126">
        <f t="shared" si="121"/>
        <v>-2.2654751768534869</v>
      </c>
      <c r="I1126">
        <f t="shared" si="122"/>
        <v>-0.80645416369258571</v>
      </c>
      <c r="J1126">
        <f t="shared" si="123"/>
        <v>-3.2424065033719582</v>
      </c>
      <c r="K1126">
        <f t="shared" si="124"/>
        <v>-4.6081380967703662</v>
      </c>
      <c r="L1126">
        <f t="shared" si="125"/>
        <v>-0.81689860813703019</v>
      </c>
    </row>
    <row r="1127" spans="1:12" x14ac:dyDescent="0.25">
      <c r="A1127" s="1">
        <v>41838</v>
      </c>
      <c r="B1127" s="6">
        <v>101.5645</v>
      </c>
      <c r="C1127" s="6">
        <v>12.404199999999999</v>
      </c>
      <c r="D1127" s="6">
        <v>9400.9699999999993</v>
      </c>
      <c r="E1127" s="6">
        <v>0.94</v>
      </c>
      <c r="F1127" s="6">
        <f t="shared" si="119"/>
        <v>1.0444444444444444E-2</v>
      </c>
      <c r="G1127">
        <f t="shared" si="120"/>
        <v>-0.80322775667590463</v>
      </c>
      <c r="H1127">
        <f t="shared" si="121"/>
        <v>0.99330738792724338</v>
      </c>
      <c r="I1127">
        <f t="shared" si="122"/>
        <v>-7.7272688621893543E-2</v>
      </c>
      <c r="J1127">
        <f t="shared" si="123"/>
        <v>-0.57252104453523844</v>
      </c>
      <c r="K1127">
        <f t="shared" si="124"/>
        <v>-0.8136722011203491</v>
      </c>
      <c r="L1127">
        <f t="shared" si="125"/>
        <v>-8.7717133066337993E-2</v>
      </c>
    </row>
    <row r="1128" spans="1:12" x14ac:dyDescent="0.25">
      <c r="A1128" s="1">
        <v>41841</v>
      </c>
      <c r="B1128" s="6">
        <v>101.5645</v>
      </c>
      <c r="C1128" s="6">
        <v>12.648300000000001</v>
      </c>
      <c r="D1128" s="6">
        <v>9440.9699999999993</v>
      </c>
      <c r="E1128" s="6">
        <v>0.94</v>
      </c>
      <c r="F1128" s="6">
        <f t="shared" si="119"/>
        <v>1.0444444444444444E-2</v>
      </c>
      <c r="G1128">
        <f t="shared" si="120"/>
        <v>0</v>
      </c>
      <c r="H1128">
        <f t="shared" si="121"/>
        <v>1.9678818464713672</v>
      </c>
      <c r="I1128">
        <f t="shared" si="122"/>
        <v>0.42548800815235027</v>
      </c>
      <c r="J1128">
        <f t="shared" si="123"/>
        <v>-7.3489843141871791E-3</v>
      </c>
      <c r="K1128">
        <f t="shared" si="124"/>
        <v>-1.0444444444444444E-2</v>
      </c>
      <c r="L1128">
        <f t="shared" si="125"/>
        <v>0.41504356370790585</v>
      </c>
    </row>
    <row r="1129" spans="1:12" x14ac:dyDescent="0.25">
      <c r="A1129" s="1">
        <v>41842</v>
      </c>
      <c r="B1129" s="6">
        <v>102.3869</v>
      </c>
      <c r="C1129" s="6">
        <v>12.770300000000001</v>
      </c>
      <c r="D1129" s="6">
        <v>9499.36</v>
      </c>
      <c r="E1129" s="6">
        <v>0.94</v>
      </c>
      <c r="F1129" s="6">
        <f t="shared" si="119"/>
        <v>1.0444444444444444E-2</v>
      </c>
      <c r="G1129">
        <f t="shared" si="120"/>
        <v>0.80973174682098747</v>
      </c>
      <c r="H1129">
        <f t="shared" si="121"/>
        <v>0.96455650166425433</v>
      </c>
      <c r="I1129">
        <f t="shared" si="122"/>
        <v>0.61847458470899963</v>
      </c>
      <c r="J1129">
        <f t="shared" si="123"/>
        <v>0.5623994535026362</v>
      </c>
      <c r="K1129">
        <f t="shared" si="124"/>
        <v>0.799287302376543</v>
      </c>
      <c r="L1129">
        <f t="shared" si="125"/>
        <v>0.60803014026455515</v>
      </c>
    </row>
    <row r="1130" spans="1:12" x14ac:dyDescent="0.25">
      <c r="A1130" s="1">
        <v>41844</v>
      </c>
      <c r="B1130" s="6">
        <v>102.79810000000001</v>
      </c>
      <c r="C1130" s="6">
        <v>12.7296</v>
      </c>
      <c r="D1130" s="6">
        <v>9527.5400000000009</v>
      </c>
      <c r="E1130" s="6">
        <v>0.94</v>
      </c>
      <c r="F1130" s="6">
        <f t="shared" si="119"/>
        <v>1.0444444444444444E-2</v>
      </c>
      <c r="G1130">
        <f t="shared" si="120"/>
        <v>0.40161387833795925</v>
      </c>
      <c r="H1130">
        <f t="shared" si="121"/>
        <v>-0.31870825274270037</v>
      </c>
      <c r="I1130">
        <f t="shared" si="122"/>
        <v>0.29665156389483388</v>
      </c>
      <c r="J1130">
        <f t="shared" si="123"/>
        <v>0.27523704579634334</v>
      </c>
      <c r="K1130">
        <f t="shared" si="124"/>
        <v>0.39116943389351483</v>
      </c>
      <c r="L1130">
        <f t="shared" si="125"/>
        <v>0.28620711945038946</v>
      </c>
    </row>
    <row r="1131" spans="1:12" x14ac:dyDescent="0.25">
      <c r="A1131" s="1">
        <v>41845</v>
      </c>
      <c r="B1131" s="6">
        <v>101.1534</v>
      </c>
      <c r="C1131" s="6">
        <v>12.404199999999999</v>
      </c>
      <c r="D1131" s="6">
        <v>9439.2900000000009</v>
      </c>
      <c r="E1131" s="6">
        <v>0.94</v>
      </c>
      <c r="F1131" s="6">
        <f t="shared" si="119"/>
        <v>1.0444444444444444E-2</v>
      </c>
      <c r="G1131">
        <f t="shared" si="120"/>
        <v>-1.5999322944684777</v>
      </c>
      <c r="H1131">
        <f t="shared" si="121"/>
        <v>-2.5562468577174471</v>
      </c>
      <c r="I1131">
        <f t="shared" si="122"/>
        <v>-0.92626218310287856</v>
      </c>
      <c r="J1131">
        <f t="shared" si="123"/>
        <v>-1.1331031973173056</v>
      </c>
      <c r="K1131">
        <f t="shared" si="124"/>
        <v>-1.6103767389129222</v>
      </c>
      <c r="L1131">
        <f t="shared" si="125"/>
        <v>-0.93670662754732303</v>
      </c>
    </row>
    <row r="1132" spans="1:12" x14ac:dyDescent="0.25">
      <c r="A1132" s="1">
        <v>41848</v>
      </c>
      <c r="B1132" s="6">
        <v>99.919799999999995</v>
      </c>
      <c r="C1132" s="6">
        <v>12.078900000000001</v>
      </c>
      <c r="D1132" s="6">
        <v>9420.18</v>
      </c>
      <c r="E1132" s="6">
        <v>0.94</v>
      </c>
      <c r="F1132" s="6">
        <f t="shared" si="119"/>
        <v>1.0444444444444444E-2</v>
      </c>
      <c r="G1132">
        <f t="shared" si="120"/>
        <v>-1.2195338960430493</v>
      </c>
      <c r="H1132">
        <f t="shared" si="121"/>
        <v>-2.6224988310410877</v>
      </c>
      <c r="I1132">
        <f t="shared" si="122"/>
        <v>-0.20245166744533308</v>
      </c>
      <c r="J1132">
        <f t="shared" si="123"/>
        <v>-0.86544493382226728</v>
      </c>
      <c r="K1132">
        <f t="shared" si="124"/>
        <v>-1.2299783404874938</v>
      </c>
      <c r="L1132">
        <f t="shared" si="125"/>
        <v>-0.21289611188977753</v>
      </c>
    </row>
    <row r="1133" spans="1:12" x14ac:dyDescent="0.25">
      <c r="A1133" s="1">
        <v>41849</v>
      </c>
      <c r="B1133" s="6">
        <v>101.9757</v>
      </c>
      <c r="C1133" s="6">
        <v>11.9162</v>
      </c>
      <c r="D1133" s="6">
        <v>9391.8799999999992</v>
      </c>
      <c r="E1133" s="6">
        <v>0.94</v>
      </c>
      <c r="F1133" s="6">
        <f t="shared" si="119"/>
        <v>1.0444444444444444E-2</v>
      </c>
      <c r="G1133">
        <f t="shared" si="120"/>
        <v>2.0575501552244986</v>
      </c>
      <c r="H1133">
        <f t="shared" si="121"/>
        <v>-1.3469769598225083</v>
      </c>
      <c r="I1133">
        <f t="shared" si="122"/>
        <v>-0.30041888796181271</v>
      </c>
      <c r="J1133">
        <f t="shared" si="123"/>
        <v>1.4403971257664951</v>
      </c>
      <c r="K1133">
        <f t="shared" si="124"/>
        <v>2.0471057107800541</v>
      </c>
      <c r="L1133">
        <f t="shared" si="125"/>
        <v>-0.31086333240625713</v>
      </c>
    </row>
    <row r="1134" spans="1:12" x14ac:dyDescent="0.25">
      <c r="A1134" s="1">
        <v>41850</v>
      </c>
      <c r="B1134" s="6">
        <v>102.3869</v>
      </c>
      <c r="C1134" s="6">
        <v>12.1196</v>
      </c>
      <c r="D1134" s="6">
        <v>9447.02</v>
      </c>
      <c r="E1134" s="6">
        <v>0.94</v>
      </c>
      <c r="F1134" s="6">
        <f t="shared" si="119"/>
        <v>1.0444444444444444E-2</v>
      </c>
      <c r="G1134">
        <f t="shared" si="120"/>
        <v>0.40323331931037865</v>
      </c>
      <c r="H1134">
        <f t="shared" si="121"/>
        <v>1.7069199912723876</v>
      </c>
      <c r="I1134">
        <f t="shared" si="122"/>
        <v>0.58710290165548584</v>
      </c>
      <c r="J1134">
        <f t="shared" si="123"/>
        <v>0.27637652682545566</v>
      </c>
      <c r="K1134">
        <f t="shared" si="124"/>
        <v>0.39278887486593422</v>
      </c>
      <c r="L1134">
        <f t="shared" si="125"/>
        <v>0.57665845721104136</v>
      </c>
    </row>
    <row r="1135" spans="1:12" x14ac:dyDescent="0.25">
      <c r="A1135" s="1">
        <v>41851</v>
      </c>
      <c r="B1135" s="6">
        <v>99.508600000000001</v>
      </c>
      <c r="C1135" s="6">
        <v>11.4282</v>
      </c>
      <c r="D1135" s="6">
        <v>9315.85</v>
      </c>
      <c r="E1135" s="6">
        <v>0.94</v>
      </c>
      <c r="F1135" s="6">
        <f t="shared" si="119"/>
        <v>1.0444444444444444E-2</v>
      </c>
      <c r="G1135">
        <f t="shared" si="120"/>
        <v>-2.8111994796209241</v>
      </c>
      <c r="H1135">
        <f t="shared" si="121"/>
        <v>-5.7048087395623606</v>
      </c>
      <c r="I1135">
        <f t="shared" si="122"/>
        <v>-1.3884801768176638</v>
      </c>
      <c r="J1135">
        <f t="shared" si="123"/>
        <v>-1.9853824728042724</v>
      </c>
      <c r="K1135">
        <f t="shared" si="124"/>
        <v>-2.8216439240653686</v>
      </c>
      <c r="L1135">
        <f t="shared" si="125"/>
        <v>-1.3989246212621083</v>
      </c>
    </row>
    <row r="1136" spans="1:12" x14ac:dyDescent="0.25">
      <c r="A1136" s="1">
        <v>41852</v>
      </c>
      <c r="B1136" s="6">
        <v>98.686199999999999</v>
      </c>
      <c r="C1136" s="6">
        <v>11.0215</v>
      </c>
      <c r="D1136" s="6">
        <v>9266.51</v>
      </c>
      <c r="E1136" s="6">
        <v>0.94</v>
      </c>
      <c r="F1136" s="6">
        <f t="shared" si="119"/>
        <v>1.0444444444444444E-2</v>
      </c>
      <c r="G1136">
        <f t="shared" si="120"/>
        <v>-0.82646123048661302</v>
      </c>
      <c r="H1136">
        <f t="shared" si="121"/>
        <v>-3.5587406590714261</v>
      </c>
      <c r="I1136">
        <f t="shared" si="122"/>
        <v>-0.52963497694789141</v>
      </c>
      <c r="J1136">
        <f t="shared" si="123"/>
        <v>-0.5888687244436509</v>
      </c>
      <c r="K1136">
        <f t="shared" si="124"/>
        <v>-0.8369056749310575</v>
      </c>
      <c r="L1136">
        <f t="shared" si="125"/>
        <v>-0.54007942139233589</v>
      </c>
    </row>
    <row r="1137" spans="1:12" x14ac:dyDescent="0.25">
      <c r="A1137" s="1">
        <v>41855</v>
      </c>
      <c r="B1137" s="6">
        <v>101.5645</v>
      </c>
      <c r="C1137" s="6">
        <v>11.062099999999999</v>
      </c>
      <c r="D1137" s="6">
        <v>9330.19</v>
      </c>
      <c r="E1137" s="6">
        <v>0.94</v>
      </c>
      <c r="F1137" s="6">
        <f t="shared" si="119"/>
        <v>1.0444444444444444E-2</v>
      </c>
      <c r="G1137">
        <f t="shared" si="120"/>
        <v>2.9166185343036775</v>
      </c>
      <c r="H1137">
        <f t="shared" si="121"/>
        <v>0.36837091140044032</v>
      </c>
      <c r="I1137">
        <f t="shared" si="122"/>
        <v>0.68720586283293594</v>
      </c>
      <c r="J1137">
        <f t="shared" si="123"/>
        <v>2.0448601085750462</v>
      </c>
      <c r="K1137">
        <f t="shared" si="124"/>
        <v>2.906174089859233</v>
      </c>
      <c r="L1137">
        <f t="shared" si="125"/>
        <v>0.67676141838849146</v>
      </c>
    </row>
    <row r="1138" spans="1:12" x14ac:dyDescent="0.25">
      <c r="A1138" s="1">
        <v>41856</v>
      </c>
      <c r="B1138" s="6">
        <v>98.275000000000006</v>
      </c>
      <c r="C1138" s="6">
        <v>10.736800000000001</v>
      </c>
      <c r="D1138" s="6">
        <v>9141.44</v>
      </c>
      <c r="E1138" s="6">
        <v>0.94</v>
      </c>
      <c r="F1138" s="6">
        <f t="shared" si="119"/>
        <v>1.0444444444444444E-2</v>
      </c>
      <c r="G1138">
        <f t="shared" si="120"/>
        <v>-3.238828527684368</v>
      </c>
      <c r="H1138">
        <f t="shared" si="121"/>
        <v>-2.9406713011091803</v>
      </c>
      <c r="I1138">
        <f t="shared" si="122"/>
        <v>-2.0230027469965775</v>
      </c>
      <c r="J1138">
        <f t="shared" si="123"/>
        <v>-2.2862734568317342</v>
      </c>
      <c r="K1138">
        <f t="shared" si="124"/>
        <v>-3.2492729721288125</v>
      </c>
      <c r="L1138">
        <f t="shared" si="125"/>
        <v>-2.0334471914410219</v>
      </c>
    </row>
    <row r="1139" spans="1:12" x14ac:dyDescent="0.25">
      <c r="A1139" s="1">
        <v>41857</v>
      </c>
      <c r="B1139" s="6">
        <v>99.097399999999993</v>
      </c>
      <c r="C1139" s="6">
        <v>10.8588</v>
      </c>
      <c r="D1139" s="6">
        <v>9143.9699999999993</v>
      </c>
      <c r="E1139" s="6">
        <v>0.94</v>
      </c>
      <c r="F1139" s="6">
        <f t="shared" si="119"/>
        <v>1.0444444444444444E-2</v>
      </c>
      <c r="G1139">
        <f t="shared" si="120"/>
        <v>0.83683541083692448</v>
      </c>
      <c r="H1139">
        <f t="shared" si="121"/>
        <v>1.1362789657998649</v>
      </c>
      <c r="I1139">
        <f t="shared" si="122"/>
        <v>2.7676164805532123E-2</v>
      </c>
      <c r="J1139">
        <f t="shared" si="123"/>
        <v>0.58147030047488169</v>
      </c>
      <c r="K1139">
        <f t="shared" si="124"/>
        <v>0.82639096639248</v>
      </c>
      <c r="L1139">
        <f t="shared" si="125"/>
        <v>1.723172036108768E-2</v>
      </c>
    </row>
    <row r="1140" spans="1:12" x14ac:dyDescent="0.25">
      <c r="A1140" s="1">
        <v>41858</v>
      </c>
      <c r="B1140" s="6">
        <v>99.919799999999995</v>
      </c>
      <c r="C1140" s="6">
        <v>10.818099999999999</v>
      </c>
      <c r="D1140" s="6">
        <v>9131.44</v>
      </c>
      <c r="E1140" s="6">
        <v>0.94</v>
      </c>
      <c r="F1140" s="6">
        <f t="shared" si="119"/>
        <v>1.0444444444444444E-2</v>
      </c>
      <c r="G1140">
        <f t="shared" si="120"/>
        <v>0.82989059248779673</v>
      </c>
      <c r="H1140">
        <f t="shared" si="121"/>
        <v>-0.37481121302539017</v>
      </c>
      <c r="I1140">
        <f t="shared" si="122"/>
        <v>-0.13703019585583545</v>
      </c>
      <c r="J1140">
        <f t="shared" si="123"/>
        <v>0.57658374462367357</v>
      </c>
      <c r="K1140">
        <f t="shared" si="124"/>
        <v>0.81944614804335225</v>
      </c>
      <c r="L1140">
        <f t="shared" si="125"/>
        <v>-0.1474746403002799</v>
      </c>
    </row>
    <row r="1141" spans="1:12" x14ac:dyDescent="0.25">
      <c r="A1141" s="1">
        <v>41859</v>
      </c>
      <c r="B1141" s="6">
        <v>99.097399999999993</v>
      </c>
      <c r="C1141" s="6">
        <v>10.6554</v>
      </c>
      <c r="D1141" s="6">
        <v>9085.9599999999991</v>
      </c>
      <c r="E1141" s="6">
        <v>0.94</v>
      </c>
      <c r="F1141" s="6">
        <f t="shared" si="119"/>
        <v>1.0444444444444444E-2</v>
      </c>
      <c r="G1141">
        <f t="shared" si="120"/>
        <v>-0.82306009419554671</v>
      </c>
      <c r="H1141">
        <f t="shared" si="121"/>
        <v>-1.5039609543265378</v>
      </c>
      <c r="I1141">
        <f t="shared" si="122"/>
        <v>-0.49805945174037591</v>
      </c>
      <c r="J1141">
        <f t="shared" si="123"/>
        <v>-0.5864755959832133</v>
      </c>
      <c r="K1141">
        <f t="shared" si="124"/>
        <v>-0.83350453863999119</v>
      </c>
      <c r="L1141">
        <f t="shared" si="125"/>
        <v>-0.50850389618482039</v>
      </c>
    </row>
    <row r="1142" spans="1:12" x14ac:dyDescent="0.25">
      <c r="A1142" s="1">
        <v>41862</v>
      </c>
      <c r="B1142" s="6">
        <v>99.097399999999993</v>
      </c>
      <c r="C1142" s="6">
        <v>10.7775</v>
      </c>
      <c r="D1142" s="6">
        <v>9172.91</v>
      </c>
      <c r="E1142" s="6">
        <v>0.94</v>
      </c>
      <c r="F1142" s="6">
        <f t="shared" si="119"/>
        <v>1.0444444444444444E-2</v>
      </c>
      <c r="G1142">
        <f t="shared" si="120"/>
        <v>0</v>
      </c>
      <c r="H1142">
        <f t="shared" si="121"/>
        <v>1.1458978546089273</v>
      </c>
      <c r="I1142">
        <f t="shared" si="122"/>
        <v>0.95697097499879746</v>
      </c>
      <c r="J1142">
        <f t="shared" si="123"/>
        <v>-7.3489843141871791E-3</v>
      </c>
      <c r="K1142">
        <f t="shared" si="124"/>
        <v>-1.0444444444444444E-2</v>
      </c>
      <c r="L1142">
        <f t="shared" si="125"/>
        <v>0.94652653055435299</v>
      </c>
    </row>
    <row r="1143" spans="1:12" x14ac:dyDescent="0.25">
      <c r="A1143" s="1">
        <v>41863</v>
      </c>
      <c r="B1143" s="6">
        <v>99.919799999999995</v>
      </c>
      <c r="C1143" s="6">
        <v>10.614800000000001</v>
      </c>
      <c r="D1143" s="6">
        <v>9163.1200000000008</v>
      </c>
      <c r="E1143" s="6">
        <v>0.94</v>
      </c>
      <c r="F1143" s="6">
        <f t="shared" si="119"/>
        <v>1.0444444444444444E-2</v>
      </c>
      <c r="G1143">
        <f t="shared" si="120"/>
        <v>0.82989059248779673</v>
      </c>
      <c r="H1143">
        <f t="shared" si="121"/>
        <v>-1.5096265367664039</v>
      </c>
      <c r="I1143">
        <f t="shared" si="122"/>
        <v>-0.106727309000078</v>
      </c>
      <c r="J1143">
        <f t="shared" si="123"/>
        <v>0.57658374462367357</v>
      </c>
      <c r="K1143">
        <f t="shared" si="124"/>
        <v>0.81944614804335225</v>
      </c>
      <c r="L1143">
        <f t="shared" si="125"/>
        <v>-0.11717175344452244</v>
      </c>
    </row>
    <row r="1144" spans="1:12" x14ac:dyDescent="0.25">
      <c r="A1144" s="1">
        <v>41864</v>
      </c>
      <c r="B1144" s="6">
        <v>100.7422</v>
      </c>
      <c r="C1144" s="6">
        <v>10.696099999999999</v>
      </c>
      <c r="D1144" s="6">
        <v>9231.31</v>
      </c>
      <c r="E1144" s="6">
        <v>0.94</v>
      </c>
      <c r="F1144" s="6">
        <f t="shared" si="119"/>
        <v>1.0444444444444444E-2</v>
      </c>
      <c r="G1144">
        <f t="shared" si="120"/>
        <v>0.82306009419554671</v>
      </c>
      <c r="H1144">
        <f t="shared" si="121"/>
        <v>0.76591174586425381</v>
      </c>
      <c r="I1144">
        <f t="shared" si="122"/>
        <v>0.74417883864883017</v>
      </c>
      <c r="J1144">
        <f t="shared" si="123"/>
        <v>0.57177762735483895</v>
      </c>
      <c r="K1144">
        <f t="shared" si="124"/>
        <v>0.81261564975110223</v>
      </c>
      <c r="L1144">
        <f t="shared" si="125"/>
        <v>0.73373439420438569</v>
      </c>
    </row>
    <row r="1145" spans="1:12" x14ac:dyDescent="0.25">
      <c r="A1145" s="1">
        <v>41865</v>
      </c>
      <c r="B1145" s="6">
        <v>101.9757</v>
      </c>
      <c r="C1145" s="6">
        <v>10.818099999999999</v>
      </c>
      <c r="D1145" s="6">
        <v>9230.61</v>
      </c>
      <c r="E1145" s="6">
        <v>0.94</v>
      </c>
      <c r="F1145" s="6">
        <f t="shared" si="119"/>
        <v>1.0444444444444444E-2</v>
      </c>
      <c r="G1145">
        <f t="shared" si="120"/>
        <v>1.2244124110849341</v>
      </c>
      <c r="H1145">
        <f t="shared" si="121"/>
        <v>1.1406026495638588</v>
      </c>
      <c r="I1145">
        <f t="shared" si="122"/>
        <v>-7.5828891024015948E-3</v>
      </c>
      <c r="J1145">
        <f t="shared" si="123"/>
        <v>0.85417961598829761</v>
      </c>
      <c r="K1145">
        <f t="shared" si="124"/>
        <v>1.2139679666404897</v>
      </c>
      <c r="L1145">
        <f t="shared" si="125"/>
        <v>-1.802733354684604E-2</v>
      </c>
    </row>
    <row r="1146" spans="1:12" x14ac:dyDescent="0.25">
      <c r="A1146" s="1">
        <v>41866</v>
      </c>
      <c r="B1146" s="6">
        <v>101.9757</v>
      </c>
      <c r="C1146" s="6">
        <v>10.736800000000001</v>
      </c>
      <c r="D1146" s="6">
        <v>9206.81</v>
      </c>
      <c r="E1146" s="6">
        <v>0.94</v>
      </c>
      <c r="F1146" s="6">
        <f t="shared" si="119"/>
        <v>1.0444444444444444E-2</v>
      </c>
      <c r="G1146">
        <f t="shared" si="120"/>
        <v>0</v>
      </c>
      <c r="H1146">
        <f t="shared" si="121"/>
        <v>-0.75151828879376992</v>
      </c>
      <c r="I1146">
        <f t="shared" si="122"/>
        <v>-0.25783778103506799</v>
      </c>
      <c r="J1146">
        <f t="shared" si="123"/>
        <v>-7.3489843141871791E-3</v>
      </c>
      <c r="K1146">
        <f t="shared" si="124"/>
        <v>-1.0444444444444444E-2</v>
      </c>
      <c r="L1146">
        <f t="shared" si="125"/>
        <v>-0.26828222547951242</v>
      </c>
    </row>
    <row r="1147" spans="1:12" x14ac:dyDescent="0.25">
      <c r="A1147" s="1">
        <v>41869</v>
      </c>
      <c r="B1147" s="6">
        <v>101.1534</v>
      </c>
      <c r="C1147" s="6">
        <v>10.6554</v>
      </c>
      <c r="D1147" s="6">
        <v>9141.31</v>
      </c>
      <c r="E1147" s="6">
        <v>0.94</v>
      </c>
      <c r="F1147" s="6">
        <f t="shared" si="119"/>
        <v>1.0444444444444444E-2</v>
      </c>
      <c r="G1147">
        <f t="shared" si="120"/>
        <v>-0.80636857604311463</v>
      </c>
      <c r="H1147">
        <f t="shared" si="121"/>
        <v>-0.75814022800089742</v>
      </c>
      <c r="I1147">
        <f t="shared" si="122"/>
        <v>-0.7114299089478332</v>
      </c>
      <c r="J1147">
        <f t="shared" si="123"/>
        <v>-0.57473100719874803</v>
      </c>
      <c r="K1147">
        <f t="shared" si="124"/>
        <v>-0.8168130204875591</v>
      </c>
      <c r="L1147">
        <f t="shared" si="125"/>
        <v>-0.72187435339227768</v>
      </c>
    </row>
    <row r="1148" spans="1:12" x14ac:dyDescent="0.25">
      <c r="A1148" s="1">
        <v>41870</v>
      </c>
      <c r="B1148" s="6">
        <v>101.9757</v>
      </c>
      <c r="C1148" s="6">
        <v>10.736800000000001</v>
      </c>
      <c r="D1148" s="6">
        <v>9243.7800000000007</v>
      </c>
      <c r="E1148" s="6">
        <v>0.94</v>
      </c>
      <c r="F1148" s="6">
        <f t="shared" si="119"/>
        <v>1.0444444444444444E-2</v>
      </c>
      <c r="G1148">
        <f t="shared" si="120"/>
        <v>0.81292373761040004</v>
      </c>
      <c r="H1148">
        <f t="shared" si="121"/>
        <v>0.76393190307262382</v>
      </c>
      <c r="I1148">
        <f t="shared" si="122"/>
        <v>1.1209553116566573</v>
      </c>
      <c r="J1148">
        <f t="shared" si="123"/>
        <v>0.56464542171733623</v>
      </c>
      <c r="K1148">
        <f t="shared" si="124"/>
        <v>0.80247929316595557</v>
      </c>
      <c r="L1148">
        <f t="shared" si="125"/>
        <v>1.1105108672122128</v>
      </c>
    </row>
    <row r="1149" spans="1:12" x14ac:dyDescent="0.25">
      <c r="A1149" s="1">
        <v>41871</v>
      </c>
      <c r="B1149" s="6">
        <v>103.2093</v>
      </c>
      <c r="C1149" s="6">
        <v>10.7775</v>
      </c>
      <c r="D1149" s="6">
        <v>9288.0499999999993</v>
      </c>
      <c r="E1149" s="6">
        <v>0.94</v>
      </c>
      <c r="F1149" s="6">
        <f t="shared" si="119"/>
        <v>1.0444444444444444E-2</v>
      </c>
      <c r="G1149">
        <f t="shared" si="120"/>
        <v>1.2096999579311498</v>
      </c>
      <c r="H1149">
        <f t="shared" si="121"/>
        <v>0.37907011400044044</v>
      </c>
      <c r="I1149">
        <f t="shared" si="122"/>
        <v>0.47891663367149168</v>
      </c>
      <c r="J1149">
        <f t="shared" si="123"/>
        <v>0.84382754910475111</v>
      </c>
      <c r="K1149">
        <f t="shared" si="124"/>
        <v>1.1992555134867053</v>
      </c>
      <c r="L1149">
        <f t="shared" si="125"/>
        <v>0.46847218922704725</v>
      </c>
    </row>
    <row r="1150" spans="1:12" x14ac:dyDescent="0.25">
      <c r="A1150" s="1">
        <v>41872</v>
      </c>
      <c r="B1150" s="6">
        <v>102.3869</v>
      </c>
      <c r="C1150" s="6">
        <v>10.736800000000001</v>
      </c>
      <c r="D1150" s="6">
        <v>9253.3799999999992</v>
      </c>
      <c r="E1150" s="6">
        <v>0.94</v>
      </c>
      <c r="F1150" s="6">
        <f t="shared" si="119"/>
        <v>1.0444444444444444E-2</v>
      </c>
      <c r="G1150">
        <f t="shared" si="120"/>
        <v>-0.7968274176842608</v>
      </c>
      <c r="H1150">
        <f t="shared" si="121"/>
        <v>-0.37763859893295565</v>
      </c>
      <c r="I1150">
        <f t="shared" si="122"/>
        <v>-0.37327533766506504</v>
      </c>
      <c r="J1150">
        <f t="shared" si="123"/>
        <v>-0.56801759860230616</v>
      </c>
      <c r="K1150">
        <f t="shared" si="124"/>
        <v>-0.80727186212870528</v>
      </c>
      <c r="L1150">
        <f t="shared" si="125"/>
        <v>-0.38371978210950947</v>
      </c>
    </row>
    <row r="1151" spans="1:12" x14ac:dyDescent="0.25">
      <c r="A1151" s="1">
        <v>41873</v>
      </c>
      <c r="B1151" s="6">
        <v>103.2093</v>
      </c>
      <c r="C1151" s="6">
        <v>10.9808</v>
      </c>
      <c r="D1151" s="6">
        <v>9380.1</v>
      </c>
      <c r="E1151" s="6">
        <v>0.94</v>
      </c>
      <c r="F1151" s="6">
        <f t="shared" si="119"/>
        <v>1.0444444444444444E-2</v>
      </c>
      <c r="G1151">
        <f t="shared" si="120"/>
        <v>0.80322775667590463</v>
      </c>
      <c r="H1151">
        <f t="shared" si="121"/>
        <v>2.2725579315997297</v>
      </c>
      <c r="I1151">
        <f t="shared" si="122"/>
        <v>1.3694455431420862</v>
      </c>
      <c r="J1151">
        <f t="shared" si="123"/>
        <v>0.55782307590686409</v>
      </c>
      <c r="K1151">
        <f t="shared" si="124"/>
        <v>0.79278331223146015</v>
      </c>
      <c r="L1151">
        <f t="shared" si="125"/>
        <v>1.3590010986976417</v>
      </c>
    </row>
    <row r="1152" spans="1:12" x14ac:dyDescent="0.25">
      <c r="A1152" s="1">
        <v>41876</v>
      </c>
      <c r="B1152" s="6">
        <v>102.79810000000001</v>
      </c>
      <c r="C1152" s="6">
        <v>10.940099999999999</v>
      </c>
      <c r="D1152" s="6">
        <v>9390.6200000000008</v>
      </c>
      <c r="E1152" s="6">
        <v>0.94</v>
      </c>
      <c r="F1152" s="6">
        <f t="shared" si="119"/>
        <v>1.0444444444444444E-2</v>
      </c>
      <c r="G1152">
        <f t="shared" si="120"/>
        <v>-0.39841370884212352</v>
      </c>
      <c r="H1152">
        <f t="shared" si="121"/>
        <v>-0.37064694739910631</v>
      </c>
      <c r="I1152">
        <f t="shared" si="122"/>
        <v>0.11215232246991436</v>
      </c>
      <c r="J1152">
        <f t="shared" si="123"/>
        <v>-0.28768329145824179</v>
      </c>
      <c r="K1152">
        <f t="shared" si="124"/>
        <v>-0.40885815328656794</v>
      </c>
      <c r="L1152">
        <f t="shared" si="125"/>
        <v>0.10170787802546991</v>
      </c>
    </row>
    <row r="1153" spans="1:12" x14ac:dyDescent="0.25">
      <c r="A1153" s="1">
        <v>41877</v>
      </c>
      <c r="B1153" s="6">
        <v>102.3869</v>
      </c>
      <c r="C1153" s="6">
        <v>11.0215</v>
      </c>
      <c r="D1153" s="6">
        <v>9393.9599999999991</v>
      </c>
      <c r="E1153" s="6">
        <v>0.94</v>
      </c>
      <c r="F1153" s="6">
        <f t="shared" si="119"/>
        <v>1.0444444444444444E-2</v>
      </c>
      <c r="G1153">
        <f t="shared" si="120"/>
        <v>-0.40000739313276024</v>
      </c>
      <c r="H1153">
        <f t="shared" si="121"/>
        <v>0.74405169971024365</v>
      </c>
      <c r="I1153">
        <f t="shared" si="122"/>
        <v>3.5567406624890864E-2</v>
      </c>
      <c r="J1153">
        <f t="shared" si="123"/>
        <v>-0.28880464941231521</v>
      </c>
      <c r="K1153">
        <f t="shared" si="124"/>
        <v>-0.41045183757720466</v>
      </c>
      <c r="L1153">
        <f t="shared" si="125"/>
        <v>2.512296218044642E-2</v>
      </c>
    </row>
    <row r="1154" spans="1:12" x14ac:dyDescent="0.25">
      <c r="A1154" s="1">
        <v>41878</v>
      </c>
      <c r="B1154" s="6">
        <v>103.2093</v>
      </c>
      <c r="C1154" s="6">
        <v>11.062099999999999</v>
      </c>
      <c r="D1154" s="6">
        <v>9485.59</v>
      </c>
      <c r="E1154" s="6">
        <v>0.94</v>
      </c>
      <c r="F1154" s="6">
        <f t="shared" si="119"/>
        <v>1.0444444444444444E-2</v>
      </c>
      <c r="G1154">
        <f t="shared" si="120"/>
        <v>0.80322775667590463</v>
      </c>
      <c r="H1154">
        <f t="shared" si="121"/>
        <v>0.36837091140044032</v>
      </c>
      <c r="I1154">
        <f t="shared" si="122"/>
        <v>0.97541398941448576</v>
      </c>
      <c r="J1154">
        <f t="shared" si="123"/>
        <v>0.55782307590686409</v>
      </c>
      <c r="K1154">
        <f t="shared" si="124"/>
        <v>0.79278331223146015</v>
      </c>
      <c r="L1154">
        <f t="shared" si="125"/>
        <v>0.96496954497004128</v>
      </c>
    </row>
    <row r="1155" spans="1:12" x14ac:dyDescent="0.25">
      <c r="A1155" s="1">
        <v>41879</v>
      </c>
      <c r="B1155" s="6">
        <v>102.79810000000001</v>
      </c>
      <c r="C1155" s="6">
        <v>11.1028</v>
      </c>
      <c r="D1155" s="6">
        <v>9478.3700000000008</v>
      </c>
      <c r="E1155" s="6">
        <v>0.94</v>
      </c>
      <c r="F1155" s="6">
        <f t="shared" ref="F1155:F1218" si="126">E1155/90</f>
        <v>1.0444444444444444E-2</v>
      </c>
      <c r="G1155">
        <f t="shared" si="120"/>
        <v>-0.39841370884212352</v>
      </c>
      <c r="H1155">
        <f t="shared" si="121"/>
        <v>0.3679229079469637</v>
      </c>
      <c r="I1155">
        <f t="shared" si="122"/>
        <v>-7.6115455127191298E-2</v>
      </c>
      <c r="J1155">
        <f t="shared" si="123"/>
        <v>-0.28768329145824179</v>
      </c>
      <c r="K1155">
        <f t="shared" si="124"/>
        <v>-0.40885815328656794</v>
      </c>
      <c r="L1155">
        <f t="shared" si="125"/>
        <v>-8.6559899571635734E-2</v>
      </c>
    </row>
    <row r="1156" spans="1:12" x14ac:dyDescent="0.25">
      <c r="A1156" s="1">
        <v>41880</v>
      </c>
      <c r="B1156" s="6">
        <v>101.9757</v>
      </c>
      <c r="C1156" s="6">
        <v>11.1028</v>
      </c>
      <c r="D1156" s="6">
        <v>9436.27</v>
      </c>
      <c r="E1156" s="6">
        <v>0.94</v>
      </c>
      <c r="F1156" s="6">
        <f t="shared" si="126"/>
        <v>1.0444444444444444E-2</v>
      </c>
      <c r="G1156">
        <f t="shared" ref="G1156:G1219" si="127">100*(B1156-B1155)/B1155</f>
        <v>-0.80001478626550659</v>
      </c>
      <c r="H1156">
        <f t="shared" ref="H1156:H1219" si="128">100*(C1156-C1155)/C1155</f>
        <v>0</v>
      </c>
      <c r="I1156">
        <f t="shared" ref="I1156:I1219" si="129">100*(D1156-D1155)/D1155</f>
        <v>-0.44416919786841369</v>
      </c>
      <c r="J1156">
        <f t="shared" ref="J1156:J1219" si="130">(G1156-F1156)/$N$3</f>
        <v>-0.57026031451043357</v>
      </c>
      <c r="K1156">
        <f t="shared" ref="K1156:K1219" si="131">G1156-F1156</f>
        <v>-0.81045923070995107</v>
      </c>
      <c r="L1156">
        <f t="shared" ref="L1156:L1219" si="132">I1156-F1156</f>
        <v>-0.45461364231285811</v>
      </c>
    </row>
    <row r="1157" spans="1:12" x14ac:dyDescent="0.25">
      <c r="A1157" s="1">
        <v>41883</v>
      </c>
      <c r="B1157" s="6">
        <v>105.6765</v>
      </c>
      <c r="C1157" s="6">
        <v>11.184200000000001</v>
      </c>
      <c r="D1157" s="6">
        <v>9513.06</v>
      </c>
      <c r="E1157" s="6">
        <v>0.94</v>
      </c>
      <c r="F1157" s="6">
        <f t="shared" si="126"/>
        <v>1.0444444444444444E-2</v>
      </c>
      <c r="G1157">
        <f t="shared" si="127"/>
        <v>3.6290998737934634</v>
      </c>
      <c r="H1157">
        <f t="shared" si="128"/>
        <v>0.73314839499946283</v>
      </c>
      <c r="I1157">
        <f t="shared" si="129"/>
        <v>0.81377493437554294</v>
      </c>
      <c r="J1157">
        <f t="shared" si="130"/>
        <v>2.5461806159426374</v>
      </c>
      <c r="K1157">
        <f t="shared" si="131"/>
        <v>3.618655429349019</v>
      </c>
      <c r="L1157">
        <f t="shared" si="132"/>
        <v>0.80333048993109846</v>
      </c>
    </row>
    <row r="1158" spans="1:12" x14ac:dyDescent="0.25">
      <c r="A1158" s="1">
        <v>41884</v>
      </c>
      <c r="B1158" s="6">
        <v>103.62050000000001</v>
      </c>
      <c r="C1158" s="6">
        <v>10.8995</v>
      </c>
      <c r="D1158" s="6">
        <v>9399.7199999999993</v>
      </c>
      <c r="E1158" s="6">
        <v>0.94</v>
      </c>
      <c r="F1158" s="6">
        <f t="shared" si="126"/>
        <v>1.0444444444444444E-2</v>
      </c>
      <c r="G1158">
        <f t="shared" si="127"/>
        <v>-1.945560271205043</v>
      </c>
      <c r="H1158">
        <f t="shared" si="128"/>
        <v>-2.5455553369932655</v>
      </c>
      <c r="I1158">
        <f t="shared" si="129"/>
        <v>-1.1914147498281327</v>
      </c>
      <c r="J1158">
        <f t="shared" si="130"/>
        <v>-1.3762960825963633</v>
      </c>
      <c r="K1158">
        <f t="shared" si="131"/>
        <v>-1.9560047156494875</v>
      </c>
      <c r="L1158">
        <f t="shared" si="132"/>
        <v>-1.2018591942725771</v>
      </c>
    </row>
    <row r="1159" spans="1:12" x14ac:dyDescent="0.25">
      <c r="A1159" s="1">
        <v>41885</v>
      </c>
      <c r="B1159" s="6">
        <v>105.2653</v>
      </c>
      <c r="C1159" s="6">
        <v>10.940099999999999</v>
      </c>
      <c r="D1159" s="6">
        <v>9450.35</v>
      </c>
      <c r="E1159" s="6">
        <v>0.94</v>
      </c>
      <c r="F1159" s="6">
        <f t="shared" si="126"/>
        <v>1.0444444444444444E-2</v>
      </c>
      <c r="G1159">
        <f t="shared" si="127"/>
        <v>1.5873306922857826</v>
      </c>
      <c r="H1159">
        <f t="shared" si="128"/>
        <v>0.37249415110784462</v>
      </c>
      <c r="I1159">
        <f t="shared" si="129"/>
        <v>0.53863306566579672</v>
      </c>
      <c r="J1159">
        <f t="shared" si="130"/>
        <v>1.1095384117637366</v>
      </c>
      <c r="K1159">
        <f t="shared" si="131"/>
        <v>1.5768862478413381</v>
      </c>
      <c r="L1159">
        <f t="shared" si="132"/>
        <v>0.52818862122135224</v>
      </c>
    </row>
    <row r="1160" spans="1:12" x14ac:dyDescent="0.25">
      <c r="A1160" s="1">
        <v>41886</v>
      </c>
      <c r="B1160" s="6">
        <v>104.8541</v>
      </c>
      <c r="C1160" s="6">
        <v>10.8995</v>
      </c>
      <c r="D1160" s="6">
        <v>9428.89</v>
      </c>
      <c r="E1160" s="6">
        <v>0.94</v>
      </c>
      <c r="F1160" s="6">
        <f t="shared" si="126"/>
        <v>1.0444444444444444E-2</v>
      </c>
      <c r="G1160">
        <f t="shared" si="127"/>
        <v>-0.39063205063776363</v>
      </c>
      <c r="H1160">
        <f t="shared" si="128"/>
        <v>-0.37111178142795337</v>
      </c>
      <c r="I1160">
        <f t="shared" si="129"/>
        <v>-0.22708153666267328</v>
      </c>
      <c r="J1160">
        <f t="shared" si="130"/>
        <v>-0.28220791319505178</v>
      </c>
      <c r="K1160">
        <f t="shared" si="131"/>
        <v>-0.40107649508220805</v>
      </c>
      <c r="L1160">
        <f t="shared" si="132"/>
        <v>-0.23752598110711773</v>
      </c>
    </row>
    <row r="1161" spans="1:12" x14ac:dyDescent="0.25">
      <c r="A1161" s="1">
        <v>41887</v>
      </c>
      <c r="B1161" s="6">
        <v>104.44289999999999</v>
      </c>
      <c r="C1161" s="6">
        <v>10.818099999999999</v>
      </c>
      <c r="D1161" s="6">
        <v>9407.94</v>
      </c>
      <c r="E1161" s="6">
        <v>0.94</v>
      </c>
      <c r="F1161" s="6">
        <f t="shared" si="126"/>
        <v>1.0444444444444444E-2</v>
      </c>
      <c r="G1161">
        <f t="shared" si="127"/>
        <v>-0.39216396879092758</v>
      </c>
      <c r="H1161">
        <f t="shared" si="128"/>
        <v>-0.74682324877288286</v>
      </c>
      <c r="I1161">
        <f t="shared" si="129"/>
        <v>-0.22218946238633508</v>
      </c>
      <c r="J1161">
        <f t="shared" si="130"/>
        <v>-0.28328581087913668</v>
      </c>
      <c r="K1161">
        <f t="shared" si="131"/>
        <v>-0.402608413235372</v>
      </c>
      <c r="L1161">
        <f t="shared" si="132"/>
        <v>-0.23263390683077953</v>
      </c>
    </row>
    <row r="1162" spans="1:12" x14ac:dyDescent="0.25">
      <c r="A1162" s="1">
        <v>41891</v>
      </c>
      <c r="B1162" s="6">
        <v>104.44289999999999</v>
      </c>
      <c r="C1162" s="6">
        <v>10.8588</v>
      </c>
      <c r="D1162" s="6">
        <v>9434.77</v>
      </c>
      <c r="E1162" s="6">
        <v>0.94</v>
      </c>
      <c r="F1162" s="6">
        <f t="shared" si="126"/>
        <v>1.0444444444444444E-2</v>
      </c>
      <c r="G1162">
        <f t="shared" si="127"/>
        <v>0</v>
      </c>
      <c r="H1162">
        <f t="shared" si="128"/>
        <v>0.37622133276639219</v>
      </c>
      <c r="I1162">
        <f t="shared" si="129"/>
        <v>0.2851846419088549</v>
      </c>
      <c r="J1162">
        <f t="shared" si="130"/>
        <v>-7.3489843141871791E-3</v>
      </c>
      <c r="K1162">
        <f t="shared" si="131"/>
        <v>-1.0444444444444444E-2</v>
      </c>
      <c r="L1162">
        <f t="shared" si="132"/>
        <v>0.27474019746441047</v>
      </c>
    </row>
    <row r="1163" spans="1:12" x14ac:dyDescent="0.25">
      <c r="A1163" s="1">
        <v>41892</v>
      </c>
      <c r="B1163" s="6">
        <v>102.79810000000001</v>
      </c>
      <c r="C1163" s="6">
        <v>10.7775</v>
      </c>
      <c r="D1163" s="6">
        <v>9357.61</v>
      </c>
      <c r="E1163" s="6">
        <v>0.94</v>
      </c>
      <c r="F1163" s="6">
        <f t="shared" si="126"/>
        <v>1.0444444444444444E-2</v>
      </c>
      <c r="G1163">
        <f t="shared" si="127"/>
        <v>-1.5748317980446631</v>
      </c>
      <c r="H1163">
        <f t="shared" si="128"/>
        <v>-0.74870151397945073</v>
      </c>
      <c r="I1163">
        <f t="shared" si="129"/>
        <v>-0.81782597773978438</v>
      </c>
      <c r="J1163">
        <f t="shared" si="130"/>
        <v>-1.1154418314612169</v>
      </c>
      <c r="K1163">
        <f t="shared" si="131"/>
        <v>-1.5852762424891076</v>
      </c>
      <c r="L1163">
        <f t="shared" si="132"/>
        <v>-0.82827042218422886</v>
      </c>
    </row>
    <row r="1164" spans="1:12" x14ac:dyDescent="0.25">
      <c r="A1164" s="1">
        <v>41893</v>
      </c>
      <c r="B1164" s="6">
        <v>102.79810000000001</v>
      </c>
      <c r="C1164" s="6">
        <v>10.736800000000001</v>
      </c>
      <c r="D1164" s="6">
        <v>9322.9500000000007</v>
      </c>
      <c r="E1164" s="6">
        <v>0.94</v>
      </c>
      <c r="F1164" s="6">
        <f t="shared" si="126"/>
        <v>1.0444444444444444E-2</v>
      </c>
      <c r="G1164">
        <f t="shared" si="127"/>
        <v>0</v>
      </c>
      <c r="H1164">
        <f t="shared" si="128"/>
        <v>-0.37763859893295565</v>
      </c>
      <c r="I1164">
        <f t="shared" si="129"/>
        <v>-0.37039372232866996</v>
      </c>
      <c r="J1164">
        <f t="shared" si="130"/>
        <v>-7.3489843141871791E-3</v>
      </c>
      <c r="K1164">
        <f t="shared" si="131"/>
        <v>-1.0444444444444444E-2</v>
      </c>
      <c r="L1164">
        <f t="shared" si="132"/>
        <v>-0.38083816677311438</v>
      </c>
    </row>
    <row r="1165" spans="1:12" x14ac:dyDescent="0.25">
      <c r="A1165" s="1">
        <v>41894</v>
      </c>
      <c r="B1165" s="6">
        <v>101.1534</v>
      </c>
      <c r="C1165" s="6">
        <v>10.5334</v>
      </c>
      <c r="D1165" s="6">
        <v>9223.18</v>
      </c>
      <c r="E1165" s="6">
        <v>0.94</v>
      </c>
      <c r="F1165" s="6">
        <f t="shared" si="126"/>
        <v>1.0444444444444444E-2</v>
      </c>
      <c r="G1165">
        <f t="shared" si="127"/>
        <v>-1.5999322944684777</v>
      </c>
      <c r="H1165">
        <f t="shared" si="128"/>
        <v>-1.8944191938007622</v>
      </c>
      <c r="I1165">
        <f t="shared" si="129"/>
        <v>-1.0701548329659649</v>
      </c>
      <c r="J1165">
        <f t="shared" si="130"/>
        <v>-1.1331031973173056</v>
      </c>
      <c r="K1165">
        <f t="shared" si="131"/>
        <v>-1.6103767389129222</v>
      </c>
      <c r="L1165">
        <f t="shared" si="132"/>
        <v>-1.0805992774104094</v>
      </c>
    </row>
    <row r="1166" spans="1:12" x14ac:dyDescent="0.25">
      <c r="A1166" s="1">
        <v>41897</v>
      </c>
      <c r="B1166" s="6">
        <v>101.5645</v>
      </c>
      <c r="C1166" s="6">
        <v>10.492800000000001</v>
      </c>
      <c r="D1166" s="6">
        <v>9217.4599999999991</v>
      </c>
      <c r="E1166" s="6">
        <v>0.94</v>
      </c>
      <c r="F1166" s="6">
        <f t="shared" si="126"/>
        <v>1.0444444444444444E-2</v>
      </c>
      <c r="G1166">
        <f t="shared" si="127"/>
        <v>0.40641243892937901</v>
      </c>
      <c r="H1166">
        <f t="shared" si="128"/>
        <v>-0.38544059847722029</v>
      </c>
      <c r="I1166">
        <f t="shared" si="129"/>
        <v>-6.2017655515789173E-2</v>
      </c>
      <c r="J1166">
        <f t="shared" si="130"/>
        <v>0.27861343854797299</v>
      </c>
      <c r="K1166">
        <f t="shared" si="131"/>
        <v>0.39596799448493458</v>
      </c>
      <c r="L1166">
        <f t="shared" si="132"/>
        <v>-7.2462099960233617E-2</v>
      </c>
    </row>
    <row r="1167" spans="1:12" x14ac:dyDescent="0.25">
      <c r="A1167" s="1">
        <v>41898</v>
      </c>
      <c r="B1167" s="6">
        <v>100.7422</v>
      </c>
      <c r="C1167" s="6">
        <v>10.248799999999999</v>
      </c>
      <c r="D1167" s="6">
        <v>9133.4</v>
      </c>
      <c r="E1167" s="6">
        <v>0.94</v>
      </c>
      <c r="F1167" s="6">
        <f t="shared" si="126"/>
        <v>1.0444444444444444E-2</v>
      </c>
      <c r="G1167">
        <f t="shared" si="127"/>
        <v>-0.80963328722141936</v>
      </c>
      <c r="H1167">
        <f t="shared" si="128"/>
        <v>-2.3254040866117864</v>
      </c>
      <c r="I1167">
        <f t="shared" si="129"/>
        <v>-0.91196490139365394</v>
      </c>
      <c r="J1167">
        <f t="shared" si="130"/>
        <v>-0.57702814338127373</v>
      </c>
      <c r="K1167">
        <f t="shared" si="131"/>
        <v>-0.82007773166586384</v>
      </c>
      <c r="L1167">
        <f t="shared" si="132"/>
        <v>-0.92240934583809842</v>
      </c>
    </row>
    <row r="1168" spans="1:12" x14ac:dyDescent="0.25">
      <c r="A1168" s="1">
        <v>41899</v>
      </c>
      <c r="B1168" s="6">
        <v>102.3869</v>
      </c>
      <c r="C1168" s="6">
        <v>10.492800000000001</v>
      </c>
      <c r="D1168" s="6">
        <v>9195.17</v>
      </c>
      <c r="E1168" s="6">
        <v>0.94</v>
      </c>
      <c r="F1168" s="6">
        <f t="shared" si="126"/>
        <v>1.0444444444444444E-2</v>
      </c>
      <c r="G1168">
        <f t="shared" si="127"/>
        <v>1.6325829692025788</v>
      </c>
      <c r="H1168">
        <f t="shared" si="128"/>
        <v>2.3807665287643585</v>
      </c>
      <c r="I1168">
        <f t="shared" si="129"/>
        <v>0.6763089320515957</v>
      </c>
      <c r="J1168">
        <f t="shared" si="130"/>
        <v>1.1413790974997484</v>
      </c>
      <c r="K1168">
        <f t="shared" si="131"/>
        <v>1.6221385247581344</v>
      </c>
      <c r="L1168">
        <f t="shared" si="132"/>
        <v>0.66586448760715122</v>
      </c>
    </row>
    <row r="1169" spans="1:12" x14ac:dyDescent="0.25">
      <c r="A1169" s="1">
        <v>41900</v>
      </c>
      <c r="B1169" s="6">
        <v>102.79810000000001</v>
      </c>
      <c r="C1169" s="6">
        <v>10.4521</v>
      </c>
      <c r="D1169" s="6">
        <v>9237.0300000000007</v>
      </c>
      <c r="E1169" s="6">
        <v>0.94</v>
      </c>
      <c r="F1169" s="6">
        <f t="shared" si="126"/>
        <v>1.0444444444444444E-2</v>
      </c>
      <c r="G1169">
        <f t="shared" si="127"/>
        <v>0.40161387833795925</v>
      </c>
      <c r="H1169">
        <f t="shared" si="128"/>
        <v>-0.38788502592254753</v>
      </c>
      <c r="I1169">
        <f t="shared" si="129"/>
        <v>0.45523900047525584</v>
      </c>
      <c r="J1169">
        <f t="shared" si="130"/>
        <v>0.27523704579634334</v>
      </c>
      <c r="K1169">
        <f t="shared" si="131"/>
        <v>0.39116943389351483</v>
      </c>
      <c r="L1169">
        <f t="shared" si="132"/>
        <v>0.44479455603081142</v>
      </c>
    </row>
    <row r="1170" spans="1:12" x14ac:dyDescent="0.25">
      <c r="A1170" s="1">
        <v>41901</v>
      </c>
      <c r="B1170" s="6">
        <v>102.79810000000001</v>
      </c>
      <c r="C1170" s="6">
        <v>10.5334</v>
      </c>
      <c r="D1170" s="6">
        <v>9240.4500000000007</v>
      </c>
      <c r="E1170" s="6">
        <v>0.94</v>
      </c>
      <c r="F1170" s="6">
        <f t="shared" si="126"/>
        <v>1.0444444444444444E-2</v>
      </c>
      <c r="G1170">
        <f t="shared" si="127"/>
        <v>0</v>
      </c>
      <c r="H1170">
        <f t="shared" si="128"/>
        <v>0.77783411945925318</v>
      </c>
      <c r="I1170">
        <f t="shared" si="129"/>
        <v>3.702488786980309E-2</v>
      </c>
      <c r="J1170">
        <f t="shared" si="130"/>
        <v>-7.3489843141871791E-3</v>
      </c>
      <c r="K1170">
        <f t="shared" si="131"/>
        <v>-1.0444444444444444E-2</v>
      </c>
      <c r="L1170">
        <f t="shared" si="132"/>
        <v>2.6580443425358646E-2</v>
      </c>
    </row>
    <row r="1171" spans="1:12" x14ac:dyDescent="0.25">
      <c r="A1171" s="1">
        <v>41904</v>
      </c>
      <c r="B1171" s="6">
        <v>100.331</v>
      </c>
      <c r="C1171" s="6">
        <v>10.370799999999999</v>
      </c>
      <c r="D1171" s="6">
        <v>9134.65</v>
      </c>
      <c r="E1171" s="6">
        <v>0.94</v>
      </c>
      <c r="F1171" s="6">
        <f t="shared" si="126"/>
        <v>1.0444444444444444E-2</v>
      </c>
      <c r="G1171">
        <f t="shared" si="127"/>
        <v>-2.3999470807339844</v>
      </c>
      <c r="H1171">
        <f t="shared" si="128"/>
        <v>-1.5436611160688969</v>
      </c>
      <c r="I1171">
        <f t="shared" si="129"/>
        <v>-1.144965883696152</v>
      </c>
      <c r="J1171">
        <f t="shared" si="130"/>
        <v>-1.6960145275135519</v>
      </c>
      <c r="K1171">
        <f t="shared" si="131"/>
        <v>-2.4103915251784289</v>
      </c>
      <c r="L1171">
        <f t="shared" si="132"/>
        <v>-1.1554103281405965</v>
      </c>
    </row>
    <row r="1172" spans="1:12" x14ac:dyDescent="0.25">
      <c r="A1172" s="1">
        <v>41905</v>
      </c>
      <c r="B1172" s="6">
        <v>100.7422</v>
      </c>
      <c r="C1172" s="6">
        <v>10.370799999999999</v>
      </c>
      <c r="D1172" s="6">
        <v>9084.9</v>
      </c>
      <c r="E1172" s="6">
        <v>0.94</v>
      </c>
      <c r="F1172" s="6">
        <f t="shared" si="126"/>
        <v>1.0444444444444444E-2</v>
      </c>
      <c r="G1172">
        <f t="shared" si="127"/>
        <v>0.40984341828546889</v>
      </c>
      <c r="H1172">
        <f t="shared" si="128"/>
        <v>0</v>
      </c>
      <c r="I1172">
        <f t="shared" si="129"/>
        <v>-0.54462951508815338</v>
      </c>
      <c r="J1172">
        <f t="shared" si="130"/>
        <v>0.28102756536958828</v>
      </c>
      <c r="K1172">
        <f t="shared" si="131"/>
        <v>0.39939897384102446</v>
      </c>
      <c r="L1172">
        <f t="shared" si="132"/>
        <v>-0.55507395953259786</v>
      </c>
    </row>
    <row r="1173" spans="1:12" x14ac:dyDescent="0.25">
      <c r="A1173" s="1">
        <v>41906</v>
      </c>
      <c r="B1173" s="6">
        <v>101.1534</v>
      </c>
      <c r="C1173" s="6">
        <v>10.4114</v>
      </c>
      <c r="D1173" s="6">
        <v>9098.49</v>
      </c>
      <c r="E1173" s="6">
        <v>0.94</v>
      </c>
      <c r="F1173" s="6">
        <f t="shared" si="126"/>
        <v>1.0444444444444444E-2</v>
      </c>
      <c r="G1173">
        <f t="shared" si="127"/>
        <v>0.40817055811765873</v>
      </c>
      <c r="H1173">
        <f t="shared" si="128"/>
        <v>0.39148378138621232</v>
      </c>
      <c r="I1173">
        <f t="shared" si="129"/>
        <v>0.14958887824852388</v>
      </c>
      <c r="J1173">
        <f t="shared" si="130"/>
        <v>0.27985049719727356</v>
      </c>
      <c r="K1173">
        <f t="shared" si="131"/>
        <v>0.39772611367321431</v>
      </c>
      <c r="L1173">
        <f t="shared" si="132"/>
        <v>0.13914443380407943</v>
      </c>
    </row>
    <row r="1174" spans="1:12" x14ac:dyDescent="0.25">
      <c r="A1174" s="1">
        <v>41907</v>
      </c>
      <c r="B1174" s="6">
        <v>100.331</v>
      </c>
      <c r="C1174" s="6">
        <v>10.3301</v>
      </c>
      <c r="D1174" s="6">
        <v>9011.59</v>
      </c>
      <c r="E1174" s="6">
        <v>0.94</v>
      </c>
      <c r="F1174" s="6">
        <f t="shared" si="126"/>
        <v>1.0444444444444444E-2</v>
      </c>
      <c r="G1174">
        <f t="shared" si="127"/>
        <v>-0.81302259736202809</v>
      </c>
      <c r="H1174">
        <f t="shared" si="128"/>
        <v>-0.78087481030409545</v>
      </c>
      <c r="I1174">
        <f t="shared" si="129"/>
        <v>-0.95510353915869162</v>
      </c>
      <c r="J1174">
        <f t="shared" si="130"/>
        <v>-0.57941295065290388</v>
      </c>
      <c r="K1174">
        <f t="shared" si="131"/>
        <v>-0.82346704180647257</v>
      </c>
      <c r="L1174">
        <f t="shared" si="132"/>
        <v>-0.9655479836031361</v>
      </c>
    </row>
    <row r="1175" spans="1:12" x14ac:dyDescent="0.25">
      <c r="A1175" s="1">
        <v>41908</v>
      </c>
      <c r="B1175" s="6">
        <v>99.508600000000001</v>
      </c>
      <c r="C1175" s="6">
        <v>10.289400000000001</v>
      </c>
      <c r="D1175" s="6">
        <v>8989.82</v>
      </c>
      <c r="E1175" s="6">
        <v>0.94</v>
      </c>
      <c r="F1175" s="6">
        <f t="shared" si="126"/>
        <v>1.0444444444444444E-2</v>
      </c>
      <c r="G1175">
        <f t="shared" si="127"/>
        <v>-0.81968683657095187</v>
      </c>
      <c r="H1175">
        <f t="shared" si="128"/>
        <v>-0.3939942498136445</v>
      </c>
      <c r="I1175">
        <f t="shared" si="129"/>
        <v>-0.2415777903788392</v>
      </c>
      <c r="J1175">
        <f t="shared" si="130"/>
        <v>-0.5841020836817481</v>
      </c>
      <c r="K1175">
        <f t="shared" si="131"/>
        <v>-0.83013128101539635</v>
      </c>
      <c r="L1175">
        <f t="shared" si="132"/>
        <v>-0.25202223482328362</v>
      </c>
    </row>
    <row r="1176" spans="1:12" x14ac:dyDescent="0.25">
      <c r="A1176" s="1">
        <v>41911</v>
      </c>
      <c r="B1176" s="6">
        <v>99.097399999999993</v>
      </c>
      <c r="C1176" s="6">
        <v>10.248799999999999</v>
      </c>
      <c r="D1176" s="6">
        <v>8960.76</v>
      </c>
      <c r="E1176" s="6">
        <v>0.94</v>
      </c>
      <c r="F1176" s="6">
        <f t="shared" si="126"/>
        <v>1.0444444444444444E-2</v>
      </c>
      <c r="G1176">
        <f t="shared" si="127"/>
        <v>-0.41323061524331361</v>
      </c>
      <c r="H1176">
        <f t="shared" si="128"/>
        <v>-0.39458083075787997</v>
      </c>
      <c r="I1176">
        <f t="shared" si="129"/>
        <v>-0.32325452567459073</v>
      </c>
      <c r="J1176">
        <f t="shared" si="130"/>
        <v>-0.29810885437892404</v>
      </c>
      <c r="K1176">
        <f t="shared" si="131"/>
        <v>-0.42367505968775804</v>
      </c>
      <c r="L1176">
        <f t="shared" si="132"/>
        <v>-0.33369897011903515</v>
      </c>
    </row>
    <row r="1177" spans="1:12" x14ac:dyDescent="0.25">
      <c r="A1177" s="1">
        <v>41912</v>
      </c>
      <c r="B1177" s="6">
        <v>98.686199999999999</v>
      </c>
      <c r="C1177" s="6">
        <v>10.248799999999999</v>
      </c>
      <c r="D1177" s="6">
        <v>8966.92</v>
      </c>
      <c r="E1177" s="6">
        <v>0.94</v>
      </c>
      <c r="F1177" s="6">
        <f t="shared" si="126"/>
        <v>1.0444444444444444E-2</v>
      </c>
      <c r="G1177">
        <f t="shared" si="127"/>
        <v>-0.4149452962438912</v>
      </c>
      <c r="H1177">
        <f t="shared" si="128"/>
        <v>0</v>
      </c>
      <c r="I1177">
        <f t="shared" si="129"/>
        <v>6.874416902137602E-2</v>
      </c>
      <c r="J1177">
        <f t="shared" si="130"/>
        <v>-0.2993153487831125</v>
      </c>
      <c r="K1177">
        <f t="shared" si="131"/>
        <v>-0.42538974068833563</v>
      </c>
      <c r="L1177">
        <f t="shared" si="132"/>
        <v>5.8299724576931576E-2</v>
      </c>
    </row>
    <row r="1178" spans="1:12" x14ac:dyDescent="0.25">
      <c r="A1178" s="1">
        <v>41913</v>
      </c>
      <c r="B1178" s="6">
        <v>99.919799999999995</v>
      </c>
      <c r="C1178" s="6">
        <v>10.2081</v>
      </c>
      <c r="D1178" s="6">
        <v>8990.26</v>
      </c>
      <c r="E1178" s="6">
        <v>0.94</v>
      </c>
      <c r="F1178" s="6">
        <f t="shared" si="126"/>
        <v>1.0444444444444444E-2</v>
      </c>
      <c r="G1178">
        <f t="shared" si="127"/>
        <v>1.2500227995403568</v>
      </c>
      <c r="H1178">
        <f t="shared" si="128"/>
        <v>-0.39711966278978317</v>
      </c>
      <c r="I1178">
        <f t="shared" si="129"/>
        <v>0.26029004385006382</v>
      </c>
      <c r="J1178">
        <f t="shared" si="130"/>
        <v>0.87219975521544946</v>
      </c>
      <c r="K1178">
        <f t="shared" si="131"/>
        <v>1.2395783550959123</v>
      </c>
      <c r="L1178">
        <f t="shared" si="132"/>
        <v>0.24984559940561937</v>
      </c>
    </row>
    <row r="1179" spans="1:12" x14ac:dyDescent="0.25">
      <c r="A1179" s="1">
        <v>41914</v>
      </c>
      <c r="B1179" s="6">
        <v>99.508600000000001</v>
      </c>
      <c r="C1179" s="6">
        <v>10.3301</v>
      </c>
      <c r="D1179" s="6">
        <v>8975.19</v>
      </c>
      <c r="E1179" s="6">
        <v>0.94</v>
      </c>
      <c r="F1179" s="6">
        <f t="shared" si="126"/>
        <v>1.0444444444444444E-2</v>
      </c>
      <c r="G1179">
        <f t="shared" si="127"/>
        <v>-0.41153004709776619</v>
      </c>
      <c r="H1179">
        <f t="shared" si="128"/>
        <v>1.1951293580587954</v>
      </c>
      <c r="I1179">
        <f t="shared" si="129"/>
        <v>-0.16762585286743328</v>
      </c>
      <c r="J1179">
        <f t="shared" si="130"/>
        <v>-0.29691229014869519</v>
      </c>
      <c r="K1179">
        <f t="shared" si="131"/>
        <v>-0.42197449154221062</v>
      </c>
      <c r="L1179">
        <f t="shared" si="132"/>
        <v>-0.17807029731187773</v>
      </c>
    </row>
    <row r="1180" spans="1:12" x14ac:dyDescent="0.25">
      <c r="A1180" s="1">
        <v>41915</v>
      </c>
      <c r="B1180" s="6">
        <v>102.3869</v>
      </c>
      <c r="C1180" s="6">
        <v>10.492800000000001</v>
      </c>
      <c r="D1180" s="6">
        <v>9106.2800000000007</v>
      </c>
      <c r="E1180" s="6">
        <v>0.94</v>
      </c>
      <c r="F1180" s="6">
        <f t="shared" si="126"/>
        <v>1.0444444444444444E-2</v>
      </c>
      <c r="G1180">
        <f t="shared" si="127"/>
        <v>2.8925138128764707</v>
      </c>
      <c r="H1180">
        <f t="shared" si="128"/>
        <v>1.5750089544147778</v>
      </c>
      <c r="I1180">
        <f t="shared" si="129"/>
        <v>1.460581892973855</v>
      </c>
      <c r="J1180">
        <f t="shared" si="130"/>
        <v>2.0278993960537957</v>
      </c>
      <c r="K1180">
        <f t="shared" si="131"/>
        <v>2.8820693684320262</v>
      </c>
      <c r="L1180">
        <f t="shared" si="132"/>
        <v>1.4501374485294105</v>
      </c>
    </row>
    <row r="1181" spans="1:12" x14ac:dyDescent="0.25">
      <c r="A1181" s="1">
        <v>41918</v>
      </c>
      <c r="B1181" s="6">
        <v>103.62050000000001</v>
      </c>
      <c r="C1181" s="6">
        <v>10.492800000000001</v>
      </c>
      <c r="D1181" s="6">
        <v>9095.14</v>
      </c>
      <c r="E1181" s="6">
        <v>0.94</v>
      </c>
      <c r="F1181" s="6">
        <f t="shared" si="126"/>
        <v>1.0444444444444444E-2</v>
      </c>
      <c r="G1181">
        <f t="shared" si="127"/>
        <v>1.204841635013864</v>
      </c>
      <c r="H1181">
        <f t="shared" si="128"/>
        <v>0</v>
      </c>
      <c r="I1181">
        <f t="shared" si="129"/>
        <v>-0.12233315909461642</v>
      </c>
      <c r="J1181">
        <f t="shared" si="130"/>
        <v>0.8404091060173946</v>
      </c>
      <c r="K1181">
        <f t="shared" si="131"/>
        <v>1.1943971905694195</v>
      </c>
      <c r="L1181">
        <f t="shared" si="132"/>
        <v>-0.13277760353906087</v>
      </c>
    </row>
    <row r="1182" spans="1:12" x14ac:dyDescent="0.25">
      <c r="A1182" s="1">
        <v>41919</v>
      </c>
      <c r="B1182" s="6">
        <v>102.79810000000001</v>
      </c>
      <c r="C1182" s="6">
        <v>10.4114</v>
      </c>
      <c r="D1182" s="6">
        <v>9040.81</v>
      </c>
      <c r="E1182" s="6">
        <v>0.94</v>
      </c>
      <c r="F1182" s="6">
        <f t="shared" si="126"/>
        <v>1.0444444444444444E-2</v>
      </c>
      <c r="G1182">
        <f t="shared" si="127"/>
        <v>-0.79366534614289808</v>
      </c>
      <c r="H1182">
        <f t="shared" si="128"/>
        <v>-0.77577005184507808</v>
      </c>
      <c r="I1182">
        <f t="shared" si="129"/>
        <v>-0.59735199238274428</v>
      </c>
      <c r="J1182">
        <f t="shared" si="130"/>
        <v>-0.56579268235315383</v>
      </c>
      <c r="K1182">
        <f t="shared" si="131"/>
        <v>-0.80410979058734255</v>
      </c>
      <c r="L1182">
        <f t="shared" si="132"/>
        <v>-0.60779643682718876</v>
      </c>
    </row>
    <row r="1183" spans="1:12" x14ac:dyDescent="0.25">
      <c r="A1183" s="1">
        <v>41920</v>
      </c>
      <c r="B1183" s="6">
        <v>100.7422</v>
      </c>
      <c r="C1183" s="6">
        <v>10.492800000000001</v>
      </c>
      <c r="D1183" s="6">
        <v>8955.18</v>
      </c>
      <c r="E1183" s="6">
        <v>0.94</v>
      </c>
      <c r="F1183" s="6">
        <f t="shared" si="126"/>
        <v>1.0444444444444444E-2</v>
      </c>
      <c r="G1183">
        <f t="shared" si="127"/>
        <v>-1.9999396876012379</v>
      </c>
      <c r="H1183">
        <f t="shared" si="128"/>
        <v>0.7818352959256234</v>
      </c>
      <c r="I1183">
        <f t="shared" si="129"/>
        <v>-0.94714964698958615</v>
      </c>
      <c r="J1183">
        <f t="shared" si="130"/>
        <v>-1.4145588624154333</v>
      </c>
      <c r="K1183">
        <f t="shared" si="131"/>
        <v>-2.0103841320456821</v>
      </c>
      <c r="L1183">
        <f t="shared" si="132"/>
        <v>-0.95759409143403063</v>
      </c>
    </row>
    <row r="1184" spans="1:12" x14ac:dyDescent="0.25">
      <c r="A1184" s="1">
        <v>41921</v>
      </c>
      <c r="B1184" s="6">
        <v>102.79810000000001</v>
      </c>
      <c r="C1184" s="6">
        <v>10.492800000000001</v>
      </c>
      <c r="D1184" s="6">
        <v>8966.44</v>
      </c>
      <c r="E1184" s="6">
        <v>0.94</v>
      </c>
      <c r="F1184" s="6">
        <f t="shared" si="126"/>
        <v>1.0444444444444444E-2</v>
      </c>
      <c r="G1184">
        <f t="shared" si="127"/>
        <v>2.0407535273202377</v>
      </c>
      <c r="H1184">
        <f t="shared" si="128"/>
        <v>0</v>
      </c>
      <c r="I1184">
        <f t="shared" si="129"/>
        <v>0.12573728277935473</v>
      </c>
      <c r="J1184">
        <f t="shared" si="130"/>
        <v>1.4285785790112093</v>
      </c>
      <c r="K1184">
        <f t="shared" si="131"/>
        <v>2.0303090828757933</v>
      </c>
      <c r="L1184">
        <f t="shared" si="132"/>
        <v>0.11529283833491027</v>
      </c>
    </row>
    <row r="1185" spans="1:12" x14ac:dyDescent="0.25">
      <c r="A1185" s="1">
        <v>41925</v>
      </c>
      <c r="B1185" s="6">
        <v>99.097399999999993</v>
      </c>
      <c r="C1185" s="6">
        <v>10.0047</v>
      </c>
      <c r="D1185" s="6">
        <v>8711.39</v>
      </c>
      <c r="E1185" s="6">
        <v>0.94</v>
      </c>
      <c r="F1185" s="6">
        <f t="shared" si="126"/>
        <v>1.0444444444444444E-2</v>
      </c>
      <c r="G1185">
        <f t="shared" si="127"/>
        <v>-3.599969260132251</v>
      </c>
      <c r="H1185">
        <f t="shared" si="128"/>
        <v>-4.6517612076852801</v>
      </c>
      <c r="I1185">
        <f t="shared" si="129"/>
        <v>-2.8444956972890143</v>
      </c>
      <c r="J1185">
        <f t="shared" si="130"/>
        <v>-2.5403815228079263</v>
      </c>
      <c r="K1185">
        <f t="shared" si="131"/>
        <v>-3.6104137045766955</v>
      </c>
      <c r="L1185">
        <f t="shared" si="132"/>
        <v>-2.8549401417334588</v>
      </c>
    </row>
    <row r="1186" spans="1:12" x14ac:dyDescent="0.25">
      <c r="A1186" s="1">
        <v>41926</v>
      </c>
      <c r="B1186" s="6">
        <v>99.508600000000001</v>
      </c>
      <c r="C1186" s="6">
        <v>10.2081</v>
      </c>
      <c r="D1186" s="6">
        <v>8768.39</v>
      </c>
      <c r="E1186" s="6">
        <v>0.94</v>
      </c>
      <c r="F1186" s="6">
        <f t="shared" si="126"/>
        <v>1.0444444444444444E-2</v>
      </c>
      <c r="G1186">
        <f t="shared" si="127"/>
        <v>0.41494529624390553</v>
      </c>
      <c r="H1186">
        <f t="shared" si="128"/>
        <v>2.0330444690995257</v>
      </c>
      <c r="I1186">
        <f t="shared" si="129"/>
        <v>0.65431578657366973</v>
      </c>
      <c r="J1186">
        <f t="shared" si="130"/>
        <v>0.28461738015474825</v>
      </c>
      <c r="K1186">
        <f t="shared" si="131"/>
        <v>0.4045008517994611</v>
      </c>
      <c r="L1186">
        <f t="shared" si="132"/>
        <v>0.64387134212922525</v>
      </c>
    </row>
    <row r="1187" spans="1:12" x14ac:dyDescent="0.25">
      <c r="A1187" s="1">
        <v>41927</v>
      </c>
      <c r="B1187" s="6">
        <v>99.919799999999995</v>
      </c>
      <c r="C1187" s="6">
        <v>10.0861</v>
      </c>
      <c r="D1187" s="6">
        <v>8655.51</v>
      </c>
      <c r="E1187" s="6">
        <v>0.94</v>
      </c>
      <c r="F1187" s="6">
        <f t="shared" si="126"/>
        <v>1.0444444444444444E-2</v>
      </c>
      <c r="G1187">
        <f t="shared" si="127"/>
        <v>0.41323061524329935</v>
      </c>
      <c r="H1187">
        <f t="shared" si="128"/>
        <v>-1.1951293580587954</v>
      </c>
      <c r="I1187">
        <f t="shared" si="129"/>
        <v>-1.2873514978234226</v>
      </c>
      <c r="J1187">
        <f t="shared" si="130"/>
        <v>0.28341088575053963</v>
      </c>
      <c r="K1187">
        <f t="shared" si="131"/>
        <v>0.40278617079885493</v>
      </c>
      <c r="L1187">
        <f t="shared" si="132"/>
        <v>-1.2977959422678671</v>
      </c>
    </row>
    <row r="1188" spans="1:12" x14ac:dyDescent="0.25">
      <c r="A1188" s="1">
        <v>41928</v>
      </c>
      <c r="B1188" s="6">
        <v>99.919799999999995</v>
      </c>
      <c r="C1188" s="6">
        <v>10.0047</v>
      </c>
      <c r="D1188" s="6">
        <v>8633.69</v>
      </c>
      <c r="E1188" s="6">
        <v>0.94</v>
      </c>
      <c r="F1188" s="6">
        <f t="shared" si="126"/>
        <v>1.0444444444444444E-2</v>
      </c>
      <c r="G1188">
        <f t="shared" si="127"/>
        <v>0</v>
      </c>
      <c r="H1188">
        <f t="shared" si="128"/>
        <v>-0.80705128840682083</v>
      </c>
      <c r="I1188">
        <f t="shared" si="129"/>
        <v>-0.25209375299664272</v>
      </c>
      <c r="J1188">
        <f t="shared" si="130"/>
        <v>-7.3489843141871791E-3</v>
      </c>
      <c r="K1188">
        <f t="shared" si="131"/>
        <v>-1.0444444444444444E-2</v>
      </c>
      <c r="L1188">
        <f t="shared" si="132"/>
        <v>-0.26253819744108714</v>
      </c>
    </row>
    <row r="1189" spans="1:12" x14ac:dyDescent="0.25">
      <c r="A1189" s="1">
        <v>41929</v>
      </c>
      <c r="B1189" s="6">
        <v>101.5645</v>
      </c>
      <c r="C1189" s="6">
        <v>9.8013999999999992</v>
      </c>
      <c r="D1189" s="6">
        <v>8512.8799999999992</v>
      </c>
      <c r="E1189" s="6">
        <v>0.94</v>
      </c>
      <c r="F1189" s="6">
        <f t="shared" si="126"/>
        <v>1.0444444444444444E-2</v>
      </c>
      <c r="G1189">
        <f t="shared" si="127"/>
        <v>1.6460201081267181</v>
      </c>
      <c r="H1189">
        <f t="shared" si="128"/>
        <v>-2.0320449388787321</v>
      </c>
      <c r="I1189">
        <f t="shared" si="129"/>
        <v>-1.3992858210104984</v>
      </c>
      <c r="J1189">
        <f t="shared" si="130"/>
        <v>1.150833819931977</v>
      </c>
      <c r="K1189">
        <f t="shared" si="131"/>
        <v>1.6355756636822736</v>
      </c>
      <c r="L1189">
        <f t="shared" si="132"/>
        <v>-1.4097302654549428</v>
      </c>
    </row>
    <row r="1190" spans="1:12" x14ac:dyDescent="0.25">
      <c r="A1190" s="1">
        <v>41932</v>
      </c>
      <c r="B1190" s="6">
        <v>103.62050000000001</v>
      </c>
      <c r="C1190" s="6">
        <v>10.045400000000001</v>
      </c>
      <c r="D1190" s="6">
        <v>8663.14</v>
      </c>
      <c r="E1190" s="6">
        <v>0.94</v>
      </c>
      <c r="F1190" s="6">
        <f t="shared" si="126"/>
        <v>1.0444444444444444E-2</v>
      </c>
      <c r="G1190">
        <f t="shared" si="127"/>
        <v>2.0243293670524758</v>
      </c>
      <c r="H1190">
        <f t="shared" si="128"/>
        <v>2.4894402840410712</v>
      </c>
      <c r="I1190">
        <f t="shared" si="129"/>
        <v>1.7650900752741756</v>
      </c>
      <c r="J1190">
        <f t="shared" si="130"/>
        <v>1.4170221102278762</v>
      </c>
      <c r="K1190">
        <f t="shared" si="131"/>
        <v>2.0138849226080313</v>
      </c>
      <c r="L1190">
        <f t="shared" si="132"/>
        <v>1.7546456308297311</v>
      </c>
    </row>
    <row r="1191" spans="1:12" x14ac:dyDescent="0.25">
      <c r="A1191" s="1">
        <v>41933</v>
      </c>
      <c r="B1191" s="6">
        <v>102.79810000000001</v>
      </c>
      <c r="C1191" s="6">
        <v>10.0047</v>
      </c>
      <c r="D1191" s="6">
        <v>8654.64</v>
      </c>
      <c r="E1191" s="6">
        <v>0.94</v>
      </c>
      <c r="F1191" s="6">
        <f t="shared" si="126"/>
        <v>1.0444444444444444E-2</v>
      </c>
      <c r="G1191">
        <f t="shared" si="127"/>
        <v>-0.79366534614289808</v>
      </c>
      <c r="H1191">
        <f t="shared" si="128"/>
        <v>-0.40516057100763597</v>
      </c>
      <c r="I1191">
        <f t="shared" si="129"/>
        <v>-9.811684908705158E-2</v>
      </c>
      <c r="J1191">
        <f t="shared" si="130"/>
        <v>-0.56579268235315383</v>
      </c>
      <c r="K1191">
        <f t="shared" si="131"/>
        <v>-0.80410979058734255</v>
      </c>
      <c r="L1191">
        <f t="shared" si="132"/>
        <v>-0.10856129353149602</v>
      </c>
    </row>
    <row r="1192" spans="1:12" x14ac:dyDescent="0.25">
      <c r="A1192" s="1">
        <v>41934</v>
      </c>
      <c r="B1192" s="6">
        <v>106.0877</v>
      </c>
      <c r="C1192" s="6">
        <v>10.1267</v>
      </c>
      <c r="D1192" s="6">
        <v>8748.83</v>
      </c>
      <c r="E1192" s="6">
        <v>0.94</v>
      </c>
      <c r="F1192" s="6">
        <f t="shared" si="126"/>
        <v>1.0444444444444444E-2</v>
      </c>
      <c r="G1192">
        <f t="shared" si="127"/>
        <v>3.2000591450620126</v>
      </c>
      <c r="H1192">
        <f t="shared" si="128"/>
        <v>1.2194268693713943</v>
      </c>
      <c r="I1192">
        <f t="shared" si="129"/>
        <v>1.0883179427451692</v>
      </c>
      <c r="J1192">
        <f t="shared" si="130"/>
        <v>2.2442963364707884</v>
      </c>
      <c r="K1192">
        <f t="shared" si="131"/>
        <v>3.1896147006175681</v>
      </c>
      <c r="L1192">
        <f t="shared" si="132"/>
        <v>1.0778734983007248</v>
      </c>
    </row>
    <row r="1193" spans="1:12" x14ac:dyDescent="0.25">
      <c r="A1193" s="1">
        <v>41935</v>
      </c>
      <c r="B1193" s="6">
        <v>104.8541</v>
      </c>
      <c r="C1193" s="6">
        <v>10.167400000000001</v>
      </c>
      <c r="D1193" s="6">
        <v>8731.07</v>
      </c>
      <c r="E1193" s="6">
        <v>0.94</v>
      </c>
      <c r="F1193" s="6">
        <f t="shared" si="126"/>
        <v>1.0444444444444444E-2</v>
      </c>
      <c r="G1193">
        <f t="shared" si="127"/>
        <v>-1.1628115229192411</v>
      </c>
      <c r="H1193">
        <f t="shared" si="128"/>
        <v>0.40190782782151213</v>
      </c>
      <c r="I1193">
        <f t="shared" si="129"/>
        <v>-0.20299857238053795</v>
      </c>
      <c r="J1193">
        <f t="shared" si="130"/>
        <v>-0.82553358836319235</v>
      </c>
      <c r="K1193">
        <f t="shared" si="131"/>
        <v>-1.1732559673636855</v>
      </c>
      <c r="L1193">
        <f t="shared" si="132"/>
        <v>-0.2134430168249824</v>
      </c>
    </row>
    <row r="1194" spans="1:12" x14ac:dyDescent="0.25">
      <c r="A1194" s="1">
        <v>41936</v>
      </c>
      <c r="B1194" s="6">
        <v>103.2093</v>
      </c>
      <c r="C1194" s="6">
        <v>10.045400000000001</v>
      </c>
      <c r="D1194" s="6">
        <v>8646.01</v>
      </c>
      <c r="E1194" s="6">
        <v>0.94</v>
      </c>
      <c r="F1194" s="6">
        <f t="shared" si="126"/>
        <v>1.0444444444444444E-2</v>
      </c>
      <c r="G1194">
        <f t="shared" si="127"/>
        <v>-1.5686558751636832</v>
      </c>
      <c r="H1194">
        <f t="shared" si="128"/>
        <v>-1.1999134488659822</v>
      </c>
      <c r="I1194">
        <f t="shared" si="129"/>
        <v>-0.97422194530566697</v>
      </c>
      <c r="J1194">
        <f t="shared" si="130"/>
        <v>-1.1110962905739663</v>
      </c>
      <c r="K1194">
        <f t="shared" si="131"/>
        <v>-1.5791003196081277</v>
      </c>
      <c r="L1194">
        <f t="shared" si="132"/>
        <v>-0.98466638975011145</v>
      </c>
    </row>
    <row r="1195" spans="1:12" x14ac:dyDescent="0.25">
      <c r="A1195" s="1">
        <v>41939</v>
      </c>
      <c r="B1195" s="6">
        <v>105.2653</v>
      </c>
      <c r="C1195" s="6">
        <v>10.045400000000001</v>
      </c>
      <c r="D1195" s="6">
        <v>8627.7800000000007</v>
      </c>
      <c r="E1195" s="6">
        <v>0.94</v>
      </c>
      <c r="F1195" s="6">
        <f t="shared" si="126"/>
        <v>1.0444444444444444E-2</v>
      </c>
      <c r="G1195">
        <f t="shared" si="127"/>
        <v>1.9920685442106452</v>
      </c>
      <c r="H1195">
        <f t="shared" si="128"/>
        <v>0</v>
      </c>
      <c r="I1195">
        <f t="shared" si="129"/>
        <v>-0.21084870362166552</v>
      </c>
      <c r="J1195">
        <f t="shared" si="130"/>
        <v>1.3943225514061053</v>
      </c>
      <c r="K1195">
        <f t="shared" si="131"/>
        <v>1.9816240997662007</v>
      </c>
      <c r="L1195">
        <f t="shared" si="132"/>
        <v>-0.22129314806610997</v>
      </c>
    </row>
    <row r="1196" spans="1:12" x14ac:dyDescent="0.25">
      <c r="A1196" s="1">
        <v>41940</v>
      </c>
      <c r="B1196" s="6">
        <v>105.2653</v>
      </c>
      <c r="C1196" s="6">
        <v>10.1267</v>
      </c>
      <c r="D1196" s="6">
        <v>8773.5499999999993</v>
      </c>
      <c r="E1196" s="6">
        <v>0.94</v>
      </c>
      <c r="F1196" s="6">
        <f t="shared" si="126"/>
        <v>1.0444444444444444E-2</v>
      </c>
      <c r="G1196">
        <f t="shared" si="127"/>
        <v>0</v>
      </c>
      <c r="H1196">
        <f t="shared" si="128"/>
        <v>0.80932566149679264</v>
      </c>
      <c r="I1196">
        <f t="shared" si="129"/>
        <v>1.6895423851790219</v>
      </c>
      <c r="J1196">
        <f t="shared" si="130"/>
        <v>-7.3489843141871791E-3</v>
      </c>
      <c r="K1196">
        <f t="shared" si="131"/>
        <v>-1.0444444444444444E-2</v>
      </c>
      <c r="L1196">
        <f t="shared" si="132"/>
        <v>1.6790979407345774</v>
      </c>
    </row>
    <row r="1197" spans="1:12" x14ac:dyDescent="0.25">
      <c r="A1197" s="1">
        <v>41941</v>
      </c>
      <c r="B1197" s="6">
        <v>106.0877</v>
      </c>
      <c r="C1197" s="6">
        <v>10.289400000000001</v>
      </c>
      <c r="D1197" s="6">
        <v>8903.68</v>
      </c>
      <c r="E1197" s="6">
        <v>0.94</v>
      </c>
      <c r="F1197" s="6">
        <f t="shared" si="126"/>
        <v>1.0444444444444444E-2</v>
      </c>
      <c r="G1197">
        <f t="shared" si="127"/>
        <v>0.7812641012755408</v>
      </c>
      <c r="H1197">
        <f t="shared" si="128"/>
        <v>1.6066438227655699</v>
      </c>
      <c r="I1197">
        <f t="shared" si="129"/>
        <v>1.4832080514729047</v>
      </c>
      <c r="J1197">
        <f t="shared" si="130"/>
        <v>0.54236887344755158</v>
      </c>
      <c r="K1197">
        <f t="shared" si="131"/>
        <v>0.77081965683109632</v>
      </c>
      <c r="L1197">
        <f t="shared" si="132"/>
        <v>1.4727636070284602</v>
      </c>
    </row>
    <row r="1198" spans="1:12" x14ac:dyDescent="0.25">
      <c r="A1198" s="1">
        <v>41942</v>
      </c>
      <c r="B1198" s="6">
        <v>105.6765</v>
      </c>
      <c r="C1198" s="6">
        <v>10.736800000000001</v>
      </c>
      <c r="D1198" s="6">
        <v>8888.07</v>
      </c>
      <c r="E1198" s="6">
        <v>0.94</v>
      </c>
      <c r="F1198" s="6">
        <f t="shared" si="126"/>
        <v>1.0444444444444444E-2</v>
      </c>
      <c r="G1198">
        <f t="shared" si="127"/>
        <v>-0.38760384097307587</v>
      </c>
      <c r="H1198">
        <f t="shared" si="128"/>
        <v>4.3481641300756122</v>
      </c>
      <c r="I1198">
        <f t="shared" si="129"/>
        <v>-0.17532076624497492</v>
      </c>
      <c r="J1198">
        <f t="shared" si="130"/>
        <v>-0.28007718566385237</v>
      </c>
      <c r="K1198">
        <f t="shared" si="131"/>
        <v>-0.3980482854175203</v>
      </c>
      <c r="L1198">
        <f t="shared" si="132"/>
        <v>-0.18576521068941937</v>
      </c>
    </row>
    <row r="1199" spans="1:12" x14ac:dyDescent="0.25">
      <c r="A1199" s="1">
        <v>41943</v>
      </c>
      <c r="B1199" s="6">
        <v>107.3212</v>
      </c>
      <c r="C1199" s="6">
        <v>10.8995</v>
      </c>
      <c r="D1199" s="6">
        <v>8974.76</v>
      </c>
      <c r="E1199" s="6">
        <v>0.94</v>
      </c>
      <c r="F1199" s="6">
        <f t="shared" si="126"/>
        <v>1.0444444444444444E-2</v>
      </c>
      <c r="G1199">
        <f t="shared" si="127"/>
        <v>1.5563535885461766</v>
      </c>
      <c r="H1199">
        <f t="shared" si="128"/>
        <v>1.5153490798003053</v>
      </c>
      <c r="I1199">
        <f t="shared" si="129"/>
        <v>0.97535235433564893</v>
      </c>
      <c r="J1199">
        <f t="shared" si="130"/>
        <v>1.0877421112814831</v>
      </c>
      <c r="K1199">
        <f t="shared" si="131"/>
        <v>1.5459091441017321</v>
      </c>
      <c r="L1199">
        <f t="shared" si="132"/>
        <v>0.96490790989120445</v>
      </c>
    </row>
    <row r="1200" spans="1:12" x14ac:dyDescent="0.25">
      <c r="A1200" s="1">
        <v>41946</v>
      </c>
      <c r="B1200" s="6">
        <v>107.7324</v>
      </c>
      <c r="C1200" s="6">
        <v>10.8588</v>
      </c>
      <c r="D1200" s="6">
        <v>9004.86</v>
      </c>
      <c r="E1200" s="6">
        <v>0.94</v>
      </c>
      <c r="F1200" s="6">
        <f t="shared" si="126"/>
        <v>1.0444444444444444E-2</v>
      </c>
      <c r="G1200">
        <f t="shared" si="127"/>
        <v>0.38314890254674172</v>
      </c>
      <c r="H1200">
        <f t="shared" si="128"/>
        <v>-0.37341162438643327</v>
      </c>
      <c r="I1200">
        <f t="shared" si="129"/>
        <v>0.33538501308113378</v>
      </c>
      <c r="J1200">
        <f t="shared" si="130"/>
        <v>0.26224460582758236</v>
      </c>
      <c r="K1200">
        <f t="shared" si="131"/>
        <v>0.3727044581022973</v>
      </c>
      <c r="L1200">
        <f t="shared" si="132"/>
        <v>0.32494056863668935</v>
      </c>
    </row>
    <row r="1201" spans="1:12" x14ac:dyDescent="0.25">
      <c r="A1201" s="1">
        <v>41947</v>
      </c>
      <c r="B1201" s="6">
        <v>108.5548</v>
      </c>
      <c r="C1201" s="6">
        <v>10.8588</v>
      </c>
      <c r="D1201" s="6">
        <v>8989.18</v>
      </c>
      <c r="E1201" s="6">
        <v>0.94</v>
      </c>
      <c r="F1201" s="6">
        <f t="shared" si="126"/>
        <v>1.0444444444444444E-2</v>
      </c>
      <c r="G1201">
        <f t="shared" si="127"/>
        <v>0.76337295001318251</v>
      </c>
      <c r="H1201">
        <f t="shared" si="128"/>
        <v>0</v>
      </c>
      <c r="I1201">
        <f t="shared" si="129"/>
        <v>-0.17412819299800653</v>
      </c>
      <c r="J1201">
        <f t="shared" si="130"/>
        <v>0.52978019142724952</v>
      </c>
      <c r="K1201">
        <f t="shared" si="131"/>
        <v>0.75292850556873803</v>
      </c>
      <c r="L1201">
        <f t="shared" si="132"/>
        <v>-0.18457263744245098</v>
      </c>
    </row>
    <row r="1202" spans="1:12" x14ac:dyDescent="0.25">
      <c r="A1202" s="1">
        <v>41948</v>
      </c>
      <c r="B1202" s="6">
        <v>108.5548</v>
      </c>
      <c r="C1202" s="6">
        <v>10.8995</v>
      </c>
      <c r="D1202" s="6">
        <v>8962.6</v>
      </c>
      <c r="E1202" s="6">
        <v>0.94</v>
      </c>
      <c r="F1202" s="6">
        <f t="shared" si="126"/>
        <v>1.0444444444444444E-2</v>
      </c>
      <c r="G1202">
        <f t="shared" si="127"/>
        <v>0</v>
      </c>
      <c r="H1202">
        <f t="shared" si="128"/>
        <v>0.37481121302537379</v>
      </c>
      <c r="I1202">
        <f t="shared" si="129"/>
        <v>-0.2956888169999925</v>
      </c>
      <c r="J1202">
        <f t="shared" si="130"/>
        <v>-7.3489843141871791E-3</v>
      </c>
      <c r="K1202">
        <f t="shared" si="131"/>
        <v>-1.0444444444444444E-2</v>
      </c>
      <c r="L1202">
        <f t="shared" si="132"/>
        <v>-0.30613326144443692</v>
      </c>
    </row>
    <row r="1203" spans="1:12" x14ac:dyDescent="0.25">
      <c r="A1203" s="1">
        <v>41949</v>
      </c>
      <c r="B1203" s="6">
        <v>108.5548</v>
      </c>
      <c r="C1203" s="6">
        <v>10.818099999999999</v>
      </c>
      <c r="D1203" s="6">
        <v>8891.02</v>
      </c>
      <c r="E1203" s="6">
        <v>0.94</v>
      </c>
      <c r="F1203" s="6">
        <f t="shared" si="126"/>
        <v>1.0444444444444444E-2</v>
      </c>
      <c r="G1203">
        <f t="shared" si="127"/>
        <v>0</v>
      </c>
      <c r="H1203">
        <f t="shared" si="128"/>
        <v>-0.74682324877288286</v>
      </c>
      <c r="I1203">
        <f t="shared" si="129"/>
        <v>-0.79865217682368872</v>
      </c>
      <c r="J1203">
        <f t="shared" si="130"/>
        <v>-7.3489843141871791E-3</v>
      </c>
      <c r="K1203">
        <f t="shared" si="131"/>
        <v>-1.0444444444444444E-2</v>
      </c>
      <c r="L1203">
        <f t="shared" si="132"/>
        <v>-0.8090966212681332</v>
      </c>
    </row>
    <row r="1204" spans="1:12" x14ac:dyDescent="0.25">
      <c r="A1204" s="1">
        <v>41950</v>
      </c>
      <c r="B1204" s="6">
        <v>107.7324</v>
      </c>
      <c r="C1204" s="6">
        <v>10.7775</v>
      </c>
      <c r="D1204" s="6">
        <v>8912.6200000000008</v>
      </c>
      <c r="E1204" s="6">
        <v>0.94</v>
      </c>
      <c r="F1204" s="6">
        <f t="shared" si="126"/>
        <v>1.0444444444444444E-2</v>
      </c>
      <c r="G1204">
        <f t="shared" si="127"/>
        <v>-0.7575897150563603</v>
      </c>
      <c r="H1204">
        <f t="shared" si="128"/>
        <v>-0.37529695602739416</v>
      </c>
      <c r="I1204">
        <f t="shared" si="129"/>
        <v>0.24294175471431131</v>
      </c>
      <c r="J1204">
        <f t="shared" si="130"/>
        <v>-0.54040892466363977</v>
      </c>
      <c r="K1204">
        <f t="shared" si="131"/>
        <v>-0.76803415950080478</v>
      </c>
      <c r="L1204">
        <f t="shared" si="132"/>
        <v>0.23249731026986686</v>
      </c>
    </row>
    <row r="1205" spans="1:12" x14ac:dyDescent="0.25">
      <c r="A1205" s="1">
        <v>41953</v>
      </c>
      <c r="B1205" s="6">
        <v>110.6108</v>
      </c>
      <c r="C1205" s="6">
        <v>11.062099999999999</v>
      </c>
      <c r="D1205" s="6">
        <v>9049.98</v>
      </c>
      <c r="E1205" s="6">
        <v>0.94</v>
      </c>
      <c r="F1205" s="6">
        <f t="shared" si="126"/>
        <v>1.0444444444444444E-2</v>
      </c>
      <c r="G1205">
        <f t="shared" si="127"/>
        <v>2.6718053250461322</v>
      </c>
      <c r="H1205">
        <f t="shared" si="128"/>
        <v>2.6406866156344169</v>
      </c>
      <c r="I1205">
        <f t="shared" si="129"/>
        <v>1.541185420224342</v>
      </c>
      <c r="J1205">
        <f t="shared" si="130"/>
        <v>1.8726031307808366</v>
      </c>
      <c r="K1205">
        <f t="shared" si="131"/>
        <v>2.6613608806016877</v>
      </c>
      <c r="L1205">
        <f t="shared" si="132"/>
        <v>1.5307409757798975</v>
      </c>
    </row>
    <row r="1206" spans="1:12" x14ac:dyDescent="0.25">
      <c r="A1206" s="1">
        <v>41954</v>
      </c>
      <c r="B1206" s="6">
        <v>110.1996</v>
      </c>
      <c r="C1206" s="6">
        <v>11.062099999999999</v>
      </c>
      <c r="D1206" s="6">
        <v>9034.14</v>
      </c>
      <c r="E1206" s="6">
        <v>0.94</v>
      </c>
      <c r="F1206" s="6">
        <f t="shared" si="126"/>
        <v>1.0444444444444444E-2</v>
      </c>
      <c r="G1206">
        <f t="shared" si="127"/>
        <v>-0.37175393361226372</v>
      </c>
      <c r="H1206">
        <f t="shared" si="128"/>
        <v>0</v>
      </c>
      <c r="I1206">
        <f t="shared" si="129"/>
        <v>-0.17502801111162838</v>
      </c>
      <c r="J1206">
        <f t="shared" si="130"/>
        <v>-0.26892477624700817</v>
      </c>
      <c r="K1206">
        <f t="shared" si="131"/>
        <v>-0.38219837805670814</v>
      </c>
      <c r="L1206">
        <f t="shared" si="132"/>
        <v>-0.18547245555607283</v>
      </c>
    </row>
    <row r="1207" spans="1:12" x14ac:dyDescent="0.25">
      <c r="A1207" s="1">
        <v>41955</v>
      </c>
      <c r="B1207" s="6">
        <v>108.5548</v>
      </c>
      <c r="C1207" s="6">
        <v>10.940099999999999</v>
      </c>
      <c r="D1207" s="6">
        <v>8918.9500000000007</v>
      </c>
      <c r="E1207" s="6">
        <v>0.94</v>
      </c>
      <c r="F1207" s="6">
        <f t="shared" si="126"/>
        <v>1.0444444444444444E-2</v>
      </c>
      <c r="G1207">
        <f t="shared" si="127"/>
        <v>-1.492564401322694</v>
      </c>
      <c r="H1207">
        <f t="shared" si="128"/>
        <v>-1.1028647363520478</v>
      </c>
      <c r="I1207">
        <f t="shared" si="129"/>
        <v>-1.2750521909113508</v>
      </c>
      <c r="J1207">
        <f t="shared" si="130"/>
        <v>-1.0575563391983565</v>
      </c>
      <c r="K1207">
        <f t="shared" si="131"/>
        <v>-1.5030088457671384</v>
      </c>
      <c r="L1207">
        <f t="shared" si="132"/>
        <v>-1.2854966353557953</v>
      </c>
    </row>
    <row r="1208" spans="1:12" x14ac:dyDescent="0.25">
      <c r="A1208" s="1">
        <v>41956</v>
      </c>
      <c r="B1208" s="6">
        <v>110.1996</v>
      </c>
      <c r="C1208" s="6">
        <v>10.9808</v>
      </c>
      <c r="D1208" s="6">
        <v>8980.67</v>
      </c>
      <c r="E1208" s="6">
        <v>0.94</v>
      </c>
      <c r="F1208" s="6">
        <f t="shared" si="126"/>
        <v>1.0444444444444444E-2</v>
      </c>
      <c r="G1208">
        <f t="shared" si="127"/>
        <v>1.5151794301127206</v>
      </c>
      <c r="H1208">
        <f t="shared" si="128"/>
        <v>0.37202584985512993</v>
      </c>
      <c r="I1208">
        <f t="shared" si="129"/>
        <v>0.69200970966312558</v>
      </c>
      <c r="J1208">
        <f t="shared" si="130"/>
        <v>1.058770896384718</v>
      </c>
      <c r="K1208">
        <f t="shared" si="131"/>
        <v>1.5047349856682761</v>
      </c>
      <c r="L1208">
        <f t="shared" si="132"/>
        <v>0.6815652652186811</v>
      </c>
    </row>
    <row r="1209" spans="1:12" x14ac:dyDescent="0.25">
      <c r="A1209" s="1">
        <v>41957</v>
      </c>
      <c r="B1209" s="6">
        <v>111.02200000000001</v>
      </c>
      <c r="C1209" s="6">
        <v>11.1028</v>
      </c>
      <c r="D1209" s="6">
        <v>8982.8799999999992</v>
      </c>
      <c r="E1209" s="6">
        <v>0.94</v>
      </c>
      <c r="F1209" s="6">
        <f t="shared" si="126"/>
        <v>1.0444444444444444E-2</v>
      </c>
      <c r="G1209">
        <f t="shared" si="127"/>
        <v>0.74628220066134698</v>
      </c>
      <c r="H1209">
        <f t="shared" si="128"/>
        <v>1.1110301617368488</v>
      </c>
      <c r="I1209">
        <f t="shared" si="129"/>
        <v>2.4608408949433915E-2</v>
      </c>
      <c r="J1209">
        <f t="shared" si="130"/>
        <v>0.51775469312789746</v>
      </c>
      <c r="K1209">
        <f t="shared" si="131"/>
        <v>0.73583775621690251</v>
      </c>
      <c r="L1209">
        <f t="shared" si="132"/>
        <v>1.4163964504989471E-2</v>
      </c>
    </row>
    <row r="1210" spans="1:12" x14ac:dyDescent="0.25">
      <c r="A1210" s="1">
        <v>41960</v>
      </c>
      <c r="B1210" s="6">
        <v>109.3772</v>
      </c>
      <c r="C1210" s="6">
        <v>10.8588</v>
      </c>
      <c r="D1210" s="6">
        <v>8884.39</v>
      </c>
      <c r="E1210" s="6">
        <v>0.94</v>
      </c>
      <c r="F1210" s="6">
        <f t="shared" si="126"/>
        <v>1.0444444444444444E-2</v>
      </c>
      <c r="G1210">
        <f t="shared" si="127"/>
        <v>-1.4815081695519838</v>
      </c>
      <c r="H1210">
        <f t="shared" si="128"/>
        <v>-2.1976438375905154</v>
      </c>
      <c r="I1210">
        <f t="shared" si="129"/>
        <v>-1.0964189658550463</v>
      </c>
      <c r="J1210">
        <f t="shared" si="130"/>
        <v>-1.0497768853184342</v>
      </c>
      <c r="K1210">
        <f t="shared" si="131"/>
        <v>-1.4919526139964283</v>
      </c>
      <c r="L1210">
        <f t="shared" si="132"/>
        <v>-1.1068634102994908</v>
      </c>
    </row>
    <row r="1211" spans="1:12" x14ac:dyDescent="0.25">
      <c r="A1211" s="1">
        <v>41961</v>
      </c>
      <c r="B1211" s="6">
        <v>108.14360000000001</v>
      </c>
      <c r="C1211" s="6">
        <v>10.736800000000001</v>
      </c>
      <c r="D1211" s="6">
        <v>8859.07</v>
      </c>
      <c r="E1211" s="6">
        <v>0.94</v>
      </c>
      <c r="F1211" s="6">
        <f t="shared" si="126"/>
        <v>1.0444444444444444E-2</v>
      </c>
      <c r="G1211">
        <f t="shared" si="127"/>
        <v>-1.1278401714434045</v>
      </c>
      <c r="H1211">
        <f t="shared" si="128"/>
        <v>-1.1235127270048244</v>
      </c>
      <c r="I1211">
        <f t="shared" si="129"/>
        <v>-0.28499424271108892</v>
      </c>
      <c r="J1211">
        <f t="shared" si="130"/>
        <v>-0.80092683069322801</v>
      </c>
      <c r="K1211">
        <f t="shared" si="131"/>
        <v>-1.138284615887849</v>
      </c>
      <c r="L1211">
        <f t="shared" si="132"/>
        <v>-0.29543868715553334</v>
      </c>
    </row>
    <row r="1212" spans="1:12" x14ac:dyDescent="0.25">
      <c r="A1212" s="1">
        <v>41962</v>
      </c>
      <c r="B1212" s="6">
        <v>111.84439999999999</v>
      </c>
      <c r="C1212" s="6">
        <v>10.940099999999999</v>
      </c>
      <c r="D1212" s="6">
        <v>8963.24</v>
      </c>
      <c r="E1212" s="6">
        <v>0.94</v>
      </c>
      <c r="F1212" s="6">
        <f t="shared" si="126"/>
        <v>1.0444444444444444E-2</v>
      </c>
      <c r="G1212">
        <f t="shared" si="127"/>
        <v>3.4221165191467517</v>
      </c>
      <c r="H1212">
        <f t="shared" si="128"/>
        <v>1.8934878175992724</v>
      </c>
      <c r="I1212">
        <f t="shared" si="129"/>
        <v>1.1758570594881863</v>
      </c>
      <c r="J1212">
        <f t="shared" si="130"/>
        <v>2.4005417133961617</v>
      </c>
      <c r="K1212">
        <f t="shared" si="131"/>
        <v>3.4116720747023073</v>
      </c>
      <c r="L1212">
        <f t="shared" si="132"/>
        <v>1.1654126150437418</v>
      </c>
    </row>
    <row r="1213" spans="1:12" x14ac:dyDescent="0.25">
      <c r="A1213" s="1">
        <v>41963</v>
      </c>
      <c r="B1213" s="6">
        <v>114.3115</v>
      </c>
      <c r="C1213" s="6">
        <v>11.4282</v>
      </c>
      <c r="D1213" s="6">
        <v>9078.8700000000008</v>
      </c>
      <c r="E1213" s="6">
        <v>0.94</v>
      </c>
      <c r="F1213" s="6">
        <f t="shared" si="126"/>
        <v>1.0444444444444444E-2</v>
      </c>
      <c r="G1213">
        <f t="shared" si="127"/>
        <v>2.2058323885684059</v>
      </c>
      <c r="H1213">
        <f t="shared" si="128"/>
        <v>4.4615679929799645</v>
      </c>
      <c r="I1213">
        <f t="shared" si="129"/>
        <v>1.2900469026825234</v>
      </c>
      <c r="J1213">
        <f t="shared" si="130"/>
        <v>1.5447323838755713</v>
      </c>
      <c r="K1213">
        <f t="shared" si="131"/>
        <v>2.1953879441239614</v>
      </c>
      <c r="L1213">
        <f t="shared" si="132"/>
        <v>1.2796024582380789</v>
      </c>
    </row>
    <row r="1214" spans="1:12" x14ac:dyDescent="0.25">
      <c r="A1214" s="1">
        <v>41964</v>
      </c>
      <c r="B1214" s="6">
        <v>113.9003</v>
      </c>
      <c r="C1214" s="6">
        <v>11.4282</v>
      </c>
      <c r="D1214" s="6">
        <v>9091.5300000000007</v>
      </c>
      <c r="E1214" s="6">
        <v>0.94</v>
      </c>
      <c r="F1214" s="6">
        <f t="shared" si="126"/>
        <v>1.0444444444444444E-2</v>
      </c>
      <c r="G1214">
        <f t="shared" si="127"/>
        <v>-0.3597188384370722</v>
      </c>
      <c r="H1214">
        <f t="shared" si="128"/>
        <v>0</v>
      </c>
      <c r="I1214">
        <f t="shared" si="129"/>
        <v>0.1394446665719396</v>
      </c>
      <c r="J1214">
        <f t="shared" si="130"/>
        <v>-0.26045656847083698</v>
      </c>
      <c r="K1214">
        <f t="shared" si="131"/>
        <v>-0.37016328288151662</v>
      </c>
      <c r="L1214">
        <f t="shared" si="132"/>
        <v>0.12900022212749515</v>
      </c>
    </row>
    <row r="1215" spans="1:12" x14ac:dyDescent="0.25">
      <c r="A1215" s="1">
        <v>41967</v>
      </c>
      <c r="B1215" s="6">
        <v>113.9003</v>
      </c>
      <c r="C1215" s="6">
        <v>11.3062</v>
      </c>
      <c r="D1215" s="6">
        <v>9122.33</v>
      </c>
      <c r="E1215" s="6">
        <v>0.94</v>
      </c>
      <c r="F1215" s="6">
        <f t="shared" si="126"/>
        <v>1.0444444444444444E-2</v>
      </c>
      <c r="G1215">
        <f t="shared" si="127"/>
        <v>0</v>
      </c>
      <c r="H1215">
        <f t="shared" si="128"/>
        <v>-1.0675346948775826</v>
      </c>
      <c r="I1215">
        <f t="shared" si="129"/>
        <v>0.33877686154034875</v>
      </c>
      <c r="J1215">
        <f t="shared" si="130"/>
        <v>-7.3489843141871791E-3</v>
      </c>
      <c r="K1215">
        <f t="shared" si="131"/>
        <v>-1.0444444444444444E-2</v>
      </c>
      <c r="L1215">
        <f t="shared" si="132"/>
        <v>0.32833241709590433</v>
      </c>
    </row>
    <row r="1216" spans="1:12" x14ac:dyDescent="0.25">
      <c r="A1216" s="1">
        <v>41968</v>
      </c>
      <c r="B1216" s="6">
        <v>114.3115</v>
      </c>
      <c r="C1216" s="6">
        <v>11.387499999999999</v>
      </c>
      <c r="D1216" s="6">
        <v>9116.24</v>
      </c>
      <c r="E1216" s="6">
        <v>0.94</v>
      </c>
      <c r="F1216" s="6">
        <f t="shared" si="126"/>
        <v>1.0444444444444444E-2</v>
      </c>
      <c r="G1216">
        <f t="shared" si="127"/>
        <v>0.36101748634550901</v>
      </c>
      <c r="H1216">
        <f t="shared" si="128"/>
        <v>0.71907449010276503</v>
      </c>
      <c r="I1216">
        <f t="shared" si="129"/>
        <v>-6.6759259969768087E-2</v>
      </c>
      <c r="J1216">
        <f t="shared" si="130"/>
        <v>0.24667236248053487</v>
      </c>
      <c r="K1216">
        <f t="shared" si="131"/>
        <v>0.35057304190106459</v>
      </c>
      <c r="L1216">
        <f t="shared" si="132"/>
        <v>-7.7203704414212537E-2</v>
      </c>
    </row>
    <row r="1217" spans="1:12" x14ac:dyDescent="0.25">
      <c r="A1217" s="1">
        <v>41969</v>
      </c>
      <c r="B1217" s="6">
        <v>114.3115</v>
      </c>
      <c r="C1217" s="6">
        <v>11.265499999999999</v>
      </c>
      <c r="D1217" s="6">
        <v>9122.39</v>
      </c>
      <c r="E1217" s="6">
        <v>0.94</v>
      </c>
      <c r="F1217" s="6">
        <f t="shared" si="126"/>
        <v>1.0444444444444444E-2</v>
      </c>
      <c r="G1217">
        <f t="shared" si="127"/>
        <v>0</v>
      </c>
      <c r="H1217">
        <f t="shared" si="128"/>
        <v>-1.0713501646542252</v>
      </c>
      <c r="I1217">
        <f t="shared" si="129"/>
        <v>6.7462023816832778E-2</v>
      </c>
      <c r="J1217">
        <f t="shared" si="130"/>
        <v>-7.3489843141871791E-3</v>
      </c>
      <c r="K1217">
        <f t="shared" si="131"/>
        <v>-1.0444444444444444E-2</v>
      </c>
      <c r="L1217">
        <f t="shared" si="132"/>
        <v>5.7017579372388334E-2</v>
      </c>
    </row>
    <row r="1218" spans="1:12" x14ac:dyDescent="0.25">
      <c r="A1218" s="1">
        <v>41970</v>
      </c>
      <c r="B1218" s="6">
        <v>115.1339</v>
      </c>
      <c r="C1218" s="6">
        <v>11.3468</v>
      </c>
      <c r="D1218" s="6">
        <v>9165.31</v>
      </c>
      <c r="E1218" s="6">
        <v>0.94</v>
      </c>
      <c r="F1218" s="6">
        <f t="shared" si="126"/>
        <v>1.0444444444444444E-2</v>
      </c>
      <c r="G1218">
        <f t="shared" si="127"/>
        <v>0.71943767687415683</v>
      </c>
      <c r="H1218">
        <f t="shared" si="128"/>
        <v>0.7216723625227518</v>
      </c>
      <c r="I1218">
        <f t="shared" si="129"/>
        <v>0.4704907376246803</v>
      </c>
      <c r="J1218">
        <f t="shared" si="130"/>
        <v>0.49886618399912119</v>
      </c>
      <c r="K1218">
        <f t="shared" si="131"/>
        <v>0.70899323242971235</v>
      </c>
      <c r="L1218">
        <f t="shared" si="132"/>
        <v>0.46004629318023588</v>
      </c>
    </row>
    <row r="1219" spans="1:12" x14ac:dyDescent="0.25">
      <c r="A1219" s="1">
        <v>41971</v>
      </c>
      <c r="B1219" s="6">
        <v>116.36750000000001</v>
      </c>
      <c r="C1219" s="6">
        <v>11.184200000000001</v>
      </c>
      <c r="D1219" s="6">
        <v>9187.15</v>
      </c>
      <c r="E1219" s="6">
        <v>0.94</v>
      </c>
      <c r="F1219" s="6">
        <f t="shared" ref="F1219:F1282" si="133">E1219/90</f>
        <v>1.0444444444444444E-2</v>
      </c>
      <c r="G1219">
        <f t="shared" si="127"/>
        <v>1.0714481138917469</v>
      </c>
      <c r="H1219">
        <f t="shared" si="128"/>
        <v>-1.4330031374484384</v>
      </c>
      <c r="I1219">
        <f t="shared" si="129"/>
        <v>0.23828981234677438</v>
      </c>
      <c r="J1219">
        <f t="shared" si="130"/>
        <v>0.74654993528265301</v>
      </c>
      <c r="K1219">
        <f t="shared" si="131"/>
        <v>1.0610036694473024</v>
      </c>
      <c r="L1219">
        <f t="shared" si="132"/>
        <v>0.22784536790232993</v>
      </c>
    </row>
    <row r="1220" spans="1:12" x14ac:dyDescent="0.25">
      <c r="A1220" s="1">
        <v>41974</v>
      </c>
      <c r="B1220" s="6">
        <v>115.1339</v>
      </c>
      <c r="C1220" s="6">
        <v>11.1028</v>
      </c>
      <c r="D1220" s="6">
        <v>9117.7099999999991</v>
      </c>
      <c r="E1220" s="6">
        <v>0.94</v>
      </c>
      <c r="F1220" s="6">
        <f t="shared" si="133"/>
        <v>1.0444444444444444E-2</v>
      </c>
      <c r="G1220">
        <f t="shared" ref="G1220:G1283" si="134">100*(B1220-B1219)/B1219</f>
        <v>-1.0600898017058111</v>
      </c>
      <c r="H1220">
        <f t="shared" ref="H1220:H1283" si="135">100*(C1220-C1219)/C1219</f>
        <v>-0.72781244970583825</v>
      </c>
      <c r="I1220">
        <f t="shared" ref="I1220:I1283" si="136">100*(D1220-D1219)/D1219</f>
        <v>-0.75583831765020182</v>
      </c>
      <c r="J1220">
        <f t="shared" ref="J1220:J1283" si="137">(G1220-F1220)/$N$3</f>
        <v>-0.75325589834921092</v>
      </c>
      <c r="K1220">
        <f t="shared" ref="K1220:K1283" si="138">G1220-F1220</f>
        <v>-1.0705342461502556</v>
      </c>
      <c r="L1220">
        <f t="shared" ref="L1220:L1283" si="139">I1220-F1220</f>
        <v>-0.7662827620946463</v>
      </c>
    </row>
    <row r="1221" spans="1:12" x14ac:dyDescent="0.25">
      <c r="A1221" s="1">
        <v>41975</v>
      </c>
      <c r="B1221" s="6">
        <v>113.0779</v>
      </c>
      <c r="C1221" s="6">
        <v>11.0215</v>
      </c>
      <c r="D1221" s="6">
        <v>9034.7900000000009</v>
      </c>
      <c r="E1221" s="6">
        <v>0.94</v>
      </c>
      <c r="F1221" s="6">
        <f t="shared" si="133"/>
        <v>1.0444444444444444E-2</v>
      </c>
      <c r="G1221">
        <f t="shared" si="134"/>
        <v>-1.7857468564862282</v>
      </c>
      <c r="H1221">
        <f t="shared" si="135"/>
        <v>-0.73224772129553439</v>
      </c>
      <c r="I1221">
        <f t="shared" si="136"/>
        <v>-0.90943888322833544</v>
      </c>
      <c r="J1221">
        <f t="shared" si="137"/>
        <v>-1.2638471836422425</v>
      </c>
      <c r="K1221">
        <f t="shared" si="138"/>
        <v>-1.7961913009306727</v>
      </c>
      <c r="L1221">
        <f t="shared" si="139"/>
        <v>-0.91988332767277992</v>
      </c>
    </row>
    <row r="1222" spans="1:12" x14ac:dyDescent="0.25">
      <c r="A1222" s="1">
        <v>41976</v>
      </c>
      <c r="B1222" s="6">
        <v>113.48909999999999</v>
      </c>
      <c r="C1222" s="6">
        <v>11.3062</v>
      </c>
      <c r="D1222" s="6">
        <v>9175.26</v>
      </c>
      <c r="E1222" s="6">
        <v>0.94</v>
      </c>
      <c r="F1222" s="6">
        <f t="shared" si="133"/>
        <v>1.0444444444444444E-2</v>
      </c>
      <c r="G1222">
        <f t="shared" si="134"/>
        <v>0.36364311682476752</v>
      </c>
      <c r="H1222">
        <f t="shared" si="135"/>
        <v>2.583132967381943</v>
      </c>
      <c r="I1222">
        <f t="shared" si="136"/>
        <v>1.5547677367155113</v>
      </c>
      <c r="J1222">
        <f t="shared" si="137"/>
        <v>0.24851982476630405</v>
      </c>
      <c r="K1222">
        <f t="shared" si="138"/>
        <v>0.3531986723803231</v>
      </c>
      <c r="L1222">
        <f t="shared" si="139"/>
        <v>1.5443232922710668</v>
      </c>
    </row>
    <row r="1223" spans="1:12" x14ac:dyDescent="0.25">
      <c r="A1223" s="1">
        <v>41977</v>
      </c>
      <c r="B1223" s="6">
        <v>114.3115</v>
      </c>
      <c r="C1223" s="6">
        <v>11.712899999999999</v>
      </c>
      <c r="D1223" s="6">
        <v>9225.11</v>
      </c>
      <c r="E1223" s="6">
        <v>0.94</v>
      </c>
      <c r="F1223" s="6">
        <f t="shared" si="133"/>
        <v>1.0444444444444444E-2</v>
      </c>
      <c r="G1223">
        <f t="shared" si="134"/>
        <v>0.72465108984034754</v>
      </c>
      <c r="H1223">
        <f t="shared" si="135"/>
        <v>3.5971413914489303</v>
      </c>
      <c r="I1223">
        <f t="shared" si="136"/>
        <v>0.54330885446298371</v>
      </c>
      <c r="J1223">
        <f t="shared" si="137"/>
        <v>0.50253447773324078</v>
      </c>
      <c r="K1223">
        <f t="shared" si="138"/>
        <v>0.71420664539590306</v>
      </c>
      <c r="L1223">
        <f t="shared" si="139"/>
        <v>0.53286441001853924</v>
      </c>
    </row>
    <row r="1224" spans="1:12" x14ac:dyDescent="0.25">
      <c r="A1224" s="1">
        <v>41978</v>
      </c>
      <c r="B1224" s="6">
        <v>113.0779</v>
      </c>
      <c r="C1224" s="6">
        <v>11.5909</v>
      </c>
      <c r="D1224" s="6">
        <v>9206.57</v>
      </c>
      <c r="E1224" s="6">
        <v>0.94</v>
      </c>
      <c r="F1224" s="6">
        <f t="shared" si="133"/>
        <v>1.0444444444444444E-2</v>
      </c>
      <c r="G1224">
        <f t="shared" si="134"/>
        <v>-1.079156515311229</v>
      </c>
      <c r="H1224">
        <f t="shared" si="135"/>
        <v>-1.0415866267107197</v>
      </c>
      <c r="I1224">
        <f t="shared" si="136"/>
        <v>-0.200973213327547</v>
      </c>
      <c r="J1224">
        <f t="shared" si="137"/>
        <v>-0.76667173678414546</v>
      </c>
      <c r="K1224">
        <f t="shared" si="138"/>
        <v>-1.0896009597556735</v>
      </c>
      <c r="L1224">
        <f t="shared" si="139"/>
        <v>-0.21141765777199145</v>
      </c>
    </row>
    <row r="1225" spans="1:12" x14ac:dyDescent="0.25">
      <c r="A1225" s="1">
        <v>41981</v>
      </c>
      <c r="B1225" s="6">
        <v>113.48909999999999</v>
      </c>
      <c r="C1225" s="6">
        <v>11.5909</v>
      </c>
      <c r="D1225" s="6">
        <v>9187.2900000000009</v>
      </c>
      <c r="E1225" s="6">
        <v>0.94</v>
      </c>
      <c r="F1225" s="6">
        <f t="shared" si="133"/>
        <v>1.0444444444444444E-2</v>
      </c>
      <c r="G1225">
        <f t="shared" si="134"/>
        <v>0.36364311682476752</v>
      </c>
      <c r="H1225">
        <f t="shared" si="135"/>
        <v>0</v>
      </c>
      <c r="I1225">
        <f t="shared" si="136"/>
        <v>-0.20941566728975977</v>
      </c>
      <c r="J1225">
        <f t="shared" si="137"/>
        <v>0.24851982476630405</v>
      </c>
      <c r="K1225">
        <f t="shared" si="138"/>
        <v>0.3531986723803231</v>
      </c>
      <c r="L1225">
        <f t="shared" si="139"/>
        <v>-0.21986011173420422</v>
      </c>
    </row>
    <row r="1226" spans="1:12" x14ac:dyDescent="0.25">
      <c r="A1226" s="1">
        <v>41982</v>
      </c>
      <c r="B1226" s="6">
        <v>113.48909999999999</v>
      </c>
      <c r="C1226" s="6">
        <v>11.5909</v>
      </c>
      <c r="D1226" s="6">
        <v>9128.9</v>
      </c>
      <c r="E1226" s="6">
        <v>0.94</v>
      </c>
      <c r="F1226" s="6">
        <f t="shared" si="133"/>
        <v>1.0444444444444444E-2</v>
      </c>
      <c r="G1226">
        <f t="shared" si="134"/>
        <v>0</v>
      </c>
      <c r="H1226">
        <f t="shared" si="135"/>
        <v>0</v>
      </c>
      <c r="I1226">
        <f t="shared" si="136"/>
        <v>-0.63555194186752817</v>
      </c>
      <c r="J1226">
        <f t="shared" si="137"/>
        <v>-7.3489843141871791E-3</v>
      </c>
      <c r="K1226">
        <f t="shared" si="138"/>
        <v>-1.0444444444444444E-2</v>
      </c>
      <c r="L1226">
        <f t="shared" si="139"/>
        <v>-0.64599638631197265</v>
      </c>
    </row>
    <row r="1227" spans="1:12" x14ac:dyDescent="0.25">
      <c r="A1227" s="1">
        <v>41983</v>
      </c>
      <c r="B1227" s="6">
        <v>111.84439999999999</v>
      </c>
      <c r="C1227" s="6">
        <v>11.265499999999999</v>
      </c>
      <c r="D1227" s="6">
        <v>9032.16</v>
      </c>
      <c r="E1227" s="6">
        <v>0.94</v>
      </c>
      <c r="F1227" s="6">
        <f t="shared" si="133"/>
        <v>1.0444444444444444E-2</v>
      </c>
      <c r="G1227">
        <f t="shared" si="134"/>
        <v>-1.4492140654917525</v>
      </c>
      <c r="H1227">
        <f t="shared" si="135"/>
        <v>-2.8073747508821589</v>
      </c>
      <c r="I1227">
        <f t="shared" si="136"/>
        <v>-1.0597114657844844</v>
      </c>
      <c r="J1227">
        <f t="shared" si="137"/>
        <v>-1.027053908960835</v>
      </c>
      <c r="K1227">
        <f t="shared" si="138"/>
        <v>-1.4596585099361969</v>
      </c>
      <c r="L1227">
        <f t="shared" si="139"/>
        <v>-1.0701559102289289</v>
      </c>
    </row>
    <row r="1228" spans="1:12" x14ac:dyDescent="0.25">
      <c r="A1228" s="1">
        <v>41984</v>
      </c>
      <c r="B1228" s="6">
        <v>110.6108</v>
      </c>
      <c r="C1228" s="6">
        <v>11.265499999999999</v>
      </c>
      <c r="D1228" s="6">
        <v>9013.07</v>
      </c>
      <c r="E1228" s="6">
        <v>0.94</v>
      </c>
      <c r="F1228" s="6">
        <f t="shared" si="133"/>
        <v>1.0444444444444444E-2</v>
      </c>
      <c r="G1228">
        <f t="shared" si="134"/>
        <v>-1.1029608992493103</v>
      </c>
      <c r="H1228">
        <f t="shared" si="135"/>
        <v>0</v>
      </c>
      <c r="I1228">
        <f t="shared" si="136"/>
        <v>-0.21135586614940552</v>
      </c>
      <c r="J1228">
        <f t="shared" si="137"/>
        <v>-0.78342112399189689</v>
      </c>
      <c r="K1228">
        <f t="shared" si="138"/>
        <v>-1.1134053436937548</v>
      </c>
      <c r="L1228">
        <f t="shared" si="139"/>
        <v>-0.22180031059384997</v>
      </c>
    </row>
    <row r="1229" spans="1:12" x14ac:dyDescent="0.25">
      <c r="A1229" s="1">
        <v>41985</v>
      </c>
      <c r="B1229" s="6">
        <v>111.02200000000001</v>
      </c>
      <c r="C1229" s="6">
        <v>11.2248</v>
      </c>
      <c r="D1229" s="6">
        <v>9027.33</v>
      </c>
      <c r="E1229" s="6">
        <v>0.94</v>
      </c>
      <c r="F1229" s="6">
        <f t="shared" si="133"/>
        <v>1.0444444444444444E-2</v>
      </c>
      <c r="G1229">
        <f t="shared" si="134"/>
        <v>0.37175393361227654</v>
      </c>
      <c r="H1229">
        <f t="shared" si="135"/>
        <v>-0.36128001420264788</v>
      </c>
      <c r="I1229">
        <f t="shared" si="136"/>
        <v>0.15821468156799201</v>
      </c>
      <c r="J1229">
        <f t="shared" si="137"/>
        <v>0.25422680761864286</v>
      </c>
      <c r="K1229">
        <f t="shared" si="138"/>
        <v>0.36130948916783212</v>
      </c>
      <c r="L1229">
        <f t="shared" si="139"/>
        <v>0.14777023712354756</v>
      </c>
    </row>
    <row r="1230" spans="1:12" x14ac:dyDescent="0.25">
      <c r="A1230" s="1">
        <v>41988</v>
      </c>
      <c r="B1230" s="6">
        <v>111.84439999999999</v>
      </c>
      <c r="C1230" s="6">
        <v>11.6722</v>
      </c>
      <c r="D1230" s="6">
        <v>8985.6299999999992</v>
      </c>
      <c r="E1230" s="6">
        <v>0.94</v>
      </c>
      <c r="F1230" s="6">
        <f t="shared" si="133"/>
        <v>1.0444444444444444E-2</v>
      </c>
      <c r="G1230">
        <f t="shared" si="134"/>
        <v>0.74075408477597915</v>
      </c>
      <c r="H1230">
        <f t="shared" si="135"/>
        <v>3.9858171192359775</v>
      </c>
      <c r="I1230">
        <f t="shared" si="136"/>
        <v>-0.46193060406566205</v>
      </c>
      <c r="J1230">
        <f t="shared" si="137"/>
        <v>0.51386496618792732</v>
      </c>
      <c r="K1230">
        <f t="shared" si="138"/>
        <v>0.73030964033153467</v>
      </c>
      <c r="L1230">
        <f t="shared" si="139"/>
        <v>-0.47237504851010648</v>
      </c>
    </row>
    <row r="1231" spans="1:12" x14ac:dyDescent="0.25">
      <c r="A1231" s="1">
        <v>41989</v>
      </c>
      <c r="B1231" s="6">
        <v>109.3772</v>
      </c>
      <c r="C1231" s="6">
        <v>11.3468</v>
      </c>
      <c r="D1231" s="6">
        <v>8950.91</v>
      </c>
      <c r="E1231" s="6">
        <v>0.94</v>
      </c>
      <c r="F1231" s="6">
        <f t="shared" si="133"/>
        <v>1.0444444444444444E-2</v>
      </c>
      <c r="G1231">
        <f t="shared" si="134"/>
        <v>-2.2059217984986206</v>
      </c>
      <c r="H1231">
        <f t="shared" si="135"/>
        <v>-2.7878206336423306</v>
      </c>
      <c r="I1231">
        <f t="shared" si="136"/>
        <v>-0.38639472134952529</v>
      </c>
      <c r="J1231">
        <f t="shared" si="137"/>
        <v>-1.5594932636696066</v>
      </c>
      <c r="K1231">
        <f t="shared" si="138"/>
        <v>-2.2163662429430651</v>
      </c>
      <c r="L1231">
        <f t="shared" si="139"/>
        <v>-0.39683916579396972</v>
      </c>
    </row>
    <row r="1232" spans="1:12" x14ac:dyDescent="0.25">
      <c r="A1232" s="1">
        <v>41990</v>
      </c>
      <c r="B1232" s="6">
        <v>107.3212</v>
      </c>
      <c r="C1232" s="6">
        <v>11.062099999999999</v>
      </c>
      <c r="D1232" s="6">
        <v>8828.36</v>
      </c>
      <c r="E1232" s="6">
        <v>0.94</v>
      </c>
      <c r="F1232" s="6">
        <f t="shared" si="133"/>
        <v>1.0444444444444444E-2</v>
      </c>
      <c r="G1232">
        <f t="shared" si="134"/>
        <v>-1.8797336190723455</v>
      </c>
      <c r="H1232">
        <f t="shared" si="135"/>
        <v>-2.5090774491486663</v>
      </c>
      <c r="I1232">
        <f t="shared" si="136"/>
        <v>-1.369134534924374</v>
      </c>
      <c r="J1232">
        <f t="shared" si="137"/>
        <v>-1.3299787282792583</v>
      </c>
      <c r="K1232">
        <f t="shared" si="138"/>
        <v>-1.89017806351679</v>
      </c>
      <c r="L1232">
        <f t="shared" si="139"/>
        <v>-1.3795789793688185</v>
      </c>
    </row>
    <row r="1233" spans="1:12" x14ac:dyDescent="0.25">
      <c r="A1233" s="1">
        <v>41991</v>
      </c>
      <c r="B1233" s="6">
        <v>108.14360000000001</v>
      </c>
      <c r="C1233" s="6">
        <v>11.3468</v>
      </c>
      <c r="D1233" s="6">
        <v>8878.6299999999992</v>
      </c>
      <c r="E1233" s="6">
        <v>0.94</v>
      </c>
      <c r="F1233" s="6">
        <f t="shared" si="133"/>
        <v>1.0444444444444444E-2</v>
      </c>
      <c r="G1233">
        <f t="shared" si="134"/>
        <v>0.76629780509349665</v>
      </c>
      <c r="H1233">
        <f t="shared" si="135"/>
        <v>2.5736523806510596</v>
      </c>
      <c r="I1233">
        <f t="shared" si="136"/>
        <v>0.56941493097244122</v>
      </c>
      <c r="J1233">
        <f t="shared" si="137"/>
        <v>0.5318381959693611</v>
      </c>
      <c r="K1233">
        <f t="shared" si="138"/>
        <v>0.75585336064905218</v>
      </c>
      <c r="L1233">
        <f t="shared" si="139"/>
        <v>0.55897048652799675</v>
      </c>
    </row>
    <row r="1234" spans="1:12" x14ac:dyDescent="0.25">
      <c r="A1234" s="1">
        <v>41992</v>
      </c>
      <c r="B1234" s="6">
        <v>113.48909999999999</v>
      </c>
      <c r="C1234" s="6">
        <v>11.5909</v>
      </c>
      <c r="D1234" s="6">
        <v>8999.52</v>
      </c>
      <c r="E1234" s="6">
        <v>0.94</v>
      </c>
      <c r="F1234" s="6">
        <f t="shared" si="133"/>
        <v>1.0444444444444444E-2</v>
      </c>
      <c r="G1234">
        <f t="shared" si="134"/>
        <v>4.9429647246808752</v>
      </c>
      <c r="H1234">
        <f t="shared" si="135"/>
        <v>2.1512673176578376</v>
      </c>
      <c r="I1234">
        <f t="shared" si="136"/>
        <v>1.3615839380625305</v>
      </c>
      <c r="J1234">
        <f t="shared" si="137"/>
        <v>3.4706502927639269</v>
      </c>
      <c r="K1234">
        <f t="shared" si="138"/>
        <v>4.9325202802364307</v>
      </c>
      <c r="L1234">
        <f t="shared" si="139"/>
        <v>1.3511394936180861</v>
      </c>
    </row>
    <row r="1235" spans="1:12" x14ac:dyDescent="0.25">
      <c r="A1235" s="1">
        <v>41995</v>
      </c>
      <c r="B1235" s="6">
        <v>113.9003</v>
      </c>
      <c r="C1235" s="6">
        <v>11.753500000000001</v>
      </c>
      <c r="D1235" s="6">
        <v>9095</v>
      </c>
      <c r="E1235" s="6">
        <v>0.94</v>
      </c>
      <c r="F1235" s="6">
        <f t="shared" si="133"/>
        <v>1.0444444444444444E-2</v>
      </c>
      <c r="G1235">
        <f t="shared" si="134"/>
        <v>0.36232554492018004</v>
      </c>
      <c r="H1235">
        <f t="shared" si="135"/>
        <v>1.4028246296663864</v>
      </c>
      <c r="I1235">
        <f t="shared" si="136"/>
        <v>1.0609454726474252</v>
      </c>
      <c r="J1235">
        <f t="shared" si="137"/>
        <v>0.24759274670953124</v>
      </c>
      <c r="K1235">
        <f t="shared" si="138"/>
        <v>0.35188110047573562</v>
      </c>
      <c r="L1235">
        <f t="shared" si="139"/>
        <v>1.0505010282029807</v>
      </c>
    </row>
    <row r="1236" spans="1:12" x14ac:dyDescent="0.25">
      <c r="A1236" s="1">
        <v>41996</v>
      </c>
      <c r="B1236" s="6">
        <v>113.0779</v>
      </c>
      <c r="C1236" s="6">
        <v>11.9975</v>
      </c>
      <c r="D1236" s="6">
        <v>9097.7099999999991</v>
      </c>
      <c r="E1236" s="6">
        <v>0.94</v>
      </c>
      <c r="F1236" s="6">
        <f t="shared" si="133"/>
        <v>1.0444444444444444E-2</v>
      </c>
      <c r="G1236">
        <f t="shared" si="134"/>
        <v>-0.72203497269103045</v>
      </c>
      <c r="H1236">
        <f t="shared" si="135"/>
        <v>2.0759773684434402</v>
      </c>
      <c r="I1236">
        <f t="shared" si="136"/>
        <v>2.9796591533800185E-2</v>
      </c>
      <c r="J1236">
        <f t="shared" si="137"/>
        <v>-0.51539167790364004</v>
      </c>
      <c r="K1236">
        <f t="shared" si="138"/>
        <v>-0.73247941713547493</v>
      </c>
      <c r="L1236">
        <f t="shared" si="139"/>
        <v>1.9352147089355742E-2</v>
      </c>
    </row>
    <row r="1237" spans="1:12" x14ac:dyDescent="0.25">
      <c r="A1237" s="1">
        <v>41997</v>
      </c>
      <c r="B1237" s="6">
        <v>113.48909999999999</v>
      </c>
      <c r="C1237" s="6">
        <v>12.078900000000001</v>
      </c>
      <c r="D1237" s="6">
        <v>9186.18</v>
      </c>
      <c r="E1237" s="6">
        <v>0.94</v>
      </c>
      <c r="F1237" s="6">
        <f t="shared" si="133"/>
        <v>1.0444444444444444E-2</v>
      </c>
      <c r="G1237">
        <f t="shared" si="134"/>
        <v>0.36364311682476752</v>
      </c>
      <c r="H1237">
        <f t="shared" si="135"/>
        <v>0.67847468222546659</v>
      </c>
      <c r="I1237">
        <f t="shared" si="136"/>
        <v>0.97244251575397733</v>
      </c>
      <c r="J1237">
        <f t="shared" si="137"/>
        <v>0.24851982476630405</v>
      </c>
      <c r="K1237">
        <f t="shared" si="138"/>
        <v>0.3531986723803231</v>
      </c>
      <c r="L1237">
        <f t="shared" si="139"/>
        <v>0.96199807130953285</v>
      </c>
    </row>
    <row r="1238" spans="1:12" x14ac:dyDescent="0.25">
      <c r="A1238" s="1">
        <v>41998</v>
      </c>
      <c r="B1238" s="6">
        <v>113.0779</v>
      </c>
      <c r="C1238" s="6">
        <v>11.956899999999999</v>
      </c>
      <c r="D1238" s="6">
        <v>9158.7000000000007</v>
      </c>
      <c r="E1238" s="6">
        <v>0.94</v>
      </c>
      <c r="F1238" s="6">
        <f t="shared" si="133"/>
        <v>1.0444444444444444E-2</v>
      </c>
      <c r="G1238">
        <f t="shared" si="134"/>
        <v>-0.3623255449201675</v>
      </c>
      <c r="H1238">
        <f t="shared" si="135"/>
        <v>-1.0100257473776721</v>
      </c>
      <c r="I1238">
        <f t="shared" si="136"/>
        <v>-0.29914502001919802</v>
      </c>
      <c r="J1238">
        <f t="shared" si="137"/>
        <v>-0.26229071533789672</v>
      </c>
      <c r="K1238">
        <f t="shared" si="138"/>
        <v>-0.37276998936461192</v>
      </c>
      <c r="L1238">
        <f t="shared" si="139"/>
        <v>-0.30958946446364244</v>
      </c>
    </row>
    <row r="1239" spans="1:12" x14ac:dyDescent="0.25">
      <c r="A1239" s="1">
        <v>41999</v>
      </c>
      <c r="B1239" s="6">
        <v>114.3115</v>
      </c>
      <c r="C1239" s="6">
        <v>12.0382</v>
      </c>
      <c r="D1239" s="6">
        <v>9214.07</v>
      </c>
      <c r="E1239" s="6">
        <v>0.94</v>
      </c>
      <c r="F1239" s="6">
        <f t="shared" si="133"/>
        <v>1.0444444444444444E-2</v>
      </c>
      <c r="G1239">
        <f t="shared" si="134"/>
        <v>1.0909293504743152</v>
      </c>
      <c r="H1239">
        <f t="shared" si="135"/>
        <v>0.67994212546730837</v>
      </c>
      <c r="I1239">
        <f t="shared" si="136"/>
        <v>0.60456178278575534</v>
      </c>
      <c r="J1239">
        <f t="shared" si="137"/>
        <v>0.76025744292729525</v>
      </c>
      <c r="K1239">
        <f t="shared" si="138"/>
        <v>1.0804849060298707</v>
      </c>
      <c r="L1239">
        <f t="shared" si="139"/>
        <v>0.59411733834131086</v>
      </c>
    </row>
    <row r="1240" spans="1:12" x14ac:dyDescent="0.25">
      <c r="A1240" s="1">
        <v>42000</v>
      </c>
      <c r="B1240" s="6">
        <v>113.9003</v>
      </c>
      <c r="C1240" s="6">
        <v>11.9975</v>
      </c>
      <c r="D1240" s="6">
        <v>9218.5</v>
      </c>
      <c r="E1240" s="6">
        <v>0.94</v>
      </c>
      <c r="F1240" s="6">
        <f t="shared" si="133"/>
        <v>1.0444444444444444E-2</v>
      </c>
      <c r="G1240">
        <f t="shared" si="134"/>
        <v>-0.3597188384370722</v>
      </c>
      <c r="H1240">
        <f t="shared" si="135"/>
        <v>-0.33809041218786273</v>
      </c>
      <c r="I1240">
        <f t="shared" si="136"/>
        <v>4.8078644941923508E-2</v>
      </c>
      <c r="J1240">
        <f t="shared" si="137"/>
        <v>-0.26045656847083698</v>
      </c>
      <c r="K1240">
        <f t="shared" si="138"/>
        <v>-0.37016328288151662</v>
      </c>
      <c r="L1240">
        <f t="shared" si="139"/>
        <v>3.7634200497479064E-2</v>
      </c>
    </row>
    <row r="1241" spans="1:12" x14ac:dyDescent="0.25">
      <c r="A1241" s="1">
        <v>42002</v>
      </c>
      <c r="B1241" s="6">
        <v>115.9563</v>
      </c>
      <c r="C1241" s="6">
        <v>11.956899999999999</v>
      </c>
      <c r="D1241" s="6">
        <v>9286.2800000000007</v>
      </c>
      <c r="E1241" s="6">
        <v>0.94</v>
      </c>
      <c r="F1241" s="6">
        <f t="shared" si="133"/>
        <v>1.0444444444444444E-2</v>
      </c>
      <c r="G1241">
        <f t="shared" si="134"/>
        <v>1.80508743172757</v>
      </c>
      <c r="H1241">
        <f t="shared" si="135"/>
        <v>-0.33840383413212172</v>
      </c>
      <c r="I1241">
        <f t="shared" si="136"/>
        <v>0.73526061723708469</v>
      </c>
      <c r="J1241">
        <f t="shared" si="137"/>
        <v>1.2627577496594404</v>
      </c>
      <c r="K1241">
        <f t="shared" si="138"/>
        <v>1.7946429872831255</v>
      </c>
      <c r="L1241">
        <f t="shared" si="139"/>
        <v>0.72481617279264021</v>
      </c>
    </row>
    <row r="1242" spans="1:12" x14ac:dyDescent="0.25">
      <c r="A1242" s="1">
        <v>42003</v>
      </c>
      <c r="B1242" s="6">
        <v>115.1339</v>
      </c>
      <c r="C1242" s="6">
        <v>11.7942</v>
      </c>
      <c r="D1242" s="6">
        <v>9268.43</v>
      </c>
      <c r="E1242" s="6">
        <v>0.94</v>
      </c>
      <c r="F1242" s="6">
        <f t="shared" si="133"/>
        <v>1.0444444444444444E-2</v>
      </c>
      <c r="G1242">
        <f t="shared" si="134"/>
        <v>-0.70923270231975477</v>
      </c>
      <c r="H1242">
        <f t="shared" si="135"/>
        <v>-1.3607205881122966</v>
      </c>
      <c r="I1242">
        <f t="shared" si="136"/>
        <v>-0.19221905865427666</v>
      </c>
      <c r="J1242">
        <f t="shared" si="137"/>
        <v>-0.50638366559193371</v>
      </c>
      <c r="K1242">
        <f t="shared" si="138"/>
        <v>-0.71967714676419925</v>
      </c>
      <c r="L1242">
        <f t="shared" si="139"/>
        <v>-0.20266350309872111</v>
      </c>
    </row>
    <row r="1243" spans="1:12" x14ac:dyDescent="0.25">
      <c r="A1243" s="1">
        <v>42004</v>
      </c>
      <c r="B1243" s="6">
        <v>115.9563</v>
      </c>
      <c r="C1243" s="6">
        <v>11.9975</v>
      </c>
      <c r="D1243" s="6">
        <v>9307.26</v>
      </c>
      <c r="E1243" s="6">
        <v>0.94</v>
      </c>
      <c r="F1243" s="6">
        <f t="shared" si="133"/>
        <v>1.0444444444444444E-2</v>
      </c>
      <c r="G1243">
        <f t="shared" si="134"/>
        <v>0.71429874259449377</v>
      </c>
      <c r="H1243">
        <f t="shared" si="135"/>
        <v>1.7237286123687956</v>
      </c>
      <c r="I1243">
        <f t="shared" si="136"/>
        <v>0.4189490560968786</v>
      </c>
      <c r="J1243">
        <f t="shared" si="137"/>
        <v>0.49525029541703669</v>
      </c>
      <c r="K1243">
        <f t="shared" si="138"/>
        <v>0.7038542981500493</v>
      </c>
      <c r="L1243">
        <f t="shared" si="139"/>
        <v>0.40850461165243418</v>
      </c>
    </row>
    <row r="1244" spans="1:12" x14ac:dyDescent="0.25">
      <c r="A1244" s="1">
        <v>42009</v>
      </c>
      <c r="B1244" s="6">
        <v>114.7227</v>
      </c>
      <c r="C1244" s="6">
        <v>12.404199999999999</v>
      </c>
      <c r="D1244" s="6">
        <v>9274.11</v>
      </c>
      <c r="E1244" s="6">
        <v>0.94</v>
      </c>
      <c r="F1244" s="6">
        <f t="shared" si="133"/>
        <v>1.0444444444444444E-2</v>
      </c>
      <c r="G1244">
        <f t="shared" si="134"/>
        <v>-1.0638490534796261</v>
      </c>
      <c r="H1244">
        <f t="shared" si="135"/>
        <v>3.3898728901854462</v>
      </c>
      <c r="I1244">
        <f t="shared" si="136"/>
        <v>-0.35617356773099318</v>
      </c>
      <c r="J1244">
        <f t="shared" si="137"/>
        <v>-0.7559010062308027</v>
      </c>
      <c r="K1244">
        <f t="shared" si="138"/>
        <v>-1.0742934979240706</v>
      </c>
      <c r="L1244">
        <f t="shared" si="139"/>
        <v>-0.3666180121754376</v>
      </c>
    </row>
    <row r="1245" spans="1:12" x14ac:dyDescent="0.25">
      <c r="A1245" s="1">
        <v>42010</v>
      </c>
      <c r="B1245" s="6">
        <v>109.7884</v>
      </c>
      <c r="C1245" s="6">
        <v>11.9975</v>
      </c>
      <c r="D1245" s="6">
        <v>9048.34</v>
      </c>
      <c r="E1245" s="6">
        <v>0.94</v>
      </c>
      <c r="F1245" s="6">
        <f t="shared" si="133"/>
        <v>1.0444444444444444E-2</v>
      </c>
      <c r="G1245">
        <f t="shared" si="134"/>
        <v>-4.3010668333294175</v>
      </c>
      <c r="H1245">
        <f t="shared" si="135"/>
        <v>-3.278728172715685</v>
      </c>
      <c r="I1245">
        <f t="shared" si="136"/>
        <v>-2.4344114960896563</v>
      </c>
      <c r="J1245">
        <f t="shared" si="137"/>
        <v>-3.0336921144384164</v>
      </c>
      <c r="K1245">
        <f t="shared" si="138"/>
        <v>-4.311511277773862</v>
      </c>
      <c r="L1245">
        <f t="shared" si="139"/>
        <v>-2.4448559405341008</v>
      </c>
    </row>
    <row r="1246" spans="1:12" x14ac:dyDescent="0.25">
      <c r="A1246" s="1">
        <v>42011</v>
      </c>
      <c r="B1246" s="6">
        <v>110.1996</v>
      </c>
      <c r="C1246" s="6">
        <v>12.0382</v>
      </c>
      <c r="D1246" s="6">
        <v>9080.09</v>
      </c>
      <c r="E1246" s="6">
        <v>0.94</v>
      </c>
      <c r="F1246" s="6">
        <f t="shared" si="133"/>
        <v>1.0444444444444444E-2</v>
      </c>
      <c r="G1246">
        <f t="shared" si="134"/>
        <v>0.37453865800030606</v>
      </c>
      <c r="H1246">
        <f t="shared" si="135"/>
        <v>0.33923734111272591</v>
      </c>
      <c r="I1246">
        <f t="shared" si="136"/>
        <v>0.35089309199256435</v>
      </c>
      <c r="J1246">
        <f t="shared" si="137"/>
        <v>0.25618621254016061</v>
      </c>
      <c r="K1246">
        <f t="shared" si="138"/>
        <v>0.36409421355586163</v>
      </c>
      <c r="L1246">
        <f t="shared" si="139"/>
        <v>0.34044864754811993</v>
      </c>
    </row>
    <row r="1247" spans="1:12" x14ac:dyDescent="0.25">
      <c r="A1247" s="1">
        <v>42012</v>
      </c>
      <c r="B1247" s="6">
        <v>113.48909999999999</v>
      </c>
      <c r="C1247" s="6">
        <v>12.1196</v>
      </c>
      <c r="D1247" s="6">
        <v>9238.0300000000007</v>
      </c>
      <c r="E1247" s="6">
        <v>0.94</v>
      </c>
      <c r="F1247" s="6">
        <f t="shared" si="133"/>
        <v>1.0444444444444444E-2</v>
      </c>
      <c r="G1247">
        <f t="shared" si="134"/>
        <v>2.9850380582143581</v>
      </c>
      <c r="H1247">
        <f t="shared" si="135"/>
        <v>0.67618082437574023</v>
      </c>
      <c r="I1247">
        <f t="shared" si="136"/>
        <v>1.7394100719266055</v>
      </c>
      <c r="J1247">
        <f t="shared" si="137"/>
        <v>2.0930018752988095</v>
      </c>
      <c r="K1247">
        <f t="shared" si="138"/>
        <v>2.9745936137699136</v>
      </c>
      <c r="L1247">
        <f t="shared" si="139"/>
        <v>1.728965627482161</v>
      </c>
    </row>
    <row r="1248" spans="1:12" x14ac:dyDescent="0.25">
      <c r="A1248" s="1">
        <v>42013</v>
      </c>
      <c r="B1248" s="6">
        <v>110.1996</v>
      </c>
      <c r="C1248" s="6">
        <v>12.2822</v>
      </c>
      <c r="D1248" s="6">
        <v>9215.58</v>
      </c>
      <c r="E1248" s="6">
        <v>0.94</v>
      </c>
      <c r="F1248" s="6">
        <f t="shared" si="133"/>
        <v>1.0444444444444444E-2</v>
      </c>
      <c r="G1248">
        <f t="shared" si="134"/>
        <v>-2.8985162451724351</v>
      </c>
      <c r="H1248">
        <f t="shared" si="135"/>
        <v>1.3416284365820605</v>
      </c>
      <c r="I1248">
        <f t="shared" si="136"/>
        <v>-0.24301718006978465</v>
      </c>
      <c r="J1248">
        <f t="shared" si="137"/>
        <v>-2.0468208330556821</v>
      </c>
      <c r="K1248">
        <f t="shared" si="138"/>
        <v>-2.9089606896168796</v>
      </c>
      <c r="L1248">
        <f t="shared" si="139"/>
        <v>-0.2534616245142291</v>
      </c>
    </row>
    <row r="1249" spans="1:12" x14ac:dyDescent="0.25">
      <c r="A1249" s="1">
        <v>42016</v>
      </c>
      <c r="B1249" s="6">
        <v>108.5548</v>
      </c>
      <c r="C1249" s="6">
        <v>12.8109</v>
      </c>
      <c r="D1249" s="6">
        <v>9178.2999999999993</v>
      </c>
      <c r="E1249" s="6">
        <v>0.94</v>
      </c>
      <c r="F1249" s="6">
        <f t="shared" si="133"/>
        <v>1.0444444444444444E-2</v>
      </c>
      <c r="G1249">
        <f t="shared" si="134"/>
        <v>-1.492564401322694</v>
      </c>
      <c r="H1249">
        <f t="shared" si="135"/>
        <v>4.3046034098125796</v>
      </c>
      <c r="I1249">
        <f t="shared" si="136"/>
        <v>-0.40453232460681426</v>
      </c>
      <c r="J1249">
        <f t="shared" si="137"/>
        <v>-1.0575563391983565</v>
      </c>
      <c r="K1249">
        <f t="shared" si="138"/>
        <v>-1.5030088457671384</v>
      </c>
      <c r="L1249">
        <f t="shared" si="139"/>
        <v>-0.41497676905125869</v>
      </c>
    </row>
    <row r="1250" spans="1:12" x14ac:dyDescent="0.25">
      <c r="A1250" s="1">
        <v>42017</v>
      </c>
      <c r="B1250" s="6">
        <v>108.96599999999999</v>
      </c>
      <c r="C1250" s="6">
        <v>12.648300000000001</v>
      </c>
      <c r="D1250" s="6">
        <v>9231.7999999999993</v>
      </c>
      <c r="E1250" s="6">
        <v>0.94</v>
      </c>
      <c r="F1250" s="6">
        <f t="shared" si="133"/>
        <v>1.0444444444444444E-2</v>
      </c>
      <c r="G1250">
        <f t="shared" si="134"/>
        <v>0.3787948575281736</v>
      </c>
      <c r="H1250">
        <f t="shared" si="135"/>
        <v>-1.269231669906091</v>
      </c>
      <c r="I1250">
        <f t="shared" si="136"/>
        <v>0.58289661484152844</v>
      </c>
      <c r="J1250">
        <f t="shared" si="137"/>
        <v>0.25918098586053451</v>
      </c>
      <c r="K1250">
        <f t="shared" si="138"/>
        <v>0.36835041308372918</v>
      </c>
      <c r="L1250">
        <f t="shared" si="139"/>
        <v>0.57245217039708396</v>
      </c>
    </row>
    <row r="1251" spans="1:12" x14ac:dyDescent="0.25">
      <c r="A1251" s="1">
        <v>42018</v>
      </c>
      <c r="B1251" s="6">
        <v>106.91</v>
      </c>
      <c r="C1251" s="6">
        <v>12.404199999999999</v>
      </c>
      <c r="D1251" s="6">
        <v>9180.23</v>
      </c>
      <c r="E1251" s="6">
        <v>0.94</v>
      </c>
      <c r="F1251" s="6">
        <f t="shared" si="133"/>
        <v>1.0444444444444444E-2</v>
      </c>
      <c r="G1251">
        <f t="shared" si="134"/>
        <v>-1.886827083677475</v>
      </c>
      <c r="H1251">
        <f t="shared" si="135"/>
        <v>-1.9299036234118523</v>
      </c>
      <c r="I1251">
        <f t="shared" si="136"/>
        <v>-0.55861262159058589</v>
      </c>
      <c r="J1251">
        <f t="shared" si="137"/>
        <v>-1.3349698755244397</v>
      </c>
      <c r="K1251">
        <f t="shared" si="138"/>
        <v>-1.8972715281219195</v>
      </c>
      <c r="L1251">
        <f t="shared" si="139"/>
        <v>-0.56905706603503037</v>
      </c>
    </row>
    <row r="1252" spans="1:12" x14ac:dyDescent="0.25">
      <c r="A1252" s="1">
        <v>42019</v>
      </c>
      <c r="B1252" s="6">
        <v>108.14360000000001</v>
      </c>
      <c r="C1252" s="6">
        <v>12.2416</v>
      </c>
      <c r="D1252" s="6">
        <v>9165.09</v>
      </c>
      <c r="E1252" s="6">
        <v>0.94</v>
      </c>
      <c r="F1252" s="6">
        <f t="shared" si="133"/>
        <v>1.0444444444444444E-2</v>
      </c>
      <c r="G1252">
        <f t="shared" si="134"/>
        <v>1.1538677392199137</v>
      </c>
      <c r="H1252">
        <f t="shared" si="135"/>
        <v>-1.3108463262443319</v>
      </c>
      <c r="I1252">
        <f t="shared" si="136"/>
        <v>-0.16491961530374968</v>
      </c>
      <c r="J1252">
        <f t="shared" si="137"/>
        <v>0.80454253957479072</v>
      </c>
      <c r="K1252">
        <f t="shared" si="138"/>
        <v>1.1434232947754692</v>
      </c>
      <c r="L1252">
        <f t="shared" si="139"/>
        <v>-0.17536405974819413</v>
      </c>
    </row>
    <row r="1253" spans="1:12" x14ac:dyDescent="0.25">
      <c r="A1253" s="1">
        <v>42020</v>
      </c>
      <c r="B1253" s="6">
        <v>112.66670000000001</v>
      </c>
      <c r="C1253" s="6">
        <v>11.956899999999999</v>
      </c>
      <c r="D1253" s="6">
        <v>9138.2900000000009</v>
      </c>
      <c r="E1253" s="6">
        <v>0.94</v>
      </c>
      <c r="F1253" s="6">
        <f t="shared" si="133"/>
        <v>1.0444444444444444E-2</v>
      </c>
      <c r="G1253">
        <f t="shared" si="134"/>
        <v>4.1824943870927171</v>
      </c>
      <c r="H1253">
        <f t="shared" si="135"/>
        <v>-2.3256763821722721</v>
      </c>
      <c r="I1253">
        <f t="shared" si="136"/>
        <v>-0.29241393155985673</v>
      </c>
      <c r="J1253">
        <f t="shared" si="137"/>
        <v>2.9355634710505223</v>
      </c>
      <c r="K1253">
        <f t="shared" si="138"/>
        <v>4.1720499426482727</v>
      </c>
      <c r="L1253">
        <f t="shared" si="139"/>
        <v>-0.30285837600430116</v>
      </c>
    </row>
    <row r="1254" spans="1:12" x14ac:dyDescent="0.25">
      <c r="A1254" s="1">
        <v>42023</v>
      </c>
      <c r="B1254" s="6">
        <v>114.3115</v>
      </c>
      <c r="C1254" s="6">
        <v>12.2416</v>
      </c>
      <c r="D1254" s="6">
        <v>9174.06</v>
      </c>
      <c r="E1254" s="6">
        <v>0.94</v>
      </c>
      <c r="F1254" s="6">
        <f t="shared" si="133"/>
        <v>1.0444444444444444E-2</v>
      </c>
      <c r="G1254">
        <f t="shared" si="134"/>
        <v>1.4598812248872022</v>
      </c>
      <c r="H1254">
        <f t="shared" si="135"/>
        <v>2.3810519449021141</v>
      </c>
      <c r="I1254">
        <f t="shared" si="136"/>
        <v>0.39142990647045139</v>
      </c>
      <c r="J1254">
        <f t="shared" si="137"/>
        <v>1.0198616327118952</v>
      </c>
      <c r="K1254">
        <f t="shared" si="138"/>
        <v>1.4494367804427577</v>
      </c>
      <c r="L1254">
        <f t="shared" si="139"/>
        <v>0.38098546202600697</v>
      </c>
    </row>
    <row r="1255" spans="1:12" x14ac:dyDescent="0.25">
      <c r="A1255" s="1">
        <v>42024</v>
      </c>
      <c r="B1255" s="6">
        <v>113.48909999999999</v>
      </c>
      <c r="C1255" s="6">
        <v>12.3636</v>
      </c>
      <c r="D1255" s="6">
        <v>9251.69</v>
      </c>
      <c r="E1255" s="6">
        <v>0.94</v>
      </c>
      <c r="F1255" s="6">
        <f t="shared" si="133"/>
        <v>1.0444444444444444E-2</v>
      </c>
      <c r="G1255">
        <f t="shared" si="134"/>
        <v>-0.71943767687415683</v>
      </c>
      <c r="H1255">
        <f t="shared" si="135"/>
        <v>0.99660175140504415</v>
      </c>
      <c r="I1255">
        <f t="shared" si="136"/>
        <v>0.84619023638390223</v>
      </c>
      <c r="J1255">
        <f t="shared" si="137"/>
        <v>-0.51356415262749555</v>
      </c>
      <c r="K1255">
        <f t="shared" si="138"/>
        <v>-0.72988212131860131</v>
      </c>
      <c r="L1255">
        <f t="shared" si="139"/>
        <v>0.83574579193945775</v>
      </c>
    </row>
    <row r="1256" spans="1:12" x14ac:dyDescent="0.25">
      <c r="A1256" s="1">
        <v>42025</v>
      </c>
      <c r="B1256" s="6">
        <v>115.9563</v>
      </c>
      <c r="C1256" s="6">
        <v>12.322900000000001</v>
      </c>
      <c r="D1256" s="6">
        <v>9319.7099999999991</v>
      </c>
      <c r="E1256" s="6">
        <v>0.94</v>
      </c>
      <c r="F1256" s="6">
        <f t="shared" si="133"/>
        <v>1.0444444444444444E-2</v>
      </c>
      <c r="G1256">
        <f t="shared" si="134"/>
        <v>2.1739532695210424</v>
      </c>
      <c r="H1256">
        <f t="shared" si="135"/>
        <v>-0.32919214468277275</v>
      </c>
      <c r="I1256">
        <f t="shared" si="136"/>
        <v>0.73521702521375676</v>
      </c>
      <c r="J1256">
        <f t="shared" si="137"/>
        <v>1.5223014018280965</v>
      </c>
      <c r="K1256">
        <f t="shared" si="138"/>
        <v>2.1635088250765979</v>
      </c>
      <c r="L1256">
        <f t="shared" si="139"/>
        <v>0.72477258076931228</v>
      </c>
    </row>
    <row r="1257" spans="1:12" x14ac:dyDescent="0.25">
      <c r="A1257" s="1">
        <v>42026</v>
      </c>
      <c r="B1257" s="6">
        <v>115.1339</v>
      </c>
      <c r="C1257" s="6">
        <v>12.5669</v>
      </c>
      <c r="D1257" s="6">
        <v>9369.51</v>
      </c>
      <c r="E1257" s="6">
        <v>0.94</v>
      </c>
      <c r="F1257" s="6">
        <f t="shared" si="133"/>
        <v>1.0444444444444444E-2</v>
      </c>
      <c r="G1257">
        <f t="shared" si="134"/>
        <v>-0.70923270231975477</v>
      </c>
      <c r="H1257">
        <f t="shared" si="135"/>
        <v>1.9800533965219207</v>
      </c>
      <c r="I1257">
        <f t="shared" si="136"/>
        <v>0.53435139076217064</v>
      </c>
      <c r="J1257">
        <f t="shared" si="137"/>
        <v>-0.50638366559193371</v>
      </c>
      <c r="K1257">
        <f t="shared" si="138"/>
        <v>-0.71967714676419925</v>
      </c>
      <c r="L1257">
        <f t="shared" si="139"/>
        <v>0.52390694631772616</v>
      </c>
    </row>
    <row r="1258" spans="1:12" x14ac:dyDescent="0.25">
      <c r="A1258" s="1">
        <v>42027</v>
      </c>
      <c r="B1258" s="6">
        <v>119.2458</v>
      </c>
      <c r="C1258" s="6">
        <v>12.6889</v>
      </c>
      <c r="D1258" s="6">
        <v>9470.94</v>
      </c>
      <c r="E1258" s="6">
        <v>0.94</v>
      </c>
      <c r="F1258" s="6">
        <f t="shared" si="133"/>
        <v>1.0444444444444444E-2</v>
      </c>
      <c r="G1258">
        <f t="shared" si="134"/>
        <v>3.5714068575806133</v>
      </c>
      <c r="H1258">
        <f t="shared" si="135"/>
        <v>0.97080425562389994</v>
      </c>
      <c r="I1258">
        <f t="shared" si="136"/>
        <v>1.082553943589369</v>
      </c>
      <c r="J1258">
        <f t="shared" si="137"/>
        <v>2.5055863006162817</v>
      </c>
      <c r="K1258">
        <f t="shared" si="138"/>
        <v>3.5609624131361688</v>
      </c>
      <c r="L1258">
        <f t="shared" si="139"/>
        <v>1.0721094991449245</v>
      </c>
    </row>
    <row r="1259" spans="1:12" x14ac:dyDescent="0.25">
      <c r="A1259" s="1">
        <v>42030</v>
      </c>
      <c r="B1259" s="6">
        <v>119.2458</v>
      </c>
      <c r="C1259" s="6">
        <v>12.6076</v>
      </c>
      <c r="D1259" s="6">
        <v>9477.67</v>
      </c>
      <c r="E1259" s="6">
        <v>0.94</v>
      </c>
      <c r="F1259" s="6">
        <f t="shared" si="133"/>
        <v>1.0444444444444444E-2</v>
      </c>
      <c r="G1259">
        <f t="shared" si="134"/>
        <v>0</v>
      </c>
      <c r="H1259">
        <f t="shared" si="135"/>
        <v>-0.64071747748032215</v>
      </c>
      <c r="I1259">
        <f t="shared" si="136"/>
        <v>7.105947244940379E-2</v>
      </c>
      <c r="J1259">
        <f t="shared" si="137"/>
        <v>-7.3489843141871791E-3</v>
      </c>
      <c r="K1259">
        <f t="shared" si="138"/>
        <v>-1.0444444444444444E-2</v>
      </c>
      <c r="L1259">
        <f t="shared" si="139"/>
        <v>6.0615028004959347E-2</v>
      </c>
    </row>
    <row r="1260" spans="1:12" x14ac:dyDescent="0.25">
      <c r="A1260" s="1">
        <v>42031</v>
      </c>
      <c r="B1260" s="6">
        <v>120.89060000000001</v>
      </c>
      <c r="C1260" s="6">
        <v>12.5669</v>
      </c>
      <c r="D1260" s="6">
        <v>9521.59</v>
      </c>
      <c r="E1260" s="6">
        <v>0.94</v>
      </c>
      <c r="F1260" s="6">
        <f t="shared" si="133"/>
        <v>1.0444444444444444E-2</v>
      </c>
      <c r="G1260">
        <f t="shared" si="134"/>
        <v>1.3793357921201448</v>
      </c>
      <c r="H1260">
        <f t="shared" si="135"/>
        <v>-0.32282115549350626</v>
      </c>
      <c r="I1260">
        <f t="shared" si="136"/>
        <v>0.46340503520380083</v>
      </c>
      <c r="J1260">
        <f t="shared" si="137"/>
        <v>0.96318775933039824</v>
      </c>
      <c r="K1260">
        <f t="shared" si="138"/>
        <v>1.3688913476757003</v>
      </c>
      <c r="L1260">
        <f t="shared" si="139"/>
        <v>0.45296059075935641</v>
      </c>
    </row>
    <row r="1261" spans="1:12" x14ac:dyDescent="0.25">
      <c r="A1261" s="1">
        <v>42032</v>
      </c>
      <c r="B1261" s="6">
        <v>120.4794</v>
      </c>
      <c r="C1261" s="6">
        <v>12.7296</v>
      </c>
      <c r="D1261" s="6">
        <v>9510.92</v>
      </c>
      <c r="E1261" s="6">
        <v>0.94</v>
      </c>
      <c r="F1261" s="6">
        <f t="shared" si="133"/>
        <v>1.0444444444444444E-2</v>
      </c>
      <c r="G1261">
        <f t="shared" si="134"/>
        <v>-0.3401422443101515</v>
      </c>
      <c r="H1261">
        <f t="shared" si="135"/>
        <v>1.2946709212295726</v>
      </c>
      <c r="I1261">
        <f t="shared" si="136"/>
        <v>-0.11206111584304798</v>
      </c>
      <c r="J1261">
        <f t="shared" si="137"/>
        <v>-0.24668196476365037</v>
      </c>
      <c r="K1261">
        <f t="shared" si="138"/>
        <v>-0.35058668875459592</v>
      </c>
      <c r="L1261">
        <f t="shared" si="139"/>
        <v>-0.12250556028749243</v>
      </c>
    </row>
    <row r="1262" spans="1:12" x14ac:dyDescent="0.25">
      <c r="A1262" s="1">
        <v>42033</v>
      </c>
      <c r="B1262" s="6">
        <v>118.01220000000001</v>
      </c>
      <c r="C1262" s="6">
        <v>12.4856</v>
      </c>
      <c r="D1262" s="6">
        <v>9426.9</v>
      </c>
      <c r="E1262" s="6">
        <v>0.94</v>
      </c>
      <c r="F1262" s="6">
        <f t="shared" si="133"/>
        <v>1.0444444444444444E-2</v>
      </c>
      <c r="G1262">
        <f t="shared" si="134"/>
        <v>-2.0478189632418413</v>
      </c>
      <c r="H1262">
        <f t="shared" si="135"/>
        <v>-1.9167923579688269</v>
      </c>
      <c r="I1262">
        <f t="shared" si="136"/>
        <v>-0.8834056011405883</v>
      </c>
      <c r="J1262">
        <f t="shared" si="137"/>
        <v>-1.4482479731698692</v>
      </c>
      <c r="K1262">
        <f t="shared" si="138"/>
        <v>-2.0582634076862858</v>
      </c>
      <c r="L1262">
        <f t="shared" si="139"/>
        <v>-0.89385004558503278</v>
      </c>
    </row>
    <row r="1263" spans="1:12" x14ac:dyDescent="0.25">
      <c r="A1263" s="1">
        <v>42034</v>
      </c>
      <c r="B1263" s="6">
        <v>115.9563</v>
      </c>
      <c r="C1263" s="6">
        <v>12.526300000000001</v>
      </c>
      <c r="D1263" s="6">
        <v>9361.91</v>
      </c>
      <c r="E1263" s="6">
        <v>0.94</v>
      </c>
      <c r="F1263" s="6">
        <f t="shared" si="133"/>
        <v>1.0444444444444444E-2</v>
      </c>
      <c r="G1263">
        <f t="shared" si="134"/>
        <v>-1.7421080193403802</v>
      </c>
      <c r="H1263">
        <f t="shared" si="135"/>
        <v>0.32597552380343009</v>
      </c>
      <c r="I1263">
        <f t="shared" si="136"/>
        <v>-0.68941009239516471</v>
      </c>
      <c r="J1263">
        <f t="shared" si="137"/>
        <v>-1.23314175633301</v>
      </c>
      <c r="K1263">
        <f t="shared" si="138"/>
        <v>-1.7525524637848247</v>
      </c>
      <c r="L1263">
        <f t="shared" si="139"/>
        <v>-0.69985453683960919</v>
      </c>
    </row>
    <row r="1264" spans="1:12" x14ac:dyDescent="0.25">
      <c r="A1264" s="1">
        <v>42037</v>
      </c>
      <c r="B1264" s="6">
        <v>117.18989999999999</v>
      </c>
      <c r="C1264" s="6">
        <v>12.5669</v>
      </c>
      <c r="D1264" s="6">
        <v>9386.99</v>
      </c>
      <c r="E1264" s="6">
        <v>0.94</v>
      </c>
      <c r="F1264" s="6">
        <f t="shared" si="133"/>
        <v>1.0444444444444444E-2</v>
      </c>
      <c r="G1264">
        <f t="shared" si="134"/>
        <v>1.0638490534796261</v>
      </c>
      <c r="H1264">
        <f t="shared" si="135"/>
        <v>0.32411805561099066</v>
      </c>
      <c r="I1264">
        <f t="shared" si="136"/>
        <v>0.26789405153435492</v>
      </c>
      <c r="J1264">
        <f t="shared" si="137"/>
        <v>0.74120303760242823</v>
      </c>
      <c r="K1264">
        <f t="shared" si="138"/>
        <v>1.0534046090351816</v>
      </c>
      <c r="L1264">
        <f t="shared" si="139"/>
        <v>0.25744960708991049</v>
      </c>
    </row>
    <row r="1265" spans="1:12" x14ac:dyDescent="0.25">
      <c r="A1265" s="1">
        <v>42038</v>
      </c>
      <c r="B1265" s="6">
        <v>118.83459999999999</v>
      </c>
      <c r="C1265" s="6">
        <v>12.7296</v>
      </c>
      <c r="D1265" s="6">
        <v>9448.73</v>
      </c>
      <c r="E1265" s="6">
        <v>0.94</v>
      </c>
      <c r="F1265" s="6">
        <f t="shared" si="133"/>
        <v>1.0444444444444444E-2</v>
      </c>
      <c r="G1265">
        <f t="shared" si="134"/>
        <v>1.403448590706196</v>
      </c>
      <c r="H1265">
        <f t="shared" si="135"/>
        <v>1.2946709212295726</v>
      </c>
      <c r="I1265">
        <f t="shared" si="136"/>
        <v>0.65771882147525229</v>
      </c>
      <c r="J1265">
        <f t="shared" si="137"/>
        <v>0.98015415515189197</v>
      </c>
      <c r="K1265">
        <f t="shared" si="138"/>
        <v>1.3930041462617515</v>
      </c>
      <c r="L1265">
        <f t="shared" si="139"/>
        <v>0.64727437703080781</v>
      </c>
    </row>
    <row r="1266" spans="1:12" x14ac:dyDescent="0.25">
      <c r="A1266" s="1">
        <v>42039</v>
      </c>
      <c r="B1266" s="6">
        <v>120.0682</v>
      </c>
      <c r="C1266" s="6">
        <v>12.7296</v>
      </c>
      <c r="D1266" s="6">
        <v>9513.92</v>
      </c>
      <c r="E1266" s="6">
        <v>0.94</v>
      </c>
      <c r="F1266" s="6">
        <f t="shared" si="133"/>
        <v>1.0444444444444444E-2</v>
      </c>
      <c r="G1266">
        <f t="shared" si="134"/>
        <v>1.0380815015155602</v>
      </c>
      <c r="H1266">
        <f t="shared" si="135"/>
        <v>0</v>
      </c>
      <c r="I1266">
        <f t="shared" si="136"/>
        <v>0.68993399112897191</v>
      </c>
      <c r="J1266">
        <f t="shared" si="137"/>
        <v>0.72307231401955263</v>
      </c>
      <c r="K1266">
        <f t="shared" si="138"/>
        <v>1.0276370570711157</v>
      </c>
      <c r="L1266">
        <f t="shared" si="139"/>
        <v>0.67948954668452743</v>
      </c>
    </row>
    <row r="1267" spans="1:12" x14ac:dyDescent="0.25">
      <c r="A1267" s="1">
        <v>42040</v>
      </c>
      <c r="B1267" s="6">
        <v>119.657</v>
      </c>
      <c r="C1267" s="6">
        <v>12.8109</v>
      </c>
      <c r="D1267" s="6">
        <v>9512.0499999999993</v>
      </c>
      <c r="E1267" s="6">
        <v>0.94</v>
      </c>
      <c r="F1267" s="6">
        <f t="shared" si="133"/>
        <v>1.0444444444444444E-2</v>
      </c>
      <c r="G1267">
        <f t="shared" si="134"/>
        <v>-0.34247202839720092</v>
      </c>
      <c r="H1267">
        <f t="shared" si="135"/>
        <v>0.63866892911011031</v>
      </c>
      <c r="I1267">
        <f t="shared" si="136"/>
        <v>-1.9655410177937174E-2</v>
      </c>
      <c r="J1267">
        <f t="shared" si="137"/>
        <v>-0.24832126178918784</v>
      </c>
      <c r="K1267">
        <f t="shared" si="138"/>
        <v>-0.35291647284164535</v>
      </c>
      <c r="L1267">
        <f t="shared" si="139"/>
        <v>-3.0099854622381617E-2</v>
      </c>
    </row>
    <row r="1268" spans="1:12" x14ac:dyDescent="0.25">
      <c r="A1268" s="1">
        <v>42041</v>
      </c>
      <c r="B1268" s="6">
        <v>117.6011</v>
      </c>
      <c r="C1268" s="6">
        <v>12.7296</v>
      </c>
      <c r="D1268" s="6">
        <v>9456.18</v>
      </c>
      <c r="E1268" s="6">
        <v>0.94</v>
      </c>
      <c r="F1268" s="6">
        <f t="shared" si="133"/>
        <v>1.0444444444444444E-2</v>
      </c>
      <c r="G1268">
        <f t="shared" si="134"/>
        <v>-1.7181610770786448</v>
      </c>
      <c r="H1268">
        <f t="shared" si="135"/>
        <v>-0.6346158349530524</v>
      </c>
      <c r="I1268">
        <f t="shared" si="136"/>
        <v>-0.58736024306010781</v>
      </c>
      <c r="J1268">
        <f t="shared" si="137"/>
        <v>-1.2162920613597319</v>
      </c>
      <c r="K1268">
        <f t="shared" si="138"/>
        <v>-1.7286055215230893</v>
      </c>
      <c r="L1268">
        <f t="shared" si="139"/>
        <v>-0.59780468750455229</v>
      </c>
    </row>
    <row r="1269" spans="1:12" x14ac:dyDescent="0.25">
      <c r="A1269" s="1">
        <v>42044</v>
      </c>
      <c r="B1269" s="6">
        <v>116.7787</v>
      </c>
      <c r="C1269" s="6">
        <v>12.7296</v>
      </c>
      <c r="D1269" s="6">
        <v>9421.5</v>
      </c>
      <c r="E1269" s="6">
        <v>0.94</v>
      </c>
      <c r="F1269" s="6">
        <f t="shared" si="133"/>
        <v>1.0444444444444444E-2</v>
      </c>
      <c r="G1269">
        <f t="shared" si="134"/>
        <v>-0.69931318669638443</v>
      </c>
      <c r="H1269">
        <f t="shared" si="135"/>
        <v>0</v>
      </c>
      <c r="I1269">
        <f t="shared" si="136"/>
        <v>-0.36674428786254376</v>
      </c>
      <c r="J1269">
        <f t="shared" si="137"/>
        <v>-0.49940403492720653</v>
      </c>
      <c r="K1269">
        <f t="shared" si="138"/>
        <v>-0.7097576311408289</v>
      </c>
      <c r="L1269">
        <f t="shared" si="139"/>
        <v>-0.37718873230698818</v>
      </c>
    </row>
    <row r="1270" spans="1:12" x14ac:dyDescent="0.25">
      <c r="A1270" s="1">
        <v>42045</v>
      </c>
      <c r="B1270" s="6">
        <v>117.18989999999999</v>
      </c>
      <c r="C1270" s="6">
        <v>12.526300000000001</v>
      </c>
      <c r="D1270" s="6">
        <v>9393.7000000000007</v>
      </c>
      <c r="E1270" s="6">
        <v>0.94</v>
      </c>
      <c r="F1270" s="6">
        <f t="shared" si="133"/>
        <v>1.0444444444444444E-2</v>
      </c>
      <c r="G1270">
        <f t="shared" si="134"/>
        <v>0.35211900800402279</v>
      </c>
      <c r="H1270">
        <f t="shared" si="135"/>
        <v>-1.5970651080945097</v>
      </c>
      <c r="I1270">
        <f t="shared" si="136"/>
        <v>-0.29506978718886878</v>
      </c>
      <c r="J1270">
        <f t="shared" si="137"/>
        <v>0.24041116035537052</v>
      </c>
      <c r="K1270">
        <f t="shared" si="138"/>
        <v>0.34167456355957837</v>
      </c>
      <c r="L1270">
        <f t="shared" si="139"/>
        <v>-0.3055142316333132</v>
      </c>
    </row>
    <row r="1271" spans="1:12" x14ac:dyDescent="0.25">
      <c r="A1271" s="1">
        <v>42046</v>
      </c>
      <c r="B1271" s="6">
        <v>121.71299999999999</v>
      </c>
      <c r="C1271" s="6">
        <v>12.8109</v>
      </c>
      <c r="D1271" s="6">
        <v>9462.2199999999993</v>
      </c>
      <c r="E1271" s="6">
        <v>0.94</v>
      </c>
      <c r="F1271" s="6">
        <f t="shared" si="133"/>
        <v>1.0444444444444444E-2</v>
      </c>
      <c r="G1271">
        <f t="shared" si="134"/>
        <v>3.8596329547170871</v>
      </c>
      <c r="H1271">
        <f t="shared" si="135"/>
        <v>2.2720196706130245</v>
      </c>
      <c r="I1271">
        <f t="shared" si="136"/>
        <v>0.72942504018649323</v>
      </c>
      <c r="J1271">
        <f t="shared" si="137"/>
        <v>2.7083897219051969</v>
      </c>
      <c r="K1271">
        <f t="shared" si="138"/>
        <v>3.8491885102726426</v>
      </c>
      <c r="L1271">
        <f t="shared" si="139"/>
        <v>0.71898059574204876</v>
      </c>
    </row>
    <row r="1272" spans="1:12" x14ac:dyDescent="0.25">
      <c r="A1272" s="1">
        <v>42047</v>
      </c>
      <c r="B1272" s="6">
        <v>122.1242</v>
      </c>
      <c r="C1272" s="6">
        <v>12.7296</v>
      </c>
      <c r="D1272" s="6">
        <v>9496.31</v>
      </c>
      <c r="E1272" s="6">
        <v>0.94</v>
      </c>
      <c r="F1272" s="6">
        <f t="shared" si="133"/>
        <v>1.0444444444444444E-2</v>
      </c>
      <c r="G1272">
        <f t="shared" si="134"/>
        <v>0.33784394436092119</v>
      </c>
      <c r="H1272">
        <f t="shared" si="135"/>
        <v>-0.6346158349530524</v>
      </c>
      <c r="I1272">
        <f t="shared" si="136"/>
        <v>0.36027486150184784</v>
      </c>
      <c r="J1272">
        <f t="shared" si="137"/>
        <v>0.23036685217266203</v>
      </c>
      <c r="K1272">
        <f t="shared" si="138"/>
        <v>0.32739949991647677</v>
      </c>
      <c r="L1272">
        <f t="shared" si="139"/>
        <v>0.34983041705740342</v>
      </c>
    </row>
    <row r="1273" spans="1:12" x14ac:dyDescent="0.25">
      <c r="A1273" s="1">
        <v>42048</v>
      </c>
      <c r="B1273" s="6">
        <v>122.1242</v>
      </c>
      <c r="C1273" s="6">
        <v>12.6889</v>
      </c>
      <c r="D1273" s="6">
        <v>9529.51</v>
      </c>
      <c r="E1273" s="6">
        <v>0.94</v>
      </c>
      <c r="F1273" s="6">
        <f t="shared" si="133"/>
        <v>1.0444444444444444E-2</v>
      </c>
      <c r="G1273">
        <f t="shared" si="134"/>
        <v>0</v>
      </c>
      <c r="H1273">
        <f t="shared" si="135"/>
        <v>-0.31972724987430318</v>
      </c>
      <c r="I1273">
        <f t="shared" si="136"/>
        <v>0.3496094798927239</v>
      </c>
      <c r="J1273">
        <f t="shared" si="137"/>
        <v>-7.3489843141871791E-3</v>
      </c>
      <c r="K1273">
        <f t="shared" si="138"/>
        <v>-1.0444444444444444E-2</v>
      </c>
      <c r="L1273">
        <f t="shared" si="139"/>
        <v>0.33916503544827947</v>
      </c>
    </row>
    <row r="1274" spans="1:12" x14ac:dyDescent="0.25">
      <c r="A1274" s="1">
        <v>42059</v>
      </c>
      <c r="B1274" s="6">
        <v>124.1801</v>
      </c>
      <c r="C1274" s="6">
        <v>12.892300000000001</v>
      </c>
      <c r="D1274" s="6">
        <v>9629.3700000000008</v>
      </c>
      <c r="E1274" s="6">
        <v>0.94</v>
      </c>
      <c r="F1274" s="6">
        <f t="shared" si="133"/>
        <v>1.0444444444444444E-2</v>
      </c>
      <c r="G1274">
        <f t="shared" si="134"/>
        <v>1.6834501270018507</v>
      </c>
      <c r="H1274">
        <f t="shared" si="135"/>
        <v>1.6029758292681024</v>
      </c>
      <c r="I1274">
        <f t="shared" si="136"/>
        <v>1.0479027777923584</v>
      </c>
      <c r="J1274">
        <f t="shared" si="137"/>
        <v>1.1771705602972717</v>
      </c>
      <c r="K1274">
        <f t="shared" si="138"/>
        <v>1.6730056825574062</v>
      </c>
      <c r="L1274">
        <f t="shared" si="139"/>
        <v>1.0374583333479139</v>
      </c>
    </row>
    <row r="1275" spans="1:12" x14ac:dyDescent="0.25">
      <c r="A1275" s="1">
        <v>42060</v>
      </c>
      <c r="B1275" s="6">
        <v>127.0585</v>
      </c>
      <c r="C1275" s="6">
        <v>13.055</v>
      </c>
      <c r="D1275" s="6">
        <v>9699.5400000000009</v>
      </c>
      <c r="E1275" s="6">
        <v>0.94</v>
      </c>
      <c r="F1275" s="6">
        <f t="shared" si="133"/>
        <v>1.0444444444444444E-2</v>
      </c>
      <c r="G1275">
        <f t="shared" si="134"/>
        <v>2.3179237252989804</v>
      </c>
      <c r="H1275">
        <f t="shared" si="135"/>
        <v>1.2619935930749298</v>
      </c>
      <c r="I1275">
        <f t="shared" si="136"/>
        <v>0.72870810863016033</v>
      </c>
      <c r="J1275">
        <f t="shared" si="137"/>
        <v>1.6236027804553945</v>
      </c>
      <c r="K1275">
        <f t="shared" si="138"/>
        <v>2.3074792808545359</v>
      </c>
      <c r="L1275">
        <f t="shared" si="139"/>
        <v>0.71826366418571586</v>
      </c>
    </row>
    <row r="1276" spans="1:12" x14ac:dyDescent="0.25">
      <c r="A1276" s="1">
        <v>42061</v>
      </c>
      <c r="B1276" s="6">
        <v>123.7689</v>
      </c>
      <c r="C1276" s="6">
        <v>13.0143</v>
      </c>
      <c r="D1276" s="6">
        <v>9622.1</v>
      </c>
      <c r="E1276" s="6">
        <v>0.94</v>
      </c>
      <c r="F1276" s="6">
        <f t="shared" si="133"/>
        <v>1.0444444444444444E-2</v>
      </c>
      <c r="G1276">
        <f t="shared" si="134"/>
        <v>-2.5890436295092365</v>
      </c>
      <c r="H1276">
        <f t="shared" si="135"/>
        <v>-0.3117579471466817</v>
      </c>
      <c r="I1276">
        <f t="shared" si="136"/>
        <v>-0.79838837718077871</v>
      </c>
      <c r="J1276">
        <f t="shared" si="137"/>
        <v>-1.8290678055704277</v>
      </c>
      <c r="K1276">
        <f t="shared" si="138"/>
        <v>-2.599488073953681</v>
      </c>
      <c r="L1276">
        <f t="shared" si="139"/>
        <v>-0.80883282162522319</v>
      </c>
    </row>
    <row r="1277" spans="1:12" x14ac:dyDescent="0.25">
      <c r="A1277" s="1">
        <v>42065</v>
      </c>
      <c r="B1277" s="6">
        <v>122.5354</v>
      </c>
      <c r="C1277" s="6">
        <v>12.892300000000001</v>
      </c>
      <c r="D1277" s="6">
        <v>9601.36</v>
      </c>
      <c r="E1277" s="6">
        <v>0.94</v>
      </c>
      <c r="F1277" s="6">
        <f t="shared" si="133"/>
        <v>1.0444444444444444E-2</v>
      </c>
      <c r="G1277">
        <f t="shared" si="134"/>
        <v>-0.99661546640554</v>
      </c>
      <c r="H1277">
        <f t="shared" si="135"/>
        <v>-0.93743036505997157</v>
      </c>
      <c r="I1277">
        <f t="shared" si="136"/>
        <v>-0.21554546304860459</v>
      </c>
      <c r="J1277">
        <f t="shared" si="137"/>
        <v>-0.70859369568669661</v>
      </c>
      <c r="K1277">
        <f t="shared" si="138"/>
        <v>-1.0070599108499845</v>
      </c>
      <c r="L1277">
        <f t="shared" si="139"/>
        <v>-0.22598990749304904</v>
      </c>
    </row>
    <row r="1278" spans="1:12" x14ac:dyDescent="0.25">
      <c r="A1278" s="1">
        <v>42066</v>
      </c>
      <c r="B1278" s="6">
        <v>123.7689</v>
      </c>
      <c r="C1278" s="6">
        <v>12.892300000000001</v>
      </c>
      <c r="D1278" s="6">
        <v>9605.77</v>
      </c>
      <c r="E1278" s="6">
        <v>0.94</v>
      </c>
      <c r="F1278" s="6">
        <f t="shared" si="133"/>
        <v>1.0444444444444444E-2</v>
      </c>
      <c r="G1278">
        <f t="shared" si="134"/>
        <v>1.006647874818221</v>
      </c>
      <c r="H1278">
        <f t="shared" si="135"/>
        <v>0</v>
      </c>
      <c r="I1278">
        <f t="shared" si="136"/>
        <v>4.5930993109307997E-2</v>
      </c>
      <c r="J1278">
        <f t="shared" si="137"/>
        <v>0.70095479204262867</v>
      </c>
      <c r="K1278">
        <f t="shared" si="138"/>
        <v>0.99620343037377657</v>
      </c>
      <c r="L1278">
        <f t="shared" si="139"/>
        <v>3.5486548664863553E-2</v>
      </c>
    </row>
    <row r="1279" spans="1:12" x14ac:dyDescent="0.25">
      <c r="A1279" s="1">
        <v>42067</v>
      </c>
      <c r="B1279" s="6">
        <v>123.7689</v>
      </c>
      <c r="C1279" s="6">
        <v>12.8109</v>
      </c>
      <c r="D1279" s="6">
        <v>9621.73</v>
      </c>
      <c r="E1279" s="6">
        <v>0.94</v>
      </c>
      <c r="F1279" s="6">
        <f t="shared" si="133"/>
        <v>1.0444444444444444E-2</v>
      </c>
      <c r="G1279">
        <f t="shared" si="134"/>
        <v>0</v>
      </c>
      <c r="H1279">
        <f t="shared" si="135"/>
        <v>-0.63138462493116321</v>
      </c>
      <c r="I1279">
        <f t="shared" si="136"/>
        <v>0.1661501368448248</v>
      </c>
      <c r="J1279">
        <f t="shared" si="137"/>
        <v>-7.3489843141871791E-3</v>
      </c>
      <c r="K1279">
        <f t="shared" si="138"/>
        <v>-1.0444444444444444E-2</v>
      </c>
      <c r="L1279">
        <f t="shared" si="139"/>
        <v>0.15570569240038035</v>
      </c>
    </row>
    <row r="1280" spans="1:12" x14ac:dyDescent="0.25">
      <c r="A1280" s="1">
        <v>42068</v>
      </c>
      <c r="B1280" s="6">
        <v>123.3578</v>
      </c>
      <c r="C1280" s="6">
        <v>12.7296</v>
      </c>
      <c r="D1280" s="6">
        <v>9595.09</v>
      </c>
      <c r="E1280" s="6">
        <v>0.94</v>
      </c>
      <c r="F1280" s="6">
        <f t="shared" si="133"/>
        <v>1.0444444444444444E-2</v>
      </c>
      <c r="G1280">
        <f t="shared" si="134"/>
        <v>-0.33215129164111878</v>
      </c>
      <c r="H1280">
        <f t="shared" si="135"/>
        <v>-0.6346158349530524</v>
      </c>
      <c r="I1280">
        <f t="shared" si="136"/>
        <v>-0.27687328578124121</v>
      </c>
      <c r="J1280">
        <f t="shared" si="137"/>
        <v>-0.24105932144044609</v>
      </c>
      <c r="K1280">
        <f t="shared" si="138"/>
        <v>-0.34259573608556321</v>
      </c>
      <c r="L1280">
        <f t="shared" si="139"/>
        <v>-0.28731773022568563</v>
      </c>
    </row>
    <row r="1281" spans="1:12" x14ac:dyDescent="0.25">
      <c r="A1281" s="1">
        <v>42069</v>
      </c>
      <c r="B1281" s="6">
        <v>122.5354</v>
      </c>
      <c r="C1281" s="6">
        <v>12.7296</v>
      </c>
      <c r="D1281" s="6">
        <v>9645.77</v>
      </c>
      <c r="E1281" s="6">
        <v>0.94</v>
      </c>
      <c r="F1281" s="6">
        <f t="shared" si="133"/>
        <v>1.0444444444444444E-2</v>
      </c>
      <c r="G1281">
        <f t="shared" si="134"/>
        <v>-0.66667855619993366</v>
      </c>
      <c r="H1281">
        <f t="shared" si="135"/>
        <v>0</v>
      </c>
      <c r="I1281">
        <f t="shared" si="136"/>
        <v>0.52818681221333297</v>
      </c>
      <c r="J1281">
        <f t="shared" si="137"/>
        <v>-0.47644145526168102</v>
      </c>
      <c r="K1281">
        <f t="shared" si="138"/>
        <v>-0.67712300064437814</v>
      </c>
      <c r="L1281">
        <f t="shared" si="139"/>
        <v>0.51774236776888849</v>
      </c>
    </row>
    <row r="1282" spans="1:12" x14ac:dyDescent="0.25">
      <c r="A1282" s="1">
        <v>42072</v>
      </c>
      <c r="B1282" s="6">
        <v>119.657</v>
      </c>
      <c r="C1282" s="6">
        <v>12.770300000000001</v>
      </c>
      <c r="D1282" s="6">
        <v>9562.98</v>
      </c>
      <c r="E1282" s="6">
        <v>0.94</v>
      </c>
      <c r="F1282" s="6">
        <f t="shared" si="133"/>
        <v>1.0444444444444444E-2</v>
      </c>
      <c r="G1282">
        <f t="shared" si="134"/>
        <v>-2.3490354624051495</v>
      </c>
      <c r="H1282">
        <f t="shared" si="135"/>
        <v>0.31972724987431711</v>
      </c>
      <c r="I1282">
        <f t="shared" si="136"/>
        <v>-0.85830369167003639</v>
      </c>
      <c r="J1282">
        <f t="shared" si="137"/>
        <v>-1.6601917811244409</v>
      </c>
      <c r="K1282">
        <f t="shared" si="138"/>
        <v>-2.359479906849594</v>
      </c>
      <c r="L1282">
        <f t="shared" si="139"/>
        <v>-0.86874813611448087</v>
      </c>
    </row>
    <row r="1283" spans="1:12" x14ac:dyDescent="0.25">
      <c r="A1283" s="1">
        <v>42073</v>
      </c>
      <c r="B1283" s="6">
        <v>118.4234</v>
      </c>
      <c r="C1283" s="6">
        <v>12.770300000000001</v>
      </c>
      <c r="D1283" s="6">
        <v>9536.5300000000007</v>
      </c>
      <c r="E1283" s="6">
        <v>0.94</v>
      </c>
      <c r="F1283" s="6">
        <f t="shared" ref="F1283:F1346" si="140">E1283/90</f>
        <v>1.0444444444444444E-2</v>
      </c>
      <c r="G1283">
        <f t="shared" si="134"/>
        <v>-1.0309467895735274</v>
      </c>
      <c r="H1283">
        <f t="shared" si="135"/>
        <v>0</v>
      </c>
      <c r="I1283">
        <f t="shared" si="136"/>
        <v>-0.27658742358552363</v>
      </c>
      <c r="J1283">
        <f t="shared" si="137"/>
        <v>-0.73275011269756329</v>
      </c>
      <c r="K1283">
        <f t="shared" si="138"/>
        <v>-1.0413912340179718</v>
      </c>
      <c r="L1283">
        <f t="shared" si="139"/>
        <v>-0.28703186802996805</v>
      </c>
    </row>
    <row r="1284" spans="1:12" x14ac:dyDescent="0.25">
      <c r="A1284" s="1">
        <v>42074</v>
      </c>
      <c r="B1284" s="6">
        <v>120.0682</v>
      </c>
      <c r="C1284" s="6">
        <v>12.7296</v>
      </c>
      <c r="D1284" s="6">
        <v>9523.18</v>
      </c>
      <c r="E1284" s="6">
        <v>0.94</v>
      </c>
      <c r="F1284" s="6">
        <f t="shared" si="140"/>
        <v>1.0444444444444444E-2</v>
      </c>
      <c r="G1284">
        <f t="shared" ref="G1284:G1347" si="141">100*(B1284-B1283)/B1283</f>
        <v>1.3889146908465755</v>
      </c>
      <c r="H1284">
        <f t="shared" ref="H1284:H1347" si="142">100*(C1284-C1283)/C1283</f>
        <v>-0.31870825274270037</v>
      </c>
      <c r="I1284">
        <f t="shared" ref="I1284:I1347" si="143">100*(D1284-D1283)/D1283</f>
        <v>-0.13998802499442001</v>
      </c>
      <c r="J1284">
        <f t="shared" ref="J1284:J1347" si="144">(G1284-F1284)/$N$3</f>
        <v>0.96992772303666996</v>
      </c>
      <c r="K1284">
        <f t="shared" ref="K1284:K1347" si="145">G1284-F1284</f>
        <v>1.378470246402131</v>
      </c>
      <c r="L1284">
        <f t="shared" ref="L1284:L1347" si="146">I1284-F1284</f>
        <v>-0.15043246943886446</v>
      </c>
    </row>
    <row r="1285" spans="1:12" x14ac:dyDescent="0.25">
      <c r="A1285" s="1">
        <v>42075</v>
      </c>
      <c r="B1285" s="6">
        <v>121.71299999999999</v>
      </c>
      <c r="C1285" s="6">
        <v>12.851599999999999</v>
      </c>
      <c r="D1285" s="6">
        <v>9596</v>
      </c>
      <c r="E1285" s="6">
        <v>0.94</v>
      </c>
      <c r="F1285" s="6">
        <f t="shared" si="140"/>
        <v>1.0444444444444444E-2</v>
      </c>
      <c r="G1285">
        <f t="shared" si="141"/>
        <v>1.3698881135887682</v>
      </c>
      <c r="H1285">
        <f t="shared" si="142"/>
        <v>0.95839617898441343</v>
      </c>
      <c r="I1285">
        <f t="shared" si="143"/>
        <v>0.76466054406195938</v>
      </c>
      <c r="J1285">
        <f t="shared" si="144"/>
        <v>0.95654012558579049</v>
      </c>
      <c r="K1285">
        <f t="shared" si="145"/>
        <v>1.3594436691443237</v>
      </c>
      <c r="L1285">
        <f t="shared" si="146"/>
        <v>0.7542160996175149</v>
      </c>
    </row>
    <row r="1286" spans="1:12" x14ac:dyDescent="0.25">
      <c r="A1286" s="1">
        <v>42076</v>
      </c>
      <c r="B1286" s="6">
        <v>122.5354</v>
      </c>
      <c r="C1286" s="6">
        <v>12.770300000000001</v>
      </c>
      <c r="D1286" s="6">
        <v>9579.35</v>
      </c>
      <c r="E1286" s="6">
        <v>0.94</v>
      </c>
      <c r="F1286" s="6">
        <f t="shared" si="140"/>
        <v>1.0444444444444444E-2</v>
      </c>
      <c r="G1286">
        <f t="shared" si="141"/>
        <v>0.67568788872183072</v>
      </c>
      <c r="H1286">
        <f t="shared" si="142"/>
        <v>-0.63260605683338123</v>
      </c>
      <c r="I1286">
        <f t="shared" si="143"/>
        <v>-0.17350979574822464</v>
      </c>
      <c r="J1286">
        <f t="shared" si="144"/>
        <v>0.46808268865950298</v>
      </c>
      <c r="K1286">
        <f t="shared" si="145"/>
        <v>0.66524344427738624</v>
      </c>
      <c r="L1286">
        <f t="shared" si="146"/>
        <v>-0.18395424019266909</v>
      </c>
    </row>
    <row r="1287" spans="1:12" x14ac:dyDescent="0.25">
      <c r="A1287" s="1">
        <v>42079</v>
      </c>
      <c r="B1287" s="6">
        <v>120.0682</v>
      </c>
      <c r="C1287" s="6">
        <v>12.7296</v>
      </c>
      <c r="D1287" s="6">
        <v>9512.91</v>
      </c>
      <c r="E1287" s="6">
        <v>0.94</v>
      </c>
      <c r="F1287" s="6">
        <f t="shared" si="140"/>
        <v>1.0444444444444444E-2</v>
      </c>
      <c r="G1287">
        <f t="shared" si="141"/>
        <v>-2.0134589677758354</v>
      </c>
      <c r="H1287">
        <f t="shared" si="142"/>
        <v>-0.31870825274270037</v>
      </c>
      <c r="I1287">
        <f t="shared" si="143"/>
        <v>-0.69357524257909464</v>
      </c>
      <c r="J1287">
        <f t="shared" si="144"/>
        <v>-1.424071381580114</v>
      </c>
      <c r="K1287">
        <f t="shared" si="145"/>
        <v>-2.0239034122202799</v>
      </c>
      <c r="L1287">
        <f t="shared" si="146"/>
        <v>-0.70401968702353912</v>
      </c>
    </row>
    <row r="1288" spans="1:12" x14ac:dyDescent="0.25">
      <c r="A1288" s="1">
        <v>42080</v>
      </c>
      <c r="B1288" s="6">
        <v>122.5354</v>
      </c>
      <c r="C1288" s="6">
        <v>12.7296</v>
      </c>
      <c r="D1288" s="6">
        <v>9539.44</v>
      </c>
      <c r="E1288" s="6">
        <v>0.94</v>
      </c>
      <c r="F1288" s="6">
        <f t="shared" si="140"/>
        <v>1.0444444444444444E-2</v>
      </c>
      <c r="G1288">
        <f t="shared" si="141"/>
        <v>2.054832170383158</v>
      </c>
      <c r="H1288">
        <f t="shared" si="142"/>
        <v>0</v>
      </c>
      <c r="I1288">
        <f t="shared" si="143"/>
        <v>0.27888416898720431</v>
      </c>
      <c r="J1288">
        <f t="shared" si="144"/>
        <v>1.4384846805357834</v>
      </c>
      <c r="K1288">
        <f t="shared" si="145"/>
        <v>2.0443877259387135</v>
      </c>
      <c r="L1288">
        <f t="shared" si="146"/>
        <v>0.26843972454275988</v>
      </c>
    </row>
    <row r="1289" spans="1:12" x14ac:dyDescent="0.25">
      <c r="A1289" s="1">
        <v>42081</v>
      </c>
      <c r="B1289" s="6">
        <v>126.23609999999999</v>
      </c>
      <c r="C1289" s="6">
        <v>12.8109</v>
      </c>
      <c r="D1289" s="6">
        <v>9653.43</v>
      </c>
      <c r="E1289" s="6">
        <v>0.94</v>
      </c>
      <c r="F1289" s="6">
        <f t="shared" si="140"/>
        <v>1.0444444444444444E-2</v>
      </c>
      <c r="G1289">
        <f t="shared" si="141"/>
        <v>3.0201068425940569</v>
      </c>
      <c r="H1289">
        <f t="shared" si="142"/>
        <v>0.63866892911011031</v>
      </c>
      <c r="I1289">
        <f t="shared" si="143"/>
        <v>1.194933874525127</v>
      </c>
      <c r="J1289">
        <f t="shared" si="144"/>
        <v>2.117677189308556</v>
      </c>
      <c r="K1289">
        <f t="shared" si="145"/>
        <v>3.0096623981496125</v>
      </c>
      <c r="L1289">
        <f t="shared" si="146"/>
        <v>1.1844894300806825</v>
      </c>
    </row>
    <row r="1290" spans="1:12" x14ac:dyDescent="0.25">
      <c r="A1290" s="1">
        <v>42082</v>
      </c>
      <c r="B1290" s="6">
        <v>126.6473</v>
      </c>
      <c r="C1290" s="6">
        <v>12.892300000000001</v>
      </c>
      <c r="D1290" s="6">
        <v>9736.73</v>
      </c>
      <c r="E1290" s="6">
        <v>0.94</v>
      </c>
      <c r="F1290" s="6">
        <f t="shared" si="140"/>
        <v>1.0444444444444444E-2</v>
      </c>
      <c r="G1290">
        <f t="shared" si="141"/>
        <v>0.32573883382012597</v>
      </c>
      <c r="H1290">
        <f t="shared" si="142"/>
        <v>0.63539642023589571</v>
      </c>
      <c r="I1290">
        <f t="shared" si="143"/>
        <v>0.86290572366505247</v>
      </c>
      <c r="J1290">
        <f t="shared" si="144"/>
        <v>0.22184937975380828</v>
      </c>
      <c r="K1290">
        <f t="shared" si="145"/>
        <v>0.31529438937568155</v>
      </c>
      <c r="L1290">
        <f t="shared" si="146"/>
        <v>0.85246127922060799</v>
      </c>
    </row>
    <row r="1291" spans="1:12" x14ac:dyDescent="0.25">
      <c r="A1291" s="1">
        <v>42083</v>
      </c>
      <c r="B1291" s="6">
        <v>126.6473</v>
      </c>
      <c r="C1291" s="6">
        <v>12.7296</v>
      </c>
      <c r="D1291" s="6">
        <v>9749.69</v>
      </c>
      <c r="E1291" s="6">
        <v>0.94</v>
      </c>
      <c r="F1291" s="6">
        <f t="shared" si="140"/>
        <v>1.0444444444444444E-2</v>
      </c>
      <c r="G1291">
        <f t="shared" si="141"/>
        <v>0</v>
      </c>
      <c r="H1291">
        <f t="shared" si="142"/>
        <v>-1.2619935930749435</v>
      </c>
      <c r="I1291">
        <f t="shared" si="143"/>
        <v>0.1331042352001231</v>
      </c>
      <c r="J1291">
        <f t="shared" si="144"/>
        <v>-7.3489843141871791E-3</v>
      </c>
      <c r="K1291">
        <f t="shared" si="145"/>
        <v>-1.0444444444444444E-2</v>
      </c>
      <c r="L1291">
        <f t="shared" si="146"/>
        <v>0.12265979075567865</v>
      </c>
    </row>
    <row r="1292" spans="1:12" x14ac:dyDescent="0.25">
      <c r="A1292" s="1">
        <v>42086</v>
      </c>
      <c r="B1292" s="6">
        <v>126.23609999999999</v>
      </c>
      <c r="C1292" s="6">
        <v>12.8109</v>
      </c>
      <c r="D1292" s="6">
        <v>9758.09</v>
      </c>
      <c r="E1292" s="6">
        <v>0.94</v>
      </c>
      <c r="F1292" s="6">
        <f t="shared" si="140"/>
        <v>1.0444444444444444E-2</v>
      </c>
      <c r="G1292">
        <f t="shared" si="141"/>
        <v>-0.32468122099721669</v>
      </c>
      <c r="H1292">
        <f t="shared" si="142"/>
        <v>0.63866892911011031</v>
      </c>
      <c r="I1292">
        <f t="shared" si="143"/>
        <v>8.6156585491432403E-2</v>
      </c>
      <c r="J1292">
        <f t="shared" si="144"/>
        <v>-0.23580318433522099</v>
      </c>
      <c r="K1292">
        <f t="shared" si="145"/>
        <v>-0.33512566544166111</v>
      </c>
      <c r="L1292">
        <f t="shared" si="146"/>
        <v>7.5712141046987952E-2</v>
      </c>
    </row>
    <row r="1293" spans="1:12" x14ac:dyDescent="0.25">
      <c r="A1293" s="1">
        <v>42087</v>
      </c>
      <c r="B1293" s="6">
        <v>124.5913</v>
      </c>
      <c r="C1293" s="6">
        <v>12.770300000000001</v>
      </c>
      <c r="D1293" s="6">
        <v>9731.66</v>
      </c>
      <c r="E1293" s="6">
        <v>0.94</v>
      </c>
      <c r="F1293" s="6">
        <f t="shared" si="140"/>
        <v>1.0444444444444444E-2</v>
      </c>
      <c r="G1293">
        <f t="shared" si="141"/>
        <v>-1.3029553352804701</v>
      </c>
      <c r="H1293">
        <f t="shared" si="142"/>
        <v>-0.31691762483509767</v>
      </c>
      <c r="I1293">
        <f t="shared" si="143"/>
        <v>-0.27085218521247795</v>
      </c>
      <c r="J1293">
        <f t="shared" si="144"/>
        <v>-0.92414244058614525</v>
      </c>
      <c r="K1293">
        <f t="shared" si="145"/>
        <v>-1.3133997797249146</v>
      </c>
      <c r="L1293">
        <f t="shared" si="146"/>
        <v>-0.28129662965692237</v>
      </c>
    </row>
    <row r="1294" spans="1:12" x14ac:dyDescent="0.25">
      <c r="A1294" s="1">
        <v>42088</v>
      </c>
      <c r="B1294" s="6">
        <v>124.1801</v>
      </c>
      <c r="C1294" s="6">
        <v>12.6889</v>
      </c>
      <c r="D1294" s="6">
        <v>9667.83</v>
      </c>
      <c r="E1294" s="6">
        <v>0.94</v>
      </c>
      <c r="F1294" s="6">
        <f t="shared" si="140"/>
        <v>1.0444444444444444E-2</v>
      </c>
      <c r="G1294">
        <f t="shared" si="141"/>
        <v>-0.33003909582772473</v>
      </c>
      <c r="H1294">
        <f t="shared" si="142"/>
        <v>-0.63741650548538686</v>
      </c>
      <c r="I1294">
        <f t="shared" si="143"/>
        <v>-0.65590043219758942</v>
      </c>
      <c r="J1294">
        <f t="shared" si="144"/>
        <v>-0.23957312521587032</v>
      </c>
      <c r="K1294">
        <f t="shared" si="145"/>
        <v>-0.34048354027216915</v>
      </c>
      <c r="L1294">
        <f t="shared" si="146"/>
        <v>-0.6663448766420339</v>
      </c>
    </row>
    <row r="1295" spans="1:12" x14ac:dyDescent="0.25">
      <c r="A1295" s="1">
        <v>42089</v>
      </c>
      <c r="B1295" s="6">
        <v>119.657</v>
      </c>
      <c r="C1295" s="6">
        <v>12.404199999999999</v>
      </c>
      <c r="D1295" s="6">
        <v>9619.1200000000008</v>
      </c>
      <c r="E1295" s="6">
        <v>0.94</v>
      </c>
      <c r="F1295" s="6">
        <f t="shared" si="140"/>
        <v>1.0444444444444444E-2</v>
      </c>
      <c r="G1295">
        <f t="shared" si="141"/>
        <v>-3.6423710401263967</v>
      </c>
      <c r="H1295">
        <f t="shared" si="142"/>
        <v>-2.2436933067484244</v>
      </c>
      <c r="I1295">
        <f t="shared" si="143"/>
        <v>-0.50383591767748426</v>
      </c>
      <c r="J1295">
        <f t="shared" si="144"/>
        <v>-2.5702165243465998</v>
      </c>
      <c r="K1295">
        <f t="shared" si="145"/>
        <v>-3.6528154845708412</v>
      </c>
      <c r="L1295">
        <f t="shared" si="146"/>
        <v>-0.51428036212192874</v>
      </c>
    </row>
    <row r="1296" spans="1:12" x14ac:dyDescent="0.25">
      <c r="A1296" s="1">
        <v>42090</v>
      </c>
      <c r="B1296" s="6">
        <v>117.18989999999999</v>
      </c>
      <c r="C1296" s="6">
        <v>12.3636</v>
      </c>
      <c r="D1296" s="6">
        <v>9503.7199999999993</v>
      </c>
      <c r="E1296" s="6">
        <v>0.94</v>
      </c>
      <c r="F1296" s="6">
        <f t="shared" si="140"/>
        <v>1.0444444444444444E-2</v>
      </c>
      <c r="G1296">
        <f t="shared" si="141"/>
        <v>-2.0618100069364953</v>
      </c>
      <c r="H1296">
        <f t="shared" si="142"/>
        <v>-0.32730849228486741</v>
      </c>
      <c r="I1296">
        <f t="shared" si="143"/>
        <v>-1.1996939428970783</v>
      </c>
      <c r="J1296">
        <f t="shared" si="144"/>
        <v>-1.4580924374875295</v>
      </c>
      <c r="K1296">
        <f t="shared" si="145"/>
        <v>-2.0722544513809398</v>
      </c>
      <c r="L1296">
        <f t="shared" si="146"/>
        <v>-1.2101383873415228</v>
      </c>
    </row>
    <row r="1297" spans="1:12" x14ac:dyDescent="0.25">
      <c r="A1297" s="1">
        <v>42093</v>
      </c>
      <c r="B1297" s="6">
        <v>117.18989999999999</v>
      </c>
      <c r="C1297" s="6">
        <v>12.444900000000001</v>
      </c>
      <c r="D1297" s="6">
        <v>9521.8700000000008</v>
      </c>
      <c r="E1297" s="6">
        <v>0.94</v>
      </c>
      <c r="F1297" s="6">
        <f t="shared" si="140"/>
        <v>1.0444444444444444E-2</v>
      </c>
      <c r="G1297">
        <f t="shared" si="141"/>
        <v>0</v>
      </c>
      <c r="H1297">
        <f t="shared" si="142"/>
        <v>0.65757546345725026</v>
      </c>
      <c r="I1297">
        <f t="shared" si="143"/>
        <v>0.19097784867400824</v>
      </c>
      <c r="J1297">
        <f t="shared" si="144"/>
        <v>-7.3489843141871791E-3</v>
      </c>
      <c r="K1297">
        <f t="shared" si="145"/>
        <v>-1.0444444444444444E-2</v>
      </c>
      <c r="L1297">
        <f t="shared" si="146"/>
        <v>0.18053340422956379</v>
      </c>
    </row>
    <row r="1298" spans="1:12" x14ac:dyDescent="0.25">
      <c r="A1298" s="1">
        <v>42094</v>
      </c>
      <c r="B1298" s="6">
        <v>119.657</v>
      </c>
      <c r="C1298" s="6">
        <v>12.6076</v>
      </c>
      <c r="D1298" s="6">
        <v>9586.44</v>
      </c>
      <c r="E1298" s="6">
        <v>0.94</v>
      </c>
      <c r="F1298" s="6">
        <f t="shared" si="140"/>
        <v>1.0444444444444444E-2</v>
      </c>
      <c r="G1298">
        <f t="shared" si="141"/>
        <v>2.1052155518521665</v>
      </c>
      <c r="H1298">
        <f t="shared" si="142"/>
        <v>1.3073628554668915</v>
      </c>
      <c r="I1298">
        <f t="shared" si="143"/>
        <v>0.67812309976926488</v>
      </c>
      <c r="J1298">
        <f t="shared" si="144"/>
        <v>1.4739357456528372</v>
      </c>
      <c r="K1298">
        <f t="shared" si="145"/>
        <v>2.094771107407722</v>
      </c>
      <c r="L1298">
        <f t="shared" si="146"/>
        <v>0.6676786553248204</v>
      </c>
    </row>
    <row r="1299" spans="1:12" x14ac:dyDescent="0.25">
      <c r="A1299" s="1">
        <v>42095</v>
      </c>
      <c r="B1299" s="6">
        <v>118.4234</v>
      </c>
      <c r="C1299" s="6">
        <v>12.404199999999999</v>
      </c>
      <c r="D1299" s="6">
        <v>9507.66</v>
      </c>
      <c r="E1299" s="6">
        <v>0.94</v>
      </c>
      <c r="F1299" s="6">
        <f t="shared" si="140"/>
        <v>1.0444444444444444E-2</v>
      </c>
      <c r="G1299">
        <f t="shared" si="141"/>
        <v>-1.0309467895735274</v>
      </c>
      <c r="H1299">
        <f t="shared" si="142"/>
        <v>-1.6133126050953412</v>
      </c>
      <c r="I1299">
        <f t="shared" si="143"/>
        <v>-0.82178577240352679</v>
      </c>
      <c r="J1299">
        <f t="shared" si="144"/>
        <v>-0.73275011269756329</v>
      </c>
      <c r="K1299">
        <f t="shared" si="145"/>
        <v>-1.0413912340179718</v>
      </c>
      <c r="L1299">
        <f t="shared" si="146"/>
        <v>-0.83223021684797127</v>
      </c>
    </row>
    <row r="1300" spans="1:12" x14ac:dyDescent="0.25">
      <c r="A1300" s="1">
        <v>42096</v>
      </c>
      <c r="B1300" s="6">
        <v>120.89060000000001</v>
      </c>
      <c r="C1300" s="6">
        <v>12.6076</v>
      </c>
      <c r="D1300" s="6">
        <v>9600.32</v>
      </c>
      <c r="E1300" s="6">
        <v>0.94</v>
      </c>
      <c r="F1300" s="6">
        <f t="shared" si="140"/>
        <v>1.0444444444444444E-2</v>
      </c>
      <c r="G1300">
        <f t="shared" si="141"/>
        <v>2.0833720362698633</v>
      </c>
      <c r="H1300">
        <f t="shared" si="142"/>
        <v>1.6397671756340615</v>
      </c>
      <c r="I1300">
        <f t="shared" si="143"/>
        <v>0.97458259971433403</v>
      </c>
      <c r="J1300">
        <f t="shared" si="144"/>
        <v>1.4585660767120987</v>
      </c>
      <c r="K1300">
        <f t="shared" si="145"/>
        <v>2.0729275918254189</v>
      </c>
      <c r="L1300">
        <f t="shared" si="146"/>
        <v>0.96413815526988955</v>
      </c>
    </row>
    <row r="1301" spans="1:12" x14ac:dyDescent="0.25">
      <c r="A1301" s="1">
        <v>42101</v>
      </c>
      <c r="B1301" s="6">
        <v>120.0682</v>
      </c>
      <c r="C1301" s="6">
        <v>12.851599999999999</v>
      </c>
      <c r="D1301" s="6">
        <v>9641.9</v>
      </c>
      <c r="E1301" s="6">
        <v>0.94</v>
      </c>
      <c r="F1301" s="6">
        <f t="shared" si="140"/>
        <v>1.0444444444444444E-2</v>
      </c>
      <c r="G1301">
        <f t="shared" si="141"/>
        <v>-0.68028448862029123</v>
      </c>
      <c r="H1301">
        <f t="shared" si="142"/>
        <v>1.9353405882166295</v>
      </c>
      <c r="I1301">
        <f t="shared" si="143"/>
        <v>0.43311056298123324</v>
      </c>
      <c r="J1301">
        <f t="shared" si="144"/>
        <v>-0.48601494521310534</v>
      </c>
      <c r="K1301">
        <f t="shared" si="145"/>
        <v>-0.69072893306473571</v>
      </c>
      <c r="L1301">
        <f t="shared" si="146"/>
        <v>0.42266611853678882</v>
      </c>
    </row>
    <row r="1302" spans="1:12" x14ac:dyDescent="0.25">
      <c r="A1302" s="1">
        <v>42102</v>
      </c>
      <c r="B1302" s="6">
        <v>117.6011</v>
      </c>
      <c r="C1302" s="6">
        <v>12.7296</v>
      </c>
      <c r="D1302" s="6">
        <v>9571.9699999999993</v>
      </c>
      <c r="E1302" s="6">
        <v>0.94</v>
      </c>
      <c r="F1302" s="6">
        <f t="shared" si="140"/>
        <v>1.0444444444444444E-2</v>
      </c>
      <c r="G1302">
        <f t="shared" si="141"/>
        <v>-2.0547488843840434</v>
      </c>
      <c r="H1302">
        <f t="shared" si="142"/>
        <v>-0.94929814186560346</v>
      </c>
      <c r="I1302">
        <f t="shared" si="143"/>
        <v>-0.72527198996048803</v>
      </c>
      <c r="J1302">
        <f t="shared" si="144"/>
        <v>-1.4531240469566071</v>
      </c>
      <c r="K1302">
        <f t="shared" si="145"/>
        <v>-2.0651933288284878</v>
      </c>
      <c r="L1302">
        <f t="shared" si="146"/>
        <v>-0.73571643440493251</v>
      </c>
    </row>
    <row r="1303" spans="1:12" x14ac:dyDescent="0.25">
      <c r="A1303" s="1">
        <v>42103</v>
      </c>
      <c r="B1303" s="6">
        <v>117.6011</v>
      </c>
      <c r="C1303" s="6">
        <v>12.526300000000001</v>
      </c>
      <c r="D1303" s="6">
        <v>9568.0400000000009</v>
      </c>
      <c r="E1303" s="6">
        <v>0.94</v>
      </c>
      <c r="F1303" s="6">
        <f t="shared" si="140"/>
        <v>1.0444444444444444E-2</v>
      </c>
      <c r="G1303">
        <f t="shared" si="141"/>
        <v>0</v>
      </c>
      <c r="H1303">
        <f t="shared" si="142"/>
        <v>-1.5970651080945097</v>
      </c>
      <c r="I1303">
        <f t="shared" si="143"/>
        <v>-4.1057378993023093E-2</v>
      </c>
      <c r="J1303">
        <f t="shared" si="144"/>
        <v>-7.3489843141871791E-3</v>
      </c>
      <c r="K1303">
        <f t="shared" si="145"/>
        <v>-1.0444444444444444E-2</v>
      </c>
      <c r="L1303">
        <f t="shared" si="146"/>
        <v>-5.1501823437467537E-2</v>
      </c>
    </row>
    <row r="1304" spans="1:12" x14ac:dyDescent="0.25">
      <c r="A1304" s="1">
        <v>42104</v>
      </c>
      <c r="B1304" s="6">
        <v>120.89060000000001</v>
      </c>
      <c r="C1304" s="6">
        <v>12.404199999999999</v>
      </c>
      <c r="D1304" s="6">
        <v>9617.7000000000007</v>
      </c>
      <c r="E1304" s="6">
        <v>0.94</v>
      </c>
      <c r="F1304" s="6">
        <f t="shared" si="140"/>
        <v>1.0444444444444444E-2</v>
      </c>
      <c r="G1304">
        <f t="shared" si="141"/>
        <v>2.7971677135673083</v>
      </c>
      <c r="H1304">
        <f t="shared" si="142"/>
        <v>-0.97474912783504641</v>
      </c>
      <c r="I1304">
        <f t="shared" si="143"/>
        <v>0.51901956931618021</v>
      </c>
      <c r="J1304">
        <f t="shared" si="144"/>
        <v>1.9608113865412671</v>
      </c>
      <c r="K1304">
        <f t="shared" si="145"/>
        <v>2.7867232691228638</v>
      </c>
      <c r="L1304">
        <f t="shared" si="146"/>
        <v>0.50857512487173573</v>
      </c>
    </row>
    <row r="1305" spans="1:12" x14ac:dyDescent="0.25">
      <c r="A1305" s="1">
        <v>42107</v>
      </c>
      <c r="B1305" s="6">
        <v>120.89060000000001</v>
      </c>
      <c r="C1305" s="6">
        <v>12.404199999999999</v>
      </c>
      <c r="D1305" s="6">
        <v>9666.52</v>
      </c>
      <c r="E1305" s="6">
        <v>0.94</v>
      </c>
      <c r="F1305" s="6">
        <f t="shared" si="140"/>
        <v>1.0444444444444444E-2</v>
      </c>
      <c r="G1305">
        <f t="shared" si="141"/>
        <v>0</v>
      </c>
      <c r="H1305">
        <f t="shared" si="142"/>
        <v>0</v>
      </c>
      <c r="I1305">
        <f t="shared" si="143"/>
        <v>0.50760576853093464</v>
      </c>
      <c r="J1305">
        <f t="shared" si="144"/>
        <v>-7.3489843141871791E-3</v>
      </c>
      <c r="K1305">
        <f t="shared" si="145"/>
        <v>-1.0444444444444444E-2</v>
      </c>
      <c r="L1305">
        <f t="shared" si="146"/>
        <v>0.49716132408649022</v>
      </c>
    </row>
    <row r="1306" spans="1:12" x14ac:dyDescent="0.25">
      <c r="A1306" s="1">
        <v>42108</v>
      </c>
      <c r="B1306" s="6">
        <v>118.4234</v>
      </c>
      <c r="C1306" s="6">
        <v>12.2822</v>
      </c>
      <c r="D1306" s="6">
        <v>9642.2199999999993</v>
      </c>
      <c r="E1306" s="6">
        <v>0.94</v>
      </c>
      <c r="F1306" s="6">
        <f t="shared" si="140"/>
        <v>1.0444444444444444E-2</v>
      </c>
      <c r="G1306">
        <f t="shared" si="141"/>
        <v>-2.0408534658608737</v>
      </c>
      <c r="H1306">
        <f t="shared" si="142"/>
        <v>-0.98353783395946448</v>
      </c>
      <c r="I1306">
        <f t="shared" si="143"/>
        <v>-0.25138312443362337</v>
      </c>
      <c r="J1306">
        <f t="shared" si="144"/>
        <v>-1.4433468670109415</v>
      </c>
      <c r="K1306">
        <f t="shared" si="145"/>
        <v>-2.0512979103053182</v>
      </c>
      <c r="L1306">
        <f t="shared" si="146"/>
        <v>-0.2618275688780678</v>
      </c>
    </row>
    <row r="1307" spans="1:12" x14ac:dyDescent="0.25">
      <c r="A1307" s="1">
        <v>42109</v>
      </c>
      <c r="B1307" s="6">
        <v>117.6011</v>
      </c>
      <c r="C1307" s="6">
        <v>11.834899999999999</v>
      </c>
      <c r="D1307" s="6">
        <v>9540.06</v>
      </c>
      <c r="E1307" s="6">
        <v>0.94</v>
      </c>
      <c r="F1307" s="6">
        <f t="shared" si="140"/>
        <v>1.0444444444444444E-2</v>
      </c>
      <c r="G1307">
        <f t="shared" si="141"/>
        <v>-0.69437290265268392</v>
      </c>
      <c r="H1307">
        <f t="shared" si="142"/>
        <v>-3.6418556936053825</v>
      </c>
      <c r="I1307">
        <f t="shared" si="143"/>
        <v>-1.0595070429838758</v>
      </c>
      <c r="J1307">
        <f t="shared" si="144"/>
        <v>-0.49592792184738677</v>
      </c>
      <c r="K1307">
        <f t="shared" si="145"/>
        <v>-0.7048173470971284</v>
      </c>
      <c r="L1307">
        <f t="shared" si="146"/>
        <v>-1.0699514874283202</v>
      </c>
    </row>
    <row r="1308" spans="1:12" x14ac:dyDescent="0.25">
      <c r="A1308" s="1">
        <v>42110</v>
      </c>
      <c r="B1308" s="6">
        <v>120.89060000000001</v>
      </c>
      <c r="C1308" s="6">
        <v>11.956899999999999</v>
      </c>
      <c r="D1308" s="6">
        <v>9656.8700000000008</v>
      </c>
      <c r="E1308" s="6">
        <v>0.94</v>
      </c>
      <c r="F1308" s="6">
        <f t="shared" si="140"/>
        <v>1.0444444444444444E-2</v>
      </c>
      <c r="G1308">
        <f t="shared" si="141"/>
        <v>2.7971677135673083</v>
      </c>
      <c r="H1308">
        <f t="shared" si="142"/>
        <v>1.0308494368351224</v>
      </c>
      <c r="I1308">
        <f t="shared" si="143"/>
        <v>1.2244157793556991</v>
      </c>
      <c r="J1308">
        <f t="shared" si="144"/>
        <v>1.9608113865412671</v>
      </c>
      <c r="K1308">
        <f t="shared" si="145"/>
        <v>2.7867232691228638</v>
      </c>
      <c r="L1308">
        <f t="shared" si="146"/>
        <v>1.2139713349112546</v>
      </c>
    </row>
    <row r="1309" spans="1:12" x14ac:dyDescent="0.25">
      <c r="A1309" s="1">
        <v>42111</v>
      </c>
      <c r="B1309" s="6">
        <v>117.18989999999999</v>
      </c>
      <c r="C1309" s="6">
        <v>11.631500000000001</v>
      </c>
      <c r="D1309" s="6">
        <v>9570.93</v>
      </c>
      <c r="E1309" s="6">
        <v>0.94</v>
      </c>
      <c r="F1309" s="6">
        <f t="shared" si="140"/>
        <v>1.0444444444444444E-2</v>
      </c>
      <c r="G1309">
        <f t="shared" si="141"/>
        <v>-3.0611974793739227</v>
      </c>
      <c r="H1309">
        <f t="shared" si="142"/>
        <v>-2.7214411762245931</v>
      </c>
      <c r="I1309">
        <f t="shared" si="143"/>
        <v>-0.88993638725591728</v>
      </c>
      <c r="J1309">
        <f t="shared" si="144"/>
        <v>-2.1612876048134915</v>
      </c>
      <c r="K1309">
        <f t="shared" si="145"/>
        <v>-3.0716419238183672</v>
      </c>
      <c r="L1309">
        <f t="shared" si="146"/>
        <v>-0.90038083170036176</v>
      </c>
    </row>
    <row r="1310" spans="1:12" x14ac:dyDescent="0.25">
      <c r="A1310" s="1">
        <v>42114</v>
      </c>
      <c r="B1310" s="6">
        <v>117.6011</v>
      </c>
      <c r="C1310" s="6">
        <v>11.387499999999999</v>
      </c>
      <c r="D1310" s="6">
        <v>9552.85</v>
      </c>
      <c r="E1310" s="6">
        <v>0.94</v>
      </c>
      <c r="F1310" s="6">
        <f t="shared" si="140"/>
        <v>1.0444444444444444E-2</v>
      </c>
      <c r="G1310">
        <f t="shared" si="141"/>
        <v>0.3508834805729914</v>
      </c>
      <c r="H1310">
        <f t="shared" si="142"/>
        <v>-2.0977517946954523</v>
      </c>
      <c r="I1310">
        <f t="shared" si="143"/>
        <v>-0.18890536238380101</v>
      </c>
      <c r="J1310">
        <f t="shared" si="144"/>
        <v>0.23954181093628987</v>
      </c>
      <c r="K1310">
        <f t="shared" si="145"/>
        <v>0.34043903612854698</v>
      </c>
      <c r="L1310">
        <f t="shared" si="146"/>
        <v>-0.19934980682824546</v>
      </c>
    </row>
    <row r="1311" spans="1:12" x14ac:dyDescent="0.25">
      <c r="A1311" s="1">
        <v>42115</v>
      </c>
      <c r="B1311" s="6">
        <v>117.18989999999999</v>
      </c>
      <c r="C1311" s="6">
        <v>11.4282</v>
      </c>
      <c r="D1311" s="6">
        <v>9533.98</v>
      </c>
      <c r="E1311" s="6">
        <v>0.94</v>
      </c>
      <c r="F1311" s="6">
        <f t="shared" si="140"/>
        <v>1.0444444444444444E-2</v>
      </c>
      <c r="G1311">
        <f t="shared" si="141"/>
        <v>-0.34965659334819826</v>
      </c>
      <c r="H1311">
        <f t="shared" si="142"/>
        <v>0.35740944017564058</v>
      </c>
      <c r="I1311">
        <f t="shared" si="143"/>
        <v>-0.1975326734953527</v>
      </c>
      <c r="J1311">
        <f t="shared" si="144"/>
        <v>-0.25337650962070107</v>
      </c>
      <c r="K1311">
        <f t="shared" si="145"/>
        <v>-0.36010103779264269</v>
      </c>
      <c r="L1311">
        <f t="shared" si="146"/>
        <v>-0.20797711793979715</v>
      </c>
    </row>
    <row r="1312" spans="1:12" x14ac:dyDescent="0.25">
      <c r="A1312" s="1">
        <v>42116</v>
      </c>
      <c r="B1312" s="6">
        <v>118.01220000000001</v>
      </c>
      <c r="C1312" s="6">
        <v>11.4688</v>
      </c>
      <c r="D1312" s="6">
        <v>9613</v>
      </c>
      <c r="E1312" s="6">
        <v>0.94</v>
      </c>
      <c r="F1312" s="6">
        <f t="shared" si="140"/>
        <v>1.0444444444444444E-2</v>
      </c>
      <c r="G1312">
        <f t="shared" si="141"/>
        <v>0.7016816295602375</v>
      </c>
      <c r="H1312">
        <f t="shared" si="142"/>
        <v>0.35526154600024085</v>
      </c>
      <c r="I1312">
        <f t="shared" si="143"/>
        <v>0.82882489789154623</v>
      </c>
      <c r="J1312">
        <f t="shared" si="144"/>
        <v>0.48637256465095496</v>
      </c>
      <c r="K1312">
        <f t="shared" si="145"/>
        <v>0.69123718511579302</v>
      </c>
      <c r="L1312">
        <f t="shared" si="146"/>
        <v>0.81838045344710175</v>
      </c>
    </row>
    <row r="1313" spans="1:12" x14ac:dyDescent="0.25">
      <c r="A1313" s="1">
        <v>42117</v>
      </c>
      <c r="B1313" s="6">
        <v>120.89060000000001</v>
      </c>
      <c r="C1313" s="6">
        <v>11.875500000000001</v>
      </c>
      <c r="D1313" s="6">
        <v>9797.49</v>
      </c>
      <c r="E1313" s="6">
        <v>0.94</v>
      </c>
      <c r="F1313" s="6">
        <f t="shared" si="140"/>
        <v>1.0444444444444444E-2</v>
      </c>
      <c r="G1313">
        <f t="shared" si="141"/>
        <v>2.4390698588789963</v>
      </c>
      <c r="H1313">
        <f t="shared" si="142"/>
        <v>3.5461425781250062</v>
      </c>
      <c r="I1313">
        <f t="shared" si="143"/>
        <v>1.9191719546447497</v>
      </c>
      <c r="J1313">
        <f t="shared" si="144"/>
        <v>1.7088443689515185</v>
      </c>
      <c r="K1313">
        <f t="shared" si="145"/>
        <v>2.4286254144345518</v>
      </c>
      <c r="L1313">
        <f t="shared" si="146"/>
        <v>1.9087275102003052</v>
      </c>
    </row>
    <row r="1314" spans="1:12" x14ac:dyDescent="0.25">
      <c r="A1314" s="1">
        <v>42118</v>
      </c>
      <c r="B1314" s="6">
        <v>125.41370000000001</v>
      </c>
      <c r="C1314" s="6">
        <v>11.9162</v>
      </c>
      <c r="D1314" s="6">
        <v>9913.2800000000007</v>
      </c>
      <c r="E1314" s="6">
        <v>0.94</v>
      </c>
      <c r="F1314" s="6">
        <f t="shared" si="140"/>
        <v>1.0444444444444444E-2</v>
      </c>
      <c r="G1314">
        <f t="shared" si="141"/>
        <v>3.7414819679942024</v>
      </c>
      <c r="H1314">
        <f t="shared" si="142"/>
        <v>0.34272241168792295</v>
      </c>
      <c r="I1314">
        <f t="shared" si="143"/>
        <v>1.1818333062855984</v>
      </c>
      <c r="J1314">
        <f t="shared" si="144"/>
        <v>2.6252555970840272</v>
      </c>
      <c r="K1314">
        <f t="shared" si="145"/>
        <v>3.7310375235497579</v>
      </c>
      <c r="L1314">
        <f t="shared" si="146"/>
        <v>1.1713888618411539</v>
      </c>
    </row>
    <row r="1315" spans="1:12" x14ac:dyDescent="0.25">
      <c r="A1315" s="1">
        <v>42121</v>
      </c>
      <c r="B1315" s="6">
        <v>124.5913</v>
      </c>
      <c r="C1315" s="6">
        <v>12.1196</v>
      </c>
      <c r="D1315" s="6">
        <v>9973.1200000000008</v>
      </c>
      <c r="E1315" s="6">
        <v>0.94</v>
      </c>
      <c r="F1315" s="6">
        <f t="shared" si="140"/>
        <v>1.0444444444444444E-2</v>
      </c>
      <c r="G1315">
        <f t="shared" si="141"/>
        <v>-0.65574973069130549</v>
      </c>
      <c r="H1315">
        <f t="shared" si="142"/>
        <v>1.7069199912723876</v>
      </c>
      <c r="I1315">
        <f t="shared" si="143"/>
        <v>0.60363472029439436</v>
      </c>
      <c r="J1315">
        <f t="shared" si="144"/>
        <v>-0.46875164776041955</v>
      </c>
      <c r="K1315">
        <f t="shared" si="145"/>
        <v>-0.66619417513574997</v>
      </c>
      <c r="L1315">
        <f t="shared" si="146"/>
        <v>0.59319027584994988</v>
      </c>
    </row>
    <row r="1316" spans="1:12" x14ac:dyDescent="0.25">
      <c r="A1316" s="1">
        <v>42122</v>
      </c>
      <c r="B1316" s="6">
        <v>124.5913</v>
      </c>
      <c r="C1316" s="6">
        <v>12.078900000000001</v>
      </c>
      <c r="D1316" s="6">
        <v>9956.83</v>
      </c>
      <c r="E1316" s="6">
        <v>0.94</v>
      </c>
      <c r="F1316" s="6">
        <f t="shared" si="140"/>
        <v>1.0444444444444444E-2</v>
      </c>
      <c r="G1316">
        <f t="shared" si="141"/>
        <v>0</v>
      </c>
      <c r="H1316">
        <f t="shared" si="142"/>
        <v>-0.33581966401530822</v>
      </c>
      <c r="I1316">
        <f t="shared" si="143"/>
        <v>-0.16333905538087251</v>
      </c>
      <c r="J1316">
        <f t="shared" si="144"/>
        <v>-7.3489843141871791E-3</v>
      </c>
      <c r="K1316">
        <f t="shared" si="145"/>
        <v>-1.0444444444444444E-2</v>
      </c>
      <c r="L1316">
        <f t="shared" si="146"/>
        <v>-0.17378349982531696</v>
      </c>
    </row>
    <row r="1317" spans="1:12" x14ac:dyDescent="0.25">
      <c r="A1317" s="1">
        <v>42123</v>
      </c>
      <c r="B1317" s="6">
        <v>122.1242</v>
      </c>
      <c r="C1317" s="6">
        <v>11.9162</v>
      </c>
      <c r="D1317" s="6">
        <v>9853.83</v>
      </c>
      <c r="E1317" s="6">
        <v>0.94</v>
      </c>
      <c r="F1317" s="6">
        <f t="shared" si="140"/>
        <v>1.0444444444444444E-2</v>
      </c>
      <c r="G1317">
        <f t="shared" si="141"/>
        <v>-1.9801543125402834</v>
      </c>
      <c r="H1317">
        <f t="shared" si="142"/>
        <v>-1.3469769598225083</v>
      </c>
      <c r="I1317">
        <f t="shared" si="143"/>
        <v>-1.0344657888102939</v>
      </c>
      <c r="J1317">
        <f t="shared" si="144"/>
        <v>-1.400637354981823</v>
      </c>
      <c r="K1317">
        <f t="shared" si="145"/>
        <v>-1.9905987569847279</v>
      </c>
      <c r="L1317">
        <f t="shared" si="146"/>
        <v>-1.0449102332547384</v>
      </c>
    </row>
    <row r="1318" spans="1:12" x14ac:dyDescent="0.25">
      <c r="A1318" s="1">
        <v>42124</v>
      </c>
      <c r="B1318" s="6">
        <v>120.89060000000001</v>
      </c>
      <c r="C1318" s="6">
        <v>11.875500000000001</v>
      </c>
      <c r="D1318" s="6">
        <v>9820.0499999999993</v>
      </c>
      <c r="E1318" s="6">
        <v>0.94</v>
      </c>
      <c r="F1318" s="6">
        <f t="shared" si="140"/>
        <v>1.0444444444444444E-2</v>
      </c>
      <c r="G1318">
        <f t="shared" si="141"/>
        <v>-1.0101192065127105</v>
      </c>
      <c r="H1318">
        <f t="shared" si="142"/>
        <v>-0.34155183699500924</v>
      </c>
      <c r="I1318">
        <f t="shared" si="143"/>
        <v>-0.34281086643468228</v>
      </c>
      <c r="J1318">
        <f t="shared" si="144"/>
        <v>-0.7180952804534424</v>
      </c>
      <c r="K1318">
        <f t="shared" si="145"/>
        <v>-1.020563650957155</v>
      </c>
      <c r="L1318">
        <f t="shared" si="146"/>
        <v>-0.3532553108791267</v>
      </c>
    </row>
    <row r="1319" spans="1:12" x14ac:dyDescent="0.25">
      <c r="A1319" s="1">
        <v>42128</v>
      </c>
      <c r="B1319" s="6">
        <v>121.3018</v>
      </c>
      <c r="C1319" s="6">
        <v>11.631500000000001</v>
      </c>
      <c r="D1319" s="6">
        <v>9845.0400000000009</v>
      </c>
      <c r="E1319" s="6">
        <v>0.94</v>
      </c>
      <c r="F1319" s="6">
        <f t="shared" si="140"/>
        <v>1.0444444444444444E-2</v>
      </c>
      <c r="G1319">
        <f t="shared" si="141"/>
        <v>0.34014224431013973</v>
      </c>
      <c r="H1319">
        <f t="shared" si="142"/>
        <v>-2.0546503305123975</v>
      </c>
      <c r="I1319">
        <f t="shared" si="143"/>
        <v>0.25447935601144195</v>
      </c>
      <c r="J1319">
        <f t="shared" si="144"/>
        <v>0.23198399613526777</v>
      </c>
      <c r="K1319">
        <f t="shared" si="145"/>
        <v>0.32969779986569531</v>
      </c>
      <c r="L1319">
        <f t="shared" si="146"/>
        <v>0.2440349115669975</v>
      </c>
    </row>
    <row r="1320" spans="1:12" x14ac:dyDescent="0.25">
      <c r="A1320" s="1">
        <v>42129</v>
      </c>
      <c r="B1320" s="6">
        <v>120.89060000000001</v>
      </c>
      <c r="C1320" s="6">
        <v>11.631500000000001</v>
      </c>
      <c r="D1320" s="6">
        <v>9820.1299999999992</v>
      </c>
      <c r="E1320" s="6">
        <v>0.94</v>
      </c>
      <c r="F1320" s="6">
        <f t="shared" si="140"/>
        <v>1.0444444444444444E-2</v>
      </c>
      <c r="G1320">
        <f t="shared" si="141"/>
        <v>-0.33898919884123219</v>
      </c>
      <c r="H1320">
        <f t="shared" si="142"/>
        <v>0</v>
      </c>
      <c r="I1320">
        <f t="shared" si="143"/>
        <v>-0.25302081047920244</v>
      </c>
      <c r="J1320">
        <f t="shared" si="144"/>
        <v>-0.24587065181065362</v>
      </c>
      <c r="K1320">
        <f t="shared" si="145"/>
        <v>-0.34943364328567661</v>
      </c>
      <c r="L1320">
        <f t="shared" si="146"/>
        <v>-0.26346525492364686</v>
      </c>
    </row>
    <row r="1321" spans="1:12" x14ac:dyDescent="0.25">
      <c r="A1321" s="1">
        <v>42130</v>
      </c>
      <c r="B1321" s="6">
        <v>121.3018</v>
      </c>
      <c r="C1321" s="6">
        <v>11.6722</v>
      </c>
      <c r="D1321" s="6">
        <v>9818.2000000000007</v>
      </c>
      <c r="E1321" s="6">
        <v>0.94</v>
      </c>
      <c r="F1321" s="6">
        <f t="shared" si="140"/>
        <v>1.0444444444444444E-2</v>
      </c>
      <c r="G1321">
        <f t="shared" si="141"/>
        <v>0.34014224431013973</v>
      </c>
      <c r="H1321">
        <f t="shared" si="142"/>
        <v>0.34991187722992984</v>
      </c>
      <c r="I1321">
        <f t="shared" si="143"/>
        <v>-1.9653507641940304E-2</v>
      </c>
      <c r="J1321">
        <f t="shared" si="144"/>
        <v>0.23198399613526777</v>
      </c>
      <c r="K1321">
        <f t="shared" si="145"/>
        <v>0.32969779986569531</v>
      </c>
      <c r="L1321">
        <f t="shared" si="146"/>
        <v>-3.0097952086384747E-2</v>
      </c>
    </row>
    <row r="1322" spans="1:12" x14ac:dyDescent="0.25">
      <c r="A1322" s="1">
        <v>42131</v>
      </c>
      <c r="B1322" s="6">
        <v>120.4794</v>
      </c>
      <c r="C1322" s="6">
        <v>11.4282</v>
      </c>
      <c r="D1322" s="6">
        <v>9704.11</v>
      </c>
      <c r="E1322" s="6">
        <v>0.94</v>
      </c>
      <c r="F1322" s="6">
        <f t="shared" si="140"/>
        <v>1.0444444444444444E-2</v>
      </c>
      <c r="G1322">
        <f t="shared" si="141"/>
        <v>-0.67797839768247614</v>
      </c>
      <c r="H1322">
        <f t="shared" si="142"/>
        <v>-2.0904371069721197</v>
      </c>
      <c r="I1322">
        <f t="shared" si="143"/>
        <v>-1.162025625878472</v>
      </c>
      <c r="J1322">
        <f t="shared" si="144"/>
        <v>-0.48439231930712839</v>
      </c>
      <c r="K1322">
        <f t="shared" si="145"/>
        <v>-0.68842284212692062</v>
      </c>
      <c r="L1322">
        <f t="shared" si="146"/>
        <v>-1.1724700703229165</v>
      </c>
    </row>
    <row r="1323" spans="1:12" x14ac:dyDescent="0.25">
      <c r="A1323" s="1">
        <v>42132</v>
      </c>
      <c r="B1323" s="6">
        <v>120.4794</v>
      </c>
      <c r="C1323" s="6">
        <v>11.265499999999999</v>
      </c>
      <c r="D1323" s="6">
        <v>9692</v>
      </c>
      <c r="E1323" s="6">
        <v>0.94</v>
      </c>
      <c r="F1323" s="6">
        <f t="shared" si="140"/>
        <v>1.0444444444444444E-2</v>
      </c>
      <c r="G1323">
        <f t="shared" si="141"/>
        <v>0</v>
      </c>
      <c r="H1323">
        <f t="shared" si="142"/>
        <v>-1.423671269316261</v>
      </c>
      <c r="I1323">
        <f t="shared" si="143"/>
        <v>-0.12479248483375169</v>
      </c>
      <c r="J1323">
        <f t="shared" si="144"/>
        <v>-7.3489843141871791E-3</v>
      </c>
      <c r="K1323">
        <f t="shared" si="145"/>
        <v>-1.0444444444444444E-2</v>
      </c>
      <c r="L1323">
        <f t="shared" si="146"/>
        <v>-0.13523692927819614</v>
      </c>
    </row>
    <row r="1324" spans="1:12" x14ac:dyDescent="0.25">
      <c r="A1324" s="1">
        <v>42135</v>
      </c>
      <c r="B1324" s="6">
        <v>122.1242</v>
      </c>
      <c r="C1324" s="6">
        <v>11.387499999999999</v>
      </c>
      <c r="D1324" s="6">
        <v>9663.7199999999993</v>
      </c>
      <c r="E1324" s="6">
        <v>0.94</v>
      </c>
      <c r="F1324" s="6">
        <f t="shared" si="140"/>
        <v>1.0444444444444444E-2</v>
      </c>
      <c r="G1324">
        <f t="shared" si="141"/>
        <v>1.3652126421612356</v>
      </c>
      <c r="H1324">
        <f t="shared" si="142"/>
        <v>1.0829523767253997</v>
      </c>
      <c r="I1324">
        <f t="shared" si="143"/>
        <v>-0.2917870408584467</v>
      </c>
      <c r="J1324">
        <f t="shared" si="144"/>
        <v>0.95325034158960642</v>
      </c>
      <c r="K1324">
        <f t="shared" si="145"/>
        <v>1.3547681977167911</v>
      </c>
      <c r="L1324">
        <f t="shared" si="146"/>
        <v>-0.30223148530289112</v>
      </c>
    </row>
    <row r="1325" spans="1:12" x14ac:dyDescent="0.25">
      <c r="A1325" s="1">
        <v>42136</v>
      </c>
      <c r="B1325" s="6">
        <v>121.3018</v>
      </c>
      <c r="C1325" s="6">
        <v>11.184200000000001</v>
      </c>
      <c r="D1325" s="6">
        <v>9680.73</v>
      </c>
      <c r="E1325" s="6">
        <v>0.94</v>
      </c>
      <c r="F1325" s="6">
        <f t="shared" si="140"/>
        <v>1.0444444444444444E-2</v>
      </c>
      <c r="G1325">
        <f t="shared" si="141"/>
        <v>-0.67341280434181083</v>
      </c>
      <c r="H1325">
        <f t="shared" si="142"/>
        <v>-1.7852908891328099</v>
      </c>
      <c r="I1325">
        <f t="shared" si="143"/>
        <v>0.17601917274093434</v>
      </c>
      <c r="J1325">
        <f t="shared" si="144"/>
        <v>-0.48117984840702671</v>
      </c>
      <c r="K1325">
        <f t="shared" si="145"/>
        <v>-0.68385724878625531</v>
      </c>
      <c r="L1325">
        <f t="shared" si="146"/>
        <v>0.16557472829648989</v>
      </c>
    </row>
    <row r="1326" spans="1:12" x14ac:dyDescent="0.25">
      <c r="A1326" s="1">
        <v>42137</v>
      </c>
      <c r="B1326" s="6">
        <v>121.71299999999999</v>
      </c>
      <c r="C1326" s="6">
        <v>11.3468</v>
      </c>
      <c r="D1326" s="6">
        <v>9724.11</v>
      </c>
      <c r="E1326" s="6">
        <v>0.94</v>
      </c>
      <c r="F1326" s="6">
        <f t="shared" si="140"/>
        <v>1.0444444444444444E-2</v>
      </c>
      <c r="G1326">
        <f t="shared" si="141"/>
        <v>0.33898919884123219</v>
      </c>
      <c r="H1326">
        <f t="shared" si="142"/>
        <v>1.4538366624345005</v>
      </c>
      <c r="I1326">
        <f t="shared" si="143"/>
        <v>0.44810670269701791</v>
      </c>
      <c r="J1326">
        <f t="shared" si="144"/>
        <v>0.23117268318227929</v>
      </c>
      <c r="K1326">
        <f t="shared" si="145"/>
        <v>0.32854475439678776</v>
      </c>
      <c r="L1326">
        <f t="shared" si="146"/>
        <v>0.43766225825257349</v>
      </c>
    </row>
    <row r="1327" spans="1:12" x14ac:dyDescent="0.25">
      <c r="A1327" s="1">
        <v>42138</v>
      </c>
      <c r="B1327" s="6">
        <v>120.0682</v>
      </c>
      <c r="C1327" s="6">
        <v>11.184200000000001</v>
      </c>
      <c r="D1327" s="6">
        <v>9610.83</v>
      </c>
      <c r="E1327" s="6">
        <v>0.94</v>
      </c>
      <c r="F1327" s="6">
        <f t="shared" si="140"/>
        <v>1.0444444444444444E-2</v>
      </c>
      <c r="G1327">
        <f t="shared" si="141"/>
        <v>-1.3513757774436499</v>
      </c>
      <c r="H1327">
        <f t="shared" si="142"/>
        <v>-1.4330031374484384</v>
      </c>
      <c r="I1327">
        <f t="shared" si="143"/>
        <v>-1.1649395163156386</v>
      </c>
      <c r="J1327">
        <f t="shared" si="144"/>
        <v>-0.9582123302615595</v>
      </c>
      <c r="K1327">
        <f t="shared" si="145"/>
        <v>-1.3618202218880944</v>
      </c>
      <c r="L1327">
        <f t="shared" si="146"/>
        <v>-1.1753839607600831</v>
      </c>
    </row>
    <row r="1328" spans="1:12" x14ac:dyDescent="0.25">
      <c r="A1328" s="1">
        <v>42139</v>
      </c>
      <c r="B1328" s="6">
        <v>120.4794</v>
      </c>
      <c r="C1328" s="6">
        <v>11.184200000000001</v>
      </c>
      <c r="D1328" s="6">
        <v>9579.48</v>
      </c>
      <c r="E1328" s="6">
        <v>0.94</v>
      </c>
      <c r="F1328" s="6">
        <f t="shared" si="140"/>
        <v>1.0444444444444444E-2</v>
      </c>
      <c r="G1328">
        <f t="shared" si="141"/>
        <v>0.3424720283971891</v>
      </c>
      <c r="H1328">
        <f t="shared" si="142"/>
        <v>0</v>
      </c>
      <c r="I1328">
        <f t="shared" si="143"/>
        <v>-0.32619451181636094</v>
      </c>
      <c r="J1328">
        <f t="shared" si="144"/>
        <v>0.23362329316080518</v>
      </c>
      <c r="K1328">
        <f t="shared" si="145"/>
        <v>0.33202758395274468</v>
      </c>
      <c r="L1328">
        <f t="shared" si="146"/>
        <v>-0.33663895626080537</v>
      </c>
    </row>
    <row r="1329" spans="1:12" x14ac:dyDescent="0.25">
      <c r="A1329" s="1">
        <v>42142</v>
      </c>
      <c r="B1329" s="6">
        <v>120.4794</v>
      </c>
      <c r="C1329" s="6">
        <v>11.062099999999999</v>
      </c>
      <c r="D1329" s="6">
        <v>9606.1</v>
      </c>
      <c r="E1329" s="6">
        <v>0.94</v>
      </c>
      <c r="F1329" s="6">
        <f t="shared" si="140"/>
        <v>1.0444444444444444E-2</v>
      </c>
      <c r="G1329">
        <f t="shared" si="141"/>
        <v>0</v>
      </c>
      <c r="H1329">
        <f t="shared" si="142"/>
        <v>-1.0917186745587653</v>
      </c>
      <c r="I1329">
        <f t="shared" si="143"/>
        <v>0.27788564723764547</v>
      </c>
      <c r="J1329">
        <f t="shared" si="144"/>
        <v>-7.3489843141871791E-3</v>
      </c>
      <c r="K1329">
        <f t="shared" si="145"/>
        <v>-1.0444444444444444E-2</v>
      </c>
      <c r="L1329">
        <f t="shared" si="146"/>
        <v>0.26744120279320105</v>
      </c>
    </row>
    <row r="1330" spans="1:12" x14ac:dyDescent="0.25">
      <c r="A1330" s="1">
        <v>42143</v>
      </c>
      <c r="B1330" s="6">
        <v>120.4794</v>
      </c>
      <c r="C1330" s="6">
        <v>11.3468</v>
      </c>
      <c r="D1330" s="6">
        <v>9716.77</v>
      </c>
      <c r="E1330" s="6">
        <v>0.94</v>
      </c>
      <c r="F1330" s="6">
        <f t="shared" si="140"/>
        <v>1.0444444444444444E-2</v>
      </c>
      <c r="G1330">
        <f t="shared" si="141"/>
        <v>0</v>
      </c>
      <c r="H1330">
        <f t="shared" si="142"/>
        <v>2.5736523806510596</v>
      </c>
      <c r="I1330">
        <f t="shared" si="143"/>
        <v>1.1520804488814407</v>
      </c>
      <c r="J1330">
        <f t="shared" si="144"/>
        <v>-7.3489843141871791E-3</v>
      </c>
      <c r="K1330">
        <f t="shared" si="145"/>
        <v>-1.0444444444444444E-2</v>
      </c>
      <c r="L1330">
        <f t="shared" si="146"/>
        <v>1.1416360044369962</v>
      </c>
    </row>
    <row r="1331" spans="1:12" x14ac:dyDescent="0.25">
      <c r="A1331" s="1">
        <v>42144</v>
      </c>
      <c r="B1331" s="6">
        <v>120.4794</v>
      </c>
      <c r="C1331" s="6">
        <v>11.3062</v>
      </c>
      <c r="D1331" s="6">
        <v>9685.31</v>
      </c>
      <c r="E1331" s="6">
        <v>0.94</v>
      </c>
      <c r="F1331" s="6">
        <f t="shared" si="140"/>
        <v>1.0444444444444444E-2</v>
      </c>
      <c r="G1331">
        <f t="shared" si="141"/>
        <v>0</v>
      </c>
      <c r="H1331">
        <f t="shared" si="142"/>
        <v>-0.35781013149081259</v>
      </c>
      <c r="I1331">
        <f t="shared" si="143"/>
        <v>-0.32377014172405999</v>
      </c>
      <c r="J1331">
        <f t="shared" si="144"/>
        <v>-7.3489843141871791E-3</v>
      </c>
      <c r="K1331">
        <f t="shared" si="145"/>
        <v>-1.0444444444444444E-2</v>
      </c>
      <c r="L1331">
        <f t="shared" si="146"/>
        <v>-0.33421458616850441</v>
      </c>
    </row>
    <row r="1332" spans="1:12" x14ac:dyDescent="0.25">
      <c r="A1332" s="1">
        <v>42145</v>
      </c>
      <c r="B1332" s="6">
        <v>119.657</v>
      </c>
      <c r="C1332" s="6">
        <v>11.2248</v>
      </c>
      <c r="D1332" s="6">
        <v>9578.56</v>
      </c>
      <c r="E1332" s="6">
        <v>0.94</v>
      </c>
      <c r="F1332" s="6">
        <f t="shared" si="140"/>
        <v>1.0444444444444444E-2</v>
      </c>
      <c r="G1332">
        <f t="shared" si="141"/>
        <v>-0.68260632108061781</v>
      </c>
      <c r="H1332">
        <f t="shared" si="142"/>
        <v>-0.71995896057030973</v>
      </c>
      <c r="I1332">
        <f t="shared" si="143"/>
        <v>-1.1021846487102633</v>
      </c>
      <c r="J1332">
        <f t="shared" si="144"/>
        <v>-0.48764864726608403</v>
      </c>
      <c r="K1332">
        <f t="shared" si="145"/>
        <v>-0.69305076552506228</v>
      </c>
      <c r="L1332">
        <f t="shared" si="146"/>
        <v>-1.1126290931547078</v>
      </c>
    </row>
    <row r="1333" spans="1:12" x14ac:dyDescent="0.25">
      <c r="A1333" s="1">
        <v>42146</v>
      </c>
      <c r="B1333" s="6">
        <v>119.657</v>
      </c>
      <c r="C1333" s="6">
        <v>11.3062</v>
      </c>
      <c r="D1333" s="6">
        <v>9638.7999999999993</v>
      </c>
      <c r="E1333" s="6">
        <v>0.94</v>
      </c>
      <c r="F1333" s="6">
        <f t="shared" si="140"/>
        <v>1.0444444444444444E-2</v>
      </c>
      <c r="G1333">
        <f t="shared" si="141"/>
        <v>0</v>
      </c>
      <c r="H1333">
        <f t="shared" si="142"/>
        <v>0.72517995866296381</v>
      </c>
      <c r="I1333">
        <f t="shared" si="143"/>
        <v>0.62890455350282071</v>
      </c>
      <c r="J1333">
        <f t="shared" si="144"/>
        <v>-7.3489843141871791E-3</v>
      </c>
      <c r="K1333">
        <f t="shared" si="145"/>
        <v>-1.0444444444444444E-2</v>
      </c>
      <c r="L1333">
        <f t="shared" si="146"/>
        <v>0.61846010905837623</v>
      </c>
    </row>
    <row r="1334" spans="1:12" x14ac:dyDescent="0.25">
      <c r="A1334" s="1">
        <v>42149</v>
      </c>
      <c r="B1334" s="6">
        <v>121.3018</v>
      </c>
      <c r="C1334" s="6">
        <v>11.2248</v>
      </c>
      <c r="D1334" s="6">
        <v>9645.17</v>
      </c>
      <c r="E1334" s="6">
        <v>0.94</v>
      </c>
      <c r="F1334" s="6">
        <f t="shared" si="140"/>
        <v>1.0444444444444444E-2</v>
      </c>
      <c r="G1334">
        <f t="shared" si="141"/>
        <v>1.3745957194313778</v>
      </c>
      <c r="H1334">
        <f t="shared" si="142"/>
        <v>-0.71995896057030973</v>
      </c>
      <c r="I1334">
        <f t="shared" si="143"/>
        <v>6.6087064779856416E-2</v>
      </c>
      <c r="J1334">
        <f t="shared" si="144"/>
        <v>0.95985252019698653</v>
      </c>
      <c r="K1334">
        <f t="shared" si="145"/>
        <v>1.3641512749869333</v>
      </c>
      <c r="L1334">
        <f t="shared" si="146"/>
        <v>5.5642620335411973E-2</v>
      </c>
    </row>
    <row r="1335" spans="1:12" x14ac:dyDescent="0.25">
      <c r="A1335" s="1">
        <v>42150</v>
      </c>
      <c r="B1335" s="6">
        <v>120.4794</v>
      </c>
      <c r="C1335" s="6">
        <v>11.3062</v>
      </c>
      <c r="D1335" s="6">
        <v>9669.41</v>
      </c>
      <c r="E1335" s="6">
        <v>0.94</v>
      </c>
      <c r="F1335" s="6">
        <f t="shared" si="140"/>
        <v>1.0444444444444444E-2</v>
      </c>
      <c r="G1335">
        <f t="shared" si="141"/>
        <v>-0.67797839768247614</v>
      </c>
      <c r="H1335">
        <f t="shared" si="142"/>
        <v>0.72517995866296381</v>
      </c>
      <c r="I1335">
        <f t="shared" si="143"/>
        <v>0.25131749881028309</v>
      </c>
      <c r="J1335">
        <f t="shared" si="144"/>
        <v>-0.48439231930712839</v>
      </c>
      <c r="K1335">
        <f t="shared" si="145"/>
        <v>-0.68842284212692062</v>
      </c>
      <c r="L1335">
        <f t="shared" si="146"/>
        <v>0.24087305436583864</v>
      </c>
    </row>
    <row r="1336" spans="1:12" x14ac:dyDescent="0.25">
      <c r="A1336" s="1">
        <v>42151</v>
      </c>
      <c r="B1336" s="6">
        <v>119.2458</v>
      </c>
      <c r="C1336" s="6">
        <v>11.3468</v>
      </c>
      <c r="D1336" s="6">
        <v>9693.5400000000009</v>
      </c>
      <c r="E1336" s="6">
        <v>0.94</v>
      </c>
      <c r="F1336" s="6">
        <f t="shared" si="140"/>
        <v>1.0444444444444444E-2</v>
      </c>
      <c r="G1336">
        <f t="shared" si="141"/>
        <v>-1.0239094816209207</v>
      </c>
      <c r="H1336">
        <f t="shared" si="142"/>
        <v>0.35909500981761799</v>
      </c>
      <c r="I1336">
        <f t="shared" si="143"/>
        <v>0.24954986912335933</v>
      </c>
      <c r="J1336">
        <f t="shared" si="144"/>
        <v>-0.72779847874202819</v>
      </c>
      <c r="K1336">
        <f t="shared" si="145"/>
        <v>-1.0343539260653651</v>
      </c>
      <c r="L1336">
        <f t="shared" si="146"/>
        <v>0.23910542467891488</v>
      </c>
    </row>
    <row r="1337" spans="1:12" x14ac:dyDescent="0.25">
      <c r="A1337" s="1">
        <v>42152</v>
      </c>
      <c r="B1337" s="6">
        <v>120.89060000000001</v>
      </c>
      <c r="C1337" s="6">
        <v>11.4688</v>
      </c>
      <c r="D1337" s="6">
        <v>9712.84</v>
      </c>
      <c r="E1337" s="6">
        <v>0.94</v>
      </c>
      <c r="F1337" s="6">
        <f t="shared" si="140"/>
        <v>1.0444444444444444E-2</v>
      </c>
      <c r="G1337">
        <f t="shared" si="141"/>
        <v>1.3793357921201448</v>
      </c>
      <c r="H1337">
        <f t="shared" si="142"/>
        <v>1.0751930059576258</v>
      </c>
      <c r="I1337">
        <f t="shared" si="143"/>
        <v>0.19910166977181989</v>
      </c>
      <c r="J1337">
        <f t="shared" si="144"/>
        <v>0.96318775933039824</v>
      </c>
      <c r="K1337">
        <f t="shared" si="145"/>
        <v>1.3688913476757003</v>
      </c>
      <c r="L1337">
        <f t="shared" si="146"/>
        <v>0.18865722532737544</v>
      </c>
    </row>
    <row r="1338" spans="1:12" x14ac:dyDescent="0.25">
      <c r="A1338" s="1">
        <v>42153</v>
      </c>
      <c r="B1338" s="6">
        <v>120.0682</v>
      </c>
      <c r="C1338" s="6">
        <v>11.3062</v>
      </c>
      <c r="D1338" s="6">
        <v>9701.07</v>
      </c>
      <c r="E1338" s="6">
        <v>0.94</v>
      </c>
      <c r="F1338" s="6">
        <f t="shared" si="140"/>
        <v>1.0444444444444444E-2</v>
      </c>
      <c r="G1338">
        <f t="shared" si="141"/>
        <v>-0.68028448862029123</v>
      </c>
      <c r="H1338">
        <f t="shared" si="142"/>
        <v>-1.4177594866071377</v>
      </c>
      <c r="I1338">
        <f t="shared" si="143"/>
        <v>-0.121179799111284</v>
      </c>
      <c r="J1338">
        <f t="shared" si="144"/>
        <v>-0.48601494521310534</v>
      </c>
      <c r="K1338">
        <f t="shared" si="145"/>
        <v>-0.69072893306473571</v>
      </c>
      <c r="L1338">
        <f t="shared" si="146"/>
        <v>-0.13162424355572844</v>
      </c>
    </row>
    <row r="1339" spans="1:12" x14ac:dyDescent="0.25">
      <c r="A1339" s="1">
        <v>42156</v>
      </c>
      <c r="B1339" s="6">
        <v>119.2458</v>
      </c>
      <c r="C1339" s="6">
        <v>11.184200000000001</v>
      </c>
      <c r="D1339" s="6">
        <v>9625.69</v>
      </c>
      <c r="E1339" s="6">
        <v>0.94</v>
      </c>
      <c r="F1339" s="6">
        <f t="shared" si="140"/>
        <v>1.0444444444444444E-2</v>
      </c>
      <c r="G1339">
        <f t="shared" si="141"/>
        <v>-0.68494405679438997</v>
      </c>
      <c r="H1339">
        <f t="shared" si="142"/>
        <v>-1.0790539703879276</v>
      </c>
      <c r="I1339">
        <f t="shared" si="143"/>
        <v>-0.77702768869824879</v>
      </c>
      <c r="J1339">
        <f t="shared" si="144"/>
        <v>-0.48929353926418018</v>
      </c>
      <c r="K1339">
        <f t="shared" si="145"/>
        <v>-0.69538850123883444</v>
      </c>
      <c r="L1339">
        <f t="shared" si="146"/>
        <v>-0.78747213314269326</v>
      </c>
    </row>
    <row r="1340" spans="1:12" x14ac:dyDescent="0.25">
      <c r="A1340" s="1">
        <v>42157</v>
      </c>
      <c r="B1340" s="6">
        <v>118.4234</v>
      </c>
      <c r="C1340" s="6">
        <v>11.1435</v>
      </c>
      <c r="D1340" s="6">
        <v>9614.26</v>
      </c>
      <c r="E1340" s="6">
        <v>0.94</v>
      </c>
      <c r="F1340" s="6">
        <f t="shared" si="140"/>
        <v>1.0444444444444444E-2</v>
      </c>
      <c r="G1340">
        <f t="shared" si="141"/>
        <v>-0.68966789606007239</v>
      </c>
      <c r="H1340">
        <f t="shared" si="142"/>
        <v>-0.36390622485292706</v>
      </c>
      <c r="I1340">
        <f t="shared" si="143"/>
        <v>-0.11874473414373712</v>
      </c>
      <c r="J1340">
        <f t="shared" si="144"/>
        <v>-0.49261735613647994</v>
      </c>
      <c r="K1340">
        <f t="shared" si="145"/>
        <v>-0.70011234050451687</v>
      </c>
      <c r="L1340">
        <f t="shared" si="146"/>
        <v>-0.12918917858818157</v>
      </c>
    </row>
    <row r="1341" spans="1:12" x14ac:dyDescent="0.25">
      <c r="A1341" s="1">
        <v>42158</v>
      </c>
      <c r="B1341" s="6">
        <v>117.6011</v>
      </c>
      <c r="C1341" s="6">
        <v>11.2248</v>
      </c>
      <c r="D1341" s="6">
        <v>9556.52</v>
      </c>
      <c r="E1341" s="6">
        <v>0.94</v>
      </c>
      <c r="F1341" s="6">
        <f t="shared" si="140"/>
        <v>1.0444444444444444E-2</v>
      </c>
      <c r="G1341">
        <f t="shared" si="141"/>
        <v>-0.69437290265268392</v>
      </c>
      <c r="H1341">
        <f t="shared" si="142"/>
        <v>0.72957329384843717</v>
      </c>
      <c r="I1341">
        <f t="shared" si="143"/>
        <v>-0.60056624222768862</v>
      </c>
      <c r="J1341">
        <f t="shared" si="144"/>
        <v>-0.49592792184738677</v>
      </c>
      <c r="K1341">
        <f t="shared" si="145"/>
        <v>-0.7048173470971284</v>
      </c>
      <c r="L1341">
        <f t="shared" si="146"/>
        <v>-0.6110106866721331</v>
      </c>
    </row>
    <row r="1342" spans="1:12" x14ac:dyDescent="0.25">
      <c r="A1342" s="1">
        <v>42159</v>
      </c>
      <c r="B1342" s="6">
        <v>115.9563</v>
      </c>
      <c r="C1342" s="6">
        <v>10.940099999999999</v>
      </c>
      <c r="D1342" s="6">
        <v>9348.6299999999992</v>
      </c>
      <c r="E1342" s="6">
        <v>0.94</v>
      </c>
      <c r="F1342" s="6">
        <f t="shared" si="140"/>
        <v>1.0444444444444444E-2</v>
      </c>
      <c r="G1342">
        <f t="shared" si="141"/>
        <v>-1.3986263733927689</v>
      </c>
      <c r="H1342">
        <f t="shared" si="142"/>
        <v>-2.5363480863801655</v>
      </c>
      <c r="I1342">
        <f t="shared" si="143"/>
        <v>-2.1753734623063754</v>
      </c>
      <c r="J1342">
        <f t="shared" si="144"/>
        <v>-0.99145908554022588</v>
      </c>
      <c r="K1342">
        <f t="shared" si="145"/>
        <v>-1.4090708178372133</v>
      </c>
      <c r="L1342">
        <f t="shared" si="146"/>
        <v>-2.1858179067508199</v>
      </c>
    </row>
    <row r="1343" spans="1:12" x14ac:dyDescent="0.25">
      <c r="A1343" s="1">
        <v>42160</v>
      </c>
      <c r="B1343" s="6">
        <v>115.1339</v>
      </c>
      <c r="C1343" s="6">
        <v>10.8588</v>
      </c>
      <c r="D1343" s="6">
        <v>9340.1299999999992</v>
      </c>
      <c r="E1343" s="6">
        <v>0.94</v>
      </c>
      <c r="F1343" s="6">
        <f t="shared" si="140"/>
        <v>1.0444444444444444E-2</v>
      </c>
      <c r="G1343">
        <f t="shared" si="141"/>
        <v>-0.70923270231975477</v>
      </c>
      <c r="H1343">
        <f t="shared" si="142"/>
        <v>-0.74313763128306709</v>
      </c>
      <c r="I1343">
        <f t="shared" si="143"/>
        <v>-9.0922413230601712E-2</v>
      </c>
      <c r="J1343">
        <f t="shared" si="144"/>
        <v>-0.50638366559193371</v>
      </c>
      <c r="K1343">
        <f t="shared" si="145"/>
        <v>-0.71967714676419925</v>
      </c>
      <c r="L1343">
        <f t="shared" si="146"/>
        <v>-0.10136685767504616</v>
      </c>
    </row>
    <row r="1344" spans="1:12" x14ac:dyDescent="0.25">
      <c r="A1344" s="1">
        <v>42163</v>
      </c>
      <c r="B1344" s="6">
        <v>113.9003</v>
      </c>
      <c r="C1344" s="6">
        <v>10.736800000000001</v>
      </c>
      <c r="D1344" s="6">
        <v>9368.43</v>
      </c>
      <c r="E1344" s="6">
        <v>0.94</v>
      </c>
      <c r="F1344" s="6">
        <f t="shared" si="140"/>
        <v>1.0444444444444444E-2</v>
      </c>
      <c r="G1344">
        <f t="shared" si="141"/>
        <v>-1.0714481138917344</v>
      </c>
      <c r="H1344">
        <f t="shared" si="142"/>
        <v>-1.1235127270048244</v>
      </c>
      <c r="I1344">
        <f t="shared" si="143"/>
        <v>0.3029936414161376</v>
      </c>
      <c r="J1344">
        <f t="shared" si="144"/>
        <v>-0.76124790391101871</v>
      </c>
      <c r="K1344">
        <f t="shared" si="145"/>
        <v>-1.0818925583361789</v>
      </c>
      <c r="L1344">
        <f t="shared" si="146"/>
        <v>0.29254919697169318</v>
      </c>
    </row>
    <row r="1345" spans="1:12" x14ac:dyDescent="0.25">
      <c r="A1345" s="1">
        <v>42164</v>
      </c>
      <c r="B1345" s="6">
        <v>114.3115</v>
      </c>
      <c r="C1345" s="6">
        <v>10.614800000000001</v>
      </c>
      <c r="D1345" s="6">
        <v>9191.8700000000008</v>
      </c>
      <c r="E1345" s="6">
        <v>0.94</v>
      </c>
      <c r="F1345" s="6">
        <f t="shared" si="140"/>
        <v>1.0444444444444444E-2</v>
      </c>
      <c r="G1345">
        <f t="shared" si="141"/>
        <v>0.36101748634550901</v>
      </c>
      <c r="H1345">
        <f t="shared" si="142"/>
        <v>-1.1362789657998649</v>
      </c>
      <c r="I1345">
        <f t="shared" si="143"/>
        <v>-1.8846274135580827</v>
      </c>
      <c r="J1345">
        <f t="shared" si="144"/>
        <v>0.24667236248053487</v>
      </c>
      <c r="K1345">
        <f t="shared" si="145"/>
        <v>0.35057304190106459</v>
      </c>
      <c r="L1345">
        <f t="shared" si="146"/>
        <v>-1.8950718580025272</v>
      </c>
    </row>
    <row r="1346" spans="1:12" x14ac:dyDescent="0.25">
      <c r="A1346" s="1">
        <v>42165</v>
      </c>
      <c r="B1346" s="6">
        <v>114.7227</v>
      </c>
      <c r="C1346" s="6">
        <v>10.7775</v>
      </c>
      <c r="D1346" s="6">
        <v>9298.5</v>
      </c>
      <c r="E1346" s="6">
        <v>0.94</v>
      </c>
      <c r="F1346" s="6">
        <f t="shared" si="140"/>
        <v>1.0444444444444444E-2</v>
      </c>
      <c r="G1346">
        <f t="shared" si="141"/>
        <v>0.35971883843708463</v>
      </c>
      <c r="H1346">
        <f t="shared" si="142"/>
        <v>1.532765572596744</v>
      </c>
      <c r="I1346">
        <f t="shared" si="143"/>
        <v>1.1600468675035569</v>
      </c>
      <c r="J1346">
        <f t="shared" si="144"/>
        <v>0.24575859984247142</v>
      </c>
      <c r="K1346">
        <f t="shared" si="145"/>
        <v>0.34927439399264021</v>
      </c>
      <c r="L1346">
        <f t="shared" si="146"/>
        <v>1.1496024230591124</v>
      </c>
    </row>
    <row r="1347" spans="1:12" x14ac:dyDescent="0.25">
      <c r="A1347" s="1">
        <v>42166</v>
      </c>
      <c r="B1347" s="6">
        <v>118.01220000000001</v>
      </c>
      <c r="C1347" s="6">
        <v>10.6554</v>
      </c>
      <c r="D1347" s="6">
        <v>9302.49</v>
      </c>
      <c r="E1347" s="6">
        <v>0.94</v>
      </c>
      <c r="F1347" s="6">
        <f t="shared" ref="F1347:F1410" si="147">E1347/90</f>
        <v>1.0444444444444444E-2</v>
      </c>
      <c r="G1347">
        <f t="shared" si="141"/>
        <v>2.8673488333172106</v>
      </c>
      <c r="H1347">
        <f t="shared" si="142"/>
        <v>-1.1329157967988834</v>
      </c>
      <c r="I1347">
        <f t="shared" si="143"/>
        <v>4.2910146797868275E-2</v>
      </c>
      <c r="J1347">
        <f t="shared" si="144"/>
        <v>2.0101926581768748</v>
      </c>
      <c r="K1347">
        <f t="shared" si="145"/>
        <v>2.8569043888727661</v>
      </c>
      <c r="L1347">
        <f t="shared" si="146"/>
        <v>3.2465702353423831E-2</v>
      </c>
    </row>
    <row r="1348" spans="1:12" x14ac:dyDescent="0.25">
      <c r="A1348" s="1">
        <v>42167</v>
      </c>
      <c r="B1348" s="6">
        <v>118.83459999999999</v>
      </c>
      <c r="C1348" s="6">
        <v>10.6554</v>
      </c>
      <c r="D1348" s="6">
        <v>9301.93</v>
      </c>
      <c r="E1348" s="6">
        <v>0.94</v>
      </c>
      <c r="F1348" s="6">
        <f t="shared" si="147"/>
        <v>1.0444444444444444E-2</v>
      </c>
      <c r="G1348">
        <f t="shared" ref="G1348:G1411" si="148">100*(B1348-B1347)/B1347</f>
        <v>0.69687710253684576</v>
      </c>
      <c r="H1348">
        <f t="shared" ref="H1348:H1411" si="149">100*(C1348-C1347)/C1347</f>
        <v>0</v>
      </c>
      <c r="I1348">
        <f t="shared" ref="I1348:I1411" si="150">100*(D1348-D1347)/D1347</f>
        <v>-6.0198935983751733E-3</v>
      </c>
      <c r="J1348">
        <f t="shared" ref="J1348:J1411" si="151">(G1348-F1348)/$N$3</f>
        <v>0.48299197376172143</v>
      </c>
      <c r="K1348">
        <f t="shared" ref="K1348:K1411" si="152">G1348-F1348</f>
        <v>0.68643265809240128</v>
      </c>
      <c r="L1348">
        <f t="shared" ref="L1348:L1411" si="153">I1348-F1348</f>
        <v>-1.6464338042819618E-2</v>
      </c>
    </row>
    <row r="1349" spans="1:12" x14ac:dyDescent="0.25">
      <c r="A1349" s="1">
        <v>42170</v>
      </c>
      <c r="B1349" s="6">
        <v>117.6011</v>
      </c>
      <c r="C1349" s="6">
        <v>10.736800000000001</v>
      </c>
      <c r="D1349" s="6">
        <v>9259.48</v>
      </c>
      <c r="E1349" s="6">
        <v>0.94</v>
      </c>
      <c r="F1349" s="6">
        <f t="shared" si="147"/>
        <v>1.0444444444444444E-2</v>
      </c>
      <c r="G1349">
        <f t="shared" si="148"/>
        <v>-1.0379973509398712</v>
      </c>
      <c r="H1349">
        <f t="shared" si="149"/>
        <v>0.76393190307262382</v>
      </c>
      <c r="I1349">
        <f t="shared" si="150"/>
        <v>-0.45635690657746003</v>
      </c>
      <c r="J1349">
        <f t="shared" si="151"/>
        <v>-0.7377110721016833</v>
      </c>
      <c r="K1349">
        <f t="shared" si="152"/>
        <v>-1.0484417953843157</v>
      </c>
      <c r="L1349">
        <f t="shared" si="153"/>
        <v>-0.46680135102190445</v>
      </c>
    </row>
    <row r="1350" spans="1:12" x14ac:dyDescent="0.25">
      <c r="A1350" s="1">
        <v>42171</v>
      </c>
      <c r="B1350" s="6">
        <v>116.7787</v>
      </c>
      <c r="C1350" s="6">
        <v>10.5741</v>
      </c>
      <c r="D1350" s="6">
        <v>9212.7800000000007</v>
      </c>
      <c r="E1350" s="6">
        <v>0.94</v>
      </c>
      <c r="F1350" s="6">
        <f t="shared" si="147"/>
        <v>1.0444444444444444E-2</v>
      </c>
      <c r="G1350">
        <f t="shared" si="148"/>
        <v>-0.69931318669638443</v>
      </c>
      <c r="H1350">
        <f t="shared" si="149"/>
        <v>-1.5153490798003217</v>
      </c>
      <c r="I1350">
        <f t="shared" si="150"/>
        <v>-0.50434797634423223</v>
      </c>
      <c r="J1350">
        <f t="shared" si="151"/>
        <v>-0.49940403492720653</v>
      </c>
      <c r="K1350">
        <f t="shared" si="152"/>
        <v>-0.7097576311408289</v>
      </c>
      <c r="L1350">
        <f t="shared" si="153"/>
        <v>-0.51479242078867671</v>
      </c>
    </row>
    <row r="1351" spans="1:12" x14ac:dyDescent="0.25">
      <c r="A1351" s="1">
        <v>42172</v>
      </c>
      <c r="B1351" s="6">
        <v>117.18989999999999</v>
      </c>
      <c r="C1351" s="6">
        <v>10.5334</v>
      </c>
      <c r="D1351" s="6">
        <v>9189.83</v>
      </c>
      <c r="E1351" s="6">
        <v>0.94</v>
      </c>
      <c r="F1351" s="6">
        <f t="shared" si="147"/>
        <v>1.0444444444444444E-2</v>
      </c>
      <c r="G1351">
        <f t="shared" si="148"/>
        <v>0.35211900800402279</v>
      </c>
      <c r="H1351">
        <f t="shared" si="149"/>
        <v>-0.38490273403882402</v>
      </c>
      <c r="I1351">
        <f t="shared" si="150"/>
        <v>-0.24911047479697471</v>
      </c>
      <c r="J1351">
        <f t="shared" si="151"/>
        <v>0.24041116035537052</v>
      </c>
      <c r="K1351">
        <f t="shared" si="152"/>
        <v>0.34167456355957837</v>
      </c>
      <c r="L1351">
        <f t="shared" si="153"/>
        <v>-0.25955491924141916</v>
      </c>
    </row>
    <row r="1352" spans="1:12" x14ac:dyDescent="0.25">
      <c r="A1352" s="1">
        <v>42173</v>
      </c>
      <c r="B1352" s="6">
        <v>116.7787</v>
      </c>
      <c r="C1352" s="6">
        <v>10.5741</v>
      </c>
      <c r="D1352" s="6">
        <v>9218.3700000000008</v>
      </c>
      <c r="E1352" s="6">
        <v>0.94</v>
      </c>
      <c r="F1352" s="6">
        <f t="shared" si="147"/>
        <v>1.0444444444444444E-2</v>
      </c>
      <c r="G1352">
        <f t="shared" si="148"/>
        <v>-0.35088348057297924</v>
      </c>
      <c r="H1352">
        <f t="shared" si="149"/>
        <v>0.38638995955721128</v>
      </c>
      <c r="I1352">
        <f t="shared" si="150"/>
        <v>0.31056069589971602</v>
      </c>
      <c r="J1352">
        <f t="shared" si="151"/>
        <v>-0.25423977956465565</v>
      </c>
      <c r="K1352">
        <f t="shared" si="152"/>
        <v>-0.36132792501742367</v>
      </c>
      <c r="L1352">
        <f t="shared" si="153"/>
        <v>0.3001162514552716</v>
      </c>
    </row>
    <row r="1353" spans="1:12" x14ac:dyDescent="0.25">
      <c r="A1353" s="1">
        <v>42177</v>
      </c>
      <c r="B1353" s="6">
        <v>116.7787</v>
      </c>
      <c r="C1353" s="6">
        <v>10.696099999999999</v>
      </c>
      <c r="D1353" s="6">
        <v>9341.77</v>
      </c>
      <c r="E1353" s="6">
        <v>0.94</v>
      </c>
      <c r="F1353" s="6">
        <f t="shared" si="147"/>
        <v>1.0444444444444444E-2</v>
      </c>
      <c r="G1353">
        <f t="shared" si="148"/>
        <v>0</v>
      </c>
      <c r="H1353">
        <f t="shared" si="149"/>
        <v>1.1537624951532508</v>
      </c>
      <c r="I1353">
        <f t="shared" si="150"/>
        <v>1.3386314500285801</v>
      </c>
      <c r="J1353">
        <f t="shared" si="151"/>
        <v>-7.3489843141871791E-3</v>
      </c>
      <c r="K1353">
        <f t="shared" si="152"/>
        <v>-1.0444444444444444E-2</v>
      </c>
      <c r="L1353">
        <f t="shared" si="153"/>
        <v>1.3281870055841356</v>
      </c>
    </row>
    <row r="1354" spans="1:12" x14ac:dyDescent="0.25">
      <c r="A1354" s="1">
        <v>42178</v>
      </c>
      <c r="B1354" s="6">
        <v>118.83459999999999</v>
      </c>
      <c r="C1354" s="6">
        <v>10.818099999999999</v>
      </c>
      <c r="D1354" s="6">
        <v>9391.14</v>
      </c>
      <c r="E1354" s="6">
        <v>0.94</v>
      </c>
      <c r="F1354" s="6">
        <f t="shared" si="147"/>
        <v>1.0444444444444444E-2</v>
      </c>
      <c r="G1354">
        <f t="shared" si="148"/>
        <v>1.7605094079656598</v>
      </c>
      <c r="H1354">
        <f t="shared" si="149"/>
        <v>1.1406026495638588</v>
      </c>
      <c r="I1354">
        <f t="shared" si="150"/>
        <v>0.52848657160258683</v>
      </c>
      <c r="J1354">
        <f t="shared" si="151"/>
        <v>1.231391486080146</v>
      </c>
      <c r="K1354">
        <f t="shared" si="152"/>
        <v>1.7500649635212153</v>
      </c>
      <c r="L1354">
        <f t="shared" si="153"/>
        <v>0.51804212715814235</v>
      </c>
    </row>
    <row r="1355" spans="1:12" x14ac:dyDescent="0.25">
      <c r="A1355" s="1">
        <v>42179</v>
      </c>
      <c r="B1355" s="6">
        <v>119.2458</v>
      </c>
      <c r="C1355" s="6">
        <v>10.7775</v>
      </c>
      <c r="D1355" s="6">
        <v>9397.31</v>
      </c>
      <c r="E1355" s="6">
        <v>0.94</v>
      </c>
      <c r="F1355" s="6">
        <f t="shared" si="147"/>
        <v>1.0444444444444444E-2</v>
      </c>
      <c r="G1355">
        <f t="shared" si="148"/>
        <v>0.34602716717185739</v>
      </c>
      <c r="H1355">
        <f t="shared" si="149"/>
        <v>-0.37529695602739416</v>
      </c>
      <c r="I1355">
        <f t="shared" si="150"/>
        <v>6.5700223827991844E-2</v>
      </c>
      <c r="J1355">
        <f t="shared" si="151"/>
        <v>0.23612478179706226</v>
      </c>
      <c r="K1355">
        <f t="shared" si="152"/>
        <v>0.33558272272741296</v>
      </c>
      <c r="L1355">
        <f t="shared" si="153"/>
        <v>5.52557793835474E-2</v>
      </c>
    </row>
    <row r="1356" spans="1:12" x14ac:dyDescent="0.25">
      <c r="A1356" s="1">
        <v>42180</v>
      </c>
      <c r="B1356" s="6">
        <v>120.4794</v>
      </c>
      <c r="C1356" s="6">
        <v>11.0215</v>
      </c>
      <c r="D1356" s="6">
        <v>9476.34</v>
      </c>
      <c r="E1356" s="6">
        <v>0.94</v>
      </c>
      <c r="F1356" s="6">
        <f t="shared" si="147"/>
        <v>1.0444444444444444E-2</v>
      </c>
      <c r="G1356">
        <f t="shared" si="148"/>
        <v>1.0345018440901026</v>
      </c>
      <c r="H1356">
        <f t="shared" si="149"/>
        <v>2.2639758756668966</v>
      </c>
      <c r="I1356">
        <f t="shared" si="150"/>
        <v>0.84098534580641326</v>
      </c>
      <c r="J1356">
        <f t="shared" si="151"/>
        <v>0.72055357341924764</v>
      </c>
      <c r="K1356">
        <f t="shared" si="152"/>
        <v>1.0240573996456581</v>
      </c>
      <c r="L1356">
        <f t="shared" si="153"/>
        <v>0.83054090136196879</v>
      </c>
    </row>
    <row r="1357" spans="1:12" x14ac:dyDescent="0.25">
      <c r="A1357" s="1">
        <v>42181</v>
      </c>
      <c r="B1357" s="6">
        <v>120.0682</v>
      </c>
      <c r="C1357" s="6">
        <v>10.7775</v>
      </c>
      <c r="D1357" s="6">
        <v>9462.57</v>
      </c>
      <c r="E1357" s="6">
        <v>0.94</v>
      </c>
      <c r="F1357" s="6">
        <f t="shared" si="147"/>
        <v>1.0444444444444444E-2</v>
      </c>
      <c r="G1357">
        <f t="shared" si="148"/>
        <v>-0.34130316054030296</v>
      </c>
      <c r="H1357">
        <f t="shared" si="149"/>
        <v>-2.2138547384657241</v>
      </c>
      <c r="I1357">
        <f t="shared" si="150"/>
        <v>-0.14530926496939153</v>
      </c>
      <c r="J1357">
        <f t="shared" si="151"/>
        <v>-0.24749881579013139</v>
      </c>
      <c r="K1357">
        <f t="shared" si="152"/>
        <v>-0.35174760498474739</v>
      </c>
      <c r="L1357">
        <f t="shared" si="153"/>
        <v>-0.15575370941383598</v>
      </c>
    </row>
    <row r="1358" spans="1:12" x14ac:dyDescent="0.25">
      <c r="A1358" s="1">
        <v>42184</v>
      </c>
      <c r="B1358" s="6">
        <v>117.52249999999999</v>
      </c>
      <c r="C1358" s="6">
        <v>10.4521</v>
      </c>
      <c r="D1358" s="6">
        <v>9236.1</v>
      </c>
      <c r="E1358" s="6">
        <v>0.94</v>
      </c>
      <c r="F1358" s="6">
        <f t="shared" si="147"/>
        <v>1.0444444444444444E-2</v>
      </c>
      <c r="G1358">
        <f t="shared" si="148"/>
        <v>-2.120211679695382</v>
      </c>
      <c r="H1358">
        <f t="shared" si="149"/>
        <v>-3.0192530735328242</v>
      </c>
      <c r="I1358">
        <f t="shared" si="150"/>
        <v>-2.3933244351164573</v>
      </c>
      <c r="J1358">
        <f t="shared" si="151"/>
        <v>-1.4991853820965313</v>
      </c>
      <c r="K1358">
        <f t="shared" si="152"/>
        <v>-2.1306561241398265</v>
      </c>
      <c r="L1358">
        <f t="shared" si="153"/>
        <v>-2.4037688795609018</v>
      </c>
    </row>
    <row r="1359" spans="1:12" x14ac:dyDescent="0.25">
      <c r="A1359" s="1">
        <v>42185</v>
      </c>
      <c r="B1359" s="6">
        <v>119.2196</v>
      </c>
      <c r="C1359" s="6">
        <v>10.614800000000001</v>
      </c>
      <c r="D1359" s="6">
        <v>9323.02</v>
      </c>
      <c r="E1359" s="6">
        <v>0.94</v>
      </c>
      <c r="F1359" s="6">
        <f t="shared" si="147"/>
        <v>1.0444444444444444E-2</v>
      </c>
      <c r="G1359">
        <f t="shared" si="148"/>
        <v>1.4440639026569433</v>
      </c>
      <c r="H1359">
        <f t="shared" si="149"/>
        <v>1.5566249844528943</v>
      </c>
      <c r="I1359">
        <f t="shared" si="150"/>
        <v>0.94108985394268219</v>
      </c>
      <c r="J1359">
        <f t="shared" si="151"/>
        <v>1.0087321510452616</v>
      </c>
      <c r="K1359">
        <f t="shared" si="152"/>
        <v>1.4336194582124988</v>
      </c>
      <c r="L1359">
        <f t="shared" si="153"/>
        <v>0.93064540949823771</v>
      </c>
    </row>
    <row r="1360" spans="1:12" x14ac:dyDescent="0.25">
      <c r="A1360" s="1">
        <v>42186</v>
      </c>
      <c r="B1360" s="6">
        <v>119.6439</v>
      </c>
      <c r="C1360" s="6">
        <v>10.7775</v>
      </c>
      <c r="D1360" s="6">
        <v>9375.23</v>
      </c>
      <c r="E1360" s="6">
        <v>0.94</v>
      </c>
      <c r="F1360" s="6">
        <f t="shared" si="147"/>
        <v>1.0444444444444444E-2</v>
      </c>
      <c r="G1360">
        <f t="shared" si="148"/>
        <v>0.35589785572171218</v>
      </c>
      <c r="H1360">
        <f t="shared" si="149"/>
        <v>1.532765572596744</v>
      </c>
      <c r="I1360">
        <f t="shared" si="150"/>
        <v>0.56001167003824004</v>
      </c>
      <c r="J1360">
        <f t="shared" si="151"/>
        <v>0.24307005645565788</v>
      </c>
      <c r="K1360">
        <f t="shared" si="152"/>
        <v>0.34545341127726775</v>
      </c>
      <c r="L1360">
        <f t="shared" si="153"/>
        <v>0.54956722559379556</v>
      </c>
    </row>
    <row r="1361" spans="1:12" x14ac:dyDescent="0.25">
      <c r="A1361" s="1">
        <v>42187</v>
      </c>
      <c r="B1361" s="6">
        <v>120.0681</v>
      </c>
      <c r="C1361" s="6">
        <v>10.696099999999999</v>
      </c>
      <c r="D1361" s="6">
        <v>9379.24</v>
      </c>
      <c r="E1361" s="6">
        <v>0.94</v>
      </c>
      <c r="F1361" s="6">
        <f t="shared" si="147"/>
        <v>1.0444444444444444E-2</v>
      </c>
      <c r="G1361">
        <f t="shared" si="148"/>
        <v>0.35455213345602993</v>
      </c>
      <c r="H1361">
        <f t="shared" si="149"/>
        <v>-0.75527719786592773</v>
      </c>
      <c r="I1361">
        <f t="shared" si="150"/>
        <v>4.2772283986635191E-2</v>
      </c>
      <c r="J1361">
        <f t="shared" si="151"/>
        <v>0.24212317106846892</v>
      </c>
      <c r="K1361">
        <f t="shared" si="152"/>
        <v>0.3441076890115855</v>
      </c>
      <c r="L1361">
        <f t="shared" si="153"/>
        <v>3.2327839542190748E-2</v>
      </c>
    </row>
    <row r="1362" spans="1:12" x14ac:dyDescent="0.25">
      <c r="A1362" s="1">
        <v>42188</v>
      </c>
      <c r="B1362" s="6">
        <v>120.91670000000001</v>
      </c>
      <c r="C1362" s="6">
        <v>10.818099999999999</v>
      </c>
      <c r="D1362" s="6">
        <v>9358.23</v>
      </c>
      <c r="E1362" s="6">
        <v>0.94</v>
      </c>
      <c r="F1362" s="6">
        <f t="shared" si="147"/>
        <v>1.0444444444444444E-2</v>
      </c>
      <c r="G1362">
        <f t="shared" si="148"/>
        <v>0.7067655772016086</v>
      </c>
      <c r="H1362">
        <f t="shared" si="149"/>
        <v>1.1406026495638588</v>
      </c>
      <c r="I1362">
        <f t="shared" si="150"/>
        <v>-0.22400535651076439</v>
      </c>
      <c r="J1362">
        <f t="shared" si="151"/>
        <v>0.48994976319601097</v>
      </c>
      <c r="K1362">
        <f t="shared" si="152"/>
        <v>0.69632113275716412</v>
      </c>
      <c r="L1362">
        <f t="shared" si="153"/>
        <v>-0.23444980095520884</v>
      </c>
    </row>
    <row r="1363" spans="1:12" x14ac:dyDescent="0.25">
      <c r="A1363" s="1">
        <v>42191</v>
      </c>
      <c r="B1363" s="6">
        <v>119.2196</v>
      </c>
      <c r="C1363" s="6">
        <v>10.614800000000001</v>
      </c>
      <c r="D1363" s="6">
        <v>9255.9599999999991</v>
      </c>
      <c r="E1363" s="6">
        <v>0.94</v>
      </c>
      <c r="F1363" s="6">
        <f t="shared" si="147"/>
        <v>1.0444444444444444E-2</v>
      </c>
      <c r="G1363">
        <f t="shared" si="148"/>
        <v>-1.4035282140514966</v>
      </c>
      <c r="H1363">
        <f t="shared" si="149"/>
        <v>-1.879257910353932</v>
      </c>
      <c r="I1363">
        <f t="shared" si="150"/>
        <v>-1.0928348630029443</v>
      </c>
      <c r="J1363">
        <f t="shared" si="151"/>
        <v>-0.99490814884878676</v>
      </c>
      <c r="K1363">
        <f t="shared" si="152"/>
        <v>-1.4139726584959411</v>
      </c>
      <c r="L1363">
        <f t="shared" si="153"/>
        <v>-1.1032793074473888</v>
      </c>
    </row>
    <row r="1364" spans="1:12" x14ac:dyDescent="0.25">
      <c r="A1364" s="1">
        <v>42192</v>
      </c>
      <c r="B1364" s="6">
        <v>119.2196</v>
      </c>
      <c r="C1364" s="6">
        <v>10.492800000000001</v>
      </c>
      <c r="D1364" s="6">
        <v>9250.16</v>
      </c>
      <c r="E1364" s="6">
        <v>0.94</v>
      </c>
      <c r="F1364" s="6">
        <f t="shared" si="147"/>
        <v>1.0444444444444444E-2</v>
      </c>
      <c r="G1364">
        <f t="shared" si="148"/>
        <v>0</v>
      </c>
      <c r="H1364">
        <f t="shared" si="149"/>
        <v>-1.1493386592305073</v>
      </c>
      <c r="I1364">
        <f t="shared" si="150"/>
        <v>-6.2662327840648332E-2</v>
      </c>
      <c r="J1364">
        <f t="shared" si="151"/>
        <v>-7.3489843141871791E-3</v>
      </c>
      <c r="K1364">
        <f t="shared" si="152"/>
        <v>-1.0444444444444444E-2</v>
      </c>
      <c r="L1364">
        <f t="shared" si="153"/>
        <v>-7.3106772285092769E-2</v>
      </c>
    </row>
    <row r="1365" spans="1:12" x14ac:dyDescent="0.25">
      <c r="A1365" s="1">
        <v>42193</v>
      </c>
      <c r="B1365" s="6">
        <v>117.09820000000001</v>
      </c>
      <c r="C1365" s="6">
        <v>10.0861</v>
      </c>
      <c r="D1365" s="6">
        <v>8976.11</v>
      </c>
      <c r="E1365" s="6">
        <v>0.94</v>
      </c>
      <c r="F1365" s="6">
        <f t="shared" si="147"/>
        <v>1.0444444444444444E-2</v>
      </c>
      <c r="G1365">
        <f t="shared" si="148"/>
        <v>-1.7794053997832522</v>
      </c>
      <c r="H1365">
        <f t="shared" si="149"/>
        <v>-3.875991155840202</v>
      </c>
      <c r="I1365">
        <f t="shared" si="150"/>
        <v>-2.9626514568396578</v>
      </c>
      <c r="J1365">
        <f t="shared" si="151"/>
        <v>-1.2593851688278446</v>
      </c>
      <c r="K1365">
        <f t="shared" si="152"/>
        <v>-1.7898498442276967</v>
      </c>
      <c r="L1365">
        <f t="shared" si="153"/>
        <v>-2.9730959012841023</v>
      </c>
    </row>
    <row r="1366" spans="1:12" x14ac:dyDescent="0.25">
      <c r="A1366" s="1">
        <v>42194</v>
      </c>
      <c r="B1366" s="6">
        <v>115.8254</v>
      </c>
      <c r="C1366" s="6">
        <v>10.1267</v>
      </c>
      <c r="D1366" s="6">
        <v>8914.1299999999992</v>
      </c>
      <c r="E1366" s="6">
        <v>0.94</v>
      </c>
      <c r="F1366" s="6">
        <f t="shared" si="147"/>
        <v>1.0444444444444444E-2</v>
      </c>
      <c r="G1366">
        <f t="shared" si="148"/>
        <v>-1.0869509522776641</v>
      </c>
      <c r="H1366">
        <f t="shared" si="149"/>
        <v>0.40253418070413266</v>
      </c>
      <c r="I1366">
        <f t="shared" si="150"/>
        <v>-0.6904995593859854</v>
      </c>
      <c r="J1366">
        <f t="shared" si="151"/>
        <v>-0.77215610651859512</v>
      </c>
      <c r="K1366">
        <f t="shared" si="152"/>
        <v>-1.0973953967221086</v>
      </c>
      <c r="L1366">
        <f t="shared" si="153"/>
        <v>-0.70094400383042987</v>
      </c>
    </row>
    <row r="1367" spans="1:12" x14ac:dyDescent="0.25">
      <c r="A1367" s="1">
        <v>42198</v>
      </c>
      <c r="B1367" s="6">
        <v>117.52249999999999</v>
      </c>
      <c r="C1367" s="6">
        <v>10.2081</v>
      </c>
      <c r="D1367" s="6">
        <v>9033.92</v>
      </c>
      <c r="E1367" s="6">
        <v>0.94</v>
      </c>
      <c r="F1367" s="6">
        <f t="shared" si="147"/>
        <v>1.0444444444444444E-2</v>
      </c>
      <c r="G1367">
        <f t="shared" si="148"/>
        <v>1.4652226540983169</v>
      </c>
      <c r="H1367">
        <f t="shared" si="149"/>
        <v>0.80381565564300672</v>
      </c>
      <c r="I1367">
        <f t="shared" si="150"/>
        <v>1.343821550729021</v>
      </c>
      <c r="J1367">
        <f t="shared" si="151"/>
        <v>1.0236200020245589</v>
      </c>
      <c r="K1367">
        <f t="shared" si="152"/>
        <v>1.4547782096538724</v>
      </c>
      <c r="L1367">
        <f t="shared" si="153"/>
        <v>1.3333771062845765</v>
      </c>
    </row>
    <row r="1368" spans="1:12" x14ac:dyDescent="0.25">
      <c r="A1368" s="1">
        <v>42199</v>
      </c>
      <c r="B1368" s="6">
        <v>117.52249999999999</v>
      </c>
      <c r="C1368" s="6">
        <v>10.3354</v>
      </c>
      <c r="D1368" s="6">
        <v>9041.76</v>
      </c>
      <c r="E1368" s="6">
        <v>0.94</v>
      </c>
      <c r="F1368" s="6">
        <f t="shared" si="147"/>
        <v>1.0444444444444444E-2</v>
      </c>
      <c r="G1368">
        <f t="shared" si="148"/>
        <v>0</v>
      </c>
      <c r="H1368">
        <f t="shared" si="149"/>
        <v>1.2470489121383996</v>
      </c>
      <c r="I1368">
        <f t="shared" si="150"/>
        <v>8.6784031738161793E-2</v>
      </c>
      <c r="J1368">
        <f t="shared" si="151"/>
        <v>-7.3489843141871791E-3</v>
      </c>
      <c r="K1368">
        <f t="shared" si="152"/>
        <v>-1.0444444444444444E-2</v>
      </c>
      <c r="L1368">
        <f t="shared" si="153"/>
        <v>7.6339587293717343E-2</v>
      </c>
    </row>
    <row r="1369" spans="1:12" x14ac:dyDescent="0.25">
      <c r="A1369" s="1">
        <v>42200</v>
      </c>
      <c r="B1369" s="6">
        <v>117.52249999999999</v>
      </c>
      <c r="C1369" s="6">
        <v>10.378</v>
      </c>
      <c r="D1369" s="6">
        <v>9054.2000000000007</v>
      </c>
      <c r="E1369" s="6">
        <v>0.94</v>
      </c>
      <c r="F1369" s="6">
        <f t="shared" si="147"/>
        <v>1.0444444444444444E-2</v>
      </c>
      <c r="G1369">
        <f t="shared" si="148"/>
        <v>0</v>
      </c>
      <c r="H1369">
        <f t="shared" si="149"/>
        <v>0.41217562939025287</v>
      </c>
      <c r="I1369">
        <f t="shared" si="150"/>
        <v>0.13758383323601278</v>
      </c>
      <c r="J1369">
        <f t="shared" si="151"/>
        <v>-7.3489843141871791E-3</v>
      </c>
      <c r="K1369">
        <f t="shared" si="152"/>
        <v>-1.0444444444444444E-2</v>
      </c>
      <c r="L1369">
        <f t="shared" si="153"/>
        <v>0.12713938879156833</v>
      </c>
    </row>
    <row r="1370" spans="1:12" x14ac:dyDescent="0.25">
      <c r="A1370" s="1">
        <v>42201</v>
      </c>
      <c r="B1370" s="6">
        <v>115.8254</v>
      </c>
      <c r="C1370" s="6">
        <v>10.378</v>
      </c>
      <c r="D1370" s="6">
        <v>9042.2099999999991</v>
      </c>
      <c r="E1370" s="6">
        <v>0.94</v>
      </c>
      <c r="F1370" s="6">
        <f t="shared" si="147"/>
        <v>1.0444444444444444E-2</v>
      </c>
      <c r="G1370">
        <f t="shared" si="148"/>
        <v>-1.4440639026569311</v>
      </c>
      <c r="H1370">
        <f t="shared" si="149"/>
        <v>0</v>
      </c>
      <c r="I1370">
        <f t="shared" si="150"/>
        <v>-0.13242473106405425</v>
      </c>
      <c r="J1370">
        <f t="shared" si="151"/>
        <v>-1.0234301196736275</v>
      </c>
      <c r="K1370">
        <f t="shared" si="152"/>
        <v>-1.4545083471013756</v>
      </c>
      <c r="L1370">
        <f t="shared" si="153"/>
        <v>-0.1428691755084987</v>
      </c>
    </row>
    <row r="1371" spans="1:12" x14ac:dyDescent="0.25">
      <c r="A1371" s="1">
        <v>42202</v>
      </c>
      <c r="B1371" s="6">
        <v>118.7953</v>
      </c>
      <c r="C1371" s="6">
        <v>10.207800000000001</v>
      </c>
      <c r="D1371" s="6">
        <v>9045.98</v>
      </c>
      <c r="E1371" s="6">
        <v>0.94</v>
      </c>
      <c r="F1371" s="6">
        <f t="shared" si="147"/>
        <v>1.0444444444444444E-2</v>
      </c>
      <c r="G1371">
        <f t="shared" si="148"/>
        <v>2.5641180604599643</v>
      </c>
      <c r="H1371">
        <f t="shared" si="149"/>
        <v>-1.6400077086143714</v>
      </c>
      <c r="I1371">
        <f t="shared" si="150"/>
        <v>4.1693347091036781E-2</v>
      </c>
      <c r="J1371">
        <f t="shared" si="151"/>
        <v>1.7968315545623978</v>
      </c>
      <c r="K1371">
        <f t="shared" si="152"/>
        <v>2.5536736160155198</v>
      </c>
      <c r="L1371">
        <f t="shared" si="153"/>
        <v>3.1248902646592337E-2</v>
      </c>
    </row>
    <row r="1372" spans="1:12" x14ac:dyDescent="0.25">
      <c r="A1372" s="1">
        <v>42205</v>
      </c>
      <c r="B1372" s="6">
        <v>117.9468</v>
      </c>
      <c r="C1372" s="6">
        <v>10.1653</v>
      </c>
      <c r="D1372" s="6">
        <v>8975</v>
      </c>
      <c r="E1372" s="6">
        <v>0.94</v>
      </c>
      <c r="F1372" s="6">
        <f t="shared" si="147"/>
        <v>1.0444444444444444E-2</v>
      </c>
      <c r="G1372">
        <f t="shared" si="148"/>
        <v>-0.71425384674309622</v>
      </c>
      <c r="H1372">
        <f t="shared" si="149"/>
        <v>-0.41634828268579344</v>
      </c>
      <c r="I1372">
        <f t="shared" si="150"/>
        <v>-0.78465793645353588</v>
      </c>
      <c r="J1372">
        <f t="shared" si="151"/>
        <v>-0.50991667414999375</v>
      </c>
      <c r="K1372">
        <f t="shared" si="152"/>
        <v>-0.7246982911875407</v>
      </c>
      <c r="L1372">
        <f t="shared" si="153"/>
        <v>-0.79510238089798035</v>
      </c>
    </row>
    <row r="1373" spans="1:12" x14ac:dyDescent="0.25">
      <c r="A1373" s="1">
        <v>42206</v>
      </c>
      <c r="B1373" s="6">
        <v>119.2196</v>
      </c>
      <c r="C1373" s="6">
        <v>10.250400000000001</v>
      </c>
      <c r="D1373" s="6">
        <v>9005.9599999999991</v>
      </c>
      <c r="E1373" s="6">
        <v>0.94</v>
      </c>
      <c r="F1373" s="6">
        <f t="shared" si="147"/>
        <v>1.0444444444444444E-2</v>
      </c>
      <c r="G1373">
        <f t="shared" si="148"/>
        <v>1.0791305910800495</v>
      </c>
      <c r="H1373">
        <f t="shared" si="149"/>
        <v>0.83716171682095575</v>
      </c>
      <c r="I1373">
        <f t="shared" si="150"/>
        <v>0.34495821727018527</v>
      </c>
      <c r="J1373">
        <f t="shared" si="151"/>
        <v>0.75195552718859371</v>
      </c>
      <c r="K1373">
        <f t="shared" si="152"/>
        <v>1.068686146635605</v>
      </c>
      <c r="L1373">
        <f t="shared" si="153"/>
        <v>0.33451377282574085</v>
      </c>
    </row>
    <row r="1374" spans="1:12" x14ac:dyDescent="0.25">
      <c r="A1374" s="1">
        <v>42207</v>
      </c>
      <c r="B1374" s="6">
        <v>117.9468</v>
      </c>
      <c r="C1374" s="6">
        <v>9.7825000000000006</v>
      </c>
      <c r="D1374" s="6">
        <v>8918.7000000000007</v>
      </c>
      <c r="E1374" s="6">
        <v>0.94</v>
      </c>
      <c r="F1374" s="6">
        <f t="shared" si="147"/>
        <v>1.0444444444444444E-2</v>
      </c>
      <c r="G1374">
        <f t="shared" si="148"/>
        <v>-1.0676096883398398</v>
      </c>
      <c r="H1374">
        <f t="shared" si="149"/>
        <v>-4.5646999141496938</v>
      </c>
      <c r="I1374">
        <f t="shared" si="150"/>
        <v>-0.96891391922680548</v>
      </c>
      <c r="J1374">
        <f t="shared" si="151"/>
        <v>-0.75854708728816289</v>
      </c>
      <c r="K1374">
        <f t="shared" si="152"/>
        <v>-1.0780541327842843</v>
      </c>
      <c r="L1374">
        <f t="shared" si="153"/>
        <v>-0.97935836367124995</v>
      </c>
    </row>
    <row r="1375" spans="1:12" x14ac:dyDescent="0.25">
      <c r="A1375" s="1">
        <v>42208</v>
      </c>
      <c r="B1375" s="6">
        <v>115.4012</v>
      </c>
      <c r="C1375" s="6">
        <v>9.4847999999999999</v>
      </c>
      <c r="D1375" s="6">
        <v>8791.1200000000008</v>
      </c>
      <c r="E1375" s="6">
        <v>0.94</v>
      </c>
      <c r="F1375" s="6">
        <f t="shared" si="147"/>
        <v>1.0444444444444444E-2</v>
      </c>
      <c r="G1375">
        <f t="shared" si="148"/>
        <v>-2.158261182160087</v>
      </c>
      <c r="H1375">
        <f t="shared" si="149"/>
        <v>-3.0431893687707716</v>
      </c>
      <c r="I1375">
        <f t="shared" si="150"/>
        <v>-1.4304775359637607</v>
      </c>
      <c r="J1375">
        <f t="shared" si="151"/>
        <v>-1.5259580073197407</v>
      </c>
      <c r="K1375">
        <f t="shared" si="152"/>
        <v>-2.1687056266045315</v>
      </c>
      <c r="L1375">
        <f t="shared" si="153"/>
        <v>-1.4409219804082052</v>
      </c>
    </row>
    <row r="1376" spans="1:12" x14ac:dyDescent="0.25">
      <c r="A1376" s="1">
        <v>42209</v>
      </c>
      <c r="B1376" s="6">
        <v>116.2497</v>
      </c>
      <c r="C1376" s="6">
        <v>9.6123999999999992</v>
      </c>
      <c r="D1376" s="6">
        <v>8767.86</v>
      </c>
      <c r="E1376" s="6">
        <v>0.94</v>
      </c>
      <c r="F1376" s="6">
        <f t="shared" si="147"/>
        <v>1.0444444444444444E-2</v>
      </c>
      <c r="G1376">
        <f t="shared" si="148"/>
        <v>0.73526098515440164</v>
      </c>
      <c r="H1376">
        <f t="shared" si="149"/>
        <v>1.3453103913630153</v>
      </c>
      <c r="I1376">
        <f t="shared" si="150"/>
        <v>-0.26458517231024281</v>
      </c>
      <c r="J1376">
        <f t="shared" si="151"/>
        <v>0.5099998776071063</v>
      </c>
      <c r="K1376">
        <f t="shared" si="152"/>
        <v>0.72481654070995716</v>
      </c>
      <c r="L1376">
        <f t="shared" si="153"/>
        <v>-0.27502961675468723</v>
      </c>
    </row>
    <row r="1377" spans="1:12" x14ac:dyDescent="0.25">
      <c r="A1377" s="1">
        <v>42212</v>
      </c>
      <c r="B1377" s="6">
        <v>113.7041</v>
      </c>
      <c r="C1377" s="6">
        <v>9.4421999999999997</v>
      </c>
      <c r="D1377" s="6">
        <v>8556.68</v>
      </c>
      <c r="E1377" s="6">
        <v>0.94</v>
      </c>
      <c r="F1377" s="6">
        <f t="shared" si="147"/>
        <v>1.0444444444444444E-2</v>
      </c>
      <c r="G1377">
        <f t="shared" si="148"/>
        <v>-2.1897690918772326</v>
      </c>
      <c r="H1377">
        <f t="shared" si="149"/>
        <v>-1.7706296034288989</v>
      </c>
      <c r="I1377">
        <f t="shared" si="150"/>
        <v>-2.4085694798958959</v>
      </c>
      <c r="J1377">
        <f t="shared" si="151"/>
        <v>-1.5481277967724765</v>
      </c>
      <c r="K1377">
        <f t="shared" si="152"/>
        <v>-2.200213536321677</v>
      </c>
      <c r="L1377">
        <f t="shared" si="153"/>
        <v>-2.4190139243403403</v>
      </c>
    </row>
    <row r="1378" spans="1:12" x14ac:dyDescent="0.25">
      <c r="A1378" s="1">
        <v>42213</v>
      </c>
      <c r="B1378" s="6">
        <v>113.7041</v>
      </c>
      <c r="C1378" s="6">
        <v>9.2721</v>
      </c>
      <c r="D1378" s="6">
        <v>8582.49</v>
      </c>
      <c r="E1378" s="6">
        <v>0.94</v>
      </c>
      <c r="F1378" s="6">
        <f t="shared" si="147"/>
        <v>1.0444444444444444E-2</v>
      </c>
      <c r="G1378">
        <f t="shared" si="148"/>
        <v>0</v>
      </c>
      <c r="H1378">
        <f t="shared" si="149"/>
        <v>-1.8014869416025894</v>
      </c>
      <c r="I1378">
        <f t="shared" si="150"/>
        <v>0.30163568112865607</v>
      </c>
      <c r="J1378">
        <f t="shared" si="151"/>
        <v>-7.3489843141871791E-3</v>
      </c>
      <c r="K1378">
        <f t="shared" si="152"/>
        <v>-1.0444444444444444E-2</v>
      </c>
      <c r="L1378">
        <f t="shared" si="153"/>
        <v>0.29119123668421165</v>
      </c>
    </row>
    <row r="1379" spans="1:12" x14ac:dyDescent="0.25">
      <c r="A1379" s="1">
        <v>42214</v>
      </c>
      <c r="B1379" s="6">
        <v>114.9769</v>
      </c>
      <c r="C1379" s="6">
        <v>9.1445000000000007</v>
      </c>
      <c r="D1379" s="6">
        <v>8563.48</v>
      </c>
      <c r="E1379" s="6">
        <v>0.94</v>
      </c>
      <c r="F1379" s="6">
        <f t="shared" si="147"/>
        <v>1.0444444444444444E-2</v>
      </c>
      <c r="G1379">
        <f t="shared" si="148"/>
        <v>1.1193967499852722</v>
      </c>
      <c r="H1379">
        <f t="shared" si="149"/>
        <v>-1.3761715253286664</v>
      </c>
      <c r="I1379">
        <f t="shared" si="150"/>
        <v>-0.22149749082143083</v>
      </c>
      <c r="J1379">
        <f t="shared" si="151"/>
        <v>0.78028784986607724</v>
      </c>
      <c r="K1379">
        <f t="shared" si="152"/>
        <v>1.1089523055408277</v>
      </c>
      <c r="L1379">
        <f t="shared" si="153"/>
        <v>-0.23194193526587528</v>
      </c>
    </row>
    <row r="1380" spans="1:12" x14ac:dyDescent="0.25">
      <c r="A1380" s="1">
        <v>42215</v>
      </c>
      <c r="B1380" s="6">
        <v>117.52249999999999</v>
      </c>
      <c r="C1380" s="6">
        <v>9.6548999999999996</v>
      </c>
      <c r="D1380" s="6">
        <v>8651.49</v>
      </c>
      <c r="E1380" s="6">
        <v>0.94</v>
      </c>
      <c r="F1380" s="6">
        <f t="shared" si="147"/>
        <v>1.0444444444444444E-2</v>
      </c>
      <c r="G1380">
        <f t="shared" si="148"/>
        <v>2.2140099446062584</v>
      </c>
      <c r="H1380">
        <f t="shared" si="149"/>
        <v>5.5814970747443686</v>
      </c>
      <c r="I1380">
        <f t="shared" si="150"/>
        <v>1.0277363875433845</v>
      </c>
      <c r="J1380">
        <f t="shared" si="151"/>
        <v>1.5504863262101998</v>
      </c>
      <c r="K1380">
        <f t="shared" si="152"/>
        <v>2.203565500161814</v>
      </c>
      <c r="L1380">
        <f t="shared" si="153"/>
        <v>1.01729194309894</v>
      </c>
    </row>
    <row r="1381" spans="1:12" x14ac:dyDescent="0.25">
      <c r="A1381" s="1">
        <v>42216</v>
      </c>
      <c r="B1381" s="6">
        <v>118.3711</v>
      </c>
      <c r="C1381" s="6">
        <v>9.5698000000000008</v>
      </c>
      <c r="D1381" s="6">
        <v>8665.34</v>
      </c>
      <c r="E1381" s="6">
        <v>0.94</v>
      </c>
      <c r="F1381" s="6">
        <f t="shared" si="147"/>
        <v>1.0444444444444444E-2</v>
      </c>
      <c r="G1381">
        <f t="shared" si="148"/>
        <v>0.722074496373039</v>
      </c>
      <c r="H1381">
        <f t="shared" si="149"/>
        <v>-0.88141772571439214</v>
      </c>
      <c r="I1381">
        <f t="shared" si="150"/>
        <v>0.16008803107904376</v>
      </c>
      <c r="J1381">
        <f t="shared" si="151"/>
        <v>0.5007215191717771</v>
      </c>
      <c r="K1381">
        <f t="shared" si="152"/>
        <v>0.71163005192859452</v>
      </c>
      <c r="L1381">
        <f t="shared" si="153"/>
        <v>0.14964358663459931</v>
      </c>
    </row>
    <row r="1382" spans="1:12" x14ac:dyDescent="0.25">
      <c r="A1382" s="1">
        <v>42219</v>
      </c>
      <c r="B1382" s="6">
        <v>114.1284</v>
      </c>
      <c r="C1382" s="6">
        <v>9.5273000000000003</v>
      </c>
      <c r="D1382" s="6">
        <v>8524.41</v>
      </c>
      <c r="E1382" s="6">
        <v>0.94</v>
      </c>
      <c r="F1382" s="6">
        <f t="shared" si="147"/>
        <v>1.0444444444444444E-2</v>
      </c>
      <c r="G1382">
        <f t="shared" si="148"/>
        <v>-3.5842363549886747</v>
      </c>
      <c r="H1382">
        <f t="shared" si="149"/>
        <v>-0.44410541495120509</v>
      </c>
      <c r="I1382">
        <f t="shared" si="150"/>
        <v>-1.6263643434648876</v>
      </c>
      <c r="J1382">
        <f t="shared" si="151"/>
        <v>-2.5293114392116429</v>
      </c>
      <c r="K1382">
        <f t="shared" si="152"/>
        <v>-3.5946807994331191</v>
      </c>
      <c r="L1382">
        <f t="shared" si="153"/>
        <v>-1.636808787909332</v>
      </c>
    </row>
    <row r="1383" spans="1:12" x14ac:dyDescent="0.25">
      <c r="A1383" s="1">
        <v>42220</v>
      </c>
      <c r="B1383" s="6">
        <v>115.8254</v>
      </c>
      <c r="C1383" s="6">
        <v>9.4847999999999999</v>
      </c>
      <c r="D1383" s="6">
        <v>8510.86</v>
      </c>
      <c r="E1383" s="6">
        <v>0.94</v>
      </c>
      <c r="F1383" s="6">
        <f t="shared" si="147"/>
        <v>1.0444444444444444E-2</v>
      </c>
      <c r="G1383">
        <f t="shared" si="148"/>
        <v>1.4869217477858296</v>
      </c>
      <c r="H1383">
        <f t="shared" si="149"/>
        <v>-0.44608650929434807</v>
      </c>
      <c r="I1383">
        <f t="shared" si="150"/>
        <v>-0.15895528253567429</v>
      </c>
      <c r="J1383">
        <f t="shared" si="151"/>
        <v>1.0388880519423727</v>
      </c>
      <c r="K1383">
        <f t="shared" si="152"/>
        <v>1.4764773033413852</v>
      </c>
      <c r="L1383">
        <f t="shared" si="153"/>
        <v>-0.16939972698011874</v>
      </c>
    </row>
    <row r="1384" spans="1:12" x14ac:dyDescent="0.25">
      <c r="A1384" s="1">
        <v>42221</v>
      </c>
      <c r="B1384" s="6">
        <v>113.7041</v>
      </c>
      <c r="C1384" s="6">
        <v>9.5698000000000008</v>
      </c>
      <c r="D1384" s="6">
        <v>8542.27</v>
      </c>
      <c r="E1384" s="6">
        <v>0.94</v>
      </c>
      <c r="F1384" s="6">
        <f t="shared" si="147"/>
        <v>1.0444444444444444E-2</v>
      </c>
      <c r="G1384">
        <f t="shared" si="148"/>
        <v>-1.8314635649866136</v>
      </c>
      <c r="H1384">
        <f t="shared" si="149"/>
        <v>0.89617071524967162</v>
      </c>
      <c r="I1384">
        <f t="shared" si="150"/>
        <v>0.36905788604206685</v>
      </c>
      <c r="J1384">
        <f t="shared" si="151"/>
        <v>-1.2960146555889489</v>
      </c>
      <c r="K1384">
        <f t="shared" si="152"/>
        <v>-1.841908009431058</v>
      </c>
      <c r="L1384">
        <f t="shared" si="153"/>
        <v>0.35861344159762243</v>
      </c>
    </row>
    <row r="1385" spans="1:12" x14ac:dyDescent="0.25">
      <c r="A1385" s="1">
        <v>42222</v>
      </c>
      <c r="B1385" s="6">
        <v>113.7041</v>
      </c>
      <c r="C1385" s="6">
        <v>9.5698000000000008</v>
      </c>
      <c r="D1385" s="6">
        <v>8449.56</v>
      </c>
      <c r="E1385" s="6">
        <v>0.94</v>
      </c>
      <c r="F1385" s="6">
        <f t="shared" si="147"/>
        <v>1.0444444444444444E-2</v>
      </c>
      <c r="G1385">
        <f t="shared" si="148"/>
        <v>0</v>
      </c>
      <c r="H1385">
        <f t="shared" si="149"/>
        <v>0</v>
      </c>
      <c r="I1385">
        <f t="shared" si="150"/>
        <v>-1.0853087059997044</v>
      </c>
      <c r="J1385">
        <f t="shared" si="151"/>
        <v>-7.3489843141871791E-3</v>
      </c>
      <c r="K1385">
        <f t="shared" si="152"/>
        <v>-1.0444444444444444E-2</v>
      </c>
      <c r="L1385">
        <f t="shared" si="153"/>
        <v>-1.0957531504441489</v>
      </c>
    </row>
    <row r="1386" spans="1:12" x14ac:dyDescent="0.25">
      <c r="A1386" s="1">
        <v>42223</v>
      </c>
      <c r="B1386" s="6">
        <v>112.8556</v>
      </c>
      <c r="C1386" s="6">
        <v>9.5273000000000003</v>
      </c>
      <c r="D1386" s="6">
        <v>8442.2900000000009</v>
      </c>
      <c r="E1386" s="6">
        <v>0.94</v>
      </c>
      <c r="F1386" s="6">
        <f t="shared" si="147"/>
        <v>1.0444444444444444E-2</v>
      </c>
      <c r="G1386">
        <f t="shared" si="148"/>
        <v>-0.74623518413144418</v>
      </c>
      <c r="H1386">
        <f t="shared" si="149"/>
        <v>-0.44410541495120509</v>
      </c>
      <c r="I1386">
        <f t="shared" si="150"/>
        <v>-8.6039983147035093E-2</v>
      </c>
      <c r="J1386">
        <f t="shared" si="151"/>
        <v>-0.53241957969598597</v>
      </c>
      <c r="K1386">
        <f t="shared" si="152"/>
        <v>-0.75667962857588866</v>
      </c>
      <c r="L1386">
        <f t="shared" si="153"/>
        <v>-9.6484427591479544E-2</v>
      </c>
    </row>
    <row r="1387" spans="1:12" x14ac:dyDescent="0.25">
      <c r="A1387" s="1">
        <v>42226</v>
      </c>
      <c r="B1387" s="6">
        <v>109.4614</v>
      </c>
      <c r="C1387" s="6">
        <v>9.5273000000000003</v>
      </c>
      <c r="D1387" s="6">
        <v>8466.84</v>
      </c>
      <c r="E1387" s="6">
        <v>0.94</v>
      </c>
      <c r="F1387" s="6">
        <f t="shared" si="147"/>
        <v>1.0444444444444444E-2</v>
      </c>
      <c r="G1387">
        <f t="shared" si="148"/>
        <v>-3.0075601033533097</v>
      </c>
      <c r="H1387">
        <f t="shared" si="149"/>
        <v>0</v>
      </c>
      <c r="I1387">
        <f t="shared" si="150"/>
        <v>0.29079787593175865</v>
      </c>
      <c r="J1387">
        <f t="shared" si="151"/>
        <v>-2.123546944012781</v>
      </c>
      <c r="K1387">
        <f t="shared" si="152"/>
        <v>-3.0180045477977542</v>
      </c>
      <c r="L1387">
        <f t="shared" si="153"/>
        <v>0.28035343148731423</v>
      </c>
    </row>
    <row r="1388" spans="1:12" x14ac:dyDescent="0.25">
      <c r="A1388" s="1">
        <v>42227</v>
      </c>
      <c r="B1388" s="6">
        <v>110.7342</v>
      </c>
      <c r="C1388" s="6">
        <v>9.5273000000000003</v>
      </c>
      <c r="D1388" s="6">
        <v>8394.14</v>
      </c>
      <c r="E1388" s="6">
        <v>0.94</v>
      </c>
      <c r="F1388" s="6">
        <f t="shared" si="147"/>
        <v>1.0444444444444444E-2</v>
      </c>
      <c r="G1388">
        <f t="shared" si="148"/>
        <v>1.1627843239717415</v>
      </c>
      <c r="H1388">
        <f t="shared" si="149"/>
        <v>0</v>
      </c>
      <c r="I1388">
        <f t="shared" si="150"/>
        <v>-0.85864383878756101</v>
      </c>
      <c r="J1388">
        <f t="shared" si="151"/>
        <v>0.8108164818438941</v>
      </c>
      <c r="K1388">
        <f t="shared" si="152"/>
        <v>1.152339879527297</v>
      </c>
      <c r="L1388">
        <f t="shared" si="153"/>
        <v>-0.86908828323200549</v>
      </c>
    </row>
    <row r="1389" spans="1:12" x14ac:dyDescent="0.25">
      <c r="A1389" s="1">
        <v>42228</v>
      </c>
      <c r="B1389" s="6">
        <v>109.0371</v>
      </c>
      <c r="C1389" s="6">
        <v>9.5698000000000008</v>
      </c>
      <c r="D1389" s="6">
        <v>8283.3799999999992</v>
      </c>
      <c r="E1389" s="6">
        <v>0.94</v>
      </c>
      <c r="F1389" s="6">
        <f t="shared" si="147"/>
        <v>1.0444444444444444E-2</v>
      </c>
      <c r="G1389">
        <f t="shared" si="148"/>
        <v>-1.5325888478898173</v>
      </c>
      <c r="H1389">
        <f t="shared" si="149"/>
        <v>0.44608650929434807</v>
      </c>
      <c r="I1389">
        <f t="shared" si="150"/>
        <v>-1.3194919312758691</v>
      </c>
      <c r="J1389">
        <f t="shared" si="151"/>
        <v>-1.0857185867521044</v>
      </c>
      <c r="K1389">
        <f t="shared" si="152"/>
        <v>-1.5430332923342618</v>
      </c>
      <c r="L1389">
        <f t="shared" si="153"/>
        <v>-1.3299363757203135</v>
      </c>
    </row>
    <row r="1390" spans="1:12" x14ac:dyDescent="0.25">
      <c r="A1390" s="1">
        <v>42229</v>
      </c>
      <c r="B1390" s="6">
        <v>108.6129</v>
      </c>
      <c r="C1390" s="6">
        <v>9.5273000000000003</v>
      </c>
      <c r="D1390" s="6">
        <v>8311.74</v>
      </c>
      <c r="E1390" s="6">
        <v>0.94</v>
      </c>
      <c r="F1390" s="6">
        <f t="shared" si="147"/>
        <v>1.0444444444444444E-2</v>
      </c>
      <c r="G1390">
        <f t="shared" si="148"/>
        <v>-0.38904189491466579</v>
      </c>
      <c r="H1390">
        <f t="shared" si="149"/>
        <v>-0.44410541495120509</v>
      </c>
      <c r="I1390">
        <f t="shared" si="150"/>
        <v>0.34237231661472228</v>
      </c>
      <c r="J1390">
        <f t="shared" si="151"/>
        <v>-0.28108903803339808</v>
      </c>
      <c r="K1390">
        <f t="shared" si="152"/>
        <v>-0.39948633935911021</v>
      </c>
      <c r="L1390">
        <f t="shared" si="153"/>
        <v>0.33192787217027786</v>
      </c>
    </row>
    <row r="1391" spans="1:12" x14ac:dyDescent="0.25">
      <c r="A1391" s="1">
        <v>42230</v>
      </c>
      <c r="B1391" s="6">
        <v>106.9158</v>
      </c>
      <c r="C1391" s="6">
        <v>9.5273000000000003</v>
      </c>
      <c r="D1391" s="6">
        <v>8305.64</v>
      </c>
      <c r="E1391" s="6">
        <v>0.94</v>
      </c>
      <c r="F1391" s="6">
        <f t="shared" si="147"/>
        <v>1.0444444444444444E-2</v>
      </c>
      <c r="G1391">
        <f t="shared" si="148"/>
        <v>-1.5625215789284623</v>
      </c>
      <c r="H1391">
        <f t="shared" si="149"/>
        <v>0</v>
      </c>
      <c r="I1391">
        <f t="shared" si="150"/>
        <v>-7.3390168604893363E-2</v>
      </c>
      <c r="J1391">
        <f t="shared" si="151"/>
        <v>-1.1067800392835307</v>
      </c>
      <c r="K1391">
        <f t="shared" si="152"/>
        <v>-1.5729660233729068</v>
      </c>
      <c r="L1391">
        <f t="shared" si="153"/>
        <v>-8.3834613049337814E-2</v>
      </c>
    </row>
    <row r="1392" spans="1:12" x14ac:dyDescent="0.25">
      <c r="A1392" s="1">
        <v>42233</v>
      </c>
      <c r="B1392" s="6">
        <v>105.2187</v>
      </c>
      <c r="C1392" s="6">
        <v>9.4421999999999997</v>
      </c>
      <c r="D1392" s="6">
        <v>8213.42</v>
      </c>
      <c r="E1392" s="6">
        <v>0.94</v>
      </c>
      <c r="F1392" s="6">
        <f t="shared" si="147"/>
        <v>1.0444444444444444E-2</v>
      </c>
      <c r="G1392">
        <f t="shared" si="148"/>
        <v>-1.5873238567171606</v>
      </c>
      <c r="H1392">
        <f t="shared" si="149"/>
        <v>-0.89322263390468037</v>
      </c>
      <c r="I1392">
        <f t="shared" si="150"/>
        <v>-1.1103298481513688</v>
      </c>
      <c r="J1392">
        <f t="shared" si="151"/>
        <v>-1.1242315707072255</v>
      </c>
      <c r="K1392">
        <f t="shared" si="152"/>
        <v>-1.5977683011616051</v>
      </c>
      <c r="L1392">
        <f t="shared" si="153"/>
        <v>-1.1207742925958133</v>
      </c>
    </row>
    <row r="1393" spans="1:12" x14ac:dyDescent="0.25">
      <c r="A1393" s="1">
        <v>42234</v>
      </c>
      <c r="B1393" s="6">
        <v>106.9158</v>
      </c>
      <c r="C1393" s="6">
        <v>9.4847999999999999</v>
      </c>
      <c r="D1393" s="6">
        <v>8177.22</v>
      </c>
      <c r="E1393" s="6">
        <v>0.94</v>
      </c>
      <c r="F1393" s="6">
        <f t="shared" si="147"/>
        <v>1.0444444444444444E-2</v>
      </c>
      <c r="G1393">
        <f t="shared" si="148"/>
        <v>1.6129262193887646</v>
      </c>
      <c r="H1393">
        <f t="shared" si="149"/>
        <v>0.45116604181229158</v>
      </c>
      <c r="I1393">
        <f t="shared" si="150"/>
        <v>-0.4407421025589805</v>
      </c>
      <c r="J1393">
        <f t="shared" si="151"/>
        <v>1.1275480941545717</v>
      </c>
      <c r="K1393">
        <f t="shared" si="152"/>
        <v>1.6024817749443201</v>
      </c>
      <c r="L1393">
        <f t="shared" si="153"/>
        <v>-0.45118654700342492</v>
      </c>
    </row>
    <row r="1394" spans="1:12" x14ac:dyDescent="0.25">
      <c r="A1394" s="1">
        <v>42235</v>
      </c>
      <c r="B1394" s="6">
        <v>106.0673</v>
      </c>
      <c r="C1394" s="6">
        <v>9.2721</v>
      </c>
      <c r="D1394" s="6">
        <v>8021.84</v>
      </c>
      <c r="E1394" s="6">
        <v>0.94</v>
      </c>
      <c r="F1394" s="6">
        <f t="shared" si="147"/>
        <v>1.0444444444444444E-2</v>
      </c>
      <c r="G1394">
        <f t="shared" si="148"/>
        <v>-0.7936151625858866</v>
      </c>
      <c r="H1394">
        <f t="shared" si="149"/>
        <v>-2.2425354251012135</v>
      </c>
      <c r="I1394">
        <f t="shared" si="150"/>
        <v>-1.9001567769975627</v>
      </c>
      <c r="J1394">
        <f t="shared" si="151"/>
        <v>-0.56575737188975206</v>
      </c>
      <c r="K1394">
        <f t="shared" si="152"/>
        <v>-0.80405960703033108</v>
      </c>
      <c r="L1394">
        <f t="shared" si="153"/>
        <v>-1.9106012214420072</v>
      </c>
    </row>
    <row r="1395" spans="1:12" x14ac:dyDescent="0.25">
      <c r="A1395" s="1">
        <v>42236</v>
      </c>
      <c r="B1395" s="6">
        <v>106.9158</v>
      </c>
      <c r="C1395" s="6">
        <v>9.2295999999999996</v>
      </c>
      <c r="D1395" s="6">
        <v>8029.81</v>
      </c>
      <c r="E1395" s="6">
        <v>0.94</v>
      </c>
      <c r="F1395" s="6">
        <f t="shared" si="147"/>
        <v>1.0444444444444444E-2</v>
      </c>
      <c r="G1395">
        <f t="shared" si="148"/>
        <v>0.79996379657066918</v>
      </c>
      <c r="H1395">
        <f t="shared" si="149"/>
        <v>-0.45836434033283102</v>
      </c>
      <c r="I1395">
        <f t="shared" si="150"/>
        <v>9.935376422367255E-2</v>
      </c>
      <c r="J1395">
        <f t="shared" si="151"/>
        <v>0.55552646819899631</v>
      </c>
      <c r="K1395">
        <f t="shared" si="152"/>
        <v>0.7895193521262247</v>
      </c>
      <c r="L1395">
        <f t="shared" si="153"/>
        <v>8.8909319779228113E-2</v>
      </c>
    </row>
    <row r="1396" spans="1:12" x14ac:dyDescent="0.25">
      <c r="A1396" s="1">
        <v>42237</v>
      </c>
      <c r="B1396" s="6">
        <v>102.67310000000001</v>
      </c>
      <c r="C1396" s="6">
        <v>8.8468</v>
      </c>
      <c r="D1396" s="6">
        <v>7786.92</v>
      </c>
      <c r="E1396" s="6">
        <v>0.94</v>
      </c>
      <c r="F1396" s="6">
        <f t="shared" si="147"/>
        <v>1.0444444444444444E-2</v>
      </c>
      <c r="G1396">
        <f t="shared" si="148"/>
        <v>-3.9682628760201943</v>
      </c>
      <c r="H1396">
        <f t="shared" si="149"/>
        <v>-4.1475253532114023</v>
      </c>
      <c r="I1396">
        <f t="shared" si="150"/>
        <v>-3.0248536391272061</v>
      </c>
      <c r="J1396">
        <f t="shared" si="151"/>
        <v>-2.7995225446758192</v>
      </c>
      <c r="K1396">
        <f t="shared" si="152"/>
        <v>-3.9787073204646388</v>
      </c>
      <c r="L1396">
        <f t="shared" si="153"/>
        <v>-3.0352980835716505</v>
      </c>
    </row>
    <row r="1397" spans="1:12" x14ac:dyDescent="0.25">
      <c r="A1397" s="1">
        <v>42240</v>
      </c>
      <c r="B1397" s="6">
        <v>97.581900000000005</v>
      </c>
      <c r="C1397" s="6">
        <v>8.5490999999999993</v>
      </c>
      <c r="D1397" s="6">
        <v>7410.34</v>
      </c>
      <c r="E1397" s="6">
        <v>0.94</v>
      </c>
      <c r="F1397" s="6">
        <f t="shared" si="147"/>
        <v>1.0444444444444444E-2</v>
      </c>
      <c r="G1397">
        <f t="shared" si="148"/>
        <v>-4.9586503183404416</v>
      </c>
      <c r="H1397">
        <f t="shared" si="149"/>
        <v>-3.3650585522448879</v>
      </c>
      <c r="I1397">
        <f t="shared" si="150"/>
        <v>-4.8360584159077007</v>
      </c>
      <c r="J1397">
        <f t="shared" si="151"/>
        <v>-3.4963850553908737</v>
      </c>
      <c r="K1397">
        <f t="shared" si="152"/>
        <v>-4.969094762784886</v>
      </c>
      <c r="L1397">
        <f t="shared" si="153"/>
        <v>-4.8465028603521452</v>
      </c>
    </row>
    <row r="1398" spans="1:12" x14ac:dyDescent="0.25">
      <c r="A1398" s="1">
        <v>42241</v>
      </c>
      <c r="B1398" s="6">
        <v>104.7944</v>
      </c>
      <c r="C1398" s="6">
        <v>8.8893000000000004</v>
      </c>
      <c r="D1398" s="6">
        <v>7675.64</v>
      </c>
      <c r="E1398" s="6">
        <v>0.94</v>
      </c>
      <c r="F1398" s="6">
        <f t="shared" si="147"/>
        <v>1.0444444444444444E-2</v>
      </c>
      <c r="G1398">
        <f t="shared" si="148"/>
        <v>7.3912272665320007</v>
      </c>
      <c r="H1398">
        <f t="shared" si="149"/>
        <v>3.9793662490788644</v>
      </c>
      <c r="I1398">
        <f t="shared" si="150"/>
        <v>3.5801326254935697</v>
      </c>
      <c r="J1398">
        <f t="shared" si="151"/>
        <v>5.1933118582286459</v>
      </c>
      <c r="K1398">
        <f t="shared" si="152"/>
        <v>7.3807828220875562</v>
      </c>
      <c r="L1398">
        <f t="shared" si="153"/>
        <v>3.5696881810491252</v>
      </c>
    </row>
    <row r="1399" spans="1:12" x14ac:dyDescent="0.25">
      <c r="A1399" s="1">
        <v>42242</v>
      </c>
      <c r="B1399" s="6">
        <v>103.94589999999999</v>
      </c>
      <c r="C1399" s="6">
        <v>8.8468</v>
      </c>
      <c r="D1399" s="6">
        <v>7715.59</v>
      </c>
      <c r="E1399" s="6">
        <v>0.94</v>
      </c>
      <c r="F1399" s="6">
        <f t="shared" si="147"/>
        <v>1.0444444444444444E-2</v>
      </c>
      <c r="G1399">
        <f t="shared" si="148"/>
        <v>-0.80968066995946486</v>
      </c>
      <c r="H1399">
        <f t="shared" si="149"/>
        <v>-0.47810288774144671</v>
      </c>
      <c r="I1399">
        <f t="shared" si="150"/>
        <v>0.52047777123470895</v>
      </c>
      <c r="J1399">
        <f t="shared" si="151"/>
        <v>-0.5770614831151879</v>
      </c>
      <c r="K1399">
        <f t="shared" si="152"/>
        <v>-0.82012511440390934</v>
      </c>
      <c r="L1399">
        <f t="shared" si="153"/>
        <v>0.51003332679026447</v>
      </c>
    </row>
    <row r="1400" spans="1:12" x14ac:dyDescent="0.25">
      <c r="A1400" s="1">
        <v>42243</v>
      </c>
      <c r="B1400" s="6">
        <v>105.2187</v>
      </c>
      <c r="C1400" s="6">
        <v>8.9743999999999993</v>
      </c>
      <c r="D1400" s="6">
        <v>7824.55</v>
      </c>
      <c r="E1400" s="6">
        <v>0.94</v>
      </c>
      <c r="F1400" s="6">
        <f t="shared" si="147"/>
        <v>1.0444444444444444E-2</v>
      </c>
      <c r="G1400">
        <f t="shared" si="148"/>
        <v>1.2244831205463647</v>
      </c>
      <c r="H1400">
        <f t="shared" si="149"/>
        <v>1.4423294298503331</v>
      </c>
      <c r="I1400">
        <f t="shared" si="150"/>
        <v>1.4122056770771909</v>
      </c>
      <c r="J1400">
        <f t="shared" si="151"/>
        <v>0.85422936901495994</v>
      </c>
      <c r="K1400">
        <f t="shared" si="152"/>
        <v>1.2140386761019202</v>
      </c>
      <c r="L1400">
        <f t="shared" si="153"/>
        <v>1.4017612326327464</v>
      </c>
    </row>
    <row r="1401" spans="1:12" x14ac:dyDescent="0.25">
      <c r="A1401" s="1">
        <v>42244</v>
      </c>
      <c r="B1401" s="6">
        <v>106.0673</v>
      </c>
      <c r="C1401" s="6">
        <v>9.1869999999999994</v>
      </c>
      <c r="D1401" s="6">
        <v>8019.18</v>
      </c>
      <c r="E1401" s="6">
        <v>0.94</v>
      </c>
      <c r="F1401" s="6">
        <f t="shared" si="147"/>
        <v>1.0444444444444444E-2</v>
      </c>
      <c r="G1401">
        <f t="shared" si="148"/>
        <v>0.80651062976448551</v>
      </c>
      <c r="H1401">
        <f t="shared" si="149"/>
        <v>2.3689605990372633</v>
      </c>
      <c r="I1401">
        <f t="shared" si="150"/>
        <v>2.4874273919905949</v>
      </c>
      <c r="J1401">
        <f t="shared" si="151"/>
        <v>0.56013299128453464</v>
      </c>
      <c r="K1401">
        <f t="shared" si="152"/>
        <v>0.79606618532004103</v>
      </c>
      <c r="L1401">
        <f t="shared" si="153"/>
        <v>2.4769829475461504</v>
      </c>
    </row>
    <row r="1402" spans="1:12" x14ac:dyDescent="0.25">
      <c r="A1402" s="1">
        <v>42247</v>
      </c>
      <c r="B1402" s="6">
        <v>109.4614</v>
      </c>
      <c r="C1402" s="6">
        <v>9.1445000000000007</v>
      </c>
      <c r="D1402" s="6">
        <v>8174.92</v>
      </c>
      <c r="E1402" s="6">
        <v>0.94</v>
      </c>
      <c r="F1402" s="6">
        <f t="shared" si="147"/>
        <v>1.0444444444444444E-2</v>
      </c>
      <c r="G1402">
        <f t="shared" si="148"/>
        <v>3.1999494660465522</v>
      </c>
      <c r="H1402">
        <f t="shared" si="149"/>
        <v>-0.46261021007944542</v>
      </c>
      <c r="I1402">
        <f t="shared" si="150"/>
        <v>1.9420938300424704</v>
      </c>
      <c r="J1402">
        <f t="shared" si="151"/>
        <v>2.2442191634465551</v>
      </c>
      <c r="K1402">
        <f t="shared" si="152"/>
        <v>3.1895050216021077</v>
      </c>
      <c r="L1402">
        <f t="shared" si="153"/>
        <v>1.9316493855980259</v>
      </c>
    </row>
    <row r="1403" spans="1:12" x14ac:dyDescent="0.25">
      <c r="A1403" s="1">
        <v>42248</v>
      </c>
      <c r="B1403" s="6">
        <v>105.2187</v>
      </c>
      <c r="C1403" s="6">
        <v>9.1445000000000007</v>
      </c>
      <c r="D1403" s="6">
        <v>8017.56</v>
      </c>
      <c r="E1403" s="6">
        <v>0.94</v>
      </c>
      <c r="F1403" s="6">
        <f t="shared" si="147"/>
        <v>1.0444444444444444E-2</v>
      </c>
      <c r="G1403">
        <f t="shared" si="148"/>
        <v>-3.8759781987074891</v>
      </c>
      <c r="H1403">
        <f t="shared" si="149"/>
        <v>0</v>
      </c>
      <c r="I1403">
        <f t="shared" si="150"/>
        <v>-1.9249118034182557</v>
      </c>
      <c r="J1403">
        <f t="shared" si="151"/>
        <v>-2.7345886317598822</v>
      </c>
      <c r="K1403">
        <f t="shared" si="152"/>
        <v>-3.8864226431519335</v>
      </c>
      <c r="L1403">
        <f t="shared" si="153"/>
        <v>-1.9353562478627002</v>
      </c>
    </row>
    <row r="1404" spans="1:12" x14ac:dyDescent="0.25">
      <c r="A1404" s="1">
        <v>42249</v>
      </c>
      <c r="B1404" s="6">
        <v>106.4915</v>
      </c>
      <c r="C1404" s="6">
        <v>9.1869999999999994</v>
      </c>
      <c r="D1404" s="6">
        <v>8035.29</v>
      </c>
      <c r="E1404" s="6">
        <v>0.94</v>
      </c>
      <c r="F1404" s="6">
        <f t="shared" si="147"/>
        <v>1.0444444444444444E-2</v>
      </c>
      <c r="G1404">
        <f t="shared" si="148"/>
        <v>1.2096709045065219</v>
      </c>
      <c r="H1404">
        <f t="shared" si="149"/>
        <v>0.46476023839464864</v>
      </c>
      <c r="I1404">
        <f t="shared" si="150"/>
        <v>0.22113959858110899</v>
      </c>
      <c r="J1404">
        <f t="shared" si="151"/>
        <v>0.84380710635521095</v>
      </c>
      <c r="K1404">
        <f t="shared" si="152"/>
        <v>1.1992264600620774</v>
      </c>
      <c r="L1404">
        <f t="shared" si="153"/>
        <v>0.21069515413666454</v>
      </c>
    </row>
    <row r="1405" spans="1:12" x14ac:dyDescent="0.25">
      <c r="A1405" s="1">
        <v>42250</v>
      </c>
      <c r="B1405" s="6">
        <v>107.76430000000001</v>
      </c>
      <c r="C1405" s="6">
        <v>9.6548999999999996</v>
      </c>
      <c r="D1405" s="6">
        <v>8095.95</v>
      </c>
      <c r="E1405" s="6">
        <v>0.94</v>
      </c>
      <c r="F1405" s="6">
        <f t="shared" si="147"/>
        <v>1.0444444444444444E-2</v>
      </c>
      <c r="G1405">
        <f t="shared" si="148"/>
        <v>1.1952127634599978</v>
      </c>
      <c r="H1405">
        <f t="shared" si="149"/>
        <v>5.0930662893218708</v>
      </c>
      <c r="I1405">
        <f t="shared" si="150"/>
        <v>0.75491985976859399</v>
      </c>
      <c r="J1405">
        <f t="shared" si="151"/>
        <v>0.83363398012256307</v>
      </c>
      <c r="K1405">
        <f t="shared" si="152"/>
        <v>1.1847683190155534</v>
      </c>
      <c r="L1405">
        <f t="shared" si="153"/>
        <v>0.74447541532414951</v>
      </c>
    </row>
    <row r="1406" spans="1:12" x14ac:dyDescent="0.25">
      <c r="A1406" s="1">
        <v>42251</v>
      </c>
      <c r="B1406" s="6">
        <v>106.0673</v>
      </c>
      <c r="C1406" s="6">
        <v>9.3996999999999993</v>
      </c>
      <c r="D1406" s="6">
        <v>8000.6</v>
      </c>
      <c r="E1406" s="6">
        <v>0.94</v>
      </c>
      <c r="F1406" s="6">
        <f t="shared" si="147"/>
        <v>1.0444444444444444E-2</v>
      </c>
      <c r="G1406">
        <f t="shared" si="148"/>
        <v>-1.5747330052716926</v>
      </c>
      <c r="H1406">
        <f t="shared" si="149"/>
        <v>-2.6432174336347383</v>
      </c>
      <c r="I1406">
        <f t="shared" si="150"/>
        <v>-1.1777493685114095</v>
      </c>
      <c r="J1406">
        <f t="shared" si="151"/>
        <v>-1.115372318281959</v>
      </c>
      <c r="K1406">
        <f t="shared" si="152"/>
        <v>-1.5851774497161371</v>
      </c>
      <c r="L1406">
        <f t="shared" si="153"/>
        <v>-1.188193812955854</v>
      </c>
    </row>
    <row r="1407" spans="1:12" x14ac:dyDescent="0.25">
      <c r="A1407" s="1">
        <v>42254</v>
      </c>
      <c r="B1407" s="6">
        <v>103.94589999999999</v>
      </c>
      <c r="C1407" s="6">
        <v>9.3572000000000006</v>
      </c>
      <c r="D1407" s="6">
        <v>7986.56</v>
      </c>
      <c r="E1407" s="6">
        <v>0.94</v>
      </c>
      <c r="F1407" s="6">
        <f t="shared" si="147"/>
        <v>1.0444444444444444E-2</v>
      </c>
      <c r="G1407">
        <f t="shared" si="148"/>
        <v>-2.0000509110725062</v>
      </c>
      <c r="H1407">
        <f t="shared" si="149"/>
        <v>-0.45214208964114444</v>
      </c>
      <c r="I1407">
        <f t="shared" si="150"/>
        <v>-0.17548683848711299</v>
      </c>
      <c r="J1407">
        <f t="shared" si="151"/>
        <v>-1.4146371221591727</v>
      </c>
      <c r="K1407">
        <f t="shared" si="152"/>
        <v>-2.0104953555169507</v>
      </c>
      <c r="L1407">
        <f t="shared" si="153"/>
        <v>-0.18593128293155745</v>
      </c>
    </row>
    <row r="1408" spans="1:12" x14ac:dyDescent="0.25">
      <c r="A1408" s="1">
        <v>42255</v>
      </c>
      <c r="B1408" s="6">
        <v>104.3702</v>
      </c>
      <c r="C1408" s="6">
        <v>9.4421999999999997</v>
      </c>
      <c r="D1408" s="6">
        <v>8001.5</v>
      </c>
      <c r="E1408" s="6">
        <v>0.94</v>
      </c>
      <c r="F1408" s="6">
        <f t="shared" si="147"/>
        <v>1.0444444444444444E-2</v>
      </c>
      <c r="G1408">
        <f t="shared" si="148"/>
        <v>0.40819310814568188</v>
      </c>
      <c r="H1408">
        <f t="shared" si="149"/>
        <v>0.90839139913648392</v>
      </c>
      <c r="I1408">
        <f t="shared" si="150"/>
        <v>0.18706426797018491</v>
      </c>
      <c r="J1408">
        <f t="shared" si="151"/>
        <v>0.27986636398684844</v>
      </c>
      <c r="K1408">
        <f t="shared" si="152"/>
        <v>0.39774866370123746</v>
      </c>
      <c r="L1408">
        <f t="shared" si="153"/>
        <v>0.17661982352574046</v>
      </c>
    </row>
    <row r="1409" spans="1:12" x14ac:dyDescent="0.25">
      <c r="A1409" s="1">
        <v>42256</v>
      </c>
      <c r="B1409" s="6">
        <v>109.4614</v>
      </c>
      <c r="C1409" s="6">
        <v>9.6974</v>
      </c>
      <c r="D1409" s="6">
        <v>8286.92</v>
      </c>
      <c r="E1409" s="6">
        <v>0.94</v>
      </c>
      <c r="F1409" s="6">
        <f t="shared" si="147"/>
        <v>1.0444444444444444E-2</v>
      </c>
      <c r="G1409">
        <f t="shared" si="148"/>
        <v>4.8780207377201545</v>
      </c>
      <c r="H1409">
        <f t="shared" si="149"/>
        <v>2.7027599500116533</v>
      </c>
      <c r="I1409">
        <f t="shared" si="150"/>
        <v>3.5670811722801985</v>
      </c>
      <c r="J1409">
        <f t="shared" si="151"/>
        <v>3.4249540047503522</v>
      </c>
      <c r="K1409">
        <f t="shared" si="152"/>
        <v>4.8675762932757101</v>
      </c>
      <c r="L1409">
        <f t="shared" si="153"/>
        <v>3.556636727835754</v>
      </c>
    </row>
    <row r="1410" spans="1:12" x14ac:dyDescent="0.25">
      <c r="A1410" s="1">
        <v>42257</v>
      </c>
      <c r="B1410" s="6">
        <v>106.0673</v>
      </c>
      <c r="C1410" s="6">
        <v>9.7825000000000006</v>
      </c>
      <c r="D1410" s="6">
        <v>8268.68</v>
      </c>
      <c r="E1410" s="6">
        <v>0.94</v>
      </c>
      <c r="F1410" s="6">
        <f t="shared" si="147"/>
        <v>1.0444444444444444E-2</v>
      </c>
      <c r="G1410">
        <f t="shared" si="148"/>
        <v>-3.1007277451229336</v>
      </c>
      <c r="H1410">
        <f t="shared" si="149"/>
        <v>0.87755480850537892</v>
      </c>
      <c r="I1410">
        <f t="shared" si="150"/>
        <v>-0.22010590183083439</v>
      </c>
      <c r="J1410">
        <f t="shared" si="151"/>
        <v>-2.1891021338169616</v>
      </c>
      <c r="K1410">
        <f t="shared" si="152"/>
        <v>-3.1111721895673781</v>
      </c>
      <c r="L1410">
        <f t="shared" si="153"/>
        <v>-0.23055034627527884</v>
      </c>
    </row>
    <row r="1411" spans="1:12" x14ac:dyDescent="0.25">
      <c r="A1411" s="1">
        <v>42258</v>
      </c>
      <c r="B1411" s="6">
        <v>108.18859999999999</v>
      </c>
      <c r="C1411" s="6">
        <v>9.7825000000000006</v>
      </c>
      <c r="D1411" s="6">
        <v>8305.82</v>
      </c>
      <c r="E1411" s="6">
        <v>0.94</v>
      </c>
      <c r="F1411" s="6">
        <f t="shared" ref="F1411:F1474" si="154">E1411/90</f>
        <v>1.0444444444444444E-2</v>
      </c>
      <c r="G1411">
        <f t="shared" si="148"/>
        <v>1.9999566313086039</v>
      </c>
      <c r="H1411">
        <f t="shared" si="149"/>
        <v>0</v>
      </c>
      <c r="I1411">
        <f t="shared" si="150"/>
        <v>0.44916480018575416</v>
      </c>
      <c r="J1411">
        <f t="shared" si="151"/>
        <v>1.3998728158227709</v>
      </c>
      <c r="K1411">
        <f t="shared" si="152"/>
        <v>1.9895121868641594</v>
      </c>
      <c r="L1411">
        <f t="shared" si="153"/>
        <v>0.43872035574130974</v>
      </c>
    </row>
    <row r="1412" spans="1:12" x14ac:dyDescent="0.25">
      <c r="A1412" s="1">
        <v>42261</v>
      </c>
      <c r="B1412" s="6">
        <v>108.18859999999999</v>
      </c>
      <c r="C1412" s="6">
        <v>9.7825000000000006</v>
      </c>
      <c r="D1412" s="6">
        <v>8307.2900000000009</v>
      </c>
      <c r="E1412" s="6">
        <v>0.94</v>
      </c>
      <c r="F1412" s="6">
        <f t="shared" si="154"/>
        <v>1.0444444444444444E-2</v>
      </c>
      <c r="G1412">
        <f t="shared" ref="G1412:G1475" si="155">100*(B1412-B1411)/B1411</f>
        <v>0</v>
      </c>
      <c r="H1412">
        <f t="shared" ref="H1412:H1475" si="156">100*(C1412-C1411)/C1411</f>
        <v>0</v>
      </c>
      <c r="I1412">
        <f t="shared" ref="I1412:I1475" si="157">100*(D1412-D1411)/D1411</f>
        <v>1.7698433146891748E-2</v>
      </c>
      <c r="J1412">
        <f t="shared" ref="J1412:J1475" si="158">(G1412-F1412)/$N$3</f>
        <v>-7.3489843141871791E-3</v>
      </c>
      <c r="K1412">
        <f t="shared" ref="K1412:K1475" si="159">G1412-F1412</f>
        <v>-1.0444444444444444E-2</v>
      </c>
      <c r="L1412">
        <f t="shared" ref="L1412:L1475" si="160">I1412-F1412</f>
        <v>7.2539887024473046E-3</v>
      </c>
    </row>
    <row r="1413" spans="1:12" x14ac:dyDescent="0.25">
      <c r="A1413" s="1">
        <v>42262</v>
      </c>
      <c r="B1413" s="6">
        <v>106.9158</v>
      </c>
      <c r="C1413" s="6">
        <v>9.74</v>
      </c>
      <c r="D1413" s="6">
        <v>8259.99</v>
      </c>
      <c r="E1413" s="6">
        <v>0.94</v>
      </c>
      <c r="F1413" s="6">
        <f t="shared" si="154"/>
        <v>1.0444444444444444E-2</v>
      </c>
      <c r="G1413">
        <f t="shared" si="155"/>
        <v>-1.1764640636813763</v>
      </c>
      <c r="H1413">
        <f t="shared" si="156"/>
        <v>-0.43444927165857833</v>
      </c>
      <c r="I1413">
        <f t="shared" si="157"/>
        <v>-0.5693794245777033</v>
      </c>
      <c r="J1413">
        <f t="shared" si="158"/>
        <v>-0.83513987316306038</v>
      </c>
      <c r="K1413">
        <f t="shared" si="159"/>
        <v>-1.1869085081258208</v>
      </c>
      <c r="L1413">
        <f t="shared" si="160"/>
        <v>-0.57982386902214778</v>
      </c>
    </row>
    <row r="1414" spans="1:12" x14ac:dyDescent="0.25">
      <c r="A1414" s="1">
        <v>42263</v>
      </c>
      <c r="B1414" s="6">
        <v>109.8857</v>
      </c>
      <c r="C1414" s="6">
        <v>9.6974</v>
      </c>
      <c r="D1414" s="6">
        <v>8333.2900000000009</v>
      </c>
      <c r="E1414" s="6">
        <v>0.94</v>
      </c>
      <c r="F1414" s="6">
        <f t="shared" si="154"/>
        <v>1.0444444444444444E-2</v>
      </c>
      <c r="G1414">
        <f t="shared" si="155"/>
        <v>2.7777933663686709</v>
      </c>
      <c r="H1414">
        <f t="shared" si="156"/>
        <v>-0.43737166324435517</v>
      </c>
      <c r="I1414">
        <f t="shared" si="157"/>
        <v>0.88741027531511651</v>
      </c>
      <c r="J1414">
        <f t="shared" si="158"/>
        <v>1.9471790890631435</v>
      </c>
      <c r="K1414">
        <f t="shared" si="159"/>
        <v>2.7673489219242264</v>
      </c>
      <c r="L1414">
        <f t="shared" si="160"/>
        <v>0.87696583087067204</v>
      </c>
    </row>
    <row r="1415" spans="1:12" x14ac:dyDescent="0.25">
      <c r="A1415" s="1">
        <v>42264</v>
      </c>
      <c r="B1415" s="6">
        <v>111.1585</v>
      </c>
      <c r="C1415" s="6">
        <v>9.8249999999999993</v>
      </c>
      <c r="D1415" s="6">
        <v>8445.5</v>
      </c>
      <c r="E1415" s="6">
        <v>0.94</v>
      </c>
      <c r="F1415" s="6">
        <f t="shared" si="154"/>
        <v>1.0444444444444444E-2</v>
      </c>
      <c r="G1415">
        <f t="shared" si="155"/>
        <v>1.1582944823575805</v>
      </c>
      <c r="H1415">
        <f t="shared" si="156"/>
        <v>1.3158166106378955</v>
      </c>
      <c r="I1415">
        <f t="shared" si="157"/>
        <v>1.3465270019403994</v>
      </c>
      <c r="J1415">
        <f t="shared" si="158"/>
        <v>0.80765731184005496</v>
      </c>
      <c r="K1415">
        <f t="shared" si="159"/>
        <v>1.147850037913136</v>
      </c>
      <c r="L1415">
        <f t="shared" si="160"/>
        <v>1.3360825574959549</v>
      </c>
    </row>
    <row r="1416" spans="1:12" x14ac:dyDescent="0.25">
      <c r="A1416" s="1">
        <v>42265</v>
      </c>
      <c r="B1416" s="6">
        <v>111.5827</v>
      </c>
      <c r="C1416" s="6">
        <v>9.8675999999999995</v>
      </c>
      <c r="D1416" s="6">
        <v>8462.14</v>
      </c>
      <c r="E1416" s="6">
        <v>0.94</v>
      </c>
      <c r="F1416" s="6">
        <f t="shared" si="154"/>
        <v>1.0444444444444444E-2</v>
      </c>
      <c r="G1416">
        <f t="shared" si="155"/>
        <v>0.38161724024703375</v>
      </c>
      <c r="H1416">
        <f t="shared" si="156"/>
        <v>0.43358778625954397</v>
      </c>
      <c r="I1416">
        <f t="shared" si="157"/>
        <v>0.19702800307855567</v>
      </c>
      <c r="J1416">
        <f t="shared" si="158"/>
        <v>0.26116688816868161</v>
      </c>
      <c r="K1416">
        <f t="shared" si="159"/>
        <v>0.37117279580258933</v>
      </c>
      <c r="L1416">
        <f t="shared" si="160"/>
        <v>0.18658355863411122</v>
      </c>
    </row>
    <row r="1417" spans="1:12" x14ac:dyDescent="0.25">
      <c r="A1417" s="1">
        <v>42268</v>
      </c>
      <c r="B1417" s="6">
        <v>109.8857</v>
      </c>
      <c r="C1417" s="6">
        <v>9.5273000000000003</v>
      </c>
      <c r="D1417" s="6">
        <v>8307.0400000000009</v>
      </c>
      <c r="E1417" s="6">
        <v>0.94</v>
      </c>
      <c r="F1417" s="6">
        <f t="shared" si="154"/>
        <v>1.0444444444444444E-2</v>
      </c>
      <c r="G1417">
        <f t="shared" si="155"/>
        <v>-1.5208450772386783</v>
      </c>
      <c r="H1417">
        <f t="shared" si="156"/>
        <v>-3.4486602618671123</v>
      </c>
      <c r="I1417">
        <f t="shared" si="157"/>
        <v>-1.8328696996267912</v>
      </c>
      <c r="J1417">
        <f t="shared" si="158"/>
        <v>-1.0774553625314482</v>
      </c>
      <c r="K1417">
        <f t="shared" si="159"/>
        <v>-1.5312895216831228</v>
      </c>
      <c r="L1417">
        <f t="shared" si="160"/>
        <v>-1.8433141440712357</v>
      </c>
    </row>
    <row r="1418" spans="1:12" x14ac:dyDescent="0.25">
      <c r="A1418" s="1">
        <v>42269</v>
      </c>
      <c r="B1418" s="6">
        <v>109.4614</v>
      </c>
      <c r="C1418" s="6">
        <v>9.6123999999999992</v>
      </c>
      <c r="D1418" s="6">
        <v>8365.92</v>
      </c>
      <c r="E1418" s="6">
        <v>0.94</v>
      </c>
      <c r="F1418" s="6">
        <f t="shared" si="154"/>
        <v>1.0444444444444444E-2</v>
      </c>
      <c r="G1418">
        <f t="shared" si="155"/>
        <v>-0.38612849533651999</v>
      </c>
      <c r="H1418">
        <f t="shared" si="156"/>
        <v>0.89322263390466172</v>
      </c>
      <c r="I1418">
        <f t="shared" si="157"/>
        <v>0.70879639438354924</v>
      </c>
      <c r="J1418">
        <f t="shared" si="158"/>
        <v>-0.27903909388226211</v>
      </c>
      <c r="K1418">
        <f t="shared" si="159"/>
        <v>-0.39657293978096442</v>
      </c>
      <c r="L1418">
        <f t="shared" si="160"/>
        <v>0.69835194993910477</v>
      </c>
    </row>
    <row r="1419" spans="1:12" x14ac:dyDescent="0.25">
      <c r="A1419" s="1">
        <v>42270</v>
      </c>
      <c r="B1419" s="6">
        <v>105.643</v>
      </c>
      <c r="C1419" s="6">
        <v>9.3146000000000004</v>
      </c>
      <c r="D1419" s="6">
        <v>8193.42</v>
      </c>
      <c r="E1419" s="6">
        <v>0.94</v>
      </c>
      <c r="F1419" s="6">
        <f t="shared" si="154"/>
        <v>1.0444444444444444E-2</v>
      </c>
      <c r="G1419">
        <f t="shared" si="155"/>
        <v>-3.4883529719152113</v>
      </c>
      <c r="H1419">
        <f t="shared" si="156"/>
        <v>-3.0980816445424533</v>
      </c>
      <c r="I1419">
        <f t="shared" si="157"/>
        <v>-2.0619370015491421</v>
      </c>
      <c r="J1419">
        <f t="shared" si="158"/>
        <v>-2.4618453827884221</v>
      </c>
      <c r="K1419">
        <f t="shared" si="159"/>
        <v>-3.4987974163596558</v>
      </c>
      <c r="L1419">
        <f t="shared" si="160"/>
        <v>-2.0723814459935865</v>
      </c>
    </row>
    <row r="1420" spans="1:12" x14ac:dyDescent="0.25">
      <c r="A1420" s="1">
        <v>42271</v>
      </c>
      <c r="B1420" s="6">
        <v>107.76430000000001</v>
      </c>
      <c r="C1420" s="6">
        <v>9.1869999999999994</v>
      </c>
      <c r="D1420" s="6">
        <v>8123.1</v>
      </c>
      <c r="E1420" s="6">
        <v>0.94</v>
      </c>
      <c r="F1420" s="6">
        <f t="shared" si="154"/>
        <v>1.0444444444444444E-2</v>
      </c>
      <c r="G1420">
        <f t="shared" si="155"/>
        <v>2.0079891710761766</v>
      </c>
      <c r="H1420">
        <f t="shared" si="156"/>
        <v>-1.3698924269426604</v>
      </c>
      <c r="I1420">
        <f t="shared" si="157"/>
        <v>-0.85824966863653651</v>
      </c>
      <c r="J1420">
        <f t="shared" si="158"/>
        <v>1.4055247209163324</v>
      </c>
      <c r="K1420">
        <f t="shared" si="159"/>
        <v>1.9975447266317321</v>
      </c>
      <c r="L1420">
        <f t="shared" si="160"/>
        <v>-0.86869411308098099</v>
      </c>
    </row>
    <row r="1421" spans="1:12" x14ac:dyDescent="0.25">
      <c r="A1421" s="1">
        <v>42272</v>
      </c>
      <c r="B1421" s="6">
        <v>107.76430000000001</v>
      </c>
      <c r="C1421" s="6">
        <v>9.3146000000000004</v>
      </c>
      <c r="D1421" s="6">
        <v>8132.35</v>
      </c>
      <c r="E1421" s="6">
        <v>0.94</v>
      </c>
      <c r="F1421" s="6">
        <f t="shared" si="154"/>
        <v>1.0444444444444444E-2</v>
      </c>
      <c r="G1421">
        <f t="shared" si="155"/>
        <v>0</v>
      </c>
      <c r="H1421">
        <f t="shared" si="156"/>
        <v>1.3889191248503434</v>
      </c>
      <c r="I1421">
        <f t="shared" si="157"/>
        <v>0.11387278255838287</v>
      </c>
      <c r="J1421">
        <f t="shared" si="158"/>
        <v>-7.3489843141871791E-3</v>
      </c>
      <c r="K1421">
        <f t="shared" si="159"/>
        <v>-1.0444444444444444E-2</v>
      </c>
      <c r="L1421">
        <f t="shared" si="160"/>
        <v>0.10342833811393842</v>
      </c>
    </row>
    <row r="1422" spans="1:12" x14ac:dyDescent="0.25">
      <c r="A1422" s="1">
        <v>42277</v>
      </c>
      <c r="B1422" s="6">
        <v>110.3099</v>
      </c>
      <c r="C1422" s="6">
        <v>9.1869999999999994</v>
      </c>
      <c r="D1422" s="6">
        <v>8181.24</v>
      </c>
      <c r="E1422" s="6">
        <v>0.94</v>
      </c>
      <c r="F1422" s="6">
        <f t="shared" si="154"/>
        <v>1.0444444444444444E-2</v>
      </c>
      <c r="G1422">
        <f t="shared" si="155"/>
        <v>2.3621923030168555</v>
      </c>
      <c r="H1422">
        <f t="shared" si="156"/>
        <v>-1.3698924269426604</v>
      </c>
      <c r="I1422">
        <f t="shared" si="157"/>
        <v>0.6011792409328105</v>
      </c>
      <c r="J1422">
        <f t="shared" si="158"/>
        <v>1.6547513097036961</v>
      </c>
      <c r="K1422">
        <f t="shared" si="159"/>
        <v>2.351747858572411</v>
      </c>
      <c r="L1422">
        <f t="shared" si="160"/>
        <v>0.59073479648836602</v>
      </c>
    </row>
    <row r="1423" spans="1:12" x14ac:dyDescent="0.25">
      <c r="A1423" s="1">
        <v>42278</v>
      </c>
      <c r="B1423" s="6">
        <v>113.27979999999999</v>
      </c>
      <c r="C1423" s="6">
        <v>9.2721</v>
      </c>
      <c r="D1423" s="6">
        <v>8295.94</v>
      </c>
      <c r="E1423" s="6">
        <v>0.94</v>
      </c>
      <c r="F1423" s="6">
        <f t="shared" si="154"/>
        <v>1.0444444444444444E-2</v>
      </c>
      <c r="G1423">
        <f t="shared" si="155"/>
        <v>2.6923240797063506</v>
      </c>
      <c r="H1423">
        <f t="shared" si="156"/>
        <v>0.92630891477087873</v>
      </c>
      <c r="I1423">
        <f t="shared" si="157"/>
        <v>1.401987962704929</v>
      </c>
      <c r="J1423">
        <f t="shared" si="158"/>
        <v>1.8870406632840431</v>
      </c>
      <c r="K1423">
        <f t="shared" si="159"/>
        <v>2.6818796352619061</v>
      </c>
      <c r="L1423">
        <f t="shared" si="160"/>
        <v>1.3915435182604845</v>
      </c>
    </row>
    <row r="1424" spans="1:12" x14ac:dyDescent="0.25">
      <c r="A1424" s="1">
        <v>42279</v>
      </c>
      <c r="B1424" s="6">
        <v>112.00700000000001</v>
      </c>
      <c r="C1424" s="6">
        <v>9.3146000000000004</v>
      </c>
      <c r="D1424" s="6">
        <v>8305.0300000000007</v>
      </c>
      <c r="E1424" s="6">
        <v>0.94</v>
      </c>
      <c r="F1424" s="6">
        <f t="shared" si="154"/>
        <v>1.0444444444444444E-2</v>
      </c>
      <c r="G1424">
        <f t="shared" si="155"/>
        <v>-1.1235895543600798</v>
      </c>
      <c r="H1424">
        <f t="shared" si="156"/>
        <v>0.45836434033283102</v>
      </c>
      <c r="I1424">
        <f t="shared" si="157"/>
        <v>0.10957166999761504</v>
      </c>
      <c r="J1424">
        <f t="shared" si="158"/>
        <v>-0.79793598532685861</v>
      </c>
      <c r="K1424">
        <f t="shared" si="159"/>
        <v>-1.1340339988045243</v>
      </c>
      <c r="L1424">
        <f t="shared" si="160"/>
        <v>9.9127225553170606E-2</v>
      </c>
    </row>
    <row r="1425" spans="1:12" x14ac:dyDescent="0.25">
      <c r="A1425" s="1">
        <v>42282</v>
      </c>
      <c r="B1425" s="6">
        <v>112.43129999999999</v>
      </c>
      <c r="C1425" s="6">
        <v>9.4847999999999999</v>
      </c>
      <c r="D1425" s="6">
        <v>8352.36</v>
      </c>
      <c r="E1425" s="6">
        <v>0.94</v>
      </c>
      <c r="F1425" s="6">
        <f t="shared" si="154"/>
        <v>1.0444444444444444E-2</v>
      </c>
      <c r="G1425">
        <f t="shared" si="155"/>
        <v>0.37881560973866646</v>
      </c>
      <c r="H1425">
        <f t="shared" si="156"/>
        <v>1.8272389581946562</v>
      </c>
      <c r="I1425">
        <f t="shared" si="157"/>
        <v>0.56989559339340046</v>
      </c>
      <c r="J1425">
        <f t="shared" si="158"/>
        <v>0.25919558765866824</v>
      </c>
      <c r="K1425">
        <f t="shared" si="159"/>
        <v>0.36837116529422204</v>
      </c>
      <c r="L1425">
        <f t="shared" si="160"/>
        <v>0.55945114894895598</v>
      </c>
    </row>
    <row r="1426" spans="1:12" x14ac:dyDescent="0.25">
      <c r="A1426" s="1">
        <v>42283</v>
      </c>
      <c r="B1426" s="6">
        <v>112.8556</v>
      </c>
      <c r="C1426" s="6">
        <v>9.5698000000000008</v>
      </c>
      <c r="D1426" s="6">
        <v>8394.1</v>
      </c>
      <c r="E1426" s="6">
        <v>0.94</v>
      </c>
      <c r="F1426" s="6">
        <f t="shared" si="154"/>
        <v>1.0444444444444444E-2</v>
      </c>
      <c r="G1426">
        <f t="shared" si="155"/>
        <v>0.37738601261392724</v>
      </c>
      <c r="H1426">
        <f t="shared" si="156"/>
        <v>0.89617071524967162</v>
      </c>
      <c r="I1426">
        <f t="shared" si="157"/>
        <v>0.49973899592450255</v>
      </c>
      <c r="J1426">
        <f t="shared" si="158"/>
        <v>0.25818968572666995</v>
      </c>
      <c r="K1426">
        <f t="shared" si="159"/>
        <v>0.36694156816948281</v>
      </c>
      <c r="L1426">
        <f t="shared" si="160"/>
        <v>0.48929455148005813</v>
      </c>
    </row>
    <row r="1427" spans="1:12" x14ac:dyDescent="0.25">
      <c r="A1427" s="1">
        <v>42284</v>
      </c>
      <c r="B1427" s="6">
        <v>114.5526</v>
      </c>
      <c r="C1427" s="6">
        <v>9.6123999999999992</v>
      </c>
      <c r="D1427" s="6">
        <v>8495.23</v>
      </c>
      <c r="E1427" s="6">
        <v>0.94</v>
      </c>
      <c r="F1427" s="6">
        <f t="shared" si="154"/>
        <v>1.0444444444444444E-2</v>
      </c>
      <c r="G1427">
        <f t="shared" si="155"/>
        <v>1.5036914428703607</v>
      </c>
      <c r="H1427">
        <f t="shared" si="156"/>
        <v>0.44515036886871628</v>
      </c>
      <c r="I1427">
        <f t="shared" si="157"/>
        <v>1.2047747822875496</v>
      </c>
      <c r="J1427">
        <f t="shared" si="158"/>
        <v>1.0506876480611949</v>
      </c>
      <c r="K1427">
        <f t="shared" si="159"/>
        <v>1.4932469984259162</v>
      </c>
      <c r="L1427">
        <f t="shared" si="160"/>
        <v>1.1943303378431052</v>
      </c>
    </row>
    <row r="1428" spans="1:12" x14ac:dyDescent="0.25">
      <c r="A1428" s="1">
        <v>42285</v>
      </c>
      <c r="B1428" s="6">
        <v>115.4012</v>
      </c>
      <c r="C1428" s="6">
        <v>9.5698000000000008</v>
      </c>
      <c r="D1428" s="6">
        <v>8445.9599999999991</v>
      </c>
      <c r="E1428" s="6">
        <v>0.94</v>
      </c>
      <c r="F1428" s="6">
        <f t="shared" si="154"/>
        <v>1.0444444444444444E-2</v>
      </c>
      <c r="G1428">
        <f t="shared" si="155"/>
        <v>0.74079505834001558</v>
      </c>
      <c r="H1428">
        <f t="shared" si="156"/>
        <v>-0.44317756231532623</v>
      </c>
      <c r="I1428">
        <f t="shared" si="157"/>
        <v>-0.57997252575857794</v>
      </c>
      <c r="J1428">
        <f t="shared" si="158"/>
        <v>0.51389379625935916</v>
      </c>
      <c r="K1428">
        <f t="shared" si="159"/>
        <v>0.7303506138955711</v>
      </c>
      <c r="L1428">
        <f t="shared" si="160"/>
        <v>-0.59041697020302242</v>
      </c>
    </row>
    <row r="1429" spans="1:12" x14ac:dyDescent="0.25">
      <c r="A1429" s="1">
        <v>42289</v>
      </c>
      <c r="B1429" s="6">
        <v>117.52249999999999</v>
      </c>
      <c r="C1429" s="6">
        <v>9.6974</v>
      </c>
      <c r="D1429" s="6">
        <v>8573.7199999999993</v>
      </c>
      <c r="E1429" s="6">
        <v>0.94</v>
      </c>
      <c r="F1429" s="6">
        <f t="shared" si="154"/>
        <v>1.0444444444444444E-2</v>
      </c>
      <c r="G1429">
        <f t="shared" si="155"/>
        <v>1.8381957899917771</v>
      </c>
      <c r="H1429">
        <f t="shared" si="156"/>
        <v>1.3333611987711265</v>
      </c>
      <c r="I1429">
        <f t="shared" si="157"/>
        <v>1.5126758829073337</v>
      </c>
      <c r="J1429">
        <f t="shared" si="158"/>
        <v>1.2860536565740077</v>
      </c>
      <c r="K1429">
        <f t="shared" si="159"/>
        <v>1.8277513455473327</v>
      </c>
      <c r="L1429">
        <f t="shared" si="160"/>
        <v>1.5022314384628892</v>
      </c>
    </row>
    <row r="1430" spans="1:12" x14ac:dyDescent="0.25">
      <c r="A1430" s="1">
        <v>42290</v>
      </c>
      <c r="B1430" s="6">
        <v>116.67400000000001</v>
      </c>
      <c r="C1430" s="6">
        <v>9.74</v>
      </c>
      <c r="D1430" s="6">
        <v>8567.92</v>
      </c>
      <c r="E1430" s="6">
        <v>0.94</v>
      </c>
      <c r="F1430" s="6">
        <f t="shared" si="154"/>
        <v>1.0444444444444444E-2</v>
      </c>
      <c r="G1430">
        <f t="shared" si="155"/>
        <v>-0.72198940628389219</v>
      </c>
      <c r="H1430">
        <f t="shared" si="156"/>
        <v>0.43929300637284419</v>
      </c>
      <c r="I1430">
        <f t="shared" si="157"/>
        <v>-6.7648581945751352E-2</v>
      </c>
      <c r="J1430">
        <f t="shared" si="158"/>
        <v>-0.51535961618766324</v>
      </c>
      <c r="K1430">
        <f t="shared" si="159"/>
        <v>-0.73243385072833667</v>
      </c>
      <c r="L1430">
        <f t="shared" si="160"/>
        <v>-7.8093026390195802E-2</v>
      </c>
    </row>
    <row r="1431" spans="1:12" x14ac:dyDescent="0.25">
      <c r="A1431" s="1">
        <v>42291</v>
      </c>
      <c r="B1431" s="6">
        <v>115.8254</v>
      </c>
      <c r="C1431" s="6">
        <v>10.1228</v>
      </c>
      <c r="D1431" s="6">
        <v>8522.51</v>
      </c>
      <c r="E1431" s="6">
        <v>0.94</v>
      </c>
      <c r="F1431" s="6">
        <f t="shared" si="154"/>
        <v>1.0444444444444444E-2</v>
      </c>
      <c r="G1431">
        <f t="shared" si="155"/>
        <v>-0.7273257109553154</v>
      </c>
      <c r="H1431">
        <f t="shared" si="156"/>
        <v>3.9301848049281269</v>
      </c>
      <c r="I1431">
        <f t="shared" si="157"/>
        <v>-0.53000028011465861</v>
      </c>
      <c r="J1431">
        <f t="shared" si="158"/>
        <v>-0.51911437974015384</v>
      </c>
      <c r="K1431">
        <f t="shared" si="159"/>
        <v>-0.73777015539975987</v>
      </c>
      <c r="L1431">
        <f t="shared" si="160"/>
        <v>-0.54044472455910308</v>
      </c>
    </row>
    <row r="1432" spans="1:12" x14ac:dyDescent="0.25">
      <c r="A1432" s="1">
        <v>42292</v>
      </c>
      <c r="B1432" s="6">
        <v>118.7953</v>
      </c>
      <c r="C1432" s="6">
        <v>10.462999999999999</v>
      </c>
      <c r="D1432" s="6">
        <v>8601.52</v>
      </c>
      <c r="E1432" s="6">
        <v>0.94</v>
      </c>
      <c r="F1432" s="6">
        <f t="shared" si="154"/>
        <v>1.0444444444444444E-2</v>
      </c>
      <c r="G1432">
        <f t="shared" si="155"/>
        <v>2.5641180604599643</v>
      </c>
      <c r="H1432">
        <f t="shared" si="156"/>
        <v>3.3607302327419233</v>
      </c>
      <c r="I1432">
        <f t="shared" si="157"/>
        <v>0.9270743008808463</v>
      </c>
      <c r="J1432">
        <f t="shared" si="158"/>
        <v>1.7968315545623978</v>
      </c>
      <c r="K1432">
        <f t="shared" si="159"/>
        <v>2.5536736160155198</v>
      </c>
      <c r="L1432">
        <f t="shared" si="160"/>
        <v>0.91662985643640182</v>
      </c>
    </row>
    <row r="1433" spans="1:12" x14ac:dyDescent="0.25">
      <c r="A1433" s="1">
        <v>42293</v>
      </c>
      <c r="B1433" s="6">
        <v>116.67400000000001</v>
      </c>
      <c r="C1433" s="6">
        <v>10.3354</v>
      </c>
      <c r="D1433" s="6">
        <v>8604.9500000000007</v>
      </c>
      <c r="E1433" s="6">
        <v>0.94</v>
      </c>
      <c r="F1433" s="6">
        <f t="shared" si="154"/>
        <v>1.0444444444444444E-2</v>
      </c>
      <c r="G1433">
        <f t="shared" si="155"/>
        <v>-1.785676706064963</v>
      </c>
      <c r="H1433">
        <f t="shared" si="156"/>
        <v>-1.2195355060689981</v>
      </c>
      <c r="I1433">
        <f t="shared" si="157"/>
        <v>3.9876672960131358E-2</v>
      </c>
      <c r="J1433">
        <f t="shared" si="158"/>
        <v>-1.2637978239708638</v>
      </c>
      <c r="K1433">
        <f t="shared" si="159"/>
        <v>-1.7961211505094075</v>
      </c>
      <c r="L1433">
        <f t="shared" si="160"/>
        <v>2.9432228515686915E-2</v>
      </c>
    </row>
    <row r="1434" spans="1:12" x14ac:dyDescent="0.25">
      <c r="A1434" s="1">
        <v>42296</v>
      </c>
      <c r="B1434" s="6">
        <v>117.09820000000001</v>
      </c>
      <c r="C1434" s="6">
        <v>10.505599999999999</v>
      </c>
      <c r="D1434" s="6">
        <v>8631.5</v>
      </c>
      <c r="E1434" s="6">
        <v>0.94</v>
      </c>
      <c r="F1434" s="6">
        <f t="shared" si="154"/>
        <v>1.0444444444444444E-2</v>
      </c>
      <c r="G1434">
        <f t="shared" si="155"/>
        <v>0.36357714657935702</v>
      </c>
      <c r="H1434">
        <f t="shared" si="156"/>
        <v>1.6467674207094014</v>
      </c>
      <c r="I1434">
        <f t="shared" si="157"/>
        <v>0.30854333842729209</v>
      </c>
      <c r="J1434">
        <f t="shared" si="158"/>
        <v>0.2484734063760006</v>
      </c>
      <c r="K1434">
        <f t="shared" si="159"/>
        <v>0.3531327021349126</v>
      </c>
      <c r="L1434">
        <f t="shared" si="160"/>
        <v>0.29809889398284767</v>
      </c>
    </row>
    <row r="1435" spans="1:12" x14ac:dyDescent="0.25">
      <c r="A1435" s="1">
        <v>42297</v>
      </c>
      <c r="B1435" s="6">
        <v>117.9468</v>
      </c>
      <c r="C1435" s="6">
        <v>10.420500000000001</v>
      </c>
      <c r="D1435" s="6">
        <v>8653.6</v>
      </c>
      <c r="E1435" s="6">
        <v>0.94</v>
      </c>
      <c r="F1435" s="6">
        <f t="shared" si="154"/>
        <v>1.0444444444444444E-2</v>
      </c>
      <c r="G1435">
        <f t="shared" si="155"/>
        <v>0.72469090045789808</v>
      </c>
      <c r="H1435">
        <f t="shared" si="156"/>
        <v>-0.81004416692048853</v>
      </c>
      <c r="I1435">
        <f t="shared" si="157"/>
        <v>0.25603892718531385</v>
      </c>
      <c r="J1435">
        <f t="shared" si="158"/>
        <v>0.50256248952510518</v>
      </c>
      <c r="K1435">
        <f t="shared" si="159"/>
        <v>0.7142464560134536</v>
      </c>
      <c r="L1435">
        <f t="shared" si="160"/>
        <v>0.2455944827408694</v>
      </c>
    </row>
    <row r="1436" spans="1:12" x14ac:dyDescent="0.25">
      <c r="A1436" s="1">
        <v>42298</v>
      </c>
      <c r="B1436" s="6">
        <v>117.52249999999999</v>
      </c>
      <c r="C1436" s="6">
        <v>10.250400000000001</v>
      </c>
      <c r="D1436" s="6">
        <v>8609.23</v>
      </c>
      <c r="E1436" s="6">
        <v>0.94</v>
      </c>
      <c r="F1436" s="6">
        <f t="shared" si="154"/>
        <v>1.0444444444444444E-2</v>
      </c>
      <c r="G1436">
        <f t="shared" si="155"/>
        <v>-0.35973845835580309</v>
      </c>
      <c r="H1436">
        <f t="shared" si="156"/>
        <v>-1.6323592917806218</v>
      </c>
      <c r="I1436">
        <f t="shared" si="157"/>
        <v>-0.51273458445041142</v>
      </c>
      <c r="J1436">
        <f t="shared" si="158"/>
        <v>-0.26047037355886882</v>
      </c>
      <c r="K1436">
        <f t="shared" si="159"/>
        <v>-0.37018290280024752</v>
      </c>
      <c r="L1436">
        <f t="shared" si="160"/>
        <v>-0.5231790288948559</v>
      </c>
    </row>
    <row r="1437" spans="1:12" x14ac:dyDescent="0.25">
      <c r="A1437" s="1">
        <v>42299</v>
      </c>
      <c r="B1437" s="6">
        <v>116.67400000000001</v>
      </c>
      <c r="C1437" s="6">
        <v>10.3354</v>
      </c>
      <c r="D1437" s="6">
        <v>8608.4599999999991</v>
      </c>
      <c r="E1437" s="6">
        <v>0.87</v>
      </c>
      <c r="F1437" s="6">
        <f t="shared" si="154"/>
        <v>9.6666666666666672E-3</v>
      </c>
      <c r="G1437">
        <f t="shared" si="155"/>
        <v>-0.72198940628389219</v>
      </c>
      <c r="H1437">
        <f t="shared" si="156"/>
        <v>0.82923593225629311</v>
      </c>
      <c r="I1437">
        <f t="shared" si="157"/>
        <v>-8.943889290917266E-3</v>
      </c>
      <c r="J1437">
        <f t="shared" si="158"/>
        <v>-0.51481235139830883</v>
      </c>
      <c r="K1437">
        <f t="shared" si="159"/>
        <v>-0.7316560729505589</v>
      </c>
      <c r="L1437">
        <f t="shared" si="160"/>
        <v>-1.8610555957583933E-2</v>
      </c>
    </row>
    <row r="1438" spans="1:12" x14ac:dyDescent="0.25">
      <c r="A1438" s="1">
        <v>42300</v>
      </c>
      <c r="B1438" s="6">
        <v>118.7953</v>
      </c>
      <c r="C1438" s="6">
        <v>10.505599999999999</v>
      </c>
      <c r="D1438" s="6">
        <v>8673.81</v>
      </c>
      <c r="E1438" s="6">
        <v>0.87</v>
      </c>
      <c r="F1438" s="6">
        <f t="shared" si="154"/>
        <v>9.6666666666666672E-3</v>
      </c>
      <c r="G1438">
        <f t="shared" si="155"/>
        <v>1.8181428595916749</v>
      </c>
      <c r="H1438">
        <f t="shared" si="156"/>
        <v>1.6467674207094014</v>
      </c>
      <c r="I1438">
        <f t="shared" si="157"/>
        <v>0.75913694203144777</v>
      </c>
      <c r="J1438">
        <f t="shared" si="158"/>
        <v>1.272491154994484</v>
      </c>
      <c r="K1438">
        <f t="shared" si="159"/>
        <v>1.8084761929250082</v>
      </c>
      <c r="L1438">
        <f t="shared" si="160"/>
        <v>0.74947027536478106</v>
      </c>
    </row>
    <row r="1439" spans="1:12" x14ac:dyDescent="0.25">
      <c r="A1439" s="1">
        <v>42303</v>
      </c>
      <c r="B1439" s="6">
        <v>118.7953</v>
      </c>
      <c r="C1439" s="6">
        <v>10.5906</v>
      </c>
      <c r="D1439" s="6">
        <v>8745.36</v>
      </c>
      <c r="E1439" s="6">
        <v>0.87</v>
      </c>
      <c r="F1439" s="6">
        <f t="shared" si="154"/>
        <v>9.6666666666666672E-3</v>
      </c>
      <c r="G1439">
        <f t="shared" si="155"/>
        <v>0</v>
      </c>
      <c r="H1439">
        <f t="shared" si="156"/>
        <v>0.80909229363387958</v>
      </c>
      <c r="I1439">
        <f t="shared" si="157"/>
        <v>0.8248970175736049</v>
      </c>
      <c r="J1439">
        <f t="shared" si="158"/>
        <v>-6.8017195248328156E-3</v>
      </c>
      <c r="K1439">
        <f t="shared" si="159"/>
        <v>-9.6666666666666672E-3</v>
      </c>
      <c r="L1439">
        <f t="shared" si="160"/>
        <v>0.81523035090693818</v>
      </c>
    </row>
    <row r="1440" spans="1:12" x14ac:dyDescent="0.25">
      <c r="A1440" s="1">
        <v>42304</v>
      </c>
      <c r="B1440" s="6">
        <v>117.9468</v>
      </c>
      <c r="C1440" s="6">
        <v>10.633100000000001</v>
      </c>
      <c r="D1440" s="6">
        <v>8701.32</v>
      </c>
      <c r="E1440" s="6">
        <v>0.87</v>
      </c>
      <c r="F1440" s="6">
        <f t="shared" si="154"/>
        <v>9.6666666666666672E-3</v>
      </c>
      <c r="G1440">
        <f t="shared" si="155"/>
        <v>-0.71425384674309622</v>
      </c>
      <c r="H1440">
        <f t="shared" si="156"/>
        <v>0.40129926538628996</v>
      </c>
      <c r="I1440">
        <f t="shared" si="157"/>
        <v>-0.50358132769835517</v>
      </c>
      <c r="J1440">
        <f t="shared" si="158"/>
        <v>-0.50936940936063935</v>
      </c>
      <c r="K1440">
        <f t="shared" si="159"/>
        <v>-0.72392051340976293</v>
      </c>
      <c r="L1440">
        <f t="shared" si="160"/>
        <v>-0.51324799436502189</v>
      </c>
    </row>
    <row r="1441" spans="1:12" x14ac:dyDescent="0.25">
      <c r="A1441" s="1">
        <v>42305</v>
      </c>
      <c r="B1441" s="6">
        <v>117.09820000000001</v>
      </c>
      <c r="C1441" s="6">
        <v>10.292899999999999</v>
      </c>
      <c r="D1441" s="6">
        <v>8665.99</v>
      </c>
      <c r="E1441" s="6">
        <v>0.87</v>
      </c>
      <c r="F1441" s="6">
        <f t="shared" si="154"/>
        <v>9.6666666666666672E-3</v>
      </c>
      <c r="G1441">
        <f t="shared" si="155"/>
        <v>-0.71947691671159408</v>
      </c>
      <c r="H1441">
        <f t="shared" si="156"/>
        <v>-3.1994432479709696</v>
      </c>
      <c r="I1441">
        <f t="shared" si="157"/>
        <v>-0.40603034941824834</v>
      </c>
      <c r="J1441">
        <f t="shared" si="158"/>
        <v>-0.51304449801418761</v>
      </c>
      <c r="K1441">
        <f t="shared" si="159"/>
        <v>-0.7291435833782608</v>
      </c>
      <c r="L1441">
        <f t="shared" si="160"/>
        <v>-0.41569701608491499</v>
      </c>
    </row>
    <row r="1442" spans="1:12" x14ac:dyDescent="0.25">
      <c r="A1442" s="1">
        <v>42306</v>
      </c>
      <c r="B1442" s="6">
        <v>115.8254</v>
      </c>
      <c r="C1442" s="6">
        <v>10.1228</v>
      </c>
      <c r="D1442" s="6">
        <v>8571.08</v>
      </c>
      <c r="E1442" s="6">
        <v>0.87</v>
      </c>
      <c r="F1442" s="6">
        <f t="shared" si="154"/>
        <v>9.6666666666666672E-3</v>
      </c>
      <c r="G1442">
        <f t="shared" si="155"/>
        <v>-1.0869509522776641</v>
      </c>
      <c r="H1442">
        <f t="shared" si="156"/>
        <v>-1.6525954784365893</v>
      </c>
      <c r="I1442">
        <f t="shared" si="157"/>
        <v>-1.0952008945313791</v>
      </c>
      <c r="J1442">
        <f t="shared" si="158"/>
        <v>-0.77160884172924071</v>
      </c>
      <c r="K1442">
        <f t="shared" si="159"/>
        <v>-1.0966176189443309</v>
      </c>
      <c r="L1442">
        <f t="shared" si="160"/>
        <v>-1.1048675611980459</v>
      </c>
    </row>
    <row r="1443" spans="1:12" x14ac:dyDescent="0.25">
      <c r="A1443" s="1">
        <v>42307</v>
      </c>
      <c r="B1443" s="6">
        <v>115.8254</v>
      </c>
      <c r="C1443" s="6">
        <v>10.1228</v>
      </c>
      <c r="D1443" s="6">
        <v>8554.31</v>
      </c>
      <c r="E1443" s="6">
        <v>0.87</v>
      </c>
      <c r="F1443" s="6">
        <f t="shared" si="154"/>
        <v>9.6666666666666672E-3</v>
      </c>
      <c r="G1443">
        <f t="shared" si="155"/>
        <v>0</v>
      </c>
      <c r="H1443">
        <f t="shared" si="156"/>
        <v>0</v>
      </c>
      <c r="I1443">
        <f t="shared" si="157"/>
        <v>-0.19565795675691322</v>
      </c>
      <c r="J1443">
        <f t="shared" si="158"/>
        <v>-6.8017195248328156E-3</v>
      </c>
      <c r="K1443">
        <f t="shared" si="159"/>
        <v>-9.6666666666666672E-3</v>
      </c>
      <c r="L1443">
        <f t="shared" si="160"/>
        <v>-0.20532462342357988</v>
      </c>
    </row>
    <row r="1444" spans="1:12" x14ac:dyDescent="0.25">
      <c r="A1444" s="1">
        <v>42310</v>
      </c>
      <c r="B1444" s="6">
        <v>116.67400000000001</v>
      </c>
      <c r="C1444" s="6">
        <v>10.250400000000001</v>
      </c>
      <c r="D1444" s="6">
        <v>8614.77</v>
      </c>
      <c r="E1444" s="6">
        <v>0.87</v>
      </c>
      <c r="F1444" s="6">
        <f t="shared" si="154"/>
        <v>9.6666666666666672E-3</v>
      </c>
      <c r="G1444">
        <f t="shared" si="155"/>
        <v>0.73265449547336303</v>
      </c>
      <c r="H1444">
        <f t="shared" si="156"/>
        <v>1.2605208045204987</v>
      </c>
      <c r="I1444">
        <f t="shared" si="157"/>
        <v>0.70677822056952522</v>
      </c>
      <c r="J1444">
        <f t="shared" si="158"/>
        <v>0.50871314807699908</v>
      </c>
      <c r="K1444">
        <f t="shared" si="159"/>
        <v>0.72298782880669632</v>
      </c>
      <c r="L1444">
        <f t="shared" si="160"/>
        <v>0.69711155390285851</v>
      </c>
    </row>
    <row r="1445" spans="1:12" x14ac:dyDescent="0.25">
      <c r="A1445" s="1">
        <v>42311</v>
      </c>
      <c r="B1445" s="6">
        <v>118.3711</v>
      </c>
      <c r="C1445" s="6">
        <v>10.462999999999999</v>
      </c>
      <c r="D1445" s="6">
        <v>8713.19</v>
      </c>
      <c r="E1445" s="6">
        <v>0.87</v>
      </c>
      <c r="F1445" s="6">
        <f t="shared" si="154"/>
        <v>9.6666666666666672E-3</v>
      </c>
      <c r="G1445">
        <f t="shared" si="155"/>
        <v>1.454565713012318</v>
      </c>
      <c r="H1445">
        <f t="shared" si="156"/>
        <v>2.0740654023257465</v>
      </c>
      <c r="I1445">
        <f t="shared" si="157"/>
        <v>1.1424565020308153</v>
      </c>
      <c r="J1445">
        <f t="shared" si="158"/>
        <v>1.0166687643042962</v>
      </c>
      <c r="K1445">
        <f t="shared" si="159"/>
        <v>1.4448990463456513</v>
      </c>
      <c r="L1445">
        <f t="shared" si="160"/>
        <v>1.1327898353641486</v>
      </c>
    </row>
    <row r="1446" spans="1:12" x14ac:dyDescent="0.25">
      <c r="A1446" s="1">
        <v>42312</v>
      </c>
      <c r="B1446" s="6">
        <v>122.61369999999999</v>
      </c>
      <c r="C1446" s="6">
        <v>10.5481</v>
      </c>
      <c r="D1446" s="6">
        <v>8857.02</v>
      </c>
      <c r="E1446" s="6">
        <v>0.87</v>
      </c>
      <c r="F1446" s="6">
        <f t="shared" si="154"/>
        <v>9.6666666666666672E-3</v>
      </c>
      <c r="G1446">
        <f t="shared" si="155"/>
        <v>3.5841518749086525</v>
      </c>
      <c r="H1446">
        <f t="shared" si="156"/>
        <v>0.81334225365574531</v>
      </c>
      <c r="I1446">
        <f t="shared" si="157"/>
        <v>1.6507157539316819</v>
      </c>
      <c r="J1446">
        <f t="shared" si="158"/>
        <v>2.5151012929785113</v>
      </c>
      <c r="K1446">
        <f t="shared" si="159"/>
        <v>3.574485208241986</v>
      </c>
      <c r="L1446">
        <f t="shared" si="160"/>
        <v>1.6410490872650152</v>
      </c>
    </row>
    <row r="1447" spans="1:12" x14ac:dyDescent="0.25">
      <c r="A1447" s="1">
        <v>42313</v>
      </c>
      <c r="B1447" s="6">
        <v>120.91670000000001</v>
      </c>
      <c r="C1447" s="6">
        <v>10.7182</v>
      </c>
      <c r="D1447" s="6">
        <v>8850.18</v>
      </c>
      <c r="E1447" s="6">
        <v>0.87</v>
      </c>
      <c r="F1447" s="6">
        <f t="shared" si="154"/>
        <v>9.6666666666666672E-3</v>
      </c>
      <c r="G1447">
        <f t="shared" si="155"/>
        <v>-1.3840215245115257</v>
      </c>
      <c r="H1447">
        <f t="shared" si="156"/>
        <v>1.6126126980214417</v>
      </c>
      <c r="I1447">
        <f t="shared" si="157"/>
        <v>-7.7226877663143415E-2</v>
      </c>
      <c r="J1447">
        <f t="shared" si="158"/>
        <v>-0.98063546704816973</v>
      </c>
      <c r="K1447">
        <f t="shared" si="159"/>
        <v>-1.3936881911781924</v>
      </c>
      <c r="L1447">
        <f t="shared" si="160"/>
        <v>-8.6893544329810085E-2</v>
      </c>
    </row>
    <row r="1448" spans="1:12" x14ac:dyDescent="0.25">
      <c r="A1448" s="1">
        <v>42314</v>
      </c>
      <c r="B1448" s="6">
        <v>118.7953</v>
      </c>
      <c r="C1448" s="6">
        <v>10.5481</v>
      </c>
      <c r="D1448" s="6">
        <v>8693.57</v>
      </c>
      <c r="E1448" s="6">
        <v>0.87</v>
      </c>
      <c r="F1448" s="6">
        <f t="shared" si="154"/>
        <v>9.6666666666666672E-3</v>
      </c>
      <c r="G1448">
        <f t="shared" si="155"/>
        <v>-1.7544309429549503</v>
      </c>
      <c r="H1448">
        <f t="shared" si="156"/>
        <v>-1.5870202086171157</v>
      </c>
      <c r="I1448">
        <f t="shared" si="157"/>
        <v>-1.7695685285497083</v>
      </c>
      <c r="J1448">
        <f t="shared" si="158"/>
        <v>-1.2412652229387156</v>
      </c>
      <c r="K1448">
        <f t="shared" si="159"/>
        <v>-1.764097609621617</v>
      </c>
      <c r="L1448">
        <f t="shared" si="160"/>
        <v>-1.779235195216375</v>
      </c>
    </row>
    <row r="1449" spans="1:12" x14ac:dyDescent="0.25">
      <c r="A1449" s="1">
        <v>42317</v>
      </c>
      <c r="B1449" s="6">
        <v>120.4924</v>
      </c>
      <c r="C1449" s="6">
        <v>10.3354</v>
      </c>
      <c r="D1449" s="6">
        <v>8642.48</v>
      </c>
      <c r="E1449" s="6">
        <v>0.87</v>
      </c>
      <c r="F1449" s="6">
        <f t="shared" si="154"/>
        <v>9.6666666666666672E-3</v>
      </c>
      <c r="G1449">
        <f t="shared" si="155"/>
        <v>1.4285918719006612</v>
      </c>
      <c r="H1449">
        <f t="shared" si="156"/>
        <v>-2.0164769010532693</v>
      </c>
      <c r="I1449">
        <f t="shared" si="157"/>
        <v>-0.58767571895090454</v>
      </c>
      <c r="J1449">
        <f t="shared" si="158"/>
        <v>0.99839289028111755</v>
      </c>
      <c r="K1449">
        <f t="shared" si="159"/>
        <v>1.4189252052339945</v>
      </c>
      <c r="L1449">
        <f t="shared" si="160"/>
        <v>-0.59734238561757125</v>
      </c>
    </row>
    <row r="1450" spans="1:12" x14ac:dyDescent="0.25">
      <c r="A1450" s="1">
        <v>42318</v>
      </c>
      <c r="B1450" s="6">
        <v>118.3711</v>
      </c>
      <c r="C1450" s="6">
        <v>10.250400000000001</v>
      </c>
      <c r="D1450" s="6">
        <v>8536.9</v>
      </c>
      <c r="E1450" s="6">
        <v>0.87</v>
      </c>
      <c r="F1450" s="6">
        <f t="shared" si="154"/>
        <v>9.6666666666666672E-3</v>
      </c>
      <c r="G1450">
        <f t="shared" si="155"/>
        <v>-1.7605259750822499</v>
      </c>
      <c r="H1450">
        <f t="shared" si="156"/>
        <v>-0.82241616192889566</v>
      </c>
      <c r="I1450">
        <f t="shared" si="157"/>
        <v>-1.221640084790476</v>
      </c>
      <c r="J1450">
        <f t="shared" si="158"/>
        <v>-1.2455538469757572</v>
      </c>
      <c r="K1450">
        <f t="shared" si="159"/>
        <v>-1.7701926417489167</v>
      </c>
      <c r="L1450">
        <f t="shared" si="160"/>
        <v>-1.2313067514571427</v>
      </c>
    </row>
    <row r="1451" spans="1:12" x14ac:dyDescent="0.25">
      <c r="A1451" s="1">
        <v>42319</v>
      </c>
      <c r="B1451" s="6">
        <v>116.67400000000001</v>
      </c>
      <c r="C1451" s="6">
        <v>10.207800000000001</v>
      </c>
      <c r="D1451" s="6">
        <v>8415.01</v>
      </c>
      <c r="E1451" s="6">
        <v>0.87</v>
      </c>
      <c r="F1451" s="6">
        <f t="shared" si="154"/>
        <v>9.6666666666666672E-3</v>
      </c>
      <c r="G1451">
        <f t="shared" si="155"/>
        <v>-1.4337114380114673</v>
      </c>
      <c r="H1451">
        <f t="shared" si="156"/>
        <v>-0.41559353781316039</v>
      </c>
      <c r="I1451">
        <f t="shared" si="157"/>
        <v>-1.4278016610244868</v>
      </c>
      <c r="J1451">
        <f t="shared" si="158"/>
        <v>-1.0155985899626325</v>
      </c>
      <c r="K1451">
        <f t="shared" si="159"/>
        <v>-1.443378104678134</v>
      </c>
      <c r="L1451">
        <f t="shared" si="160"/>
        <v>-1.4374683276911535</v>
      </c>
    </row>
    <row r="1452" spans="1:12" x14ac:dyDescent="0.25">
      <c r="A1452" s="1">
        <v>42320</v>
      </c>
      <c r="B1452" s="6">
        <v>117.52249999999999</v>
      </c>
      <c r="C1452" s="6">
        <v>10.1653</v>
      </c>
      <c r="D1452" s="6">
        <v>8428.09</v>
      </c>
      <c r="E1452" s="6">
        <v>0.87</v>
      </c>
      <c r="F1452" s="6">
        <f t="shared" si="154"/>
        <v>9.6666666666666672E-3</v>
      </c>
      <c r="G1452">
        <f t="shared" si="155"/>
        <v>0.72724000205700245</v>
      </c>
      <c r="H1452">
        <f t="shared" si="156"/>
        <v>-0.41634828268579344</v>
      </c>
      <c r="I1452">
        <f t="shared" si="157"/>
        <v>0.15543653542895286</v>
      </c>
      <c r="J1452">
        <f t="shared" si="158"/>
        <v>0.50490336887832965</v>
      </c>
      <c r="K1452">
        <f t="shared" si="159"/>
        <v>0.71757333539033574</v>
      </c>
      <c r="L1452">
        <f t="shared" si="160"/>
        <v>0.1457698687622862</v>
      </c>
    </row>
    <row r="1453" spans="1:12" x14ac:dyDescent="0.25">
      <c r="A1453" s="1">
        <v>42321</v>
      </c>
      <c r="B1453" s="6">
        <v>115.4012</v>
      </c>
      <c r="C1453" s="6">
        <v>10.1228</v>
      </c>
      <c r="D1453" s="6">
        <v>8329.5</v>
      </c>
      <c r="E1453" s="6">
        <v>0.87</v>
      </c>
      <c r="F1453" s="6">
        <f t="shared" si="154"/>
        <v>9.6666666666666672E-3</v>
      </c>
      <c r="G1453">
        <f t="shared" si="155"/>
        <v>-1.805016060754316</v>
      </c>
      <c r="H1453">
        <f t="shared" si="156"/>
        <v>-0.41808898901164182</v>
      </c>
      <c r="I1453">
        <f t="shared" si="157"/>
        <v>-1.1697786805788755</v>
      </c>
      <c r="J1453">
        <f t="shared" si="158"/>
        <v>-1.2768582350147755</v>
      </c>
      <c r="K1453">
        <f t="shared" si="159"/>
        <v>-1.8146827274209827</v>
      </c>
      <c r="L1453">
        <f t="shared" si="160"/>
        <v>-1.1794453472455422</v>
      </c>
    </row>
    <row r="1454" spans="1:12" x14ac:dyDescent="0.25">
      <c r="A1454" s="1">
        <v>42324</v>
      </c>
      <c r="B1454" s="6">
        <v>114.5526</v>
      </c>
      <c r="C1454" s="6">
        <v>9.8249999999999993</v>
      </c>
      <c r="D1454" s="6">
        <v>8295.4</v>
      </c>
      <c r="E1454" s="6">
        <v>0.87</v>
      </c>
      <c r="F1454" s="6">
        <f t="shared" si="154"/>
        <v>9.6666666666666672E-3</v>
      </c>
      <c r="G1454">
        <f t="shared" si="155"/>
        <v>-0.73534763936597247</v>
      </c>
      <c r="H1454">
        <f t="shared" si="156"/>
        <v>-2.9418737898605181</v>
      </c>
      <c r="I1454">
        <f t="shared" si="157"/>
        <v>-0.4093883186265726</v>
      </c>
      <c r="J1454">
        <f t="shared" si="158"/>
        <v>-0.52421155361606608</v>
      </c>
      <c r="K1454">
        <f t="shared" si="159"/>
        <v>-0.74501430603263918</v>
      </c>
      <c r="L1454">
        <f t="shared" si="160"/>
        <v>-0.41905498529323926</v>
      </c>
    </row>
    <row r="1455" spans="1:12" x14ac:dyDescent="0.25">
      <c r="A1455" s="1">
        <v>42325</v>
      </c>
      <c r="B1455" s="6">
        <v>117.52249999999999</v>
      </c>
      <c r="C1455" s="6">
        <v>10.378</v>
      </c>
      <c r="D1455" s="6">
        <v>8419.42</v>
      </c>
      <c r="E1455" s="6">
        <v>0.87</v>
      </c>
      <c r="F1455" s="6">
        <f t="shared" si="154"/>
        <v>9.6666666666666672E-3</v>
      </c>
      <c r="G1455">
        <f t="shared" si="155"/>
        <v>2.592608111906666</v>
      </c>
      <c r="H1455">
        <f t="shared" si="156"/>
        <v>5.6284987277353782</v>
      </c>
      <c r="I1455">
        <f t="shared" si="157"/>
        <v>1.4950454468741765</v>
      </c>
      <c r="J1455">
        <f t="shared" si="158"/>
        <v>1.8174251647850477</v>
      </c>
      <c r="K1455">
        <f t="shared" si="159"/>
        <v>2.5829414452399995</v>
      </c>
      <c r="L1455">
        <f t="shared" si="160"/>
        <v>1.4853787802075098</v>
      </c>
    </row>
    <row r="1456" spans="1:12" x14ac:dyDescent="0.25">
      <c r="A1456" s="1">
        <v>42326</v>
      </c>
      <c r="B1456" s="6">
        <v>116.2497</v>
      </c>
      <c r="C1456" s="6">
        <v>10.292899999999999</v>
      </c>
      <c r="D1456" s="6">
        <v>8340.4699999999993</v>
      </c>
      <c r="E1456" s="6">
        <v>0.87</v>
      </c>
      <c r="F1456" s="6">
        <f t="shared" si="154"/>
        <v>9.6666666666666672E-3</v>
      </c>
      <c r="G1456">
        <f t="shared" si="155"/>
        <v>-1.0830266544704117</v>
      </c>
      <c r="H1456">
        <f t="shared" si="156"/>
        <v>-0.82000385430719425</v>
      </c>
      <c r="I1456">
        <f t="shared" si="157"/>
        <v>-0.93771304911740627</v>
      </c>
      <c r="J1456">
        <f t="shared" si="158"/>
        <v>-0.76884760314129097</v>
      </c>
      <c r="K1456">
        <f t="shared" si="159"/>
        <v>-1.0926933211370784</v>
      </c>
      <c r="L1456">
        <f t="shared" si="160"/>
        <v>-0.94737971578407298</v>
      </c>
    </row>
    <row r="1457" spans="1:12" x14ac:dyDescent="0.25">
      <c r="A1457" s="1">
        <v>42327</v>
      </c>
      <c r="B1457" s="6">
        <v>119.2196</v>
      </c>
      <c r="C1457" s="6">
        <v>10.420500000000001</v>
      </c>
      <c r="D1457" s="6">
        <v>8477.2000000000007</v>
      </c>
      <c r="E1457" s="6">
        <v>0.87</v>
      </c>
      <c r="F1457" s="6">
        <f t="shared" si="154"/>
        <v>9.6666666666666672E-3</v>
      </c>
      <c r="G1457">
        <f t="shared" si="155"/>
        <v>2.5547592810992161</v>
      </c>
      <c r="H1457">
        <f t="shared" si="156"/>
        <v>1.2396894947002404</v>
      </c>
      <c r="I1457">
        <f t="shared" si="157"/>
        <v>1.6393560554741087</v>
      </c>
      <c r="J1457">
        <f t="shared" si="158"/>
        <v>1.7907937373890002</v>
      </c>
      <c r="K1457">
        <f t="shared" si="159"/>
        <v>2.5450926144325496</v>
      </c>
      <c r="L1457">
        <f t="shared" si="160"/>
        <v>1.629689388807442</v>
      </c>
    </row>
    <row r="1458" spans="1:12" x14ac:dyDescent="0.25">
      <c r="A1458" s="1">
        <v>42328</v>
      </c>
      <c r="B1458" s="6">
        <v>119.6439</v>
      </c>
      <c r="C1458" s="6">
        <v>10.505599999999999</v>
      </c>
      <c r="D1458" s="6">
        <v>8465.4500000000007</v>
      </c>
      <c r="E1458" s="6">
        <v>0.87</v>
      </c>
      <c r="F1458" s="6">
        <f t="shared" si="154"/>
        <v>9.6666666666666672E-3</v>
      </c>
      <c r="G1458">
        <f t="shared" si="155"/>
        <v>0.35589785572171218</v>
      </c>
      <c r="H1458">
        <f t="shared" si="156"/>
        <v>0.81665946931528088</v>
      </c>
      <c r="I1458">
        <f t="shared" si="157"/>
        <v>-0.13860708724578868</v>
      </c>
      <c r="J1458">
        <f t="shared" si="158"/>
        <v>0.24361732124501223</v>
      </c>
      <c r="K1458">
        <f t="shared" si="159"/>
        <v>0.34623118905504552</v>
      </c>
      <c r="L1458">
        <f t="shared" si="160"/>
        <v>-0.14827375391245534</v>
      </c>
    </row>
    <row r="1459" spans="1:12" x14ac:dyDescent="0.25">
      <c r="A1459" s="1">
        <v>42331</v>
      </c>
      <c r="B1459" s="6">
        <v>119.6439</v>
      </c>
      <c r="C1459" s="6">
        <v>10.5481</v>
      </c>
      <c r="D1459" s="6">
        <v>8485.73</v>
      </c>
      <c r="E1459" s="6">
        <v>0.87</v>
      </c>
      <c r="F1459" s="6">
        <f t="shared" si="154"/>
        <v>9.6666666666666672E-3</v>
      </c>
      <c r="G1459">
        <f t="shared" si="155"/>
        <v>0</v>
      </c>
      <c r="H1459">
        <f t="shared" si="156"/>
        <v>0.40454614681693979</v>
      </c>
      <c r="I1459">
        <f t="shared" si="157"/>
        <v>0.23956198430087985</v>
      </c>
      <c r="J1459">
        <f t="shared" si="158"/>
        <v>-6.8017195248328156E-3</v>
      </c>
      <c r="K1459">
        <f t="shared" si="159"/>
        <v>-9.6666666666666672E-3</v>
      </c>
      <c r="L1459">
        <f t="shared" si="160"/>
        <v>0.2298953176342132</v>
      </c>
    </row>
    <row r="1460" spans="1:12" x14ac:dyDescent="0.25">
      <c r="A1460" s="1">
        <v>42332</v>
      </c>
      <c r="B1460" s="6">
        <v>118.3711</v>
      </c>
      <c r="C1460" s="6">
        <v>10.1653</v>
      </c>
      <c r="D1460" s="6">
        <v>8400.14</v>
      </c>
      <c r="E1460" s="6">
        <v>0.87</v>
      </c>
      <c r="F1460" s="6">
        <f t="shared" si="154"/>
        <v>9.6666666666666672E-3</v>
      </c>
      <c r="G1460">
        <f t="shared" si="155"/>
        <v>-1.0638235630901398</v>
      </c>
      <c r="H1460">
        <f t="shared" si="156"/>
        <v>-3.6290895990747112</v>
      </c>
      <c r="I1460">
        <f t="shared" si="157"/>
        <v>-1.0086344957947064</v>
      </c>
      <c r="J1460">
        <f t="shared" si="158"/>
        <v>-0.75533580573663472</v>
      </c>
      <c r="K1460">
        <f t="shared" si="159"/>
        <v>-1.0734902297568065</v>
      </c>
      <c r="L1460">
        <f t="shared" si="160"/>
        <v>-1.0183011624613731</v>
      </c>
    </row>
    <row r="1461" spans="1:12" x14ac:dyDescent="0.25">
      <c r="A1461" s="1">
        <v>42333</v>
      </c>
      <c r="B1461" s="6">
        <v>119.6439</v>
      </c>
      <c r="C1461" s="6">
        <v>10.292899999999999</v>
      </c>
      <c r="D1461" s="6">
        <v>8386.1299999999992</v>
      </c>
      <c r="E1461" s="6">
        <v>0.87</v>
      </c>
      <c r="F1461" s="6">
        <f t="shared" si="154"/>
        <v>9.6666666666666672E-3</v>
      </c>
      <c r="G1461">
        <f t="shared" si="155"/>
        <v>1.0752624584886039</v>
      </c>
      <c r="H1461">
        <f t="shared" si="156"/>
        <v>1.2552507058325801</v>
      </c>
      <c r="I1461">
        <f t="shared" si="157"/>
        <v>-0.16678293457014073</v>
      </c>
      <c r="J1461">
        <f t="shared" si="158"/>
        <v>0.74978107270499528</v>
      </c>
      <c r="K1461">
        <f t="shared" si="159"/>
        <v>1.0655957918219372</v>
      </c>
      <c r="L1461">
        <f t="shared" si="160"/>
        <v>-0.17644960123680739</v>
      </c>
    </row>
    <row r="1462" spans="1:12" x14ac:dyDescent="0.25">
      <c r="A1462" s="1">
        <v>42334</v>
      </c>
      <c r="B1462" s="6">
        <v>120.91670000000001</v>
      </c>
      <c r="C1462" s="6">
        <v>10.378</v>
      </c>
      <c r="D1462" s="6">
        <v>8484.9</v>
      </c>
      <c r="E1462" s="6">
        <v>0.87</v>
      </c>
      <c r="F1462" s="6">
        <f t="shared" si="154"/>
        <v>9.6666666666666672E-3</v>
      </c>
      <c r="G1462">
        <f t="shared" si="155"/>
        <v>1.0638235630901398</v>
      </c>
      <c r="H1462">
        <f t="shared" si="156"/>
        <v>0.82678351096387437</v>
      </c>
      <c r="I1462">
        <f t="shared" si="157"/>
        <v>1.177778069264374</v>
      </c>
      <c r="J1462">
        <f t="shared" si="158"/>
        <v>0.74173236668696907</v>
      </c>
      <c r="K1462">
        <f t="shared" si="159"/>
        <v>1.0541568964234731</v>
      </c>
      <c r="L1462">
        <f t="shared" si="160"/>
        <v>1.1681114025977073</v>
      </c>
    </row>
    <row r="1463" spans="1:12" x14ac:dyDescent="0.25">
      <c r="A1463" s="1">
        <v>42335</v>
      </c>
      <c r="B1463" s="6">
        <v>117.9468</v>
      </c>
      <c r="C1463" s="6">
        <v>10.250400000000001</v>
      </c>
      <c r="D1463" s="6">
        <v>8398.4</v>
      </c>
      <c r="E1463" s="6">
        <v>0.87</v>
      </c>
      <c r="F1463" s="6">
        <f t="shared" si="154"/>
        <v>9.6666666666666672E-3</v>
      </c>
      <c r="G1463">
        <f t="shared" si="155"/>
        <v>-2.4561536991995396</v>
      </c>
      <c r="H1463">
        <f t="shared" si="156"/>
        <v>-1.2295239930622399</v>
      </c>
      <c r="I1463">
        <f t="shared" si="157"/>
        <v>-1.0194580961472735</v>
      </c>
      <c r="J1463">
        <f t="shared" si="158"/>
        <v>-1.7350157097147487</v>
      </c>
      <c r="K1463">
        <f t="shared" si="159"/>
        <v>-2.4658203658662061</v>
      </c>
      <c r="L1463">
        <f t="shared" si="160"/>
        <v>-1.0291247628139402</v>
      </c>
    </row>
    <row r="1464" spans="1:12" x14ac:dyDescent="0.25">
      <c r="A1464" s="1">
        <v>42338</v>
      </c>
      <c r="B1464" s="6">
        <v>117.9468</v>
      </c>
      <c r="C1464" s="6">
        <v>10.0802</v>
      </c>
      <c r="D1464" s="6">
        <v>8320.61</v>
      </c>
      <c r="E1464" s="6">
        <v>0.87</v>
      </c>
      <c r="F1464" s="6">
        <f t="shared" si="154"/>
        <v>9.6666666666666672E-3</v>
      </c>
      <c r="G1464">
        <f t="shared" si="155"/>
        <v>0</v>
      </c>
      <c r="H1464">
        <f t="shared" si="156"/>
        <v>-1.6604230078826312</v>
      </c>
      <c r="I1464">
        <f t="shared" si="157"/>
        <v>-0.92624785673460486</v>
      </c>
      <c r="J1464">
        <f t="shared" si="158"/>
        <v>-6.8017195248328156E-3</v>
      </c>
      <c r="K1464">
        <f t="shared" si="159"/>
        <v>-9.6666666666666672E-3</v>
      </c>
      <c r="L1464">
        <f t="shared" si="160"/>
        <v>-0.93591452340127157</v>
      </c>
    </row>
    <row r="1465" spans="1:12" x14ac:dyDescent="0.25">
      <c r="A1465" s="1">
        <v>42339</v>
      </c>
      <c r="B1465" s="6">
        <v>120.91670000000001</v>
      </c>
      <c r="C1465" s="6">
        <v>10.378</v>
      </c>
      <c r="D1465" s="6">
        <v>8463.2999999999993</v>
      </c>
      <c r="E1465" s="6">
        <v>0.87</v>
      </c>
      <c r="F1465" s="6">
        <f t="shared" si="154"/>
        <v>9.6666666666666672E-3</v>
      </c>
      <c r="G1465">
        <f t="shared" si="155"/>
        <v>2.5179996405159017</v>
      </c>
      <c r="H1465">
        <f t="shared" si="156"/>
        <v>2.9543064621733746</v>
      </c>
      <c r="I1465">
        <f t="shared" si="157"/>
        <v>1.7148983067347068</v>
      </c>
      <c r="J1465">
        <f t="shared" si="158"/>
        <v>1.7649286927254106</v>
      </c>
      <c r="K1465">
        <f t="shared" si="159"/>
        <v>2.5083329738492353</v>
      </c>
      <c r="L1465">
        <f t="shared" si="160"/>
        <v>1.7052316400680401</v>
      </c>
    </row>
    <row r="1466" spans="1:12" x14ac:dyDescent="0.25">
      <c r="A1466" s="1">
        <v>42340</v>
      </c>
      <c r="B1466" s="6">
        <v>120.91670000000001</v>
      </c>
      <c r="C1466" s="6">
        <v>10.250400000000001</v>
      </c>
      <c r="D1466" s="6">
        <v>8457.4</v>
      </c>
      <c r="E1466" s="6">
        <v>0.87</v>
      </c>
      <c r="F1466" s="6">
        <f t="shared" si="154"/>
        <v>9.6666666666666672E-3</v>
      </c>
      <c r="G1466">
        <f t="shared" si="155"/>
        <v>0</v>
      </c>
      <c r="H1466">
        <f t="shared" si="156"/>
        <v>-1.2295239930622399</v>
      </c>
      <c r="I1466">
        <f t="shared" si="157"/>
        <v>-6.9712759798183171E-2</v>
      </c>
      <c r="J1466">
        <f t="shared" si="158"/>
        <v>-6.8017195248328156E-3</v>
      </c>
      <c r="K1466">
        <f t="shared" si="159"/>
        <v>-9.6666666666666672E-3</v>
      </c>
      <c r="L1466">
        <f t="shared" si="160"/>
        <v>-7.9379426464849842E-2</v>
      </c>
    </row>
    <row r="1467" spans="1:12" x14ac:dyDescent="0.25">
      <c r="A1467" s="1">
        <v>42341</v>
      </c>
      <c r="B1467" s="6">
        <v>120.91670000000001</v>
      </c>
      <c r="C1467" s="6">
        <v>10.420500000000001</v>
      </c>
      <c r="D1467" s="6">
        <v>8456.06</v>
      </c>
      <c r="E1467" s="6">
        <v>0.87</v>
      </c>
      <c r="F1467" s="6">
        <f t="shared" si="154"/>
        <v>9.6666666666666672E-3</v>
      </c>
      <c r="G1467">
        <f t="shared" si="155"/>
        <v>0</v>
      </c>
      <c r="H1467">
        <f t="shared" si="156"/>
        <v>1.6594474361976086</v>
      </c>
      <c r="I1467">
        <f t="shared" si="157"/>
        <v>-1.5844112847921886E-2</v>
      </c>
      <c r="J1467">
        <f t="shared" si="158"/>
        <v>-6.8017195248328156E-3</v>
      </c>
      <c r="K1467">
        <f t="shared" si="159"/>
        <v>-9.6666666666666672E-3</v>
      </c>
      <c r="L1467">
        <f t="shared" si="160"/>
        <v>-2.5510779514588553E-2</v>
      </c>
    </row>
    <row r="1468" spans="1:12" x14ac:dyDescent="0.25">
      <c r="A1468" s="1">
        <v>42342</v>
      </c>
      <c r="B1468" s="6">
        <v>119.2196</v>
      </c>
      <c r="C1468" s="6">
        <v>10.250400000000001</v>
      </c>
      <c r="D1468" s="6">
        <v>8398.6</v>
      </c>
      <c r="E1468" s="6">
        <v>0.87</v>
      </c>
      <c r="F1468" s="6">
        <f t="shared" si="154"/>
        <v>9.6666666666666672E-3</v>
      </c>
      <c r="G1468">
        <f t="shared" si="155"/>
        <v>-1.4035282140514966</v>
      </c>
      <c r="H1468">
        <f t="shared" si="156"/>
        <v>-1.6323592917806218</v>
      </c>
      <c r="I1468">
        <f t="shared" si="157"/>
        <v>-0.67951268084662519</v>
      </c>
      <c r="J1468">
        <f t="shared" si="158"/>
        <v>-0.99436088405943235</v>
      </c>
      <c r="K1468">
        <f t="shared" si="159"/>
        <v>-1.4131948807181633</v>
      </c>
      <c r="L1468">
        <f t="shared" si="160"/>
        <v>-0.68917934751329191</v>
      </c>
    </row>
    <row r="1469" spans="1:12" x14ac:dyDescent="0.25">
      <c r="A1469" s="1">
        <v>42345</v>
      </c>
      <c r="B1469" s="6">
        <v>121.76519999999999</v>
      </c>
      <c r="C1469" s="6">
        <v>10.292899999999999</v>
      </c>
      <c r="D1469" s="6">
        <v>8454.27</v>
      </c>
      <c r="E1469" s="6">
        <v>0.87</v>
      </c>
      <c r="F1469" s="6">
        <f t="shared" si="154"/>
        <v>9.6666666666666672E-3</v>
      </c>
      <c r="G1469">
        <f t="shared" si="155"/>
        <v>2.1352193766796677</v>
      </c>
      <c r="H1469">
        <f t="shared" si="156"/>
        <v>0.41461796612813789</v>
      </c>
      <c r="I1469">
        <f t="shared" si="157"/>
        <v>0.66284856999976272</v>
      </c>
      <c r="J1469">
        <f t="shared" si="158"/>
        <v>1.4955944864231103</v>
      </c>
      <c r="K1469">
        <f t="shared" si="159"/>
        <v>2.1255527100130012</v>
      </c>
      <c r="L1469">
        <f t="shared" si="160"/>
        <v>0.653181903333096</v>
      </c>
    </row>
    <row r="1470" spans="1:12" x14ac:dyDescent="0.25">
      <c r="A1470" s="1">
        <v>42346</v>
      </c>
      <c r="B1470" s="6">
        <v>120.91670000000001</v>
      </c>
      <c r="C1470" s="6">
        <v>10.1653</v>
      </c>
      <c r="D1470" s="6">
        <v>8343.86</v>
      </c>
      <c r="E1470" s="6">
        <v>0.87</v>
      </c>
      <c r="F1470" s="6">
        <f t="shared" si="154"/>
        <v>9.6666666666666672E-3</v>
      </c>
      <c r="G1470">
        <f t="shared" si="155"/>
        <v>-0.69683292106446437</v>
      </c>
      <c r="H1470">
        <f t="shared" si="156"/>
        <v>-1.2396894947002233</v>
      </c>
      <c r="I1470">
        <f t="shared" si="157"/>
        <v>-1.3059672804393501</v>
      </c>
      <c r="J1470">
        <f t="shared" si="158"/>
        <v>-0.49711159036108643</v>
      </c>
      <c r="K1470">
        <f t="shared" si="159"/>
        <v>-0.70649958773113108</v>
      </c>
      <c r="L1470">
        <f t="shared" si="160"/>
        <v>-1.3156339471060168</v>
      </c>
    </row>
    <row r="1471" spans="1:12" x14ac:dyDescent="0.25">
      <c r="A1471" s="1">
        <v>42347</v>
      </c>
      <c r="B1471" s="6">
        <v>119.2196</v>
      </c>
      <c r="C1471" s="6">
        <v>9.8675999999999995</v>
      </c>
      <c r="D1471" s="6">
        <v>8229.6200000000008</v>
      </c>
      <c r="E1471" s="6">
        <v>0.87</v>
      </c>
      <c r="F1471" s="6">
        <f t="shared" si="154"/>
        <v>9.6666666666666672E-3</v>
      </c>
      <c r="G1471">
        <f t="shared" si="155"/>
        <v>-1.4035282140514966</v>
      </c>
      <c r="H1471">
        <f t="shared" si="156"/>
        <v>-2.9285904006768195</v>
      </c>
      <c r="I1471">
        <f t="shared" si="157"/>
        <v>-1.3691504891021635</v>
      </c>
      <c r="J1471">
        <f t="shared" si="158"/>
        <v>-0.99436088405943235</v>
      </c>
      <c r="K1471">
        <f t="shared" si="159"/>
        <v>-1.4131948807181633</v>
      </c>
      <c r="L1471">
        <f t="shared" si="160"/>
        <v>-1.3788171557688302</v>
      </c>
    </row>
    <row r="1472" spans="1:12" x14ac:dyDescent="0.25">
      <c r="A1472" s="1">
        <v>42348</v>
      </c>
      <c r="B1472" s="6">
        <v>119.6439</v>
      </c>
      <c r="C1472" s="6">
        <v>9.8249999999999993</v>
      </c>
      <c r="D1472" s="6">
        <v>8216.17</v>
      </c>
      <c r="E1472" s="6">
        <v>0.87</v>
      </c>
      <c r="F1472" s="6">
        <f t="shared" si="154"/>
        <v>9.6666666666666672E-3</v>
      </c>
      <c r="G1472">
        <f t="shared" si="155"/>
        <v>0.35589785572171218</v>
      </c>
      <c r="H1472">
        <f t="shared" si="156"/>
        <v>-0.43171591876444321</v>
      </c>
      <c r="I1472">
        <f t="shared" si="157"/>
        <v>-0.16343403462129147</v>
      </c>
      <c r="J1472">
        <f t="shared" si="158"/>
        <v>0.24361732124501223</v>
      </c>
      <c r="K1472">
        <f t="shared" si="159"/>
        <v>0.34623118905504552</v>
      </c>
      <c r="L1472">
        <f t="shared" si="160"/>
        <v>-0.17310070128795813</v>
      </c>
    </row>
    <row r="1473" spans="1:12" x14ac:dyDescent="0.25">
      <c r="A1473" s="1">
        <v>42349</v>
      </c>
      <c r="B1473" s="6">
        <v>118.3711</v>
      </c>
      <c r="C1473" s="6">
        <v>9.9526000000000003</v>
      </c>
      <c r="D1473" s="6">
        <v>8115.89</v>
      </c>
      <c r="E1473" s="6">
        <v>0.87</v>
      </c>
      <c r="F1473" s="6">
        <f t="shared" si="154"/>
        <v>9.6666666666666672E-3</v>
      </c>
      <c r="G1473">
        <f t="shared" si="155"/>
        <v>-1.0638235630901398</v>
      </c>
      <c r="H1473">
        <f t="shared" si="156"/>
        <v>1.2987277353689675</v>
      </c>
      <c r="I1473">
        <f t="shared" si="157"/>
        <v>-1.220520023319865</v>
      </c>
      <c r="J1473">
        <f t="shared" si="158"/>
        <v>-0.75533580573663472</v>
      </c>
      <c r="K1473">
        <f t="shared" si="159"/>
        <v>-1.0734902297568065</v>
      </c>
      <c r="L1473">
        <f t="shared" si="160"/>
        <v>-1.2301866899865317</v>
      </c>
    </row>
    <row r="1474" spans="1:12" x14ac:dyDescent="0.25">
      <c r="A1474" s="1">
        <v>42352</v>
      </c>
      <c r="B1474" s="6">
        <v>117.9468</v>
      </c>
      <c r="C1474" s="6">
        <v>9.9526000000000003</v>
      </c>
      <c r="D1474" s="6">
        <v>8040.16</v>
      </c>
      <c r="E1474" s="6">
        <v>0.87</v>
      </c>
      <c r="F1474" s="6">
        <f t="shared" si="154"/>
        <v>9.6666666666666672E-3</v>
      </c>
      <c r="G1474">
        <f t="shared" si="155"/>
        <v>-0.35844897952287541</v>
      </c>
      <c r="H1474">
        <f t="shared" si="156"/>
        <v>0</v>
      </c>
      <c r="I1474">
        <f t="shared" si="157"/>
        <v>-0.93310776760158742</v>
      </c>
      <c r="J1474">
        <f t="shared" si="158"/>
        <v>-0.25901579773281275</v>
      </c>
      <c r="K1474">
        <f t="shared" si="159"/>
        <v>-0.36811564618954207</v>
      </c>
      <c r="L1474">
        <f t="shared" si="160"/>
        <v>-0.94277443426825414</v>
      </c>
    </row>
    <row r="1475" spans="1:12" x14ac:dyDescent="0.25">
      <c r="A1475" s="1">
        <v>42353</v>
      </c>
      <c r="B1475" s="6">
        <v>117.09820000000001</v>
      </c>
      <c r="C1475" s="6">
        <v>9.8675999999999995</v>
      </c>
      <c r="D1475" s="6">
        <v>8073.35</v>
      </c>
      <c r="E1475" s="6">
        <v>0.87</v>
      </c>
      <c r="F1475" s="6">
        <f t="shared" ref="F1475:F1538" si="161">E1475/90</f>
        <v>9.6666666666666672E-3</v>
      </c>
      <c r="G1475">
        <f t="shared" si="155"/>
        <v>-0.71947691671159408</v>
      </c>
      <c r="H1475">
        <f t="shared" si="156"/>
        <v>-0.8540481884130865</v>
      </c>
      <c r="I1475">
        <f t="shared" si="157"/>
        <v>0.41280273029393083</v>
      </c>
      <c r="J1475">
        <f t="shared" si="158"/>
        <v>-0.51304449801418761</v>
      </c>
      <c r="K1475">
        <f t="shared" si="159"/>
        <v>-0.7291435833782608</v>
      </c>
      <c r="L1475">
        <f t="shared" si="160"/>
        <v>0.40313606362726417</v>
      </c>
    </row>
    <row r="1476" spans="1:12" x14ac:dyDescent="0.25">
      <c r="A1476" s="1">
        <v>42354</v>
      </c>
      <c r="B1476" s="6">
        <v>121.76519999999999</v>
      </c>
      <c r="C1476" s="6">
        <v>10.037699999999999</v>
      </c>
      <c r="D1476" s="6">
        <v>8184.66</v>
      </c>
      <c r="E1476" s="6">
        <v>0.87</v>
      </c>
      <c r="F1476" s="6">
        <f t="shared" si="161"/>
        <v>9.6666666666666672E-3</v>
      </c>
      <c r="G1476">
        <f t="shared" ref="G1476:G1539" si="162">100*(B1476-B1475)/B1475</f>
        <v>3.9855437572908783</v>
      </c>
      <c r="H1476">
        <f t="shared" ref="H1476:H1539" si="163">100*(C1476-C1475)/C1475</f>
        <v>1.7238234221087165</v>
      </c>
      <c r="I1476">
        <f t="shared" ref="I1476:I1539" si="164">100*(D1476-D1475)/D1475</f>
        <v>1.3787337350666016</v>
      </c>
      <c r="J1476">
        <f t="shared" ref="J1476:J1539" si="165">(G1476-F1476)/$N$3</f>
        <v>2.7975311209276748</v>
      </c>
      <c r="K1476">
        <f t="shared" ref="K1476:K1539" si="166">G1476-F1476</f>
        <v>3.9758770906242118</v>
      </c>
      <c r="L1476">
        <f t="shared" ref="L1476:L1539" si="167">I1476-F1476</f>
        <v>1.3690670683999349</v>
      </c>
    </row>
    <row r="1477" spans="1:12" x14ac:dyDescent="0.25">
      <c r="A1477" s="1">
        <v>42355</v>
      </c>
      <c r="B1477" s="6">
        <v>123.038</v>
      </c>
      <c r="C1477" s="6">
        <v>10.3354</v>
      </c>
      <c r="D1477" s="6">
        <v>8319.67</v>
      </c>
      <c r="E1477" s="6">
        <v>0.87</v>
      </c>
      <c r="F1477" s="6">
        <f t="shared" si="161"/>
        <v>9.6666666666666672E-3</v>
      </c>
      <c r="G1477">
        <f t="shared" si="162"/>
        <v>1.0452904442320168</v>
      </c>
      <c r="H1477">
        <f t="shared" si="163"/>
        <v>2.9658188628869238</v>
      </c>
      <c r="I1477">
        <f t="shared" si="164"/>
        <v>1.6495492787727313</v>
      </c>
      <c r="J1477">
        <f t="shared" si="165"/>
        <v>0.72869197947386466</v>
      </c>
      <c r="K1477">
        <f t="shared" si="166"/>
        <v>1.0356237775653501</v>
      </c>
      <c r="L1477">
        <f t="shared" si="167"/>
        <v>1.6398826121060646</v>
      </c>
    </row>
    <row r="1478" spans="1:12" x14ac:dyDescent="0.25">
      <c r="A1478" s="1">
        <v>42356</v>
      </c>
      <c r="B1478" s="6">
        <v>120.4924</v>
      </c>
      <c r="C1478" s="6">
        <v>10.207800000000001</v>
      </c>
      <c r="D1478" s="6">
        <v>8257.32</v>
      </c>
      <c r="E1478" s="6">
        <v>0.87</v>
      </c>
      <c r="F1478" s="6">
        <f t="shared" si="161"/>
        <v>9.6666666666666672E-3</v>
      </c>
      <c r="G1478">
        <f t="shared" si="162"/>
        <v>-2.0689543067995197</v>
      </c>
      <c r="H1478">
        <f t="shared" si="163"/>
        <v>-1.2345917913191484</v>
      </c>
      <c r="I1478">
        <f t="shared" si="164"/>
        <v>-0.74942876340047582</v>
      </c>
      <c r="J1478">
        <f t="shared" si="165"/>
        <v>-1.4625720889605467</v>
      </c>
      <c r="K1478">
        <f t="shared" si="166"/>
        <v>-2.0786209734661862</v>
      </c>
      <c r="L1478">
        <f t="shared" si="167"/>
        <v>-0.75909543006714253</v>
      </c>
    </row>
    <row r="1479" spans="1:12" x14ac:dyDescent="0.25">
      <c r="A1479" s="1">
        <v>42359</v>
      </c>
      <c r="B1479" s="6">
        <v>120.0681</v>
      </c>
      <c r="C1479" s="6">
        <v>10.5906</v>
      </c>
      <c r="D1479" s="6">
        <v>8282.17</v>
      </c>
      <c r="E1479" s="6">
        <v>0.87</v>
      </c>
      <c r="F1479" s="6">
        <f t="shared" si="161"/>
        <v>9.6666666666666672E-3</v>
      </c>
      <c r="G1479">
        <f t="shared" si="162"/>
        <v>-0.35213839213095793</v>
      </c>
      <c r="H1479">
        <f t="shared" si="163"/>
        <v>3.7500734732263519</v>
      </c>
      <c r="I1479">
        <f t="shared" si="164"/>
        <v>0.3009451008317513</v>
      </c>
      <c r="J1479">
        <f t="shared" si="165"/>
        <v>-0.25457550337314705</v>
      </c>
      <c r="K1479">
        <f t="shared" si="166"/>
        <v>-0.36180505879762459</v>
      </c>
      <c r="L1479">
        <f t="shared" si="167"/>
        <v>0.29127843416508464</v>
      </c>
    </row>
    <row r="1480" spans="1:12" x14ac:dyDescent="0.25">
      <c r="A1480" s="1">
        <v>42360</v>
      </c>
      <c r="B1480" s="6">
        <v>120.4924</v>
      </c>
      <c r="C1480" s="6">
        <v>10.505599999999999</v>
      </c>
      <c r="D1480" s="6">
        <v>8292.74</v>
      </c>
      <c r="E1480" s="6">
        <v>0.87</v>
      </c>
      <c r="F1480" s="6">
        <f t="shared" si="161"/>
        <v>9.6666666666666672E-3</v>
      </c>
      <c r="G1480">
        <f t="shared" si="162"/>
        <v>0.3533827886008043</v>
      </c>
      <c r="H1480">
        <f t="shared" si="163"/>
        <v>-0.80259853077257992</v>
      </c>
      <c r="I1480">
        <f t="shared" si="164"/>
        <v>0.12762355759420188</v>
      </c>
      <c r="J1480">
        <f t="shared" si="165"/>
        <v>0.24184765423026627</v>
      </c>
      <c r="K1480">
        <f t="shared" si="166"/>
        <v>0.34371612193413764</v>
      </c>
      <c r="L1480">
        <f t="shared" si="167"/>
        <v>0.11795689092753521</v>
      </c>
    </row>
    <row r="1481" spans="1:12" x14ac:dyDescent="0.25">
      <c r="A1481" s="1">
        <v>42361</v>
      </c>
      <c r="B1481" s="6">
        <v>120.0681</v>
      </c>
      <c r="C1481" s="6">
        <v>10.5906</v>
      </c>
      <c r="D1481" s="6">
        <v>8315.7000000000007</v>
      </c>
      <c r="E1481" s="6">
        <v>0.87</v>
      </c>
      <c r="F1481" s="6">
        <f t="shared" si="161"/>
        <v>9.6666666666666672E-3</v>
      </c>
      <c r="G1481">
        <f t="shared" si="162"/>
        <v>-0.35213839213095793</v>
      </c>
      <c r="H1481">
        <f t="shared" si="163"/>
        <v>0.80909229363387958</v>
      </c>
      <c r="I1481">
        <f t="shared" si="164"/>
        <v>0.27686868272731263</v>
      </c>
      <c r="J1481">
        <f t="shared" si="165"/>
        <v>-0.25457550337314705</v>
      </c>
      <c r="K1481">
        <f t="shared" si="166"/>
        <v>-0.36180505879762459</v>
      </c>
      <c r="L1481">
        <f t="shared" si="167"/>
        <v>0.26720201606064597</v>
      </c>
    </row>
    <row r="1482" spans="1:12" x14ac:dyDescent="0.25">
      <c r="A1482" s="1">
        <v>42362</v>
      </c>
      <c r="B1482" s="6">
        <v>120.4924</v>
      </c>
      <c r="C1482" s="6">
        <v>10.462999999999999</v>
      </c>
      <c r="D1482" s="6">
        <v>8324.36</v>
      </c>
      <c r="E1482" s="6">
        <v>0.87</v>
      </c>
      <c r="F1482" s="6">
        <f t="shared" si="161"/>
        <v>9.6666666666666672E-3</v>
      </c>
      <c r="G1482">
        <f t="shared" si="162"/>
        <v>0.3533827886008043</v>
      </c>
      <c r="H1482">
        <f t="shared" si="163"/>
        <v>-1.2048420297244824</v>
      </c>
      <c r="I1482">
        <f t="shared" si="164"/>
        <v>0.10414036100388246</v>
      </c>
      <c r="J1482">
        <f t="shared" si="165"/>
        <v>0.24184765423026627</v>
      </c>
      <c r="K1482">
        <f t="shared" si="166"/>
        <v>0.34371612193413764</v>
      </c>
      <c r="L1482">
        <f t="shared" si="167"/>
        <v>9.4473694337215794E-2</v>
      </c>
    </row>
    <row r="1483" spans="1:12" x14ac:dyDescent="0.25">
      <c r="A1483" s="1">
        <v>42363</v>
      </c>
      <c r="B1483" s="6">
        <v>121.3409</v>
      </c>
      <c r="C1483" s="6">
        <v>10.5481</v>
      </c>
      <c r="D1483" s="6">
        <v>8363.2800000000007</v>
      </c>
      <c r="E1483" s="6">
        <v>0.87</v>
      </c>
      <c r="F1483" s="6">
        <f t="shared" si="161"/>
        <v>9.6666666666666672E-3</v>
      </c>
      <c r="G1483">
        <f t="shared" si="162"/>
        <v>0.70419379147564609</v>
      </c>
      <c r="H1483">
        <f t="shared" si="163"/>
        <v>0.81334225365574531</v>
      </c>
      <c r="I1483">
        <f t="shared" si="164"/>
        <v>0.46754345078780918</v>
      </c>
      <c r="J1483">
        <f t="shared" si="165"/>
        <v>0.48868745227647237</v>
      </c>
      <c r="K1483">
        <f t="shared" si="166"/>
        <v>0.69452712480897938</v>
      </c>
      <c r="L1483">
        <f t="shared" si="167"/>
        <v>0.45787678412114252</v>
      </c>
    </row>
    <row r="1484" spans="1:12" x14ac:dyDescent="0.25">
      <c r="A1484" s="1">
        <v>42366</v>
      </c>
      <c r="B1484" s="6">
        <v>121.76519999999999</v>
      </c>
      <c r="C1484" s="6">
        <v>10.462999999999999</v>
      </c>
      <c r="D1484" s="6">
        <v>8358.49</v>
      </c>
      <c r="E1484" s="6">
        <v>0.87</v>
      </c>
      <c r="F1484" s="6">
        <f t="shared" si="161"/>
        <v>9.6666666666666672E-3</v>
      </c>
      <c r="G1484">
        <f t="shared" si="162"/>
        <v>0.34967599548049183</v>
      </c>
      <c r="H1484">
        <f t="shared" si="163"/>
        <v>-0.80678036802837116</v>
      </c>
      <c r="I1484">
        <f t="shared" si="164"/>
        <v>-5.7274179508528623E-2</v>
      </c>
      <c r="J1484">
        <f t="shared" si="165"/>
        <v>0.23923945762947885</v>
      </c>
      <c r="K1484">
        <f t="shared" si="166"/>
        <v>0.34000932881382517</v>
      </c>
      <c r="L1484">
        <f t="shared" si="167"/>
        <v>-6.6940846175195287E-2</v>
      </c>
    </row>
    <row r="1485" spans="1:12" x14ac:dyDescent="0.25">
      <c r="A1485" s="1">
        <v>42367</v>
      </c>
      <c r="B1485" s="6">
        <v>120.4924</v>
      </c>
      <c r="C1485" s="6">
        <v>10.3354</v>
      </c>
      <c r="D1485" s="6">
        <v>8293.91</v>
      </c>
      <c r="E1485" s="6">
        <v>0.87</v>
      </c>
      <c r="F1485" s="6">
        <f t="shared" si="161"/>
        <v>9.6666666666666672E-3</v>
      </c>
      <c r="G1485">
        <f t="shared" si="162"/>
        <v>-1.0452904442320052</v>
      </c>
      <c r="H1485">
        <f t="shared" si="163"/>
        <v>-1.2195355060689981</v>
      </c>
      <c r="I1485">
        <f t="shared" si="164"/>
        <v>-0.77262759182579543</v>
      </c>
      <c r="J1485">
        <f t="shared" si="165"/>
        <v>-0.74229541852352221</v>
      </c>
      <c r="K1485">
        <f t="shared" si="166"/>
        <v>-1.0549571108986719</v>
      </c>
      <c r="L1485">
        <f t="shared" si="167"/>
        <v>-0.78229425849246215</v>
      </c>
    </row>
    <row r="1486" spans="1:12" x14ac:dyDescent="0.25">
      <c r="A1486" s="1">
        <v>42368</v>
      </c>
      <c r="B1486" s="6">
        <v>120.91670000000001</v>
      </c>
      <c r="C1486" s="6">
        <v>10.292899999999999</v>
      </c>
      <c r="D1486" s="6">
        <v>8279.99</v>
      </c>
      <c r="E1486" s="6">
        <v>0.87</v>
      </c>
      <c r="F1486" s="6">
        <f t="shared" si="161"/>
        <v>9.6666666666666672E-3</v>
      </c>
      <c r="G1486">
        <f t="shared" si="162"/>
        <v>0.35213839213095793</v>
      </c>
      <c r="H1486">
        <f t="shared" si="163"/>
        <v>-0.41120808096445638</v>
      </c>
      <c r="I1486">
        <f t="shared" si="164"/>
        <v>-0.1678339890353292</v>
      </c>
      <c r="J1486">
        <f t="shared" si="165"/>
        <v>0.24097206432348142</v>
      </c>
      <c r="K1486">
        <f t="shared" si="166"/>
        <v>0.34247172546429128</v>
      </c>
      <c r="L1486">
        <f t="shared" si="167"/>
        <v>-0.17750065570199586</v>
      </c>
    </row>
    <row r="1487" spans="1:12" x14ac:dyDescent="0.25">
      <c r="A1487" s="1">
        <v>42369</v>
      </c>
      <c r="B1487" s="6">
        <v>121.3409</v>
      </c>
      <c r="C1487" s="6">
        <v>10.292899999999999</v>
      </c>
      <c r="D1487" s="6">
        <v>8338.06</v>
      </c>
      <c r="E1487" s="6">
        <v>0.87</v>
      </c>
      <c r="F1487" s="6">
        <f t="shared" si="161"/>
        <v>9.6666666666666672E-3</v>
      </c>
      <c r="G1487">
        <f t="shared" si="162"/>
        <v>0.35082002734113565</v>
      </c>
      <c r="H1487">
        <f t="shared" si="163"/>
        <v>0</v>
      </c>
      <c r="I1487">
        <f t="shared" si="164"/>
        <v>0.70132934943157799</v>
      </c>
      <c r="J1487">
        <f t="shared" si="165"/>
        <v>0.24004442837191731</v>
      </c>
      <c r="K1487">
        <f t="shared" si="166"/>
        <v>0.341153360674469</v>
      </c>
      <c r="L1487">
        <f t="shared" si="167"/>
        <v>0.69166268276491127</v>
      </c>
    </row>
    <row r="1488" spans="1:12" x14ac:dyDescent="0.25">
      <c r="A1488" s="1">
        <v>42373</v>
      </c>
      <c r="B1488" s="6">
        <v>118.3711</v>
      </c>
      <c r="C1488" s="6">
        <v>10.037699999999999</v>
      </c>
      <c r="D1488" s="6">
        <v>8114.26</v>
      </c>
      <c r="E1488" s="6">
        <v>0.87</v>
      </c>
      <c r="F1488" s="6">
        <f t="shared" si="161"/>
        <v>9.6666666666666672E-3</v>
      </c>
      <c r="G1488">
        <f t="shared" si="162"/>
        <v>-2.4474847310346357</v>
      </c>
      <c r="H1488">
        <f t="shared" si="163"/>
        <v>-2.4793789894004639</v>
      </c>
      <c r="I1488">
        <f t="shared" si="164"/>
        <v>-2.6840775911902681</v>
      </c>
      <c r="J1488">
        <f t="shared" si="165"/>
        <v>-1.7289159969532955</v>
      </c>
      <c r="K1488">
        <f t="shared" si="166"/>
        <v>-2.4571513977013022</v>
      </c>
      <c r="L1488">
        <f t="shared" si="167"/>
        <v>-2.6937442578569346</v>
      </c>
    </row>
    <row r="1489" spans="1:12" x14ac:dyDescent="0.25">
      <c r="A1489" s="1">
        <v>42374</v>
      </c>
      <c r="B1489" s="6">
        <v>117.09820000000001</v>
      </c>
      <c r="C1489" s="6">
        <v>9.9952000000000005</v>
      </c>
      <c r="D1489" s="6">
        <v>8075.11</v>
      </c>
      <c r="E1489" s="6">
        <v>0.87</v>
      </c>
      <c r="F1489" s="6">
        <f t="shared" si="161"/>
        <v>9.6666666666666672E-3</v>
      </c>
      <c r="G1489">
        <f t="shared" si="162"/>
        <v>-1.0753469385686141</v>
      </c>
      <c r="H1489">
        <f t="shared" si="163"/>
        <v>-0.4234037677953979</v>
      </c>
      <c r="I1489">
        <f t="shared" si="164"/>
        <v>-0.48248392336455259</v>
      </c>
      <c r="J1489">
        <f t="shared" si="165"/>
        <v>-0.7634439541487642</v>
      </c>
      <c r="K1489">
        <f t="shared" si="166"/>
        <v>-1.0850136052352808</v>
      </c>
      <c r="L1489">
        <f t="shared" si="167"/>
        <v>-0.49215059003121925</v>
      </c>
    </row>
    <row r="1490" spans="1:12" x14ac:dyDescent="0.25">
      <c r="A1490" s="1">
        <v>42375</v>
      </c>
      <c r="B1490" s="6">
        <v>114.9769</v>
      </c>
      <c r="C1490" s="6">
        <v>9.9952000000000005</v>
      </c>
      <c r="D1490" s="6">
        <v>7990.39</v>
      </c>
      <c r="E1490" s="6">
        <v>0.87</v>
      </c>
      <c r="F1490" s="6">
        <f t="shared" si="161"/>
        <v>9.6666666666666672E-3</v>
      </c>
      <c r="G1490">
        <f t="shared" si="162"/>
        <v>-1.8115564543263731</v>
      </c>
      <c r="H1490">
        <f t="shared" si="163"/>
        <v>0</v>
      </c>
      <c r="I1490">
        <f t="shared" si="164"/>
        <v>-1.0491497948634674</v>
      </c>
      <c r="J1490">
        <f t="shared" si="165"/>
        <v>-1.2814602270139981</v>
      </c>
      <c r="K1490">
        <f t="shared" si="166"/>
        <v>-1.8212231209930398</v>
      </c>
      <c r="L1490">
        <f t="shared" si="167"/>
        <v>-1.0588164615301341</v>
      </c>
    </row>
    <row r="1491" spans="1:12" x14ac:dyDescent="0.25">
      <c r="A1491" s="1">
        <v>42376</v>
      </c>
      <c r="B1491" s="6">
        <v>112.8556</v>
      </c>
      <c r="C1491" s="6">
        <v>9.74</v>
      </c>
      <c r="D1491" s="6">
        <v>7852.06</v>
      </c>
      <c r="E1491" s="6">
        <v>0.87</v>
      </c>
      <c r="F1491" s="6">
        <f t="shared" si="161"/>
        <v>9.6666666666666672E-3</v>
      </c>
      <c r="G1491">
        <f t="shared" si="162"/>
        <v>-1.844979295841169</v>
      </c>
      <c r="H1491">
        <f t="shared" si="163"/>
        <v>-2.5532255482631694</v>
      </c>
      <c r="I1491">
        <f t="shared" si="164"/>
        <v>-1.7312046095372056</v>
      </c>
      <c r="J1491">
        <f t="shared" si="165"/>
        <v>-1.3049774125698512</v>
      </c>
      <c r="K1491">
        <f t="shared" si="166"/>
        <v>-1.8546459625078358</v>
      </c>
      <c r="L1491">
        <f t="shared" si="167"/>
        <v>-1.7408712762038723</v>
      </c>
    </row>
    <row r="1492" spans="1:12" x14ac:dyDescent="0.25">
      <c r="A1492" s="1">
        <v>42377</v>
      </c>
      <c r="B1492" s="6">
        <v>113.7041</v>
      </c>
      <c r="C1492" s="6">
        <v>9.6974</v>
      </c>
      <c r="D1492" s="6">
        <v>7893.97</v>
      </c>
      <c r="E1492" s="6">
        <v>0.87</v>
      </c>
      <c r="F1492" s="6">
        <f t="shared" si="161"/>
        <v>9.6666666666666672E-3</v>
      </c>
      <c r="G1492">
        <f t="shared" si="162"/>
        <v>0.75184572143518036</v>
      </c>
      <c r="H1492">
        <f t="shared" si="163"/>
        <v>-0.43737166324435517</v>
      </c>
      <c r="I1492">
        <f t="shared" si="164"/>
        <v>0.53374528467688542</v>
      </c>
      <c r="J1492">
        <f t="shared" si="165"/>
        <v>0.52221659666285825</v>
      </c>
      <c r="K1492">
        <f t="shared" si="166"/>
        <v>0.74217905476851365</v>
      </c>
      <c r="L1492">
        <f t="shared" si="167"/>
        <v>0.52407861801021871</v>
      </c>
    </row>
    <row r="1493" spans="1:12" x14ac:dyDescent="0.25">
      <c r="A1493" s="1">
        <v>42380</v>
      </c>
      <c r="B1493" s="6">
        <v>112.8556</v>
      </c>
      <c r="C1493" s="6">
        <v>9.3996999999999993</v>
      </c>
      <c r="D1493" s="6">
        <v>7788.42</v>
      </c>
      <c r="E1493" s="6">
        <v>0.87</v>
      </c>
      <c r="F1493" s="6">
        <f t="shared" si="161"/>
        <v>9.6666666666666672E-3</v>
      </c>
      <c r="G1493">
        <f t="shared" si="162"/>
        <v>-0.74623518413144418</v>
      </c>
      <c r="H1493">
        <f t="shared" si="163"/>
        <v>-3.069895023408344</v>
      </c>
      <c r="I1493">
        <f t="shared" si="164"/>
        <v>-1.3370965433109092</v>
      </c>
      <c r="J1493">
        <f t="shared" si="165"/>
        <v>-0.53187231490663167</v>
      </c>
      <c r="K1493">
        <f t="shared" si="166"/>
        <v>-0.7559018507981109</v>
      </c>
      <c r="L1493">
        <f t="shared" si="167"/>
        <v>-1.3467632099775759</v>
      </c>
    </row>
    <row r="1494" spans="1:12" x14ac:dyDescent="0.25">
      <c r="A1494" s="1">
        <v>42381</v>
      </c>
      <c r="B1494" s="6">
        <v>112.8556</v>
      </c>
      <c r="C1494" s="6">
        <v>9.4421999999999997</v>
      </c>
      <c r="D1494" s="6">
        <v>7768.45</v>
      </c>
      <c r="E1494" s="6">
        <v>0.8</v>
      </c>
      <c r="F1494" s="6">
        <f t="shared" si="161"/>
        <v>8.8888888888888889E-3</v>
      </c>
      <c r="G1494">
        <f t="shared" si="162"/>
        <v>0</v>
      </c>
      <c r="H1494">
        <f t="shared" si="163"/>
        <v>0.45214208964116331</v>
      </c>
      <c r="I1494">
        <f t="shared" si="164"/>
        <v>-0.25640630577190565</v>
      </c>
      <c r="J1494">
        <f t="shared" si="165"/>
        <v>-6.2544547354784511E-3</v>
      </c>
      <c r="K1494">
        <f t="shared" si="166"/>
        <v>-8.8888888888888889E-3</v>
      </c>
      <c r="L1494">
        <f t="shared" si="167"/>
        <v>-0.26529519466079454</v>
      </c>
    </row>
    <row r="1495" spans="1:12" x14ac:dyDescent="0.25">
      <c r="A1495" s="1">
        <v>42382</v>
      </c>
      <c r="B1495" s="6">
        <v>113.27979999999999</v>
      </c>
      <c r="C1495" s="6">
        <v>9.3996999999999993</v>
      </c>
      <c r="D1495" s="6">
        <v>7824.61</v>
      </c>
      <c r="E1495" s="6">
        <v>0.8</v>
      </c>
      <c r="F1495" s="6">
        <f t="shared" si="161"/>
        <v>8.8888888888888889E-3</v>
      </c>
      <c r="G1495">
        <f t="shared" si="162"/>
        <v>0.37587855631443989</v>
      </c>
      <c r="H1495">
        <f t="shared" si="163"/>
        <v>-0.45010696659677224</v>
      </c>
      <c r="I1495">
        <f t="shared" si="164"/>
        <v>0.72292413544529288</v>
      </c>
      <c r="J1495">
        <f t="shared" si="165"/>
        <v>0.25822352962140743</v>
      </c>
      <c r="K1495">
        <f t="shared" si="166"/>
        <v>0.366989667425551</v>
      </c>
      <c r="L1495">
        <f t="shared" si="167"/>
        <v>0.71403524655640405</v>
      </c>
    </row>
    <row r="1496" spans="1:12" x14ac:dyDescent="0.25">
      <c r="A1496" s="1">
        <v>42383</v>
      </c>
      <c r="B1496" s="6">
        <v>111.5827</v>
      </c>
      <c r="C1496" s="6">
        <v>9.4847999999999999</v>
      </c>
      <c r="D1496" s="6">
        <v>7742.88</v>
      </c>
      <c r="E1496" s="6">
        <v>0.8</v>
      </c>
      <c r="F1496" s="6">
        <f t="shared" si="161"/>
        <v>8.8888888888888889E-3</v>
      </c>
      <c r="G1496">
        <f t="shared" si="162"/>
        <v>-1.4981488314774496</v>
      </c>
      <c r="H1496">
        <f t="shared" si="163"/>
        <v>0.90534804302265637</v>
      </c>
      <c r="I1496">
        <f t="shared" si="164"/>
        <v>-1.0445249028386023</v>
      </c>
      <c r="J1496">
        <f t="shared" si="165"/>
        <v>-1.0603911607526133</v>
      </c>
      <c r="K1496">
        <f t="shared" si="166"/>
        <v>-1.5070377203663385</v>
      </c>
      <c r="L1496">
        <f t="shared" si="167"/>
        <v>-1.0534137917274913</v>
      </c>
    </row>
    <row r="1497" spans="1:12" x14ac:dyDescent="0.25">
      <c r="A1497" s="1">
        <v>42384</v>
      </c>
      <c r="B1497" s="6">
        <v>116.2497</v>
      </c>
      <c r="C1497" s="6">
        <v>9.5698000000000008</v>
      </c>
      <c r="D1497" s="6">
        <v>7762.01</v>
      </c>
      <c r="E1497" s="6">
        <v>0.8</v>
      </c>
      <c r="F1497" s="6">
        <f t="shared" si="161"/>
        <v>8.8888888888888889E-3</v>
      </c>
      <c r="G1497">
        <f t="shared" si="162"/>
        <v>4.1825480114748981</v>
      </c>
      <c r="H1497">
        <f t="shared" si="163"/>
        <v>0.89617071524967162</v>
      </c>
      <c r="I1497">
        <f t="shared" si="164"/>
        <v>0.24706569131899384</v>
      </c>
      <c r="J1497">
        <f t="shared" si="165"/>
        <v>2.9366957321472267</v>
      </c>
      <c r="K1497">
        <f t="shared" si="166"/>
        <v>4.1736591225860096</v>
      </c>
      <c r="L1497">
        <f t="shared" si="167"/>
        <v>0.23817680243010494</v>
      </c>
    </row>
    <row r="1498" spans="1:12" x14ac:dyDescent="0.25">
      <c r="A1498" s="1">
        <v>42387</v>
      </c>
      <c r="B1498" s="6">
        <v>116.2497</v>
      </c>
      <c r="C1498" s="6">
        <v>9.4847999999999999</v>
      </c>
      <c r="D1498" s="6">
        <v>7811.18</v>
      </c>
      <c r="E1498" s="6">
        <v>0.8</v>
      </c>
      <c r="F1498" s="6">
        <f t="shared" si="161"/>
        <v>8.8888888888888889E-3</v>
      </c>
      <c r="G1498">
        <f t="shared" si="162"/>
        <v>0</v>
      </c>
      <c r="H1498">
        <f t="shared" si="163"/>
        <v>-0.88821082990241018</v>
      </c>
      <c r="I1498">
        <f t="shared" si="164"/>
        <v>0.63346993884316138</v>
      </c>
      <c r="J1498">
        <f t="shared" si="165"/>
        <v>-6.2544547354784511E-3</v>
      </c>
      <c r="K1498">
        <f t="shared" si="166"/>
        <v>-8.8888888888888889E-3</v>
      </c>
      <c r="L1498">
        <f t="shared" si="167"/>
        <v>0.62458104995427255</v>
      </c>
    </row>
    <row r="1499" spans="1:12" x14ac:dyDescent="0.25">
      <c r="A1499" s="1">
        <v>42388</v>
      </c>
      <c r="B1499" s="6">
        <v>117.09820000000001</v>
      </c>
      <c r="C1499" s="6">
        <v>9.4847999999999999</v>
      </c>
      <c r="D1499" s="6">
        <v>7854.88</v>
      </c>
      <c r="E1499" s="6">
        <v>0.8</v>
      </c>
      <c r="F1499" s="6">
        <f t="shared" si="161"/>
        <v>8.8888888888888889E-3</v>
      </c>
      <c r="G1499">
        <f t="shared" si="162"/>
        <v>0.72989435671662062</v>
      </c>
      <c r="H1499">
        <f t="shared" si="163"/>
        <v>0</v>
      </c>
      <c r="I1499">
        <f t="shared" si="164"/>
        <v>0.55945452543661545</v>
      </c>
      <c r="J1499">
        <f t="shared" si="165"/>
        <v>0.50731830703811398</v>
      </c>
      <c r="K1499">
        <f t="shared" si="166"/>
        <v>0.72100546782773178</v>
      </c>
      <c r="L1499">
        <f t="shared" si="167"/>
        <v>0.55056563654772661</v>
      </c>
    </row>
    <row r="1500" spans="1:12" x14ac:dyDescent="0.25">
      <c r="A1500" s="1">
        <v>42389</v>
      </c>
      <c r="B1500" s="6">
        <v>114.1284</v>
      </c>
      <c r="C1500" s="6">
        <v>9.4421999999999997</v>
      </c>
      <c r="D1500" s="6">
        <v>7699.12</v>
      </c>
      <c r="E1500" s="6">
        <v>0.8</v>
      </c>
      <c r="F1500" s="6">
        <f t="shared" si="161"/>
        <v>8.8888888888888889E-3</v>
      </c>
      <c r="G1500">
        <f t="shared" si="162"/>
        <v>-2.5361619563750821</v>
      </c>
      <c r="H1500">
        <f t="shared" si="163"/>
        <v>-0.44913967611336236</v>
      </c>
      <c r="I1500">
        <f t="shared" si="164"/>
        <v>-1.9829710956755573</v>
      </c>
      <c r="J1500">
        <f t="shared" si="165"/>
        <v>-1.7907643475094013</v>
      </c>
      <c r="K1500">
        <f t="shared" si="166"/>
        <v>-2.5450508452639711</v>
      </c>
      <c r="L1500">
        <f t="shared" si="167"/>
        <v>-1.9918599845644462</v>
      </c>
    </row>
    <row r="1501" spans="1:12" x14ac:dyDescent="0.25">
      <c r="A1501" s="1">
        <v>42390</v>
      </c>
      <c r="B1501" s="6">
        <v>114.5526</v>
      </c>
      <c r="C1501" s="6">
        <v>9.4421999999999997</v>
      </c>
      <c r="D1501" s="6">
        <v>7664.01</v>
      </c>
      <c r="E1501" s="6">
        <v>0.8</v>
      </c>
      <c r="F1501" s="6">
        <f t="shared" si="161"/>
        <v>8.8888888888888889E-3</v>
      </c>
      <c r="G1501">
        <f t="shared" si="162"/>
        <v>0.37168662664157126</v>
      </c>
      <c r="H1501">
        <f t="shared" si="163"/>
        <v>0</v>
      </c>
      <c r="I1501">
        <f t="shared" si="164"/>
        <v>-0.45602614324753571</v>
      </c>
      <c r="J1501">
        <f t="shared" si="165"/>
        <v>0.25527397825216502</v>
      </c>
      <c r="K1501">
        <f t="shared" si="166"/>
        <v>0.36279773775268237</v>
      </c>
      <c r="L1501">
        <f t="shared" si="167"/>
        <v>-0.4649150321364246</v>
      </c>
    </row>
    <row r="1502" spans="1:12" x14ac:dyDescent="0.25">
      <c r="A1502" s="1">
        <v>42391</v>
      </c>
      <c r="B1502" s="6">
        <v>117.52249999999999</v>
      </c>
      <c r="C1502" s="6">
        <v>9.5698000000000008</v>
      </c>
      <c r="D1502" s="6">
        <v>7756.18</v>
      </c>
      <c r="E1502" s="6">
        <v>0.8</v>
      </c>
      <c r="F1502" s="6">
        <f t="shared" si="161"/>
        <v>8.8888888888888889E-3</v>
      </c>
      <c r="G1502">
        <f t="shared" si="162"/>
        <v>2.592608111906666</v>
      </c>
      <c r="H1502">
        <f t="shared" si="163"/>
        <v>1.351379975005836</v>
      </c>
      <c r="I1502">
        <f t="shared" si="164"/>
        <v>1.2026341301746746</v>
      </c>
      <c r="J1502">
        <f t="shared" si="165"/>
        <v>1.817972429574402</v>
      </c>
      <c r="K1502">
        <f t="shared" si="166"/>
        <v>2.583719223017777</v>
      </c>
      <c r="L1502">
        <f t="shared" si="167"/>
        <v>1.1937452412857856</v>
      </c>
    </row>
    <row r="1503" spans="1:12" x14ac:dyDescent="0.25">
      <c r="A1503" s="1">
        <v>42394</v>
      </c>
      <c r="B1503" s="6">
        <v>118.3711</v>
      </c>
      <c r="C1503" s="6">
        <v>9.74</v>
      </c>
      <c r="D1503" s="6">
        <v>7894.15</v>
      </c>
      <c r="E1503" s="6">
        <v>0.8</v>
      </c>
      <c r="F1503" s="6">
        <f t="shared" si="161"/>
        <v>8.8888888888888889E-3</v>
      </c>
      <c r="G1503">
        <f t="shared" si="162"/>
        <v>0.722074496373039</v>
      </c>
      <c r="H1503">
        <f t="shared" si="163"/>
        <v>1.7785115676398613</v>
      </c>
      <c r="I1503">
        <f t="shared" si="164"/>
        <v>1.7788395834031616</v>
      </c>
      <c r="J1503">
        <f t="shared" si="165"/>
        <v>0.5018160487504858</v>
      </c>
      <c r="K1503">
        <f t="shared" si="166"/>
        <v>0.71318560748415016</v>
      </c>
      <c r="L1503">
        <f t="shared" si="167"/>
        <v>1.7699506945142727</v>
      </c>
    </row>
    <row r="1504" spans="1:12" x14ac:dyDescent="0.25">
      <c r="A1504" s="1">
        <v>42395</v>
      </c>
      <c r="B1504" s="6">
        <v>116.67400000000001</v>
      </c>
      <c r="C1504" s="6">
        <v>9.9526000000000003</v>
      </c>
      <c r="D1504" s="6">
        <v>7828.67</v>
      </c>
      <c r="E1504" s="6">
        <v>0.8</v>
      </c>
      <c r="F1504" s="6">
        <f t="shared" si="161"/>
        <v>8.8888888888888889E-3</v>
      </c>
      <c r="G1504">
        <f t="shared" si="162"/>
        <v>-1.4337114380114673</v>
      </c>
      <c r="H1504">
        <f t="shared" si="163"/>
        <v>2.1827515400410689</v>
      </c>
      <c r="I1504">
        <f t="shared" si="164"/>
        <v>-0.82947499097432364</v>
      </c>
      <c r="J1504">
        <f t="shared" si="165"/>
        <v>-1.015051325173278</v>
      </c>
      <c r="K1504">
        <f t="shared" si="166"/>
        <v>-1.4426003269003562</v>
      </c>
      <c r="L1504">
        <f t="shared" si="167"/>
        <v>-0.83836387986321248</v>
      </c>
    </row>
    <row r="1505" spans="1:12" x14ac:dyDescent="0.25">
      <c r="A1505" s="1">
        <v>42396</v>
      </c>
      <c r="B1505" s="6">
        <v>118.3711</v>
      </c>
      <c r="C1505" s="6">
        <v>9.9526000000000003</v>
      </c>
      <c r="D1505" s="6">
        <v>7849.83</v>
      </c>
      <c r="E1505" s="6">
        <v>0.8</v>
      </c>
      <c r="F1505" s="6">
        <f t="shared" si="161"/>
        <v>8.8888888888888889E-3</v>
      </c>
      <c r="G1505">
        <f t="shared" si="162"/>
        <v>1.454565713012318</v>
      </c>
      <c r="H1505">
        <f t="shared" si="163"/>
        <v>0</v>
      </c>
      <c r="I1505">
        <f t="shared" si="164"/>
        <v>0.27028856753445801</v>
      </c>
      <c r="J1505">
        <f t="shared" si="165"/>
        <v>1.0172160290936507</v>
      </c>
      <c r="K1505">
        <f t="shared" si="166"/>
        <v>1.445676824123429</v>
      </c>
      <c r="L1505">
        <f t="shared" si="167"/>
        <v>0.26139967864556912</v>
      </c>
    </row>
    <row r="1506" spans="1:12" x14ac:dyDescent="0.25">
      <c r="A1506" s="1">
        <v>42397</v>
      </c>
      <c r="B1506" s="6">
        <v>118.7953</v>
      </c>
      <c r="C1506" s="6">
        <v>10.845800000000001</v>
      </c>
      <c r="D1506" s="6">
        <v>7905.1</v>
      </c>
      <c r="E1506" s="6">
        <v>0.8</v>
      </c>
      <c r="F1506" s="6">
        <f t="shared" si="161"/>
        <v>8.8888888888888889E-3</v>
      </c>
      <c r="G1506">
        <f t="shared" si="162"/>
        <v>0.35836449944285304</v>
      </c>
      <c r="H1506">
        <f t="shared" si="163"/>
        <v>8.9745393163595466</v>
      </c>
      <c r="I1506">
        <f t="shared" si="164"/>
        <v>0.704091680966345</v>
      </c>
      <c r="J1506">
        <f t="shared" si="165"/>
        <v>0.24590018107838968</v>
      </c>
      <c r="K1506">
        <f t="shared" si="166"/>
        <v>0.34947561055396414</v>
      </c>
      <c r="L1506">
        <f t="shared" si="167"/>
        <v>0.69520279207745617</v>
      </c>
    </row>
    <row r="1507" spans="1:12" x14ac:dyDescent="0.25">
      <c r="A1507" s="1">
        <v>42398</v>
      </c>
      <c r="B1507" s="6">
        <v>121.3409</v>
      </c>
      <c r="C1507" s="6">
        <v>10.930899999999999</v>
      </c>
      <c r="D1507" s="6">
        <v>8080.6</v>
      </c>
      <c r="E1507" s="6">
        <v>0.8</v>
      </c>
      <c r="F1507" s="6">
        <f t="shared" si="161"/>
        <v>8.8888888888888889E-3</v>
      </c>
      <c r="G1507">
        <f t="shared" si="162"/>
        <v>2.1428457186437573</v>
      </c>
      <c r="H1507">
        <f t="shared" si="163"/>
        <v>0.78463552711647677</v>
      </c>
      <c r="I1507">
        <f t="shared" si="164"/>
        <v>2.2200857674159717</v>
      </c>
      <c r="J1507">
        <f t="shared" si="165"/>
        <v>1.5015078449062784</v>
      </c>
      <c r="K1507">
        <f t="shared" si="166"/>
        <v>2.1339568297548683</v>
      </c>
      <c r="L1507">
        <f t="shared" si="167"/>
        <v>2.2111968785270828</v>
      </c>
    </row>
    <row r="1508" spans="1:12" x14ac:dyDescent="0.25">
      <c r="A1508" s="1">
        <v>42399</v>
      </c>
      <c r="B1508" s="6">
        <v>120.4924</v>
      </c>
      <c r="C1508" s="6">
        <v>10.845800000000001</v>
      </c>
      <c r="D1508" s="6">
        <v>8145.21</v>
      </c>
      <c r="E1508" s="6">
        <v>0.8</v>
      </c>
      <c r="F1508" s="6">
        <f t="shared" si="161"/>
        <v>8.8888888888888889E-3</v>
      </c>
      <c r="G1508">
        <f t="shared" si="162"/>
        <v>-0.69926957851804405</v>
      </c>
      <c r="H1508">
        <f t="shared" si="163"/>
        <v>-0.7785269282492645</v>
      </c>
      <c r="I1508">
        <f t="shared" si="164"/>
        <v>0.79956933891047288</v>
      </c>
      <c r="J1508">
        <f t="shared" si="165"/>
        <v>-0.49827882149352604</v>
      </c>
      <c r="K1508">
        <f t="shared" si="166"/>
        <v>-0.70815846740693289</v>
      </c>
      <c r="L1508">
        <f t="shared" si="167"/>
        <v>0.79068045002158405</v>
      </c>
    </row>
    <row r="1509" spans="1:12" x14ac:dyDescent="0.25">
      <c r="A1509" s="1">
        <v>42401</v>
      </c>
      <c r="B1509" s="6">
        <v>122.1895</v>
      </c>
      <c r="C1509" s="6">
        <v>10.9734</v>
      </c>
      <c r="D1509" s="6">
        <v>8156.96</v>
      </c>
      <c r="E1509" s="6">
        <v>0.8</v>
      </c>
      <c r="F1509" s="6">
        <f t="shared" si="161"/>
        <v>8.8888888888888889E-3</v>
      </c>
      <c r="G1509">
        <f t="shared" si="162"/>
        <v>1.40847057573755</v>
      </c>
      <c r="H1509">
        <f t="shared" si="163"/>
        <v>1.1764922827269475</v>
      </c>
      <c r="I1509">
        <f t="shared" si="164"/>
        <v>0.14425656305976151</v>
      </c>
      <c r="J1509">
        <f t="shared" si="165"/>
        <v>0.98478228476244667</v>
      </c>
      <c r="K1509">
        <f t="shared" si="166"/>
        <v>1.399581686848661</v>
      </c>
      <c r="L1509">
        <f t="shared" si="167"/>
        <v>0.13536767417087262</v>
      </c>
    </row>
    <row r="1510" spans="1:12" x14ac:dyDescent="0.25">
      <c r="A1510" s="1">
        <v>42402</v>
      </c>
      <c r="B1510" s="6">
        <v>120.91670000000001</v>
      </c>
      <c r="C1510" s="6">
        <v>11.1435</v>
      </c>
      <c r="D1510" s="6">
        <v>8131.24</v>
      </c>
      <c r="E1510" s="6">
        <v>0.8</v>
      </c>
      <c r="F1510" s="6">
        <f t="shared" si="161"/>
        <v>8.8888888888888889E-3</v>
      </c>
      <c r="G1510">
        <f t="shared" si="162"/>
        <v>-1.0416606991599029</v>
      </c>
      <c r="H1510">
        <f t="shared" si="163"/>
        <v>1.550112089233963</v>
      </c>
      <c r="I1510">
        <f t="shared" si="164"/>
        <v>-0.31531354818462093</v>
      </c>
      <c r="J1510">
        <f t="shared" si="165"/>
        <v>-0.73919417015550393</v>
      </c>
      <c r="K1510">
        <f t="shared" si="166"/>
        <v>-1.0505495880487918</v>
      </c>
      <c r="L1510">
        <f t="shared" si="167"/>
        <v>-0.32420243707350982</v>
      </c>
    </row>
    <row r="1511" spans="1:12" x14ac:dyDescent="0.25">
      <c r="A1511" s="1">
        <v>42403</v>
      </c>
      <c r="B1511" s="6">
        <v>123.8865</v>
      </c>
      <c r="C1511" s="6">
        <v>10.9734</v>
      </c>
      <c r="D1511" s="6">
        <v>8063</v>
      </c>
      <c r="E1511" s="6">
        <v>0.8</v>
      </c>
      <c r="F1511" s="6">
        <f t="shared" si="161"/>
        <v>8.8888888888888889E-3</v>
      </c>
      <c r="G1511">
        <f t="shared" si="162"/>
        <v>2.4560709976372097</v>
      </c>
      <c r="H1511">
        <f t="shared" si="163"/>
        <v>-1.5264503970924728</v>
      </c>
      <c r="I1511">
        <f t="shared" si="164"/>
        <v>-0.83923239259940408</v>
      </c>
      <c r="J1511">
        <f t="shared" si="165"/>
        <v>1.721901344471896</v>
      </c>
      <c r="K1511">
        <f t="shared" si="166"/>
        <v>2.4471821087483208</v>
      </c>
      <c r="L1511">
        <f t="shared" si="167"/>
        <v>-0.84812128148829291</v>
      </c>
    </row>
    <row r="1512" spans="1:12" x14ac:dyDescent="0.25">
      <c r="A1512" s="1">
        <v>42415</v>
      </c>
      <c r="B1512" s="6">
        <v>123.038</v>
      </c>
      <c r="C1512" s="6">
        <v>11.2286</v>
      </c>
      <c r="D1512" s="6">
        <v>8066.51</v>
      </c>
      <c r="E1512" s="6">
        <v>0.8</v>
      </c>
      <c r="F1512" s="6">
        <f t="shared" si="161"/>
        <v>8.8888888888888889E-3</v>
      </c>
      <c r="G1512">
        <f t="shared" si="162"/>
        <v>-0.68490109898980223</v>
      </c>
      <c r="H1512">
        <f t="shared" si="163"/>
        <v>2.3256237811434954</v>
      </c>
      <c r="I1512">
        <f t="shared" si="164"/>
        <v>4.3532184050604217E-2</v>
      </c>
      <c r="J1512">
        <f t="shared" si="165"/>
        <v>-0.48816878345048431</v>
      </c>
      <c r="K1512">
        <f t="shared" si="166"/>
        <v>-0.69378998787869106</v>
      </c>
      <c r="L1512">
        <f t="shared" si="167"/>
        <v>3.4643295161715326E-2</v>
      </c>
    </row>
    <row r="1513" spans="1:12" x14ac:dyDescent="0.25">
      <c r="A1513" s="1">
        <v>42416</v>
      </c>
      <c r="B1513" s="6">
        <v>125.15940000000001</v>
      </c>
      <c r="C1513" s="6">
        <v>11.1861</v>
      </c>
      <c r="D1513" s="6">
        <v>8212.07</v>
      </c>
      <c r="E1513" s="6">
        <v>0.8</v>
      </c>
      <c r="F1513" s="6">
        <f t="shared" si="161"/>
        <v>8.8888888888888889E-3</v>
      </c>
      <c r="G1513">
        <f t="shared" si="162"/>
        <v>1.7241827728019055</v>
      </c>
      <c r="H1513">
        <f t="shared" si="163"/>
        <v>-0.37849776463673501</v>
      </c>
      <c r="I1513">
        <f t="shared" si="164"/>
        <v>1.8044978559500886</v>
      </c>
      <c r="J1513">
        <f t="shared" si="165"/>
        <v>1.2069256449349115</v>
      </c>
      <c r="K1513">
        <f t="shared" si="166"/>
        <v>1.7152938839130165</v>
      </c>
      <c r="L1513">
        <f t="shared" si="167"/>
        <v>1.7956089670611997</v>
      </c>
    </row>
    <row r="1514" spans="1:12" x14ac:dyDescent="0.25">
      <c r="A1514" s="1">
        <v>42417</v>
      </c>
      <c r="B1514" s="6">
        <v>125.5836</v>
      </c>
      <c r="C1514" s="6">
        <v>11.271100000000001</v>
      </c>
      <c r="D1514" s="6">
        <v>8214.25</v>
      </c>
      <c r="E1514" s="6">
        <v>0.8</v>
      </c>
      <c r="F1514" s="6">
        <f t="shared" si="161"/>
        <v>8.8888888888888889E-3</v>
      </c>
      <c r="G1514">
        <f t="shared" si="162"/>
        <v>0.33892779927036965</v>
      </c>
      <c r="H1514">
        <f t="shared" si="163"/>
        <v>0.75987162639347816</v>
      </c>
      <c r="I1514">
        <f t="shared" si="164"/>
        <v>2.6546291008238982E-2</v>
      </c>
      <c r="J1514">
        <f t="shared" si="165"/>
        <v>0.23222401041685503</v>
      </c>
      <c r="K1514">
        <f t="shared" si="166"/>
        <v>0.33003891038148075</v>
      </c>
      <c r="L1514">
        <f t="shared" si="167"/>
        <v>1.7657402119350095E-2</v>
      </c>
    </row>
    <row r="1515" spans="1:12" x14ac:dyDescent="0.25">
      <c r="A1515" s="1">
        <v>42418</v>
      </c>
      <c r="B1515" s="6">
        <v>128.1292</v>
      </c>
      <c r="C1515" s="6">
        <v>11.3987</v>
      </c>
      <c r="D1515" s="6">
        <v>8314.67</v>
      </c>
      <c r="E1515" s="6">
        <v>0.8</v>
      </c>
      <c r="F1515" s="6">
        <f t="shared" si="161"/>
        <v>8.8888888888888889E-3</v>
      </c>
      <c r="G1515">
        <f t="shared" si="162"/>
        <v>2.0270162664551687</v>
      </c>
      <c r="H1515">
        <f t="shared" si="163"/>
        <v>1.1320989078262038</v>
      </c>
      <c r="I1515">
        <f t="shared" si="164"/>
        <v>1.2225096630854926</v>
      </c>
      <c r="J1515">
        <f t="shared" si="165"/>
        <v>1.4200072125095391</v>
      </c>
      <c r="K1515">
        <f t="shared" si="166"/>
        <v>2.0181273775662798</v>
      </c>
      <c r="L1515">
        <f t="shared" si="167"/>
        <v>1.2136207741966036</v>
      </c>
    </row>
    <row r="1516" spans="1:12" x14ac:dyDescent="0.25">
      <c r="A1516" s="1">
        <v>42419</v>
      </c>
      <c r="B1516" s="6">
        <v>128.1292</v>
      </c>
      <c r="C1516" s="6">
        <v>11.2286</v>
      </c>
      <c r="D1516" s="6">
        <v>8325.0400000000009</v>
      </c>
      <c r="E1516" s="6">
        <v>0.8</v>
      </c>
      <c r="F1516" s="6">
        <f t="shared" si="161"/>
        <v>8.8888888888888889E-3</v>
      </c>
      <c r="G1516">
        <f t="shared" si="162"/>
        <v>0</v>
      </c>
      <c r="H1516">
        <f t="shared" si="163"/>
        <v>-1.4922754349180143</v>
      </c>
      <c r="I1516">
        <f t="shared" si="164"/>
        <v>0.12471932139219957</v>
      </c>
      <c r="J1516">
        <f t="shared" si="165"/>
        <v>-6.2544547354784511E-3</v>
      </c>
      <c r="K1516">
        <f t="shared" si="166"/>
        <v>-8.8888888888888889E-3</v>
      </c>
      <c r="L1516">
        <f t="shared" si="167"/>
        <v>0.11583043250331068</v>
      </c>
    </row>
    <row r="1517" spans="1:12" x14ac:dyDescent="0.25">
      <c r="A1517" s="1">
        <v>42422</v>
      </c>
      <c r="B1517" s="6">
        <v>128.1292</v>
      </c>
      <c r="C1517" s="6">
        <v>11.2286</v>
      </c>
      <c r="D1517" s="6">
        <v>8326.68</v>
      </c>
      <c r="E1517" s="6">
        <v>0.8</v>
      </c>
      <c r="F1517" s="6">
        <f t="shared" si="161"/>
        <v>8.8888888888888889E-3</v>
      </c>
      <c r="G1517">
        <f t="shared" si="162"/>
        <v>0</v>
      </c>
      <c r="H1517">
        <f t="shared" si="163"/>
        <v>0</v>
      </c>
      <c r="I1517">
        <f t="shared" si="164"/>
        <v>1.9699605046935725E-2</v>
      </c>
      <c r="J1517">
        <f t="shared" si="165"/>
        <v>-6.2544547354784511E-3</v>
      </c>
      <c r="K1517">
        <f t="shared" si="166"/>
        <v>-8.8888888888888889E-3</v>
      </c>
      <c r="L1517">
        <f t="shared" si="167"/>
        <v>1.0810716158046836E-2</v>
      </c>
    </row>
    <row r="1518" spans="1:12" x14ac:dyDescent="0.25">
      <c r="A1518" s="1">
        <v>42423</v>
      </c>
      <c r="B1518" s="6">
        <v>126.85639999999999</v>
      </c>
      <c r="C1518" s="6">
        <v>11.2286</v>
      </c>
      <c r="D1518" s="6">
        <v>8334.64</v>
      </c>
      <c r="E1518" s="6">
        <v>0.8</v>
      </c>
      <c r="F1518" s="6">
        <f t="shared" si="161"/>
        <v>8.8888888888888889E-3</v>
      </c>
      <c r="G1518">
        <f t="shared" si="162"/>
        <v>-0.99337231481973176</v>
      </c>
      <c r="H1518">
        <f t="shared" si="163"/>
        <v>0</v>
      </c>
      <c r="I1518">
        <f t="shared" si="164"/>
        <v>9.5596324105155076E-2</v>
      </c>
      <c r="J1518">
        <f t="shared" si="165"/>
        <v>-0.70521719981869291</v>
      </c>
      <c r="K1518">
        <f t="shared" si="166"/>
        <v>-1.0022612037086207</v>
      </c>
      <c r="L1518">
        <f t="shared" si="167"/>
        <v>8.6707435216266185E-2</v>
      </c>
    </row>
    <row r="1519" spans="1:12" x14ac:dyDescent="0.25">
      <c r="A1519" s="1">
        <v>42424</v>
      </c>
      <c r="B1519" s="6">
        <v>125.5836</v>
      </c>
      <c r="C1519" s="6">
        <v>11.2286</v>
      </c>
      <c r="D1519" s="6">
        <v>8282.86</v>
      </c>
      <c r="E1519" s="6">
        <v>0.8</v>
      </c>
      <c r="F1519" s="6">
        <f t="shared" si="161"/>
        <v>8.8888888888888889E-3</v>
      </c>
      <c r="G1519">
        <f t="shared" si="162"/>
        <v>-1.0033392087431061</v>
      </c>
      <c r="H1519">
        <f t="shared" si="163"/>
        <v>0</v>
      </c>
      <c r="I1519">
        <f t="shared" si="164"/>
        <v>-0.62126258602649709</v>
      </c>
      <c r="J1519">
        <f t="shared" si="165"/>
        <v>-0.71223016709461218</v>
      </c>
      <c r="K1519">
        <f t="shared" si="166"/>
        <v>-1.0122280976319951</v>
      </c>
      <c r="L1519">
        <f t="shared" si="167"/>
        <v>-0.63015147491538592</v>
      </c>
    </row>
    <row r="1520" spans="1:12" x14ac:dyDescent="0.25">
      <c r="A1520" s="1">
        <v>42425</v>
      </c>
      <c r="B1520" s="6">
        <v>127.705</v>
      </c>
      <c r="C1520" s="6">
        <v>11.271100000000001</v>
      </c>
      <c r="D1520" s="6">
        <v>8365.86</v>
      </c>
      <c r="E1520" s="6">
        <v>0.8</v>
      </c>
      <c r="F1520" s="6">
        <f t="shared" si="161"/>
        <v>8.8888888888888889E-3</v>
      </c>
      <c r="G1520">
        <f t="shared" si="162"/>
        <v>1.6892333075337815</v>
      </c>
      <c r="H1520">
        <f t="shared" si="163"/>
        <v>0.37849776463673501</v>
      </c>
      <c r="I1520">
        <f t="shared" si="164"/>
        <v>1.0020693335393813</v>
      </c>
      <c r="J1520">
        <f t="shared" si="165"/>
        <v>1.1823342869731874</v>
      </c>
      <c r="K1520">
        <f t="shared" si="166"/>
        <v>1.6803444186448926</v>
      </c>
      <c r="L1520">
        <f t="shared" si="167"/>
        <v>0.99318044465049249</v>
      </c>
    </row>
    <row r="1521" spans="1:12" x14ac:dyDescent="0.25">
      <c r="A1521" s="1">
        <v>42426</v>
      </c>
      <c r="B1521" s="6">
        <v>126.43219999999999</v>
      </c>
      <c r="C1521" s="6">
        <v>11.356199999999999</v>
      </c>
      <c r="D1521" s="6">
        <v>8411.16</v>
      </c>
      <c r="E1521" s="6">
        <v>0.8</v>
      </c>
      <c r="F1521" s="6">
        <f t="shared" si="161"/>
        <v>8.8888888888888889E-3</v>
      </c>
      <c r="G1521">
        <f t="shared" si="162"/>
        <v>-0.99667201754042811</v>
      </c>
      <c r="H1521">
        <f t="shared" si="163"/>
        <v>0.75502834683392783</v>
      </c>
      <c r="I1521">
        <f t="shared" si="164"/>
        <v>0.54148647001024719</v>
      </c>
      <c r="J1521">
        <f t="shared" si="165"/>
        <v>-0.70753895696574509</v>
      </c>
      <c r="K1521">
        <f t="shared" si="166"/>
        <v>-1.0055609064293169</v>
      </c>
      <c r="L1521">
        <f t="shared" si="167"/>
        <v>0.53259758112135835</v>
      </c>
    </row>
    <row r="1522" spans="1:12" x14ac:dyDescent="0.25">
      <c r="A1522" s="1">
        <v>42430</v>
      </c>
      <c r="B1522" s="6">
        <v>128.9778</v>
      </c>
      <c r="C1522" s="6">
        <v>11.3987</v>
      </c>
      <c r="D1522" s="6">
        <v>8485.69</v>
      </c>
      <c r="E1522" s="6">
        <v>0.8</v>
      </c>
      <c r="F1522" s="6">
        <f t="shared" si="161"/>
        <v>8.8888888888888889E-3</v>
      </c>
      <c r="G1522">
        <f t="shared" si="162"/>
        <v>2.0134111405164252</v>
      </c>
      <c r="H1522">
        <f t="shared" si="163"/>
        <v>0.37424490586640274</v>
      </c>
      <c r="I1522">
        <f t="shared" si="164"/>
        <v>0.88608467797545942</v>
      </c>
      <c r="J1522">
        <f t="shared" si="165"/>
        <v>1.4104342900196742</v>
      </c>
      <c r="K1522">
        <f t="shared" si="166"/>
        <v>2.0045222516275363</v>
      </c>
      <c r="L1522">
        <f t="shared" si="167"/>
        <v>0.87719578908657059</v>
      </c>
    </row>
    <row r="1523" spans="1:12" x14ac:dyDescent="0.25">
      <c r="A1523" s="1">
        <v>42431</v>
      </c>
      <c r="B1523" s="6">
        <v>129.8263</v>
      </c>
      <c r="C1523" s="6">
        <v>11.356199999999999</v>
      </c>
      <c r="D1523" s="6">
        <v>8544.0499999999993</v>
      </c>
      <c r="E1523" s="6">
        <v>0.8</v>
      </c>
      <c r="F1523" s="6">
        <f t="shared" si="161"/>
        <v>8.8888888888888889E-3</v>
      </c>
      <c r="G1523">
        <f t="shared" si="162"/>
        <v>0.65786515198739737</v>
      </c>
      <c r="H1523">
        <f t="shared" si="163"/>
        <v>-0.3728495354733472</v>
      </c>
      <c r="I1523">
        <f t="shared" si="164"/>
        <v>0.68774607604094373</v>
      </c>
      <c r="J1523">
        <f t="shared" si="165"/>
        <v>0.45663667446932726</v>
      </c>
      <c r="K1523">
        <f t="shared" si="166"/>
        <v>0.64897626309850853</v>
      </c>
      <c r="L1523">
        <f t="shared" si="167"/>
        <v>0.6788571871520549</v>
      </c>
    </row>
    <row r="1524" spans="1:12" x14ac:dyDescent="0.25">
      <c r="A1524" s="1">
        <v>42432</v>
      </c>
      <c r="B1524" s="6">
        <v>130.67490000000001</v>
      </c>
      <c r="C1524" s="6">
        <v>11.4413</v>
      </c>
      <c r="D1524" s="6">
        <v>8611.7900000000009</v>
      </c>
      <c r="E1524" s="6">
        <v>0.8</v>
      </c>
      <c r="F1524" s="6">
        <f t="shared" si="161"/>
        <v>8.8888888888888889E-3</v>
      </c>
      <c r="G1524">
        <f t="shared" si="162"/>
        <v>0.65364259784034873</v>
      </c>
      <c r="H1524">
        <f t="shared" si="163"/>
        <v>0.74937038798190081</v>
      </c>
      <c r="I1524">
        <f t="shared" si="164"/>
        <v>0.79283243894876088</v>
      </c>
      <c r="J1524">
        <f t="shared" si="165"/>
        <v>0.45366557491898474</v>
      </c>
      <c r="K1524">
        <f t="shared" si="166"/>
        <v>0.64475370895145989</v>
      </c>
      <c r="L1524">
        <f t="shared" si="167"/>
        <v>0.78394355005987204</v>
      </c>
    </row>
    <row r="1525" spans="1:12" x14ac:dyDescent="0.25">
      <c r="A1525" s="1">
        <v>42433</v>
      </c>
      <c r="B1525" s="6">
        <v>129.40199999999999</v>
      </c>
      <c r="C1525" s="6">
        <v>11.3987</v>
      </c>
      <c r="D1525" s="6">
        <v>8643.5499999999993</v>
      </c>
      <c r="E1525" s="6">
        <v>0.8</v>
      </c>
      <c r="F1525" s="6">
        <f t="shared" si="161"/>
        <v>8.8888888888888889E-3</v>
      </c>
      <c r="G1525">
        <f t="shared" si="162"/>
        <v>-0.97409678522808985</v>
      </c>
      <c r="H1525">
        <f t="shared" si="163"/>
        <v>-0.37233531154676647</v>
      </c>
      <c r="I1525">
        <f t="shared" si="164"/>
        <v>0.36879673099318955</v>
      </c>
      <c r="J1525">
        <f t="shared" si="165"/>
        <v>-0.69165443299369667</v>
      </c>
      <c r="K1525">
        <f t="shared" si="166"/>
        <v>-0.98298567411697868</v>
      </c>
      <c r="L1525">
        <f t="shared" si="167"/>
        <v>0.35990784210430066</v>
      </c>
    </row>
    <row r="1526" spans="1:12" x14ac:dyDescent="0.25">
      <c r="A1526" s="1">
        <v>42436</v>
      </c>
      <c r="B1526" s="6">
        <v>128.9778</v>
      </c>
      <c r="C1526" s="6">
        <v>11.3987</v>
      </c>
      <c r="D1526" s="6">
        <v>8659.5499999999993</v>
      </c>
      <c r="E1526" s="6">
        <v>0.8</v>
      </c>
      <c r="F1526" s="6">
        <f t="shared" si="161"/>
        <v>8.8888888888888889E-3</v>
      </c>
      <c r="G1526">
        <f t="shared" si="162"/>
        <v>-0.32781564427132875</v>
      </c>
      <c r="H1526">
        <f t="shared" si="163"/>
        <v>0</v>
      </c>
      <c r="I1526">
        <f t="shared" si="164"/>
        <v>0.18510912761538953</v>
      </c>
      <c r="J1526">
        <f t="shared" si="165"/>
        <v>-0.23691411696161074</v>
      </c>
      <c r="K1526">
        <f t="shared" si="166"/>
        <v>-0.33670453316021765</v>
      </c>
      <c r="L1526">
        <f t="shared" si="167"/>
        <v>0.17622023872650064</v>
      </c>
    </row>
    <row r="1527" spans="1:12" x14ac:dyDescent="0.25">
      <c r="A1527" s="1">
        <v>42437</v>
      </c>
      <c r="B1527" s="6">
        <v>128.9778</v>
      </c>
      <c r="C1527" s="6">
        <v>11.2286</v>
      </c>
      <c r="D1527" s="6">
        <v>8664.31</v>
      </c>
      <c r="E1527" s="6">
        <v>0.8</v>
      </c>
      <c r="F1527" s="6">
        <f t="shared" si="161"/>
        <v>8.8888888888888889E-3</v>
      </c>
      <c r="G1527">
        <f t="shared" si="162"/>
        <v>0</v>
      </c>
      <c r="H1527">
        <f t="shared" si="163"/>
        <v>-1.4922754349180143</v>
      </c>
      <c r="I1527">
        <f t="shared" si="164"/>
        <v>5.4968214283654677E-2</v>
      </c>
      <c r="J1527">
        <f t="shared" si="165"/>
        <v>-6.2544547354784511E-3</v>
      </c>
      <c r="K1527">
        <f t="shared" si="166"/>
        <v>-8.8888888888888889E-3</v>
      </c>
      <c r="L1527">
        <f t="shared" si="167"/>
        <v>4.6079325394765787E-2</v>
      </c>
    </row>
    <row r="1528" spans="1:12" x14ac:dyDescent="0.25">
      <c r="A1528" s="1">
        <v>42438</v>
      </c>
      <c r="B1528" s="6">
        <v>129.8263</v>
      </c>
      <c r="C1528" s="6">
        <v>10.9734</v>
      </c>
      <c r="D1528" s="6">
        <v>8634.11</v>
      </c>
      <c r="E1528" s="6">
        <v>0.8</v>
      </c>
      <c r="F1528" s="6">
        <f t="shared" si="161"/>
        <v>8.8888888888888889E-3</v>
      </c>
      <c r="G1528">
        <f t="shared" si="162"/>
        <v>0.65786515198739737</v>
      </c>
      <c r="H1528">
        <f t="shared" si="163"/>
        <v>-2.2727677537716215</v>
      </c>
      <c r="I1528">
        <f t="shared" si="164"/>
        <v>-0.34855631896826073</v>
      </c>
      <c r="J1528">
        <f t="shared" si="165"/>
        <v>0.45663667446932726</v>
      </c>
      <c r="K1528">
        <f t="shared" si="166"/>
        <v>0.64897626309850853</v>
      </c>
      <c r="L1528">
        <f t="shared" si="167"/>
        <v>-0.35744520785714962</v>
      </c>
    </row>
    <row r="1529" spans="1:12" x14ac:dyDescent="0.25">
      <c r="A1529" s="1">
        <v>42439</v>
      </c>
      <c r="B1529" s="6">
        <v>131.09909999999999</v>
      </c>
      <c r="C1529" s="6">
        <v>11.1861</v>
      </c>
      <c r="D1529" s="6">
        <v>8660.7000000000007</v>
      </c>
      <c r="E1529" s="6">
        <v>0.8</v>
      </c>
      <c r="F1529" s="6">
        <f t="shared" si="161"/>
        <v>8.8888888888888889E-3</v>
      </c>
      <c r="G1529">
        <f t="shared" si="162"/>
        <v>0.98038687076500641</v>
      </c>
      <c r="H1529">
        <f t="shared" si="163"/>
        <v>1.9383235824812719</v>
      </c>
      <c r="I1529">
        <f t="shared" si="164"/>
        <v>0.30796457307122732</v>
      </c>
      <c r="J1529">
        <f t="shared" si="165"/>
        <v>0.68357139224094465</v>
      </c>
      <c r="K1529">
        <f t="shared" si="166"/>
        <v>0.97149798187611758</v>
      </c>
      <c r="L1529">
        <f t="shared" si="167"/>
        <v>0.29907568418233843</v>
      </c>
    </row>
    <row r="1530" spans="1:12" x14ac:dyDescent="0.25">
      <c r="A1530" s="1">
        <v>42440</v>
      </c>
      <c r="B1530" s="6">
        <v>131.52340000000001</v>
      </c>
      <c r="C1530" s="6">
        <v>11.271100000000001</v>
      </c>
      <c r="D1530" s="6">
        <v>8706.14</v>
      </c>
      <c r="E1530" s="6">
        <v>0.8</v>
      </c>
      <c r="F1530" s="6">
        <f t="shared" si="161"/>
        <v>8.8888888888888889E-3</v>
      </c>
      <c r="G1530">
        <f t="shared" si="162"/>
        <v>0.32364829354283636</v>
      </c>
      <c r="H1530">
        <f t="shared" si="163"/>
        <v>0.75987162639347816</v>
      </c>
      <c r="I1530">
        <f t="shared" si="164"/>
        <v>0.52466890667034638</v>
      </c>
      <c r="J1530">
        <f t="shared" si="165"/>
        <v>0.22147295050960422</v>
      </c>
      <c r="K1530">
        <f t="shared" si="166"/>
        <v>0.31475940465394747</v>
      </c>
      <c r="L1530">
        <f t="shared" si="167"/>
        <v>0.51578001778145754</v>
      </c>
    </row>
    <row r="1531" spans="1:12" x14ac:dyDescent="0.25">
      <c r="A1531" s="1">
        <v>42443</v>
      </c>
      <c r="B1531" s="6">
        <v>132.37190000000001</v>
      </c>
      <c r="C1531" s="6">
        <v>11.3987</v>
      </c>
      <c r="D1531" s="6">
        <v>8747.9</v>
      </c>
      <c r="E1531" s="6">
        <v>0.8</v>
      </c>
      <c r="F1531" s="6">
        <f t="shared" si="161"/>
        <v>8.8888888888888889E-3</v>
      </c>
      <c r="G1531">
        <f t="shared" si="162"/>
        <v>0.6451323490724854</v>
      </c>
      <c r="H1531">
        <f t="shared" si="163"/>
        <v>1.1320989078262038</v>
      </c>
      <c r="I1531">
        <f t="shared" si="164"/>
        <v>0.47966148028862643</v>
      </c>
      <c r="J1531">
        <f t="shared" si="165"/>
        <v>0.44767754127703019</v>
      </c>
      <c r="K1531">
        <f t="shared" si="166"/>
        <v>0.63624346018359657</v>
      </c>
      <c r="L1531">
        <f t="shared" si="167"/>
        <v>0.47077259139973754</v>
      </c>
    </row>
    <row r="1532" spans="1:12" x14ac:dyDescent="0.25">
      <c r="A1532" s="1">
        <v>42444</v>
      </c>
      <c r="B1532" s="6">
        <v>131.09909999999999</v>
      </c>
      <c r="C1532" s="6">
        <v>11.271100000000001</v>
      </c>
      <c r="D1532" s="6">
        <v>8611.18</v>
      </c>
      <c r="E1532" s="6">
        <v>0.8</v>
      </c>
      <c r="F1532" s="6">
        <f t="shared" si="161"/>
        <v>8.8888888888888889E-3</v>
      </c>
      <c r="G1532">
        <f t="shared" si="162"/>
        <v>-0.96153337679675055</v>
      </c>
      <c r="H1532">
        <f t="shared" si="163"/>
        <v>-1.1194258994446671</v>
      </c>
      <c r="I1532">
        <f t="shared" si="164"/>
        <v>-1.562889379165278</v>
      </c>
      <c r="J1532">
        <f t="shared" si="165"/>
        <v>-0.68281449019101836</v>
      </c>
      <c r="K1532">
        <f t="shared" si="166"/>
        <v>-0.97042226568563938</v>
      </c>
      <c r="L1532">
        <f t="shared" si="167"/>
        <v>-1.571778268054167</v>
      </c>
    </row>
    <row r="1533" spans="1:12" x14ac:dyDescent="0.25">
      <c r="A1533" s="1">
        <v>42445</v>
      </c>
      <c r="B1533" s="6">
        <v>132.37190000000001</v>
      </c>
      <c r="C1533" s="6">
        <v>11.271100000000001</v>
      </c>
      <c r="D1533" s="6">
        <v>8699.14</v>
      </c>
      <c r="E1533" s="6">
        <v>0.8</v>
      </c>
      <c r="F1533" s="6">
        <f t="shared" si="161"/>
        <v>8.8888888888888889E-3</v>
      </c>
      <c r="G1533">
        <f t="shared" si="162"/>
        <v>0.97086860245418771</v>
      </c>
      <c r="H1533">
        <f t="shared" si="163"/>
        <v>0</v>
      </c>
      <c r="I1533">
        <f t="shared" si="164"/>
        <v>1.021462796039557</v>
      </c>
      <c r="J1533">
        <f t="shared" si="165"/>
        <v>0.67687408968105234</v>
      </c>
      <c r="K1533">
        <f t="shared" si="166"/>
        <v>0.96197971356529888</v>
      </c>
      <c r="L1533">
        <f t="shared" si="167"/>
        <v>1.0125739071506681</v>
      </c>
    </row>
    <row r="1534" spans="1:12" x14ac:dyDescent="0.25">
      <c r="A1534" s="1">
        <v>42446</v>
      </c>
      <c r="B1534" s="6">
        <v>134.4933</v>
      </c>
      <c r="C1534" s="6">
        <v>11.313700000000001</v>
      </c>
      <c r="D1534" s="6">
        <v>8734.5400000000009</v>
      </c>
      <c r="E1534" s="6">
        <v>0.8</v>
      </c>
      <c r="F1534" s="6">
        <f t="shared" si="161"/>
        <v>8.8888888888888889E-3</v>
      </c>
      <c r="G1534">
        <f t="shared" si="162"/>
        <v>1.6026059911506854</v>
      </c>
      <c r="H1534">
        <f t="shared" si="163"/>
        <v>0.37795778584166756</v>
      </c>
      <c r="I1534">
        <f t="shared" si="164"/>
        <v>0.40693677765849795</v>
      </c>
      <c r="J1534">
        <f t="shared" si="165"/>
        <v>1.1213810411911074</v>
      </c>
      <c r="K1534">
        <f t="shared" si="166"/>
        <v>1.5937171022617964</v>
      </c>
      <c r="L1534">
        <f t="shared" si="167"/>
        <v>0.39804788876960906</v>
      </c>
    </row>
    <row r="1535" spans="1:12" x14ac:dyDescent="0.25">
      <c r="A1535" s="1">
        <v>42447</v>
      </c>
      <c r="B1535" s="6">
        <v>135.34180000000001</v>
      </c>
      <c r="C1535" s="6">
        <v>11.313700000000001</v>
      </c>
      <c r="D1535" s="6">
        <v>8810.7099999999991</v>
      </c>
      <c r="E1535" s="6">
        <v>0.8</v>
      </c>
      <c r="F1535" s="6">
        <f t="shared" si="161"/>
        <v>8.8888888888888889E-3</v>
      </c>
      <c r="G1535">
        <f t="shared" si="162"/>
        <v>0.63088644564450524</v>
      </c>
      <c r="H1535">
        <f t="shared" si="163"/>
        <v>0</v>
      </c>
      <c r="I1535">
        <f t="shared" si="164"/>
        <v>0.87205508246568508</v>
      </c>
      <c r="J1535">
        <f t="shared" si="165"/>
        <v>0.43765375098444653</v>
      </c>
      <c r="K1535">
        <f t="shared" si="166"/>
        <v>0.62199755675561641</v>
      </c>
      <c r="L1535">
        <f t="shared" si="167"/>
        <v>0.86316619357679625</v>
      </c>
    </row>
    <row r="1536" spans="1:12" x14ac:dyDescent="0.25">
      <c r="A1536" s="1">
        <v>42450</v>
      </c>
      <c r="B1536" s="6">
        <v>135.76609999999999</v>
      </c>
      <c r="C1536" s="6">
        <v>11.356199999999999</v>
      </c>
      <c r="D1536" s="6">
        <v>8812.7000000000007</v>
      </c>
      <c r="E1536" s="6">
        <v>0.8</v>
      </c>
      <c r="F1536" s="6">
        <f t="shared" si="161"/>
        <v>8.8888888888888889E-3</v>
      </c>
      <c r="G1536">
        <f t="shared" si="162"/>
        <v>0.31350255427368934</v>
      </c>
      <c r="H1536">
        <f t="shared" si="163"/>
        <v>0.37565075969840678</v>
      </c>
      <c r="I1536">
        <f t="shared" si="164"/>
        <v>2.2586147994901669E-2</v>
      </c>
      <c r="J1536">
        <f t="shared" si="165"/>
        <v>0.214334142970209</v>
      </c>
      <c r="K1536">
        <f t="shared" si="166"/>
        <v>0.30461366538480045</v>
      </c>
      <c r="L1536">
        <f t="shared" si="167"/>
        <v>1.369725910601278E-2</v>
      </c>
    </row>
    <row r="1537" spans="1:12" x14ac:dyDescent="0.25">
      <c r="A1537" s="1">
        <v>42451</v>
      </c>
      <c r="B1537" s="6">
        <v>134.4933</v>
      </c>
      <c r="C1537" s="6">
        <v>11.313700000000001</v>
      </c>
      <c r="D1537" s="6">
        <v>8785.68</v>
      </c>
      <c r="E1537" s="6">
        <v>0.8</v>
      </c>
      <c r="F1537" s="6">
        <f t="shared" si="161"/>
        <v>8.8888888888888889E-3</v>
      </c>
      <c r="G1537">
        <f t="shared" si="162"/>
        <v>-0.93749470596856621</v>
      </c>
      <c r="H1537">
        <f t="shared" si="163"/>
        <v>-0.37424490586638709</v>
      </c>
      <c r="I1537">
        <f t="shared" si="164"/>
        <v>-0.30660297071272635</v>
      </c>
      <c r="J1537">
        <f t="shared" si="165"/>
        <v>-0.66590025259897456</v>
      </c>
      <c r="K1537">
        <f t="shared" si="166"/>
        <v>-0.94638359485745505</v>
      </c>
      <c r="L1537">
        <f t="shared" si="167"/>
        <v>-0.31549185960161524</v>
      </c>
    </row>
    <row r="1538" spans="1:12" x14ac:dyDescent="0.25">
      <c r="A1538" s="1">
        <v>42452</v>
      </c>
      <c r="B1538" s="6">
        <v>135.34180000000001</v>
      </c>
      <c r="C1538" s="6">
        <v>11.2286</v>
      </c>
      <c r="D1538" s="6">
        <v>8766.09</v>
      </c>
      <c r="E1538" s="6">
        <v>0.8</v>
      </c>
      <c r="F1538" s="6">
        <f t="shared" si="161"/>
        <v>8.8888888888888889E-3</v>
      </c>
      <c r="G1538">
        <f t="shared" si="162"/>
        <v>0.63088644564450524</v>
      </c>
      <c r="H1538">
        <f t="shared" si="163"/>
        <v>-0.75218540353730978</v>
      </c>
      <c r="I1538">
        <f t="shared" si="164"/>
        <v>-0.22297647990821592</v>
      </c>
      <c r="J1538">
        <f t="shared" si="165"/>
        <v>0.43765375098444653</v>
      </c>
      <c r="K1538">
        <f t="shared" si="166"/>
        <v>0.62199755675561641</v>
      </c>
      <c r="L1538">
        <f t="shared" si="167"/>
        <v>-0.23186536879710481</v>
      </c>
    </row>
    <row r="1539" spans="1:12" x14ac:dyDescent="0.25">
      <c r="A1539" s="1">
        <v>42453</v>
      </c>
      <c r="B1539" s="6">
        <v>134.4933</v>
      </c>
      <c r="C1539" s="6">
        <v>11.271100000000001</v>
      </c>
      <c r="D1539" s="6">
        <v>8743.3799999999992</v>
      </c>
      <c r="E1539" s="6">
        <v>0.8</v>
      </c>
      <c r="F1539" s="6">
        <f t="shared" ref="F1539:F1602" si="168">E1539/90</f>
        <v>8.8888888888888889E-3</v>
      </c>
      <c r="G1539">
        <f t="shared" si="162"/>
        <v>-0.62693122154426895</v>
      </c>
      <c r="H1539">
        <f t="shared" si="163"/>
        <v>0.37849776463673501</v>
      </c>
      <c r="I1539">
        <f t="shared" si="164"/>
        <v>-0.25906647091235596</v>
      </c>
      <c r="J1539">
        <f t="shared" si="165"/>
        <v>-0.44737966131874823</v>
      </c>
      <c r="K1539">
        <f t="shared" si="166"/>
        <v>-0.63582011043315778</v>
      </c>
      <c r="L1539">
        <f t="shared" si="167"/>
        <v>-0.26795535980124485</v>
      </c>
    </row>
    <row r="1540" spans="1:12" x14ac:dyDescent="0.25">
      <c r="A1540" s="1">
        <v>42454</v>
      </c>
      <c r="B1540" s="6">
        <v>134.06899999999999</v>
      </c>
      <c r="C1540" s="6">
        <v>11.1435</v>
      </c>
      <c r="D1540" s="6">
        <v>8704.9699999999993</v>
      </c>
      <c r="E1540" s="6">
        <v>0.8</v>
      </c>
      <c r="F1540" s="6">
        <f t="shared" si="168"/>
        <v>8.8888888888888889E-3</v>
      </c>
      <c r="G1540">
        <f t="shared" ref="G1540:G1603" si="169">100*(B1540-B1539)/B1539</f>
        <v>-0.31548039939537253</v>
      </c>
      <c r="H1540">
        <f t="shared" ref="H1540:H1603" si="170">100*(C1540-C1539)/C1539</f>
        <v>-1.1320989078262196</v>
      </c>
      <c r="I1540">
        <f t="shared" ref="I1540:I1603" si="171">100*(D1540-D1539)/D1539</f>
        <v>-0.43930379326987801</v>
      </c>
      <c r="J1540">
        <f t="shared" ref="J1540:J1603" si="172">(G1540-F1540)/$N$3</f>
        <v>-0.22823471600474329</v>
      </c>
      <c r="K1540">
        <f t="shared" ref="K1540:K1603" si="173">G1540-F1540</f>
        <v>-0.32436928828426143</v>
      </c>
      <c r="L1540">
        <f t="shared" ref="L1540:L1603" si="174">I1540-F1540</f>
        <v>-0.4481926821587669</v>
      </c>
    </row>
    <row r="1541" spans="1:12" x14ac:dyDescent="0.25">
      <c r="A1541" s="1">
        <v>42457</v>
      </c>
      <c r="B1541" s="6">
        <v>134.91749999999999</v>
      </c>
      <c r="C1541" s="6">
        <v>11.1435</v>
      </c>
      <c r="D1541" s="6">
        <v>8690.4500000000007</v>
      </c>
      <c r="E1541" s="6">
        <v>0.8</v>
      </c>
      <c r="F1541" s="6">
        <f t="shared" si="168"/>
        <v>8.8888888888888889E-3</v>
      </c>
      <c r="G1541">
        <f t="shared" si="169"/>
        <v>0.63288306767410918</v>
      </c>
      <c r="H1541">
        <f t="shared" si="170"/>
        <v>0</v>
      </c>
      <c r="I1541">
        <f t="shared" si="171"/>
        <v>-0.16680126410543195</v>
      </c>
      <c r="J1541">
        <f t="shared" si="172"/>
        <v>0.43905862647159843</v>
      </c>
      <c r="K1541">
        <f t="shared" si="173"/>
        <v>0.62399417878522034</v>
      </c>
      <c r="L1541">
        <f t="shared" si="174"/>
        <v>-0.17569015299432084</v>
      </c>
    </row>
    <row r="1542" spans="1:12" x14ac:dyDescent="0.25">
      <c r="A1542" s="1">
        <v>42458</v>
      </c>
      <c r="B1542" s="6">
        <v>134.91749999999999</v>
      </c>
      <c r="C1542" s="6">
        <v>10.9734</v>
      </c>
      <c r="D1542" s="6">
        <v>8617.35</v>
      </c>
      <c r="E1542" s="6">
        <v>0.8</v>
      </c>
      <c r="F1542" s="6">
        <f t="shared" si="168"/>
        <v>8.8888888888888889E-3</v>
      </c>
      <c r="G1542">
        <f t="shared" si="169"/>
        <v>0</v>
      </c>
      <c r="H1542">
        <f t="shared" si="170"/>
        <v>-1.5264503970924728</v>
      </c>
      <c r="I1542">
        <f t="shared" si="171"/>
        <v>-0.84115321991381753</v>
      </c>
      <c r="J1542">
        <f t="shared" si="172"/>
        <v>-6.2544547354784511E-3</v>
      </c>
      <c r="K1542">
        <f t="shared" si="173"/>
        <v>-8.8888888888888889E-3</v>
      </c>
      <c r="L1542">
        <f t="shared" si="174"/>
        <v>-0.85004210880270636</v>
      </c>
    </row>
    <row r="1543" spans="1:12" x14ac:dyDescent="0.25">
      <c r="A1543" s="1">
        <v>42459</v>
      </c>
      <c r="B1543" s="6">
        <v>137.03890000000001</v>
      </c>
      <c r="C1543" s="6">
        <v>11.271100000000001</v>
      </c>
      <c r="D1543" s="6">
        <v>8737.0400000000009</v>
      </c>
      <c r="E1543" s="6">
        <v>0.8</v>
      </c>
      <c r="F1543" s="6">
        <f t="shared" si="168"/>
        <v>8.8888888888888889E-3</v>
      </c>
      <c r="G1543">
        <f t="shared" si="169"/>
        <v>1.5723682991457912</v>
      </c>
      <c r="H1543">
        <f t="shared" si="170"/>
        <v>2.7129239798057188</v>
      </c>
      <c r="I1543">
        <f t="shared" si="171"/>
        <v>1.3889420761603104</v>
      </c>
      <c r="J1543">
        <f t="shared" si="172"/>
        <v>1.100105010146738</v>
      </c>
      <c r="K1543">
        <f t="shared" si="173"/>
        <v>1.5634794102569023</v>
      </c>
      <c r="L1543">
        <f t="shared" si="174"/>
        <v>1.3800531872714215</v>
      </c>
    </row>
    <row r="1544" spans="1:12" x14ac:dyDescent="0.25">
      <c r="A1544" s="1">
        <v>42460</v>
      </c>
      <c r="B1544" s="6">
        <v>137.4632</v>
      </c>
      <c r="C1544" s="6">
        <v>11.313700000000001</v>
      </c>
      <c r="D1544" s="6">
        <v>8744.83</v>
      </c>
      <c r="E1544" s="6">
        <v>0.8</v>
      </c>
      <c r="F1544" s="6">
        <f t="shared" si="168"/>
        <v>8.8888888888888889E-3</v>
      </c>
      <c r="G1544">
        <f t="shared" si="169"/>
        <v>0.30962011516437166</v>
      </c>
      <c r="H1544">
        <f t="shared" si="170"/>
        <v>0.37795778584166756</v>
      </c>
      <c r="I1544">
        <f t="shared" si="171"/>
        <v>8.9160631060394069E-2</v>
      </c>
      <c r="J1544">
        <f t="shared" si="172"/>
        <v>0.21160235725705515</v>
      </c>
      <c r="K1544">
        <f t="shared" si="173"/>
        <v>0.30073122627548277</v>
      </c>
      <c r="L1544">
        <f t="shared" si="174"/>
        <v>8.0271742171505178E-2</v>
      </c>
    </row>
    <row r="1545" spans="1:12" x14ac:dyDescent="0.25">
      <c r="A1545" s="1">
        <v>42461</v>
      </c>
      <c r="B1545" s="6">
        <v>134.4933</v>
      </c>
      <c r="C1545" s="6">
        <v>11.1861</v>
      </c>
      <c r="D1545" s="6">
        <v>8657.5499999999993</v>
      </c>
      <c r="E1545" s="6">
        <v>0.8</v>
      </c>
      <c r="F1545" s="6">
        <f t="shared" si="168"/>
        <v>8.8888888888888889E-3</v>
      </c>
      <c r="G1545">
        <f t="shared" si="169"/>
        <v>-2.1605055025635918</v>
      </c>
      <c r="H1545">
        <f t="shared" si="170"/>
        <v>-1.1278361632357323</v>
      </c>
      <c r="I1545">
        <f t="shared" si="171"/>
        <v>-0.99807543428517942</v>
      </c>
      <c r="J1545">
        <f t="shared" si="172"/>
        <v>-1.5264426402832905</v>
      </c>
      <c r="K1545">
        <f t="shared" si="173"/>
        <v>-2.1693943914524807</v>
      </c>
      <c r="L1545">
        <f t="shared" si="174"/>
        <v>-1.0069643231740684</v>
      </c>
    </row>
    <row r="1546" spans="1:12" x14ac:dyDescent="0.25">
      <c r="A1546" s="1">
        <v>42466</v>
      </c>
      <c r="B1546" s="6">
        <v>130.25059999999999</v>
      </c>
      <c r="C1546" s="6">
        <v>10.845800000000001</v>
      </c>
      <c r="D1546" s="6">
        <v>8513.2999999999993</v>
      </c>
      <c r="E1546" s="6">
        <v>0.8</v>
      </c>
      <c r="F1546" s="6">
        <f t="shared" si="168"/>
        <v>8.8888888888888889E-3</v>
      </c>
      <c r="G1546">
        <f t="shared" si="169"/>
        <v>-3.1545809345149634</v>
      </c>
      <c r="H1546">
        <f t="shared" si="170"/>
        <v>-3.0421684054317337</v>
      </c>
      <c r="I1546">
        <f t="shared" si="171"/>
        <v>-1.666175765661186</v>
      </c>
      <c r="J1546">
        <f t="shared" si="172"/>
        <v>-2.2259001169722827</v>
      </c>
      <c r="K1546">
        <f t="shared" si="173"/>
        <v>-3.1634698234038523</v>
      </c>
      <c r="L1546">
        <f t="shared" si="174"/>
        <v>-1.6750646545500749</v>
      </c>
    </row>
    <row r="1547" spans="1:12" x14ac:dyDescent="0.25">
      <c r="A1547" s="1">
        <v>42467</v>
      </c>
      <c r="B1547" s="6">
        <v>131.09909999999999</v>
      </c>
      <c r="C1547" s="6">
        <v>10.7182</v>
      </c>
      <c r="D1547" s="6">
        <v>8490.25</v>
      </c>
      <c r="E1547" s="6">
        <v>0.8</v>
      </c>
      <c r="F1547" s="6">
        <f t="shared" si="168"/>
        <v>8.8888888888888889E-3</v>
      </c>
      <c r="G1547">
        <f t="shared" si="169"/>
        <v>0.65143653848811556</v>
      </c>
      <c r="H1547">
        <f t="shared" si="170"/>
        <v>-1.1764922827269637</v>
      </c>
      <c r="I1547">
        <f t="shared" si="171"/>
        <v>-0.27075282205489382</v>
      </c>
      <c r="J1547">
        <f t="shared" si="172"/>
        <v>0.45211333385322361</v>
      </c>
      <c r="K1547">
        <f t="shared" si="173"/>
        <v>0.64254764959922672</v>
      </c>
      <c r="L1547">
        <f t="shared" si="174"/>
        <v>-0.27964171094378271</v>
      </c>
    </row>
    <row r="1548" spans="1:12" x14ac:dyDescent="0.25">
      <c r="A1548" s="1">
        <v>42468</v>
      </c>
      <c r="B1548" s="6">
        <v>133.6447</v>
      </c>
      <c r="C1548" s="6">
        <v>10.845800000000001</v>
      </c>
      <c r="D1548" s="6">
        <v>8541.5</v>
      </c>
      <c r="E1548" s="6">
        <v>0.8</v>
      </c>
      <c r="F1548" s="6">
        <f t="shared" si="168"/>
        <v>8.8888888888888889E-3</v>
      </c>
      <c r="G1548">
        <f t="shared" si="169"/>
        <v>1.9417372049083537</v>
      </c>
      <c r="H1548">
        <f t="shared" si="170"/>
        <v>1.1904984045828688</v>
      </c>
      <c r="I1548">
        <f t="shared" si="171"/>
        <v>0.60363357969435527</v>
      </c>
      <c r="J1548">
        <f t="shared" si="172"/>
        <v>1.3600026340975677</v>
      </c>
      <c r="K1548">
        <f t="shared" si="173"/>
        <v>1.9328483160194647</v>
      </c>
      <c r="L1548">
        <f t="shared" si="174"/>
        <v>0.59474469080546644</v>
      </c>
    </row>
    <row r="1549" spans="1:12" x14ac:dyDescent="0.25">
      <c r="A1549" s="1">
        <v>42471</v>
      </c>
      <c r="B1549" s="6">
        <v>134.4933</v>
      </c>
      <c r="C1549" s="6">
        <v>10.7182</v>
      </c>
      <c r="D1549" s="6">
        <v>8562.59</v>
      </c>
      <c r="E1549" s="6">
        <v>0.8</v>
      </c>
      <c r="F1549" s="6">
        <f t="shared" si="168"/>
        <v>8.8888888888888889E-3</v>
      </c>
      <c r="G1549">
        <f t="shared" si="169"/>
        <v>0.63496719286287051</v>
      </c>
      <c r="H1549">
        <f t="shared" si="170"/>
        <v>-1.1764922827269637</v>
      </c>
      <c r="I1549">
        <f t="shared" si="171"/>
        <v>0.246912134870926</v>
      </c>
      <c r="J1549">
        <f t="shared" si="172"/>
        <v>0.44052507147041853</v>
      </c>
      <c r="K1549">
        <f t="shared" si="173"/>
        <v>0.62607830397398168</v>
      </c>
      <c r="L1549">
        <f t="shared" si="174"/>
        <v>0.23802324598203711</v>
      </c>
    </row>
    <row r="1550" spans="1:12" x14ac:dyDescent="0.25">
      <c r="A1550" s="1">
        <v>42472</v>
      </c>
      <c r="B1550" s="6">
        <v>134.4933</v>
      </c>
      <c r="C1550" s="6">
        <v>10.9734</v>
      </c>
      <c r="D1550" s="6">
        <v>8531.18</v>
      </c>
      <c r="E1550" s="6">
        <v>0.8</v>
      </c>
      <c r="F1550" s="6">
        <f t="shared" si="168"/>
        <v>8.8888888888888889E-3</v>
      </c>
      <c r="G1550">
        <f t="shared" si="169"/>
        <v>0</v>
      </c>
      <c r="H1550">
        <f t="shared" si="170"/>
        <v>2.3809968091657212</v>
      </c>
      <c r="I1550">
        <f t="shared" si="171"/>
        <v>-0.36682826107521033</v>
      </c>
      <c r="J1550">
        <f t="shared" si="172"/>
        <v>-6.2544547354784511E-3</v>
      </c>
      <c r="K1550">
        <f t="shared" si="173"/>
        <v>-8.8888888888888889E-3</v>
      </c>
      <c r="L1550">
        <f t="shared" si="174"/>
        <v>-0.37571714996409922</v>
      </c>
    </row>
    <row r="1551" spans="1:12" x14ac:dyDescent="0.25">
      <c r="A1551" s="1">
        <v>42473</v>
      </c>
      <c r="B1551" s="6">
        <v>137.03890000000001</v>
      </c>
      <c r="C1551" s="6">
        <v>10.9734</v>
      </c>
      <c r="D1551" s="6">
        <v>8652.08</v>
      </c>
      <c r="E1551" s="6">
        <v>0.8</v>
      </c>
      <c r="F1551" s="6">
        <f t="shared" si="168"/>
        <v>8.8888888888888889E-3</v>
      </c>
      <c r="G1551">
        <f t="shared" si="169"/>
        <v>1.8927336900797342</v>
      </c>
      <c r="H1551">
        <f t="shared" si="170"/>
        <v>0</v>
      </c>
      <c r="I1551">
        <f t="shared" si="171"/>
        <v>1.4171544850770894</v>
      </c>
      <c r="J1551">
        <f t="shared" si="172"/>
        <v>1.3255224792428861</v>
      </c>
      <c r="K1551">
        <f t="shared" si="173"/>
        <v>1.8838448011908453</v>
      </c>
      <c r="L1551">
        <f t="shared" si="174"/>
        <v>1.4082655961882005</v>
      </c>
    </row>
    <row r="1552" spans="1:12" x14ac:dyDescent="0.25">
      <c r="A1552" s="1">
        <v>42474</v>
      </c>
      <c r="B1552" s="6">
        <v>137.03890000000001</v>
      </c>
      <c r="C1552" s="6">
        <v>10.930899999999999</v>
      </c>
      <c r="D1552" s="6">
        <v>8667.7099999999991</v>
      </c>
      <c r="E1552" s="6">
        <v>0.8</v>
      </c>
      <c r="F1552" s="6">
        <f t="shared" si="168"/>
        <v>8.8888888888888889E-3</v>
      </c>
      <c r="G1552">
        <f t="shared" si="169"/>
        <v>0</v>
      </c>
      <c r="H1552">
        <f t="shared" si="170"/>
        <v>-0.38730019866222343</v>
      </c>
      <c r="I1552">
        <f t="shared" si="171"/>
        <v>0.18065020203233442</v>
      </c>
      <c r="J1552">
        <f t="shared" si="172"/>
        <v>-6.2544547354784511E-3</v>
      </c>
      <c r="K1552">
        <f t="shared" si="173"/>
        <v>-8.8888888888888889E-3</v>
      </c>
      <c r="L1552">
        <f t="shared" si="174"/>
        <v>0.17176131314344553</v>
      </c>
    </row>
    <row r="1553" spans="1:12" x14ac:dyDescent="0.25">
      <c r="A1553" s="1">
        <v>42475</v>
      </c>
      <c r="B1553" s="6">
        <v>135.34180000000001</v>
      </c>
      <c r="C1553" s="6">
        <v>10.930899999999999</v>
      </c>
      <c r="D1553" s="6">
        <v>8700.39</v>
      </c>
      <c r="E1553" s="6">
        <v>0.8</v>
      </c>
      <c r="F1553" s="6">
        <f t="shared" si="168"/>
        <v>8.8888888888888889E-3</v>
      </c>
      <c r="G1553">
        <f t="shared" si="169"/>
        <v>-1.2384074886765772</v>
      </c>
      <c r="H1553">
        <f t="shared" si="170"/>
        <v>0</v>
      </c>
      <c r="I1553">
        <f t="shared" si="171"/>
        <v>0.3770315342806842</v>
      </c>
      <c r="J1553">
        <f t="shared" si="172"/>
        <v>-0.8776303577110629</v>
      </c>
      <c r="K1553">
        <f t="shared" si="173"/>
        <v>-1.2472963775654662</v>
      </c>
      <c r="L1553">
        <f t="shared" si="174"/>
        <v>0.36814264539179531</v>
      </c>
    </row>
    <row r="1554" spans="1:12" x14ac:dyDescent="0.25">
      <c r="A1554" s="1">
        <v>42478</v>
      </c>
      <c r="B1554" s="6">
        <v>134.06899999999999</v>
      </c>
      <c r="C1554" s="6">
        <v>10.9734</v>
      </c>
      <c r="D1554" s="6">
        <v>8666.01</v>
      </c>
      <c r="E1554" s="6">
        <v>0.8</v>
      </c>
      <c r="F1554" s="6">
        <f t="shared" si="168"/>
        <v>8.8888888888888889E-3</v>
      </c>
      <c r="G1554">
        <f t="shared" si="169"/>
        <v>-0.94043377581797927</v>
      </c>
      <c r="H1554">
        <f t="shared" si="170"/>
        <v>0.38880604524787921</v>
      </c>
      <c r="I1554">
        <f t="shared" si="171"/>
        <v>-0.3951546999617167</v>
      </c>
      <c r="J1554">
        <f t="shared" si="172"/>
        <v>-0.66796825902445045</v>
      </c>
      <c r="K1554">
        <f t="shared" si="173"/>
        <v>-0.9493226647068681</v>
      </c>
      <c r="L1554">
        <f t="shared" si="174"/>
        <v>-0.4040435888506056</v>
      </c>
    </row>
    <row r="1555" spans="1:12" x14ac:dyDescent="0.25">
      <c r="A1555" s="1">
        <v>42479</v>
      </c>
      <c r="B1555" s="6">
        <v>133.6447</v>
      </c>
      <c r="C1555" s="6">
        <v>10.7607</v>
      </c>
      <c r="D1555" s="6">
        <v>8633.7199999999993</v>
      </c>
      <c r="E1555" s="6">
        <v>0.8</v>
      </c>
      <c r="F1555" s="6">
        <f t="shared" si="168"/>
        <v>8.8888888888888889E-3</v>
      </c>
      <c r="G1555">
        <f t="shared" si="169"/>
        <v>-0.3164788280661362</v>
      </c>
      <c r="H1555">
        <f t="shared" si="170"/>
        <v>-1.9383235824812719</v>
      </c>
      <c r="I1555">
        <f t="shared" si="171"/>
        <v>-0.37260515508291442</v>
      </c>
      <c r="J1555">
        <f t="shared" si="172"/>
        <v>-0.22893723653413151</v>
      </c>
      <c r="K1555">
        <f t="shared" si="173"/>
        <v>-0.32536771695502509</v>
      </c>
      <c r="L1555">
        <f t="shared" si="174"/>
        <v>-0.38149404397180331</v>
      </c>
    </row>
    <row r="1556" spans="1:12" x14ac:dyDescent="0.25">
      <c r="A1556" s="1">
        <v>42480</v>
      </c>
      <c r="B1556" s="6">
        <v>130.67490000000001</v>
      </c>
      <c r="C1556" s="6">
        <v>10.7182</v>
      </c>
      <c r="D1556" s="6">
        <v>8514.48</v>
      </c>
      <c r="E1556" s="6">
        <v>0.8</v>
      </c>
      <c r="F1556" s="6">
        <f t="shared" si="168"/>
        <v>8.8888888888888889E-3</v>
      </c>
      <c r="G1556">
        <f t="shared" si="169"/>
        <v>-2.2221606992271239</v>
      </c>
      <c r="H1556">
        <f t="shared" si="170"/>
        <v>-0.39495571849415395</v>
      </c>
      <c r="I1556">
        <f t="shared" si="171"/>
        <v>-1.3810964451012981</v>
      </c>
      <c r="J1556">
        <f t="shared" si="172"/>
        <v>-1.5698248494164375</v>
      </c>
      <c r="K1556">
        <f t="shared" si="173"/>
        <v>-2.2310495881160128</v>
      </c>
      <c r="L1556">
        <f t="shared" si="174"/>
        <v>-1.3899853339901871</v>
      </c>
    </row>
    <row r="1557" spans="1:12" x14ac:dyDescent="0.25">
      <c r="A1557" s="1">
        <v>42481</v>
      </c>
      <c r="B1557" s="6">
        <v>133.22049999999999</v>
      </c>
      <c r="C1557" s="6">
        <v>10.675700000000001</v>
      </c>
      <c r="D1557" s="6">
        <v>8568.65</v>
      </c>
      <c r="E1557" s="6">
        <v>0.8</v>
      </c>
      <c r="F1557" s="6">
        <f t="shared" si="168"/>
        <v>8.8888888888888889E-3</v>
      </c>
      <c r="G1557">
        <f t="shared" si="169"/>
        <v>1.9480405188754526</v>
      </c>
      <c r="H1557">
        <f t="shared" si="170"/>
        <v>-0.39652180403424692</v>
      </c>
      <c r="I1557">
        <f t="shared" si="171"/>
        <v>0.63621031466396161</v>
      </c>
      <c r="J1557">
        <f t="shared" si="172"/>
        <v>1.3644378106852748</v>
      </c>
      <c r="K1557">
        <f t="shared" si="173"/>
        <v>1.9391516299865637</v>
      </c>
      <c r="L1557">
        <f t="shared" si="174"/>
        <v>0.62732142577507277</v>
      </c>
    </row>
    <row r="1558" spans="1:12" x14ac:dyDescent="0.25">
      <c r="A1558" s="1">
        <v>42482</v>
      </c>
      <c r="B1558" s="6">
        <v>132.7962</v>
      </c>
      <c r="C1558" s="6">
        <v>10.8033</v>
      </c>
      <c r="D1558" s="6">
        <v>8535.75</v>
      </c>
      <c r="E1558" s="6">
        <v>0.8</v>
      </c>
      <c r="F1558" s="6">
        <f t="shared" si="168"/>
        <v>8.8888888888888889E-3</v>
      </c>
      <c r="G1558">
        <f t="shared" si="169"/>
        <v>-0.31849452599261235</v>
      </c>
      <c r="H1558">
        <f t="shared" si="170"/>
        <v>1.1952377830025127</v>
      </c>
      <c r="I1558">
        <f t="shared" si="171"/>
        <v>-0.38395779965338339</v>
      </c>
      <c r="J1558">
        <f t="shared" si="172"/>
        <v>-0.23035553432130507</v>
      </c>
      <c r="K1558">
        <f t="shared" si="173"/>
        <v>-0.32738341488150124</v>
      </c>
      <c r="L1558">
        <f t="shared" si="174"/>
        <v>-0.39284668854227228</v>
      </c>
    </row>
    <row r="1559" spans="1:12" x14ac:dyDescent="0.25">
      <c r="A1559" s="1">
        <v>42485</v>
      </c>
      <c r="B1559" s="6">
        <v>133.6447</v>
      </c>
      <c r="C1559" s="6">
        <v>10.8033</v>
      </c>
      <c r="D1559" s="6">
        <v>8560.2800000000007</v>
      </c>
      <c r="E1559" s="6">
        <v>0.73</v>
      </c>
      <c r="F1559" s="6">
        <f t="shared" si="168"/>
        <v>8.1111111111111106E-3</v>
      </c>
      <c r="G1559">
        <f t="shared" si="169"/>
        <v>0.63894900607095784</v>
      </c>
      <c r="H1559">
        <f t="shared" si="170"/>
        <v>0</v>
      </c>
      <c r="I1559">
        <f t="shared" si="171"/>
        <v>0.28737955071318461</v>
      </c>
      <c r="J1559">
        <f t="shared" si="172"/>
        <v>0.44387404418822302</v>
      </c>
      <c r="K1559">
        <f t="shared" si="173"/>
        <v>0.63083789495984677</v>
      </c>
      <c r="L1559">
        <f t="shared" si="174"/>
        <v>0.27926843960207348</v>
      </c>
    </row>
    <row r="1560" spans="1:12" x14ac:dyDescent="0.25">
      <c r="A1560" s="1">
        <v>42486</v>
      </c>
      <c r="B1560" s="6">
        <v>134.06899999999999</v>
      </c>
      <c r="C1560" s="6">
        <v>10.8033</v>
      </c>
      <c r="D1560" s="6">
        <v>8581.57</v>
      </c>
      <c r="E1560" s="6">
        <v>0.73</v>
      </c>
      <c r="F1560" s="6">
        <f t="shared" si="168"/>
        <v>8.1111111111111106E-3</v>
      </c>
      <c r="G1560">
        <f t="shared" si="169"/>
        <v>0.3174835964314246</v>
      </c>
      <c r="H1560">
        <f t="shared" si="170"/>
        <v>0</v>
      </c>
      <c r="I1560">
        <f t="shared" si="171"/>
        <v>0.24870681800126926</v>
      </c>
      <c r="J1560">
        <f t="shared" si="172"/>
        <v>0.21768257315681686</v>
      </c>
      <c r="K1560">
        <f t="shared" si="173"/>
        <v>0.30937248532031347</v>
      </c>
      <c r="L1560">
        <f t="shared" si="174"/>
        <v>0.24059570689015813</v>
      </c>
    </row>
    <row r="1561" spans="1:12" x14ac:dyDescent="0.25">
      <c r="A1561" s="1">
        <v>42487</v>
      </c>
      <c r="B1561" s="6">
        <v>132.7962</v>
      </c>
      <c r="C1561" s="6">
        <v>10.675700000000001</v>
      </c>
      <c r="D1561" s="6">
        <v>8563.0499999999993</v>
      </c>
      <c r="E1561" s="6">
        <v>0.73</v>
      </c>
      <c r="F1561" s="6">
        <f t="shared" si="168"/>
        <v>8.1111111111111106E-3</v>
      </c>
      <c r="G1561">
        <f t="shared" si="169"/>
        <v>-0.94936189574024543</v>
      </c>
      <c r="H1561">
        <f t="shared" si="170"/>
        <v>-1.1811205835253975</v>
      </c>
      <c r="I1561">
        <f t="shared" si="171"/>
        <v>-0.21581132589957824</v>
      </c>
      <c r="J1561">
        <f t="shared" si="172"/>
        <v>-0.67370305295185406</v>
      </c>
      <c r="K1561">
        <f t="shared" si="173"/>
        <v>-0.9574730068513565</v>
      </c>
      <c r="L1561">
        <f t="shared" si="174"/>
        <v>-0.22392243701068937</v>
      </c>
    </row>
    <row r="1562" spans="1:12" x14ac:dyDescent="0.25">
      <c r="A1562" s="1">
        <v>42488</v>
      </c>
      <c r="B1562" s="6">
        <v>129.8263</v>
      </c>
      <c r="C1562" s="6">
        <v>10.207800000000001</v>
      </c>
      <c r="D1562" s="6">
        <v>8473.8700000000008</v>
      </c>
      <c r="E1562" s="6">
        <v>0.73</v>
      </c>
      <c r="F1562" s="6">
        <f t="shared" si="168"/>
        <v>8.1111111111111106E-3</v>
      </c>
      <c r="G1562">
        <f t="shared" si="169"/>
        <v>-2.2364344762877217</v>
      </c>
      <c r="H1562">
        <f t="shared" si="170"/>
        <v>-4.3828507732514046</v>
      </c>
      <c r="I1562">
        <f t="shared" si="171"/>
        <v>-1.0414513520299249</v>
      </c>
      <c r="J1562">
        <f t="shared" si="172"/>
        <v>-1.5793209875366876</v>
      </c>
      <c r="K1562">
        <f t="shared" si="173"/>
        <v>-2.2445455873988327</v>
      </c>
      <c r="L1562">
        <f t="shared" si="174"/>
        <v>-1.0495624631410361</v>
      </c>
    </row>
    <row r="1563" spans="1:12" x14ac:dyDescent="0.25">
      <c r="A1563" s="1">
        <v>42489</v>
      </c>
      <c r="B1563" s="6">
        <v>127.2807</v>
      </c>
      <c r="C1563" s="6">
        <v>10.207800000000001</v>
      </c>
      <c r="D1563" s="6">
        <v>8377.9</v>
      </c>
      <c r="E1563" s="6">
        <v>0.73</v>
      </c>
      <c r="F1563" s="6">
        <f t="shared" si="168"/>
        <v>8.1111111111111106E-3</v>
      </c>
      <c r="G1563">
        <f t="shared" si="169"/>
        <v>-1.9607737415300346</v>
      </c>
      <c r="H1563">
        <f t="shared" si="170"/>
        <v>0</v>
      </c>
      <c r="I1563">
        <f t="shared" si="171"/>
        <v>-1.1325403859157759</v>
      </c>
      <c r="J1563">
        <f t="shared" si="172"/>
        <v>-1.3853588838989856</v>
      </c>
      <c r="K1563">
        <f t="shared" si="173"/>
        <v>-1.9688848526411458</v>
      </c>
      <c r="L1563">
        <f t="shared" si="174"/>
        <v>-1.1406514970268871</v>
      </c>
    </row>
    <row r="1564" spans="1:12" x14ac:dyDescent="0.25">
      <c r="A1564" s="1">
        <v>42493</v>
      </c>
      <c r="B1564" s="6">
        <v>125.15940000000001</v>
      </c>
      <c r="C1564" s="6">
        <v>9.9100999999999999</v>
      </c>
      <c r="D1564" s="6">
        <v>8294.1200000000008</v>
      </c>
      <c r="E1564" s="6">
        <v>0.73</v>
      </c>
      <c r="F1564" s="6">
        <f t="shared" si="168"/>
        <v>8.1111111111111106E-3</v>
      </c>
      <c r="G1564">
        <f t="shared" si="169"/>
        <v>-1.6666313117385361</v>
      </c>
      <c r="H1564">
        <f t="shared" si="170"/>
        <v>-2.9163972648367005</v>
      </c>
      <c r="I1564">
        <f t="shared" si="171"/>
        <v>-1.0000119361653736</v>
      </c>
      <c r="J1564">
        <f t="shared" si="172"/>
        <v>-1.1783925761960958</v>
      </c>
      <c r="K1564">
        <f t="shared" si="173"/>
        <v>-1.6747424228496472</v>
      </c>
      <c r="L1564">
        <f t="shared" si="174"/>
        <v>-1.0081230472764848</v>
      </c>
    </row>
    <row r="1565" spans="1:12" x14ac:dyDescent="0.25">
      <c r="A1565" s="1">
        <v>42494</v>
      </c>
      <c r="B1565" s="6">
        <v>124.7351</v>
      </c>
      <c r="C1565" s="6">
        <v>9.74</v>
      </c>
      <c r="D1565" s="6">
        <v>8185.47</v>
      </c>
      <c r="E1565" s="6">
        <v>0.73</v>
      </c>
      <c r="F1565" s="6">
        <f t="shared" si="168"/>
        <v>8.1111111111111106E-3</v>
      </c>
      <c r="G1565">
        <f t="shared" si="169"/>
        <v>-0.33900769738429742</v>
      </c>
      <c r="H1565">
        <f t="shared" si="170"/>
        <v>-1.7164307121017921</v>
      </c>
      <c r="I1565">
        <f t="shared" si="171"/>
        <v>-1.3099641673860583</v>
      </c>
      <c r="J1565">
        <f t="shared" si="172"/>
        <v>-0.24424187350137136</v>
      </c>
      <c r="K1565">
        <f t="shared" si="173"/>
        <v>-0.34711880849540855</v>
      </c>
      <c r="L1565">
        <f t="shared" si="174"/>
        <v>-1.3180752784971694</v>
      </c>
    </row>
    <row r="1566" spans="1:12" x14ac:dyDescent="0.25">
      <c r="A1566" s="1">
        <v>42495</v>
      </c>
      <c r="B1566" s="6">
        <v>125.15940000000001</v>
      </c>
      <c r="C1566" s="6">
        <v>9.6123999999999992</v>
      </c>
      <c r="D1566" s="6">
        <v>8167.96</v>
      </c>
      <c r="E1566" s="6">
        <v>0.73</v>
      </c>
      <c r="F1566" s="6">
        <f t="shared" si="168"/>
        <v>8.1111111111111106E-3</v>
      </c>
      <c r="G1566">
        <f t="shared" si="169"/>
        <v>0.34016086891340314</v>
      </c>
      <c r="H1566">
        <f t="shared" si="170"/>
        <v>-1.3100616016427211</v>
      </c>
      <c r="I1566">
        <f t="shared" si="171"/>
        <v>-0.21391563343339134</v>
      </c>
      <c r="J1566">
        <f t="shared" si="172"/>
        <v>0.23363889526136453</v>
      </c>
      <c r="K1566">
        <f t="shared" si="173"/>
        <v>0.33204975780229201</v>
      </c>
      <c r="L1566">
        <f t="shared" si="174"/>
        <v>-0.22202674454450244</v>
      </c>
    </row>
    <row r="1567" spans="1:12" x14ac:dyDescent="0.25">
      <c r="A1567" s="1">
        <v>42496</v>
      </c>
      <c r="B1567" s="6">
        <v>125.5836</v>
      </c>
      <c r="C1567" s="6">
        <v>9.6123999999999992</v>
      </c>
      <c r="D1567" s="6">
        <v>8146.43</v>
      </c>
      <c r="E1567" s="6">
        <v>0.73</v>
      </c>
      <c r="F1567" s="6">
        <f t="shared" si="168"/>
        <v>8.1111111111111106E-3</v>
      </c>
      <c r="G1567">
        <f t="shared" si="169"/>
        <v>0.33892779927036965</v>
      </c>
      <c r="H1567">
        <f t="shared" si="170"/>
        <v>0</v>
      </c>
      <c r="I1567">
        <f t="shared" si="171"/>
        <v>-0.26359090886830672</v>
      </c>
      <c r="J1567">
        <f t="shared" si="172"/>
        <v>0.23277127520620938</v>
      </c>
      <c r="K1567">
        <f t="shared" si="173"/>
        <v>0.33081668815925852</v>
      </c>
      <c r="L1567">
        <f t="shared" si="174"/>
        <v>-0.27170201997941784</v>
      </c>
    </row>
    <row r="1568" spans="1:12" x14ac:dyDescent="0.25">
      <c r="A1568" s="1">
        <v>42499</v>
      </c>
      <c r="B1568" s="6">
        <v>125.15940000000001</v>
      </c>
      <c r="C1568" s="6">
        <v>9.5698000000000008</v>
      </c>
      <c r="D1568" s="6">
        <v>8131.83</v>
      </c>
      <c r="E1568" s="6">
        <v>0.73</v>
      </c>
      <c r="F1568" s="6">
        <f t="shared" si="168"/>
        <v>8.1111111111111106E-3</v>
      </c>
      <c r="G1568">
        <f t="shared" si="169"/>
        <v>-0.33778295892138704</v>
      </c>
      <c r="H1568">
        <f t="shared" si="170"/>
        <v>-0.44317756231532623</v>
      </c>
      <c r="I1568">
        <f t="shared" si="171"/>
        <v>-0.17921960908030099</v>
      </c>
      <c r="J1568">
        <f t="shared" si="172"/>
        <v>-0.24338011548247573</v>
      </c>
      <c r="K1568">
        <f t="shared" si="173"/>
        <v>-0.34589407003249817</v>
      </c>
      <c r="L1568">
        <f t="shared" si="174"/>
        <v>-0.18733072019141211</v>
      </c>
    </row>
    <row r="1569" spans="1:12" x14ac:dyDescent="0.25">
      <c r="A1569" s="1">
        <v>42500</v>
      </c>
      <c r="B1569" s="6">
        <v>124.7351</v>
      </c>
      <c r="C1569" s="6">
        <v>9.5698000000000008</v>
      </c>
      <c r="D1569" s="6">
        <v>8156.29</v>
      </c>
      <c r="E1569" s="6">
        <v>0.73</v>
      </c>
      <c r="F1569" s="6">
        <f t="shared" si="168"/>
        <v>8.1111111111111106E-3</v>
      </c>
      <c r="G1569">
        <f t="shared" si="169"/>
        <v>-0.33900769738429742</v>
      </c>
      <c r="H1569">
        <f t="shared" si="170"/>
        <v>0</v>
      </c>
      <c r="I1569">
        <f t="shared" si="171"/>
        <v>0.30079330236859397</v>
      </c>
      <c r="J1569">
        <f t="shared" si="172"/>
        <v>-0.24424187350137136</v>
      </c>
      <c r="K1569">
        <f t="shared" si="173"/>
        <v>-0.34711880849540855</v>
      </c>
      <c r="L1569">
        <f t="shared" si="174"/>
        <v>0.29268219125748285</v>
      </c>
    </row>
    <row r="1570" spans="1:12" x14ac:dyDescent="0.25">
      <c r="A1570" s="1">
        <v>42501</v>
      </c>
      <c r="B1570" s="6">
        <v>124.7351</v>
      </c>
      <c r="C1570" s="6">
        <v>9.5698000000000008</v>
      </c>
      <c r="D1570" s="6">
        <v>8135.56</v>
      </c>
      <c r="E1570" s="6">
        <v>0.73</v>
      </c>
      <c r="F1570" s="6">
        <f t="shared" si="168"/>
        <v>8.1111111111111106E-3</v>
      </c>
      <c r="G1570">
        <f t="shared" si="169"/>
        <v>0</v>
      </c>
      <c r="H1570">
        <f t="shared" si="170"/>
        <v>0</v>
      </c>
      <c r="I1570">
        <f t="shared" si="171"/>
        <v>-0.25415967308665538</v>
      </c>
      <c r="J1570">
        <f t="shared" si="172"/>
        <v>-5.7071899461240859E-3</v>
      </c>
      <c r="K1570">
        <f t="shared" si="173"/>
        <v>-8.1111111111111106E-3</v>
      </c>
      <c r="L1570">
        <f t="shared" si="174"/>
        <v>-0.2622707841977665</v>
      </c>
    </row>
    <row r="1571" spans="1:12" x14ac:dyDescent="0.25">
      <c r="A1571" s="1">
        <v>42502</v>
      </c>
      <c r="B1571" s="6">
        <v>123.8865</v>
      </c>
      <c r="C1571" s="6">
        <v>9.6974</v>
      </c>
      <c r="D1571" s="6">
        <v>8108.05</v>
      </c>
      <c r="E1571" s="6">
        <v>0.73</v>
      </c>
      <c r="F1571" s="6">
        <f t="shared" si="168"/>
        <v>8.1111111111111106E-3</v>
      </c>
      <c r="G1571">
        <f t="shared" si="169"/>
        <v>-0.68032173782680627</v>
      </c>
      <c r="H1571">
        <f t="shared" si="170"/>
        <v>1.3333611987711265</v>
      </c>
      <c r="I1571">
        <f t="shared" si="171"/>
        <v>-0.33814513075928659</v>
      </c>
      <c r="J1571">
        <f t="shared" si="172"/>
        <v>-0.48439936036110126</v>
      </c>
      <c r="K1571">
        <f t="shared" si="173"/>
        <v>-0.68843284893791734</v>
      </c>
      <c r="L1571">
        <f t="shared" si="174"/>
        <v>-0.34625624187039772</v>
      </c>
    </row>
    <row r="1572" spans="1:12" x14ac:dyDescent="0.25">
      <c r="A1572" s="1">
        <v>42503</v>
      </c>
      <c r="B1572" s="6">
        <v>122.1895</v>
      </c>
      <c r="C1572" s="6">
        <v>9.6123999999999992</v>
      </c>
      <c r="D1572" s="6">
        <v>8053.69</v>
      </c>
      <c r="E1572" s="6">
        <v>0.73</v>
      </c>
      <c r="F1572" s="6">
        <f t="shared" si="168"/>
        <v>8.1111111111111106E-3</v>
      </c>
      <c r="G1572">
        <f t="shared" si="169"/>
        <v>-1.3698021979796045</v>
      </c>
      <c r="H1572">
        <f t="shared" si="170"/>
        <v>-0.87652360426506948</v>
      </c>
      <c r="I1572">
        <f t="shared" si="171"/>
        <v>-0.67044480485444191</v>
      </c>
      <c r="J1572">
        <f t="shared" si="172"/>
        <v>-0.96953584737613596</v>
      </c>
      <c r="K1572">
        <f t="shared" si="173"/>
        <v>-1.3779133090907156</v>
      </c>
      <c r="L1572">
        <f t="shared" si="174"/>
        <v>-0.67855591596555298</v>
      </c>
    </row>
    <row r="1573" spans="1:12" x14ac:dyDescent="0.25">
      <c r="A1573" s="1">
        <v>42506</v>
      </c>
      <c r="B1573" s="6">
        <v>122.61369999999999</v>
      </c>
      <c r="C1573" s="6">
        <v>9.74</v>
      </c>
      <c r="D1573" s="6">
        <v>8067.6</v>
      </c>
      <c r="E1573" s="6">
        <v>0.73</v>
      </c>
      <c r="F1573" s="6">
        <f t="shared" si="168"/>
        <v>8.1111111111111106E-3</v>
      </c>
      <c r="G1573">
        <f t="shared" si="169"/>
        <v>0.34716567299154105</v>
      </c>
      <c r="H1573">
        <f t="shared" si="170"/>
        <v>1.3274520411135726</v>
      </c>
      <c r="I1573">
        <f t="shared" si="171"/>
        <v>0.17271586068002076</v>
      </c>
      <c r="J1573">
        <f t="shared" si="172"/>
        <v>0.23856765864059548</v>
      </c>
      <c r="K1573">
        <f t="shared" si="173"/>
        <v>0.33905456188042993</v>
      </c>
      <c r="L1573">
        <f t="shared" si="174"/>
        <v>0.16460474956890964</v>
      </c>
    </row>
    <row r="1574" spans="1:12" x14ac:dyDescent="0.25">
      <c r="A1574" s="1">
        <v>42507</v>
      </c>
      <c r="B1574" s="6">
        <v>124.7351</v>
      </c>
      <c r="C1574" s="6">
        <v>9.8249999999999993</v>
      </c>
      <c r="D1574" s="6">
        <v>8140.48</v>
      </c>
      <c r="E1574" s="6">
        <v>0.73</v>
      </c>
      <c r="F1574" s="6">
        <f t="shared" si="168"/>
        <v>8.1111111111111106E-3</v>
      </c>
      <c r="G1574">
        <f t="shared" si="169"/>
        <v>1.7301492410717632</v>
      </c>
      <c r="H1574">
        <f t="shared" si="170"/>
        <v>0.87268993839834774</v>
      </c>
      <c r="I1574">
        <f t="shared" si="171"/>
        <v>0.90336655263026422</v>
      </c>
      <c r="J1574">
        <f t="shared" si="172"/>
        <v>1.2116710728682714</v>
      </c>
      <c r="K1574">
        <f t="shared" si="173"/>
        <v>1.722038129960652</v>
      </c>
      <c r="L1574">
        <f t="shared" si="174"/>
        <v>0.89525544151915315</v>
      </c>
    </row>
    <row r="1575" spans="1:12" x14ac:dyDescent="0.25">
      <c r="A1575" s="1">
        <v>42508</v>
      </c>
      <c r="B1575" s="6">
        <v>124.7351</v>
      </c>
      <c r="C1575" s="6">
        <v>9.8249999999999993</v>
      </c>
      <c r="D1575" s="6">
        <v>8159.68</v>
      </c>
      <c r="E1575" s="6">
        <v>0.73</v>
      </c>
      <c r="F1575" s="6">
        <f t="shared" si="168"/>
        <v>8.1111111111111106E-3</v>
      </c>
      <c r="G1575">
        <f t="shared" si="169"/>
        <v>0</v>
      </c>
      <c r="H1575">
        <f t="shared" si="170"/>
        <v>0</v>
      </c>
      <c r="I1575">
        <f t="shared" si="171"/>
        <v>0.23585832776446511</v>
      </c>
      <c r="J1575">
        <f t="shared" si="172"/>
        <v>-5.7071899461240859E-3</v>
      </c>
      <c r="K1575">
        <f t="shared" si="173"/>
        <v>-8.1111111111111106E-3</v>
      </c>
      <c r="L1575">
        <f t="shared" si="174"/>
        <v>0.22774721665335401</v>
      </c>
    </row>
    <row r="1576" spans="1:12" x14ac:dyDescent="0.25">
      <c r="A1576" s="1">
        <v>42509</v>
      </c>
      <c r="B1576" s="6">
        <v>124.7351</v>
      </c>
      <c r="C1576" s="6">
        <v>9.7825000000000006</v>
      </c>
      <c r="D1576" s="6">
        <v>8095.98</v>
      </c>
      <c r="E1576" s="6">
        <v>0.73</v>
      </c>
      <c r="F1576" s="6">
        <f t="shared" si="168"/>
        <v>8.1111111111111106E-3</v>
      </c>
      <c r="G1576">
        <f t="shared" si="169"/>
        <v>0</v>
      </c>
      <c r="H1576">
        <f t="shared" si="170"/>
        <v>-0.43256997455469365</v>
      </c>
      <c r="I1576">
        <f t="shared" si="171"/>
        <v>-0.78066786932821786</v>
      </c>
      <c r="J1576">
        <f t="shared" si="172"/>
        <v>-5.7071899461240859E-3</v>
      </c>
      <c r="K1576">
        <f t="shared" si="173"/>
        <v>-8.1111111111111106E-3</v>
      </c>
      <c r="L1576">
        <f t="shared" si="174"/>
        <v>-0.78877898043932893</v>
      </c>
    </row>
    <row r="1577" spans="1:12" x14ac:dyDescent="0.25">
      <c r="A1577" s="1">
        <v>42510</v>
      </c>
      <c r="B1577" s="6">
        <v>126.00790000000001</v>
      </c>
      <c r="C1577" s="6">
        <v>9.8249999999999993</v>
      </c>
      <c r="D1577" s="6">
        <v>8131.26</v>
      </c>
      <c r="E1577" s="6">
        <v>0.73</v>
      </c>
      <c r="F1577" s="6">
        <f t="shared" si="168"/>
        <v>8.1111111111111106E-3</v>
      </c>
      <c r="G1577">
        <f t="shared" si="169"/>
        <v>1.0204024368441631</v>
      </c>
      <c r="H1577">
        <f t="shared" si="170"/>
        <v>0.43444927165856018</v>
      </c>
      <c r="I1577">
        <f t="shared" si="171"/>
        <v>0.43577182749958199</v>
      </c>
      <c r="J1577">
        <f t="shared" si="172"/>
        <v>0.71227465604042017</v>
      </c>
      <c r="K1577">
        <f t="shared" si="173"/>
        <v>1.0122913257330519</v>
      </c>
      <c r="L1577">
        <f t="shared" si="174"/>
        <v>0.42766071638847086</v>
      </c>
    </row>
    <row r="1578" spans="1:12" x14ac:dyDescent="0.25">
      <c r="A1578" s="1">
        <v>42513</v>
      </c>
      <c r="B1578" s="6">
        <v>130.67490000000001</v>
      </c>
      <c r="C1578" s="6">
        <v>10.037699999999999</v>
      </c>
      <c r="D1578" s="6">
        <v>8344.44</v>
      </c>
      <c r="E1578" s="6">
        <v>0.73</v>
      </c>
      <c r="F1578" s="6">
        <f t="shared" si="168"/>
        <v>8.1111111111111106E-3</v>
      </c>
      <c r="G1578">
        <f t="shared" si="169"/>
        <v>3.7037360355977693</v>
      </c>
      <c r="H1578">
        <f t="shared" si="170"/>
        <v>2.1648854961832051</v>
      </c>
      <c r="I1578">
        <f t="shared" si="171"/>
        <v>2.6217339010190339</v>
      </c>
      <c r="J1578">
        <f t="shared" si="172"/>
        <v>2.6003383660696242</v>
      </c>
      <c r="K1578">
        <f t="shared" si="173"/>
        <v>3.6956249244866584</v>
      </c>
      <c r="L1578">
        <f t="shared" si="174"/>
        <v>2.613622789907923</v>
      </c>
    </row>
    <row r="1579" spans="1:12" x14ac:dyDescent="0.25">
      <c r="A1579" s="1">
        <v>42514</v>
      </c>
      <c r="B1579" s="6">
        <v>128.1292</v>
      </c>
      <c r="C1579" s="6">
        <v>10.037699999999999</v>
      </c>
      <c r="D1579" s="6">
        <v>8300.66</v>
      </c>
      <c r="E1579" s="6">
        <v>0.73</v>
      </c>
      <c r="F1579" s="6">
        <f t="shared" si="168"/>
        <v>8.1111111111111106E-3</v>
      </c>
      <c r="G1579">
        <f t="shared" si="169"/>
        <v>-1.948117044665816</v>
      </c>
      <c r="H1579">
        <f t="shared" si="170"/>
        <v>0</v>
      </c>
      <c r="I1579">
        <f t="shared" si="171"/>
        <v>-0.52466073217616338</v>
      </c>
      <c r="J1579">
        <f t="shared" si="172"/>
        <v>-1.3764533009147188</v>
      </c>
      <c r="K1579">
        <f t="shared" si="173"/>
        <v>-1.9562281557769272</v>
      </c>
      <c r="L1579">
        <f t="shared" si="174"/>
        <v>-0.53277184328727445</v>
      </c>
    </row>
    <row r="1580" spans="1:12" x14ac:dyDescent="0.25">
      <c r="A1580" s="1">
        <v>42515</v>
      </c>
      <c r="B1580" s="6">
        <v>131.09909999999999</v>
      </c>
      <c r="C1580" s="6">
        <v>10.207800000000001</v>
      </c>
      <c r="D1580" s="6">
        <v>8396.2000000000007</v>
      </c>
      <c r="E1580" s="6">
        <v>0.73</v>
      </c>
      <c r="F1580" s="6">
        <f t="shared" si="168"/>
        <v>8.1111111111111106E-3</v>
      </c>
      <c r="G1580">
        <f t="shared" si="169"/>
        <v>2.3178947499867286</v>
      </c>
      <c r="H1580">
        <f t="shared" si="170"/>
        <v>1.6946113153411786</v>
      </c>
      <c r="I1580">
        <f t="shared" si="171"/>
        <v>1.15099281261973</v>
      </c>
      <c r="J1580">
        <f t="shared" si="172"/>
        <v>1.6252241870358286</v>
      </c>
      <c r="K1580">
        <f t="shared" si="173"/>
        <v>2.3097836388756177</v>
      </c>
      <c r="L1580">
        <f t="shared" si="174"/>
        <v>1.1428817015086188</v>
      </c>
    </row>
    <row r="1581" spans="1:12" x14ac:dyDescent="0.25">
      <c r="A1581" s="1">
        <v>42516</v>
      </c>
      <c r="B1581" s="6">
        <v>131.52340000000001</v>
      </c>
      <c r="C1581" s="6">
        <v>10.292899999999999</v>
      </c>
      <c r="D1581" s="6">
        <v>8394.1200000000008</v>
      </c>
      <c r="E1581" s="6">
        <v>0.73</v>
      </c>
      <c r="F1581" s="6">
        <f t="shared" si="168"/>
        <v>8.1111111111111106E-3</v>
      </c>
      <c r="G1581">
        <f t="shared" si="169"/>
        <v>0.32364829354283636</v>
      </c>
      <c r="H1581">
        <f t="shared" si="170"/>
        <v>0.8336762083896514</v>
      </c>
      <c r="I1581">
        <f t="shared" si="171"/>
        <v>-2.4773111645743636E-2</v>
      </c>
      <c r="J1581">
        <f t="shared" si="172"/>
        <v>0.22202021529895857</v>
      </c>
      <c r="K1581">
        <f t="shared" si="173"/>
        <v>0.31553718243172524</v>
      </c>
      <c r="L1581">
        <f t="shared" si="174"/>
        <v>-3.288422275685475E-2</v>
      </c>
    </row>
    <row r="1582" spans="1:12" x14ac:dyDescent="0.25">
      <c r="A1582" s="1">
        <v>42517</v>
      </c>
      <c r="B1582" s="6">
        <v>132.7962</v>
      </c>
      <c r="C1582" s="6">
        <v>10.3354</v>
      </c>
      <c r="D1582" s="6">
        <v>8463.61</v>
      </c>
      <c r="E1582" s="6">
        <v>0.73</v>
      </c>
      <c r="F1582" s="6">
        <f t="shared" si="168"/>
        <v>8.1111111111111106E-3</v>
      </c>
      <c r="G1582">
        <f t="shared" si="169"/>
        <v>0.96773653965757378</v>
      </c>
      <c r="H1582">
        <f t="shared" si="170"/>
        <v>0.41290598373636611</v>
      </c>
      <c r="I1582">
        <f t="shared" si="171"/>
        <v>0.82784139373751831</v>
      </c>
      <c r="J1582">
        <f t="shared" si="172"/>
        <v>0.67521755315902066</v>
      </c>
      <c r="K1582">
        <f t="shared" si="173"/>
        <v>0.95962542854646271</v>
      </c>
      <c r="L1582">
        <f t="shared" si="174"/>
        <v>0.81973028262640724</v>
      </c>
    </row>
    <row r="1583" spans="1:12" x14ac:dyDescent="0.25">
      <c r="A1583" s="1">
        <v>42520</v>
      </c>
      <c r="B1583" s="6">
        <v>133.22049999999999</v>
      </c>
      <c r="C1583" s="6">
        <v>10.378</v>
      </c>
      <c r="D1583" s="6">
        <v>8535.8700000000008</v>
      </c>
      <c r="E1583" s="6">
        <v>0.73</v>
      </c>
      <c r="F1583" s="6">
        <f t="shared" si="168"/>
        <v>8.1111111111111106E-3</v>
      </c>
      <c r="G1583">
        <f t="shared" si="169"/>
        <v>0.31951215471526151</v>
      </c>
      <c r="H1583">
        <f t="shared" si="170"/>
        <v>0.41217562939025287</v>
      </c>
      <c r="I1583">
        <f t="shared" si="171"/>
        <v>0.85377279907746473</v>
      </c>
      <c r="J1583">
        <f t="shared" si="172"/>
        <v>0.21910991982782738</v>
      </c>
      <c r="K1583">
        <f t="shared" si="173"/>
        <v>0.31140104360415038</v>
      </c>
      <c r="L1583">
        <f t="shared" si="174"/>
        <v>0.84566168796635366</v>
      </c>
    </row>
    <row r="1584" spans="1:12" x14ac:dyDescent="0.25">
      <c r="A1584" s="1">
        <v>42521</v>
      </c>
      <c r="B1584" s="6">
        <v>132.7962</v>
      </c>
      <c r="C1584" s="6">
        <v>10.378</v>
      </c>
      <c r="D1584" s="6">
        <v>8535.59</v>
      </c>
      <c r="E1584" s="6">
        <v>0.73</v>
      </c>
      <c r="F1584" s="6">
        <f t="shared" si="168"/>
        <v>8.1111111111111106E-3</v>
      </c>
      <c r="G1584">
        <f t="shared" si="169"/>
        <v>-0.31849452599261235</v>
      </c>
      <c r="H1584">
        <f t="shared" si="170"/>
        <v>0</v>
      </c>
      <c r="I1584">
        <f t="shared" si="171"/>
        <v>-3.2802748870432046E-3</v>
      </c>
      <c r="J1584">
        <f t="shared" si="172"/>
        <v>-0.22980826953195072</v>
      </c>
      <c r="K1584">
        <f t="shared" si="173"/>
        <v>-0.32660563710372348</v>
      </c>
      <c r="L1584">
        <f t="shared" si="174"/>
        <v>-1.1391385998154315E-2</v>
      </c>
    </row>
    <row r="1585" spans="1:12" x14ac:dyDescent="0.25">
      <c r="A1585" s="1">
        <v>42522</v>
      </c>
      <c r="B1585" s="6">
        <v>134.91749999999999</v>
      </c>
      <c r="C1585" s="6">
        <v>10.420500000000001</v>
      </c>
      <c r="D1585" s="6">
        <v>8597.16</v>
      </c>
      <c r="E1585" s="6">
        <v>0.73</v>
      </c>
      <c r="F1585" s="6">
        <f t="shared" si="168"/>
        <v>8.1111111111111106E-3</v>
      </c>
      <c r="G1585">
        <f t="shared" si="169"/>
        <v>1.5974101668571774</v>
      </c>
      <c r="H1585">
        <f t="shared" si="170"/>
        <v>0.40952013875506288</v>
      </c>
      <c r="I1585">
        <f t="shared" si="171"/>
        <v>0.72133267881891827</v>
      </c>
      <c r="J1585">
        <f t="shared" si="172"/>
        <v>1.1182723880965215</v>
      </c>
      <c r="K1585">
        <f t="shared" si="173"/>
        <v>1.5892990557460662</v>
      </c>
      <c r="L1585">
        <f t="shared" si="174"/>
        <v>0.7132215677078072</v>
      </c>
    </row>
    <row r="1586" spans="1:12" x14ac:dyDescent="0.25">
      <c r="A1586" s="1">
        <v>42523</v>
      </c>
      <c r="B1586" s="6">
        <v>134.91749999999999</v>
      </c>
      <c r="C1586" s="6">
        <v>10.420500000000001</v>
      </c>
      <c r="D1586" s="6">
        <v>8556.02</v>
      </c>
      <c r="E1586" s="6">
        <v>0.73</v>
      </c>
      <c r="F1586" s="6">
        <f t="shared" si="168"/>
        <v>8.1111111111111106E-3</v>
      </c>
      <c r="G1586">
        <f t="shared" si="169"/>
        <v>0</v>
      </c>
      <c r="H1586">
        <f t="shared" si="170"/>
        <v>0</v>
      </c>
      <c r="I1586">
        <f t="shared" si="171"/>
        <v>-0.47853011924867533</v>
      </c>
      <c r="J1586">
        <f t="shared" si="172"/>
        <v>-5.7071899461240859E-3</v>
      </c>
      <c r="K1586">
        <f t="shared" si="173"/>
        <v>-8.1111111111111106E-3</v>
      </c>
      <c r="L1586">
        <f t="shared" si="174"/>
        <v>-0.48664123035978646</v>
      </c>
    </row>
    <row r="1587" spans="1:12" x14ac:dyDescent="0.25">
      <c r="A1587" s="1">
        <v>42524</v>
      </c>
      <c r="B1587" s="6">
        <v>136.19030000000001</v>
      </c>
      <c r="C1587" s="6">
        <v>10.5481</v>
      </c>
      <c r="D1587" s="6">
        <v>8587.36</v>
      </c>
      <c r="E1587" s="6">
        <v>0.73</v>
      </c>
      <c r="F1587" s="6">
        <f t="shared" si="168"/>
        <v>8.1111111111111106E-3</v>
      </c>
      <c r="G1587">
        <f t="shared" si="169"/>
        <v>0.94339133173978029</v>
      </c>
      <c r="H1587">
        <f t="shared" si="170"/>
        <v>1.2245093805479512</v>
      </c>
      <c r="I1587">
        <f t="shared" si="171"/>
        <v>0.3662918038994783</v>
      </c>
      <c r="J1587">
        <f t="shared" si="172"/>
        <v>0.65808762805240995</v>
      </c>
      <c r="K1587">
        <f t="shared" si="173"/>
        <v>0.93528022062866922</v>
      </c>
      <c r="L1587">
        <f t="shared" si="174"/>
        <v>0.35818069278836717</v>
      </c>
    </row>
    <row r="1588" spans="1:12" x14ac:dyDescent="0.25">
      <c r="A1588" s="1">
        <v>42525</v>
      </c>
      <c r="B1588" s="6">
        <v>135.76609999999999</v>
      </c>
      <c r="C1588" s="6">
        <v>10.505599999999999</v>
      </c>
      <c r="D1588" s="6">
        <v>8591.57</v>
      </c>
      <c r="E1588" s="6">
        <v>0.73</v>
      </c>
      <c r="F1588" s="6">
        <f t="shared" si="168"/>
        <v>8.1111111111111106E-3</v>
      </c>
      <c r="G1588">
        <f t="shared" si="169"/>
        <v>-0.31147592743390184</v>
      </c>
      <c r="H1588">
        <f t="shared" si="170"/>
        <v>-0.4029161649965437</v>
      </c>
      <c r="I1588">
        <f t="shared" si="171"/>
        <v>4.9025544521239667E-2</v>
      </c>
      <c r="J1588">
        <f t="shared" si="172"/>
        <v>-0.22486979999535645</v>
      </c>
      <c r="K1588">
        <f t="shared" si="173"/>
        <v>-0.31958703854501297</v>
      </c>
      <c r="L1588">
        <f t="shared" si="174"/>
        <v>4.0914433410128556E-2</v>
      </c>
    </row>
    <row r="1589" spans="1:12" x14ac:dyDescent="0.25">
      <c r="A1589" s="1">
        <v>42527</v>
      </c>
      <c r="B1589" s="6">
        <v>136.6146</v>
      </c>
      <c r="C1589" s="6">
        <v>10.5481</v>
      </c>
      <c r="D1589" s="6">
        <v>8597.11</v>
      </c>
      <c r="E1589" s="6">
        <v>0.73</v>
      </c>
      <c r="F1589" s="6">
        <f t="shared" si="168"/>
        <v>8.1111111111111106E-3</v>
      </c>
      <c r="G1589">
        <f t="shared" si="169"/>
        <v>0.62497191861591472</v>
      </c>
      <c r="H1589">
        <f t="shared" si="170"/>
        <v>0.40454614681693979</v>
      </c>
      <c r="I1589">
        <f t="shared" si="171"/>
        <v>6.4481811822529211E-2</v>
      </c>
      <c r="J1589">
        <f t="shared" si="172"/>
        <v>0.43403939984581652</v>
      </c>
      <c r="K1589">
        <f t="shared" si="173"/>
        <v>0.61686080750480365</v>
      </c>
      <c r="L1589">
        <f t="shared" si="174"/>
        <v>5.6370700711418101E-2</v>
      </c>
    </row>
    <row r="1590" spans="1:12" x14ac:dyDescent="0.25">
      <c r="A1590" s="1">
        <v>42528</v>
      </c>
      <c r="B1590" s="6">
        <v>137.4632</v>
      </c>
      <c r="C1590" s="6">
        <v>10.5906</v>
      </c>
      <c r="D1590" s="6">
        <v>8679.9</v>
      </c>
      <c r="E1590" s="6">
        <v>0.73</v>
      </c>
      <c r="F1590" s="6">
        <f t="shared" si="168"/>
        <v>8.1111111111111106E-3</v>
      </c>
      <c r="G1590">
        <f t="shared" si="169"/>
        <v>0.62116347740285793</v>
      </c>
      <c r="H1590">
        <f t="shared" si="170"/>
        <v>0.4029161649965437</v>
      </c>
      <c r="I1590">
        <f t="shared" si="171"/>
        <v>0.96299803073357271</v>
      </c>
      <c r="J1590">
        <f t="shared" si="172"/>
        <v>0.43135968098808969</v>
      </c>
      <c r="K1590">
        <f t="shared" si="173"/>
        <v>0.61305236629174686</v>
      </c>
      <c r="L1590">
        <f t="shared" si="174"/>
        <v>0.95488691962246164</v>
      </c>
    </row>
    <row r="1591" spans="1:12" x14ac:dyDescent="0.25">
      <c r="A1591" s="1">
        <v>42529</v>
      </c>
      <c r="B1591" s="6">
        <v>140.43299999999999</v>
      </c>
      <c r="C1591" s="6">
        <v>10.5481</v>
      </c>
      <c r="D1591" s="6">
        <v>8715.48</v>
      </c>
      <c r="E1591" s="6">
        <v>0.73</v>
      </c>
      <c r="F1591" s="6">
        <f t="shared" si="168"/>
        <v>8.1111111111111106E-3</v>
      </c>
      <c r="G1591">
        <f t="shared" si="169"/>
        <v>2.1604327558211889</v>
      </c>
      <c r="H1591">
        <f t="shared" si="170"/>
        <v>-0.40129926538628996</v>
      </c>
      <c r="I1591">
        <f t="shared" si="171"/>
        <v>0.40991255659627335</v>
      </c>
      <c r="J1591">
        <f t="shared" si="172"/>
        <v>1.5144298090908428</v>
      </c>
      <c r="K1591">
        <f t="shared" si="173"/>
        <v>2.1523216447100779</v>
      </c>
      <c r="L1591">
        <f t="shared" si="174"/>
        <v>0.40180144548516222</v>
      </c>
    </row>
    <row r="1592" spans="1:12" x14ac:dyDescent="0.25">
      <c r="A1592" s="1">
        <v>42534</v>
      </c>
      <c r="B1592" s="6">
        <v>137.4632</v>
      </c>
      <c r="C1592" s="6">
        <v>10.378</v>
      </c>
      <c r="D1592" s="6">
        <v>8536.2199999999993</v>
      </c>
      <c r="E1592" s="6">
        <v>0.73</v>
      </c>
      <c r="F1592" s="6">
        <f t="shared" si="168"/>
        <v>8.1111111111111106E-3</v>
      </c>
      <c r="G1592">
        <f t="shared" si="169"/>
        <v>-2.1147451097676417</v>
      </c>
      <c r="H1592">
        <f t="shared" si="170"/>
        <v>-1.6126126980214417</v>
      </c>
      <c r="I1592">
        <f t="shared" si="171"/>
        <v>-2.0568000844474454</v>
      </c>
      <c r="J1592">
        <f t="shared" si="172"/>
        <v>-1.4936971661341878</v>
      </c>
      <c r="K1592">
        <f t="shared" si="173"/>
        <v>-2.1228562208787527</v>
      </c>
      <c r="L1592">
        <f t="shared" si="174"/>
        <v>-2.0649111955585564</v>
      </c>
    </row>
    <row r="1593" spans="1:12" x14ac:dyDescent="0.25">
      <c r="A1593" s="1">
        <v>42535</v>
      </c>
      <c r="B1593" s="6">
        <v>137.4632</v>
      </c>
      <c r="C1593" s="6">
        <v>10.292899999999999</v>
      </c>
      <c r="D1593" s="6">
        <v>8576.1200000000008</v>
      </c>
      <c r="E1593" s="6">
        <v>0.73</v>
      </c>
      <c r="F1593" s="6">
        <f t="shared" si="168"/>
        <v>8.1111111111111106E-3</v>
      </c>
      <c r="G1593">
        <f t="shared" si="169"/>
        <v>0</v>
      </c>
      <c r="H1593">
        <f t="shared" si="170"/>
        <v>-0.82000385430719425</v>
      </c>
      <c r="I1593">
        <f t="shared" si="171"/>
        <v>0.46742000557625574</v>
      </c>
      <c r="J1593">
        <f t="shared" si="172"/>
        <v>-5.7071899461240859E-3</v>
      </c>
      <c r="K1593">
        <f t="shared" si="173"/>
        <v>-8.1111111111111106E-3</v>
      </c>
      <c r="L1593">
        <f t="shared" si="174"/>
        <v>0.45930889446514461</v>
      </c>
    </row>
    <row r="1594" spans="1:12" x14ac:dyDescent="0.25">
      <c r="A1594" s="1">
        <v>42536</v>
      </c>
      <c r="B1594" s="6">
        <v>138.3117</v>
      </c>
      <c r="C1594" s="6">
        <v>10.420500000000001</v>
      </c>
      <c r="D1594" s="6">
        <v>8606.3700000000008</v>
      </c>
      <c r="E1594" s="6">
        <v>0.73</v>
      </c>
      <c r="F1594" s="6">
        <f t="shared" si="168"/>
        <v>8.1111111111111106E-3</v>
      </c>
      <c r="G1594">
        <f t="shared" si="169"/>
        <v>0.61725610927142782</v>
      </c>
      <c r="H1594">
        <f t="shared" si="170"/>
        <v>1.2396894947002404</v>
      </c>
      <c r="I1594">
        <f t="shared" si="171"/>
        <v>0.35272360927785523</v>
      </c>
      <c r="J1594">
        <f t="shared" si="172"/>
        <v>0.42861035456289059</v>
      </c>
      <c r="K1594">
        <f t="shared" si="173"/>
        <v>0.60914499816031675</v>
      </c>
      <c r="L1594">
        <f t="shared" si="174"/>
        <v>0.34461249816674411</v>
      </c>
    </row>
    <row r="1595" spans="1:12" x14ac:dyDescent="0.25">
      <c r="A1595" s="1">
        <v>42537</v>
      </c>
      <c r="B1595" s="6">
        <v>136.19030000000001</v>
      </c>
      <c r="C1595" s="6">
        <v>10.207800000000001</v>
      </c>
      <c r="D1595" s="6">
        <v>8494.14</v>
      </c>
      <c r="E1595" s="6">
        <v>0.73</v>
      </c>
      <c r="F1595" s="6">
        <f t="shared" si="168"/>
        <v>8.1111111111111106E-3</v>
      </c>
      <c r="G1595">
        <f t="shared" si="169"/>
        <v>-1.5337820300090261</v>
      </c>
      <c r="H1595">
        <f t="shared" si="170"/>
        <v>-2.041168849863249</v>
      </c>
      <c r="I1595">
        <f t="shared" si="171"/>
        <v>-1.3040341049711013</v>
      </c>
      <c r="J1595">
        <f t="shared" si="172"/>
        <v>-1.0849163465340659</v>
      </c>
      <c r="K1595">
        <f t="shared" si="173"/>
        <v>-1.5418931411201373</v>
      </c>
      <c r="L1595">
        <f t="shared" si="174"/>
        <v>-1.3121452160822125</v>
      </c>
    </row>
    <row r="1596" spans="1:12" x14ac:dyDescent="0.25">
      <c r="A1596" s="1">
        <v>42538</v>
      </c>
      <c r="B1596" s="6">
        <v>138.3117</v>
      </c>
      <c r="C1596" s="6">
        <v>10.3354</v>
      </c>
      <c r="D1596" s="6">
        <v>8568.08</v>
      </c>
      <c r="E1596" s="6">
        <v>0.73</v>
      </c>
      <c r="F1596" s="6">
        <f t="shared" si="168"/>
        <v>8.1111111111111106E-3</v>
      </c>
      <c r="G1596">
        <f t="shared" si="169"/>
        <v>1.5576733438431327</v>
      </c>
      <c r="H1596">
        <f t="shared" si="170"/>
        <v>1.2500244910754448</v>
      </c>
      <c r="I1596">
        <f t="shared" si="171"/>
        <v>0.87048247379959021</v>
      </c>
      <c r="J1596">
        <f t="shared" si="172"/>
        <v>1.0903125199983024</v>
      </c>
      <c r="K1596">
        <f t="shared" si="173"/>
        <v>1.5495622327320215</v>
      </c>
      <c r="L1596">
        <f t="shared" si="174"/>
        <v>0.86237136268847914</v>
      </c>
    </row>
    <row r="1597" spans="1:12" x14ac:dyDescent="0.25">
      <c r="A1597" s="1">
        <v>42541</v>
      </c>
      <c r="B1597" s="6">
        <v>138.3117</v>
      </c>
      <c r="C1597" s="6">
        <v>10.5906</v>
      </c>
      <c r="D1597" s="6">
        <v>8625.92</v>
      </c>
      <c r="E1597" s="6">
        <v>0.73</v>
      </c>
      <c r="F1597" s="6">
        <f t="shared" si="168"/>
        <v>8.1111111111111106E-3</v>
      </c>
      <c r="G1597">
        <f t="shared" si="169"/>
        <v>0</v>
      </c>
      <c r="H1597">
        <f t="shared" si="170"/>
        <v>2.4691835826383142</v>
      </c>
      <c r="I1597">
        <f t="shared" si="171"/>
        <v>0.67506372489519406</v>
      </c>
      <c r="J1597">
        <f t="shared" si="172"/>
        <v>-5.7071899461240859E-3</v>
      </c>
      <c r="K1597">
        <f t="shared" si="173"/>
        <v>-8.1111111111111106E-3</v>
      </c>
      <c r="L1597">
        <f t="shared" si="174"/>
        <v>0.66695261378408299</v>
      </c>
    </row>
    <row r="1598" spans="1:12" x14ac:dyDescent="0.25">
      <c r="A1598" s="1">
        <v>42542</v>
      </c>
      <c r="B1598" s="6">
        <v>140.43299999999999</v>
      </c>
      <c r="C1598" s="6">
        <v>10.420500000000001</v>
      </c>
      <c r="D1598" s="6">
        <v>8684.85</v>
      </c>
      <c r="E1598" s="6">
        <v>0.73</v>
      </c>
      <c r="F1598" s="6">
        <f t="shared" si="168"/>
        <v>8.1111111111111106E-3</v>
      </c>
      <c r="G1598">
        <f t="shared" si="169"/>
        <v>1.5337097295456501</v>
      </c>
      <c r="H1598">
        <f t="shared" si="170"/>
        <v>-1.6061412951107557</v>
      </c>
      <c r="I1598">
        <f t="shared" si="171"/>
        <v>0.68317350497106732</v>
      </c>
      <c r="J1598">
        <f t="shared" si="172"/>
        <v>1.0734510941445694</v>
      </c>
      <c r="K1598">
        <f t="shared" si="173"/>
        <v>1.5255986184345389</v>
      </c>
      <c r="L1598">
        <f t="shared" si="174"/>
        <v>0.67506239385995626</v>
      </c>
    </row>
    <row r="1599" spans="1:12" x14ac:dyDescent="0.25">
      <c r="A1599" s="1">
        <v>42543</v>
      </c>
      <c r="B1599" s="6">
        <v>140.85730000000001</v>
      </c>
      <c r="C1599" s="6">
        <v>10.5906</v>
      </c>
      <c r="D1599" s="6">
        <v>8716.25</v>
      </c>
      <c r="E1599" s="6">
        <v>0.73</v>
      </c>
      <c r="F1599" s="6">
        <f t="shared" si="168"/>
        <v>8.1111111111111106E-3</v>
      </c>
      <c r="G1599">
        <f t="shared" si="169"/>
        <v>0.30213696211005714</v>
      </c>
      <c r="H1599">
        <f t="shared" si="170"/>
        <v>1.6323592917806218</v>
      </c>
      <c r="I1599">
        <f t="shared" si="171"/>
        <v>0.36154913441221936</v>
      </c>
      <c r="J1599">
        <f t="shared" si="172"/>
        <v>0.20688427981501192</v>
      </c>
      <c r="K1599">
        <f t="shared" si="173"/>
        <v>0.29402585099894601</v>
      </c>
      <c r="L1599">
        <f t="shared" si="174"/>
        <v>0.35343802330110824</v>
      </c>
    </row>
    <row r="1600" spans="1:12" x14ac:dyDescent="0.25">
      <c r="A1600" s="1">
        <v>42544</v>
      </c>
      <c r="B1600" s="6">
        <v>139.1602</v>
      </c>
      <c r="C1600" s="6">
        <v>10.675700000000001</v>
      </c>
      <c r="D1600" s="6">
        <v>8676.68</v>
      </c>
      <c r="E1600" s="6">
        <v>0.73</v>
      </c>
      <c r="F1600" s="6">
        <f t="shared" si="168"/>
        <v>8.1111111111111106E-3</v>
      </c>
      <c r="G1600">
        <f t="shared" si="169"/>
        <v>-1.2048363840567766</v>
      </c>
      <c r="H1600">
        <f t="shared" si="170"/>
        <v>0.80354276433819249</v>
      </c>
      <c r="I1600">
        <f t="shared" si="171"/>
        <v>-0.45397963573784261</v>
      </c>
      <c r="J1600">
        <f t="shared" si="172"/>
        <v>-0.85346158556694618</v>
      </c>
      <c r="K1600">
        <f t="shared" si="173"/>
        <v>-1.2129474951678878</v>
      </c>
      <c r="L1600">
        <f t="shared" si="174"/>
        <v>-0.46209074684895374</v>
      </c>
    </row>
    <row r="1601" spans="1:12" x14ac:dyDescent="0.25">
      <c r="A1601" s="1">
        <v>42545</v>
      </c>
      <c r="B1601" s="6">
        <v>134.91749999999999</v>
      </c>
      <c r="C1601" s="6">
        <v>10.207800000000001</v>
      </c>
      <c r="D1601" s="6">
        <v>8476.99</v>
      </c>
      <c r="E1601" s="6">
        <v>0.73</v>
      </c>
      <c r="F1601" s="6">
        <f t="shared" si="168"/>
        <v>8.1111111111111106E-3</v>
      </c>
      <c r="G1601">
        <f t="shared" si="169"/>
        <v>-3.0487883748370681</v>
      </c>
      <c r="H1601">
        <f t="shared" si="170"/>
        <v>-4.3828507732514046</v>
      </c>
      <c r="I1601">
        <f t="shared" si="171"/>
        <v>-2.3014563173932943</v>
      </c>
      <c r="J1601">
        <f t="shared" si="172"/>
        <v>-2.1509144398991511</v>
      </c>
      <c r="K1601">
        <f t="shared" si="173"/>
        <v>-3.0568994859481791</v>
      </c>
      <c r="L1601">
        <f t="shared" si="174"/>
        <v>-2.3095674285044052</v>
      </c>
    </row>
    <row r="1602" spans="1:12" x14ac:dyDescent="0.25">
      <c r="A1602" s="1">
        <v>42548</v>
      </c>
      <c r="B1602" s="6">
        <v>137.12190000000001</v>
      </c>
      <c r="C1602" s="6">
        <v>10.5906</v>
      </c>
      <c r="D1602" s="6">
        <v>8458.8700000000008</v>
      </c>
      <c r="E1602" s="6">
        <v>0.73</v>
      </c>
      <c r="F1602" s="6">
        <f t="shared" si="168"/>
        <v>8.1111111111111106E-3</v>
      </c>
      <c r="G1602">
        <f t="shared" si="169"/>
        <v>1.6338873756184491</v>
      </c>
      <c r="H1602">
        <f t="shared" si="170"/>
        <v>3.7500734732263519</v>
      </c>
      <c r="I1602">
        <f t="shared" si="171"/>
        <v>-0.21375511826720311</v>
      </c>
      <c r="J1602">
        <f t="shared" si="172"/>
        <v>1.1439387063423434</v>
      </c>
      <c r="K1602">
        <f t="shared" si="173"/>
        <v>1.6257762645073379</v>
      </c>
      <c r="L1602">
        <f t="shared" si="174"/>
        <v>-0.22186622937831424</v>
      </c>
    </row>
    <row r="1603" spans="1:12" x14ac:dyDescent="0.25">
      <c r="A1603" s="1">
        <v>42549</v>
      </c>
      <c r="B1603" s="6">
        <v>138.44460000000001</v>
      </c>
      <c r="C1603" s="6">
        <v>10.462999999999999</v>
      </c>
      <c r="D1603" s="6">
        <v>8505.51</v>
      </c>
      <c r="E1603" s="6">
        <v>0.73</v>
      </c>
      <c r="F1603" s="6">
        <f t="shared" ref="F1603:F1666" si="175">E1603/90</f>
        <v>8.1111111111111106E-3</v>
      </c>
      <c r="G1603">
        <f t="shared" si="169"/>
        <v>0.96461615540624612</v>
      </c>
      <c r="H1603">
        <f t="shared" si="170"/>
        <v>-1.2048420297244824</v>
      </c>
      <c r="I1603">
        <f t="shared" si="171"/>
        <v>0.55137388327281789</v>
      </c>
      <c r="J1603">
        <f t="shared" si="172"/>
        <v>0.67302196917758239</v>
      </c>
      <c r="K1603">
        <f t="shared" si="173"/>
        <v>0.95650504429513505</v>
      </c>
      <c r="L1603">
        <f t="shared" si="174"/>
        <v>0.54326277216170682</v>
      </c>
    </row>
    <row r="1604" spans="1:12" x14ac:dyDescent="0.25">
      <c r="A1604" s="1">
        <v>42550</v>
      </c>
      <c r="B1604" s="6">
        <v>140.20830000000001</v>
      </c>
      <c r="C1604" s="6">
        <v>10.675700000000001</v>
      </c>
      <c r="D1604" s="6">
        <v>8586.56</v>
      </c>
      <c r="E1604" s="6">
        <v>0.73</v>
      </c>
      <c r="F1604" s="6">
        <f t="shared" si="175"/>
        <v>8.1111111111111106E-3</v>
      </c>
      <c r="G1604">
        <f t="shared" ref="G1604:G1667" si="176">100*(B1604-B1603)/B1603</f>
        <v>1.2739391785595104</v>
      </c>
      <c r="H1604">
        <f t="shared" ref="H1604:H1667" si="177">100*(C1604-C1603)/C1603</f>
        <v>2.0328777597247605</v>
      </c>
      <c r="I1604">
        <f t="shared" ref="I1604:I1667" si="178">100*(D1604-D1603)/D1603</f>
        <v>0.95291170076808174</v>
      </c>
      <c r="J1604">
        <f t="shared" ref="J1604:J1667" si="179">(G1604-F1604)/$N$3</f>
        <v>0.89066973945984484</v>
      </c>
      <c r="K1604">
        <f t="shared" ref="K1604:K1667" si="180">G1604-F1604</f>
        <v>1.2658280674483993</v>
      </c>
      <c r="L1604">
        <f t="shared" ref="L1604:L1667" si="181">I1604-F1604</f>
        <v>0.94480058965697067</v>
      </c>
    </row>
    <row r="1605" spans="1:12" x14ac:dyDescent="0.25">
      <c r="A1605" s="1">
        <v>42551</v>
      </c>
      <c r="B1605" s="6">
        <v>143.2946</v>
      </c>
      <c r="C1605" s="6">
        <v>10.7182</v>
      </c>
      <c r="D1605" s="6">
        <v>8666.58</v>
      </c>
      <c r="E1605" s="6">
        <v>0.73</v>
      </c>
      <c r="F1605" s="6">
        <f t="shared" si="175"/>
        <v>8.1111111111111106E-3</v>
      </c>
      <c r="G1605">
        <f t="shared" si="176"/>
        <v>2.2012248918216639</v>
      </c>
      <c r="H1605">
        <f t="shared" si="177"/>
        <v>0.39810035875866356</v>
      </c>
      <c r="I1605">
        <f t="shared" si="178"/>
        <v>0.931921514552981</v>
      </c>
      <c r="J1605">
        <f t="shared" si="179"/>
        <v>1.5431322230109188</v>
      </c>
      <c r="K1605">
        <f t="shared" si="180"/>
        <v>2.193113780710553</v>
      </c>
      <c r="L1605">
        <f t="shared" si="181"/>
        <v>0.92381040344186993</v>
      </c>
    </row>
    <row r="1606" spans="1:12" x14ac:dyDescent="0.25">
      <c r="A1606" s="1">
        <v>42552</v>
      </c>
      <c r="B1606" s="6">
        <v>146.381</v>
      </c>
      <c r="C1606" s="6">
        <v>10.675700000000001</v>
      </c>
      <c r="D1606" s="6">
        <v>8738.24</v>
      </c>
      <c r="E1606" s="6">
        <v>0.73</v>
      </c>
      <c r="F1606" s="6">
        <f t="shared" si="175"/>
        <v>8.1111111111111106E-3</v>
      </c>
      <c r="G1606">
        <f t="shared" si="176"/>
        <v>2.1538843752660584</v>
      </c>
      <c r="H1606">
        <f t="shared" si="177"/>
        <v>-0.39652180403424692</v>
      </c>
      <c r="I1606">
        <f t="shared" si="178"/>
        <v>0.8268544223903761</v>
      </c>
      <c r="J1606">
        <f t="shared" si="179"/>
        <v>1.5098221972414083</v>
      </c>
      <c r="K1606">
        <f t="shared" si="180"/>
        <v>2.1457732641549474</v>
      </c>
      <c r="L1606">
        <f t="shared" si="181"/>
        <v>0.81874331127926503</v>
      </c>
    </row>
    <row r="1607" spans="1:12" x14ac:dyDescent="0.25">
      <c r="A1607" s="1">
        <v>42555</v>
      </c>
      <c r="B1607" s="6">
        <v>146.381</v>
      </c>
      <c r="C1607" s="6">
        <v>10.7607</v>
      </c>
      <c r="D1607" s="6">
        <v>8760.58</v>
      </c>
      <c r="E1607" s="6">
        <v>0.73</v>
      </c>
      <c r="F1607" s="6">
        <f t="shared" si="175"/>
        <v>8.1111111111111106E-3</v>
      </c>
      <c r="G1607">
        <f t="shared" si="176"/>
        <v>0</v>
      </c>
      <c r="H1607">
        <f t="shared" si="177"/>
        <v>0.79620071751734378</v>
      </c>
      <c r="I1607">
        <f t="shared" si="178"/>
        <v>0.25565788991833766</v>
      </c>
      <c r="J1607">
        <f t="shared" si="179"/>
        <v>-5.7071899461240859E-3</v>
      </c>
      <c r="K1607">
        <f t="shared" si="180"/>
        <v>-8.1111111111111106E-3</v>
      </c>
      <c r="L1607">
        <f t="shared" si="181"/>
        <v>0.24754677880722653</v>
      </c>
    </row>
    <row r="1608" spans="1:12" x14ac:dyDescent="0.25">
      <c r="A1608" s="1">
        <v>42556</v>
      </c>
      <c r="B1608" s="6">
        <v>144.6173</v>
      </c>
      <c r="C1608" s="6">
        <v>10.7182</v>
      </c>
      <c r="D1608" s="6">
        <v>8716.07</v>
      </c>
      <c r="E1608" s="6">
        <v>0.73</v>
      </c>
      <c r="F1608" s="6">
        <f t="shared" si="175"/>
        <v>8.1111111111111106E-3</v>
      </c>
      <c r="G1608">
        <f t="shared" si="176"/>
        <v>-1.2048694844276238</v>
      </c>
      <c r="H1608">
        <f t="shared" si="177"/>
        <v>-0.39495571849415395</v>
      </c>
      <c r="I1608">
        <f t="shared" si="178"/>
        <v>-0.50807138340155811</v>
      </c>
      <c r="J1608">
        <f t="shared" si="179"/>
        <v>-0.85348487585370514</v>
      </c>
      <c r="K1608">
        <f t="shared" si="180"/>
        <v>-1.2129805955387349</v>
      </c>
      <c r="L1608">
        <f t="shared" si="181"/>
        <v>-0.51618249451266918</v>
      </c>
    </row>
    <row r="1609" spans="1:12" x14ac:dyDescent="0.25">
      <c r="A1609" s="1">
        <v>42557</v>
      </c>
      <c r="B1609" s="6">
        <v>142.4128</v>
      </c>
      <c r="C1609" s="6">
        <v>10.505599999999999</v>
      </c>
      <c r="D1609" s="6">
        <v>8575.75</v>
      </c>
      <c r="E1609" s="6">
        <v>0.73</v>
      </c>
      <c r="F1609" s="6">
        <f t="shared" si="175"/>
        <v>8.1111111111111106E-3</v>
      </c>
      <c r="G1609">
        <f t="shared" si="176"/>
        <v>-1.5243681081032463</v>
      </c>
      <c r="H1609">
        <f t="shared" si="177"/>
        <v>-1.9835420126513792</v>
      </c>
      <c r="I1609">
        <f t="shared" si="178"/>
        <v>-1.6098998745994435</v>
      </c>
      <c r="J1609">
        <f t="shared" si="179"/>
        <v>-1.0782924648342251</v>
      </c>
      <c r="K1609">
        <f t="shared" si="180"/>
        <v>-1.5324792192143575</v>
      </c>
      <c r="L1609">
        <f t="shared" si="181"/>
        <v>-1.6180109857105547</v>
      </c>
    </row>
    <row r="1610" spans="1:12" x14ac:dyDescent="0.25">
      <c r="A1610" s="1">
        <v>42558</v>
      </c>
      <c r="B1610" s="6">
        <v>145.0582</v>
      </c>
      <c r="C1610" s="6">
        <v>10.5481</v>
      </c>
      <c r="D1610" s="6">
        <v>8640.91</v>
      </c>
      <c r="E1610" s="6">
        <v>0.73</v>
      </c>
      <c r="F1610" s="6">
        <f t="shared" si="175"/>
        <v>8.1111111111111106E-3</v>
      </c>
      <c r="G1610">
        <f t="shared" si="176"/>
        <v>1.8575577476181881</v>
      </c>
      <c r="H1610">
        <f t="shared" si="177"/>
        <v>0.40454614681693979</v>
      </c>
      <c r="I1610">
        <f t="shared" si="178"/>
        <v>0.75981692563332481</v>
      </c>
      <c r="J1610">
        <f t="shared" si="179"/>
        <v>1.3013190307930929</v>
      </c>
      <c r="K1610">
        <f t="shared" si="180"/>
        <v>1.849446636507077</v>
      </c>
      <c r="L1610">
        <f t="shared" si="181"/>
        <v>0.75170581452221374</v>
      </c>
    </row>
    <row r="1611" spans="1:12" x14ac:dyDescent="0.25">
      <c r="A1611" s="1">
        <v>42562</v>
      </c>
      <c r="B1611" s="6">
        <v>149.90819999999999</v>
      </c>
      <c r="C1611" s="6">
        <v>11.0159</v>
      </c>
      <c r="D1611" s="6">
        <v>8786.4699999999993</v>
      </c>
      <c r="E1611" s="6">
        <v>0.73</v>
      </c>
      <c r="F1611" s="6">
        <f t="shared" si="175"/>
        <v>8.1111111111111106E-3</v>
      </c>
      <c r="G1611">
        <f t="shared" si="176"/>
        <v>3.3434855802705359</v>
      </c>
      <c r="H1611">
        <f t="shared" si="177"/>
        <v>4.4349219290677988</v>
      </c>
      <c r="I1611">
        <f t="shared" si="178"/>
        <v>1.6845447991010147</v>
      </c>
      <c r="J1611">
        <f t="shared" si="179"/>
        <v>2.3468567223631602</v>
      </c>
      <c r="K1611">
        <f t="shared" si="180"/>
        <v>3.3353744691594249</v>
      </c>
      <c r="L1611">
        <f t="shared" si="181"/>
        <v>1.6764336879899036</v>
      </c>
    </row>
    <row r="1612" spans="1:12" x14ac:dyDescent="0.25">
      <c r="A1612" s="1">
        <v>42563</v>
      </c>
      <c r="B1612" s="6">
        <v>150.79</v>
      </c>
      <c r="C1612" s="6">
        <v>11.0738</v>
      </c>
      <c r="D1612" s="6">
        <v>8841.4599999999991</v>
      </c>
      <c r="E1612" s="6">
        <v>0.73</v>
      </c>
      <c r="F1612" s="6">
        <f t="shared" si="175"/>
        <v>8.1111111111111106E-3</v>
      </c>
      <c r="G1612">
        <f t="shared" si="176"/>
        <v>0.58822666138343227</v>
      </c>
      <c r="H1612">
        <f t="shared" si="177"/>
        <v>0.52560389981753708</v>
      </c>
      <c r="I1612">
        <f t="shared" si="178"/>
        <v>0.62584860586788305</v>
      </c>
      <c r="J1612">
        <f t="shared" si="179"/>
        <v>0.40818447568410826</v>
      </c>
      <c r="K1612">
        <f t="shared" si="180"/>
        <v>0.5801155502723212</v>
      </c>
      <c r="L1612">
        <f t="shared" si="181"/>
        <v>0.61773749475677198</v>
      </c>
    </row>
    <row r="1613" spans="1:12" x14ac:dyDescent="0.25">
      <c r="A1613" s="1">
        <v>42564</v>
      </c>
      <c r="B1613" s="6">
        <v>148.5855</v>
      </c>
      <c r="C1613" s="6">
        <v>11.1182</v>
      </c>
      <c r="D1613" s="6">
        <v>8857.75</v>
      </c>
      <c r="E1613" s="6">
        <v>0.73</v>
      </c>
      <c r="F1613" s="6">
        <f t="shared" si="175"/>
        <v>8.1111111111111106E-3</v>
      </c>
      <c r="G1613">
        <f t="shared" si="176"/>
        <v>-1.4619669739372612</v>
      </c>
      <c r="H1613">
        <f t="shared" si="177"/>
        <v>0.40094637793710874</v>
      </c>
      <c r="I1613">
        <f t="shared" si="178"/>
        <v>0.1842455883983061</v>
      </c>
      <c r="J1613">
        <f t="shared" si="179"/>
        <v>-1.034385394562312</v>
      </c>
      <c r="K1613">
        <f t="shared" si="180"/>
        <v>-1.4700780850483723</v>
      </c>
      <c r="L1613">
        <f t="shared" si="181"/>
        <v>0.176134477287195</v>
      </c>
    </row>
    <row r="1614" spans="1:12" x14ac:dyDescent="0.25">
      <c r="A1614" s="1">
        <v>42565</v>
      </c>
      <c r="B1614" s="6">
        <v>149.0264</v>
      </c>
      <c r="C1614" s="6">
        <v>11.1182</v>
      </c>
      <c r="D1614" s="6">
        <v>8866.36</v>
      </c>
      <c r="E1614" s="6">
        <v>0.73</v>
      </c>
      <c r="F1614" s="6">
        <f t="shared" si="175"/>
        <v>8.1111111111111106E-3</v>
      </c>
      <c r="G1614">
        <f t="shared" si="176"/>
        <v>0.29673151148665194</v>
      </c>
      <c r="H1614">
        <f t="shared" si="177"/>
        <v>0</v>
      </c>
      <c r="I1614">
        <f t="shared" si="178"/>
        <v>9.7203014309509547E-2</v>
      </c>
      <c r="J1614">
        <f t="shared" si="179"/>
        <v>0.20308086336200487</v>
      </c>
      <c r="K1614">
        <f t="shared" si="180"/>
        <v>0.28862040037554082</v>
      </c>
      <c r="L1614">
        <f t="shared" si="181"/>
        <v>8.9091903198398437E-2</v>
      </c>
    </row>
    <row r="1615" spans="1:12" x14ac:dyDescent="0.25">
      <c r="A1615" s="1">
        <v>42566</v>
      </c>
      <c r="B1615" s="6">
        <v>149.46729999999999</v>
      </c>
      <c r="C1615" s="6">
        <v>10.9848</v>
      </c>
      <c r="D1615" s="6">
        <v>8949.85</v>
      </c>
      <c r="E1615" s="6">
        <v>0.73</v>
      </c>
      <c r="F1615" s="6">
        <f t="shared" si="175"/>
        <v>8.1111111111111106E-3</v>
      </c>
      <c r="G1615">
        <f t="shared" si="176"/>
        <v>0.29585362056655679</v>
      </c>
      <c r="H1615">
        <f t="shared" si="177"/>
        <v>-1.1998345055854363</v>
      </c>
      <c r="I1615">
        <f t="shared" si="178"/>
        <v>0.94164910966845217</v>
      </c>
      <c r="J1615">
        <f t="shared" si="179"/>
        <v>0.20246315634698231</v>
      </c>
      <c r="K1615">
        <f t="shared" si="180"/>
        <v>0.28774250945544566</v>
      </c>
      <c r="L1615">
        <f t="shared" si="181"/>
        <v>0.9335379985573411</v>
      </c>
    </row>
    <row r="1616" spans="1:12" x14ac:dyDescent="0.25">
      <c r="A1616" s="1">
        <v>42569</v>
      </c>
      <c r="B1616" s="6">
        <v>149.46729999999999</v>
      </c>
      <c r="C1616" s="6">
        <v>11.1182</v>
      </c>
      <c r="D1616" s="6">
        <v>9008.2099999999991</v>
      </c>
      <c r="E1616" s="6">
        <v>0.73</v>
      </c>
      <c r="F1616" s="6">
        <f t="shared" si="175"/>
        <v>8.1111111111111106E-3</v>
      </c>
      <c r="G1616">
        <f t="shared" si="176"/>
        <v>0</v>
      </c>
      <c r="H1616">
        <f t="shared" si="177"/>
        <v>1.214405360134003</v>
      </c>
      <c r="I1616">
        <f t="shared" si="178"/>
        <v>0.65207796778715577</v>
      </c>
      <c r="J1616">
        <f t="shared" si="179"/>
        <v>-5.7071899461240859E-3</v>
      </c>
      <c r="K1616">
        <f t="shared" si="180"/>
        <v>-8.1111111111111106E-3</v>
      </c>
      <c r="L1616">
        <f t="shared" si="181"/>
        <v>0.6439668566760447</v>
      </c>
    </row>
    <row r="1617" spans="1:12" x14ac:dyDescent="0.25">
      <c r="A1617" s="1">
        <v>42570</v>
      </c>
      <c r="B1617" s="6">
        <v>150.34909999999999</v>
      </c>
      <c r="C1617" s="6">
        <v>11.0738</v>
      </c>
      <c r="D1617" s="6">
        <v>9034.8700000000008</v>
      </c>
      <c r="E1617" s="6">
        <v>0.73</v>
      </c>
      <c r="F1617" s="6">
        <f t="shared" si="175"/>
        <v>8.1111111111111106E-3</v>
      </c>
      <c r="G1617">
        <f t="shared" si="176"/>
        <v>0.58996181773538314</v>
      </c>
      <c r="H1617">
        <f t="shared" si="177"/>
        <v>-0.39934521775107079</v>
      </c>
      <c r="I1617">
        <f t="shared" si="178"/>
        <v>0.29595224800489417</v>
      </c>
      <c r="J1617">
        <f t="shared" si="179"/>
        <v>0.40940537708111191</v>
      </c>
      <c r="K1617">
        <f t="shared" si="180"/>
        <v>0.58185070662427207</v>
      </c>
      <c r="L1617">
        <f t="shared" si="181"/>
        <v>0.28784113689378305</v>
      </c>
    </row>
    <row r="1618" spans="1:12" x14ac:dyDescent="0.25">
      <c r="A1618" s="1">
        <v>42571</v>
      </c>
      <c r="B1618" s="6">
        <v>149.90819999999999</v>
      </c>
      <c r="C1618" s="6">
        <v>10.9848</v>
      </c>
      <c r="D1618" s="6">
        <v>9007.68</v>
      </c>
      <c r="E1618" s="6">
        <v>0.73</v>
      </c>
      <c r="F1618" s="6">
        <f t="shared" si="175"/>
        <v>8.1111111111111106E-3</v>
      </c>
      <c r="G1618">
        <f t="shared" si="176"/>
        <v>-0.2932508408763333</v>
      </c>
      <c r="H1618">
        <f t="shared" si="177"/>
        <v>-0.80369882063971188</v>
      </c>
      <c r="I1618">
        <f t="shared" si="178"/>
        <v>-0.30094511597843143</v>
      </c>
      <c r="J1618">
        <f t="shared" si="179"/>
        <v>-0.21204615236635141</v>
      </c>
      <c r="K1618">
        <f t="shared" si="180"/>
        <v>-0.30136195198744442</v>
      </c>
      <c r="L1618">
        <f t="shared" si="181"/>
        <v>-0.30905622708954256</v>
      </c>
    </row>
    <row r="1619" spans="1:12" x14ac:dyDescent="0.25">
      <c r="A1619" s="1">
        <v>42572</v>
      </c>
      <c r="B1619" s="6">
        <v>151.67179999999999</v>
      </c>
      <c r="C1619" s="6">
        <v>11.1182</v>
      </c>
      <c r="D1619" s="6">
        <v>9056.56</v>
      </c>
      <c r="E1619" s="6">
        <v>0.73</v>
      </c>
      <c r="F1619" s="6">
        <f t="shared" si="175"/>
        <v>8.1111111111111106E-3</v>
      </c>
      <c r="G1619">
        <f t="shared" si="176"/>
        <v>1.1764533227668645</v>
      </c>
      <c r="H1619">
        <f t="shared" si="177"/>
        <v>1.214405360134003</v>
      </c>
      <c r="I1619">
        <f t="shared" si="178"/>
        <v>0.54264805144053962</v>
      </c>
      <c r="J1619">
        <f t="shared" si="179"/>
        <v>0.82207614131434048</v>
      </c>
      <c r="K1619">
        <f t="shared" si="180"/>
        <v>1.1683422116557534</v>
      </c>
      <c r="L1619">
        <f t="shared" si="181"/>
        <v>0.53453694032942856</v>
      </c>
    </row>
    <row r="1620" spans="1:12" x14ac:dyDescent="0.25">
      <c r="A1620" s="1">
        <v>42573</v>
      </c>
      <c r="B1620" s="6">
        <v>150.79</v>
      </c>
      <c r="C1620" s="6">
        <v>10.940300000000001</v>
      </c>
      <c r="D1620" s="6">
        <v>9013.14</v>
      </c>
      <c r="E1620" s="6">
        <v>0.73</v>
      </c>
      <c r="F1620" s="6">
        <f t="shared" si="175"/>
        <v>8.1111111111111106E-3</v>
      </c>
      <c r="G1620">
        <f t="shared" si="176"/>
        <v>-0.58138691569559964</v>
      </c>
      <c r="H1620">
        <f t="shared" si="177"/>
        <v>-1.600079149502611</v>
      </c>
      <c r="I1620">
        <f t="shared" si="178"/>
        <v>-0.47943148391883977</v>
      </c>
      <c r="J1620">
        <f t="shared" si="179"/>
        <v>-0.41478623159809891</v>
      </c>
      <c r="K1620">
        <f t="shared" si="180"/>
        <v>-0.58949802680671071</v>
      </c>
      <c r="L1620">
        <f t="shared" si="181"/>
        <v>-0.4875425950299509</v>
      </c>
    </row>
    <row r="1621" spans="1:12" x14ac:dyDescent="0.25">
      <c r="A1621" s="1">
        <v>42576</v>
      </c>
      <c r="B1621" s="6">
        <v>151.23089999999999</v>
      </c>
      <c r="C1621" s="6">
        <v>10.940300000000001</v>
      </c>
      <c r="D1621" s="6">
        <v>8991.67</v>
      </c>
      <c r="E1621" s="6">
        <v>0.73</v>
      </c>
      <c r="F1621" s="6">
        <f t="shared" si="175"/>
        <v>8.1111111111111106E-3</v>
      </c>
      <c r="G1621">
        <f t="shared" si="176"/>
        <v>0.29239339478745224</v>
      </c>
      <c r="H1621">
        <f t="shared" si="177"/>
        <v>0</v>
      </c>
      <c r="I1621">
        <f t="shared" si="178"/>
        <v>-0.23820777220812445</v>
      </c>
      <c r="J1621">
        <f t="shared" si="179"/>
        <v>0.2000284509771135</v>
      </c>
      <c r="K1621">
        <f t="shared" si="180"/>
        <v>0.28428228367634112</v>
      </c>
      <c r="L1621">
        <f t="shared" si="181"/>
        <v>-0.24631888331923557</v>
      </c>
    </row>
    <row r="1622" spans="1:12" x14ac:dyDescent="0.25">
      <c r="A1622" s="1">
        <v>42577</v>
      </c>
      <c r="B1622" s="6">
        <v>152.55359999999999</v>
      </c>
      <c r="C1622" s="6">
        <v>11.029299999999999</v>
      </c>
      <c r="D1622" s="6">
        <v>9024.7900000000009</v>
      </c>
      <c r="E1622" s="6">
        <v>0.73</v>
      </c>
      <c r="F1622" s="6">
        <f t="shared" si="175"/>
        <v>8.1111111111111106E-3</v>
      </c>
      <c r="G1622">
        <f t="shared" si="176"/>
        <v>0.87462284493446618</v>
      </c>
      <c r="H1622">
        <f t="shared" si="177"/>
        <v>0.81350602817106143</v>
      </c>
      <c r="I1622">
        <f t="shared" si="178"/>
        <v>0.36834091998483931</v>
      </c>
      <c r="J1622">
        <f t="shared" si="179"/>
        <v>0.60970032190790169</v>
      </c>
      <c r="K1622">
        <f t="shared" si="180"/>
        <v>0.86651173382335511</v>
      </c>
      <c r="L1622">
        <f t="shared" si="181"/>
        <v>0.36022980887372819</v>
      </c>
    </row>
    <row r="1623" spans="1:12" x14ac:dyDescent="0.25">
      <c r="A1623" s="1">
        <v>42578</v>
      </c>
      <c r="B1623" s="6">
        <v>154.31729999999999</v>
      </c>
      <c r="C1623" s="6">
        <v>11.162699999999999</v>
      </c>
      <c r="D1623" s="6">
        <v>9063.39</v>
      </c>
      <c r="E1623" s="6">
        <v>0.73</v>
      </c>
      <c r="F1623" s="6">
        <f t="shared" si="175"/>
        <v>8.1111111111111106E-3</v>
      </c>
      <c r="G1623">
        <f t="shared" si="176"/>
        <v>1.1561182430306465</v>
      </c>
      <c r="H1623">
        <f t="shared" si="177"/>
        <v>1.2095055896566416</v>
      </c>
      <c r="I1623">
        <f t="shared" si="178"/>
        <v>0.42771078329798856</v>
      </c>
      <c r="J1623">
        <f t="shared" si="179"/>
        <v>0.80776784729218187</v>
      </c>
      <c r="K1623">
        <f t="shared" si="180"/>
        <v>1.1480071319195353</v>
      </c>
      <c r="L1623">
        <f t="shared" si="181"/>
        <v>0.41959967218687744</v>
      </c>
    </row>
    <row r="1624" spans="1:12" x14ac:dyDescent="0.25">
      <c r="A1624" s="1">
        <v>42579</v>
      </c>
      <c r="B1624" s="6">
        <v>155.63999999999999</v>
      </c>
      <c r="C1624" s="6">
        <v>10.762499999999999</v>
      </c>
      <c r="D1624" s="6">
        <v>9076.64</v>
      </c>
      <c r="E1624" s="6">
        <v>0.73</v>
      </c>
      <c r="F1624" s="6">
        <f t="shared" si="175"/>
        <v>8.1111111111111106E-3</v>
      </c>
      <c r="G1624">
        <f t="shared" si="176"/>
        <v>0.8571300819804375</v>
      </c>
      <c r="H1624">
        <f t="shared" si="177"/>
        <v>-3.5851541293773006</v>
      </c>
      <c r="I1624">
        <f t="shared" si="178"/>
        <v>0.14619253943612712</v>
      </c>
      <c r="J1624">
        <f t="shared" si="179"/>
        <v>0.59739195632227871</v>
      </c>
      <c r="K1624">
        <f t="shared" si="180"/>
        <v>0.84901897086932643</v>
      </c>
      <c r="L1624">
        <f t="shared" si="181"/>
        <v>0.13808142832501602</v>
      </c>
    </row>
    <row r="1625" spans="1:12" x14ac:dyDescent="0.25">
      <c r="A1625" s="1">
        <v>42580</v>
      </c>
      <c r="B1625" s="6">
        <v>152.11269999999999</v>
      </c>
      <c r="C1625" s="6">
        <v>10.5846</v>
      </c>
      <c r="D1625" s="6">
        <v>8984.41</v>
      </c>
      <c r="E1625" s="6">
        <v>0.66</v>
      </c>
      <c r="F1625" s="6">
        <f t="shared" si="175"/>
        <v>7.3333333333333341E-3</v>
      </c>
      <c r="G1625">
        <f t="shared" si="176"/>
        <v>-2.2663197121562559</v>
      </c>
      <c r="H1625">
        <f t="shared" si="177"/>
        <v>-1.6529616724738609</v>
      </c>
      <c r="I1625">
        <f t="shared" si="178"/>
        <v>-1.0161249096581948</v>
      </c>
      <c r="J1625">
        <f t="shared" si="179"/>
        <v>-1.5998017564347033</v>
      </c>
      <c r="K1625">
        <f t="shared" si="180"/>
        <v>-2.2736530454895894</v>
      </c>
      <c r="L1625">
        <f t="shared" si="181"/>
        <v>-1.0234582429915282</v>
      </c>
    </row>
    <row r="1626" spans="1:12" x14ac:dyDescent="0.25">
      <c r="A1626" s="1">
        <v>42583</v>
      </c>
      <c r="B1626" s="6">
        <v>156.08090000000001</v>
      </c>
      <c r="C1626" s="6">
        <v>10.5846</v>
      </c>
      <c r="D1626" s="6">
        <v>9080.7099999999991</v>
      </c>
      <c r="E1626" s="6">
        <v>0.66</v>
      </c>
      <c r="F1626" s="6">
        <f t="shared" si="175"/>
        <v>7.3333333333333341E-3</v>
      </c>
      <c r="G1626">
        <f t="shared" si="176"/>
        <v>2.608723663441662</v>
      </c>
      <c r="H1626">
        <f t="shared" si="177"/>
        <v>0</v>
      </c>
      <c r="I1626">
        <f t="shared" si="178"/>
        <v>1.0718566939843492</v>
      </c>
      <c r="J1626">
        <f t="shared" si="179"/>
        <v>1.8304062827595622</v>
      </c>
      <c r="K1626">
        <f t="shared" si="180"/>
        <v>2.6013903301083285</v>
      </c>
      <c r="L1626">
        <f t="shared" si="181"/>
        <v>1.0645233606510158</v>
      </c>
    </row>
    <row r="1627" spans="1:12" x14ac:dyDescent="0.25">
      <c r="A1627" s="1">
        <v>42584</v>
      </c>
      <c r="B1627" s="6">
        <v>155.19909999999999</v>
      </c>
      <c r="C1627" s="6">
        <v>10.629</v>
      </c>
      <c r="D1627" s="6">
        <v>9068.76</v>
      </c>
      <c r="E1627" s="6">
        <v>0.66</v>
      </c>
      <c r="F1627" s="6">
        <f t="shared" si="175"/>
        <v>7.3333333333333341E-3</v>
      </c>
      <c r="G1627">
        <f t="shared" si="176"/>
        <v>-0.56496342601819105</v>
      </c>
      <c r="H1627">
        <f t="shared" si="177"/>
        <v>0.41947735389149848</v>
      </c>
      <c r="I1627">
        <f t="shared" si="178"/>
        <v>-0.13159763939162147</v>
      </c>
      <c r="J1627">
        <f t="shared" si="179"/>
        <v>-0.4026829698703252</v>
      </c>
      <c r="K1627">
        <f t="shared" si="180"/>
        <v>-0.57229675935152435</v>
      </c>
      <c r="L1627">
        <f t="shared" si="181"/>
        <v>-0.1389309727249548</v>
      </c>
    </row>
    <row r="1628" spans="1:12" x14ac:dyDescent="0.25">
      <c r="A1628" s="1">
        <v>42585</v>
      </c>
      <c r="B1628" s="6">
        <v>152.11269999999999</v>
      </c>
      <c r="C1628" s="6">
        <v>10.4956</v>
      </c>
      <c r="D1628" s="6">
        <v>9001.7099999999991</v>
      </c>
      <c r="E1628" s="6">
        <v>0.66</v>
      </c>
      <c r="F1628" s="6">
        <f t="shared" si="175"/>
        <v>7.3333333333333341E-3</v>
      </c>
      <c r="G1628">
        <f t="shared" si="176"/>
        <v>-1.9886713260579461</v>
      </c>
      <c r="H1628">
        <f t="shared" si="177"/>
        <v>-1.2550569197478594</v>
      </c>
      <c r="I1628">
        <f t="shared" si="178"/>
        <v>-0.73935135564290033</v>
      </c>
      <c r="J1628">
        <f t="shared" si="179"/>
        <v>-1.4044410893212695</v>
      </c>
      <c r="K1628">
        <f t="shared" si="180"/>
        <v>-1.9960046593912795</v>
      </c>
      <c r="L1628">
        <f t="shared" si="181"/>
        <v>-0.74668468897623363</v>
      </c>
    </row>
    <row r="1629" spans="1:12" x14ac:dyDescent="0.25">
      <c r="A1629" s="1">
        <v>42586</v>
      </c>
      <c r="B1629" s="6">
        <v>153.87639999999999</v>
      </c>
      <c r="C1629" s="6">
        <v>10.5846</v>
      </c>
      <c r="D1629" s="6">
        <v>9024.7099999999991</v>
      </c>
      <c r="E1629" s="6">
        <v>0.66</v>
      </c>
      <c r="F1629" s="6">
        <f t="shared" si="175"/>
        <v>7.3333333333333341E-3</v>
      </c>
      <c r="G1629">
        <f t="shared" si="176"/>
        <v>1.1594692619353941</v>
      </c>
      <c r="H1629">
        <f t="shared" si="177"/>
        <v>0.8479743892678876</v>
      </c>
      <c r="I1629">
        <f t="shared" si="178"/>
        <v>0.25550700922380304</v>
      </c>
      <c r="J1629">
        <f t="shared" si="179"/>
        <v>0.81067297663800231</v>
      </c>
      <c r="K1629">
        <f t="shared" si="180"/>
        <v>1.1521359286020607</v>
      </c>
      <c r="L1629">
        <f t="shared" si="181"/>
        <v>0.24817367589046971</v>
      </c>
    </row>
    <row r="1630" spans="1:12" x14ac:dyDescent="0.25">
      <c r="A1630" s="1">
        <v>42587</v>
      </c>
      <c r="B1630" s="6">
        <v>156.08090000000001</v>
      </c>
      <c r="C1630" s="6">
        <v>10.5846</v>
      </c>
      <c r="D1630" s="6">
        <v>9092.1200000000008</v>
      </c>
      <c r="E1630" s="6">
        <v>0.66</v>
      </c>
      <c r="F1630" s="6">
        <f t="shared" si="175"/>
        <v>7.3333333333333341E-3</v>
      </c>
      <c r="G1630">
        <f t="shared" si="176"/>
        <v>1.432643342318916</v>
      </c>
      <c r="H1630">
        <f t="shared" si="177"/>
        <v>0</v>
      </c>
      <c r="I1630">
        <f t="shared" si="178"/>
        <v>0.74694920944830001</v>
      </c>
      <c r="J1630">
        <f t="shared" si="179"/>
        <v>1.0028854052127798</v>
      </c>
      <c r="K1630">
        <f t="shared" si="180"/>
        <v>1.4253100089855826</v>
      </c>
      <c r="L1630">
        <f t="shared" si="181"/>
        <v>0.73961587611496671</v>
      </c>
    </row>
    <row r="1631" spans="1:12" x14ac:dyDescent="0.25">
      <c r="A1631" s="1">
        <v>42590</v>
      </c>
      <c r="B1631" s="6">
        <v>156.96270000000001</v>
      </c>
      <c r="C1631" s="6">
        <v>10.5846</v>
      </c>
      <c r="D1631" s="6">
        <v>9150.26</v>
      </c>
      <c r="E1631" s="6">
        <v>0.66</v>
      </c>
      <c r="F1631" s="6">
        <f t="shared" si="175"/>
        <v>7.3333333333333341E-3</v>
      </c>
      <c r="G1631">
        <f t="shared" si="176"/>
        <v>0.56496342601817284</v>
      </c>
      <c r="H1631">
        <f t="shared" si="177"/>
        <v>0</v>
      </c>
      <c r="I1631">
        <f t="shared" si="178"/>
        <v>0.63945482461735448</v>
      </c>
      <c r="J1631">
        <f t="shared" si="179"/>
        <v>0.392363119556773</v>
      </c>
      <c r="K1631">
        <f t="shared" si="180"/>
        <v>0.55763009268483954</v>
      </c>
      <c r="L1631">
        <f t="shared" si="181"/>
        <v>0.63212149128402118</v>
      </c>
    </row>
    <row r="1632" spans="1:12" x14ac:dyDescent="0.25">
      <c r="A1632" s="1">
        <v>42591</v>
      </c>
      <c r="B1632" s="6">
        <v>157.40360000000001</v>
      </c>
      <c r="C1632" s="6">
        <v>10.629</v>
      </c>
      <c r="D1632" s="6">
        <v>9155.08</v>
      </c>
      <c r="E1632" s="6">
        <v>0.66</v>
      </c>
      <c r="F1632" s="6">
        <f t="shared" si="175"/>
        <v>7.3333333333333341E-3</v>
      </c>
      <c r="G1632">
        <f t="shared" si="176"/>
        <v>0.28089476034752153</v>
      </c>
      <c r="H1632">
        <f t="shared" si="177"/>
        <v>0.41947735389149848</v>
      </c>
      <c r="I1632">
        <f t="shared" si="178"/>
        <v>5.2676098821232496E-2</v>
      </c>
      <c r="J1632">
        <f t="shared" si="179"/>
        <v>0.19248497579622734</v>
      </c>
      <c r="K1632">
        <f t="shared" si="180"/>
        <v>0.27356142701418817</v>
      </c>
      <c r="L1632">
        <f t="shared" si="181"/>
        <v>4.5342765487899159E-2</v>
      </c>
    </row>
    <row r="1633" spans="1:12" x14ac:dyDescent="0.25">
      <c r="A1633" s="1">
        <v>42592</v>
      </c>
      <c r="B1633" s="6">
        <v>158.28540000000001</v>
      </c>
      <c r="C1633" s="6">
        <v>10.5846</v>
      </c>
      <c r="D1633" s="6">
        <v>9200.42</v>
      </c>
      <c r="E1633" s="6">
        <v>0.66</v>
      </c>
      <c r="F1633" s="6">
        <f t="shared" si="175"/>
        <v>7.3333333333333341E-3</v>
      </c>
      <c r="G1633">
        <f t="shared" si="176"/>
        <v>0.56021590357526663</v>
      </c>
      <c r="H1633">
        <f t="shared" si="177"/>
        <v>-0.41772509173016797</v>
      </c>
      <c r="I1633">
        <f t="shared" si="178"/>
        <v>0.49524417044963176</v>
      </c>
      <c r="J1633">
        <f t="shared" si="179"/>
        <v>0.38902263858148017</v>
      </c>
      <c r="K1633">
        <f t="shared" si="180"/>
        <v>0.55288257024193332</v>
      </c>
      <c r="L1633">
        <f t="shared" si="181"/>
        <v>0.4879108371162984</v>
      </c>
    </row>
    <row r="1634" spans="1:12" x14ac:dyDescent="0.25">
      <c r="A1634" s="1">
        <v>42593</v>
      </c>
      <c r="B1634" s="6">
        <v>155.63999999999999</v>
      </c>
      <c r="C1634" s="6">
        <v>10.629</v>
      </c>
      <c r="D1634" s="6">
        <v>9131.83</v>
      </c>
      <c r="E1634" s="6">
        <v>0.66</v>
      </c>
      <c r="F1634" s="6">
        <f t="shared" si="175"/>
        <v>7.3333333333333341E-3</v>
      </c>
      <c r="G1634">
        <f t="shared" si="176"/>
        <v>-1.6712849068834039</v>
      </c>
      <c r="H1634">
        <f t="shared" si="177"/>
        <v>0.41947735389149848</v>
      </c>
      <c r="I1634">
        <f t="shared" si="178"/>
        <v>-0.74550944413407372</v>
      </c>
      <c r="J1634">
        <f t="shared" si="179"/>
        <v>-1.1811197026782085</v>
      </c>
      <c r="K1634">
        <f t="shared" si="180"/>
        <v>-1.6786182402167373</v>
      </c>
      <c r="L1634">
        <f t="shared" si="181"/>
        <v>-0.75284277746740702</v>
      </c>
    </row>
    <row r="1635" spans="1:12" x14ac:dyDescent="0.25">
      <c r="A1635" s="1">
        <v>42594</v>
      </c>
      <c r="B1635" s="6">
        <v>156.52180000000001</v>
      </c>
      <c r="C1635" s="6">
        <v>10.673500000000001</v>
      </c>
      <c r="D1635" s="6">
        <v>9150.39</v>
      </c>
      <c r="E1635" s="6">
        <v>0.66</v>
      </c>
      <c r="F1635" s="6">
        <f t="shared" si="175"/>
        <v>7.3333333333333341E-3</v>
      </c>
      <c r="G1635">
        <f t="shared" si="176"/>
        <v>0.56656386533026659</v>
      </c>
      <c r="H1635">
        <f t="shared" si="177"/>
        <v>0.41866591400885406</v>
      </c>
      <c r="I1635">
        <f t="shared" si="178"/>
        <v>0.20324513268424282</v>
      </c>
      <c r="J1635">
        <f t="shared" si="179"/>
        <v>0.39348923052063967</v>
      </c>
      <c r="K1635">
        <f t="shared" si="180"/>
        <v>0.55923053199693329</v>
      </c>
      <c r="L1635">
        <f t="shared" si="181"/>
        <v>0.19591179935090949</v>
      </c>
    </row>
    <row r="1636" spans="1:12" x14ac:dyDescent="0.25">
      <c r="A1636" s="1">
        <v>42597</v>
      </c>
      <c r="B1636" s="6">
        <v>157.84450000000001</v>
      </c>
      <c r="C1636" s="6">
        <v>10.540100000000001</v>
      </c>
      <c r="D1636" s="6">
        <v>9148.51</v>
      </c>
      <c r="E1636" s="6">
        <v>0.66</v>
      </c>
      <c r="F1636" s="6">
        <f t="shared" si="175"/>
        <v>7.3333333333333341E-3</v>
      </c>
      <c r="G1636">
        <f t="shared" si="176"/>
        <v>0.84505800469966319</v>
      </c>
      <c r="H1636">
        <f t="shared" si="177"/>
        <v>-1.2498243312877684</v>
      </c>
      <c r="I1636">
        <f t="shared" si="178"/>
        <v>-2.0545572374502066E-2</v>
      </c>
      <c r="J1636">
        <f t="shared" si="179"/>
        <v>0.58944499175860543</v>
      </c>
      <c r="K1636">
        <f t="shared" si="180"/>
        <v>0.83772467136632989</v>
      </c>
      <c r="L1636">
        <f t="shared" si="181"/>
        <v>-2.78789057078354E-2</v>
      </c>
    </row>
    <row r="1637" spans="1:12" x14ac:dyDescent="0.25">
      <c r="A1637" s="1">
        <v>42598</v>
      </c>
      <c r="B1637" s="6">
        <v>154.75819999999999</v>
      </c>
      <c r="C1637" s="6">
        <v>10.4511</v>
      </c>
      <c r="D1637" s="6">
        <v>9110.36</v>
      </c>
      <c r="E1637" s="6">
        <v>0.66</v>
      </c>
      <c r="F1637" s="6">
        <f t="shared" si="175"/>
        <v>7.3333333333333341E-3</v>
      </c>
      <c r="G1637">
        <f t="shared" si="176"/>
        <v>-1.9552787711957162</v>
      </c>
      <c r="H1637">
        <f t="shared" si="177"/>
        <v>-0.84439426570905785</v>
      </c>
      <c r="I1637">
        <f t="shared" si="178"/>
        <v>-0.4170077968980701</v>
      </c>
      <c r="J1637">
        <f t="shared" si="179"/>
        <v>-1.3809452142463923</v>
      </c>
      <c r="K1637">
        <f t="shared" si="180"/>
        <v>-1.9626121045290497</v>
      </c>
      <c r="L1637">
        <f t="shared" si="181"/>
        <v>-0.42434113023140346</v>
      </c>
    </row>
    <row r="1638" spans="1:12" x14ac:dyDescent="0.25">
      <c r="A1638" s="1">
        <v>42599</v>
      </c>
      <c r="B1638" s="6">
        <v>156.08090000000001</v>
      </c>
      <c r="C1638" s="6">
        <v>10.4511</v>
      </c>
      <c r="D1638" s="6">
        <v>9117.7000000000007</v>
      </c>
      <c r="E1638" s="6">
        <v>0.66</v>
      </c>
      <c r="F1638" s="6">
        <f t="shared" si="175"/>
        <v>7.3333333333333341E-3</v>
      </c>
      <c r="G1638">
        <f t="shared" si="176"/>
        <v>0.85468815222716865</v>
      </c>
      <c r="H1638">
        <f t="shared" si="177"/>
        <v>0</v>
      </c>
      <c r="I1638">
        <f t="shared" si="178"/>
        <v>8.0567617525543936E-2</v>
      </c>
      <c r="J1638">
        <f t="shared" si="179"/>
        <v>0.59622101546186623</v>
      </c>
      <c r="K1638">
        <f t="shared" si="180"/>
        <v>0.84735481889383535</v>
      </c>
      <c r="L1638">
        <f t="shared" si="181"/>
        <v>7.3234284192210605E-2</v>
      </c>
    </row>
    <row r="1639" spans="1:12" x14ac:dyDescent="0.25">
      <c r="A1639" s="1">
        <v>42600</v>
      </c>
      <c r="B1639" s="6">
        <v>155.19909999999999</v>
      </c>
      <c r="C1639" s="6">
        <v>10.3622</v>
      </c>
      <c r="D1639" s="6">
        <v>9122.5</v>
      </c>
      <c r="E1639" s="6">
        <v>0.66</v>
      </c>
      <c r="F1639" s="6">
        <f t="shared" si="175"/>
        <v>7.3333333333333341E-3</v>
      </c>
      <c r="G1639">
        <f t="shared" si="176"/>
        <v>-0.56496342601819105</v>
      </c>
      <c r="H1639">
        <f t="shared" si="177"/>
        <v>-0.85062816354259974</v>
      </c>
      <c r="I1639">
        <f t="shared" si="178"/>
        <v>5.2644855610507829E-2</v>
      </c>
      <c r="J1639">
        <f t="shared" si="179"/>
        <v>-0.4026829698703252</v>
      </c>
      <c r="K1639">
        <f t="shared" si="180"/>
        <v>-0.57229675935152435</v>
      </c>
      <c r="L1639">
        <f t="shared" si="181"/>
        <v>4.5311522277174499E-2</v>
      </c>
    </row>
    <row r="1640" spans="1:12" x14ac:dyDescent="0.25">
      <c r="A1640" s="1">
        <v>42601</v>
      </c>
      <c r="B1640" s="6">
        <v>153.87639999999999</v>
      </c>
      <c r="C1640" s="6">
        <v>10.273300000000001</v>
      </c>
      <c r="D1640" s="6">
        <v>9034.27</v>
      </c>
      <c r="E1640" s="6">
        <v>0.66</v>
      </c>
      <c r="F1640" s="6">
        <f t="shared" si="175"/>
        <v>7.3333333333333341E-3</v>
      </c>
      <c r="G1640">
        <f t="shared" si="176"/>
        <v>-0.85226009686911697</v>
      </c>
      <c r="H1640">
        <f t="shared" si="177"/>
        <v>-0.85792592306651938</v>
      </c>
      <c r="I1640">
        <f t="shared" si="178"/>
        <v>-0.96716908742120655</v>
      </c>
      <c r="J1640">
        <f t="shared" si="179"/>
        <v>-0.60483242251303648</v>
      </c>
      <c r="K1640">
        <f t="shared" si="180"/>
        <v>-0.85959343020245027</v>
      </c>
      <c r="L1640">
        <f t="shared" si="181"/>
        <v>-0.97450242075453986</v>
      </c>
    </row>
    <row r="1641" spans="1:12" x14ac:dyDescent="0.25">
      <c r="A1641" s="1">
        <v>42604</v>
      </c>
      <c r="B1641" s="6">
        <v>152.55359999999999</v>
      </c>
      <c r="C1641" s="6">
        <v>10.139799999999999</v>
      </c>
      <c r="D1641" s="6">
        <v>8981.81</v>
      </c>
      <c r="E1641" s="6">
        <v>0.66</v>
      </c>
      <c r="F1641" s="6">
        <f t="shared" si="175"/>
        <v>7.3333333333333341E-3</v>
      </c>
      <c r="G1641">
        <f t="shared" si="176"/>
        <v>-0.85965099261485256</v>
      </c>
      <c r="H1641">
        <f t="shared" si="177"/>
        <v>-1.299485072956124</v>
      </c>
      <c r="I1641">
        <f t="shared" si="178"/>
        <v>-0.58067779687789878</v>
      </c>
      <c r="J1641">
        <f t="shared" si="179"/>
        <v>-0.6100328500888752</v>
      </c>
      <c r="K1641">
        <f t="shared" si="180"/>
        <v>-0.86698432594818586</v>
      </c>
      <c r="L1641">
        <f t="shared" si="181"/>
        <v>-0.58801113021123208</v>
      </c>
    </row>
    <row r="1642" spans="1:12" x14ac:dyDescent="0.25">
      <c r="A1642" s="1">
        <v>42605</v>
      </c>
      <c r="B1642" s="6">
        <v>153.43549999999999</v>
      </c>
      <c r="C1642" s="6">
        <v>10.1843</v>
      </c>
      <c r="D1642" s="6">
        <v>9030.93</v>
      </c>
      <c r="E1642" s="6">
        <v>0.66</v>
      </c>
      <c r="F1642" s="6">
        <f t="shared" si="175"/>
        <v>7.3333333333333341E-3</v>
      </c>
      <c r="G1642">
        <f t="shared" si="176"/>
        <v>0.57809189688083518</v>
      </c>
      <c r="H1642">
        <f t="shared" si="177"/>
        <v>0.43886467188703027</v>
      </c>
      <c r="I1642">
        <f t="shared" si="178"/>
        <v>0.54688308926598095</v>
      </c>
      <c r="J1642">
        <f t="shared" si="179"/>
        <v>0.40160065506688702</v>
      </c>
      <c r="K1642">
        <f t="shared" si="180"/>
        <v>0.57075856354750187</v>
      </c>
      <c r="L1642">
        <f t="shared" si="181"/>
        <v>0.53954975593264765</v>
      </c>
    </row>
    <row r="1643" spans="1:12" x14ac:dyDescent="0.25">
      <c r="A1643" s="1">
        <v>42606</v>
      </c>
      <c r="B1643" s="6">
        <v>152.99459999999999</v>
      </c>
      <c r="C1643" s="6">
        <v>10.1843</v>
      </c>
      <c r="D1643" s="6">
        <v>9017.3799999999992</v>
      </c>
      <c r="E1643" s="6">
        <v>0.66</v>
      </c>
      <c r="F1643" s="6">
        <f t="shared" si="175"/>
        <v>7.3333333333333341E-3</v>
      </c>
      <c r="G1643">
        <f t="shared" si="176"/>
        <v>-0.28735201436434149</v>
      </c>
      <c r="H1643">
        <f t="shared" si="177"/>
        <v>0</v>
      </c>
      <c r="I1643">
        <f t="shared" si="178"/>
        <v>-0.15003991836943803</v>
      </c>
      <c r="J1643">
        <f t="shared" si="179"/>
        <v>-0.20734831894318159</v>
      </c>
      <c r="K1643">
        <f t="shared" si="180"/>
        <v>-0.29468534769767485</v>
      </c>
      <c r="L1643">
        <f t="shared" si="181"/>
        <v>-0.15737325170277136</v>
      </c>
    </row>
    <row r="1644" spans="1:12" x14ac:dyDescent="0.25">
      <c r="A1644" s="1">
        <v>42607</v>
      </c>
      <c r="B1644" s="6">
        <v>156.08090000000001</v>
      </c>
      <c r="C1644" s="6">
        <v>10.540100000000001</v>
      </c>
      <c r="D1644" s="6">
        <v>9115.4699999999993</v>
      </c>
      <c r="E1644" s="6">
        <v>0.66</v>
      </c>
      <c r="F1644" s="6">
        <f t="shared" si="175"/>
        <v>7.3333333333333341E-3</v>
      </c>
      <c r="G1644">
        <f t="shared" si="176"/>
        <v>2.0172607399215545</v>
      </c>
      <c r="H1644">
        <f t="shared" si="177"/>
        <v>3.4936127176143703</v>
      </c>
      <c r="I1644">
        <f t="shared" si="178"/>
        <v>1.0877882489148749</v>
      </c>
      <c r="J1644">
        <f t="shared" si="179"/>
        <v>1.4142374984366575</v>
      </c>
      <c r="K1644">
        <f t="shared" si="180"/>
        <v>2.0099274065882211</v>
      </c>
      <c r="L1644">
        <f t="shared" si="181"/>
        <v>1.0804549155815415</v>
      </c>
    </row>
    <row r="1645" spans="1:12" x14ac:dyDescent="0.25">
      <c r="A1645" s="1">
        <v>42608</v>
      </c>
      <c r="B1645" s="6">
        <v>156.08090000000001</v>
      </c>
      <c r="C1645" s="6">
        <v>10.4956</v>
      </c>
      <c r="D1645" s="6">
        <v>9131.7199999999993</v>
      </c>
      <c r="E1645" s="6">
        <v>0.66</v>
      </c>
      <c r="F1645" s="6">
        <f t="shared" si="175"/>
        <v>7.3333333333333341E-3</v>
      </c>
      <c r="G1645">
        <f t="shared" si="176"/>
        <v>0</v>
      </c>
      <c r="H1645">
        <f t="shared" si="177"/>
        <v>-0.42219713285453736</v>
      </c>
      <c r="I1645">
        <f t="shared" si="178"/>
        <v>0.17826837233845322</v>
      </c>
      <c r="J1645">
        <f t="shared" si="179"/>
        <v>-5.1599251567697223E-3</v>
      </c>
      <c r="K1645">
        <f t="shared" si="180"/>
        <v>-7.3333333333333341E-3</v>
      </c>
      <c r="L1645">
        <f t="shared" si="181"/>
        <v>0.17093503900511989</v>
      </c>
    </row>
    <row r="1646" spans="1:12" x14ac:dyDescent="0.25">
      <c r="A1646" s="1">
        <v>42611</v>
      </c>
      <c r="B1646" s="6">
        <v>155.63999999999999</v>
      </c>
      <c r="C1646" s="6">
        <v>10.3177</v>
      </c>
      <c r="D1646" s="6">
        <v>9110.17</v>
      </c>
      <c r="E1646" s="6">
        <v>0.66</v>
      </c>
      <c r="F1646" s="6">
        <f t="shared" si="175"/>
        <v>7.3333333333333341E-3</v>
      </c>
      <c r="G1646">
        <f t="shared" si="176"/>
        <v>-0.28248171300910463</v>
      </c>
      <c r="H1646">
        <f t="shared" si="177"/>
        <v>-1.6949959983231</v>
      </c>
      <c r="I1646">
        <f t="shared" si="178"/>
        <v>-0.23599059103870107</v>
      </c>
      <c r="J1646">
        <f t="shared" si="179"/>
        <v>-0.2039214475135539</v>
      </c>
      <c r="K1646">
        <f t="shared" si="180"/>
        <v>-0.28981504634243799</v>
      </c>
      <c r="L1646">
        <f t="shared" si="181"/>
        <v>-0.2433239243720344</v>
      </c>
    </row>
    <row r="1647" spans="1:12" x14ac:dyDescent="0.25">
      <c r="A1647" s="1">
        <v>42612</v>
      </c>
      <c r="B1647" s="6">
        <v>153.87639999999999</v>
      </c>
      <c r="C1647" s="6">
        <v>10.3177</v>
      </c>
      <c r="D1647" s="6">
        <v>9110.56</v>
      </c>
      <c r="E1647" s="6">
        <v>0.66</v>
      </c>
      <c r="F1647" s="6">
        <f t="shared" si="175"/>
        <v>7.3333333333333341E-3</v>
      </c>
      <c r="G1647">
        <f t="shared" si="176"/>
        <v>-1.1331277306604965</v>
      </c>
      <c r="H1647">
        <f t="shared" si="177"/>
        <v>0</v>
      </c>
      <c r="I1647">
        <f t="shared" si="178"/>
        <v>4.2809299936161227E-3</v>
      </c>
      <c r="J1647">
        <f t="shared" si="179"/>
        <v>-0.80245823651156278</v>
      </c>
      <c r="K1647">
        <f t="shared" si="180"/>
        <v>-1.14046106399383</v>
      </c>
      <c r="L1647">
        <f t="shared" si="181"/>
        <v>-3.0524033397172114E-3</v>
      </c>
    </row>
    <row r="1648" spans="1:12" x14ac:dyDescent="0.25">
      <c r="A1648" s="1">
        <v>42613</v>
      </c>
      <c r="B1648" s="6">
        <v>155.19909999999999</v>
      </c>
      <c r="C1648" s="6">
        <v>10.2288</v>
      </c>
      <c r="D1648" s="6">
        <v>9068.85</v>
      </c>
      <c r="E1648" s="6">
        <v>0.66</v>
      </c>
      <c r="F1648" s="6">
        <f t="shared" si="175"/>
        <v>7.3333333333333341E-3</v>
      </c>
      <c r="G1648">
        <f t="shared" si="176"/>
        <v>0.85958600539133856</v>
      </c>
      <c r="H1648">
        <f t="shared" si="177"/>
        <v>-0.86162613760819406</v>
      </c>
      <c r="I1648">
        <f t="shared" si="178"/>
        <v>-0.45782037547636073</v>
      </c>
      <c r="J1648">
        <f t="shared" si="179"/>
        <v>0.59966727306495238</v>
      </c>
      <c r="K1648">
        <f t="shared" si="180"/>
        <v>0.85225267205800526</v>
      </c>
      <c r="L1648">
        <f t="shared" si="181"/>
        <v>-0.46515370880969409</v>
      </c>
    </row>
    <row r="1649" spans="1:12" x14ac:dyDescent="0.25">
      <c r="A1649" s="1">
        <v>42614</v>
      </c>
      <c r="B1649" s="6">
        <v>152.99459999999999</v>
      </c>
      <c r="C1649" s="6">
        <v>10.2288</v>
      </c>
      <c r="D1649" s="6">
        <v>9001.15</v>
      </c>
      <c r="E1649" s="6">
        <v>0.66</v>
      </c>
      <c r="F1649" s="6">
        <f t="shared" si="175"/>
        <v>7.3333333333333341E-3</v>
      </c>
      <c r="G1649">
        <f t="shared" si="176"/>
        <v>-1.4204334947818615</v>
      </c>
      <c r="H1649">
        <f t="shared" si="177"/>
        <v>0</v>
      </c>
      <c r="I1649">
        <f t="shared" si="178"/>
        <v>-0.74651140993621823</v>
      </c>
      <c r="J1649">
        <f t="shared" si="179"/>
        <v>-1.0046140874172145</v>
      </c>
      <c r="K1649">
        <f t="shared" si="180"/>
        <v>-1.427766828115195</v>
      </c>
      <c r="L1649">
        <f t="shared" si="181"/>
        <v>-0.75384474326955153</v>
      </c>
    </row>
    <row r="1650" spans="1:12" x14ac:dyDescent="0.25">
      <c r="A1650" s="1">
        <v>42615</v>
      </c>
      <c r="B1650" s="6">
        <v>153.87639999999999</v>
      </c>
      <c r="C1650" s="6">
        <v>10.3177</v>
      </c>
      <c r="D1650" s="6">
        <v>8987.5499999999993</v>
      </c>
      <c r="E1650" s="6">
        <v>0.66</v>
      </c>
      <c r="F1650" s="6">
        <f t="shared" si="175"/>
        <v>7.3333333333333341E-3</v>
      </c>
      <c r="G1650">
        <f t="shared" si="176"/>
        <v>0.57636021140615312</v>
      </c>
      <c r="H1650">
        <f t="shared" si="177"/>
        <v>0.86911465665572352</v>
      </c>
      <c r="I1650">
        <f t="shared" si="178"/>
        <v>-0.15109180493603999</v>
      </c>
      <c r="J1650">
        <f t="shared" si="179"/>
        <v>0.40038219586992002</v>
      </c>
      <c r="K1650">
        <f t="shared" si="180"/>
        <v>0.56902687807281982</v>
      </c>
      <c r="L1650">
        <f t="shared" si="181"/>
        <v>-0.15842513826937332</v>
      </c>
    </row>
    <row r="1651" spans="1:12" x14ac:dyDescent="0.25">
      <c r="A1651" s="1">
        <v>42618</v>
      </c>
      <c r="B1651" s="6">
        <v>155.63999999999999</v>
      </c>
      <c r="C1651" s="6">
        <v>10.3622</v>
      </c>
      <c r="D1651" s="6">
        <v>9090.1299999999992</v>
      </c>
      <c r="E1651" s="6">
        <v>0.66</v>
      </c>
      <c r="F1651" s="6">
        <f t="shared" si="175"/>
        <v>7.3333333333333341E-3</v>
      </c>
      <c r="G1651">
        <f t="shared" si="176"/>
        <v>1.146114673855118</v>
      </c>
      <c r="H1651">
        <f t="shared" si="177"/>
        <v>0.43129767293097604</v>
      </c>
      <c r="I1651">
        <f t="shared" si="178"/>
        <v>1.1413566544831455</v>
      </c>
      <c r="J1651">
        <f t="shared" si="179"/>
        <v>0.80127633913885954</v>
      </c>
      <c r="K1651">
        <f t="shared" si="180"/>
        <v>1.1387813405217846</v>
      </c>
      <c r="L1651">
        <f t="shared" si="181"/>
        <v>1.1340233211498121</v>
      </c>
    </row>
    <row r="1652" spans="1:12" x14ac:dyDescent="0.25">
      <c r="A1652" s="1">
        <v>42619</v>
      </c>
      <c r="B1652" s="6">
        <v>157.84450000000001</v>
      </c>
      <c r="C1652" s="6">
        <v>10.4511</v>
      </c>
      <c r="D1652" s="6">
        <v>9181.85</v>
      </c>
      <c r="E1652" s="6">
        <v>0.66</v>
      </c>
      <c r="F1652" s="6">
        <f t="shared" si="175"/>
        <v>7.3333333333333341E-3</v>
      </c>
      <c r="G1652">
        <f t="shared" si="176"/>
        <v>1.4164096633256389</v>
      </c>
      <c r="H1652">
        <f t="shared" si="177"/>
        <v>0.85792592306653648</v>
      </c>
      <c r="I1652">
        <f t="shared" si="178"/>
        <v>1.0090064718546508</v>
      </c>
      <c r="J1652">
        <f t="shared" si="179"/>
        <v>0.99146296403673428</v>
      </c>
      <c r="K1652">
        <f t="shared" si="180"/>
        <v>1.4090763299923055</v>
      </c>
      <c r="L1652">
        <f t="shared" si="181"/>
        <v>1.0016731385213173</v>
      </c>
    </row>
    <row r="1653" spans="1:12" x14ac:dyDescent="0.25">
      <c r="A1653" s="1">
        <v>42620</v>
      </c>
      <c r="B1653" s="6">
        <v>162.25360000000001</v>
      </c>
      <c r="C1653" s="6">
        <v>10.540100000000001</v>
      </c>
      <c r="D1653" s="6">
        <v>9259.07</v>
      </c>
      <c r="E1653" s="6">
        <v>0.66</v>
      </c>
      <c r="F1653" s="6">
        <f t="shared" si="175"/>
        <v>7.3333333333333341E-3</v>
      </c>
      <c r="G1653">
        <f t="shared" si="176"/>
        <v>2.7933187409127305</v>
      </c>
      <c r="H1653">
        <f t="shared" si="177"/>
        <v>0.85158500062194797</v>
      </c>
      <c r="I1653">
        <f t="shared" si="178"/>
        <v>0.84100698660944517</v>
      </c>
      <c r="J1653">
        <f t="shared" si="179"/>
        <v>1.9602922078584926</v>
      </c>
      <c r="K1653">
        <f t="shared" si="180"/>
        <v>2.7859854075793971</v>
      </c>
      <c r="L1653">
        <f t="shared" si="181"/>
        <v>0.83367365327611187</v>
      </c>
    </row>
    <row r="1654" spans="1:12" x14ac:dyDescent="0.25">
      <c r="A1654" s="1">
        <v>42621</v>
      </c>
      <c r="B1654" s="6">
        <v>161.37180000000001</v>
      </c>
      <c r="C1654" s="6">
        <v>10.4511</v>
      </c>
      <c r="D1654" s="6">
        <v>9262.89</v>
      </c>
      <c r="E1654" s="6">
        <v>0.66</v>
      </c>
      <c r="F1654" s="6">
        <f t="shared" si="175"/>
        <v>7.3333333333333341E-3</v>
      </c>
      <c r="G1654">
        <f t="shared" si="176"/>
        <v>-0.54347022192419669</v>
      </c>
      <c r="H1654">
        <f t="shared" si="177"/>
        <v>-0.84439426570905785</v>
      </c>
      <c r="I1654">
        <f t="shared" si="178"/>
        <v>4.1256843289873703E-2</v>
      </c>
      <c r="J1654">
        <f t="shared" si="179"/>
        <v>-0.38755978925611784</v>
      </c>
      <c r="K1654">
        <f t="shared" si="180"/>
        <v>-0.55080355525753</v>
      </c>
      <c r="L1654">
        <f t="shared" si="181"/>
        <v>3.3923509956540365E-2</v>
      </c>
    </row>
    <row r="1655" spans="1:12" x14ac:dyDescent="0.25">
      <c r="A1655" s="1">
        <v>42622</v>
      </c>
      <c r="B1655" s="6">
        <v>158.28540000000001</v>
      </c>
      <c r="C1655" s="6">
        <v>10.3622</v>
      </c>
      <c r="D1655" s="6">
        <v>9164.8799999999992</v>
      </c>
      <c r="E1655" s="6">
        <v>0.66</v>
      </c>
      <c r="F1655" s="6">
        <f t="shared" si="175"/>
        <v>7.3333333333333341E-3</v>
      </c>
      <c r="G1655">
        <f t="shared" si="176"/>
        <v>-1.9126018300595256</v>
      </c>
      <c r="H1655">
        <f t="shared" si="177"/>
        <v>-0.85062816354259974</v>
      </c>
      <c r="I1655">
        <f t="shared" si="178"/>
        <v>-1.0580931005334213</v>
      </c>
      <c r="J1655">
        <f t="shared" si="179"/>
        <v>-1.3509166021305818</v>
      </c>
      <c r="K1655">
        <f t="shared" si="180"/>
        <v>-1.919935163392859</v>
      </c>
      <c r="L1655">
        <f t="shared" si="181"/>
        <v>-1.0654264338667547</v>
      </c>
    </row>
    <row r="1656" spans="1:12" x14ac:dyDescent="0.25">
      <c r="A1656" s="1">
        <v>42623</v>
      </c>
      <c r="B1656" s="6">
        <v>156.96270000000001</v>
      </c>
      <c r="C1656" s="6">
        <v>10.273300000000001</v>
      </c>
      <c r="D1656" s="6">
        <v>9053.69</v>
      </c>
      <c r="E1656" s="6">
        <v>0.66</v>
      </c>
      <c r="F1656" s="6">
        <f t="shared" si="175"/>
        <v>7.3333333333333341E-3</v>
      </c>
      <c r="G1656">
        <f t="shared" si="176"/>
        <v>-0.83564245344169297</v>
      </c>
      <c r="H1656">
        <f t="shared" si="177"/>
        <v>-0.85792592306651938</v>
      </c>
      <c r="I1656">
        <f t="shared" si="178"/>
        <v>-1.2132182854548963</v>
      </c>
      <c r="J1656">
        <f t="shared" si="179"/>
        <v>-0.59313981391748283</v>
      </c>
      <c r="K1656">
        <f t="shared" si="180"/>
        <v>-0.84297578677502627</v>
      </c>
      <c r="L1656">
        <f t="shared" si="181"/>
        <v>-1.2205516187882297</v>
      </c>
    </row>
    <row r="1657" spans="1:12" x14ac:dyDescent="0.25">
      <c r="A1657" s="1">
        <v>42625</v>
      </c>
      <c r="B1657" s="6">
        <v>154.31729999999999</v>
      </c>
      <c r="C1657" s="6">
        <v>10.273300000000001</v>
      </c>
      <c r="D1657" s="6">
        <v>8947.06</v>
      </c>
      <c r="E1657" s="6">
        <v>0.66</v>
      </c>
      <c r="F1657" s="6">
        <f t="shared" si="175"/>
        <v>7.3333333333333341E-3</v>
      </c>
      <c r="G1657">
        <f t="shared" si="176"/>
        <v>-1.6853685620851471</v>
      </c>
      <c r="H1657">
        <f t="shared" si="177"/>
        <v>0</v>
      </c>
      <c r="I1657">
        <f t="shared" si="178"/>
        <v>-1.1777518337827009</v>
      </c>
      <c r="J1657">
        <f t="shared" si="179"/>
        <v>-1.1910293308747648</v>
      </c>
      <c r="K1657">
        <f t="shared" si="180"/>
        <v>-1.6927018954184805</v>
      </c>
      <c r="L1657">
        <f t="shared" si="181"/>
        <v>-1.1850851671160343</v>
      </c>
    </row>
    <row r="1658" spans="1:12" x14ac:dyDescent="0.25">
      <c r="A1658" s="1">
        <v>42626</v>
      </c>
      <c r="B1658" s="6">
        <v>154.31729999999999</v>
      </c>
      <c r="C1658" s="6">
        <v>10.2288</v>
      </c>
      <c r="D1658" s="6">
        <v>8940.83</v>
      </c>
      <c r="E1658" s="6">
        <v>0.66</v>
      </c>
      <c r="F1658" s="6">
        <f t="shared" si="175"/>
        <v>7.3333333333333341E-3</v>
      </c>
      <c r="G1658">
        <f t="shared" si="176"/>
        <v>0</v>
      </c>
      <c r="H1658">
        <f t="shared" si="177"/>
        <v>-0.43316169098538049</v>
      </c>
      <c r="I1658">
        <f t="shared" si="178"/>
        <v>-6.9631812014221028E-2</v>
      </c>
      <c r="J1658">
        <f t="shared" si="179"/>
        <v>-5.1599251567697223E-3</v>
      </c>
      <c r="K1658">
        <f t="shared" si="180"/>
        <v>-7.3333333333333341E-3</v>
      </c>
      <c r="L1658">
        <f t="shared" si="181"/>
        <v>-7.6965145347554359E-2</v>
      </c>
    </row>
    <row r="1659" spans="1:12" x14ac:dyDescent="0.25">
      <c r="A1659" s="1">
        <v>42627</v>
      </c>
      <c r="B1659" s="6">
        <v>152.99459999999999</v>
      </c>
      <c r="C1659" s="6">
        <v>10.139799999999999</v>
      </c>
      <c r="D1659" s="6">
        <v>8902.2999999999993</v>
      </c>
      <c r="E1659" s="6">
        <v>0.66</v>
      </c>
      <c r="F1659" s="6">
        <f t="shared" si="175"/>
        <v>7.3333333333333341E-3</v>
      </c>
      <c r="G1659">
        <f t="shared" si="176"/>
        <v>-0.8571300819804375</v>
      </c>
      <c r="H1659">
        <f t="shared" si="177"/>
        <v>-0.87009228844048581</v>
      </c>
      <c r="I1659">
        <f t="shared" si="178"/>
        <v>-0.43094433067176824</v>
      </c>
      <c r="J1659">
        <f t="shared" si="179"/>
        <v>-0.60825907142517244</v>
      </c>
      <c r="K1659">
        <f t="shared" si="180"/>
        <v>-0.8644634153137708</v>
      </c>
      <c r="L1659">
        <f t="shared" si="181"/>
        <v>-0.4382776640051016</v>
      </c>
    </row>
    <row r="1660" spans="1:12" x14ac:dyDescent="0.25">
      <c r="A1660" s="1">
        <v>42632</v>
      </c>
      <c r="B1660" s="6">
        <v>160.93090000000001</v>
      </c>
      <c r="C1660" s="6">
        <v>10.273300000000001</v>
      </c>
      <c r="D1660" s="6">
        <v>9152.8799999999992</v>
      </c>
      <c r="E1660" s="6">
        <v>0.66</v>
      </c>
      <c r="F1660" s="6">
        <f t="shared" si="175"/>
        <v>7.3333333333333341E-3</v>
      </c>
      <c r="G1660">
        <f t="shared" si="176"/>
        <v>5.1873072644394096</v>
      </c>
      <c r="H1660">
        <f t="shared" si="177"/>
        <v>1.3165940156610734</v>
      </c>
      <c r="I1660">
        <f t="shared" si="178"/>
        <v>2.8147782033856412</v>
      </c>
      <c r="J1660">
        <f t="shared" si="179"/>
        <v>3.6447651543443991</v>
      </c>
      <c r="K1660">
        <f t="shared" si="180"/>
        <v>5.1799739311060762</v>
      </c>
      <c r="L1660">
        <f t="shared" si="181"/>
        <v>2.8074448700523078</v>
      </c>
    </row>
    <row r="1661" spans="1:12" x14ac:dyDescent="0.25">
      <c r="A1661" s="1">
        <v>42633</v>
      </c>
      <c r="B1661" s="6">
        <v>161.37180000000001</v>
      </c>
      <c r="C1661" s="6">
        <v>10.273300000000001</v>
      </c>
      <c r="D1661" s="6">
        <v>9161.58</v>
      </c>
      <c r="E1661" s="6">
        <v>0.66</v>
      </c>
      <c r="F1661" s="6">
        <f t="shared" si="175"/>
        <v>7.3333333333333341E-3</v>
      </c>
      <c r="G1661">
        <f t="shared" si="176"/>
        <v>0.27396851692247987</v>
      </c>
      <c r="H1661">
        <f t="shared" si="177"/>
        <v>0</v>
      </c>
      <c r="I1661">
        <f t="shared" si="178"/>
        <v>9.5052049191082247E-2</v>
      </c>
      <c r="J1661">
        <f t="shared" si="179"/>
        <v>0.18761148974748415</v>
      </c>
      <c r="K1661">
        <f t="shared" si="180"/>
        <v>0.26663518358914651</v>
      </c>
      <c r="L1661">
        <f t="shared" si="181"/>
        <v>8.7718715857748916E-2</v>
      </c>
    </row>
    <row r="1662" spans="1:12" x14ac:dyDescent="0.25">
      <c r="A1662" s="1">
        <v>42634</v>
      </c>
      <c r="B1662" s="6">
        <v>162.25360000000001</v>
      </c>
      <c r="C1662" s="6">
        <v>10.4956</v>
      </c>
      <c r="D1662" s="6">
        <v>9228.5</v>
      </c>
      <c r="E1662" s="6">
        <v>0.66</v>
      </c>
      <c r="F1662" s="6">
        <f t="shared" si="175"/>
        <v>7.3333333333333341E-3</v>
      </c>
      <c r="G1662">
        <f t="shared" si="176"/>
        <v>0.54643996038960851</v>
      </c>
      <c r="H1662">
        <f t="shared" si="177"/>
        <v>2.1638616608100496</v>
      </c>
      <c r="I1662">
        <f t="shared" si="178"/>
        <v>0.73044169237184065</v>
      </c>
      <c r="J1662">
        <f t="shared" si="179"/>
        <v>0.37932952460849279</v>
      </c>
      <c r="K1662">
        <f t="shared" si="180"/>
        <v>0.53910662705627521</v>
      </c>
      <c r="L1662">
        <f t="shared" si="181"/>
        <v>0.72310835903850734</v>
      </c>
    </row>
    <row r="1663" spans="1:12" x14ac:dyDescent="0.25">
      <c r="A1663" s="1">
        <v>42635</v>
      </c>
      <c r="B1663" s="6">
        <v>163.5763</v>
      </c>
      <c r="C1663" s="6">
        <v>10.4511</v>
      </c>
      <c r="D1663" s="6">
        <v>9235.26</v>
      </c>
      <c r="E1663" s="6">
        <v>0.66</v>
      </c>
      <c r="F1663" s="6">
        <f t="shared" si="175"/>
        <v>7.3333333333333341E-3</v>
      </c>
      <c r="G1663">
        <f t="shared" si="176"/>
        <v>0.81520533288629493</v>
      </c>
      <c r="H1663">
        <f t="shared" si="177"/>
        <v>-0.42398719463393536</v>
      </c>
      <c r="I1663">
        <f t="shared" si="178"/>
        <v>7.3251340954653715E-2</v>
      </c>
      <c r="J1663">
        <f t="shared" si="179"/>
        <v>0.56843987099225235</v>
      </c>
      <c r="K1663">
        <f t="shared" si="180"/>
        <v>0.80787199955296163</v>
      </c>
      <c r="L1663">
        <f t="shared" si="181"/>
        <v>6.5918007621320385E-2</v>
      </c>
    </row>
    <row r="1664" spans="1:12" x14ac:dyDescent="0.25">
      <c r="A1664" s="1">
        <v>42636</v>
      </c>
      <c r="B1664" s="6">
        <v>165.3399</v>
      </c>
      <c r="C1664" s="6">
        <v>10.4511</v>
      </c>
      <c r="D1664" s="6">
        <v>9284.6200000000008</v>
      </c>
      <c r="E1664" s="6">
        <v>0.66</v>
      </c>
      <c r="F1664" s="6">
        <f t="shared" si="175"/>
        <v>7.3333333333333341E-3</v>
      </c>
      <c r="G1664">
        <f t="shared" si="176"/>
        <v>1.0781512969788389</v>
      </c>
      <c r="H1664">
        <f t="shared" si="177"/>
        <v>0</v>
      </c>
      <c r="I1664">
        <f t="shared" si="178"/>
        <v>0.53447331206701898</v>
      </c>
      <c r="J1664">
        <f t="shared" si="179"/>
        <v>0.75345552940027771</v>
      </c>
      <c r="K1664">
        <f t="shared" si="180"/>
        <v>1.0708179636455055</v>
      </c>
      <c r="L1664">
        <f t="shared" si="181"/>
        <v>0.52713997873368568</v>
      </c>
    </row>
    <row r="1665" spans="1:12" x14ac:dyDescent="0.25">
      <c r="A1665" s="1">
        <v>42639</v>
      </c>
      <c r="B1665" s="6">
        <v>161.37180000000001</v>
      </c>
      <c r="C1665" s="6">
        <v>10.3177</v>
      </c>
      <c r="D1665" s="6">
        <v>9194.52</v>
      </c>
      <c r="E1665" s="6">
        <v>0.66</v>
      </c>
      <c r="F1665" s="6">
        <f t="shared" si="175"/>
        <v>7.3333333333333341E-3</v>
      </c>
      <c r="G1665">
        <f t="shared" si="176"/>
        <v>-2.3999651626739782</v>
      </c>
      <c r="H1665">
        <f t="shared" si="177"/>
        <v>-1.2764206638535653</v>
      </c>
      <c r="I1665">
        <f t="shared" si="178"/>
        <v>-0.97042205281422778</v>
      </c>
      <c r="J1665">
        <f t="shared" si="179"/>
        <v>-1.6938381912820968</v>
      </c>
      <c r="K1665">
        <f t="shared" si="180"/>
        <v>-2.4072984960073116</v>
      </c>
      <c r="L1665">
        <f t="shared" si="181"/>
        <v>-0.97775538614756108</v>
      </c>
    </row>
    <row r="1666" spans="1:12" x14ac:dyDescent="0.25">
      <c r="A1666" s="1">
        <v>42642</v>
      </c>
      <c r="B1666" s="6">
        <v>163.5763</v>
      </c>
      <c r="C1666" s="6">
        <v>10.3622</v>
      </c>
      <c r="D1666" s="6">
        <v>9270.9</v>
      </c>
      <c r="E1666" s="6">
        <v>0.66</v>
      </c>
      <c r="F1666" s="6">
        <f t="shared" si="175"/>
        <v>7.3333333333333341E-3</v>
      </c>
      <c r="G1666">
        <f t="shared" si="176"/>
        <v>1.3660999009740213</v>
      </c>
      <c r="H1666">
        <f t="shared" si="177"/>
        <v>0.43129767293097604</v>
      </c>
      <c r="I1666">
        <f t="shared" si="178"/>
        <v>0.83071220683623714</v>
      </c>
      <c r="J1666">
        <f t="shared" si="179"/>
        <v>0.95606369925638646</v>
      </c>
      <c r="K1666">
        <f t="shared" si="180"/>
        <v>1.3587665676406879</v>
      </c>
      <c r="L1666">
        <f t="shared" si="181"/>
        <v>0.82337887350290384</v>
      </c>
    </row>
    <row r="1667" spans="1:12" x14ac:dyDescent="0.25">
      <c r="A1667" s="1">
        <v>42643</v>
      </c>
      <c r="B1667" s="6">
        <v>160.93090000000001</v>
      </c>
      <c r="C1667" s="6">
        <v>10.273300000000001</v>
      </c>
      <c r="D1667" s="6">
        <v>9166.85</v>
      </c>
      <c r="E1667" s="6">
        <v>0.66</v>
      </c>
      <c r="F1667" s="6">
        <f t="shared" ref="F1667:F1730" si="182">E1667/90</f>
        <v>7.3333333333333341E-3</v>
      </c>
      <c r="G1667">
        <f t="shared" si="176"/>
        <v>-1.6172269454682586</v>
      </c>
      <c r="H1667">
        <f t="shared" si="177"/>
        <v>-0.85792592306651938</v>
      </c>
      <c r="I1667">
        <f t="shared" si="178"/>
        <v>-1.1223290079711707</v>
      </c>
      <c r="J1667">
        <f t="shared" si="179"/>
        <v>-1.1430831069923411</v>
      </c>
      <c r="K1667">
        <f t="shared" si="180"/>
        <v>-1.624560278801592</v>
      </c>
      <c r="L1667">
        <f t="shared" si="181"/>
        <v>-1.1296623413045042</v>
      </c>
    </row>
    <row r="1668" spans="1:12" x14ac:dyDescent="0.25">
      <c r="A1668" s="1">
        <v>42646</v>
      </c>
      <c r="B1668" s="6">
        <v>164.0172</v>
      </c>
      <c r="C1668" s="6">
        <v>10.3177</v>
      </c>
      <c r="D1668" s="6">
        <v>9234.2000000000007</v>
      </c>
      <c r="E1668" s="6">
        <v>0.66</v>
      </c>
      <c r="F1668" s="6">
        <f t="shared" si="182"/>
        <v>7.3333333333333341E-3</v>
      </c>
      <c r="G1668">
        <f t="shared" ref="G1668:G1731" si="183">100*(B1668-B1667)/B1667</f>
        <v>1.917779618457359</v>
      </c>
      <c r="H1668">
        <f t="shared" ref="H1668:H1731" si="184">100*(C1668-C1667)/C1667</f>
        <v>0.43218829392697133</v>
      </c>
      <c r="I1668">
        <f t="shared" ref="I1668:I1731" si="185">100*(D1668-D1667)/D1667</f>
        <v>0.73471257847570715</v>
      </c>
      <c r="J1668">
        <f t="shared" ref="J1668:J1731" si="186">(G1668-F1668)/$N$3</f>
        <v>1.3442399791730073</v>
      </c>
      <c r="K1668">
        <f t="shared" ref="K1668:K1731" si="187">G1668-F1668</f>
        <v>1.9104462851240256</v>
      </c>
      <c r="L1668">
        <f t="shared" ref="L1668:L1731" si="188">I1668-F1668</f>
        <v>0.72737924514237384</v>
      </c>
    </row>
    <row r="1669" spans="1:12" x14ac:dyDescent="0.25">
      <c r="A1669" s="1">
        <v>42647</v>
      </c>
      <c r="B1669" s="6">
        <v>164.899</v>
      </c>
      <c r="C1669" s="6">
        <v>10.3177</v>
      </c>
      <c r="D1669" s="6">
        <v>9287.77</v>
      </c>
      <c r="E1669" s="6">
        <v>0.66</v>
      </c>
      <c r="F1669" s="6">
        <f t="shared" si="182"/>
        <v>7.3333333333333341E-3</v>
      </c>
      <c r="G1669">
        <f t="shared" si="183"/>
        <v>0.53762654160661094</v>
      </c>
      <c r="H1669">
        <f t="shared" si="184"/>
        <v>0</v>
      </c>
      <c r="I1669">
        <f t="shared" si="185"/>
        <v>0.58012605315024268</v>
      </c>
      <c r="J1669">
        <f t="shared" si="186"/>
        <v>0.37312817261364695</v>
      </c>
      <c r="K1669">
        <f t="shared" si="187"/>
        <v>0.53029320827327764</v>
      </c>
      <c r="L1669">
        <f t="shared" si="188"/>
        <v>0.57279271981690938</v>
      </c>
    </row>
    <row r="1670" spans="1:12" x14ac:dyDescent="0.25">
      <c r="A1670" s="1">
        <v>42648</v>
      </c>
      <c r="B1670" s="6">
        <v>164.0172</v>
      </c>
      <c r="C1670" s="6">
        <v>10.3177</v>
      </c>
      <c r="D1670" s="6">
        <v>9272.2800000000007</v>
      </c>
      <c r="E1670" s="6">
        <v>0.66</v>
      </c>
      <c r="F1670" s="6">
        <f t="shared" si="182"/>
        <v>7.3333333333333341E-3</v>
      </c>
      <c r="G1670">
        <f t="shared" si="183"/>
        <v>-0.53475157520664063</v>
      </c>
      <c r="H1670">
        <f t="shared" si="184"/>
        <v>0</v>
      </c>
      <c r="I1670">
        <f t="shared" si="185"/>
        <v>-0.16677846242962283</v>
      </c>
      <c r="J1670">
        <f t="shared" si="186"/>
        <v>-0.3814251213655398</v>
      </c>
      <c r="K1670">
        <f t="shared" si="187"/>
        <v>-0.54208490853997393</v>
      </c>
      <c r="L1670">
        <f t="shared" si="188"/>
        <v>-0.17411179576295616</v>
      </c>
    </row>
    <row r="1671" spans="1:12" x14ac:dyDescent="0.25">
      <c r="A1671" s="1">
        <v>42649</v>
      </c>
      <c r="B1671" s="6">
        <v>165.3399</v>
      </c>
      <c r="C1671" s="6">
        <v>10.3177</v>
      </c>
      <c r="D1671" s="6">
        <v>9284.31</v>
      </c>
      <c r="E1671" s="6">
        <v>0.66</v>
      </c>
      <c r="F1671" s="6">
        <f t="shared" si="182"/>
        <v>7.3333333333333341E-3</v>
      </c>
      <c r="G1671">
        <f t="shared" si="183"/>
        <v>0.80643981240991647</v>
      </c>
      <c r="H1671">
        <f t="shared" si="184"/>
        <v>0</v>
      </c>
      <c r="I1671">
        <f t="shared" si="185"/>
        <v>0.12974155223956604</v>
      </c>
      <c r="J1671">
        <f t="shared" si="186"/>
        <v>0.56227222149885525</v>
      </c>
      <c r="K1671">
        <f t="shared" si="187"/>
        <v>0.79910647907658316</v>
      </c>
      <c r="L1671">
        <f t="shared" si="188"/>
        <v>0.12240821890623271</v>
      </c>
    </row>
    <row r="1672" spans="1:12" x14ac:dyDescent="0.25">
      <c r="A1672" s="1">
        <v>42650</v>
      </c>
      <c r="B1672" s="6">
        <v>165.7808</v>
      </c>
      <c r="C1672" s="6">
        <v>10.2288</v>
      </c>
      <c r="D1672" s="6">
        <v>9265.81</v>
      </c>
      <c r="E1672" s="6">
        <v>0.66</v>
      </c>
      <c r="F1672" s="6">
        <f t="shared" si="182"/>
        <v>7.3333333333333341E-3</v>
      </c>
      <c r="G1672">
        <f t="shared" si="183"/>
        <v>0.26666279585266423</v>
      </c>
      <c r="H1672">
        <f t="shared" si="184"/>
        <v>-0.86162613760819406</v>
      </c>
      <c r="I1672">
        <f t="shared" si="185"/>
        <v>-0.19926090361049986</v>
      </c>
      <c r="J1672">
        <f t="shared" si="186"/>
        <v>0.18247099330159991</v>
      </c>
      <c r="K1672">
        <f t="shared" si="187"/>
        <v>0.25932946251933087</v>
      </c>
      <c r="L1672">
        <f t="shared" si="188"/>
        <v>-0.20659423694383319</v>
      </c>
    </row>
    <row r="1673" spans="1:12" x14ac:dyDescent="0.25">
      <c r="A1673" s="1">
        <v>42654</v>
      </c>
      <c r="B1673" s="6">
        <v>165.3399</v>
      </c>
      <c r="C1673" s="6">
        <v>10.3622</v>
      </c>
      <c r="D1673" s="6">
        <v>9219.82</v>
      </c>
      <c r="E1673" s="6">
        <v>0.66</v>
      </c>
      <c r="F1673" s="6">
        <f t="shared" si="182"/>
        <v>7.3333333333333341E-3</v>
      </c>
      <c r="G1673">
        <f t="shared" si="183"/>
        <v>-0.26595359655641615</v>
      </c>
      <c r="H1673">
        <f t="shared" si="184"/>
        <v>1.3041608008759578</v>
      </c>
      <c r="I1673">
        <f t="shared" si="185"/>
        <v>-0.49634084877630541</v>
      </c>
      <c r="J1673">
        <f t="shared" si="186"/>
        <v>-0.19229183243924752</v>
      </c>
      <c r="K1673">
        <f t="shared" si="187"/>
        <v>-0.27328692988974951</v>
      </c>
      <c r="L1673">
        <f t="shared" si="188"/>
        <v>-0.50367418210963877</v>
      </c>
    </row>
    <row r="1674" spans="1:12" x14ac:dyDescent="0.25">
      <c r="A1674" s="1">
        <v>42655</v>
      </c>
      <c r="B1674" s="6">
        <v>167.1036</v>
      </c>
      <c r="C1674" s="6">
        <v>10.273300000000001</v>
      </c>
      <c r="D1674" s="6">
        <v>9252.6</v>
      </c>
      <c r="E1674" s="6">
        <v>0.66</v>
      </c>
      <c r="F1674" s="6">
        <f t="shared" si="182"/>
        <v>7.3333333333333341E-3</v>
      </c>
      <c r="G1674">
        <f t="shared" si="183"/>
        <v>1.0667116648794392</v>
      </c>
      <c r="H1674">
        <f t="shared" si="184"/>
        <v>-0.85792592306651938</v>
      </c>
      <c r="I1674">
        <f t="shared" si="185"/>
        <v>0.35553839445890112</v>
      </c>
      <c r="J1674">
        <f t="shared" si="186"/>
        <v>0.74540630502020266</v>
      </c>
      <c r="K1674">
        <f t="shared" si="187"/>
        <v>1.0593783315461058</v>
      </c>
      <c r="L1674">
        <f t="shared" si="188"/>
        <v>0.34820506112556776</v>
      </c>
    </row>
    <row r="1675" spans="1:12" x14ac:dyDescent="0.25">
      <c r="A1675" s="1">
        <v>42656</v>
      </c>
      <c r="B1675" s="6">
        <v>166.2218</v>
      </c>
      <c r="C1675" s="6">
        <v>10.2288</v>
      </c>
      <c r="D1675" s="6">
        <v>9219.17</v>
      </c>
      <c r="E1675" s="6">
        <v>0.66</v>
      </c>
      <c r="F1675" s="6">
        <f t="shared" si="182"/>
        <v>7.3333333333333341E-3</v>
      </c>
      <c r="G1675">
        <f t="shared" si="183"/>
        <v>-0.52769659061803476</v>
      </c>
      <c r="H1675">
        <f t="shared" si="184"/>
        <v>-0.43316169098538049</v>
      </c>
      <c r="I1675">
        <f t="shared" si="185"/>
        <v>-0.36130384972872803</v>
      </c>
      <c r="J1675">
        <f t="shared" si="186"/>
        <v>-0.37646104966653482</v>
      </c>
      <c r="K1675">
        <f t="shared" si="187"/>
        <v>-0.53502992395136806</v>
      </c>
      <c r="L1675">
        <f t="shared" si="188"/>
        <v>-0.36863718306206139</v>
      </c>
    </row>
    <row r="1676" spans="1:12" x14ac:dyDescent="0.25">
      <c r="A1676" s="1">
        <v>42657</v>
      </c>
      <c r="B1676" s="6">
        <v>165.7808</v>
      </c>
      <c r="C1676" s="6">
        <v>10.3622</v>
      </c>
      <c r="D1676" s="6">
        <v>9165.17</v>
      </c>
      <c r="E1676" s="6">
        <v>0.66</v>
      </c>
      <c r="F1676" s="6">
        <f t="shared" si="182"/>
        <v>7.3333333333333341E-3</v>
      </c>
      <c r="G1676">
        <f t="shared" si="183"/>
        <v>-0.26530816054212053</v>
      </c>
      <c r="H1676">
        <f t="shared" si="184"/>
        <v>1.3041608008759578</v>
      </c>
      <c r="I1676">
        <f t="shared" si="185"/>
        <v>-0.58573602612816555</v>
      </c>
      <c r="J1676">
        <f t="shared" si="186"/>
        <v>-0.19183768677644081</v>
      </c>
      <c r="K1676">
        <f t="shared" si="187"/>
        <v>-0.27264149387545389</v>
      </c>
      <c r="L1676">
        <f t="shared" si="188"/>
        <v>-0.59306935946149886</v>
      </c>
    </row>
    <row r="1677" spans="1:12" x14ac:dyDescent="0.25">
      <c r="A1677" s="1">
        <v>42660</v>
      </c>
      <c r="B1677" s="6">
        <v>164.4581</v>
      </c>
      <c r="C1677" s="6">
        <v>10.273300000000001</v>
      </c>
      <c r="D1677" s="6">
        <v>9176.2199999999993</v>
      </c>
      <c r="E1677" s="6">
        <v>0.66</v>
      </c>
      <c r="F1677" s="6">
        <f t="shared" si="182"/>
        <v>7.3333333333333341E-3</v>
      </c>
      <c r="G1677">
        <f t="shared" si="183"/>
        <v>-0.79786078966924856</v>
      </c>
      <c r="H1677">
        <f t="shared" si="184"/>
        <v>-0.85792592306651938</v>
      </c>
      <c r="I1677">
        <f t="shared" si="185"/>
        <v>0.12056513954459407</v>
      </c>
      <c r="J1677">
        <f t="shared" si="186"/>
        <v>-0.56655564700420313</v>
      </c>
      <c r="K1677">
        <f t="shared" si="187"/>
        <v>-0.80519412300258186</v>
      </c>
      <c r="L1677">
        <f t="shared" si="188"/>
        <v>0.11323180621126074</v>
      </c>
    </row>
    <row r="1678" spans="1:12" x14ac:dyDescent="0.25">
      <c r="A1678" s="1">
        <v>42661</v>
      </c>
      <c r="B1678" s="6">
        <v>164.899</v>
      </c>
      <c r="C1678" s="6">
        <v>10.3622</v>
      </c>
      <c r="D1678" s="6">
        <v>9222.58</v>
      </c>
      <c r="E1678" s="6">
        <v>0.66</v>
      </c>
      <c r="F1678" s="6">
        <f t="shared" si="182"/>
        <v>7.3333333333333341E-3</v>
      </c>
      <c r="G1678">
        <f t="shared" si="183"/>
        <v>0.26809260231025361</v>
      </c>
      <c r="H1678">
        <f t="shared" si="184"/>
        <v>0.8653499849123345</v>
      </c>
      <c r="I1678">
        <f t="shared" si="185"/>
        <v>0.50521892456807471</v>
      </c>
      <c r="J1678">
        <f t="shared" si="186"/>
        <v>0.18347704252566727</v>
      </c>
      <c r="K1678">
        <f t="shared" si="187"/>
        <v>0.26075926897692026</v>
      </c>
      <c r="L1678">
        <f t="shared" si="188"/>
        <v>0.49788559123474135</v>
      </c>
    </row>
    <row r="1679" spans="1:12" x14ac:dyDescent="0.25">
      <c r="A1679" s="1">
        <v>42662</v>
      </c>
      <c r="B1679" s="6">
        <v>167.1036</v>
      </c>
      <c r="C1679" s="6">
        <v>10.406700000000001</v>
      </c>
      <c r="D1679" s="6">
        <v>9283.99</v>
      </c>
      <c r="E1679" s="6">
        <v>0.66</v>
      </c>
      <c r="F1679" s="6">
        <f t="shared" si="182"/>
        <v>7.3333333333333341E-3</v>
      </c>
      <c r="G1679">
        <f t="shared" si="183"/>
        <v>1.3369395811981875</v>
      </c>
      <c r="H1679">
        <f t="shared" si="184"/>
        <v>0.42944548454962361</v>
      </c>
      <c r="I1679">
        <f t="shared" si="185"/>
        <v>0.66586573388357551</v>
      </c>
      <c r="J1679">
        <f t="shared" si="186"/>
        <v>0.93554573549400799</v>
      </c>
      <c r="K1679">
        <f t="shared" si="187"/>
        <v>1.329606247864854</v>
      </c>
      <c r="L1679">
        <f t="shared" si="188"/>
        <v>0.6585324005502422</v>
      </c>
    </row>
    <row r="1680" spans="1:12" x14ac:dyDescent="0.25">
      <c r="A1680" s="1">
        <v>42663</v>
      </c>
      <c r="B1680" s="6">
        <v>167.9854</v>
      </c>
      <c r="C1680" s="6">
        <v>10.3622</v>
      </c>
      <c r="D1680" s="6">
        <v>9317.24</v>
      </c>
      <c r="E1680" s="6">
        <v>0.66</v>
      </c>
      <c r="F1680" s="6">
        <f t="shared" si="182"/>
        <v>7.3333333333333341E-3</v>
      </c>
      <c r="G1680">
        <f t="shared" si="183"/>
        <v>0.52769659061803476</v>
      </c>
      <c r="H1680">
        <f t="shared" si="184"/>
        <v>-0.42760913642173881</v>
      </c>
      <c r="I1680">
        <f t="shared" si="185"/>
        <v>0.35814342755647088</v>
      </c>
      <c r="J1680">
        <f t="shared" si="186"/>
        <v>0.36614119935299538</v>
      </c>
      <c r="K1680">
        <f t="shared" si="187"/>
        <v>0.52036325728470145</v>
      </c>
      <c r="L1680">
        <f t="shared" si="188"/>
        <v>0.35081009422313753</v>
      </c>
    </row>
    <row r="1681" spans="1:12" x14ac:dyDescent="0.25">
      <c r="A1681" s="1">
        <v>42664</v>
      </c>
      <c r="B1681" s="6">
        <v>166.2218</v>
      </c>
      <c r="C1681" s="6">
        <v>10.406700000000001</v>
      </c>
      <c r="D1681" s="6">
        <v>9306.57</v>
      </c>
      <c r="E1681" s="6">
        <v>0.66</v>
      </c>
      <c r="F1681" s="6">
        <f t="shared" si="182"/>
        <v>7.3333333333333341E-3</v>
      </c>
      <c r="G1681">
        <f t="shared" si="183"/>
        <v>-1.0498531419992432</v>
      </c>
      <c r="H1681">
        <f t="shared" si="184"/>
        <v>0.42944548454962361</v>
      </c>
      <c r="I1681">
        <f t="shared" si="185"/>
        <v>-0.11451889186068055</v>
      </c>
      <c r="J1681">
        <f t="shared" si="186"/>
        <v>-0.7438640576543557</v>
      </c>
      <c r="K1681">
        <f t="shared" si="187"/>
        <v>-1.0571864753325766</v>
      </c>
      <c r="L1681">
        <f t="shared" si="188"/>
        <v>-0.12185222519401388</v>
      </c>
    </row>
    <row r="1682" spans="1:12" x14ac:dyDescent="0.25">
      <c r="A1682" s="1">
        <v>42667</v>
      </c>
      <c r="B1682" s="6">
        <v>168.4263</v>
      </c>
      <c r="C1682" s="6">
        <v>10.3622</v>
      </c>
      <c r="D1682" s="6">
        <v>9322.5</v>
      </c>
      <c r="E1682" s="6">
        <v>0.66</v>
      </c>
      <c r="F1682" s="6">
        <f t="shared" si="182"/>
        <v>7.3333333333333341E-3</v>
      </c>
      <c r="G1682">
        <f t="shared" si="183"/>
        <v>1.3262399998074836</v>
      </c>
      <c r="H1682">
        <f t="shared" si="184"/>
        <v>-0.42760913642173881</v>
      </c>
      <c r="I1682">
        <f t="shared" si="185"/>
        <v>0.17116939968216316</v>
      </c>
      <c r="J1682">
        <f t="shared" si="186"/>
        <v>0.92801723015062654</v>
      </c>
      <c r="K1682">
        <f t="shared" si="187"/>
        <v>1.3189066664741502</v>
      </c>
      <c r="L1682">
        <f t="shared" si="188"/>
        <v>0.16383606634882983</v>
      </c>
    </row>
    <row r="1683" spans="1:12" x14ac:dyDescent="0.25">
      <c r="A1683" s="1">
        <v>42668</v>
      </c>
      <c r="B1683" s="6">
        <v>170.18989999999999</v>
      </c>
      <c r="C1683" s="6">
        <v>10.406700000000001</v>
      </c>
      <c r="D1683" s="6">
        <v>9385.65</v>
      </c>
      <c r="E1683" s="6">
        <v>0.66</v>
      </c>
      <c r="F1683" s="6">
        <f t="shared" si="182"/>
        <v>7.3333333333333341E-3</v>
      </c>
      <c r="G1683">
        <f t="shared" si="183"/>
        <v>1.047104876138701</v>
      </c>
      <c r="H1683">
        <f t="shared" si="184"/>
        <v>0.42944548454962361</v>
      </c>
      <c r="I1683">
        <f t="shared" si="185"/>
        <v>0.67739340305711593</v>
      </c>
      <c r="J1683">
        <f t="shared" si="186"/>
        <v>0.73161045559291116</v>
      </c>
      <c r="K1683">
        <f t="shared" si="187"/>
        <v>1.0397715428053675</v>
      </c>
      <c r="L1683">
        <f t="shared" si="188"/>
        <v>0.67006006972378263</v>
      </c>
    </row>
    <row r="1684" spans="1:12" x14ac:dyDescent="0.25">
      <c r="A1684" s="1">
        <v>42669</v>
      </c>
      <c r="B1684" s="6">
        <v>168.8672</v>
      </c>
      <c r="C1684" s="6">
        <v>10.273300000000001</v>
      </c>
      <c r="D1684" s="6">
        <v>9362.25</v>
      </c>
      <c r="E1684" s="6">
        <v>0.66</v>
      </c>
      <c r="F1684" s="6">
        <f t="shared" si="182"/>
        <v>7.3333333333333341E-3</v>
      </c>
      <c r="G1684">
        <f t="shared" si="183"/>
        <v>-0.7771906558497288</v>
      </c>
      <c r="H1684">
        <f t="shared" si="184"/>
        <v>-1.2818664898574952</v>
      </c>
      <c r="I1684">
        <f t="shared" si="185"/>
        <v>-0.24931677614229847</v>
      </c>
      <c r="J1684">
        <f t="shared" si="186"/>
        <v>-0.55201160016477535</v>
      </c>
      <c r="K1684">
        <f t="shared" si="187"/>
        <v>-0.7845239891830621</v>
      </c>
      <c r="L1684">
        <f t="shared" si="188"/>
        <v>-0.25665010947563183</v>
      </c>
    </row>
    <row r="1685" spans="1:12" x14ac:dyDescent="0.25">
      <c r="A1685" s="1">
        <v>42670</v>
      </c>
      <c r="B1685" s="6">
        <v>166.2218</v>
      </c>
      <c r="C1685" s="6">
        <v>10.2288</v>
      </c>
      <c r="D1685" s="6">
        <v>9299.5499999999993</v>
      </c>
      <c r="E1685" s="6">
        <v>0.66</v>
      </c>
      <c r="F1685" s="6">
        <f t="shared" si="182"/>
        <v>7.3333333333333341E-3</v>
      </c>
      <c r="G1685">
        <f t="shared" si="183"/>
        <v>-1.5665564419851783</v>
      </c>
      <c r="H1685">
        <f t="shared" si="184"/>
        <v>-0.43316169098538049</v>
      </c>
      <c r="I1685">
        <f t="shared" si="185"/>
        <v>-0.6697108066971158</v>
      </c>
      <c r="J1685">
        <f t="shared" si="186"/>
        <v>-1.1074300153157228</v>
      </c>
      <c r="K1685">
        <f t="shared" si="187"/>
        <v>-1.5738897753185117</v>
      </c>
      <c r="L1685">
        <f t="shared" si="188"/>
        <v>-0.6770441400304491</v>
      </c>
    </row>
    <row r="1686" spans="1:12" x14ac:dyDescent="0.25">
      <c r="A1686" s="1">
        <v>42671</v>
      </c>
      <c r="B1686" s="6">
        <v>167.1036</v>
      </c>
      <c r="C1686" s="6">
        <v>10.406700000000001</v>
      </c>
      <c r="D1686" s="6">
        <v>9306.92</v>
      </c>
      <c r="E1686" s="6">
        <v>0.66</v>
      </c>
      <c r="F1686" s="6">
        <f t="shared" si="182"/>
        <v>7.3333333333333341E-3</v>
      </c>
      <c r="G1686">
        <f t="shared" si="183"/>
        <v>0.53049599992299346</v>
      </c>
      <c r="H1686">
        <f t="shared" si="184"/>
        <v>1.7392069450962093</v>
      </c>
      <c r="I1686">
        <f t="shared" si="185"/>
        <v>7.9251146560863711E-2</v>
      </c>
      <c r="J1686">
        <f t="shared" si="186"/>
        <v>0.3681109369661888</v>
      </c>
      <c r="K1686">
        <f t="shared" si="187"/>
        <v>0.52316266658966015</v>
      </c>
      <c r="L1686">
        <f t="shared" si="188"/>
        <v>7.1917813227530381E-2</v>
      </c>
    </row>
    <row r="1687" spans="1:12" x14ac:dyDescent="0.25">
      <c r="A1687" s="1">
        <v>42674</v>
      </c>
      <c r="B1687" s="6">
        <v>166.2218</v>
      </c>
      <c r="C1687" s="6">
        <v>10.4511</v>
      </c>
      <c r="D1687" s="6">
        <v>9290.1200000000008</v>
      </c>
      <c r="E1687" s="6">
        <v>0.66</v>
      </c>
      <c r="F1687" s="6">
        <f t="shared" si="182"/>
        <v>7.3333333333333341E-3</v>
      </c>
      <c r="G1687">
        <f t="shared" si="183"/>
        <v>-0.52769659061803476</v>
      </c>
      <c r="H1687">
        <f t="shared" si="184"/>
        <v>0.42664821701403471</v>
      </c>
      <c r="I1687">
        <f t="shared" si="185"/>
        <v>-0.18051084569330425</v>
      </c>
      <c r="J1687">
        <f t="shared" si="186"/>
        <v>-0.37646104966653482</v>
      </c>
      <c r="K1687">
        <f t="shared" si="187"/>
        <v>-0.53502992395136806</v>
      </c>
      <c r="L1687">
        <f t="shared" si="188"/>
        <v>-0.18784417902663758</v>
      </c>
    </row>
    <row r="1688" spans="1:12" x14ac:dyDescent="0.25">
      <c r="A1688" s="1">
        <v>42675</v>
      </c>
      <c r="B1688" s="6">
        <v>167.1036</v>
      </c>
      <c r="C1688" s="6">
        <v>10.4511</v>
      </c>
      <c r="D1688" s="6">
        <v>9272.7000000000007</v>
      </c>
      <c r="E1688" s="6">
        <v>0.66</v>
      </c>
      <c r="F1688" s="6">
        <f t="shared" si="182"/>
        <v>7.3333333333333341E-3</v>
      </c>
      <c r="G1688">
        <f t="shared" si="183"/>
        <v>0.53049599992299346</v>
      </c>
      <c r="H1688">
        <f t="shared" si="184"/>
        <v>0</v>
      </c>
      <c r="I1688">
        <f t="shared" si="185"/>
        <v>-0.18751103322669752</v>
      </c>
      <c r="J1688">
        <f t="shared" si="186"/>
        <v>0.3681109369661888</v>
      </c>
      <c r="K1688">
        <f t="shared" si="187"/>
        <v>0.52316266658966015</v>
      </c>
      <c r="L1688">
        <f t="shared" si="188"/>
        <v>-0.19484436656003085</v>
      </c>
    </row>
    <row r="1689" spans="1:12" x14ac:dyDescent="0.25">
      <c r="A1689" s="1">
        <v>42676</v>
      </c>
      <c r="B1689" s="6">
        <v>164.0172</v>
      </c>
      <c r="C1689" s="6">
        <v>10.406700000000001</v>
      </c>
      <c r="D1689" s="6">
        <v>9139.0400000000009</v>
      </c>
      <c r="E1689" s="6">
        <v>0.66</v>
      </c>
      <c r="F1689" s="6">
        <f t="shared" si="182"/>
        <v>7.3333333333333341E-3</v>
      </c>
      <c r="G1689">
        <f t="shared" si="183"/>
        <v>-1.8469979102784126</v>
      </c>
      <c r="H1689">
        <f t="shared" si="184"/>
        <v>-0.42483566323161726</v>
      </c>
      <c r="I1689">
        <f t="shared" si="185"/>
        <v>-1.4414356120655241</v>
      </c>
      <c r="J1689">
        <f t="shared" si="186"/>
        <v>-1.3047559681222272</v>
      </c>
      <c r="K1689">
        <f t="shared" si="187"/>
        <v>-1.8543312436117461</v>
      </c>
      <c r="L1689">
        <f t="shared" si="188"/>
        <v>-1.4487689453988575</v>
      </c>
    </row>
    <row r="1690" spans="1:12" x14ac:dyDescent="0.25">
      <c r="A1690" s="1">
        <v>42677</v>
      </c>
      <c r="B1690" s="6">
        <v>162.69450000000001</v>
      </c>
      <c r="C1690" s="6">
        <v>10.3177</v>
      </c>
      <c r="D1690" s="6">
        <v>9067.27</v>
      </c>
      <c r="E1690" s="6">
        <v>0.66</v>
      </c>
      <c r="F1690" s="6">
        <f t="shared" si="182"/>
        <v>7.3333333333333341E-3</v>
      </c>
      <c r="G1690">
        <f t="shared" si="183"/>
        <v>-0.80643981240991647</v>
      </c>
      <c r="H1690">
        <f t="shared" si="184"/>
        <v>-0.85521827284346053</v>
      </c>
      <c r="I1690">
        <f t="shared" si="185"/>
        <v>-0.78531224286139933</v>
      </c>
      <c r="J1690">
        <f t="shared" si="186"/>
        <v>-0.57259207181239469</v>
      </c>
      <c r="K1690">
        <f t="shared" si="187"/>
        <v>-0.81377314574324977</v>
      </c>
      <c r="L1690">
        <f t="shared" si="188"/>
        <v>-0.79264557619473264</v>
      </c>
    </row>
    <row r="1691" spans="1:12" x14ac:dyDescent="0.25">
      <c r="A1691" s="1">
        <v>42678</v>
      </c>
      <c r="B1691" s="6">
        <v>162.69450000000001</v>
      </c>
      <c r="C1691" s="6">
        <v>10.3177</v>
      </c>
      <c r="D1691" s="6">
        <v>9068.15</v>
      </c>
      <c r="E1691" s="6">
        <v>0.66</v>
      </c>
      <c r="F1691" s="6">
        <f t="shared" si="182"/>
        <v>7.3333333333333341E-3</v>
      </c>
      <c r="G1691">
        <f t="shared" si="183"/>
        <v>0</v>
      </c>
      <c r="H1691">
        <f t="shared" si="184"/>
        <v>0</v>
      </c>
      <c r="I1691">
        <f t="shared" si="185"/>
        <v>9.7052365265311337E-3</v>
      </c>
      <c r="J1691">
        <f t="shared" si="186"/>
        <v>-5.1599251567697223E-3</v>
      </c>
      <c r="K1691">
        <f t="shared" si="187"/>
        <v>-7.3333333333333341E-3</v>
      </c>
      <c r="L1691">
        <f t="shared" si="188"/>
        <v>2.3719031931977996E-3</v>
      </c>
    </row>
    <row r="1692" spans="1:12" x14ac:dyDescent="0.25">
      <c r="A1692" s="1">
        <v>42681</v>
      </c>
      <c r="B1692" s="6">
        <v>166.6627</v>
      </c>
      <c r="C1692" s="6">
        <v>10.3622</v>
      </c>
      <c r="D1692" s="6">
        <v>9189.84</v>
      </c>
      <c r="E1692" s="6">
        <v>0.66</v>
      </c>
      <c r="F1692" s="6">
        <f t="shared" si="182"/>
        <v>7.3333333333333341E-3</v>
      </c>
      <c r="G1692">
        <f t="shared" si="183"/>
        <v>2.4390498756872518</v>
      </c>
      <c r="H1692">
        <f t="shared" si="184"/>
        <v>0.43129767293097604</v>
      </c>
      <c r="I1692">
        <f t="shared" si="185"/>
        <v>1.3419495707503792</v>
      </c>
      <c r="J1692">
        <f t="shared" si="186"/>
        <v>1.7110193674125094</v>
      </c>
      <c r="K1692">
        <f t="shared" si="187"/>
        <v>2.4317165423539184</v>
      </c>
      <c r="L1692">
        <f t="shared" si="188"/>
        <v>1.3346162374170458</v>
      </c>
    </row>
    <row r="1693" spans="1:12" x14ac:dyDescent="0.25">
      <c r="A1693" s="1">
        <v>42682</v>
      </c>
      <c r="B1693" s="6">
        <v>166.2218</v>
      </c>
      <c r="C1693" s="6">
        <v>10.406700000000001</v>
      </c>
      <c r="D1693" s="6">
        <v>9217.43</v>
      </c>
      <c r="E1693" s="6">
        <v>0.66</v>
      </c>
      <c r="F1693" s="6">
        <f t="shared" si="182"/>
        <v>7.3333333333333341E-3</v>
      </c>
      <c r="G1693">
        <f t="shared" si="183"/>
        <v>-0.26454629620184911</v>
      </c>
      <c r="H1693">
        <f t="shared" si="184"/>
        <v>0.42944548454962361</v>
      </c>
      <c r="I1693">
        <f t="shared" si="185"/>
        <v>0.30022285480487304</v>
      </c>
      <c r="J1693">
        <f t="shared" si="186"/>
        <v>-0.19130161909797549</v>
      </c>
      <c r="K1693">
        <f t="shared" si="187"/>
        <v>-0.27187962953518247</v>
      </c>
      <c r="L1693">
        <f t="shared" si="188"/>
        <v>0.29288952147153968</v>
      </c>
    </row>
    <row r="1694" spans="1:12" x14ac:dyDescent="0.25">
      <c r="A1694" s="1">
        <v>42683</v>
      </c>
      <c r="B1694" s="6">
        <v>160.49</v>
      </c>
      <c r="C1694" s="6">
        <v>10.2288</v>
      </c>
      <c r="D1694" s="6">
        <v>8943.2000000000007</v>
      </c>
      <c r="E1694" s="6">
        <v>0.66</v>
      </c>
      <c r="F1694" s="6">
        <f t="shared" si="182"/>
        <v>7.3333333333333341E-3</v>
      </c>
      <c r="G1694">
        <f t="shared" si="183"/>
        <v>-3.4482841600800813</v>
      </c>
      <c r="H1694">
        <f t="shared" si="184"/>
        <v>-1.7094756262792341</v>
      </c>
      <c r="I1694">
        <f t="shared" si="185"/>
        <v>-2.9751243025441969</v>
      </c>
      <c r="J1694">
        <f t="shared" si="186"/>
        <v>-2.4314628595141921</v>
      </c>
      <c r="K1694">
        <f t="shared" si="187"/>
        <v>-3.4556174934134147</v>
      </c>
      <c r="L1694">
        <f t="shared" si="188"/>
        <v>-2.9824576358775303</v>
      </c>
    </row>
    <row r="1695" spans="1:12" x14ac:dyDescent="0.25">
      <c r="A1695" s="1">
        <v>42684</v>
      </c>
      <c r="B1695" s="6">
        <v>163.5763</v>
      </c>
      <c r="C1695" s="6">
        <v>10.3177</v>
      </c>
      <c r="D1695" s="6">
        <v>9152.18</v>
      </c>
      <c r="E1695" s="6">
        <v>0.66</v>
      </c>
      <c r="F1695" s="6">
        <f t="shared" si="182"/>
        <v>7.3333333333333341E-3</v>
      </c>
      <c r="G1695">
        <f t="shared" si="183"/>
        <v>1.9230481649947</v>
      </c>
      <c r="H1695">
        <f t="shared" si="184"/>
        <v>0.86911465665572352</v>
      </c>
      <c r="I1695">
        <f t="shared" si="185"/>
        <v>2.3367474729403295</v>
      </c>
      <c r="J1695">
        <f t="shared" si="186"/>
        <v>1.347947066329958</v>
      </c>
      <c r="K1695">
        <f t="shared" si="187"/>
        <v>1.9157148316613666</v>
      </c>
      <c r="L1695">
        <f t="shared" si="188"/>
        <v>2.3294141396069961</v>
      </c>
    </row>
    <row r="1696" spans="1:12" x14ac:dyDescent="0.25">
      <c r="A1696" s="1">
        <v>42685</v>
      </c>
      <c r="B1696" s="6">
        <v>160.04910000000001</v>
      </c>
      <c r="C1696" s="6">
        <v>10.0954</v>
      </c>
      <c r="D1696" s="6">
        <v>8957.76</v>
      </c>
      <c r="E1696" s="6">
        <v>0.66</v>
      </c>
      <c r="F1696" s="6">
        <f t="shared" si="182"/>
        <v>7.3333333333333341E-3</v>
      </c>
      <c r="G1696">
        <f t="shared" si="183"/>
        <v>-2.1563025939576779</v>
      </c>
      <c r="H1696">
        <f t="shared" si="184"/>
        <v>-2.1545499481473644</v>
      </c>
      <c r="I1696">
        <f t="shared" si="185"/>
        <v>-2.124302625166901</v>
      </c>
      <c r="J1696">
        <f t="shared" si="186"/>
        <v>-1.5223908342708647</v>
      </c>
      <c r="K1696">
        <f t="shared" si="187"/>
        <v>-2.1636359272910113</v>
      </c>
      <c r="L1696">
        <f t="shared" si="188"/>
        <v>-2.1316359585002345</v>
      </c>
    </row>
    <row r="1697" spans="1:12" x14ac:dyDescent="0.25">
      <c r="A1697" s="1">
        <v>42688</v>
      </c>
      <c r="B1697" s="6">
        <v>159.16720000000001</v>
      </c>
      <c r="C1697" s="6">
        <v>10.0509</v>
      </c>
      <c r="D1697" s="6">
        <v>8940.4</v>
      </c>
      <c r="E1697" s="6">
        <v>0.66</v>
      </c>
      <c r="F1697" s="6">
        <f t="shared" si="182"/>
        <v>7.3333333333333341E-3</v>
      </c>
      <c r="G1697">
        <f t="shared" si="183"/>
        <v>-0.55101840622659026</v>
      </c>
      <c r="H1697">
        <f t="shared" si="184"/>
        <v>-0.44079481744160032</v>
      </c>
      <c r="I1697">
        <f t="shared" si="185"/>
        <v>-0.19379844961240961</v>
      </c>
      <c r="J1697">
        <f t="shared" si="186"/>
        <v>-0.39287088917473439</v>
      </c>
      <c r="K1697">
        <f t="shared" si="187"/>
        <v>-0.55835173955992357</v>
      </c>
      <c r="L1697">
        <f t="shared" si="188"/>
        <v>-0.20113178294574294</v>
      </c>
    </row>
    <row r="1698" spans="1:12" x14ac:dyDescent="0.25">
      <c r="A1698" s="1">
        <v>42689</v>
      </c>
      <c r="B1698" s="6">
        <v>158.72630000000001</v>
      </c>
      <c r="C1698" s="6">
        <v>10.0509</v>
      </c>
      <c r="D1698" s="6">
        <v>8931.0300000000007</v>
      </c>
      <c r="E1698" s="6">
        <v>0.66</v>
      </c>
      <c r="F1698" s="6">
        <f t="shared" si="182"/>
        <v>7.3333333333333341E-3</v>
      </c>
      <c r="G1698">
        <f t="shared" si="183"/>
        <v>-0.27700430742012122</v>
      </c>
      <c r="H1698">
        <f t="shared" si="184"/>
        <v>0</v>
      </c>
      <c r="I1698">
        <f t="shared" si="185"/>
        <v>-0.10480515413179479</v>
      </c>
      <c r="J1698">
        <f t="shared" si="186"/>
        <v>-0.20006740166458664</v>
      </c>
      <c r="K1698">
        <f t="shared" si="187"/>
        <v>-0.28433764075345458</v>
      </c>
      <c r="L1698">
        <f t="shared" si="188"/>
        <v>-0.11213848746512813</v>
      </c>
    </row>
    <row r="1699" spans="1:12" x14ac:dyDescent="0.25">
      <c r="A1699" s="1">
        <v>42690</v>
      </c>
      <c r="B1699" s="6">
        <v>158.72630000000001</v>
      </c>
      <c r="C1699" s="6">
        <v>10.0509</v>
      </c>
      <c r="D1699" s="6">
        <v>8962.2199999999993</v>
      </c>
      <c r="E1699" s="6">
        <v>0.66</v>
      </c>
      <c r="F1699" s="6">
        <f t="shared" si="182"/>
        <v>7.3333333333333341E-3</v>
      </c>
      <c r="G1699">
        <f t="shared" si="183"/>
        <v>0</v>
      </c>
      <c r="H1699">
        <f t="shared" si="184"/>
        <v>0</v>
      </c>
      <c r="I1699">
        <f t="shared" si="185"/>
        <v>0.34923183552175602</v>
      </c>
      <c r="J1699">
        <f t="shared" si="186"/>
        <v>-5.1599251567697223E-3</v>
      </c>
      <c r="K1699">
        <f t="shared" si="187"/>
        <v>-7.3333333333333341E-3</v>
      </c>
      <c r="L1699">
        <f t="shared" si="188"/>
        <v>0.34189850218842266</v>
      </c>
    </row>
    <row r="1700" spans="1:12" x14ac:dyDescent="0.25">
      <c r="A1700" s="1">
        <v>42691</v>
      </c>
      <c r="B1700" s="6">
        <v>160.04910000000001</v>
      </c>
      <c r="C1700" s="6">
        <v>10.0954</v>
      </c>
      <c r="D1700" s="6">
        <v>8995.26</v>
      </c>
      <c r="E1700" s="6">
        <v>0.66</v>
      </c>
      <c r="F1700" s="6">
        <f t="shared" si="182"/>
        <v>7.3333333333333341E-3</v>
      </c>
      <c r="G1700">
        <f t="shared" si="183"/>
        <v>0.83338425957135065</v>
      </c>
      <c r="H1700">
        <f t="shared" si="184"/>
        <v>0.44274642071853582</v>
      </c>
      <c r="I1700">
        <f t="shared" si="185"/>
        <v>0.36865865823424193</v>
      </c>
      <c r="J1700">
        <f t="shared" si="186"/>
        <v>0.58123103932751941</v>
      </c>
      <c r="K1700">
        <f t="shared" si="187"/>
        <v>0.82605092623801735</v>
      </c>
      <c r="L1700">
        <f t="shared" si="188"/>
        <v>0.36132532490090857</v>
      </c>
    </row>
    <row r="1701" spans="1:12" x14ac:dyDescent="0.25">
      <c r="A1701" s="1">
        <v>42692</v>
      </c>
      <c r="B1701" s="6">
        <v>159.60820000000001</v>
      </c>
      <c r="C1701" s="6">
        <v>10.0509</v>
      </c>
      <c r="D1701" s="6">
        <v>9008.7900000000009</v>
      </c>
      <c r="E1701" s="6">
        <v>0.66</v>
      </c>
      <c r="F1701" s="6">
        <f t="shared" si="182"/>
        <v>7.3333333333333341E-3</v>
      </c>
      <c r="G1701">
        <f t="shared" si="183"/>
        <v>-0.27547796270019587</v>
      </c>
      <c r="H1701">
        <f t="shared" si="184"/>
        <v>-0.44079481744160032</v>
      </c>
      <c r="I1701">
        <f t="shared" si="185"/>
        <v>0.1504125506099952</v>
      </c>
      <c r="J1701">
        <f t="shared" si="186"/>
        <v>-0.19899342559391681</v>
      </c>
      <c r="K1701">
        <f t="shared" si="187"/>
        <v>-0.28281129603352922</v>
      </c>
      <c r="L1701">
        <f t="shared" si="188"/>
        <v>0.14307921727666187</v>
      </c>
    </row>
    <row r="1702" spans="1:12" x14ac:dyDescent="0.25">
      <c r="A1702" s="1">
        <v>42695</v>
      </c>
      <c r="B1702" s="6">
        <v>159.60820000000001</v>
      </c>
      <c r="C1702" s="6">
        <v>10.139799999999999</v>
      </c>
      <c r="D1702" s="6">
        <v>9041.11</v>
      </c>
      <c r="E1702" s="6">
        <v>0.66</v>
      </c>
      <c r="F1702" s="6">
        <f t="shared" si="182"/>
        <v>7.3333333333333341E-3</v>
      </c>
      <c r="G1702">
        <f t="shared" si="183"/>
        <v>0</v>
      </c>
      <c r="H1702">
        <f t="shared" si="184"/>
        <v>0.88449790566017839</v>
      </c>
      <c r="I1702">
        <f t="shared" si="185"/>
        <v>0.35876072147313576</v>
      </c>
      <c r="J1702">
        <f t="shared" si="186"/>
        <v>-5.1599251567697223E-3</v>
      </c>
      <c r="K1702">
        <f t="shared" si="187"/>
        <v>-7.3333333333333341E-3</v>
      </c>
      <c r="L1702">
        <f t="shared" si="188"/>
        <v>0.3514273881398024</v>
      </c>
    </row>
    <row r="1703" spans="1:12" x14ac:dyDescent="0.25">
      <c r="A1703" s="1">
        <v>42696</v>
      </c>
      <c r="B1703" s="6">
        <v>162.25360000000001</v>
      </c>
      <c r="C1703" s="6">
        <v>10.139799999999999</v>
      </c>
      <c r="D1703" s="6">
        <v>9133.39</v>
      </c>
      <c r="E1703" s="6">
        <v>0.66</v>
      </c>
      <c r="F1703" s="6">
        <f t="shared" si="182"/>
        <v>7.3333333333333341E-3</v>
      </c>
      <c r="G1703">
        <f t="shared" si="183"/>
        <v>1.6574336406274834</v>
      </c>
      <c r="H1703">
        <f t="shared" si="184"/>
        <v>0</v>
      </c>
      <c r="I1703">
        <f t="shared" si="185"/>
        <v>1.0206711344071562</v>
      </c>
      <c r="J1703">
        <f t="shared" si="186"/>
        <v>1.1610537391091635</v>
      </c>
      <c r="K1703">
        <f t="shared" si="187"/>
        <v>1.65010030729415</v>
      </c>
      <c r="L1703">
        <f t="shared" si="188"/>
        <v>1.0133378010738228</v>
      </c>
    </row>
    <row r="1704" spans="1:12" x14ac:dyDescent="0.25">
      <c r="A1704" s="1">
        <v>42697</v>
      </c>
      <c r="B1704" s="6">
        <v>163.5763</v>
      </c>
      <c r="C1704" s="6">
        <v>10.1843</v>
      </c>
      <c r="D1704" s="6">
        <v>9178.23</v>
      </c>
      <c r="E1704" s="6">
        <v>0.66</v>
      </c>
      <c r="F1704" s="6">
        <f t="shared" si="182"/>
        <v>7.3333333333333341E-3</v>
      </c>
      <c r="G1704">
        <f t="shared" si="183"/>
        <v>0.81520533288629493</v>
      </c>
      <c r="H1704">
        <f t="shared" si="184"/>
        <v>0.43886467188703027</v>
      </c>
      <c r="I1704">
        <f t="shared" si="185"/>
        <v>0.49094585909503646</v>
      </c>
      <c r="J1704">
        <f t="shared" si="186"/>
        <v>0.56843987099225235</v>
      </c>
      <c r="K1704">
        <f t="shared" si="187"/>
        <v>0.80787199955296163</v>
      </c>
      <c r="L1704">
        <f t="shared" si="188"/>
        <v>0.4836125257617031</v>
      </c>
    </row>
    <row r="1705" spans="1:12" x14ac:dyDescent="0.25">
      <c r="A1705" s="1">
        <v>42698</v>
      </c>
      <c r="B1705" s="6">
        <v>161.37180000000001</v>
      </c>
      <c r="C1705" s="6">
        <v>10.0954</v>
      </c>
      <c r="D1705" s="6">
        <v>9152.11</v>
      </c>
      <c r="E1705" s="6">
        <v>0.66</v>
      </c>
      <c r="F1705" s="6">
        <f t="shared" si="182"/>
        <v>7.3333333333333341E-3</v>
      </c>
      <c r="G1705">
        <f t="shared" si="183"/>
        <v>-1.3476891212235489</v>
      </c>
      <c r="H1705">
        <f t="shared" si="184"/>
        <v>-0.87291222764451792</v>
      </c>
      <c r="I1705">
        <f t="shared" si="185"/>
        <v>-0.28458646165980783</v>
      </c>
      <c r="J1705">
        <f t="shared" si="186"/>
        <v>-0.95342924335307921</v>
      </c>
      <c r="K1705">
        <f t="shared" si="187"/>
        <v>-1.3550224545568823</v>
      </c>
      <c r="L1705">
        <f t="shared" si="188"/>
        <v>-0.29191979499314119</v>
      </c>
    </row>
    <row r="1706" spans="1:12" x14ac:dyDescent="0.25">
      <c r="A1706" s="1">
        <v>42699</v>
      </c>
      <c r="B1706" s="6">
        <v>160.49</v>
      </c>
      <c r="C1706" s="6">
        <v>10.0954</v>
      </c>
      <c r="D1706" s="6">
        <v>9159.07</v>
      </c>
      <c r="E1706" s="6">
        <v>0.66</v>
      </c>
      <c r="F1706" s="6">
        <f t="shared" si="182"/>
        <v>7.3333333333333341E-3</v>
      </c>
      <c r="G1706">
        <f t="shared" si="183"/>
        <v>-0.54643996038960851</v>
      </c>
      <c r="H1706">
        <f t="shared" si="184"/>
        <v>0</v>
      </c>
      <c r="I1706">
        <f t="shared" si="185"/>
        <v>7.6048037010035138E-2</v>
      </c>
      <c r="J1706">
        <f t="shared" si="186"/>
        <v>-0.38964937492203217</v>
      </c>
      <c r="K1706">
        <f t="shared" si="187"/>
        <v>-0.55377329372294182</v>
      </c>
      <c r="L1706">
        <f t="shared" si="188"/>
        <v>6.8714703676701808E-2</v>
      </c>
    </row>
    <row r="1707" spans="1:12" x14ac:dyDescent="0.25">
      <c r="A1707" s="1">
        <v>42702</v>
      </c>
      <c r="B1707" s="6">
        <v>162.25360000000001</v>
      </c>
      <c r="C1707" s="6">
        <v>10.0954</v>
      </c>
      <c r="D1707" s="6">
        <v>9222.24</v>
      </c>
      <c r="E1707" s="6">
        <v>0.66</v>
      </c>
      <c r="F1707" s="6">
        <f t="shared" si="182"/>
        <v>7.3333333333333341E-3</v>
      </c>
      <c r="G1707">
        <f t="shared" si="183"/>
        <v>1.0988846657112572</v>
      </c>
      <c r="H1707">
        <f t="shared" si="184"/>
        <v>0</v>
      </c>
      <c r="I1707">
        <f t="shared" si="185"/>
        <v>0.68969884497006873</v>
      </c>
      <c r="J1707">
        <f t="shared" si="186"/>
        <v>0.76804406997850327</v>
      </c>
      <c r="K1707">
        <f t="shared" si="187"/>
        <v>1.0915513323779238</v>
      </c>
      <c r="L1707">
        <f t="shared" si="188"/>
        <v>0.68236551163673542</v>
      </c>
    </row>
    <row r="1708" spans="1:12" x14ac:dyDescent="0.25">
      <c r="A1708" s="1">
        <v>42703</v>
      </c>
      <c r="B1708" s="6">
        <v>160.49</v>
      </c>
      <c r="C1708" s="6">
        <v>10.0954</v>
      </c>
      <c r="D1708" s="6">
        <v>9192.3799999999992</v>
      </c>
      <c r="E1708" s="6">
        <v>0.66</v>
      </c>
      <c r="F1708" s="6">
        <f t="shared" si="182"/>
        <v>7.3333333333333341E-3</v>
      </c>
      <c r="G1708">
        <f t="shared" si="183"/>
        <v>-1.0869404438483934</v>
      </c>
      <c r="H1708">
        <f t="shared" si="184"/>
        <v>0</v>
      </c>
      <c r="I1708">
        <f t="shared" si="185"/>
        <v>-0.32378250837107453</v>
      </c>
      <c r="J1708">
        <f t="shared" si="186"/>
        <v>-0.76995965335546601</v>
      </c>
      <c r="K1708">
        <f t="shared" si="187"/>
        <v>-1.0942737771817268</v>
      </c>
      <c r="L1708">
        <f t="shared" si="188"/>
        <v>-0.33111584170440789</v>
      </c>
    </row>
    <row r="1709" spans="1:12" x14ac:dyDescent="0.25">
      <c r="A1709" s="1">
        <v>42704</v>
      </c>
      <c r="B1709" s="6">
        <v>161.37180000000001</v>
      </c>
      <c r="C1709" s="6">
        <v>10.006399999999999</v>
      </c>
      <c r="D1709" s="6">
        <v>9240.7099999999991</v>
      </c>
      <c r="E1709" s="6">
        <v>0.66</v>
      </c>
      <c r="F1709" s="6">
        <f t="shared" si="182"/>
        <v>7.3333333333333341E-3</v>
      </c>
      <c r="G1709">
        <f t="shared" si="183"/>
        <v>0.5494423328556286</v>
      </c>
      <c r="H1709">
        <f t="shared" si="184"/>
        <v>-0.88158963488321829</v>
      </c>
      <c r="I1709">
        <f t="shared" si="185"/>
        <v>0.52576155467898333</v>
      </c>
      <c r="J1709">
        <f t="shared" si="186"/>
        <v>0.38144207241086681</v>
      </c>
      <c r="K1709">
        <f t="shared" si="187"/>
        <v>0.5421089995222953</v>
      </c>
      <c r="L1709">
        <f t="shared" si="188"/>
        <v>0.51842822134565003</v>
      </c>
    </row>
    <row r="1710" spans="1:12" x14ac:dyDescent="0.25">
      <c r="A1710" s="1">
        <v>42705</v>
      </c>
      <c r="B1710" s="6">
        <v>161.37180000000001</v>
      </c>
      <c r="C1710" s="6">
        <v>10.0954</v>
      </c>
      <c r="D1710" s="6">
        <v>9263.5300000000007</v>
      </c>
      <c r="E1710" s="6">
        <v>0.66</v>
      </c>
      <c r="F1710" s="6">
        <f t="shared" si="182"/>
        <v>7.3333333333333341E-3</v>
      </c>
      <c r="G1710">
        <f t="shared" si="183"/>
        <v>0</v>
      </c>
      <c r="H1710">
        <f t="shared" si="184"/>
        <v>0.88943076431084522</v>
      </c>
      <c r="I1710">
        <f t="shared" si="185"/>
        <v>0.24695072131904941</v>
      </c>
      <c r="J1710">
        <f t="shared" si="186"/>
        <v>-5.1599251567697223E-3</v>
      </c>
      <c r="K1710">
        <f t="shared" si="187"/>
        <v>-7.3333333333333341E-3</v>
      </c>
      <c r="L1710">
        <f t="shared" si="188"/>
        <v>0.23961738798571608</v>
      </c>
    </row>
    <row r="1711" spans="1:12" x14ac:dyDescent="0.25">
      <c r="A1711" s="1">
        <v>42706</v>
      </c>
      <c r="B1711" s="6">
        <v>156.96270000000001</v>
      </c>
      <c r="C1711" s="6">
        <v>10.0509</v>
      </c>
      <c r="D1711" s="6">
        <v>9189.49</v>
      </c>
      <c r="E1711" s="6">
        <v>0.66</v>
      </c>
      <c r="F1711" s="6">
        <f t="shared" si="182"/>
        <v>7.3333333333333341E-3</v>
      </c>
      <c r="G1711">
        <f t="shared" si="183"/>
        <v>-2.7322617706439383</v>
      </c>
      <c r="H1711">
        <f t="shared" si="184"/>
        <v>-0.44079481744160032</v>
      </c>
      <c r="I1711">
        <f t="shared" si="185"/>
        <v>-0.79926334777348229</v>
      </c>
      <c r="J1711">
        <f t="shared" si="186"/>
        <v>-1.9276507767784754</v>
      </c>
      <c r="K1711">
        <f t="shared" si="187"/>
        <v>-2.7395951039772717</v>
      </c>
      <c r="L1711">
        <f t="shared" si="188"/>
        <v>-0.80659668110681559</v>
      </c>
    </row>
    <row r="1712" spans="1:12" x14ac:dyDescent="0.25">
      <c r="A1712" s="1">
        <v>42709</v>
      </c>
      <c r="B1712" s="6">
        <v>157.84450000000001</v>
      </c>
      <c r="C1712" s="6">
        <v>9.9619</v>
      </c>
      <c r="D1712" s="6">
        <v>9160.66</v>
      </c>
      <c r="E1712" s="6">
        <v>0.66</v>
      </c>
      <c r="F1712" s="6">
        <f t="shared" si="182"/>
        <v>7.3333333333333341E-3</v>
      </c>
      <c r="G1712">
        <f t="shared" si="183"/>
        <v>0.56178952069504307</v>
      </c>
      <c r="H1712">
        <f t="shared" si="184"/>
        <v>-0.88549284143708928</v>
      </c>
      <c r="I1712">
        <f t="shared" si="185"/>
        <v>-0.31372796531689928</v>
      </c>
      <c r="J1712">
        <f t="shared" si="186"/>
        <v>0.39012987674922445</v>
      </c>
      <c r="K1712">
        <f t="shared" si="187"/>
        <v>0.55445618736170976</v>
      </c>
      <c r="L1712">
        <f t="shared" si="188"/>
        <v>-0.32106129865023264</v>
      </c>
    </row>
    <row r="1713" spans="1:12" x14ac:dyDescent="0.25">
      <c r="A1713" s="1">
        <v>42710</v>
      </c>
      <c r="B1713" s="6">
        <v>160.49</v>
      </c>
      <c r="C1713" s="6">
        <v>10.139799999999999</v>
      </c>
      <c r="D1713" s="6">
        <v>9250.77</v>
      </c>
      <c r="E1713" s="6">
        <v>0.66</v>
      </c>
      <c r="F1713" s="6">
        <f t="shared" si="182"/>
        <v>7.3333333333333341E-3</v>
      </c>
      <c r="G1713">
        <f t="shared" si="183"/>
        <v>1.6760165859437599</v>
      </c>
      <c r="H1713">
        <f t="shared" si="184"/>
        <v>1.7858039129081729</v>
      </c>
      <c r="I1713">
        <f t="shared" si="185"/>
        <v>0.98366274919056684</v>
      </c>
      <c r="J1713">
        <f t="shared" si="186"/>
        <v>1.1741291855215725</v>
      </c>
      <c r="K1713">
        <f t="shared" si="187"/>
        <v>1.6686832526104265</v>
      </c>
      <c r="L1713">
        <f t="shared" si="188"/>
        <v>0.97632941585723354</v>
      </c>
    </row>
    <row r="1714" spans="1:12" x14ac:dyDescent="0.25">
      <c r="A1714" s="1">
        <v>42711</v>
      </c>
      <c r="B1714" s="6">
        <v>160.04910000000001</v>
      </c>
      <c r="C1714" s="6">
        <v>10.0954</v>
      </c>
      <c r="D1714" s="6">
        <v>9263.89</v>
      </c>
      <c r="E1714" s="6">
        <v>0.66</v>
      </c>
      <c r="F1714" s="6">
        <f t="shared" si="182"/>
        <v>7.3333333333333341E-3</v>
      </c>
      <c r="G1714">
        <f t="shared" si="183"/>
        <v>-0.2747211664278143</v>
      </c>
      <c r="H1714">
        <f t="shared" si="184"/>
        <v>-0.43787845914120155</v>
      </c>
      <c r="I1714">
        <f t="shared" si="185"/>
        <v>0.14182603177896522</v>
      </c>
      <c r="J1714">
        <f t="shared" si="186"/>
        <v>-0.19846092394058801</v>
      </c>
      <c r="K1714">
        <f t="shared" si="187"/>
        <v>-0.28205449976114766</v>
      </c>
      <c r="L1714">
        <f t="shared" si="188"/>
        <v>0.13449269844563189</v>
      </c>
    </row>
    <row r="1715" spans="1:12" x14ac:dyDescent="0.25">
      <c r="A1715" s="1">
        <v>42712</v>
      </c>
      <c r="B1715" s="6">
        <v>163.5763</v>
      </c>
      <c r="C1715" s="6">
        <v>10.139799999999999</v>
      </c>
      <c r="D1715" s="6">
        <v>9375.86</v>
      </c>
      <c r="E1715" s="6">
        <v>0.66</v>
      </c>
      <c r="F1715" s="6">
        <f t="shared" si="182"/>
        <v>7.3333333333333341E-3</v>
      </c>
      <c r="G1715">
        <f t="shared" si="183"/>
        <v>2.2038237016015669</v>
      </c>
      <c r="H1715">
        <f t="shared" si="184"/>
        <v>0.43980426729004846</v>
      </c>
      <c r="I1715">
        <f t="shared" si="185"/>
        <v>1.2086715191998305</v>
      </c>
      <c r="J1715">
        <f t="shared" si="186"/>
        <v>1.5455080783404067</v>
      </c>
      <c r="K1715">
        <f t="shared" si="187"/>
        <v>2.1964903682682335</v>
      </c>
      <c r="L1715">
        <f t="shared" si="188"/>
        <v>1.2013381858664971</v>
      </c>
    </row>
    <row r="1716" spans="1:12" x14ac:dyDescent="0.25">
      <c r="A1716" s="1">
        <v>42713</v>
      </c>
      <c r="B1716" s="6">
        <v>164.0172</v>
      </c>
      <c r="C1716" s="6">
        <v>10.0954</v>
      </c>
      <c r="D1716" s="6">
        <v>9392.68</v>
      </c>
      <c r="E1716" s="6">
        <v>0.66</v>
      </c>
      <c r="F1716" s="6">
        <f t="shared" si="182"/>
        <v>7.3333333333333341E-3</v>
      </c>
      <c r="G1716">
        <f t="shared" si="183"/>
        <v>0.26953782424470973</v>
      </c>
      <c r="H1716">
        <f t="shared" si="184"/>
        <v>-0.43787845914120155</v>
      </c>
      <c r="I1716">
        <f t="shared" si="185"/>
        <v>0.17939687665984463</v>
      </c>
      <c r="J1716">
        <f t="shared" si="186"/>
        <v>0.18449393848249213</v>
      </c>
      <c r="K1716">
        <f t="shared" si="187"/>
        <v>0.26220449091137638</v>
      </c>
      <c r="L1716">
        <f t="shared" si="188"/>
        <v>0.1720635433265113</v>
      </c>
    </row>
    <row r="1717" spans="1:12" x14ac:dyDescent="0.25">
      <c r="A1717" s="1">
        <v>42716</v>
      </c>
      <c r="B1717" s="6">
        <v>163.1354</v>
      </c>
      <c r="C1717" s="6">
        <v>10.0509</v>
      </c>
      <c r="D1717" s="6">
        <v>9349.94</v>
      </c>
      <c r="E1717" s="6">
        <v>0.66</v>
      </c>
      <c r="F1717" s="6">
        <f t="shared" si="182"/>
        <v>7.3333333333333341E-3</v>
      </c>
      <c r="G1717">
        <f t="shared" si="183"/>
        <v>-0.53762654160661094</v>
      </c>
      <c r="H1717">
        <f t="shared" si="184"/>
        <v>-0.44079481744160032</v>
      </c>
      <c r="I1717">
        <f t="shared" si="185"/>
        <v>-0.45503519762197564</v>
      </c>
      <c r="J1717">
        <f t="shared" si="186"/>
        <v>-0.38344802292718633</v>
      </c>
      <c r="K1717">
        <f t="shared" si="187"/>
        <v>-0.54495987493994424</v>
      </c>
      <c r="L1717">
        <f t="shared" si="188"/>
        <v>-0.462368530955309</v>
      </c>
    </row>
    <row r="1718" spans="1:12" x14ac:dyDescent="0.25">
      <c r="A1718" s="1">
        <v>42717</v>
      </c>
      <c r="B1718" s="6">
        <v>164.0172</v>
      </c>
      <c r="C1718" s="6">
        <v>10.0509</v>
      </c>
      <c r="D1718" s="6">
        <v>9382.14</v>
      </c>
      <c r="E1718" s="6">
        <v>0.66</v>
      </c>
      <c r="F1718" s="6">
        <f t="shared" si="182"/>
        <v>7.3333333333333341E-3</v>
      </c>
      <c r="G1718">
        <f t="shared" si="183"/>
        <v>0.54053258826716843</v>
      </c>
      <c r="H1718">
        <f t="shared" si="184"/>
        <v>0</v>
      </c>
      <c r="I1718">
        <f t="shared" si="185"/>
        <v>0.3443872367095287</v>
      </c>
      <c r="J1718">
        <f t="shared" si="186"/>
        <v>0.375172943059632</v>
      </c>
      <c r="K1718">
        <f t="shared" si="187"/>
        <v>0.53319925493383513</v>
      </c>
      <c r="L1718">
        <f t="shared" si="188"/>
        <v>0.33705390337619534</v>
      </c>
    </row>
    <row r="1719" spans="1:12" x14ac:dyDescent="0.25">
      <c r="A1719" s="1">
        <v>42718</v>
      </c>
      <c r="B1719" s="6">
        <v>165.3399</v>
      </c>
      <c r="C1719" s="6">
        <v>9.9619</v>
      </c>
      <c r="D1719" s="6">
        <v>9368.52</v>
      </c>
      <c r="E1719" s="6">
        <v>0.66</v>
      </c>
      <c r="F1719" s="6">
        <f t="shared" si="182"/>
        <v>7.3333333333333341E-3</v>
      </c>
      <c r="G1719">
        <f t="shared" si="183"/>
        <v>0.80643981240991647</v>
      </c>
      <c r="H1719">
        <f t="shared" si="184"/>
        <v>-0.88549284143708928</v>
      </c>
      <c r="I1719">
        <f t="shared" si="185"/>
        <v>-0.14516943895528081</v>
      </c>
      <c r="J1719">
        <f t="shared" si="186"/>
        <v>0.56227222149885525</v>
      </c>
      <c r="K1719">
        <f t="shared" si="187"/>
        <v>0.79910647907658316</v>
      </c>
      <c r="L1719">
        <f t="shared" si="188"/>
        <v>-0.15250277228861414</v>
      </c>
    </row>
    <row r="1720" spans="1:12" x14ac:dyDescent="0.25">
      <c r="A1720" s="1">
        <v>42719</v>
      </c>
      <c r="B1720" s="6">
        <v>164.899</v>
      </c>
      <c r="C1720" s="6">
        <v>10.0509</v>
      </c>
      <c r="D1720" s="6">
        <v>9360.35</v>
      </c>
      <c r="E1720" s="6">
        <v>0.66</v>
      </c>
      <c r="F1720" s="6">
        <f t="shared" si="182"/>
        <v>7.3333333333333341E-3</v>
      </c>
      <c r="G1720">
        <f t="shared" si="183"/>
        <v>-0.26666279585266423</v>
      </c>
      <c r="H1720">
        <f t="shared" si="184"/>
        <v>0.89340386873990318</v>
      </c>
      <c r="I1720">
        <f t="shared" si="185"/>
        <v>-8.7206944106433801E-2</v>
      </c>
      <c r="J1720">
        <f t="shared" si="186"/>
        <v>-0.1927908436151394</v>
      </c>
      <c r="K1720">
        <f t="shared" si="187"/>
        <v>-0.27399612918599758</v>
      </c>
      <c r="L1720">
        <f t="shared" si="188"/>
        <v>-9.4540277439767131E-2</v>
      </c>
    </row>
    <row r="1721" spans="1:12" x14ac:dyDescent="0.25">
      <c r="A1721" s="1">
        <v>42720</v>
      </c>
      <c r="B1721" s="6">
        <v>163.1354</v>
      </c>
      <c r="C1721" s="6">
        <v>10.0509</v>
      </c>
      <c r="D1721" s="6">
        <v>9326.7800000000007</v>
      </c>
      <c r="E1721" s="6">
        <v>0.66</v>
      </c>
      <c r="F1721" s="6">
        <f t="shared" si="182"/>
        <v>7.3333333333333341E-3</v>
      </c>
      <c r="G1721">
        <f t="shared" si="183"/>
        <v>-1.0695031504132813</v>
      </c>
      <c r="H1721">
        <f t="shared" si="184"/>
        <v>0</v>
      </c>
      <c r="I1721">
        <f t="shared" si="185"/>
        <v>-0.35864043545379937</v>
      </c>
      <c r="J1721">
        <f t="shared" si="186"/>
        <v>-0.75769031757431005</v>
      </c>
      <c r="K1721">
        <f t="shared" si="187"/>
        <v>-1.0768364837466147</v>
      </c>
      <c r="L1721">
        <f t="shared" si="188"/>
        <v>-0.36597376878713272</v>
      </c>
    </row>
    <row r="1722" spans="1:12" x14ac:dyDescent="0.25">
      <c r="A1722" s="1">
        <v>42723</v>
      </c>
      <c r="B1722" s="6">
        <v>160.93090000000001</v>
      </c>
      <c r="C1722" s="6">
        <v>10.0509</v>
      </c>
      <c r="D1722" s="6">
        <v>9239.32</v>
      </c>
      <c r="E1722" s="6">
        <v>0.66</v>
      </c>
      <c r="F1722" s="6">
        <f t="shared" si="182"/>
        <v>7.3333333333333341E-3</v>
      </c>
      <c r="G1722">
        <f t="shared" si="183"/>
        <v>-1.3513314706679211</v>
      </c>
      <c r="H1722">
        <f t="shared" si="184"/>
        <v>0</v>
      </c>
      <c r="I1722">
        <f t="shared" si="185"/>
        <v>-0.93772984888676414</v>
      </c>
      <c r="J1722">
        <f t="shared" si="186"/>
        <v>-0.9559920956977741</v>
      </c>
      <c r="K1722">
        <f t="shared" si="187"/>
        <v>-1.3586648040012546</v>
      </c>
      <c r="L1722">
        <f t="shared" si="188"/>
        <v>-0.94506318222009744</v>
      </c>
    </row>
    <row r="1723" spans="1:12" x14ac:dyDescent="0.25">
      <c r="A1723" s="1">
        <v>42724</v>
      </c>
      <c r="B1723" s="6">
        <v>160.93090000000001</v>
      </c>
      <c r="C1723" s="6">
        <v>10.0509</v>
      </c>
      <c r="D1723" s="6">
        <v>9242.41</v>
      </c>
      <c r="E1723" s="6">
        <v>0.66</v>
      </c>
      <c r="F1723" s="6">
        <f t="shared" si="182"/>
        <v>7.3333333333333341E-3</v>
      </c>
      <c r="G1723">
        <f t="shared" si="183"/>
        <v>0</v>
      </c>
      <c r="H1723">
        <f t="shared" si="184"/>
        <v>0</v>
      </c>
      <c r="I1723">
        <f t="shared" si="185"/>
        <v>3.3444019689762294E-2</v>
      </c>
      <c r="J1723">
        <f t="shared" si="186"/>
        <v>-5.1599251567697223E-3</v>
      </c>
      <c r="K1723">
        <f t="shared" si="187"/>
        <v>-7.3333333333333341E-3</v>
      </c>
      <c r="L1723">
        <f t="shared" si="188"/>
        <v>2.611068635642896E-2</v>
      </c>
    </row>
    <row r="1724" spans="1:12" x14ac:dyDescent="0.25">
      <c r="A1724" s="1">
        <v>42725</v>
      </c>
      <c r="B1724" s="6">
        <v>158.72630000000001</v>
      </c>
      <c r="C1724" s="6">
        <v>10.0509</v>
      </c>
      <c r="D1724" s="6">
        <v>9204.26</v>
      </c>
      <c r="E1724" s="6">
        <v>0.66</v>
      </c>
      <c r="F1724" s="6">
        <f t="shared" si="182"/>
        <v>7.3333333333333341E-3</v>
      </c>
      <c r="G1724">
        <f t="shared" si="183"/>
        <v>-1.3699047230830121</v>
      </c>
      <c r="H1724">
        <f t="shared" si="184"/>
        <v>0</v>
      </c>
      <c r="I1724">
        <f t="shared" si="185"/>
        <v>-0.41277112787681608</v>
      </c>
      <c r="J1724">
        <f t="shared" si="186"/>
        <v>-0.96906072193136439</v>
      </c>
      <c r="K1724">
        <f t="shared" si="187"/>
        <v>-1.3772380564163456</v>
      </c>
      <c r="L1724">
        <f t="shared" si="188"/>
        <v>-0.42010446121014944</v>
      </c>
    </row>
    <row r="1725" spans="1:12" x14ac:dyDescent="0.25">
      <c r="A1725" s="1">
        <v>42726</v>
      </c>
      <c r="B1725" s="6">
        <v>157.84450000000001</v>
      </c>
      <c r="C1725" s="6">
        <v>10.0509</v>
      </c>
      <c r="D1725" s="6">
        <v>9118.75</v>
      </c>
      <c r="E1725" s="6">
        <v>0.66</v>
      </c>
      <c r="F1725" s="6">
        <f t="shared" si="182"/>
        <v>7.3333333333333341E-3</v>
      </c>
      <c r="G1725">
        <f t="shared" si="183"/>
        <v>-0.5555475053598542</v>
      </c>
      <c r="H1725">
        <f t="shared" si="184"/>
        <v>0</v>
      </c>
      <c r="I1725">
        <f t="shared" si="185"/>
        <v>-0.92902634215026758</v>
      </c>
      <c r="J1725">
        <f t="shared" si="186"/>
        <v>-0.39605768179590245</v>
      </c>
      <c r="K1725">
        <f t="shared" si="187"/>
        <v>-0.5628808386931875</v>
      </c>
      <c r="L1725">
        <f t="shared" si="188"/>
        <v>-0.93635967548360088</v>
      </c>
    </row>
    <row r="1726" spans="1:12" x14ac:dyDescent="0.25">
      <c r="A1726" s="1">
        <v>42727</v>
      </c>
      <c r="B1726" s="6">
        <v>157.40360000000001</v>
      </c>
      <c r="C1726" s="6">
        <v>10.0509</v>
      </c>
      <c r="D1726" s="6">
        <v>9078.64</v>
      </c>
      <c r="E1726" s="6">
        <v>0.66</v>
      </c>
      <c r="F1726" s="6">
        <f t="shared" si="182"/>
        <v>7.3333333333333341E-3</v>
      </c>
      <c r="G1726">
        <f t="shared" si="183"/>
        <v>-0.27932553874224264</v>
      </c>
      <c r="H1726">
        <f t="shared" si="184"/>
        <v>0</v>
      </c>
      <c r="I1726">
        <f t="shared" si="185"/>
        <v>-0.43986291980809411</v>
      </c>
      <c r="J1726">
        <f t="shared" si="186"/>
        <v>-0.20170068074099975</v>
      </c>
      <c r="K1726">
        <f t="shared" si="187"/>
        <v>-0.286658872075576</v>
      </c>
      <c r="L1726">
        <f t="shared" si="188"/>
        <v>-0.44719625314142747</v>
      </c>
    </row>
    <row r="1727" spans="1:12" x14ac:dyDescent="0.25">
      <c r="A1727" s="1">
        <v>42730</v>
      </c>
      <c r="B1727" s="6">
        <v>158.28540000000001</v>
      </c>
      <c r="C1727" s="6">
        <v>10.0509</v>
      </c>
      <c r="D1727" s="6">
        <v>9110.5400000000009</v>
      </c>
      <c r="E1727" s="6">
        <v>0.66</v>
      </c>
      <c r="F1727" s="6">
        <f t="shared" si="182"/>
        <v>7.3333333333333341E-3</v>
      </c>
      <c r="G1727">
        <f t="shared" si="183"/>
        <v>0.56021590357526663</v>
      </c>
      <c r="H1727">
        <f t="shared" si="184"/>
        <v>0</v>
      </c>
      <c r="I1727">
        <f t="shared" si="185"/>
        <v>0.35137421464009427</v>
      </c>
      <c r="J1727">
        <f t="shared" si="186"/>
        <v>0.38902263858148017</v>
      </c>
      <c r="K1727">
        <f t="shared" si="187"/>
        <v>0.55288257024193332</v>
      </c>
      <c r="L1727">
        <f t="shared" si="188"/>
        <v>0.34404088130676092</v>
      </c>
    </row>
    <row r="1728" spans="1:12" x14ac:dyDescent="0.25">
      <c r="A1728" s="1">
        <v>42731</v>
      </c>
      <c r="B1728" s="6">
        <v>158.72630000000001</v>
      </c>
      <c r="C1728" s="6">
        <v>10.0509</v>
      </c>
      <c r="D1728" s="6">
        <v>9109.27</v>
      </c>
      <c r="E1728" s="6">
        <v>0.66</v>
      </c>
      <c r="F1728" s="6">
        <f t="shared" si="182"/>
        <v>7.3333333333333341E-3</v>
      </c>
      <c r="G1728">
        <f t="shared" si="183"/>
        <v>0.27854748448056432</v>
      </c>
      <c r="H1728">
        <f t="shared" si="184"/>
        <v>0</v>
      </c>
      <c r="I1728">
        <f t="shared" si="185"/>
        <v>-1.393989818386656E-2</v>
      </c>
      <c r="J1728">
        <f t="shared" si="186"/>
        <v>0.19083337109680129</v>
      </c>
      <c r="K1728">
        <f t="shared" si="187"/>
        <v>0.27121415114723096</v>
      </c>
      <c r="L1728">
        <f t="shared" si="188"/>
        <v>-2.1273231517199894E-2</v>
      </c>
    </row>
    <row r="1729" spans="1:12" x14ac:dyDescent="0.25">
      <c r="A1729" s="1">
        <v>42732</v>
      </c>
      <c r="B1729" s="6">
        <v>160.49</v>
      </c>
      <c r="C1729" s="6">
        <v>10.0954</v>
      </c>
      <c r="D1729" s="6">
        <v>9201.4</v>
      </c>
      <c r="E1729" s="6">
        <v>0.66</v>
      </c>
      <c r="F1729" s="6">
        <f t="shared" si="182"/>
        <v>7.3333333333333341E-3</v>
      </c>
      <c r="G1729">
        <f t="shared" si="183"/>
        <v>1.1111580122512779</v>
      </c>
      <c r="H1729">
        <f t="shared" si="184"/>
        <v>0.44274642071853582</v>
      </c>
      <c r="I1729">
        <f t="shared" si="185"/>
        <v>1.0113873010680241</v>
      </c>
      <c r="J1729">
        <f t="shared" si="186"/>
        <v>0.77667991764708577</v>
      </c>
      <c r="K1729">
        <f t="shared" si="187"/>
        <v>1.1038246789179444</v>
      </c>
      <c r="L1729">
        <f t="shared" si="188"/>
        <v>1.0040539677346907</v>
      </c>
    </row>
    <row r="1730" spans="1:12" x14ac:dyDescent="0.25">
      <c r="A1730" s="1">
        <v>42733</v>
      </c>
      <c r="B1730" s="6">
        <v>158.72630000000001</v>
      </c>
      <c r="C1730" s="6">
        <v>10.0509</v>
      </c>
      <c r="D1730" s="6">
        <v>9153.09</v>
      </c>
      <c r="E1730" s="6">
        <v>0.66</v>
      </c>
      <c r="F1730" s="6">
        <f t="shared" si="182"/>
        <v>7.3333333333333341E-3</v>
      </c>
      <c r="G1730">
        <f t="shared" si="183"/>
        <v>-1.0989469748894012</v>
      </c>
      <c r="H1730">
        <f t="shared" si="184"/>
        <v>-0.44079481744160032</v>
      </c>
      <c r="I1730">
        <f t="shared" si="185"/>
        <v>-0.52502879996521712</v>
      </c>
      <c r="J1730">
        <f t="shared" si="186"/>
        <v>-0.77840776265965228</v>
      </c>
      <c r="K1730">
        <f t="shared" si="187"/>
        <v>-1.1062803082227346</v>
      </c>
      <c r="L1730">
        <f t="shared" si="188"/>
        <v>-0.53236213329855042</v>
      </c>
    </row>
    <row r="1731" spans="1:12" x14ac:dyDescent="0.25">
      <c r="A1731" s="1">
        <v>42734</v>
      </c>
      <c r="B1731" s="6">
        <v>160.04910000000001</v>
      </c>
      <c r="C1731" s="6">
        <v>10.139799999999999</v>
      </c>
      <c r="D1731" s="6">
        <v>9253.5</v>
      </c>
      <c r="E1731" s="6">
        <v>0.66</v>
      </c>
      <c r="F1731" s="6">
        <f t="shared" ref="F1731:F1794" si="189">E1731/90</f>
        <v>7.3333333333333341E-3</v>
      </c>
      <c r="G1731">
        <f t="shared" si="183"/>
        <v>0.83338425957135065</v>
      </c>
      <c r="H1731">
        <f t="shared" si="184"/>
        <v>0.88449790566017839</v>
      </c>
      <c r="I1731">
        <f t="shared" si="185"/>
        <v>1.0970065846615717</v>
      </c>
      <c r="J1731">
        <f t="shared" si="186"/>
        <v>0.58123103932751941</v>
      </c>
      <c r="K1731">
        <f t="shared" si="187"/>
        <v>0.82605092623801735</v>
      </c>
      <c r="L1731">
        <f t="shared" si="188"/>
        <v>1.0896732513282383</v>
      </c>
    </row>
    <row r="1732" spans="1:12" x14ac:dyDescent="0.25">
      <c r="A1732" s="1">
        <v>42738</v>
      </c>
      <c r="B1732" s="6">
        <v>161.37180000000001</v>
      </c>
      <c r="C1732" s="6">
        <v>10.139799999999999</v>
      </c>
      <c r="D1732" s="6">
        <v>9272.8799999999992</v>
      </c>
      <c r="E1732" s="6">
        <v>0.66</v>
      </c>
      <c r="F1732" s="6">
        <f t="shared" si="189"/>
        <v>7.3333333333333341E-3</v>
      </c>
      <c r="G1732">
        <f t="shared" ref="G1732:G1795" si="190">100*(B1732-B1731)/B1731</f>
        <v>0.8264338881005876</v>
      </c>
      <c r="H1732">
        <f t="shared" ref="H1732:H1795" si="191">100*(C1732-C1731)/C1731</f>
        <v>0</v>
      </c>
      <c r="I1732">
        <f t="shared" ref="I1732:I1795" si="192">100*(D1732-D1731)/D1731</f>
        <v>0.20943426811475874</v>
      </c>
      <c r="J1732">
        <f t="shared" ref="J1732:J1795" si="193">(G1732-F1732)/$N$3</f>
        <v>0.57634057615467149</v>
      </c>
      <c r="K1732">
        <f t="shared" ref="K1732:K1795" si="194">G1732-F1732</f>
        <v>0.8191005547672543</v>
      </c>
      <c r="L1732">
        <f t="shared" ref="L1732:L1795" si="195">I1732-F1732</f>
        <v>0.20210093478142541</v>
      </c>
    </row>
    <row r="1733" spans="1:12" x14ac:dyDescent="0.25">
      <c r="A1733" s="1">
        <v>42739</v>
      </c>
      <c r="B1733" s="6">
        <v>161.37180000000001</v>
      </c>
      <c r="C1733" s="6">
        <v>10.0954</v>
      </c>
      <c r="D1733" s="6">
        <v>9286.9599999999991</v>
      </c>
      <c r="E1733" s="6">
        <v>0.66</v>
      </c>
      <c r="F1733" s="6">
        <f t="shared" si="189"/>
        <v>7.3333333333333341E-3</v>
      </c>
      <c r="G1733">
        <f t="shared" si="190"/>
        <v>0</v>
      </c>
      <c r="H1733">
        <f t="shared" si="191"/>
        <v>-0.43787845914120155</v>
      </c>
      <c r="I1733">
        <f t="shared" si="192"/>
        <v>0.15184063635030248</v>
      </c>
      <c r="J1733">
        <f t="shared" si="193"/>
        <v>-5.1599251567697223E-3</v>
      </c>
      <c r="K1733">
        <f t="shared" si="194"/>
        <v>-7.3333333333333341E-3</v>
      </c>
      <c r="L1733">
        <f t="shared" si="195"/>
        <v>0.14450730301696915</v>
      </c>
    </row>
    <row r="1734" spans="1:12" x14ac:dyDescent="0.25">
      <c r="A1734" s="1">
        <v>42740</v>
      </c>
      <c r="B1734" s="6">
        <v>161.81270000000001</v>
      </c>
      <c r="C1734" s="6">
        <v>10.139799999999999</v>
      </c>
      <c r="D1734" s="6">
        <v>9358.14</v>
      </c>
      <c r="E1734" s="6">
        <v>0.66</v>
      </c>
      <c r="F1734" s="6">
        <f t="shared" si="189"/>
        <v>7.3333333333333341E-3</v>
      </c>
      <c r="G1734">
        <f t="shared" si="190"/>
        <v>0.27321998019480426</v>
      </c>
      <c r="H1734">
        <f t="shared" si="191"/>
        <v>0.43980426729004846</v>
      </c>
      <c r="I1734">
        <f t="shared" si="192"/>
        <v>0.76645102380111785</v>
      </c>
      <c r="J1734">
        <f t="shared" si="193"/>
        <v>0.18708479972586148</v>
      </c>
      <c r="K1734">
        <f t="shared" si="194"/>
        <v>0.2658866468614709</v>
      </c>
      <c r="L1734">
        <f t="shared" si="195"/>
        <v>0.75911769046778454</v>
      </c>
    </row>
    <row r="1735" spans="1:12" x14ac:dyDescent="0.25">
      <c r="A1735" s="1">
        <v>42741</v>
      </c>
      <c r="B1735" s="6">
        <v>162.25360000000001</v>
      </c>
      <c r="C1735" s="6">
        <v>10.3177</v>
      </c>
      <c r="D1735" s="6">
        <v>9372.2199999999993</v>
      </c>
      <c r="E1735" s="6">
        <v>0.66</v>
      </c>
      <c r="F1735" s="6">
        <f t="shared" si="189"/>
        <v>7.3333333333333341E-3</v>
      </c>
      <c r="G1735">
        <f t="shared" si="190"/>
        <v>0.27247552262585023</v>
      </c>
      <c r="H1735">
        <f t="shared" si="191"/>
        <v>1.7544724748022749</v>
      </c>
      <c r="I1735">
        <f t="shared" si="192"/>
        <v>0.15045724898323734</v>
      </c>
      <c r="J1735">
        <f t="shared" si="193"/>
        <v>0.18656097990701692</v>
      </c>
      <c r="K1735">
        <f t="shared" si="194"/>
        <v>0.26514218929251687</v>
      </c>
      <c r="L1735">
        <f t="shared" si="195"/>
        <v>0.14312391564990401</v>
      </c>
    </row>
    <row r="1736" spans="1:12" x14ac:dyDescent="0.25">
      <c r="A1736" s="1">
        <v>42744</v>
      </c>
      <c r="B1736" s="6">
        <v>162.25360000000001</v>
      </c>
      <c r="C1736" s="6">
        <v>10.3177</v>
      </c>
      <c r="D1736" s="6">
        <v>9342.42</v>
      </c>
      <c r="E1736" s="6">
        <v>0.66</v>
      </c>
      <c r="F1736" s="6">
        <f t="shared" si="189"/>
        <v>7.3333333333333341E-3</v>
      </c>
      <c r="G1736">
        <f t="shared" si="190"/>
        <v>0</v>
      </c>
      <c r="H1736">
        <f t="shared" si="191"/>
        <v>0</v>
      </c>
      <c r="I1736">
        <f t="shared" si="192"/>
        <v>-0.31796095268782931</v>
      </c>
      <c r="J1736">
        <f t="shared" si="193"/>
        <v>-5.1599251567697223E-3</v>
      </c>
      <c r="K1736">
        <f t="shared" si="194"/>
        <v>-7.3333333333333341E-3</v>
      </c>
      <c r="L1736">
        <f t="shared" si="195"/>
        <v>-0.32529428602116267</v>
      </c>
    </row>
    <row r="1737" spans="1:12" x14ac:dyDescent="0.25">
      <c r="A1737" s="1">
        <v>42745</v>
      </c>
      <c r="B1737" s="6">
        <v>162.25360000000001</v>
      </c>
      <c r="C1737" s="6">
        <v>10.3622</v>
      </c>
      <c r="D1737" s="6">
        <v>9349.64</v>
      </c>
      <c r="E1737" s="6">
        <v>0.66</v>
      </c>
      <c r="F1737" s="6">
        <f t="shared" si="189"/>
        <v>7.3333333333333341E-3</v>
      </c>
      <c r="G1737">
        <f t="shared" si="190"/>
        <v>0</v>
      </c>
      <c r="H1737">
        <f t="shared" si="191"/>
        <v>0.43129767293097604</v>
      </c>
      <c r="I1737">
        <f t="shared" si="192"/>
        <v>7.7281903404036054E-2</v>
      </c>
      <c r="J1737">
        <f t="shared" si="193"/>
        <v>-5.1599251567697223E-3</v>
      </c>
      <c r="K1737">
        <f t="shared" si="194"/>
        <v>-7.3333333333333341E-3</v>
      </c>
      <c r="L1737">
        <f t="shared" si="195"/>
        <v>6.9948570070702723E-2</v>
      </c>
    </row>
    <row r="1738" spans="1:12" x14ac:dyDescent="0.25">
      <c r="A1738" s="1">
        <v>42746</v>
      </c>
      <c r="B1738" s="6">
        <v>160.49</v>
      </c>
      <c r="C1738" s="6">
        <v>10.3622</v>
      </c>
      <c r="D1738" s="6">
        <v>9345.74</v>
      </c>
      <c r="E1738" s="6">
        <v>0.66</v>
      </c>
      <c r="F1738" s="6">
        <f t="shared" si="189"/>
        <v>7.3333333333333341E-3</v>
      </c>
      <c r="G1738">
        <f t="shared" si="190"/>
        <v>-1.0869404438483934</v>
      </c>
      <c r="H1738">
        <f t="shared" si="191"/>
        <v>0</v>
      </c>
      <c r="I1738">
        <f t="shared" si="192"/>
        <v>-4.1712836002237907E-2</v>
      </c>
      <c r="J1738">
        <f t="shared" si="193"/>
        <v>-0.76995965335546601</v>
      </c>
      <c r="K1738">
        <f t="shared" si="194"/>
        <v>-1.0942737771817268</v>
      </c>
      <c r="L1738">
        <f t="shared" si="195"/>
        <v>-4.9046169335571238E-2</v>
      </c>
    </row>
    <row r="1739" spans="1:12" x14ac:dyDescent="0.25">
      <c r="A1739" s="1">
        <v>42747</v>
      </c>
      <c r="B1739" s="6">
        <v>162.69450000000001</v>
      </c>
      <c r="C1739" s="6">
        <v>10.4956</v>
      </c>
      <c r="D1739" s="6">
        <v>9410.18</v>
      </c>
      <c r="E1739" s="6">
        <v>0.66</v>
      </c>
      <c r="F1739" s="6">
        <f t="shared" si="189"/>
        <v>7.3333333333333341E-3</v>
      </c>
      <c r="G1739">
        <f t="shared" si="190"/>
        <v>1.3736058321390714</v>
      </c>
      <c r="H1739">
        <f t="shared" si="191"/>
        <v>1.2873714076161429</v>
      </c>
      <c r="I1739">
        <f t="shared" si="192"/>
        <v>0.68951201295992093</v>
      </c>
      <c r="J1739">
        <f t="shared" si="193"/>
        <v>0.9613450687623214</v>
      </c>
      <c r="K1739">
        <f t="shared" si="194"/>
        <v>1.366272498805738</v>
      </c>
      <c r="L1739">
        <f t="shared" si="195"/>
        <v>0.68217867962658763</v>
      </c>
    </row>
    <row r="1740" spans="1:12" x14ac:dyDescent="0.25">
      <c r="A1740" s="1">
        <v>42748</v>
      </c>
      <c r="B1740" s="6">
        <v>160.04910000000001</v>
      </c>
      <c r="C1740" s="6">
        <v>10.4956</v>
      </c>
      <c r="D1740" s="6">
        <v>9378.83</v>
      </c>
      <c r="E1740" s="6">
        <v>0.66</v>
      </c>
      <c r="F1740" s="6">
        <f t="shared" si="189"/>
        <v>7.3333333333333341E-3</v>
      </c>
      <c r="G1740">
        <f t="shared" si="190"/>
        <v>-1.6259922738629733</v>
      </c>
      <c r="H1740">
        <f t="shared" si="191"/>
        <v>0</v>
      </c>
      <c r="I1740">
        <f t="shared" si="192"/>
        <v>-0.33314984410500503</v>
      </c>
      <c r="J1740">
        <f t="shared" si="193"/>
        <v>-1.149250621332055</v>
      </c>
      <c r="K1740">
        <f t="shared" si="194"/>
        <v>-1.6333256071963067</v>
      </c>
      <c r="L1740">
        <f t="shared" si="195"/>
        <v>-0.34048317743833839</v>
      </c>
    </row>
    <row r="1741" spans="1:12" x14ac:dyDescent="0.25">
      <c r="A1741" s="1">
        <v>42751</v>
      </c>
      <c r="B1741" s="6">
        <v>158.28540000000001</v>
      </c>
      <c r="C1741" s="6">
        <v>10.3622</v>
      </c>
      <c r="D1741" s="6">
        <v>9292.33</v>
      </c>
      <c r="E1741" s="6">
        <v>0.66</v>
      </c>
      <c r="F1741" s="6">
        <f t="shared" si="189"/>
        <v>7.3333333333333341E-3</v>
      </c>
      <c r="G1741">
        <f t="shared" si="190"/>
        <v>-1.1019743316269819</v>
      </c>
      <c r="H1741">
        <f t="shared" si="191"/>
        <v>-1.2710088036891647</v>
      </c>
      <c r="I1741">
        <f t="shared" si="192"/>
        <v>-0.9222898805074834</v>
      </c>
      <c r="J1741">
        <f t="shared" si="193"/>
        <v>-0.78053789004902852</v>
      </c>
      <c r="K1741">
        <f t="shared" si="194"/>
        <v>-1.1093076649603153</v>
      </c>
      <c r="L1741">
        <f t="shared" si="195"/>
        <v>-0.9296232138408167</v>
      </c>
    </row>
    <row r="1742" spans="1:12" x14ac:dyDescent="0.25">
      <c r="A1742" s="1">
        <v>42752</v>
      </c>
      <c r="B1742" s="6">
        <v>159.60820000000001</v>
      </c>
      <c r="C1742" s="6">
        <v>10.3622</v>
      </c>
      <c r="D1742" s="6">
        <v>9354.5300000000007</v>
      </c>
      <c r="E1742" s="6">
        <v>0.66</v>
      </c>
      <c r="F1742" s="6">
        <f t="shared" si="189"/>
        <v>7.3333333333333341E-3</v>
      </c>
      <c r="G1742">
        <f t="shared" si="190"/>
        <v>0.83570563046244362</v>
      </c>
      <c r="H1742">
        <f t="shared" si="191"/>
        <v>0</v>
      </c>
      <c r="I1742">
        <f t="shared" si="192"/>
        <v>0.66936925399765967</v>
      </c>
      <c r="J1742">
        <f t="shared" si="193"/>
        <v>0.58286441660831168</v>
      </c>
      <c r="K1742">
        <f t="shared" si="194"/>
        <v>0.82837229712911031</v>
      </c>
      <c r="L1742">
        <f t="shared" si="195"/>
        <v>0.66203592066432637</v>
      </c>
    </row>
    <row r="1743" spans="1:12" x14ac:dyDescent="0.25">
      <c r="A1743" s="1">
        <v>42753</v>
      </c>
      <c r="B1743" s="6">
        <v>159.60820000000001</v>
      </c>
      <c r="C1743" s="6">
        <v>10.3622</v>
      </c>
      <c r="D1743" s="6">
        <v>9341.9699999999993</v>
      </c>
      <c r="E1743" s="6">
        <v>0.66</v>
      </c>
      <c r="F1743" s="6">
        <f t="shared" si="189"/>
        <v>7.3333333333333341E-3</v>
      </c>
      <c r="G1743">
        <f t="shared" si="190"/>
        <v>0</v>
      </c>
      <c r="H1743">
        <f t="shared" si="191"/>
        <v>0</v>
      </c>
      <c r="I1743">
        <f t="shared" si="192"/>
        <v>-0.13426649976002331</v>
      </c>
      <c r="J1743">
        <f t="shared" si="193"/>
        <v>-5.1599251567697223E-3</v>
      </c>
      <c r="K1743">
        <f t="shared" si="194"/>
        <v>-7.3333333333333341E-3</v>
      </c>
      <c r="L1743">
        <f t="shared" si="195"/>
        <v>-0.14159983309335664</v>
      </c>
    </row>
    <row r="1744" spans="1:12" x14ac:dyDescent="0.25">
      <c r="A1744" s="1">
        <v>42754</v>
      </c>
      <c r="B1744" s="6">
        <v>159.16720000000001</v>
      </c>
      <c r="C1744" s="6">
        <v>10.3177</v>
      </c>
      <c r="D1744" s="6">
        <v>9318.1200000000008</v>
      </c>
      <c r="E1744" s="6">
        <v>0.66</v>
      </c>
      <c r="F1744" s="6">
        <f t="shared" si="189"/>
        <v>7.3333333333333341E-3</v>
      </c>
      <c r="G1744">
        <f t="shared" si="190"/>
        <v>-0.27630159352715117</v>
      </c>
      <c r="H1744">
        <f t="shared" si="191"/>
        <v>-0.42944548454960646</v>
      </c>
      <c r="I1744">
        <f t="shared" si="192"/>
        <v>-0.25529947109655188</v>
      </c>
      <c r="J1744">
        <f t="shared" si="193"/>
        <v>-0.19957295378808468</v>
      </c>
      <c r="K1744">
        <f t="shared" si="194"/>
        <v>-0.28363492686048453</v>
      </c>
      <c r="L1744">
        <f t="shared" si="195"/>
        <v>-0.26263280442988524</v>
      </c>
    </row>
    <row r="1745" spans="1:12" x14ac:dyDescent="0.25">
      <c r="A1745" s="1">
        <v>42755</v>
      </c>
      <c r="B1745" s="6">
        <v>159.60820000000001</v>
      </c>
      <c r="C1745" s="6">
        <v>10.3177</v>
      </c>
      <c r="D1745" s="6">
        <v>9331.4599999999991</v>
      </c>
      <c r="E1745" s="6">
        <v>0.66</v>
      </c>
      <c r="F1745" s="6">
        <f t="shared" si="189"/>
        <v>7.3333333333333341E-3</v>
      </c>
      <c r="G1745">
        <f t="shared" si="190"/>
        <v>0.27706713443473435</v>
      </c>
      <c r="H1745">
        <f t="shared" si="191"/>
        <v>0</v>
      </c>
      <c r="I1745">
        <f t="shared" si="192"/>
        <v>0.14316192536690153</v>
      </c>
      <c r="J1745">
        <f t="shared" si="193"/>
        <v>0.18979175808194176</v>
      </c>
      <c r="K1745">
        <f t="shared" si="194"/>
        <v>0.26973380110140099</v>
      </c>
      <c r="L1745">
        <f t="shared" si="195"/>
        <v>0.1358285920335682</v>
      </c>
    </row>
    <row r="1746" spans="1:12" x14ac:dyDescent="0.25">
      <c r="A1746" s="1">
        <v>42758</v>
      </c>
      <c r="B1746" s="6">
        <v>163.1354</v>
      </c>
      <c r="C1746" s="6">
        <v>10.273300000000001</v>
      </c>
      <c r="D1746" s="6">
        <v>9424.0499999999993</v>
      </c>
      <c r="E1746" s="6">
        <v>0.66</v>
      </c>
      <c r="F1746" s="6">
        <f t="shared" si="189"/>
        <v>7.3333333333333341E-3</v>
      </c>
      <c r="G1746">
        <f t="shared" si="190"/>
        <v>2.2099115208366444</v>
      </c>
      <c r="H1746">
        <f t="shared" si="191"/>
        <v>-0.43032846467720082</v>
      </c>
      <c r="I1746">
        <f t="shared" si="192"/>
        <v>0.99223486999890853</v>
      </c>
      <c r="J1746">
        <f t="shared" si="193"/>
        <v>1.5497916271978081</v>
      </c>
      <c r="K1746">
        <f t="shared" si="194"/>
        <v>2.202578187503311</v>
      </c>
      <c r="L1746">
        <f t="shared" si="195"/>
        <v>0.98490153666557523</v>
      </c>
    </row>
    <row r="1747" spans="1:12" x14ac:dyDescent="0.25">
      <c r="A1747" s="1">
        <v>42759</v>
      </c>
      <c r="B1747" s="6">
        <v>163.5763</v>
      </c>
      <c r="C1747" s="6">
        <v>10.0954</v>
      </c>
      <c r="D1747" s="6">
        <v>9447.9500000000007</v>
      </c>
      <c r="E1747" s="6">
        <v>0.66</v>
      </c>
      <c r="F1747" s="6">
        <f t="shared" si="189"/>
        <v>7.3333333333333341E-3</v>
      </c>
      <c r="G1747">
        <f t="shared" si="190"/>
        <v>0.27026629413358422</v>
      </c>
      <c r="H1747">
        <f t="shared" si="191"/>
        <v>-1.7316733668830955</v>
      </c>
      <c r="I1747">
        <f t="shared" si="192"/>
        <v>0.25360646431206813</v>
      </c>
      <c r="J1747">
        <f t="shared" si="193"/>
        <v>0.18500650895143111</v>
      </c>
      <c r="K1747">
        <f t="shared" si="194"/>
        <v>0.26293296080025086</v>
      </c>
      <c r="L1747">
        <f t="shared" si="195"/>
        <v>0.24627313097873479</v>
      </c>
    </row>
    <row r="1748" spans="1:12" x14ac:dyDescent="0.25">
      <c r="A1748" s="1">
        <v>42768</v>
      </c>
      <c r="B1748" s="6">
        <v>162.69450000000001</v>
      </c>
      <c r="C1748" s="6">
        <v>10.0509</v>
      </c>
      <c r="D1748" s="6">
        <v>9428.9699999999993</v>
      </c>
      <c r="E1748" s="6">
        <v>0.66</v>
      </c>
      <c r="F1748" s="6">
        <f t="shared" si="189"/>
        <v>7.3333333333333341E-3</v>
      </c>
      <c r="G1748">
        <f t="shared" si="190"/>
        <v>-0.53907564848941947</v>
      </c>
      <c r="H1748">
        <f t="shared" si="191"/>
        <v>-0.44079481744160032</v>
      </c>
      <c r="I1748">
        <f t="shared" si="192"/>
        <v>-0.20089014018915619</v>
      </c>
      <c r="J1748">
        <f t="shared" si="193"/>
        <v>-0.38446765243529341</v>
      </c>
      <c r="K1748">
        <f t="shared" si="194"/>
        <v>-0.54640898182275277</v>
      </c>
      <c r="L1748">
        <f t="shared" si="195"/>
        <v>-0.20822347352248952</v>
      </c>
    </row>
    <row r="1749" spans="1:12" x14ac:dyDescent="0.25">
      <c r="A1749" s="1">
        <v>42769</v>
      </c>
      <c r="B1749" s="6">
        <v>162.69450000000001</v>
      </c>
      <c r="C1749" s="6">
        <v>10.139799999999999</v>
      </c>
      <c r="D1749" s="6">
        <v>9455.56</v>
      </c>
      <c r="E1749" s="6">
        <v>0.66</v>
      </c>
      <c r="F1749" s="6">
        <f t="shared" si="189"/>
        <v>7.3333333333333341E-3</v>
      </c>
      <c r="G1749">
        <f t="shared" si="190"/>
        <v>0</v>
      </c>
      <c r="H1749">
        <f t="shared" si="191"/>
        <v>0.88449790566017839</v>
      </c>
      <c r="I1749">
        <f t="shared" si="192"/>
        <v>0.28200323046950143</v>
      </c>
      <c r="J1749">
        <f t="shared" si="193"/>
        <v>-5.1599251567697223E-3</v>
      </c>
      <c r="K1749">
        <f t="shared" si="194"/>
        <v>-7.3333333333333341E-3</v>
      </c>
      <c r="L1749">
        <f t="shared" si="195"/>
        <v>0.27466989713616807</v>
      </c>
    </row>
    <row r="1750" spans="1:12" x14ac:dyDescent="0.25">
      <c r="A1750" s="1">
        <v>42772</v>
      </c>
      <c r="B1750" s="6">
        <v>162.69450000000001</v>
      </c>
      <c r="C1750" s="6">
        <v>10.1843</v>
      </c>
      <c r="D1750" s="6">
        <v>9538.01</v>
      </c>
      <c r="E1750" s="6">
        <v>0.66</v>
      </c>
      <c r="F1750" s="6">
        <f t="shared" si="189"/>
        <v>7.3333333333333341E-3</v>
      </c>
      <c r="G1750">
        <f t="shared" si="190"/>
        <v>0</v>
      </c>
      <c r="H1750">
        <f t="shared" si="191"/>
        <v>0.43886467188703027</v>
      </c>
      <c r="I1750">
        <f t="shared" si="192"/>
        <v>0.87197373820271595</v>
      </c>
      <c r="J1750">
        <f t="shared" si="193"/>
        <v>-5.1599251567697223E-3</v>
      </c>
      <c r="K1750">
        <f t="shared" si="194"/>
        <v>-7.3333333333333341E-3</v>
      </c>
      <c r="L1750">
        <f t="shared" si="195"/>
        <v>0.86464040486938265</v>
      </c>
    </row>
    <row r="1751" spans="1:12" x14ac:dyDescent="0.25">
      <c r="A1751" s="1">
        <v>42773</v>
      </c>
      <c r="B1751" s="6">
        <v>162.69450000000001</v>
      </c>
      <c r="C1751" s="6">
        <v>10.2288</v>
      </c>
      <c r="D1751" s="6">
        <v>9554.56</v>
      </c>
      <c r="E1751" s="6">
        <v>0.66</v>
      </c>
      <c r="F1751" s="6">
        <f t="shared" si="189"/>
        <v>7.3333333333333341E-3</v>
      </c>
      <c r="G1751">
        <f t="shared" si="190"/>
        <v>0</v>
      </c>
      <c r="H1751">
        <f t="shared" si="191"/>
        <v>0.43694706558132929</v>
      </c>
      <c r="I1751">
        <f t="shared" si="192"/>
        <v>0.17351627855285612</v>
      </c>
      <c r="J1751">
        <f t="shared" si="193"/>
        <v>-5.1599251567697223E-3</v>
      </c>
      <c r="K1751">
        <f t="shared" si="194"/>
        <v>-7.3333333333333341E-3</v>
      </c>
      <c r="L1751">
        <f t="shared" si="195"/>
        <v>0.16618294521952279</v>
      </c>
    </row>
    <row r="1752" spans="1:12" x14ac:dyDescent="0.25">
      <c r="A1752" s="1">
        <v>42774</v>
      </c>
      <c r="B1752" s="6">
        <v>161.81270000000001</v>
      </c>
      <c r="C1752" s="6">
        <v>10.1843</v>
      </c>
      <c r="D1752" s="6">
        <v>9543.25</v>
      </c>
      <c r="E1752" s="6">
        <v>0.66</v>
      </c>
      <c r="F1752" s="6">
        <f t="shared" si="189"/>
        <v>7.3333333333333341E-3</v>
      </c>
      <c r="G1752">
        <f t="shared" si="190"/>
        <v>-0.5419974246209911</v>
      </c>
      <c r="H1752">
        <f t="shared" si="191"/>
        <v>-0.43504614422023424</v>
      </c>
      <c r="I1752">
        <f t="shared" si="192"/>
        <v>-0.11837279791010252</v>
      </c>
      <c r="J1752">
        <f t="shared" si="193"/>
        <v>-0.38652349054853147</v>
      </c>
      <c r="K1752">
        <f t="shared" si="194"/>
        <v>-0.5493307579543244</v>
      </c>
      <c r="L1752">
        <f t="shared" si="195"/>
        <v>-0.12570613124343585</v>
      </c>
    </row>
    <row r="1753" spans="1:12" x14ac:dyDescent="0.25">
      <c r="A1753" s="1">
        <v>42775</v>
      </c>
      <c r="B1753" s="6">
        <v>162.25360000000001</v>
      </c>
      <c r="C1753" s="6">
        <v>10.2288</v>
      </c>
      <c r="D1753" s="6">
        <v>9590.18</v>
      </c>
      <c r="E1753" s="6">
        <v>0.66</v>
      </c>
      <c r="F1753" s="6">
        <f t="shared" si="189"/>
        <v>7.3333333333333341E-3</v>
      </c>
      <c r="G1753">
        <f t="shared" si="190"/>
        <v>0.27247552262585023</v>
      </c>
      <c r="H1753">
        <f t="shared" si="191"/>
        <v>0.43694706558132929</v>
      </c>
      <c r="I1753">
        <f t="shared" si="192"/>
        <v>0.49176119246588207</v>
      </c>
      <c r="J1753">
        <f t="shared" si="193"/>
        <v>0.18656097990701692</v>
      </c>
      <c r="K1753">
        <f t="shared" si="194"/>
        <v>0.26514218929251687</v>
      </c>
      <c r="L1753">
        <f t="shared" si="195"/>
        <v>0.48442785913254871</v>
      </c>
    </row>
    <row r="1754" spans="1:12" x14ac:dyDescent="0.25">
      <c r="A1754" s="1">
        <v>42776</v>
      </c>
      <c r="B1754" s="6">
        <v>163.5763</v>
      </c>
      <c r="C1754" s="6">
        <v>10.3177</v>
      </c>
      <c r="D1754" s="6">
        <v>9665.59</v>
      </c>
      <c r="E1754" s="6">
        <v>0.66</v>
      </c>
      <c r="F1754" s="6">
        <f t="shared" si="189"/>
        <v>7.3333333333333341E-3</v>
      </c>
      <c r="G1754">
        <f t="shared" si="190"/>
        <v>0.81520533288629493</v>
      </c>
      <c r="H1754">
        <f t="shared" si="191"/>
        <v>0.86911465665572352</v>
      </c>
      <c r="I1754">
        <f t="shared" si="192"/>
        <v>0.78632517846380201</v>
      </c>
      <c r="J1754">
        <f t="shared" si="193"/>
        <v>0.56843987099225235</v>
      </c>
      <c r="K1754">
        <f t="shared" si="194"/>
        <v>0.80787199955296163</v>
      </c>
      <c r="L1754">
        <f t="shared" si="195"/>
        <v>0.77899184513046871</v>
      </c>
    </row>
    <row r="1755" spans="1:12" x14ac:dyDescent="0.25">
      <c r="A1755" s="1">
        <v>42779</v>
      </c>
      <c r="B1755" s="6">
        <v>165.3399</v>
      </c>
      <c r="C1755" s="6">
        <v>10.406700000000001</v>
      </c>
      <c r="D1755" s="6">
        <v>9710.32</v>
      </c>
      <c r="E1755" s="6">
        <v>0.66</v>
      </c>
      <c r="F1755" s="6">
        <f t="shared" si="189"/>
        <v>7.3333333333333341E-3</v>
      </c>
      <c r="G1755">
        <f t="shared" si="190"/>
        <v>1.0781512969788389</v>
      </c>
      <c r="H1755">
        <f t="shared" si="191"/>
        <v>0.86259534586196929</v>
      </c>
      <c r="I1755">
        <f t="shared" si="192"/>
        <v>0.46277568156728727</v>
      </c>
      <c r="J1755">
        <f t="shared" si="193"/>
        <v>0.75345552940027771</v>
      </c>
      <c r="K1755">
        <f t="shared" si="194"/>
        <v>1.0708179636455055</v>
      </c>
      <c r="L1755">
        <f t="shared" si="195"/>
        <v>0.45544234823395391</v>
      </c>
    </row>
    <row r="1756" spans="1:12" x14ac:dyDescent="0.25">
      <c r="A1756" s="1">
        <v>42780</v>
      </c>
      <c r="B1756" s="6">
        <v>165.3399</v>
      </c>
      <c r="C1756" s="6">
        <v>10.406700000000001</v>
      </c>
      <c r="D1756" s="6">
        <v>9718.7800000000007</v>
      </c>
      <c r="E1756" s="6">
        <v>0.66</v>
      </c>
      <c r="F1756" s="6">
        <f t="shared" si="189"/>
        <v>7.3333333333333341E-3</v>
      </c>
      <c r="G1756">
        <f t="shared" si="190"/>
        <v>0</v>
      </c>
      <c r="H1756">
        <f t="shared" si="191"/>
        <v>0</v>
      </c>
      <c r="I1756">
        <f t="shared" si="192"/>
        <v>8.7123802305186099E-2</v>
      </c>
      <c r="J1756">
        <f t="shared" si="193"/>
        <v>-5.1599251567697223E-3</v>
      </c>
      <c r="K1756">
        <f t="shared" si="194"/>
        <v>-7.3333333333333341E-3</v>
      </c>
      <c r="L1756">
        <f t="shared" si="195"/>
        <v>7.9790468971852768E-2</v>
      </c>
    </row>
    <row r="1757" spans="1:12" x14ac:dyDescent="0.25">
      <c r="A1757" s="1">
        <v>42781</v>
      </c>
      <c r="B1757" s="6">
        <v>166.6627</v>
      </c>
      <c r="C1757" s="6">
        <v>10.4511</v>
      </c>
      <c r="D1757" s="6">
        <v>9799.76</v>
      </c>
      <c r="E1757" s="6">
        <v>0.66</v>
      </c>
      <c r="F1757" s="6">
        <f t="shared" si="189"/>
        <v>7.3333333333333341E-3</v>
      </c>
      <c r="G1757">
        <f t="shared" si="190"/>
        <v>0.80004886902677508</v>
      </c>
      <c r="H1757">
        <f t="shared" si="191"/>
        <v>0.42664821701403471</v>
      </c>
      <c r="I1757">
        <f t="shared" si="192"/>
        <v>0.83323215465315148</v>
      </c>
      <c r="J1757">
        <f t="shared" si="193"/>
        <v>0.55777538656183323</v>
      </c>
      <c r="K1757">
        <f t="shared" si="194"/>
        <v>0.79271553569344178</v>
      </c>
      <c r="L1757">
        <f t="shared" si="195"/>
        <v>0.82589882131981818</v>
      </c>
    </row>
    <row r="1758" spans="1:12" x14ac:dyDescent="0.25">
      <c r="A1758" s="1">
        <v>42782</v>
      </c>
      <c r="B1758" s="6">
        <v>166.6627</v>
      </c>
      <c r="C1758" s="6">
        <v>10.4956</v>
      </c>
      <c r="D1758" s="6">
        <v>9771.25</v>
      </c>
      <c r="E1758" s="6">
        <v>0.66</v>
      </c>
      <c r="F1758" s="6">
        <f t="shared" si="189"/>
        <v>7.3333333333333341E-3</v>
      </c>
      <c r="G1758">
        <f t="shared" si="190"/>
        <v>0</v>
      </c>
      <c r="H1758">
        <f t="shared" si="191"/>
        <v>0.42579250031096549</v>
      </c>
      <c r="I1758">
        <f t="shared" si="192"/>
        <v>-0.29092549205286883</v>
      </c>
      <c r="J1758">
        <f t="shared" si="193"/>
        <v>-5.1599251567697223E-3</v>
      </c>
      <c r="K1758">
        <f t="shared" si="194"/>
        <v>-7.3333333333333341E-3</v>
      </c>
      <c r="L1758">
        <f t="shared" si="195"/>
        <v>-0.29825882538620219</v>
      </c>
    </row>
    <row r="1759" spans="1:12" x14ac:dyDescent="0.25">
      <c r="A1759" s="1">
        <v>42783</v>
      </c>
      <c r="B1759" s="6">
        <v>167.1036</v>
      </c>
      <c r="C1759" s="6">
        <v>10.4511</v>
      </c>
      <c r="D1759" s="6">
        <v>9759.76</v>
      </c>
      <c r="E1759" s="6">
        <v>0.66</v>
      </c>
      <c r="F1759" s="6">
        <f t="shared" si="189"/>
        <v>7.3333333333333341E-3</v>
      </c>
      <c r="G1759">
        <f t="shared" si="190"/>
        <v>0.26454629620184911</v>
      </c>
      <c r="H1759">
        <f t="shared" si="191"/>
        <v>-0.42398719463393536</v>
      </c>
      <c r="I1759">
        <f t="shared" si="192"/>
        <v>-0.11758986823589389</v>
      </c>
      <c r="J1759">
        <f t="shared" si="193"/>
        <v>0.180981768784436</v>
      </c>
      <c r="K1759">
        <f t="shared" si="194"/>
        <v>0.25721296286851575</v>
      </c>
      <c r="L1759">
        <f t="shared" si="195"/>
        <v>-0.12492320156922722</v>
      </c>
    </row>
    <row r="1760" spans="1:12" x14ac:dyDescent="0.25">
      <c r="A1760" s="1">
        <v>42784</v>
      </c>
      <c r="B1760" s="6">
        <v>167.1036</v>
      </c>
      <c r="C1760" s="6">
        <v>10.4511</v>
      </c>
      <c r="D1760" s="6">
        <v>9779.92</v>
      </c>
      <c r="E1760" s="6">
        <v>0.66</v>
      </c>
      <c r="F1760" s="6">
        <f t="shared" si="189"/>
        <v>7.3333333333333341E-3</v>
      </c>
      <c r="G1760">
        <f t="shared" si="190"/>
        <v>0</v>
      </c>
      <c r="H1760">
        <f t="shared" si="191"/>
        <v>0</v>
      </c>
      <c r="I1760">
        <f t="shared" si="192"/>
        <v>0.20656245645384572</v>
      </c>
      <c r="J1760">
        <f t="shared" si="193"/>
        <v>-5.1599251567697223E-3</v>
      </c>
      <c r="K1760">
        <f t="shared" si="194"/>
        <v>-7.3333333333333341E-3</v>
      </c>
      <c r="L1760">
        <f t="shared" si="195"/>
        <v>0.19922912312051239</v>
      </c>
    </row>
    <row r="1761" spans="1:12" x14ac:dyDescent="0.25">
      <c r="A1761" s="1">
        <v>42786</v>
      </c>
      <c r="B1761" s="6">
        <v>167.5445</v>
      </c>
      <c r="C1761" s="6">
        <v>10.4511</v>
      </c>
      <c r="D1761" s="6">
        <v>9753.2000000000007</v>
      </c>
      <c r="E1761" s="6">
        <v>0.66</v>
      </c>
      <c r="F1761" s="6">
        <f t="shared" si="189"/>
        <v>7.3333333333333341E-3</v>
      </c>
      <c r="G1761">
        <f t="shared" si="190"/>
        <v>0.26384829530901738</v>
      </c>
      <c r="H1761">
        <f t="shared" si="191"/>
        <v>0</v>
      </c>
      <c r="I1761">
        <f t="shared" si="192"/>
        <v>-0.27321286881691614</v>
      </c>
      <c r="J1761">
        <f t="shared" si="193"/>
        <v>0.1804906370981128</v>
      </c>
      <c r="K1761">
        <f t="shared" si="194"/>
        <v>0.25651496197568402</v>
      </c>
      <c r="L1761">
        <f t="shared" si="195"/>
        <v>-0.2805462021502495</v>
      </c>
    </row>
    <row r="1762" spans="1:12" x14ac:dyDescent="0.25">
      <c r="A1762" s="1">
        <v>42787</v>
      </c>
      <c r="B1762" s="6">
        <v>167.5445</v>
      </c>
      <c r="C1762" s="6">
        <v>10.4511</v>
      </c>
      <c r="D1762" s="6">
        <v>9763.93</v>
      </c>
      <c r="E1762" s="6">
        <v>0.66</v>
      </c>
      <c r="F1762" s="6">
        <f t="shared" si="189"/>
        <v>7.3333333333333341E-3</v>
      </c>
      <c r="G1762">
        <f t="shared" si="190"/>
        <v>0</v>
      </c>
      <c r="H1762">
        <f t="shared" si="191"/>
        <v>0</v>
      </c>
      <c r="I1762">
        <f t="shared" si="192"/>
        <v>0.11001517450682405</v>
      </c>
      <c r="J1762">
        <f t="shared" si="193"/>
        <v>-5.1599251567697223E-3</v>
      </c>
      <c r="K1762">
        <f t="shared" si="194"/>
        <v>-7.3333333333333341E-3</v>
      </c>
      <c r="L1762">
        <f t="shared" si="195"/>
        <v>0.10268184117349072</v>
      </c>
    </row>
    <row r="1763" spans="1:12" x14ac:dyDescent="0.25">
      <c r="A1763" s="1">
        <v>42788</v>
      </c>
      <c r="B1763" s="6">
        <v>166.2218</v>
      </c>
      <c r="C1763" s="6">
        <v>10.273300000000001</v>
      </c>
      <c r="D1763" s="6">
        <v>9778.7800000000007</v>
      </c>
      <c r="E1763" s="6">
        <v>0.66</v>
      </c>
      <c r="F1763" s="6">
        <f t="shared" si="189"/>
        <v>7.3333333333333341E-3</v>
      </c>
      <c r="G1763">
        <f t="shared" si="190"/>
        <v>-0.78946190415083606</v>
      </c>
      <c r="H1763">
        <f t="shared" si="191"/>
        <v>-1.7012563270851826</v>
      </c>
      <c r="I1763">
        <f t="shared" si="192"/>
        <v>0.15209039802620833</v>
      </c>
      <c r="J1763">
        <f t="shared" si="193"/>
        <v>-0.56064597145757322</v>
      </c>
      <c r="K1763">
        <f t="shared" si="194"/>
        <v>-0.79679523748416936</v>
      </c>
      <c r="L1763">
        <f t="shared" si="195"/>
        <v>0.144757064692875</v>
      </c>
    </row>
    <row r="1764" spans="1:12" x14ac:dyDescent="0.25">
      <c r="A1764" s="1">
        <v>42789</v>
      </c>
      <c r="B1764" s="6">
        <v>166.2218</v>
      </c>
      <c r="C1764" s="6">
        <v>10.4511</v>
      </c>
      <c r="D1764" s="6">
        <v>9769.31</v>
      </c>
      <c r="E1764" s="6">
        <v>0.66</v>
      </c>
      <c r="F1764" s="6">
        <f t="shared" si="189"/>
        <v>7.3333333333333341E-3</v>
      </c>
      <c r="G1764">
        <f t="shared" si="190"/>
        <v>0</v>
      </c>
      <c r="H1764">
        <f t="shared" si="191"/>
        <v>1.7306999698246863</v>
      </c>
      <c r="I1764">
        <f t="shared" si="192"/>
        <v>-9.6842346386779979E-2</v>
      </c>
      <c r="J1764">
        <f t="shared" si="193"/>
        <v>-5.1599251567697223E-3</v>
      </c>
      <c r="K1764">
        <f t="shared" si="194"/>
        <v>-7.3333333333333341E-3</v>
      </c>
      <c r="L1764">
        <f t="shared" si="195"/>
        <v>-0.10417567972011331</v>
      </c>
    </row>
    <row r="1765" spans="1:12" x14ac:dyDescent="0.25">
      <c r="A1765" s="1">
        <v>42790</v>
      </c>
      <c r="B1765" s="6">
        <v>166.6627</v>
      </c>
      <c r="C1765" s="6">
        <v>11.3406</v>
      </c>
      <c r="D1765" s="6">
        <v>9750.4699999999993</v>
      </c>
      <c r="E1765" s="6">
        <v>0.66</v>
      </c>
      <c r="F1765" s="6">
        <f t="shared" si="189"/>
        <v>7.3333333333333341E-3</v>
      </c>
      <c r="G1765">
        <f t="shared" si="190"/>
        <v>0.26524799996149673</v>
      </c>
      <c r="H1765">
        <f t="shared" si="191"/>
        <v>8.5110658208226866</v>
      </c>
      <c r="I1765">
        <f t="shared" si="192"/>
        <v>-0.1928488296512256</v>
      </c>
      <c r="J1765">
        <f t="shared" si="193"/>
        <v>0.18147550590470951</v>
      </c>
      <c r="K1765">
        <f t="shared" si="194"/>
        <v>0.25791466662816337</v>
      </c>
      <c r="L1765">
        <f t="shared" si="195"/>
        <v>-0.20018216298455893</v>
      </c>
    </row>
    <row r="1766" spans="1:12" x14ac:dyDescent="0.25">
      <c r="A1766" s="1">
        <v>42795</v>
      </c>
      <c r="B1766" s="6">
        <v>164.0172</v>
      </c>
      <c r="C1766" s="6">
        <v>11.029299999999999</v>
      </c>
      <c r="D1766" s="6">
        <v>9674.7800000000007</v>
      </c>
      <c r="E1766" s="6">
        <v>0.66</v>
      </c>
      <c r="F1766" s="6">
        <f t="shared" si="189"/>
        <v>7.3333333333333341E-3</v>
      </c>
      <c r="G1766">
        <f t="shared" si="190"/>
        <v>-1.5873377786391307</v>
      </c>
      <c r="H1766">
        <f t="shared" si="191"/>
        <v>-2.7450046734740754</v>
      </c>
      <c r="I1766">
        <f t="shared" si="192"/>
        <v>-0.77627027209969057</v>
      </c>
      <c r="J1766">
        <f t="shared" si="193"/>
        <v>-1.1220523073782724</v>
      </c>
      <c r="K1766">
        <f t="shared" si="194"/>
        <v>-1.5946711119724641</v>
      </c>
      <c r="L1766">
        <f t="shared" si="195"/>
        <v>-0.78360360543302388</v>
      </c>
    </row>
    <row r="1767" spans="1:12" x14ac:dyDescent="0.25">
      <c r="A1767" s="1">
        <v>42796</v>
      </c>
      <c r="B1767" s="6">
        <v>164.0172</v>
      </c>
      <c r="C1767" s="6">
        <v>10.940300000000001</v>
      </c>
      <c r="D1767" s="6">
        <v>9691.7999999999993</v>
      </c>
      <c r="E1767" s="6">
        <v>0.66</v>
      </c>
      <c r="F1767" s="6">
        <f t="shared" si="189"/>
        <v>7.3333333333333341E-3</v>
      </c>
      <c r="G1767">
        <f t="shared" si="190"/>
        <v>0</v>
      </c>
      <c r="H1767">
        <f t="shared" si="191"/>
        <v>-0.80694151034062578</v>
      </c>
      <c r="I1767">
        <f t="shared" si="192"/>
        <v>0.17592131293940139</v>
      </c>
      <c r="J1767">
        <f t="shared" si="193"/>
        <v>-5.1599251567697223E-3</v>
      </c>
      <c r="K1767">
        <f t="shared" si="194"/>
        <v>-7.3333333333333341E-3</v>
      </c>
      <c r="L1767">
        <f t="shared" si="195"/>
        <v>0.16858797960606806</v>
      </c>
    </row>
    <row r="1768" spans="1:12" x14ac:dyDescent="0.25">
      <c r="A1768" s="1">
        <v>42797</v>
      </c>
      <c r="B1768" s="6">
        <v>162.25360000000001</v>
      </c>
      <c r="C1768" s="6">
        <v>10.806900000000001</v>
      </c>
      <c r="D1768" s="6">
        <v>9648.2099999999991</v>
      </c>
      <c r="E1768" s="6">
        <v>0.66</v>
      </c>
      <c r="F1768" s="6">
        <f t="shared" si="189"/>
        <v>7.3333333333333341E-3</v>
      </c>
      <c r="G1768">
        <f t="shared" si="190"/>
        <v>-1.0752530832132219</v>
      </c>
      <c r="H1768">
        <f t="shared" si="191"/>
        <v>-1.2193449905395644</v>
      </c>
      <c r="I1768">
        <f t="shared" si="192"/>
        <v>-0.44976165418188724</v>
      </c>
      <c r="J1768">
        <f t="shared" si="193"/>
        <v>-0.7617361206976031</v>
      </c>
      <c r="K1768">
        <f t="shared" si="194"/>
        <v>-1.0825864165465553</v>
      </c>
      <c r="L1768">
        <f t="shared" si="195"/>
        <v>-0.4570949875152206</v>
      </c>
    </row>
    <row r="1769" spans="1:12" x14ac:dyDescent="0.25">
      <c r="A1769" s="1">
        <v>42800</v>
      </c>
      <c r="B1769" s="6">
        <v>161.81270000000001</v>
      </c>
      <c r="C1769" s="6">
        <v>10.762499999999999</v>
      </c>
      <c r="D1769" s="6">
        <v>9682.6299999999992</v>
      </c>
      <c r="E1769" s="6">
        <v>0.66</v>
      </c>
      <c r="F1769" s="6">
        <f t="shared" si="189"/>
        <v>7.3333333333333341E-3</v>
      </c>
      <c r="G1769">
        <f t="shared" si="190"/>
        <v>-0.27173511096209835</v>
      </c>
      <c r="H1769">
        <f t="shared" si="191"/>
        <v>-0.41084862448992149</v>
      </c>
      <c r="I1769">
        <f t="shared" si="192"/>
        <v>0.35675011219697828</v>
      </c>
      <c r="J1769">
        <f t="shared" si="193"/>
        <v>-0.19635985720644381</v>
      </c>
      <c r="K1769">
        <f t="shared" si="194"/>
        <v>-0.27906844429543171</v>
      </c>
      <c r="L1769">
        <f t="shared" si="195"/>
        <v>0.34941677886364492</v>
      </c>
    </row>
    <row r="1770" spans="1:12" x14ac:dyDescent="0.25">
      <c r="A1770" s="1">
        <v>42801</v>
      </c>
      <c r="B1770" s="6">
        <v>163.5763</v>
      </c>
      <c r="C1770" s="6">
        <v>11.0738</v>
      </c>
      <c r="D1770" s="6">
        <v>9738.07</v>
      </c>
      <c r="E1770" s="6">
        <v>0.66</v>
      </c>
      <c r="F1770" s="6">
        <f t="shared" si="189"/>
        <v>7.3333333333333341E-3</v>
      </c>
      <c r="G1770">
        <f t="shared" si="190"/>
        <v>1.0899020905034009</v>
      </c>
      <c r="H1770">
        <f t="shared" si="191"/>
        <v>2.8924506387921118</v>
      </c>
      <c r="I1770">
        <f t="shared" si="192"/>
        <v>0.57257170830652948</v>
      </c>
      <c r="J1770">
        <f t="shared" si="193"/>
        <v>0.7617236950983769</v>
      </c>
      <c r="K1770">
        <f t="shared" si="194"/>
        <v>1.0825687571700675</v>
      </c>
      <c r="L1770">
        <f t="shared" si="195"/>
        <v>0.56523837497319618</v>
      </c>
    </row>
    <row r="1771" spans="1:12" x14ac:dyDescent="0.25">
      <c r="A1771" s="1">
        <v>42802</v>
      </c>
      <c r="B1771" s="6">
        <v>164.899</v>
      </c>
      <c r="C1771" s="6">
        <v>10.895899999999999</v>
      </c>
      <c r="D1771" s="6">
        <v>9753.4500000000007</v>
      </c>
      <c r="E1771" s="6">
        <v>0.66</v>
      </c>
      <c r="F1771" s="6">
        <f t="shared" si="189"/>
        <v>7.3333333333333341E-3</v>
      </c>
      <c r="G1771">
        <f t="shared" si="190"/>
        <v>0.80861347273412931</v>
      </c>
      <c r="H1771">
        <f t="shared" si="191"/>
        <v>-1.6064946088966845</v>
      </c>
      <c r="I1771">
        <f t="shared" si="192"/>
        <v>0.15793683964071956</v>
      </c>
      <c r="J1771">
        <f t="shared" si="193"/>
        <v>0.56380166576101598</v>
      </c>
      <c r="K1771">
        <f t="shared" si="194"/>
        <v>0.80128013940079601</v>
      </c>
      <c r="L1771">
        <f t="shared" si="195"/>
        <v>0.15060350630738623</v>
      </c>
    </row>
    <row r="1772" spans="1:12" x14ac:dyDescent="0.25">
      <c r="A1772" s="1">
        <v>42803</v>
      </c>
      <c r="B1772" s="6">
        <v>162.69450000000001</v>
      </c>
      <c r="C1772" s="6">
        <v>10.762499999999999</v>
      </c>
      <c r="D1772" s="6">
        <v>9658.61</v>
      </c>
      <c r="E1772" s="6">
        <v>0.66</v>
      </c>
      <c r="F1772" s="6">
        <f t="shared" si="189"/>
        <v>7.3333333333333341E-3</v>
      </c>
      <c r="G1772">
        <f t="shared" si="190"/>
        <v>-1.3368789380166015</v>
      </c>
      <c r="H1772">
        <f t="shared" si="191"/>
        <v>-1.2243137326884421</v>
      </c>
      <c r="I1772">
        <f t="shared" si="192"/>
        <v>-0.97237387796113317</v>
      </c>
      <c r="J1772">
        <f t="shared" si="193"/>
        <v>-0.94582291567869503</v>
      </c>
      <c r="K1772">
        <f t="shared" si="194"/>
        <v>-1.3442122713499349</v>
      </c>
      <c r="L1772">
        <f t="shared" si="195"/>
        <v>-0.97970721129446647</v>
      </c>
    </row>
    <row r="1773" spans="1:12" x14ac:dyDescent="0.25">
      <c r="A1773" s="1">
        <v>42804</v>
      </c>
      <c r="B1773" s="6">
        <v>161.81270000000001</v>
      </c>
      <c r="C1773" s="6">
        <v>10.762499999999999</v>
      </c>
      <c r="D1773" s="6">
        <v>9627.89</v>
      </c>
      <c r="E1773" s="6">
        <v>0.66</v>
      </c>
      <c r="F1773" s="6">
        <f t="shared" si="189"/>
        <v>7.3333333333333341E-3</v>
      </c>
      <c r="G1773">
        <f t="shared" si="190"/>
        <v>-0.5419974246209911</v>
      </c>
      <c r="H1773">
        <f t="shared" si="191"/>
        <v>0</v>
      </c>
      <c r="I1773">
        <f t="shared" si="192"/>
        <v>-0.31805818849711465</v>
      </c>
      <c r="J1773">
        <f t="shared" si="193"/>
        <v>-0.38652349054853147</v>
      </c>
      <c r="K1773">
        <f t="shared" si="194"/>
        <v>-0.5493307579543244</v>
      </c>
      <c r="L1773">
        <f t="shared" si="195"/>
        <v>-0.32539152183044801</v>
      </c>
    </row>
    <row r="1774" spans="1:12" x14ac:dyDescent="0.25">
      <c r="A1774" s="1">
        <v>42807</v>
      </c>
      <c r="B1774" s="6">
        <v>164.4581</v>
      </c>
      <c r="C1774" s="6">
        <v>10.8514</v>
      </c>
      <c r="D1774" s="6">
        <v>9697.34</v>
      </c>
      <c r="E1774" s="6">
        <v>0.66</v>
      </c>
      <c r="F1774" s="6">
        <f t="shared" si="189"/>
        <v>7.3333333333333341E-3</v>
      </c>
      <c r="G1774">
        <f t="shared" si="190"/>
        <v>1.6348531357551015</v>
      </c>
      <c r="H1774">
        <f t="shared" si="191"/>
        <v>0.82601626016260765</v>
      </c>
      <c r="I1774">
        <f t="shared" si="192"/>
        <v>0.72134185164143683</v>
      </c>
      <c r="J1774">
        <f t="shared" si="193"/>
        <v>1.1451655052259502</v>
      </c>
      <c r="K1774">
        <f t="shared" si="194"/>
        <v>1.6275198024217681</v>
      </c>
      <c r="L1774">
        <f t="shared" si="195"/>
        <v>0.71400851830810352</v>
      </c>
    </row>
    <row r="1775" spans="1:12" x14ac:dyDescent="0.25">
      <c r="A1775" s="1">
        <v>42808</v>
      </c>
      <c r="B1775" s="6">
        <v>164.0172</v>
      </c>
      <c r="C1775" s="6">
        <v>10.8514</v>
      </c>
      <c r="D1775" s="6">
        <v>9744.2099999999991</v>
      </c>
      <c r="E1775" s="6">
        <v>0.66</v>
      </c>
      <c r="F1775" s="6">
        <f t="shared" si="189"/>
        <v>7.3333333333333341E-3</v>
      </c>
      <c r="G1775">
        <f t="shared" si="190"/>
        <v>-0.26809260231025361</v>
      </c>
      <c r="H1775">
        <f t="shared" si="191"/>
        <v>0</v>
      </c>
      <c r="I1775">
        <f t="shared" si="192"/>
        <v>0.48332841789603109</v>
      </c>
      <c r="J1775">
        <f t="shared" si="193"/>
        <v>-0.19379689283920676</v>
      </c>
      <c r="K1775">
        <f t="shared" si="194"/>
        <v>-0.27542593564358697</v>
      </c>
      <c r="L1775">
        <f t="shared" si="195"/>
        <v>0.47599508456269773</v>
      </c>
    </row>
    <row r="1776" spans="1:12" x14ac:dyDescent="0.25">
      <c r="A1776" s="1">
        <v>42809</v>
      </c>
      <c r="B1776" s="6">
        <v>164.4581</v>
      </c>
      <c r="C1776" s="6">
        <v>10.895899999999999</v>
      </c>
      <c r="D1776" s="6">
        <v>9740.31</v>
      </c>
      <c r="E1776" s="6">
        <v>0.66</v>
      </c>
      <c r="F1776" s="6">
        <f t="shared" si="189"/>
        <v>7.3333333333333341E-3</v>
      </c>
      <c r="G1776">
        <f t="shared" si="190"/>
        <v>0.26881327080330547</v>
      </c>
      <c r="H1776">
        <f t="shared" si="191"/>
        <v>0.41008533461119595</v>
      </c>
      <c r="I1776">
        <f t="shared" si="192"/>
        <v>-4.0023767960662142E-2</v>
      </c>
      <c r="J1776">
        <f t="shared" si="193"/>
        <v>0.18398412372843859</v>
      </c>
      <c r="K1776">
        <f t="shared" si="194"/>
        <v>0.26147993746997211</v>
      </c>
      <c r="L1776">
        <f t="shared" si="195"/>
        <v>-4.7357101293995479E-2</v>
      </c>
    </row>
    <row r="1777" spans="1:12" x14ac:dyDescent="0.25">
      <c r="A1777" s="1">
        <v>42810</v>
      </c>
      <c r="B1777" s="6">
        <v>167.5445</v>
      </c>
      <c r="C1777" s="6">
        <v>11.029299999999999</v>
      </c>
      <c r="D1777" s="6">
        <v>9837.83</v>
      </c>
      <c r="E1777" s="6">
        <v>0.66</v>
      </c>
      <c r="F1777" s="6">
        <f t="shared" si="189"/>
        <v>7.3333333333333341E-3</v>
      </c>
      <c r="G1777">
        <f t="shared" si="190"/>
        <v>1.8767090219332447</v>
      </c>
      <c r="H1777">
        <f t="shared" si="191"/>
        <v>1.2243137326884421</v>
      </c>
      <c r="I1777">
        <f t="shared" si="192"/>
        <v>1.0012001671404753</v>
      </c>
      <c r="J1777">
        <f t="shared" si="193"/>
        <v>1.3153416331446006</v>
      </c>
      <c r="K1777">
        <f t="shared" si="194"/>
        <v>1.8693756885999113</v>
      </c>
      <c r="L1777">
        <f t="shared" si="195"/>
        <v>0.99386683380714202</v>
      </c>
    </row>
    <row r="1778" spans="1:12" x14ac:dyDescent="0.25">
      <c r="A1778" s="1">
        <v>42811</v>
      </c>
      <c r="B1778" s="6">
        <v>168.8672</v>
      </c>
      <c r="C1778" s="6">
        <v>11.029299999999999</v>
      </c>
      <c r="D1778" s="6">
        <v>9908.69</v>
      </c>
      <c r="E1778" s="6">
        <v>0.66</v>
      </c>
      <c r="F1778" s="6">
        <f t="shared" si="189"/>
        <v>7.3333333333333341E-3</v>
      </c>
      <c r="G1778">
        <f t="shared" si="190"/>
        <v>0.78946190415083606</v>
      </c>
      <c r="H1778">
        <f t="shared" si="191"/>
        <v>0</v>
      </c>
      <c r="I1778">
        <f t="shared" si="192"/>
        <v>0.7202807936303085</v>
      </c>
      <c r="J1778">
        <f t="shared" si="193"/>
        <v>0.55032612114403379</v>
      </c>
      <c r="K1778">
        <f t="shared" si="194"/>
        <v>0.78212857081750276</v>
      </c>
      <c r="L1778">
        <f t="shared" si="195"/>
        <v>0.7129474602969752</v>
      </c>
    </row>
    <row r="1779" spans="1:12" x14ac:dyDescent="0.25">
      <c r="A1779" s="1">
        <v>42814</v>
      </c>
      <c r="B1779" s="6">
        <v>168.8672</v>
      </c>
      <c r="C1779" s="6">
        <v>10.940300000000001</v>
      </c>
      <c r="D1779" s="6">
        <v>9912.9699999999993</v>
      </c>
      <c r="E1779" s="6">
        <v>0.66</v>
      </c>
      <c r="F1779" s="6">
        <f t="shared" si="189"/>
        <v>7.3333333333333341E-3</v>
      </c>
      <c r="G1779">
        <f t="shared" si="190"/>
        <v>0</v>
      </c>
      <c r="H1779">
        <f t="shared" si="191"/>
        <v>-0.80694151034062578</v>
      </c>
      <c r="I1779">
        <f t="shared" si="192"/>
        <v>4.3194408140721285E-2</v>
      </c>
      <c r="J1779">
        <f t="shared" si="193"/>
        <v>-5.1599251567697223E-3</v>
      </c>
      <c r="K1779">
        <f t="shared" si="194"/>
        <v>-7.3333333333333341E-3</v>
      </c>
      <c r="L1779">
        <f t="shared" si="195"/>
        <v>3.5861074807387955E-2</v>
      </c>
    </row>
    <row r="1780" spans="1:12" x14ac:dyDescent="0.25">
      <c r="A1780" s="1">
        <v>42815</v>
      </c>
      <c r="B1780" s="6">
        <v>171.95349999999999</v>
      </c>
      <c r="C1780" s="6">
        <v>10.940300000000001</v>
      </c>
      <c r="D1780" s="6">
        <v>9972.49</v>
      </c>
      <c r="E1780" s="6">
        <v>0.66</v>
      </c>
      <c r="F1780" s="6">
        <f t="shared" si="189"/>
        <v>7.3333333333333341E-3</v>
      </c>
      <c r="G1780">
        <f t="shared" si="190"/>
        <v>1.8276491823160415</v>
      </c>
      <c r="H1780">
        <f t="shared" si="191"/>
        <v>0</v>
      </c>
      <c r="I1780">
        <f t="shared" si="192"/>
        <v>0.60042550315395327</v>
      </c>
      <c r="J1780">
        <f t="shared" si="193"/>
        <v>1.2808218466953423</v>
      </c>
      <c r="K1780">
        <f t="shared" si="194"/>
        <v>1.820315848982708</v>
      </c>
      <c r="L1780">
        <f t="shared" si="195"/>
        <v>0.59309216982061996</v>
      </c>
    </row>
    <row r="1781" spans="1:12" x14ac:dyDescent="0.25">
      <c r="A1781" s="1">
        <v>42816</v>
      </c>
      <c r="B1781" s="6">
        <v>170.63079999999999</v>
      </c>
      <c r="C1781" s="6">
        <v>10.8514</v>
      </c>
      <c r="D1781" s="6">
        <v>9922.66</v>
      </c>
      <c r="E1781" s="6">
        <v>0.66</v>
      </c>
      <c r="F1781" s="6">
        <f t="shared" si="189"/>
        <v>7.3333333333333341E-3</v>
      </c>
      <c r="G1781">
        <f t="shared" si="190"/>
        <v>-0.76921958552748138</v>
      </c>
      <c r="H1781">
        <f t="shared" si="191"/>
        <v>-0.81259197645403358</v>
      </c>
      <c r="I1781">
        <f t="shared" si="192"/>
        <v>-0.49967460483790838</v>
      </c>
      <c r="J1781">
        <f t="shared" si="193"/>
        <v>-0.54640294658084654</v>
      </c>
      <c r="K1781">
        <f t="shared" si="194"/>
        <v>-0.77655291886081468</v>
      </c>
      <c r="L1781">
        <f t="shared" si="195"/>
        <v>-0.50700793817124168</v>
      </c>
    </row>
    <row r="1782" spans="1:12" x14ac:dyDescent="0.25">
      <c r="A1782" s="1">
        <v>42817</v>
      </c>
      <c r="B1782" s="6">
        <v>170.63079999999999</v>
      </c>
      <c r="C1782" s="6">
        <v>11.029299999999999</v>
      </c>
      <c r="D1782" s="6">
        <v>9930.74</v>
      </c>
      <c r="E1782" s="6">
        <v>0.66</v>
      </c>
      <c r="F1782" s="6">
        <f t="shared" si="189"/>
        <v>7.3333333333333341E-3</v>
      </c>
      <c r="G1782">
        <f t="shared" si="190"/>
        <v>0</v>
      </c>
      <c r="H1782">
        <f t="shared" si="191"/>
        <v>1.6394197983670245</v>
      </c>
      <c r="I1782">
        <f t="shared" si="192"/>
        <v>8.1429777902295622E-2</v>
      </c>
      <c r="J1782">
        <f t="shared" si="193"/>
        <v>-5.1599251567697223E-3</v>
      </c>
      <c r="K1782">
        <f t="shared" si="194"/>
        <v>-7.3333333333333341E-3</v>
      </c>
      <c r="L1782">
        <f t="shared" si="195"/>
        <v>7.4096444568962291E-2</v>
      </c>
    </row>
    <row r="1783" spans="1:12" x14ac:dyDescent="0.25">
      <c r="A1783" s="1">
        <v>42818</v>
      </c>
      <c r="B1783" s="6">
        <v>169.749</v>
      </c>
      <c r="C1783" s="6">
        <v>10.895899999999999</v>
      </c>
      <c r="D1783" s="6">
        <v>9902.98</v>
      </c>
      <c r="E1783" s="6">
        <v>0.66</v>
      </c>
      <c r="F1783" s="6">
        <f t="shared" si="189"/>
        <v>7.3333333333333341E-3</v>
      </c>
      <c r="G1783">
        <f t="shared" si="190"/>
        <v>-0.51678829378986579</v>
      </c>
      <c r="H1783">
        <f t="shared" si="191"/>
        <v>-1.2095055896566416</v>
      </c>
      <c r="I1783">
        <f t="shared" si="192"/>
        <v>-0.27953606679864962</v>
      </c>
      <c r="J1783">
        <f t="shared" si="193"/>
        <v>-0.36878568668182837</v>
      </c>
      <c r="K1783">
        <f t="shared" si="194"/>
        <v>-0.5241216271231991</v>
      </c>
      <c r="L1783">
        <f t="shared" si="195"/>
        <v>-0.28686940013198298</v>
      </c>
    </row>
    <row r="1784" spans="1:12" x14ac:dyDescent="0.25">
      <c r="A1784" s="1">
        <v>42821</v>
      </c>
      <c r="B1784" s="6">
        <v>170.18989999999999</v>
      </c>
      <c r="C1784" s="6">
        <v>10.895899999999999</v>
      </c>
      <c r="D1784" s="6">
        <v>9876.77</v>
      </c>
      <c r="E1784" s="6">
        <v>0.66</v>
      </c>
      <c r="F1784" s="6">
        <f t="shared" si="189"/>
        <v>7.3333333333333341E-3</v>
      </c>
      <c r="G1784">
        <f t="shared" si="190"/>
        <v>0.25973643438252902</v>
      </c>
      <c r="H1784">
        <f t="shared" si="191"/>
        <v>0</v>
      </c>
      <c r="I1784">
        <f t="shared" si="192"/>
        <v>-0.26466780706412746</v>
      </c>
      <c r="J1784">
        <f t="shared" si="193"/>
        <v>0.17759742419324112</v>
      </c>
      <c r="K1784">
        <f t="shared" si="194"/>
        <v>0.25240310104919567</v>
      </c>
      <c r="L1784">
        <f t="shared" si="195"/>
        <v>-0.27200114039746082</v>
      </c>
    </row>
    <row r="1785" spans="1:12" x14ac:dyDescent="0.25">
      <c r="A1785" s="1">
        <v>42822</v>
      </c>
      <c r="B1785" s="6">
        <v>171.51259999999999</v>
      </c>
      <c r="C1785" s="6">
        <v>10.762499999999999</v>
      </c>
      <c r="D1785" s="6">
        <v>9876.4500000000007</v>
      </c>
      <c r="E1785" s="6">
        <v>0.66</v>
      </c>
      <c r="F1785" s="6">
        <f t="shared" si="189"/>
        <v>7.3333333333333341E-3</v>
      </c>
      <c r="G1785">
        <f t="shared" si="190"/>
        <v>0.7771906558497288</v>
      </c>
      <c r="H1785">
        <f t="shared" si="191"/>
        <v>-1.2243137326884421</v>
      </c>
      <c r="I1785">
        <f t="shared" si="192"/>
        <v>-3.2399256032053896E-3</v>
      </c>
      <c r="J1785">
        <f t="shared" si="193"/>
        <v>0.54169174985123592</v>
      </c>
      <c r="K1785">
        <f t="shared" si="194"/>
        <v>0.76985732251639549</v>
      </c>
      <c r="L1785">
        <f t="shared" si="195"/>
        <v>-1.0573258936538724E-2</v>
      </c>
    </row>
    <row r="1786" spans="1:12" x14ac:dyDescent="0.25">
      <c r="A1786" s="1">
        <v>42823</v>
      </c>
      <c r="B1786" s="6">
        <v>168.8672</v>
      </c>
      <c r="C1786" s="6">
        <v>10.762499999999999</v>
      </c>
      <c r="D1786" s="6">
        <v>9856.25</v>
      </c>
      <c r="E1786" s="6">
        <v>0.66</v>
      </c>
      <c r="F1786" s="6">
        <f t="shared" si="189"/>
        <v>7.3333333333333341E-3</v>
      </c>
      <c r="G1786">
        <f t="shared" si="190"/>
        <v>-1.5423939698890898</v>
      </c>
      <c r="H1786">
        <f t="shared" si="191"/>
        <v>0</v>
      </c>
      <c r="I1786">
        <f t="shared" si="192"/>
        <v>-0.20452693022291132</v>
      </c>
      <c r="J1786">
        <f t="shared" si="193"/>
        <v>-1.09042866791322</v>
      </c>
      <c r="K1786">
        <f t="shared" si="194"/>
        <v>-1.5497273032224232</v>
      </c>
      <c r="L1786">
        <f t="shared" si="195"/>
        <v>-0.21186026355624465</v>
      </c>
    </row>
    <row r="1787" spans="1:12" x14ac:dyDescent="0.25">
      <c r="A1787" s="1">
        <v>42824</v>
      </c>
      <c r="B1787" s="6">
        <v>168.8672</v>
      </c>
      <c r="C1787" s="6">
        <v>10.8514</v>
      </c>
      <c r="D1787" s="6">
        <v>9848.15</v>
      </c>
      <c r="E1787" s="6">
        <v>0.66</v>
      </c>
      <c r="F1787" s="6">
        <f t="shared" si="189"/>
        <v>7.3333333333333341E-3</v>
      </c>
      <c r="G1787">
        <f t="shared" si="190"/>
        <v>0</v>
      </c>
      <c r="H1787">
        <f t="shared" si="191"/>
        <v>0.82601626016260765</v>
      </c>
      <c r="I1787">
        <f t="shared" si="192"/>
        <v>-8.2181357006978956E-2</v>
      </c>
      <c r="J1787">
        <f t="shared" si="193"/>
        <v>-5.1599251567697223E-3</v>
      </c>
      <c r="K1787">
        <f t="shared" si="194"/>
        <v>-7.3333333333333341E-3</v>
      </c>
      <c r="L1787">
        <f t="shared" si="195"/>
        <v>-8.9514690340312286E-2</v>
      </c>
    </row>
    <row r="1788" spans="1:12" x14ac:dyDescent="0.25">
      <c r="A1788" s="1">
        <v>42825</v>
      </c>
      <c r="B1788" s="6">
        <v>166.6627</v>
      </c>
      <c r="C1788" s="6">
        <v>10.8514</v>
      </c>
      <c r="D1788" s="6">
        <v>9811.52</v>
      </c>
      <c r="E1788" s="6">
        <v>0.66</v>
      </c>
      <c r="F1788" s="6">
        <f t="shared" si="189"/>
        <v>7.3333333333333341E-3</v>
      </c>
      <c r="G1788">
        <f t="shared" si="190"/>
        <v>-1.3054637016543154</v>
      </c>
      <c r="H1788">
        <f t="shared" si="191"/>
        <v>0</v>
      </c>
      <c r="I1788">
        <f t="shared" si="192"/>
        <v>-0.37194803084842537</v>
      </c>
      <c r="J1788">
        <f t="shared" si="193"/>
        <v>-0.92371833362256406</v>
      </c>
      <c r="K1788">
        <f t="shared" si="194"/>
        <v>-1.3127970349876488</v>
      </c>
      <c r="L1788">
        <f t="shared" si="195"/>
        <v>-0.37928136418175873</v>
      </c>
    </row>
    <row r="1789" spans="1:12" x14ac:dyDescent="0.25">
      <c r="A1789" s="1">
        <v>42830</v>
      </c>
      <c r="B1789" s="6">
        <v>170.18989999999999</v>
      </c>
      <c r="C1789" s="6">
        <v>10.895899999999999</v>
      </c>
      <c r="D1789" s="6">
        <v>9949.48</v>
      </c>
      <c r="E1789" s="6">
        <v>0.66</v>
      </c>
      <c r="F1789" s="6">
        <f t="shared" si="189"/>
        <v>7.3333333333333341E-3</v>
      </c>
      <c r="G1789">
        <f t="shared" si="190"/>
        <v>2.1163703696147929</v>
      </c>
      <c r="H1789">
        <f t="shared" si="191"/>
        <v>0.41008533461119595</v>
      </c>
      <c r="I1789">
        <f t="shared" si="192"/>
        <v>1.4061022145396342</v>
      </c>
      <c r="J1789">
        <f t="shared" si="193"/>
        <v>1.4839736263728762</v>
      </c>
      <c r="K1789">
        <f t="shared" si="194"/>
        <v>2.1090370362814594</v>
      </c>
      <c r="L1789">
        <f t="shared" si="195"/>
        <v>1.3987688812063008</v>
      </c>
    </row>
    <row r="1790" spans="1:12" x14ac:dyDescent="0.25">
      <c r="A1790" s="1">
        <v>42831</v>
      </c>
      <c r="B1790" s="6">
        <v>168.8672</v>
      </c>
      <c r="C1790" s="6">
        <v>10.8514</v>
      </c>
      <c r="D1790" s="6">
        <v>9897.7999999999993</v>
      </c>
      <c r="E1790" s="6">
        <v>0.66</v>
      </c>
      <c r="F1790" s="6">
        <f t="shared" si="189"/>
        <v>7.3333333333333341E-3</v>
      </c>
      <c r="G1790">
        <f t="shared" si="190"/>
        <v>-0.7771906558497288</v>
      </c>
      <c r="H1790">
        <f t="shared" si="191"/>
        <v>-0.40841050303324483</v>
      </c>
      <c r="I1790">
        <f t="shared" si="192"/>
        <v>-0.51942413070834148</v>
      </c>
      <c r="J1790">
        <f t="shared" si="193"/>
        <v>-0.55201160016477535</v>
      </c>
      <c r="K1790">
        <f t="shared" si="194"/>
        <v>-0.7845239891830621</v>
      </c>
      <c r="L1790">
        <f t="shared" si="195"/>
        <v>-0.52675746404167478</v>
      </c>
    </row>
    <row r="1791" spans="1:12" x14ac:dyDescent="0.25">
      <c r="A1791" s="1">
        <v>42832</v>
      </c>
      <c r="B1791" s="6">
        <v>168.4263</v>
      </c>
      <c r="C1791" s="6">
        <v>10.806900000000001</v>
      </c>
      <c r="D1791" s="6">
        <v>9873.3700000000008</v>
      </c>
      <c r="E1791" s="6">
        <v>0.66</v>
      </c>
      <c r="F1791" s="6">
        <f t="shared" si="189"/>
        <v>7.3333333333333341E-3</v>
      </c>
      <c r="G1791">
        <f t="shared" si="190"/>
        <v>-0.26109274033086305</v>
      </c>
      <c r="H1791">
        <f t="shared" si="191"/>
        <v>-0.41008533461119595</v>
      </c>
      <c r="I1791">
        <f t="shared" si="192"/>
        <v>-0.24682252621793199</v>
      </c>
      <c r="J1791">
        <f t="shared" si="193"/>
        <v>-0.18887160684992857</v>
      </c>
      <c r="K1791">
        <f t="shared" si="194"/>
        <v>-0.26842607366419641</v>
      </c>
      <c r="L1791">
        <f t="shared" si="195"/>
        <v>-0.25415585955126535</v>
      </c>
    </row>
    <row r="1792" spans="1:12" x14ac:dyDescent="0.25">
      <c r="A1792" s="1">
        <v>42835</v>
      </c>
      <c r="B1792" s="6">
        <v>167.5445</v>
      </c>
      <c r="C1792" s="6">
        <v>10.806900000000001</v>
      </c>
      <c r="D1792" s="6">
        <v>9882.5400000000009</v>
      </c>
      <c r="E1792" s="6">
        <v>0.66</v>
      </c>
      <c r="F1792" s="6">
        <f t="shared" si="189"/>
        <v>7.3333333333333341E-3</v>
      </c>
      <c r="G1792">
        <f t="shared" si="190"/>
        <v>-0.52355243806935048</v>
      </c>
      <c r="H1792">
        <f t="shared" si="191"/>
        <v>0</v>
      </c>
      <c r="I1792">
        <f t="shared" si="192"/>
        <v>9.2876089926743066E-2</v>
      </c>
      <c r="J1792">
        <f t="shared" si="193"/>
        <v>-0.37354511553161018</v>
      </c>
      <c r="K1792">
        <f t="shared" si="194"/>
        <v>-0.53088577140268378</v>
      </c>
      <c r="L1792">
        <f t="shared" si="195"/>
        <v>8.5542756593409736E-2</v>
      </c>
    </row>
    <row r="1793" spans="1:12" x14ac:dyDescent="0.25">
      <c r="A1793" s="1">
        <v>42836</v>
      </c>
      <c r="B1793" s="6">
        <v>168.4263</v>
      </c>
      <c r="C1793" s="6">
        <v>10.806900000000001</v>
      </c>
      <c r="D1793" s="6">
        <v>9832.42</v>
      </c>
      <c r="E1793" s="6">
        <v>0.66</v>
      </c>
      <c r="F1793" s="6">
        <f t="shared" si="189"/>
        <v>7.3333333333333341E-3</v>
      </c>
      <c r="G1793">
        <f t="shared" si="190"/>
        <v>0.52630793610055737</v>
      </c>
      <c r="H1793">
        <f t="shared" si="191"/>
        <v>0</v>
      </c>
      <c r="I1793">
        <f t="shared" si="192"/>
        <v>-0.50715706690790829</v>
      </c>
      <c r="J1793">
        <f t="shared" si="193"/>
        <v>0.36516410571043267</v>
      </c>
      <c r="K1793">
        <f t="shared" si="194"/>
        <v>0.51897460276722407</v>
      </c>
      <c r="L1793">
        <f t="shared" si="195"/>
        <v>-0.5144904002412416</v>
      </c>
    </row>
    <row r="1794" spans="1:12" x14ac:dyDescent="0.25">
      <c r="A1794" s="1">
        <v>42837</v>
      </c>
      <c r="B1794" s="6">
        <v>168.4263</v>
      </c>
      <c r="C1794" s="6">
        <v>10.673500000000001</v>
      </c>
      <c r="D1794" s="6">
        <v>9817.68</v>
      </c>
      <c r="E1794" s="6">
        <v>0.66</v>
      </c>
      <c r="F1794" s="6">
        <f t="shared" si="189"/>
        <v>7.3333333333333341E-3</v>
      </c>
      <c r="G1794">
        <f t="shared" si="190"/>
        <v>0</v>
      </c>
      <c r="H1794">
        <f t="shared" si="191"/>
        <v>-1.2343965429494115</v>
      </c>
      <c r="I1794">
        <f t="shared" si="192"/>
        <v>-0.1499122291358565</v>
      </c>
      <c r="J1794">
        <f t="shared" si="193"/>
        <v>-5.1599251567697223E-3</v>
      </c>
      <c r="K1794">
        <f t="shared" si="194"/>
        <v>-7.3333333333333341E-3</v>
      </c>
      <c r="L1794">
        <f t="shared" si="195"/>
        <v>-0.15724556246918983</v>
      </c>
    </row>
    <row r="1795" spans="1:12" x14ac:dyDescent="0.25">
      <c r="A1795" s="1">
        <v>42838</v>
      </c>
      <c r="B1795" s="6">
        <v>168.8672</v>
      </c>
      <c r="C1795" s="6">
        <v>10.762499999999999</v>
      </c>
      <c r="D1795" s="6">
        <v>9836.68</v>
      </c>
      <c r="E1795" s="6">
        <v>0.66</v>
      </c>
      <c r="F1795" s="6">
        <f t="shared" ref="F1795:F1858" si="196">E1795/90</f>
        <v>7.3333333333333341E-3</v>
      </c>
      <c r="G1795">
        <f t="shared" si="190"/>
        <v>0.26177621903467524</v>
      </c>
      <c r="H1795">
        <f t="shared" si="191"/>
        <v>0.83384082072421073</v>
      </c>
      <c r="I1795">
        <f t="shared" si="192"/>
        <v>0.19352840997058368</v>
      </c>
      <c r="J1795">
        <f t="shared" si="193"/>
        <v>0.17903267003065049</v>
      </c>
      <c r="K1795">
        <f t="shared" si="194"/>
        <v>0.25444288570134188</v>
      </c>
      <c r="L1795">
        <f t="shared" si="195"/>
        <v>0.18619507663725035</v>
      </c>
    </row>
    <row r="1796" spans="1:12" x14ac:dyDescent="0.25">
      <c r="A1796" s="1">
        <v>42839</v>
      </c>
      <c r="B1796" s="6">
        <v>166.6627</v>
      </c>
      <c r="C1796" s="6">
        <v>10.673500000000001</v>
      </c>
      <c r="D1796" s="6">
        <v>9732.93</v>
      </c>
      <c r="E1796" s="6">
        <v>0.66</v>
      </c>
      <c r="F1796" s="6">
        <f t="shared" si="196"/>
        <v>7.3333333333333341E-3</v>
      </c>
      <c r="G1796">
        <f t="shared" ref="G1796:G1859" si="197">100*(B1796-B1795)/B1795</f>
        <v>-1.3054637016543154</v>
      </c>
      <c r="H1796">
        <f t="shared" ref="H1796:H1859" si="198">100*(C1796-C1795)/C1795</f>
        <v>-0.8269454123112534</v>
      </c>
      <c r="I1796">
        <f t="shared" ref="I1796:I1859" si="199">100*(D1796-D1795)/D1795</f>
        <v>-1.0547257814628512</v>
      </c>
      <c r="J1796">
        <f t="shared" ref="J1796:J1859" si="200">(G1796-F1796)/$N$3</f>
        <v>-0.92371833362256406</v>
      </c>
      <c r="K1796">
        <f t="shared" ref="K1796:K1859" si="201">G1796-F1796</f>
        <v>-1.3127970349876488</v>
      </c>
      <c r="L1796">
        <f t="shared" ref="L1796:L1859" si="202">I1796-F1796</f>
        <v>-1.0620591147961846</v>
      </c>
    </row>
    <row r="1797" spans="1:12" x14ac:dyDescent="0.25">
      <c r="A1797" s="1">
        <v>42842</v>
      </c>
      <c r="B1797" s="6">
        <v>165.3399</v>
      </c>
      <c r="C1797" s="6">
        <v>10.718</v>
      </c>
      <c r="D1797" s="6">
        <v>9716.4</v>
      </c>
      <c r="E1797" s="6">
        <v>0.66</v>
      </c>
      <c r="F1797" s="6">
        <f t="shared" si="196"/>
        <v>7.3333333333333341E-3</v>
      </c>
      <c r="G1797">
        <f t="shared" si="197"/>
        <v>-0.79369889003358329</v>
      </c>
      <c r="H1797">
        <f t="shared" si="198"/>
        <v>0.41692041036210536</v>
      </c>
      <c r="I1797">
        <f t="shared" si="199"/>
        <v>-0.16983580483986482</v>
      </c>
      <c r="J1797">
        <f t="shared" si="200"/>
        <v>-0.56362722555465494</v>
      </c>
      <c r="K1797">
        <f t="shared" si="201"/>
        <v>-0.8010322233669166</v>
      </c>
      <c r="L1797">
        <f t="shared" si="202"/>
        <v>-0.17716913817319815</v>
      </c>
    </row>
    <row r="1798" spans="1:12" x14ac:dyDescent="0.25">
      <c r="A1798" s="1">
        <v>42843</v>
      </c>
      <c r="B1798" s="6">
        <v>165.7808</v>
      </c>
      <c r="C1798" s="6">
        <v>10.762499999999999</v>
      </c>
      <c r="D1798" s="6">
        <v>9746.56</v>
      </c>
      <c r="E1798" s="6">
        <v>0.66</v>
      </c>
      <c r="F1798" s="6">
        <f t="shared" si="196"/>
        <v>7.3333333333333341E-3</v>
      </c>
      <c r="G1798">
        <f t="shared" si="197"/>
        <v>0.26666279585266423</v>
      </c>
      <c r="H1798">
        <f t="shared" si="198"/>
        <v>0.41518940100764434</v>
      </c>
      <c r="I1798">
        <f t="shared" si="199"/>
        <v>0.31040302992877872</v>
      </c>
      <c r="J1798">
        <f t="shared" si="200"/>
        <v>0.18247099330159991</v>
      </c>
      <c r="K1798">
        <f t="shared" si="201"/>
        <v>0.25932946251933087</v>
      </c>
      <c r="L1798">
        <f t="shared" si="202"/>
        <v>0.30306969659544536</v>
      </c>
    </row>
    <row r="1799" spans="1:12" x14ac:dyDescent="0.25">
      <c r="A1799" s="1">
        <v>42844</v>
      </c>
      <c r="B1799" s="6">
        <v>164.4581</v>
      </c>
      <c r="C1799" s="6">
        <v>10.629</v>
      </c>
      <c r="D1799" s="6">
        <v>9639.94</v>
      </c>
      <c r="E1799" s="6">
        <v>0.66</v>
      </c>
      <c r="F1799" s="6">
        <f t="shared" si="196"/>
        <v>7.3333333333333341E-3</v>
      </c>
      <c r="G1799">
        <f t="shared" si="197"/>
        <v>-0.79786078966924856</v>
      </c>
      <c r="H1799">
        <f t="shared" si="198"/>
        <v>-1.2404181184668965</v>
      </c>
      <c r="I1799">
        <f t="shared" si="199"/>
        <v>-1.0939244205134837</v>
      </c>
      <c r="J1799">
        <f t="shared" si="200"/>
        <v>-0.56655564700420313</v>
      </c>
      <c r="K1799">
        <f t="shared" si="201"/>
        <v>-0.80519412300258186</v>
      </c>
      <c r="L1799">
        <f t="shared" si="202"/>
        <v>-1.1012577538468171</v>
      </c>
    </row>
    <row r="1800" spans="1:12" x14ac:dyDescent="0.25">
      <c r="A1800" s="1">
        <v>42845</v>
      </c>
      <c r="B1800" s="6">
        <v>164.899</v>
      </c>
      <c r="C1800" s="6">
        <v>10.540100000000001</v>
      </c>
      <c r="D1800" s="6">
        <v>9632.69</v>
      </c>
      <c r="E1800" s="6">
        <v>0.66</v>
      </c>
      <c r="F1800" s="6">
        <f t="shared" si="196"/>
        <v>7.3333333333333341E-3</v>
      </c>
      <c r="G1800">
        <f t="shared" si="197"/>
        <v>0.26809260231025361</v>
      </c>
      <c r="H1800">
        <f t="shared" si="198"/>
        <v>-0.83639100573900527</v>
      </c>
      <c r="I1800">
        <f t="shared" si="199"/>
        <v>-7.5207936978860856E-2</v>
      </c>
      <c r="J1800">
        <f t="shared" si="200"/>
        <v>0.18347704252566727</v>
      </c>
      <c r="K1800">
        <f t="shared" si="201"/>
        <v>0.26075926897692026</v>
      </c>
      <c r="L1800">
        <f t="shared" si="202"/>
        <v>-8.2541270312194187E-2</v>
      </c>
    </row>
    <row r="1801" spans="1:12" x14ac:dyDescent="0.25">
      <c r="A1801" s="1">
        <v>42846</v>
      </c>
      <c r="B1801" s="6">
        <v>167.5445</v>
      </c>
      <c r="C1801" s="6">
        <v>10.5846</v>
      </c>
      <c r="D1801" s="6">
        <v>9717.41</v>
      </c>
      <c r="E1801" s="6">
        <v>0.66</v>
      </c>
      <c r="F1801" s="6">
        <f t="shared" si="196"/>
        <v>7.3333333333333341E-3</v>
      </c>
      <c r="G1801">
        <f t="shared" si="197"/>
        <v>1.6043153688015079</v>
      </c>
      <c r="H1801">
        <f t="shared" si="198"/>
        <v>0.42219713285452048</v>
      </c>
      <c r="I1801">
        <f t="shared" si="199"/>
        <v>0.87950510189780151</v>
      </c>
      <c r="J1801">
        <f t="shared" si="200"/>
        <v>1.1236783335983931</v>
      </c>
      <c r="K1801">
        <f t="shared" si="201"/>
        <v>1.5969820354681745</v>
      </c>
      <c r="L1801">
        <f t="shared" si="202"/>
        <v>0.87217176856446821</v>
      </c>
    </row>
    <row r="1802" spans="1:12" x14ac:dyDescent="0.25">
      <c r="A1802" s="1">
        <v>42849</v>
      </c>
      <c r="B1802" s="6">
        <v>167.5445</v>
      </c>
      <c r="C1802" s="6">
        <v>10.5846</v>
      </c>
      <c r="D1802" s="6">
        <v>9717.9500000000007</v>
      </c>
      <c r="E1802" s="6">
        <v>0.66</v>
      </c>
      <c r="F1802" s="6">
        <f t="shared" si="196"/>
        <v>7.3333333333333341E-3</v>
      </c>
      <c r="G1802">
        <f t="shared" si="197"/>
        <v>0</v>
      </c>
      <c r="H1802">
        <f t="shared" si="198"/>
        <v>0</v>
      </c>
      <c r="I1802">
        <f t="shared" si="199"/>
        <v>5.5570362884850297E-3</v>
      </c>
      <c r="J1802">
        <f t="shared" si="200"/>
        <v>-5.1599251567697223E-3</v>
      </c>
      <c r="K1802">
        <f t="shared" si="201"/>
        <v>-7.3333333333333341E-3</v>
      </c>
      <c r="L1802">
        <f t="shared" si="202"/>
        <v>-1.7762970448483044E-3</v>
      </c>
    </row>
    <row r="1803" spans="1:12" x14ac:dyDescent="0.25">
      <c r="A1803" s="1">
        <v>42850</v>
      </c>
      <c r="B1803" s="6">
        <v>169.3081</v>
      </c>
      <c r="C1803" s="6">
        <v>10.673500000000001</v>
      </c>
      <c r="D1803" s="6">
        <v>9841.7099999999991</v>
      </c>
      <c r="E1803" s="6">
        <v>0.66</v>
      </c>
      <c r="F1803" s="6">
        <f t="shared" si="196"/>
        <v>7.3333333333333341E-3</v>
      </c>
      <c r="G1803">
        <f t="shared" si="197"/>
        <v>1.0526158722011147</v>
      </c>
      <c r="H1803">
        <f t="shared" si="198"/>
        <v>0.83989947659808251</v>
      </c>
      <c r="I1803">
        <f t="shared" si="199"/>
        <v>1.2735196209076851</v>
      </c>
      <c r="J1803">
        <f t="shared" si="200"/>
        <v>0.7354881365776349</v>
      </c>
      <c r="K1803">
        <f t="shared" si="201"/>
        <v>1.0452825388677813</v>
      </c>
      <c r="L1803">
        <f t="shared" si="202"/>
        <v>1.2661862875743517</v>
      </c>
    </row>
    <row r="1804" spans="1:12" x14ac:dyDescent="0.25">
      <c r="A1804" s="1">
        <v>42851</v>
      </c>
      <c r="B1804" s="6">
        <v>168.4263</v>
      </c>
      <c r="C1804" s="6">
        <v>10.762499999999999</v>
      </c>
      <c r="D1804" s="6">
        <v>9856.4500000000007</v>
      </c>
      <c r="E1804" s="6">
        <v>0.66</v>
      </c>
      <c r="F1804" s="6">
        <f t="shared" si="196"/>
        <v>7.3333333333333341E-3</v>
      </c>
      <c r="G1804">
        <f t="shared" si="197"/>
        <v>-0.52082564271880571</v>
      </c>
      <c r="H1804">
        <f t="shared" si="198"/>
        <v>0.83384082072421073</v>
      </c>
      <c r="I1804">
        <f t="shared" si="199"/>
        <v>0.1497707207385871</v>
      </c>
      <c r="J1804">
        <f t="shared" si="200"/>
        <v>-0.37162647099615942</v>
      </c>
      <c r="K1804">
        <f t="shared" si="201"/>
        <v>-0.52815897605213902</v>
      </c>
      <c r="L1804">
        <f t="shared" si="202"/>
        <v>0.14243738740525377</v>
      </c>
    </row>
    <row r="1805" spans="1:12" x14ac:dyDescent="0.25">
      <c r="A1805" s="1">
        <v>42852</v>
      </c>
      <c r="B1805" s="6">
        <v>170.18989999999999</v>
      </c>
      <c r="C1805" s="6">
        <v>10.762499999999999</v>
      </c>
      <c r="D1805" s="6">
        <v>9860.6200000000008</v>
      </c>
      <c r="E1805" s="6">
        <v>0.66</v>
      </c>
      <c r="F1805" s="6">
        <f t="shared" si="196"/>
        <v>7.3333333333333341E-3</v>
      </c>
      <c r="G1805">
        <f t="shared" si="197"/>
        <v>1.047104876138701</v>
      </c>
      <c r="H1805">
        <f t="shared" si="198"/>
        <v>0</v>
      </c>
      <c r="I1805">
        <f t="shared" si="199"/>
        <v>4.230732160159157E-2</v>
      </c>
      <c r="J1805">
        <f t="shared" si="200"/>
        <v>0.73161045559291116</v>
      </c>
      <c r="K1805">
        <f t="shared" si="201"/>
        <v>1.0397715428053675</v>
      </c>
      <c r="L1805">
        <f t="shared" si="202"/>
        <v>3.4973988268258233E-2</v>
      </c>
    </row>
    <row r="1806" spans="1:12" x14ac:dyDescent="0.25">
      <c r="A1806" s="1">
        <v>42853</v>
      </c>
      <c r="B1806" s="6">
        <v>171.51259999999999</v>
      </c>
      <c r="C1806" s="6">
        <v>10.718</v>
      </c>
      <c r="D1806" s="6">
        <v>9872</v>
      </c>
      <c r="E1806" s="6">
        <v>0.66</v>
      </c>
      <c r="F1806" s="6">
        <f t="shared" si="196"/>
        <v>7.3333333333333341E-3</v>
      </c>
      <c r="G1806">
        <f t="shared" si="197"/>
        <v>0.7771906558497288</v>
      </c>
      <c r="H1806">
        <f t="shared" si="198"/>
        <v>-0.4134727061556267</v>
      </c>
      <c r="I1806">
        <f t="shared" si="199"/>
        <v>0.1154085645730106</v>
      </c>
      <c r="J1806">
        <f t="shared" si="200"/>
        <v>0.54169174985123592</v>
      </c>
      <c r="K1806">
        <f t="shared" si="201"/>
        <v>0.76985732251639549</v>
      </c>
      <c r="L1806">
        <f t="shared" si="202"/>
        <v>0.10807523123967727</v>
      </c>
    </row>
    <row r="1807" spans="1:12" x14ac:dyDescent="0.25">
      <c r="A1807" s="1">
        <v>42857</v>
      </c>
      <c r="B1807" s="6">
        <v>173.27629999999999</v>
      </c>
      <c r="C1807" s="6">
        <v>10.718</v>
      </c>
      <c r="D1807" s="6">
        <v>9941.27</v>
      </c>
      <c r="E1807" s="6">
        <v>0.66</v>
      </c>
      <c r="F1807" s="6">
        <f t="shared" si="196"/>
        <v>7.3333333333333341E-3</v>
      </c>
      <c r="G1807">
        <f t="shared" si="197"/>
        <v>1.0283209513470148</v>
      </c>
      <c r="H1807">
        <f t="shared" si="198"/>
        <v>0</v>
      </c>
      <c r="I1807">
        <f t="shared" si="199"/>
        <v>0.70168152350081481</v>
      </c>
      <c r="J1807">
        <f t="shared" si="200"/>
        <v>0.71839359476443498</v>
      </c>
      <c r="K1807">
        <f t="shared" si="201"/>
        <v>1.0209876180136814</v>
      </c>
      <c r="L1807">
        <f t="shared" si="202"/>
        <v>0.6943481901674815</v>
      </c>
    </row>
    <row r="1808" spans="1:12" x14ac:dyDescent="0.25">
      <c r="A1808" s="1">
        <v>42858</v>
      </c>
      <c r="B1808" s="6">
        <v>174.59899999999999</v>
      </c>
      <c r="C1808" s="6">
        <v>10.718</v>
      </c>
      <c r="D1808" s="6">
        <v>9955.33</v>
      </c>
      <c r="E1808" s="6">
        <v>0.66</v>
      </c>
      <c r="F1808" s="6">
        <f t="shared" si="196"/>
        <v>7.3333333333333341E-3</v>
      </c>
      <c r="G1808">
        <f t="shared" si="197"/>
        <v>0.76334732447541731</v>
      </c>
      <c r="H1808">
        <f t="shared" si="198"/>
        <v>0</v>
      </c>
      <c r="I1808">
        <f t="shared" si="199"/>
        <v>0.14143062204325493</v>
      </c>
      <c r="J1808">
        <f t="shared" si="200"/>
        <v>0.53195121978598925</v>
      </c>
      <c r="K1808">
        <f t="shared" si="201"/>
        <v>0.75601399114208401</v>
      </c>
      <c r="L1808">
        <f t="shared" si="202"/>
        <v>0.1340972887099216</v>
      </c>
    </row>
    <row r="1809" spans="1:12" x14ac:dyDescent="0.25">
      <c r="A1809" s="1">
        <v>42859</v>
      </c>
      <c r="B1809" s="6">
        <v>174.59899999999999</v>
      </c>
      <c r="C1809" s="6">
        <v>10.8514</v>
      </c>
      <c r="D1809" s="6">
        <v>9967.64</v>
      </c>
      <c r="E1809" s="6">
        <v>0.66</v>
      </c>
      <c r="F1809" s="6">
        <f t="shared" si="196"/>
        <v>7.3333333333333341E-3</v>
      </c>
      <c r="G1809">
        <f t="shared" si="197"/>
        <v>0</v>
      </c>
      <c r="H1809">
        <f t="shared" si="198"/>
        <v>1.2446351931330468</v>
      </c>
      <c r="I1809">
        <f t="shared" si="199"/>
        <v>0.12365235507009301</v>
      </c>
      <c r="J1809">
        <f t="shared" si="200"/>
        <v>-5.1599251567697223E-3</v>
      </c>
      <c r="K1809">
        <f t="shared" si="201"/>
        <v>-7.3333333333333341E-3</v>
      </c>
      <c r="L1809">
        <f t="shared" si="202"/>
        <v>0.11631902173675968</v>
      </c>
    </row>
    <row r="1810" spans="1:12" x14ac:dyDescent="0.25">
      <c r="A1810" s="1">
        <v>42860</v>
      </c>
      <c r="B1810" s="6">
        <v>174.15809999999999</v>
      </c>
      <c r="C1810" s="6">
        <v>10.762499999999999</v>
      </c>
      <c r="D1810" s="6">
        <v>9899.94</v>
      </c>
      <c r="E1810" s="6">
        <v>0.66</v>
      </c>
      <c r="F1810" s="6">
        <f t="shared" si="196"/>
        <v>7.3333333333333341E-3</v>
      </c>
      <c r="G1810">
        <f t="shared" si="197"/>
        <v>-0.25252149210476532</v>
      </c>
      <c r="H1810">
        <f t="shared" si="198"/>
        <v>-0.81924912914463244</v>
      </c>
      <c r="I1810">
        <f t="shared" si="199"/>
        <v>-0.67919788435375794</v>
      </c>
      <c r="J1810">
        <f t="shared" si="200"/>
        <v>-0.18284065239355229</v>
      </c>
      <c r="K1810">
        <f t="shared" si="201"/>
        <v>-0.25985482543809868</v>
      </c>
      <c r="L1810">
        <f t="shared" si="202"/>
        <v>-0.68653121768709124</v>
      </c>
    </row>
    <row r="1811" spans="1:12" x14ac:dyDescent="0.25">
      <c r="A1811" s="1">
        <v>42863</v>
      </c>
      <c r="B1811" s="6">
        <v>178.56710000000001</v>
      </c>
      <c r="C1811" s="6">
        <v>10.8514</v>
      </c>
      <c r="D1811" s="6">
        <v>9937.25</v>
      </c>
      <c r="E1811" s="6">
        <v>0.66</v>
      </c>
      <c r="F1811" s="6">
        <f t="shared" si="196"/>
        <v>7.3333333333333341E-3</v>
      </c>
      <c r="G1811">
        <f t="shared" si="197"/>
        <v>2.5316077747747712</v>
      </c>
      <c r="H1811">
        <f t="shared" si="198"/>
        <v>0.82601626016260765</v>
      </c>
      <c r="I1811">
        <f t="shared" si="199"/>
        <v>0.37687097093517224</v>
      </c>
      <c r="J1811">
        <f t="shared" si="200"/>
        <v>1.7761455263160699</v>
      </c>
      <c r="K1811">
        <f t="shared" si="201"/>
        <v>2.5242744414414378</v>
      </c>
      <c r="L1811">
        <f t="shared" si="202"/>
        <v>0.36953763760183889</v>
      </c>
    </row>
    <row r="1812" spans="1:12" x14ac:dyDescent="0.25">
      <c r="A1812" s="1">
        <v>42864</v>
      </c>
      <c r="B1812" s="6">
        <v>179.44890000000001</v>
      </c>
      <c r="C1812" s="6">
        <v>10.762499999999999</v>
      </c>
      <c r="D1812" s="6">
        <v>9915.48</v>
      </c>
      <c r="E1812" s="6">
        <v>0.66</v>
      </c>
      <c r="F1812" s="6">
        <f t="shared" si="196"/>
        <v>7.3333333333333341E-3</v>
      </c>
      <c r="G1812">
        <f t="shared" si="197"/>
        <v>0.4938199701960766</v>
      </c>
      <c r="H1812">
        <f t="shared" si="198"/>
        <v>-0.81924912914463244</v>
      </c>
      <c r="I1812">
        <f t="shared" si="199"/>
        <v>-0.21907469370299062</v>
      </c>
      <c r="J1812">
        <f t="shared" si="200"/>
        <v>0.34230472308823162</v>
      </c>
      <c r="K1812">
        <f t="shared" si="201"/>
        <v>0.48648663686274324</v>
      </c>
      <c r="L1812">
        <f t="shared" si="202"/>
        <v>-0.22640802703632396</v>
      </c>
    </row>
    <row r="1813" spans="1:12" x14ac:dyDescent="0.25">
      <c r="A1813" s="1">
        <v>42865</v>
      </c>
      <c r="B1813" s="6">
        <v>181.21260000000001</v>
      </c>
      <c r="C1813" s="6">
        <v>10.895899999999999</v>
      </c>
      <c r="D1813" s="6">
        <v>9968.32</v>
      </c>
      <c r="E1813" s="6">
        <v>0.66</v>
      </c>
      <c r="F1813" s="6">
        <f t="shared" si="196"/>
        <v>7.3333333333333341E-3</v>
      </c>
      <c r="G1813">
        <f t="shared" si="197"/>
        <v>0.98284246936035824</v>
      </c>
      <c r="H1813">
        <f t="shared" si="198"/>
        <v>1.2394889663182342</v>
      </c>
      <c r="I1813">
        <f t="shared" si="199"/>
        <v>0.53290410549968481</v>
      </c>
      <c r="J1813">
        <f t="shared" si="200"/>
        <v>0.68639374522425578</v>
      </c>
      <c r="K1813">
        <f t="shared" si="201"/>
        <v>0.97550913602702494</v>
      </c>
      <c r="L1813">
        <f t="shared" si="202"/>
        <v>0.52557077216635151</v>
      </c>
    </row>
    <row r="1814" spans="1:12" x14ac:dyDescent="0.25">
      <c r="A1814" s="1">
        <v>42866</v>
      </c>
      <c r="B1814" s="6">
        <v>182.97620000000001</v>
      </c>
      <c r="C1814" s="6">
        <v>10.8514</v>
      </c>
      <c r="D1814" s="6">
        <v>10001.48</v>
      </c>
      <c r="E1814" s="6">
        <v>0.66</v>
      </c>
      <c r="F1814" s="6">
        <f t="shared" si="196"/>
        <v>7.3333333333333341E-3</v>
      </c>
      <c r="G1814">
        <f t="shared" si="197"/>
        <v>0.97322150887962355</v>
      </c>
      <c r="H1814">
        <f t="shared" si="198"/>
        <v>-0.40841050303324483</v>
      </c>
      <c r="I1814">
        <f t="shared" si="199"/>
        <v>0.33265384738852538</v>
      </c>
      <c r="J1814">
        <f t="shared" si="200"/>
        <v>0.67962418576741535</v>
      </c>
      <c r="K1814">
        <f t="shared" si="201"/>
        <v>0.96588817554629025</v>
      </c>
      <c r="L1814">
        <f t="shared" si="202"/>
        <v>0.32532051405519202</v>
      </c>
    </row>
    <row r="1815" spans="1:12" x14ac:dyDescent="0.25">
      <c r="A1815" s="1">
        <v>42867</v>
      </c>
      <c r="B1815" s="6">
        <v>181.65350000000001</v>
      </c>
      <c r="C1815" s="6">
        <v>10.940300000000001</v>
      </c>
      <c r="D1815" s="6">
        <v>9986.82</v>
      </c>
      <c r="E1815" s="6">
        <v>0.66</v>
      </c>
      <c r="F1815" s="6">
        <f t="shared" si="196"/>
        <v>7.3333333333333341E-3</v>
      </c>
      <c r="G1815">
        <f t="shared" si="197"/>
        <v>-0.72288089926449317</v>
      </c>
      <c r="H1815">
        <f t="shared" si="198"/>
        <v>0.81924912914463244</v>
      </c>
      <c r="I1815">
        <f t="shared" si="199"/>
        <v>-0.14657830641064978</v>
      </c>
      <c r="J1815">
        <f t="shared" si="200"/>
        <v>-0.5137978348108394</v>
      </c>
      <c r="K1815">
        <f t="shared" si="201"/>
        <v>-0.73021423259782647</v>
      </c>
      <c r="L1815">
        <f t="shared" si="202"/>
        <v>-0.15391163974398311</v>
      </c>
    </row>
    <row r="1816" spans="1:12" x14ac:dyDescent="0.25">
      <c r="A1816" s="1">
        <v>42870</v>
      </c>
      <c r="B1816" s="6">
        <v>181.65350000000001</v>
      </c>
      <c r="C1816" s="6">
        <v>10.895899999999999</v>
      </c>
      <c r="D1816" s="6">
        <v>10036.82</v>
      </c>
      <c r="E1816" s="6">
        <v>0.66</v>
      </c>
      <c r="F1816" s="6">
        <f t="shared" si="196"/>
        <v>7.3333333333333341E-3</v>
      </c>
      <c r="G1816">
        <f t="shared" si="197"/>
        <v>0</v>
      </c>
      <c r="H1816">
        <f t="shared" si="198"/>
        <v>-0.40583896236850292</v>
      </c>
      <c r="I1816">
        <f t="shared" si="199"/>
        <v>0.50065986970827547</v>
      </c>
      <c r="J1816">
        <f t="shared" si="200"/>
        <v>-5.1599251567697223E-3</v>
      </c>
      <c r="K1816">
        <f t="shared" si="201"/>
        <v>-7.3333333333333341E-3</v>
      </c>
      <c r="L1816">
        <f t="shared" si="202"/>
        <v>0.49332653637494212</v>
      </c>
    </row>
    <row r="1817" spans="1:12" x14ac:dyDescent="0.25">
      <c r="A1817" s="1">
        <v>42871</v>
      </c>
      <c r="B1817" s="6">
        <v>180.33080000000001</v>
      </c>
      <c r="C1817" s="6">
        <v>10.806900000000001</v>
      </c>
      <c r="D1817" s="6">
        <v>10031.49</v>
      </c>
      <c r="E1817" s="6">
        <v>0.66</v>
      </c>
      <c r="F1817" s="6">
        <f t="shared" si="196"/>
        <v>7.3333333333333341E-3</v>
      </c>
      <c r="G1817">
        <f t="shared" si="197"/>
        <v>-0.72814451689617732</v>
      </c>
      <c r="H1817">
        <f t="shared" si="198"/>
        <v>-0.81682100606648966</v>
      </c>
      <c r="I1817">
        <f t="shared" si="199"/>
        <v>-5.3104469343875124E-2</v>
      </c>
      <c r="J1817">
        <f t="shared" si="200"/>
        <v>-0.51750145386084079</v>
      </c>
      <c r="K1817">
        <f t="shared" si="201"/>
        <v>-0.73547785022951062</v>
      </c>
      <c r="L1817">
        <f t="shared" si="202"/>
        <v>-6.0437802677208455E-2</v>
      </c>
    </row>
    <row r="1818" spans="1:12" x14ac:dyDescent="0.25">
      <c r="A1818" s="1">
        <v>42872</v>
      </c>
      <c r="B1818" s="6">
        <v>179.88990000000001</v>
      </c>
      <c r="C1818" s="6">
        <v>10.8514</v>
      </c>
      <c r="D1818" s="6">
        <v>10013.67</v>
      </c>
      <c r="E1818" s="6">
        <v>0.66</v>
      </c>
      <c r="F1818" s="6">
        <f t="shared" si="196"/>
        <v>7.3333333333333341E-3</v>
      </c>
      <c r="G1818">
        <f t="shared" si="197"/>
        <v>-0.24449511675210178</v>
      </c>
      <c r="H1818">
        <f t="shared" si="198"/>
        <v>0.41177395922974502</v>
      </c>
      <c r="I1818">
        <f t="shared" si="199"/>
        <v>-0.17764060971998885</v>
      </c>
      <c r="J1818">
        <f t="shared" si="200"/>
        <v>-0.17719308474356796</v>
      </c>
      <c r="K1818">
        <f t="shared" si="201"/>
        <v>-0.25182845008543514</v>
      </c>
      <c r="L1818">
        <f t="shared" si="202"/>
        <v>-0.18497394305332218</v>
      </c>
    </row>
    <row r="1819" spans="1:12" x14ac:dyDescent="0.25">
      <c r="A1819" s="1">
        <v>42873</v>
      </c>
      <c r="B1819" s="6">
        <v>179.44890000000001</v>
      </c>
      <c r="C1819" s="6">
        <v>10.895899999999999</v>
      </c>
      <c r="D1819" s="6">
        <v>9969.4500000000007</v>
      </c>
      <c r="E1819" s="6">
        <v>0.66</v>
      </c>
      <c r="F1819" s="6">
        <f t="shared" si="196"/>
        <v>7.3333333333333341E-3</v>
      </c>
      <c r="G1819">
        <f t="shared" si="197"/>
        <v>-0.24514995005278367</v>
      </c>
      <c r="H1819">
        <f t="shared" si="198"/>
        <v>0.41008533461119595</v>
      </c>
      <c r="I1819">
        <f t="shared" si="199"/>
        <v>-0.44159633780621238</v>
      </c>
      <c r="J1819">
        <f t="shared" si="200"/>
        <v>-0.17765384258288783</v>
      </c>
      <c r="K1819">
        <f t="shared" si="201"/>
        <v>-0.25248328338611703</v>
      </c>
      <c r="L1819">
        <f t="shared" si="202"/>
        <v>-0.44892967113954574</v>
      </c>
    </row>
    <row r="1820" spans="1:12" x14ac:dyDescent="0.25">
      <c r="A1820" s="1">
        <v>42874</v>
      </c>
      <c r="B1820" s="6">
        <v>179.00800000000001</v>
      </c>
      <c r="C1820" s="6">
        <v>10.8514</v>
      </c>
      <c r="D1820" s="6">
        <v>9947.6200000000008</v>
      </c>
      <c r="E1820" s="6">
        <v>0.66</v>
      </c>
      <c r="F1820" s="6">
        <f t="shared" si="196"/>
        <v>7.3333333333333341E-3</v>
      </c>
      <c r="G1820">
        <f t="shared" si="197"/>
        <v>-0.24569668579746054</v>
      </c>
      <c r="H1820">
        <f t="shared" si="198"/>
        <v>-0.40841050303324483</v>
      </c>
      <c r="I1820">
        <f t="shared" si="199"/>
        <v>-0.21896895014268516</v>
      </c>
      <c r="J1820">
        <f t="shared" si="200"/>
        <v>-0.17803854015421464</v>
      </c>
      <c r="K1820">
        <f t="shared" si="201"/>
        <v>-0.25303001913079387</v>
      </c>
      <c r="L1820">
        <f t="shared" si="202"/>
        <v>-0.2263022834760185</v>
      </c>
    </row>
    <row r="1821" spans="1:12" x14ac:dyDescent="0.25">
      <c r="A1821" s="1">
        <v>42877</v>
      </c>
      <c r="B1821" s="6">
        <v>180.77170000000001</v>
      </c>
      <c r="C1821" s="6">
        <v>10.895899999999999</v>
      </c>
      <c r="D1821" s="6">
        <v>9997.26</v>
      </c>
      <c r="E1821" s="6">
        <v>0.66</v>
      </c>
      <c r="F1821" s="6">
        <f t="shared" si="196"/>
        <v>7.3333333333333341E-3</v>
      </c>
      <c r="G1821">
        <f t="shared" si="197"/>
        <v>0.98526322845906322</v>
      </c>
      <c r="H1821">
        <f t="shared" si="198"/>
        <v>0.41008533461119595</v>
      </c>
      <c r="I1821">
        <f t="shared" si="199"/>
        <v>0.49901383446492142</v>
      </c>
      <c r="J1821">
        <f t="shared" si="200"/>
        <v>0.68809705464769499</v>
      </c>
      <c r="K1821">
        <f t="shared" si="201"/>
        <v>0.97792989512572992</v>
      </c>
      <c r="L1821">
        <f t="shared" si="202"/>
        <v>0.49168050113158807</v>
      </c>
    </row>
    <row r="1822" spans="1:12" x14ac:dyDescent="0.25">
      <c r="A1822" s="1">
        <v>42878</v>
      </c>
      <c r="B1822" s="6">
        <v>180.77170000000001</v>
      </c>
      <c r="C1822" s="6">
        <v>10.9848</v>
      </c>
      <c r="D1822" s="6">
        <v>10007.84</v>
      </c>
      <c r="E1822" s="6">
        <v>0.66</v>
      </c>
      <c r="F1822" s="6">
        <f t="shared" si="196"/>
        <v>7.3333333333333341E-3</v>
      </c>
      <c r="G1822">
        <f t="shared" si="197"/>
        <v>0</v>
      </c>
      <c r="H1822">
        <f t="shared" si="198"/>
        <v>0.81590322965519735</v>
      </c>
      <c r="I1822">
        <f t="shared" si="199"/>
        <v>0.10582899714521705</v>
      </c>
      <c r="J1822">
        <f t="shared" si="200"/>
        <v>-5.1599251567697223E-3</v>
      </c>
      <c r="K1822">
        <f t="shared" si="201"/>
        <v>-7.3333333333333341E-3</v>
      </c>
      <c r="L1822">
        <f t="shared" si="202"/>
        <v>9.8495663811883724E-2</v>
      </c>
    </row>
    <row r="1823" spans="1:12" x14ac:dyDescent="0.25">
      <c r="A1823" s="1">
        <v>42879</v>
      </c>
      <c r="B1823" s="6">
        <v>181.21260000000001</v>
      </c>
      <c r="C1823" s="6">
        <v>10.9848</v>
      </c>
      <c r="D1823" s="6">
        <v>10044.42</v>
      </c>
      <c r="E1823" s="6">
        <v>0.66</v>
      </c>
      <c r="F1823" s="6">
        <f t="shared" si="196"/>
        <v>7.3333333333333341E-3</v>
      </c>
      <c r="G1823">
        <f t="shared" si="197"/>
        <v>0.24389879610580592</v>
      </c>
      <c r="H1823">
        <f t="shared" si="198"/>
        <v>0</v>
      </c>
      <c r="I1823">
        <f t="shared" si="199"/>
        <v>0.36551343746502668</v>
      </c>
      <c r="J1823">
        <f t="shared" si="200"/>
        <v>0.16645364762489351</v>
      </c>
      <c r="K1823">
        <f t="shared" si="201"/>
        <v>0.23656546277247259</v>
      </c>
      <c r="L1823">
        <f t="shared" si="202"/>
        <v>0.35818010413169332</v>
      </c>
    </row>
    <row r="1824" spans="1:12" x14ac:dyDescent="0.25">
      <c r="A1824" s="1">
        <v>42880</v>
      </c>
      <c r="B1824" s="6">
        <v>182.53530000000001</v>
      </c>
      <c r="C1824" s="6">
        <v>11.029299999999999</v>
      </c>
      <c r="D1824" s="6">
        <v>10108.49</v>
      </c>
      <c r="E1824" s="6">
        <v>0.66</v>
      </c>
      <c r="F1824" s="6">
        <f t="shared" si="196"/>
        <v>7.3333333333333341E-3</v>
      </c>
      <c r="G1824">
        <f t="shared" si="197"/>
        <v>0.72991613165971758</v>
      </c>
      <c r="H1824">
        <f t="shared" si="198"/>
        <v>0.40510523632655415</v>
      </c>
      <c r="I1824">
        <f t="shared" si="199"/>
        <v>0.6378665965779976</v>
      </c>
      <c r="J1824">
        <f t="shared" si="200"/>
        <v>0.50842815803636898</v>
      </c>
      <c r="K1824">
        <f t="shared" si="201"/>
        <v>0.72258279832638428</v>
      </c>
      <c r="L1824">
        <f t="shared" si="202"/>
        <v>0.6305332632446643</v>
      </c>
    </row>
    <row r="1825" spans="1:12" x14ac:dyDescent="0.25">
      <c r="A1825" s="1">
        <v>42881</v>
      </c>
      <c r="B1825" s="6">
        <v>182.53530000000001</v>
      </c>
      <c r="C1825" s="6">
        <v>11.0738</v>
      </c>
      <c r="D1825" s="6">
        <v>10101.950000000001</v>
      </c>
      <c r="E1825" s="6">
        <v>0.66</v>
      </c>
      <c r="F1825" s="6">
        <f t="shared" si="196"/>
        <v>7.3333333333333341E-3</v>
      </c>
      <c r="G1825">
        <f t="shared" si="197"/>
        <v>0</v>
      </c>
      <c r="H1825">
        <f t="shared" si="198"/>
        <v>0.40347075517032899</v>
      </c>
      <c r="I1825">
        <f t="shared" si="199"/>
        <v>-6.4698090417055903E-2</v>
      </c>
      <c r="J1825">
        <f t="shared" si="200"/>
        <v>-5.1599251567697223E-3</v>
      </c>
      <c r="K1825">
        <f t="shared" si="201"/>
        <v>-7.3333333333333341E-3</v>
      </c>
      <c r="L1825">
        <f t="shared" si="202"/>
        <v>-7.2031423750389234E-2</v>
      </c>
    </row>
    <row r="1826" spans="1:12" x14ac:dyDescent="0.25">
      <c r="A1826" s="1">
        <v>42886</v>
      </c>
      <c r="B1826" s="6">
        <v>179.00800000000001</v>
      </c>
      <c r="C1826" s="6">
        <v>11.0738</v>
      </c>
      <c r="D1826" s="6">
        <v>10040.719999999999</v>
      </c>
      <c r="E1826" s="6">
        <v>0.66</v>
      </c>
      <c r="F1826" s="6">
        <f t="shared" si="196"/>
        <v>7.3333333333333341E-3</v>
      </c>
      <c r="G1826">
        <f t="shared" si="197"/>
        <v>-1.9323933507655762</v>
      </c>
      <c r="H1826">
        <f t="shared" si="198"/>
        <v>0</v>
      </c>
      <c r="I1826">
        <f t="shared" si="199"/>
        <v>-0.6061206004781392</v>
      </c>
      <c r="J1826">
        <f t="shared" si="200"/>
        <v>-1.364842433800838</v>
      </c>
      <c r="K1826">
        <f t="shared" si="201"/>
        <v>-1.9397266840989096</v>
      </c>
      <c r="L1826">
        <f t="shared" si="202"/>
        <v>-0.61345393381147251</v>
      </c>
    </row>
    <row r="1827" spans="1:12" x14ac:dyDescent="0.25">
      <c r="A1827" s="1">
        <v>42887</v>
      </c>
      <c r="B1827" s="6">
        <v>182.53530000000001</v>
      </c>
      <c r="C1827" s="6">
        <v>11.029299999999999</v>
      </c>
      <c r="D1827" s="6">
        <v>10087.42</v>
      </c>
      <c r="E1827" s="6">
        <v>0.66</v>
      </c>
      <c r="F1827" s="6">
        <f t="shared" si="196"/>
        <v>7.3333333333333341E-3</v>
      </c>
      <c r="G1827">
        <f t="shared" si="197"/>
        <v>1.9704705934930262</v>
      </c>
      <c r="H1827">
        <f t="shared" si="198"/>
        <v>-0.40184941031986393</v>
      </c>
      <c r="I1827">
        <f t="shared" si="199"/>
        <v>0.4651060880096321</v>
      </c>
      <c r="J1827">
        <f t="shared" si="200"/>
        <v>1.381314727484998</v>
      </c>
      <c r="K1827">
        <f t="shared" si="201"/>
        <v>1.9631372601596928</v>
      </c>
      <c r="L1827">
        <f t="shared" si="202"/>
        <v>0.45777275467629874</v>
      </c>
    </row>
    <row r="1828" spans="1:12" x14ac:dyDescent="0.25">
      <c r="A1828" s="1">
        <v>42888</v>
      </c>
      <c r="B1828" s="6">
        <v>184.2989</v>
      </c>
      <c r="C1828" s="6">
        <v>11.029299999999999</v>
      </c>
      <c r="D1828" s="6">
        <v>10152.530000000001</v>
      </c>
      <c r="E1828" s="6">
        <v>0.66</v>
      </c>
      <c r="F1828" s="6">
        <f t="shared" si="196"/>
        <v>7.3333333333333341E-3</v>
      </c>
      <c r="G1828">
        <f t="shared" si="197"/>
        <v>0.966169283420794</v>
      </c>
      <c r="H1828">
        <f t="shared" si="198"/>
        <v>0</v>
      </c>
      <c r="I1828">
        <f t="shared" si="199"/>
        <v>0.64545741131033085</v>
      </c>
      <c r="J1828">
        <f t="shared" si="200"/>
        <v>0.67466205546429359</v>
      </c>
      <c r="K1828">
        <f t="shared" si="201"/>
        <v>0.9588359500874607</v>
      </c>
      <c r="L1828">
        <f t="shared" si="202"/>
        <v>0.63812407797699755</v>
      </c>
    </row>
    <row r="1829" spans="1:12" x14ac:dyDescent="0.25">
      <c r="A1829" s="1">
        <v>42889</v>
      </c>
      <c r="B1829" s="6">
        <v>184.2989</v>
      </c>
      <c r="C1829" s="6">
        <v>11.029299999999999</v>
      </c>
      <c r="D1829" s="6">
        <v>10158.15</v>
      </c>
      <c r="E1829" s="6">
        <v>0.66</v>
      </c>
      <c r="F1829" s="6">
        <f t="shared" si="196"/>
        <v>7.3333333333333341E-3</v>
      </c>
      <c r="G1829">
        <f t="shared" si="197"/>
        <v>0</v>
      </c>
      <c r="H1829">
        <f t="shared" si="198"/>
        <v>0</v>
      </c>
      <c r="I1829">
        <f t="shared" si="199"/>
        <v>5.5355660116236848E-2</v>
      </c>
      <c r="J1829">
        <f t="shared" si="200"/>
        <v>-5.1599251567697223E-3</v>
      </c>
      <c r="K1829">
        <f t="shared" si="201"/>
        <v>-7.3333333333333341E-3</v>
      </c>
      <c r="L1829">
        <f t="shared" si="202"/>
        <v>4.802232678290351E-2</v>
      </c>
    </row>
    <row r="1830" spans="1:12" x14ac:dyDescent="0.25">
      <c r="A1830" s="1">
        <v>42891</v>
      </c>
      <c r="B1830" s="6">
        <v>186.9444</v>
      </c>
      <c r="C1830" s="6">
        <v>11.0738</v>
      </c>
      <c r="D1830" s="6">
        <v>10226.84</v>
      </c>
      <c r="E1830" s="6">
        <v>0.66</v>
      </c>
      <c r="F1830" s="6">
        <f t="shared" si="196"/>
        <v>7.3333333333333341E-3</v>
      </c>
      <c r="G1830">
        <f t="shared" si="197"/>
        <v>1.4354399293755951</v>
      </c>
      <c r="H1830">
        <f t="shared" si="198"/>
        <v>0.40347075517032899</v>
      </c>
      <c r="I1830">
        <f t="shared" si="199"/>
        <v>0.67620580519091089</v>
      </c>
      <c r="J1830">
        <f t="shared" si="200"/>
        <v>1.0048531570182602</v>
      </c>
      <c r="K1830">
        <f t="shared" si="201"/>
        <v>1.4281065960422616</v>
      </c>
      <c r="L1830">
        <f t="shared" si="202"/>
        <v>0.66887247185757759</v>
      </c>
    </row>
    <row r="1831" spans="1:12" x14ac:dyDescent="0.25">
      <c r="A1831" s="1">
        <v>42892</v>
      </c>
      <c r="B1831" s="6">
        <v>185.6216</v>
      </c>
      <c r="C1831" s="6">
        <v>11.0738</v>
      </c>
      <c r="D1831" s="6">
        <v>10206.18</v>
      </c>
      <c r="E1831" s="6">
        <v>0.66</v>
      </c>
      <c r="F1831" s="6">
        <f t="shared" si="196"/>
        <v>7.3333333333333341E-3</v>
      </c>
      <c r="G1831">
        <f t="shared" si="197"/>
        <v>-0.70759006421160564</v>
      </c>
      <c r="H1831">
        <f t="shared" si="198"/>
        <v>0</v>
      </c>
      <c r="I1831">
        <f t="shared" si="199"/>
        <v>-0.20201743647108839</v>
      </c>
      <c r="J1831">
        <f t="shared" si="200"/>
        <v>-0.5030388032939197</v>
      </c>
      <c r="K1831">
        <f t="shared" si="201"/>
        <v>-0.71492339754493894</v>
      </c>
      <c r="L1831">
        <f t="shared" si="202"/>
        <v>-0.20935076980442172</v>
      </c>
    </row>
    <row r="1832" spans="1:12" x14ac:dyDescent="0.25">
      <c r="A1832" s="1">
        <v>42893</v>
      </c>
      <c r="B1832" s="6">
        <v>186.5034</v>
      </c>
      <c r="C1832" s="6">
        <v>11.0738</v>
      </c>
      <c r="D1832" s="6">
        <v>10209.99</v>
      </c>
      <c r="E1832" s="6">
        <v>0.66</v>
      </c>
      <c r="F1832" s="6">
        <f t="shared" si="196"/>
        <v>7.3333333333333341E-3</v>
      </c>
      <c r="G1832">
        <f t="shared" si="197"/>
        <v>0.47505247234158005</v>
      </c>
      <c r="H1832">
        <f t="shared" si="198"/>
        <v>0</v>
      </c>
      <c r="I1832">
        <f t="shared" si="199"/>
        <v>3.7330323392292614E-2</v>
      </c>
      <c r="J1832">
        <f t="shared" si="200"/>
        <v>0.32909942068245363</v>
      </c>
      <c r="K1832">
        <f t="shared" si="201"/>
        <v>0.46771913900824669</v>
      </c>
      <c r="L1832">
        <f t="shared" si="202"/>
        <v>2.999699005895928E-2</v>
      </c>
    </row>
    <row r="1833" spans="1:12" x14ac:dyDescent="0.25">
      <c r="A1833" s="1">
        <v>42894</v>
      </c>
      <c r="B1833" s="6">
        <v>187.8262</v>
      </c>
      <c r="C1833" s="6">
        <v>10.9848</v>
      </c>
      <c r="D1833" s="6">
        <v>10225.780000000001</v>
      </c>
      <c r="E1833" s="6">
        <v>0.66</v>
      </c>
      <c r="F1833" s="6">
        <f t="shared" si="196"/>
        <v>7.3333333333333341E-3</v>
      </c>
      <c r="G1833">
        <f t="shared" si="197"/>
        <v>0.70926320914256835</v>
      </c>
      <c r="H1833">
        <f t="shared" si="198"/>
        <v>-0.80369882063971188</v>
      </c>
      <c r="I1833">
        <f t="shared" si="199"/>
        <v>0.1546524531365934</v>
      </c>
      <c r="J1833">
        <f t="shared" si="200"/>
        <v>0.49389622151949797</v>
      </c>
      <c r="K1833">
        <f t="shared" si="201"/>
        <v>0.70192987580923505</v>
      </c>
      <c r="L1833">
        <f t="shared" si="202"/>
        <v>0.14731911980326007</v>
      </c>
    </row>
    <row r="1834" spans="1:12" x14ac:dyDescent="0.25">
      <c r="A1834" s="1">
        <v>42895</v>
      </c>
      <c r="B1834" s="6">
        <v>186.9444</v>
      </c>
      <c r="C1834" s="6">
        <v>10.895899999999999</v>
      </c>
      <c r="D1834" s="6">
        <v>10199.65</v>
      </c>
      <c r="E1834" s="6">
        <v>0.66</v>
      </c>
      <c r="F1834" s="6">
        <f t="shared" si="196"/>
        <v>7.3333333333333341E-3</v>
      </c>
      <c r="G1834">
        <f t="shared" si="197"/>
        <v>-0.46947656929650833</v>
      </c>
      <c r="H1834">
        <f t="shared" si="198"/>
        <v>-0.80930012380744887</v>
      </c>
      <c r="I1834">
        <f t="shared" si="199"/>
        <v>-0.25553062944832589</v>
      </c>
      <c r="J1834">
        <f t="shared" si="200"/>
        <v>-0.33549591976045112</v>
      </c>
      <c r="K1834">
        <f t="shared" si="201"/>
        <v>-0.47680990262984169</v>
      </c>
      <c r="L1834">
        <f t="shared" si="202"/>
        <v>-0.26286396278165924</v>
      </c>
    </row>
    <row r="1835" spans="1:12" x14ac:dyDescent="0.25">
      <c r="A1835" s="1">
        <v>42898</v>
      </c>
      <c r="B1835" s="6">
        <v>182.97620000000001</v>
      </c>
      <c r="C1835" s="6">
        <v>10.806900000000001</v>
      </c>
      <c r="D1835" s="6">
        <v>10109.959999999999</v>
      </c>
      <c r="E1835" s="6">
        <v>0.66</v>
      </c>
      <c r="F1835" s="6">
        <f t="shared" si="196"/>
        <v>7.3333333333333341E-3</v>
      </c>
      <c r="G1835">
        <f t="shared" si="197"/>
        <v>-2.122663208954104</v>
      </c>
      <c r="H1835">
        <f t="shared" si="198"/>
        <v>-0.81682100606648966</v>
      </c>
      <c r="I1835">
        <f t="shared" si="199"/>
        <v>-0.87934389905536481</v>
      </c>
      <c r="J1835">
        <f t="shared" si="200"/>
        <v>-1.4987212830520187</v>
      </c>
      <c r="K1835">
        <f t="shared" si="201"/>
        <v>-2.1299965422874374</v>
      </c>
      <c r="L1835">
        <f t="shared" si="202"/>
        <v>-0.88667723238869811</v>
      </c>
    </row>
    <row r="1836" spans="1:12" x14ac:dyDescent="0.25">
      <c r="A1836" s="1">
        <v>42899</v>
      </c>
      <c r="B1836" s="6">
        <v>183.4171</v>
      </c>
      <c r="C1836" s="6">
        <v>10.8514</v>
      </c>
      <c r="D1836" s="6">
        <v>10128.15</v>
      </c>
      <c r="E1836" s="6">
        <v>0.66</v>
      </c>
      <c r="F1836" s="6">
        <f t="shared" si="196"/>
        <v>7.3333333333333341E-3</v>
      </c>
      <c r="G1836">
        <f t="shared" si="197"/>
        <v>0.24096029975483105</v>
      </c>
      <c r="H1836">
        <f t="shared" si="198"/>
        <v>0.41177395922974502</v>
      </c>
      <c r="I1836">
        <f t="shared" si="199"/>
        <v>0.17992158228124058</v>
      </c>
      <c r="J1836">
        <f t="shared" si="200"/>
        <v>0.16438604472792015</v>
      </c>
      <c r="K1836">
        <f t="shared" si="201"/>
        <v>0.23362696642149772</v>
      </c>
      <c r="L1836">
        <f t="shared" si="202"/>
        <v>0.17258824894790725</v>
      </c>
    </row>
    <row r="1837" spans="1:12" x14ac:dyDescent="0.25">
      <c r="A1837" s="1">
        <v>42900</v>
      </c>
      <c r="B1837" s="6">
        <v>182.53530000000001</v>
      </c>
      <c r="C1837" s="6">
        <v>10.806900000000001</v>
      </c>
      <c r="D1837" s="6">
        <v>10072.459999999999</v>
      </c>
      <c r="E1837" s="6">
        <v>0.66</v>
      </c>
      <c r="F1837" s="6">
        <f t="shared" si="196"/>
        <v>7.3333333333333341E-3</v>
      </c>
      <c r="G1837">
        <f t="shared" si="197"/>
        <v>-0.48076215358328006</v>
      </c>
      <c r="H1837">
        <f t="shared" si="198"/>
        <v>-0.41008533461119595</v>
      </c>
      <c r="I1837">
        <f t="shared" si="199"/>
        <v>-0.54985362578556307</v>
      </c>
      <c r="J1837">
        <f t="shared" si="200"/>
        <v>-0.34343675207001823</v>
      </c>
      <c r="K1837">
        <f t="shared" si="201"/>
        <v>-0.48809548691661342</v>
      </c>
      <c r="L1837">
        <f t="shared" si="202"/>
        <v>-0.55718695911889637</v>
      </c>
    </row>
    <row r="1838" spans="1:12" x14ac:dyDescent="0.25">
      <c r="A1838" s="1">
        <v>42901</v>
      </c>
      <c r="B1838" s="6">
        <v>183.4171</v>
      </c>
      <c r="C1838" s="6">
        <v>10.8514</v>
      </c>
      <c r="D1838" s="6">
        <v>10088.35</v>
      </c>
      <c r="E1838" s="6">
        <v>0.66</v>
      </c>
      <c r="F1838" s="6">
        <f t="shared" si="196"/>
        <v>7.3333333333333341E-3</v>
      </c>
      <c r="G1838">
        <f t="shared" si="197"/>
        <v>0.483084641710397</v>
      </c>
      <c r="H1838">
        <f t="shared" si="198"/>
        <v>0.41177395922974502</v>
      </c>
      <c r="I1838">
        <f t="shared" si="199"/>
        <v>0.15775689354935377</v>
      </c>
      <c r="J1838">
        <f t="shared" si="200"/>
        <v>0.33475106515376185</v>
      </c>
      <c r="K1838">
        <f t="shared" si="201"/>
        <v>0.47575130837706364</v>
      </c>
      <c r="L1838">
        <f t="shared" si="202"/>
        <v>0.15042356021602044</v>
      </c>
    </row>
    <row r="1839" spans="1:12" x14ac:dyDescent="0.25">
      <c r="A1839" s="1">
        <v>42902</v>
      </c>
      <c r="B1839" s="6">
        <v>186.5034</v>
      </c>
      <c r="C1839" s="6">
        <v>10.8514</v>
      </c>
      <c r="D1839" s="6">
        <v>10156.73</v>
      </c>
      <c r="E1839" s="6">
        <v>0.66</v>
      </c>
      <c r="F1839" s="6">
        <f t="shared" si="196"/>
        <v>7.3333333333333341E-3</v>
      </c>
      <c r="G1839">
        <f t="shared" si="197"/>
        <v>1.6826675375414801</v>
      </c>
      <c r="H1839">
        <f t="shared" si="198"/>
        <v>0</v>
      </c>
      <c r="I1839">
        <f t="shared" si="199"/>
        <v>0.67781153508749392</v>
      </c>
      <c r="J1839">
        <f t="shared" si="200"/>
        <v>1.1788089690395998</v>
      </c>
      <c r="K1839">
        <f t="shared" si="201"/>
        <v>1.6753342042081467</v>
      </c>
      <c r="L1839">
        <f t="shared" si="202"/>
        <v>0.67047820175416062</v>
      </c>
    </row>
    <row r="1840" spans="1:12" x14ac:dyDescent="0.25">
      <c r="A1840" s="1">
        <v>42905</v>
      </c>
      <c r="B1840" s="6">
        <v>187.8262</v>
      </c>
      <c r="C1840" s="6">
        <v>10.895899999999999</v>
      </c>
      <c r="D1840" s="6">
        <v>10250.6</v>
      </c>
      <c r="E1840" s="6">
        <v>0.66</v>
      </c>
      <c r="F1840" s="6">
        <f t="shared" si="196"/>
        <v>7.3333333333333341E-3</v>
      </c>
      <c r="G1840">
        <f t="shared" si="197"/>
        <v>0.70926320914256835</v>
      </c>
      <c r="H1840">
        <f t="shared" si="198"/>
        <v>0.41008533461119595</v>
      </c>
      <c r="I1840">
        <f t="shared" si="199"/>
        <v>0.92421478172601623</v>
      </c>
      <c r="J1840">
        <f t="shared" si="200"/>
        <v>0.49389622151949797</v>
      </c>
      <c r="K1840">
        <f t="shared" si="201"/>
        <v>0.70192987580923505</v>
      </c>
      <c r="L1840">
        <f t="shared" si="202"/>
        <v>0.91688144839268293</v>
      </c>
    </row>
    <row r="1841" spans="1:12" x14ac:dyDescent="0.25">
      <c r="A1841" s="1">
        <v>42906</v>
      </c>
      <c r="B1841" s="6">
        <v>190.91249999999999</v>
      </c>
      <c r="C1841" s="6">
        <v>10.940300000000001</v>
      </c>
      <c r="D1841" s="6">
        <v>10324.459999999999</v>
      </c>
      <c r="E1841" s="6">
        <v>0.66</v>
      </c>
      <c r="F1841" s="6">
        <f t="shared" si="196"/>
        <v>7.3333333333333341E-3</v>
      </c>
      <c r="G1841">
        <f t="shared" si="197"/>
        <v>1.6431679925377791</v>
      </c>
      <c r="H1841">
        <f t="shared" si="198"/>
        <v>0.40749272662195257</v>
      </c>
      <c r="I1841">
        <f t="shared" si="199"/>
        <v>0.72054318771582893</v>
      </c>
      <c r="J1841">
        <f t="shared" si="200"/>
        <v>1.1510160559561151</v>
      </c>
      <c r="K1841">
        <f t="shared" si="201"/>
        <v>1.6358346592044457</v>
      </c>
      <c r="L1841">
        <f t="shared" si="202"/>
        <v>0.71320985438249562</v>
      </c>
    </row>
    <row r="1842" spans="1:12" x14ac:dyDescent="0.25">
      <c r="A1842" s="1">
        <v>42907</v>
      </c>
      <c r="B1842" s="6">
        <v>190.0307</v>
      </c>
      <c r="C1842" s="6">
        <v>11.029299999999999</v>
      </c>
      <c r="D1842" s="6">
        <v>10349.719999999999</v>
      </c>
      <c r="E1842" s="6">
        <v>0.66</v>
      </c>
      <c r="F1842" s="6">
        <f t="shared" si="196"/>
        <v>7.3333333333333341E-3</v>
      </c>
      <c r="G1842">
        <f t="shared" si="197"/>
        <v>-0.46188699011327095</v>
      </c>
      <c r="H1842">
        <f t="shared" si="198"/>
        <v>0.81350602817106143</v>
      </c>
      <c r="I1842">
        <f t="shared" si="199"/>
        <v>0.24466170627810288</v>
      </c>
      <c r="J1842">
        <f t="shared" si="200"/>
        <v>-0.3301556933208763</v>
      </c>
      <c r="K1842">
        <f t="shared" si="201"/>
        <v>-0.4692203234466043</v>
      </c>
      <c r="L1842">
        <f t="shared" si="202"/>
        <v>0.23732837294476955</v>
      </c>
    </row>
    <row r="1843" spans="1:12" x14ac:dyDescent="0.25">
      <c r="A1843" s="1">
        <v>42908</v>
      </c>
      <c r="B1843" s="6">
        <v>192.23519999999999</v>
      </c>
      <c r="C1843" s="6">
        <v>11.029299999999999</v>
      </c>
      <c r="D1843" s="6">
        <v>10399.06</v>
      </c>
      <c r="E1843" s="6">
        <v>0.66</v>
      </c>
      <c r="F1843" s="6">
        <f t="shared" si="196"/>
        <v>7.3333333333333341E-3</v>
      </c>
      <c r="G1843">
        <f t="shared" si="197"/>
        <v>1.1600757140819857</v>
      </c>
      <c r="H1843">
        <f t="shared" si="198"/>
        <v>0</v>
      </c>
      <c r="I1843">
        <f t="shared" si="199"/>
        <v>0.47672787283134371</v>
      </c>
      <c r="J1843">
        <f t="shared" si="200"/>
        <v>0.81109969223176259</v>
      </c>
      <c r="K1843">
        <f t="shared" si="201"/>
        <v>1.1527423807486523</v>
      </c>
      <c r="L1843">
        <f t="shared" si="202"/>
        <v>0.46939453949801035</v>
      </c>
    </row>
    <row r="1844" spans="1:12" x14ac:dyDescent="0.25">
      <c r="A1844" s="1">
        <v>42909</v>
      </c>
      <c r="B1844" s="6">
        <v>191.35339999999999</v>
      </c>
      <c r="C1844" s="6">
        <v>11.3851</v>
      </c>
      <c r="D1844" s="6">
        <v>10377.700000000001</v>
      </c>
      <c r="E1844" s="6">
        <v>0.66</v>
      </c>
      <c r="F1844" s="6">
        <f t="shared" si="196"/>
        <v>7.3333333333333341E-3</v>
      </c>
      <c r="G1844">
        <f t="shared" si="197"/>
        <v>-0.4587089149125646</v>
      </c>
      <c r="H1844">
        <f t="shared" si="198"/>
        <v>3.225952689653925</v>
      </c>
      <c r="I1844">
        <f t="shared" si="199"/>
        <v>-0.20540318067208732</v>
      </c>
      <c r="J1844">
        <f t="shared" si="200"/>
        <v>-0.32791951647839029</v>
      </c>
      <c r="K1844">
        <f t="shared" si="201"/>
        <v>-0.46604224824589796</v>
      </c>
      <c r="L1844">
        <f t="shared" si="202"/>
        <v>-0.21273651400542065</v>
      </c>
    </row>
    <row r="1845" spans="1:12" x14ac:dyDescent="0.25">
      <c r="A1845" s="1">
        <v>42912</v>
      </c>
      <c r="B1845" s="6">
        <v>195.90969999999999</v>
      </c>
      <c r="C1845" s="6">
        <v>11.829800000000001</v>
      </c>
      <c r="D1845" s="6">
        <v>10513.96</v>
      </c>
      <c r="E1845" s="6">
        <v>0.66</v>
      </c>
      <c r="F1845" s="6">
        <f t="shared" si="196"/>
        <v>7.3333333333333341E-3</v>
      </c>
      <c r="G1845">
        <f t="shared" si="197"/>
        <v>2.3810917391590602</v>
      </c>
      <c r="H1845">
        <f t="shared" si="198"/>
        <v>3.9059823804797587</v>
      </c>
      <c r="I1845">
        <f t="shared" si="199"/>
        <v>1.3130076992011561</v>
      </c>
      <c r="J1845">
        <f t="shared" si="200"/>
        <v>1.6702385064973306</v>
      </c>
      <c r="K1845">
        <f t="shared" si="201"/>
        <v>2.3737584058257268</v>
      </c>
      <c r="L1845">
        <f t="shared" si="202"/>
        <v>1.3056743658678227</v>
      </c>
    </row>
    <row r="1846" spans="1:12" x14ac:dyDescent="0.25">
      <c r="A1846" s="1">
        <v>42913</v>
      </c>
      <c r="B1846" s="6">
        <v>192.72049999999999</v>
      </c>
      <c r="C1846" s="6">
        <v>11.696400000000001</v>
      </c>
      <c r="D1846" s="6">
        <v>10512.06</v>
      </c>
      <c r="E1846" s="6">
        <v>0.66</v>
      </c>
      <c r="F1846" s="6">
        <f t="shared" si="196"/>
        <v>7.3333333333333341E-3</v>
      </c>
      <c r="G1846">
        <f t="shared" si="197"/>
        <v>-1.6278928506347565</v>
      </c>
      <c r="H1846">
        <f t="shared" si="198"/>
        <v>-1.1276606536036109</v>
      </c>
      <c r="I1846">
        <f t="shared" si="199"/>
        <v>-1.8071211988628797E-2</v>
      </c>
      <c r="J1846">
        <f t="shared" si="200"/>
        <v>-1.1505879168634774</v>
      </c>
      <c r="K1846">
        <f t="shared" si="201"/>
        <v>-1.6352261839680899</v>
      </c>
      <c r="L1846">
        <f t="shared" si="202"/>
        <v>-2.5404545321962131E-2</v>
      </c>
    </row>
    <row r="1847" spans="1:12" x14ac:dyDescent="0.25">
      <c r="A1847" s="1">
        <v>42914</v>
      </c>
      <c r="B1847" s="6">
        <v>189.98689999999999</v>
      </c>
      <c r="C1847" s="6">
        <v>12.8527</v>
      </c>
      <c r="D1847" s="6">
        <v>10390.549999999999</v>
      </c>
      <c r="E1847" s="6">
        <v>0.66</v>
      </c>
      <c r="F1847" s="6">
        <f t="shared" si="196"/>
        <v>7.3333333333333341E-3</v>
      </c>
      <c r="G1847">
        <f t="shared" si="197"/>
        <v>-1.4184272041635404</v>
      </c>
      <c r="H1847">
        <f t="shared" si="198"/>
        <v>9.8859478130022911</v>
      </c>
      <c r="I1847">
        <f t="shared" si="199"/>
        <v>-1.1559104495217896</v>
      </c>
      <c r="J1847">
        <f t="shared" si="200"/>
        <v>-1.0032024088581326</v>
      </c>
      <c r="K1847">
        <f t="shared" si="201"/>
        <v>-1.4257605374968738</v>
      </c>
      <c r="L1847">
        <f t="shared" si="202"/>
        <v>-1.163243782855123</v>
      </c>
    </row>
    <row r="1848" spans="1:12" x14ac:dyDescent="0.25">
      <c r="A1848" s="1">
        <v>42915</v>
      </c>
      <c r="B1848" s="6">
        <v>191.3537</v>
      </c>
      <c r="C1848" s="6">
        <v>13.1195</v>
      </c>
      <c r="D1848" s="6">
        <v>10421.65</v>
      </c>
      <c r="E1848" s="6">
        <v>0.66</v>
      </c>
      <c r="F1848" s="6">
        <f t="shared" si="196"/>
        <v>7.3333333333333341E-3</v>
      </c>
      <c r="G1848">
        <f t="shared" si="197"/>
        <v>0.71941802303212066</v>
      </c>
      <c r="H1848">
        <f t="shared" si="198"/>
        <v>2.075828425155803</v>
      </c>
      <c r="I1848">
        <f t="shared" si="199"/>
        <v>0.29931043111288974</v>
      </c>
      <c r="J1848">
        <f t="shared" si="200"/>
        <v>0.50104141419918191</v>
      </c>
      <c r="K1848">
        <f t="shared" si="201"/>
        <v>0.71208468969878735</v>
      </c>
      <c r="L1848">
        <f t="shared" si="202"/>
        <v>0.29197709777955638</v>
      </c>
    </row>
    <row r="1849" spans="1:12" x14ac:dyDescent="0.25">
      <c r="A1849" s="1">
        <v>42916</v>
      </c>
      <c r="B1849" s="6">
        <v>189.98689999999999</v>
      </c>
      <c r="C1849" s="6">
        <v>13.1195</v>
      </c>
      <c r="D1849" s="6">
        <v>10395.07</v>
      </c>
      <c r="E1849" s="6">
        <v>0.66</v>
      </c>
      <c r="F1849" s="6">
        <f t="shared" si="196"/>
        <v>7.3333333333333341E-3</v>
      </c>
      <c r="G1849">
        <f t="shared" si="197"/>
        <v>-0.71427936852018648</v>
      </c>
      <c r="H1849">
        <f t="shared" si="198"/>
        <v>0</v>
      </c>
      <c r="I1849">
        <f t="shared" si="199"/>
        <v>-0.25504598600029676</v>
      </c>
      <c r="J1849">
        <f t="shared" si="200"/>
        <v>-0.50774557278252896</v>
      </c>
      <c r="K1849">
        <f t="shared" si="201"/>
        <v>-0.72161270185351978</v>
      </c>
      <c r="L1849">
        <f t="shared" si="202"/>
        <v>-0.26237931933363012</v>
      </c>
    </row>
    <row r="1850" spans="1:12" x14ac:dyDescent="0.25">
      <c r="A1850" s="1">
        <v>42919</v>
      </c>
      <c r="B1850" s="6">
        <v>190.4425</v>
      </c>
      <c r="C1850" s="6">
        <v>12.808199999999999</v>
      </c>
      <c r="D1850" s="6">
        <v>10412.790000000001</v>
      </c>
      <c r="E1850" s="6">
        <v>0.66</v>
      </c>
      <c r="F1850" s="6">
        <f t="shared" si="196"/>
        <v>7.3333333333333341E-3</v>
      </c>
      <c r="G1850">
        <f t="shared" si="197"/>
        <v>0.23980600767737356</v>
      </c>
      <c r="H1850">
        <f t="shared" si="198"/>
        <v>-2.3728038416098252</v>
      </c>
      <c r="I1850">
        <f t="shared" si="199"/>
        <v>0.17046542255127831</v>
      </c>
      <c r="J1850">
        <f t="shared" si="200"/>
        <v>0.16357385462854748</v>
      </c>
      <c r="K1850">
        <f t="shared" si="201"/>
        <v>0.23247267434404023</v>
      </c>
      <c r="L1850">
        <f t="shared" si="202"/>
        <v>0.16313208921794498</v>
      </c>
    </row>
    <row r="1851" spans="1:12" x14ac:dyDescent="0.25">
      <c r="A1851" s="1">
        <v>42920</v>
      </c>
      <c r="B1851" s="6">
        <v>188.62010000000001</v>
      </c>
      <c r="C1851" s="6">
        <v>12.6303</v>
      </c>
      <c r="D1851" s="6">
        <v>10347.780000000001</v>
      </c>
      <c r="E1851" s="6">
        <v>0.66</v>
      </c>
      <c r="F1851" s="6">
        <f t="shared" si="196"/>
        <v>7.3333333333333341E-3</v>
      </c>
      <c r="G1851">
        <f t="shared" si="197"/>
        <v>-0.95692925686230101</v>
      </c>
      <c r="H1851">
        <f t="shared" si="198"/>
        <v>-1.388953951374895</v>
      </c>
      <c r="I1851">
        <f t="shared" si="199"/>
        <v>-0.62432835003875242</v>
      </c>
      <c r="J1851">
        <f t="shared" si="200"/>
        <v>-0.67848038139305267</v>
      </c>
      <c r="K1851">
        <f t="shared" si="201"/>
        <v>-0.96426259019563432</v>
      </c>
      <c r="L1851">
        <f t="shared" si="202"/>
        <v>-0.63166168337208572</v>
      </c>
    </row>
    <row r="1852" spans="1:12" x14ac:dyDescent="0.25">
      <c r="A1852" s="1">
        <v>42921</v>
      </c>
      <c r="B1852" s="6">
        <v>189.98689999999999</v>
      </c>
      <c r="C1852" s="6">
        <v>12.808199999999999</v>
      </c>
      <c r="D1852" s="6">
        <v>10404.790000000001</v>
      </c>
      <c r="E1852" s="6">
        <v>0.66</v>
      </c>
      <c r="F1852" s="6">
        <f t="shared" si="196"/>
        <v>7.3333333333333341E-3</v>
      </c>
      <c r="G1852">
        <f t="shared" si="197"/>
        <v>0.72463115012662149</v>
      </c>
      <c r="H1852">
        <f t="shared" si="198"/>
        <v>1.4085176124082506</v>
      </c>
      <c r="I1852">
        <f t="shared" si="199"/>
        <v>0.55093942855375955</v>
      </c>
      <c r="J1852">
        <f t="shared" si="200"/>
        <v>0.50470950678650273</v>
      </c>
      <c r="K1852">
        <f t="shared" si="201"/>
        <v>0.71729781679328819</v>
      </c>
      <c r="L1852">
        <f t="shared" si="202"/>
        <v>0.54360609522042624</v>
      </c>
    </row>
    <row r="1853" spans="1:12" x14ac:dyDescent="0.25">
      <c r="A1853" s="1">
        <v>42922</v>
      </c>
      <c r="B1853" s="6">
        <v>189.07570000000001</v>
      </c>
      <c r="C1853" s="6">
        <v>12.8527</v>
      </c>
      <c r="D1853" s="6">
        <v>10368.200000000001</v>
      </c>
      <c r="E1853" s="6">
        <v>0.66</v>
      </c>
      <c r="F1853" s="6">
        <f t="shared" si="196"/>
        <v>7.3333333333333341E-3</v>
      </c>
      <c r="G1853">
        <f t="shared" si="197"/>
        <v>-0.47961201535473214</v>
      </c>
      <c r="H1853">
        <f t="shared" si="198"/>
        <v>0.34743367530176839</v>
      </c>
      <c r="I1853">
        <f t="shared" si="199"/>
        <v>-0.35166495431431238</v>
      </c>
      <c r="J1853">
        <f t="shared" si="200"/>
        <v>-0.34262748472739363</v>
      </c>
      <c r="K1853">
        <f t="shared" si="201"/>
        <v>-0.48694534868806549</v>
      </c>
      <c r="L1853">
        <f t="shared" si="202"/>
        <v>-0.35899828764764574</v>
      </c>
    </row>
    <row r="1854" spans="1:12" x14ac:dyDescent="0.25">
      <c r="A1854" s="1">
        <v>42923</v>
      </c>
      <c r="B1854" s="6">
        <v>187.7088</v>
      </c>
      <c r="C1854" s="6">
        <v>12.7637</v>
      </c>
      <c r="D1854" s="6">
        <v>10297.25</v>
      </c>
      <c r="E1854" s="6">
        <v>0.66</v>
      </c>
      <c r="F1854" s="6">
        <f t="shared" si="196"/>
        <v>7.3333333333333341E-3</v>
      </c>
      <c r="G1854">
        <f t="shared" si="197"/>
        <v>-0.72293795553845108</v>
      </c>
      <c r="H1854">
        <f t="shared" si="198"/>
        <v>-0.69246150614268143</v>
      </c>
      <c r="I1854">
        <f t="shared" si="199"/>
        <v>-0.68430392932235795</v>
      </c>
      <c r="J1854">
        <f t="shared" si="200"/>
        <v>-0.51383798109765944</v>
      </c>
      <c r="K1854">
        <f t="shared" si="201"/>
        <v>-0.73027128887178439</v>
      </c>
      <c r="L1854">
        <f t="shared" si="202"/>
        <v>-0.69163726265569125</v>
      </c>
    </row>
    <row r="1855" spans="1:12" x14ac:dyDescent="0.25">
      <c r="A1855" s="1">
        <v>42926</v>
      </c>
      <c r="B1855" s="6">
        <v>187.7088</v>
      </c>
      <c r="C1855" s="6">
        <v>12.7193</v>
      </c>
      <c r="D1855" s="6">
        <v>10289.91</v>
      </c>
      <c r="E1855" s="6">
        <v>0.66</v>
      </c>
      <c r="F1855" s="6">
        <f t="shared" si="196"/>
        <v>7.3333333333333341E-3</v>
      </c>
      <c r="G1855">
        <f t="shared" si="197"/>
        <v>0</v>
      </c>
      <c r="H1855">
        <f t="shared" si="198"/>
        <v>-0.347861513510969</v>
      </c>
      <c r="I1855">
        <f t="shared" si="199"/>
        <v>-7.1281167301950957E-2</v>
      </c>
      <c r="J1855">
        <f t="shared" si="200"/>
        <v>-5.1599251567697223E-3</v>
      </c>
      <c r="K1855">
        <f t="shared" si="201"/>
        <v>-7.3333333333333341E-3</v>
      </c>
      <c r="L1855">
        <f t="shared" si="202"/>
        <v>-7.8614500635284287E-2</v>
      </c>
    </row>
    <row r="1856" spans="1:12" x14ac:dyDescent="0.25">
      <c r="A1856" s="1">
        <v>42927</v>
      </c>
      <c r="B1856" s="6">
        <v>193.17609999999999</v>
      </c>
      <c r="C1856" s="6">
        <v>12.995799999999999</v>
      </c>
      <c r="D1856" s="6">
        <v>10415.57</v>
      </c>
      <c r="E1856" s="6">
        <v>0.66</v>
      </c>
      <c r="F1856" s="6">
        <f t="shared" si="196"/>
        <v>7.3333333333333341E-3</v>
      </c>
      <c r="G1856">
        <f t="shared" si="197"/>
        <v>2.9126498065088025</v>
      </c>
      <c r="H1856">
        <f t="shared" si="198"/>
        <v>2.173861769122504</v>
      </c>
      <c r="I1856">
        <f t="shared" si="199"/>
        <v>1.2211962981211677</v>
      </c>
      <c r="J1856">
        <f t="shared" si="200"/>
        <v>2.0442566670430349</v>
      </c>
      <c r="K1856">
        <f t="shared" si="201"/>
        <v>2.905316473175469</v>
      </c>
      <c r="L1856">
        <f t="shared" si="202"/>
        <v>1.2138629647878343</v>
      </c>
    </row>
    <row r="1857" spans="1:12" x14ac:dyDescent="0.25">
      <c r="A1857" s="1">
        <v>42928</v>
      </c>
      <c r="B1857" s="6">
        <v>191.80930000000001</v>
      </c>
      <c r="C1857" s="6">
        <v>13.087899999999999</v>
      </c>
      <c r="D1857" s="6">
        <v>10420.68</v>
      </c>
      <c r="E1857" s="6">
        <v>0.66</v>
      </c>
      <c r="F1857" s="6">
        <f t="shared" si="196"/>
        <v>7.3333333333333341E-3</v>
      </c>
      <c r="G1857">
        <f t="shared" si="197"/>
        <v>-0.70754094321191063</v>
      </c>
      <c r="H1857">
        <f t="shared" si="198"/>
        <v>0.70869050000769707</v>
      </c>
      <c r="I1857">
        <f t="shared" si="199"/>
        <v>4.9061165159473577E-2</v>
      </c>
      <c r="J1857">
        <f t="shared" si="200"/>
        <v>-0.5030042404736399</v>
      </c>
      <c r="K1857">
        <f t="shared" si="201"/>
        <v>-0.71487427654524394</v>
      </c>
      <c r="L1857">
        <f t="shared" si="202"/>
        <v>4.1727831826140246E-2</v>
      </c>
    </row>
    <row r="1858" spans="1:12" x14ac:dyDescent="0.25">
      <c r="A1858" s="1">
        <v>42929</v>
      </c>
      <c r="B1858" s="6">
        <v>195.45410000000001</v>
      </c>
      <c r="C1858" s="6">
        <v>13.686999999999999</v>
      </c>
      <c r="D1858" s="6">
        <v>10460.15</v>
      </c>
      <c r="E1858" s="6">
        <v>0.66</v>
      </c>
      <c r="F1858" s="6">
        <f t="shared" si="196"/>
        <v>7.3333333333333341E-3</v>
      </c>
      <c r="G1858">
        <f t="shared" si="197"/>
        <v>1.9002206879437042</v>
      </c>
      <c r="H1858">
        <f t="shared" si="198"/>
        <v>4.57751052498873</v>
      </c>
      <c r="I1858">
        <f t="shared" si="199"/>
        <v>0.37876606900892595</v>
      </c>
      <c r="J1858">
        <f t="shared" si="200"/>
        <v>1.3318850563616376</v>
      </c>
      <c r="K1858">
        <f t="shared" si="201"/>
        <v>1.8928873546103708</v>
      </c>
      <c r="L1858">
        <f t="shared" si="202"/>
        <v>0.3714327356755926</v>
      </c>
    </row>
    <row r="1859" spans="1:12" x14ac:dyDescent="0.25">
      <c r="A1859" s="1">
        <v>42930</v>
      </c>
      <c r="B1859" s="6">
        <v>194.0873</v>
      </c>
      <c r="C1859" s="6">
        <v>13.410500000000001</v>
      </c>
      <c r="D1859" s="6">
        <v>10443.91</v>
      </c>
      <c r="E1859" s="6">
        <v>0.66</v>
      </c>
      <c r="F1859" s="6">
        <f t="shared" ref="F1859:F1922" si="203">E1859/90</f>
        <v>7.3333333333333341E-3</v>
      </c>
      <c r="G1859">
        <f t="shared" si="197"/>
        <v>-0.69929461699704021</v>
      </c>
      <c r="H1859">
        <f t="shared" si="198"/>
        <v>-2.0201651201870288</v>
      </c>
      <c r="I1859">
        <f t="shared" si="199"/>
        <v>-0.15525589977198972</v>
      </c>
      <c r="J1859">
        <f t="shared" si="200"/>
        <v>-0.49720190964358907</v>
      </c>
      <c r="K1859">
        <f t="shared" si="201"/>
        <v>-0.70662795033037351</v>
      </c>
      <c r="L1859">
        <f t="shared" si="202"/>
        <v>-0.16258923310532306</v>
      </c>
    </row>
    <row r="1860" spans="1:12" x14ac:dyDescent="0.25">
      <c r="A1860" s="1">
        <v>42933</v>
      </c>
      <c r="B1860" s="6">
        <v>194.0873</v>
      </c>
      <c r="C1860" s="6">
        <v>13.3184</v>
      </c>
      <c r="D1860" s="6">
        <v>10457.540000000001</v>
      </c>
      <c r="E1860" s="6">
        <v>0.66</v>
      </c>
      <c r="F1860" s="6">
        <f t="shared" si="203"/>
        <v>7.3333333333333341E-3</v>
      </c>
      <c r="G1860">
        <f t="shared" ref="G1860:G1923" si="204">100*(B1860-B1859)/B1859</f>
        <v>0</v>
      </c>
      <c r="H1860">
        <f t="shared" ref="H1860:H1923" si="205">100*(C1860-C1859)/C1859</f>
        <v>-0.68677528802058307</v>
      </c>
      <c r="I1860">
        <f t="shared" ref="I1860:I1923" si="206">100*(D1860-D1859)/D1859</f>
        <v>0.13050667805449317</v>
      </c>
      <c r="J1860">
        <f t="shared" ref="J1860:J1923" si="207">(G1860-F1860)/$N$3</f>
        <v>-5.1599251567697223E-3</v>
      </c>
      <c r="K1860">
        <f t="shared" ref="K1860:K1923" si="208">G1860-F1860</f>
        <v>-7.3333333333333341E-3</v>
      </c>
      <c r="L1860">
        <f t="shared" ref="L1860:L1923" si="209">I1860-F1860</f>
        <v>0.12317334472115984</v>
      </c>
    </row>
    <row r="1861" spans="1:12" x14ac:dyDescent="0.25">
      <c r="A1861" s="1">
        <v>42934</v>
      </c>
      <c r="B1861" s="6">
        <v>194.99850000000001</v>
      </c>
      <c r="C1861" s="6">
        <v>13.3184</v>
      </c>
      <c r="D1861" s="6">
        <v>10481.26</v>
      </c>
      <c r="E1861" s="6">
        <v>0.66</v>
      </c>
      <c r="F1861" s="6">
        <f t="shared" si="203"/>
        <v>7.3333333333333341E-3</v>
      </c>
      <c r="G1861">
        <f t="shared" si="204"/>
        <v>0.46947945589433621</v>
      </c>
      <c r="H1861">
        <f t="shared" si="205"/>
        <v>0</v>
      </c>
      <c r="I1861">
        <f t="shared" si="206"/>
        <v>0.22682198681524854</v>
      </c>
      <c r="J1861">
        <f t="shared" si="207"/>
        <v>0.32517810053265023</v>
      </c>
      <c r="K1861">
        <f t="shared" si="208"/>
        <v>0.46214612256100285</v>
      </c>
      <c r="L1861">
        <f t="shared" si="209"/>
        <v>0.21948865348191521</v>
      </c>
    </row>
    <row r="1862" spans="1:12" x14ac:dyDescent="0.25">
      <c r="A1862" s="1">
        <v>42935</v>
      </c>
      <c r="B1862" s="6">
        <v>195.45410000000001</v>
      </c>
      <c r="C1862" s="6">
        <v>13.641</v>
      </c>
      <c r="D1862" s="6">
        <v>10506.1</v>
      </c>
      <c r="E1862" s="6">
        <v>0.66</v>
      </c>
      <c r="F1862" s="6">
        <f t="shared" si="203"/>
        <v>7.3333333333333341E-3</v>
      </c>
      <c r="G1862">
        <f t="shared" si="204"/>
        <v>0.23364282289351149</v>
      </c>
      <c r="H1862">
        <f t="shared" si="205"/>
        <v>2.422212878423831</v>
      </c>
      <c r="I1862">
        <f t="shared" si="206"/>
        <v>0.23699440716097248</v>
      </c>
      <c r="J1862">
        <f t="shared" si="207"/>
        <v>0.15923727659962883</v>
      </c>
      <c r="K1862">
        <f t="shared" si="208"/>
        <v>0.22630948956017816</v>
      </c>
      <c r="L1862">
        <f t="shared" si="209"/>
        <v>0.22966107382763915</v>
      </c>
    </row>
    <row r="1863" spans="1:12" x14ac:dyDescent="0.25">
      <c r="A1863" s="1">
        <v>42936</v>
      </c>
      <c r="B1863" s="6">
        <v>196.36529999999999</v>
      </c>
      <c r="C1863" s="6">
        <v>13.8714</v>
      </c>
      <c r="D1863" s="6">
        <v>10499.36</v>
      </c>
      <c r="E1863" s="6">
        <v>0.66</v>
      </c>
      <c r="F1863" s="6">
        <f t="shared" si="203"/>
        <v>7.3333333333333341E-3</v>
      </c>
      <c r="G1863">
        <f t="shared" si="204"/>
        <v>0.46619641133134559</v>
      </c>
      <c r="H1863">
        <f t="shared" si="205"/>
        <v>1.6890257312513708</v>
      </c>
      <c r="I1863">
        <f t="shared" si="206"/>
        <v>-6.4153206232567567E-2</v>
      </c>
      <c r="J1863">
        <f t="shared" si="207"/>
        <v>0.32286806450109962</v>
      </c>
      <c r="K1863">
        <f t="shared" si="208"/>
        <v>0.45886307799801224</v>
      </c>
      <c r="L1863">
        <f t="shared" si="209"/>
        <v>-7.1486539565900897E-2</v>
      </c>
    </row>
    <row r="1864" spans="1:12" x14ac:dyDescent="0.25">
      <c r="A1864" s="1">
        <v>42937</v>
      </c>
      <c r="B1864" s="6">
        <v>194.99850000000001</v>
      </c>
      <c r="C1864" s="6">
        <v>13.594900000000001</v>
      </c>
      <c r="D1864" s="6">
        <v>10436.700000000001</v>
      </c>
      <c r="E1864" s="6">
        <v>0.66</v>
      </c>
      <c r="F1864" s="6">
        <f t="shared" si="203"/>
        <v>7.3333333333333341E-3</v>
      </c>
      <c r="G1864">
        <f t="shared" si="204"/>
        <v>-0.69604965846816302</v>
      </c>
      <c r="H1864">
        <f t="shared" si="205"/>
        <v>-1.9933099759216708</v>
      </c>
      <c r="I1864">
        <f t="shared" si="206"/>
        <v>-0.59679828103808086</v>
      </c>
      <c r="J1864">
        <f t="shared" si="207"/>
        <v>-0.49491867194188527</v>
      </c>
      <c r="K1864">
        <f t="shared" si="208"/>
        <v>-0.70338299180149633</v>
      </c>
      <c r="L1864">
        <f t="shared" si="209"/>
        <v>-0.60413161437141416</v>
      </c>
    </row>
    <row r="1865" spans="1:12" x14ac:dyDescent="0.25">
      <c r="A1865" s="1">
        <v>42940</v>
      </c>
      <c r="B1865" s="6">
        <v>195.45410000000001</v>
      </c>
      <c r="C1865" s="6">
        <v>13.641</v>
      </c>
      <c r="D1865" s="6">
        <v>10461.280000000001</v>
      </c>
      <c r="E1865" s="6">
        <v>0.66</v>
      </c>
      <c r="F1865" s="6">
        <f t="shared" si="203"/>
        <v>7.3333333333333341E-3</v>
      </c>
      <c r="G1865">
        <f t="shared" si="204"/>
        <v>0.23364282289351149</v>
      </c>
      <c r="H1865">
        <f t="shared" si="205"/>
        <v>0.3390977498914971</v>
      </c>
      <c r="I1865">
        <f t="shared" si="206"/>
        <v>0.23551505744152773</v>
      </c>
      <c r="J1865">
        <f t="shared" si="207"/>
        <v>0.15923727659962883</v>
      </c>
      <c r="K1865">
        <f t="shared" si="208"/>
        <v>0.22630948956017816</v>
      </c>
      <c r="L1865">
        <f t="shared" si="209"/>
        <v>0.2281817241081944</v>
      </c>
    </row>
    <row r="1866" spans="1:12" x14ac:dyDescent="0.25">
      <c r="A1866" s="1">
        <v>42941</v>
      </c>
      <c r="B1866" s="6">
        <v>194.99850000000001</v>
      </c>
      <c r="C1866" s="6">
        <v>13.7331</v>
      </c>
      <c r="D1866" s="6">
        <v>10463.15</v>
      </c>
      <c r="E1866" s="6">
        <v>0.66</v>
      </c>
      <c r="F1866" s="6">
        <f t="shared" si="203"/>
        <v>7.3333333333333341E-3</v>
      </c>
      <c r="G1866">
        <f t="shared" si="204"/>
        <v>-0.23309820566568007</v>
      </c>
      <c r="H1866">
        <f t="shared" si="205"/>
        <v>0.67517044204970522</v>
      </c>
      <c r="I1866">
        <f t="shared" si="206"/>
        <v>1.7875441628548143E-2</v>
      </c>
      <c r="J1866">
        <f t="shared" si="207"/>
        <v>-0.16917391998570952</v>
      </c>
      <c r="K1866">
        <f t="shared" si="208"/>
        <v>-0.2404315389990134</v>
      </c>
      <c r="L1866">
        <f t="shared" si="209"/>
        <v>1.0542108295214809E-2</v>
      </c>
    </row>
    <row r="1867" spans="1:12" x14ac:dyDescent="0.25">
      <c r="A1867" s="1">
        <v>42942</v>
      </c>
      <c r="B1867" s="6">
        <v>194.0873</v>
      </c>
      <c r="C1867" s="6">
        <v>14.194000000000001</v>
      </c>
      <c r="D1867" s="6">
        <v>10419.11</v>
      </c>
      <c r="E1867" s="6">
        <v>0.66</v>
      </c>
      <c r="F1867" s="6">
        <f t="shared" si="203"/>
        <v>7.3333333333333341E-3</v>
      </c>
      <c r="G1867">
        <f t="shared" si="204"/>
        <v>-0.46728564578702297</v>
      </c>
      <c r="H1867">
        <f t="shared" si="205"/>
        <v>3.3561249827060204</v>
      </c>
      <c r="I1867">
        <f t="shared" si="206"/>
        <v>-0.42090575018038601</v>
      </c>
      <c r="J1867">
        <f t="shared" si="207"/>
        <v>-0.33395432866956681</v>
      </c>
      <c r="K1867">
        <f t="shared" si="208"/>
        <v>-0.47461897912035633</v>
      </c>
      <c r="L1867">
        <f t="shared" si="209"/>
        <v>-0.42823908351371937</v>
      </c>
    </row>
    <row r="1868" spans="1:12" x14ac:dyDescent="0.25">
      <c r="A1868" s="1">
        <v>42943</v>
      </c>
      <c r="B1868" s="6">
        <v>196.36529999999999</v>
      </c>
      <c r="C1868" s="6">
        <v>13.134</v>
      </c>
      <c r="D1868" s="6">
        <v>10508.37</v>
      </c>
      <c r="E1868" s="6">
        <v>0.66</v>
      </c>
      <c r="F1868" s="6">
        <f t="shared" si="203"/>
        <v>7.3333333333333341E-3</v>
      </c>
      <c r="G1868">
        <f t="shared" si="204"/>
        <v>1.1736986397358258</v>
      </c>
      <c r="H1868">
        <f t="shared" si="205"/>
        <v>-7.4679442017754019</v>
      </c>
      <c r="I1868">
        <f t="shared" si="206"/>
        <v>0.85669505360822773</v>
      </c>
      <c r="J1868">
        <f t="shared" si="207"/>
        <v>0.82068513906676976</v>
      </c>
      <c r="K1868">
        <f t="shared" si="208"/>
        <v>1.1663653064024924</v>
      </c>
      <c r="L1868">
        <f t="shared" si="209"/>
        <v>0.84936172027489443</v>
      </c>
    </row>
    <row r="1869" spans="1:12" x14ac:dyDescent="0.25">
      <c r="A1869" s="1">
        <v>42944</v>
      </c>
      <c r="B1869" s="6">
        <v>194.0873</v>
      </c>
      <c r="C1869" s="6">
        <v>12.811400000000001</v>
      </c>
      <c r="D1869" s="6">
        <v>10423.049999999999</v>
      </c>
      <c r="E1869" s="6">
        <v>0.66</v>
      </c>
      <c r="F1869" s="6">
        <f t="shared" si="203"/>
        <v>7.3333333333333341E-3</v>
      </c>
      <c r="G1869">
        <f t="shared" si="204"/>
        <v>-1.1600827641136147</v>
      </c>
      <c r="H1869">
        <f t="shared" si="205"/>
        <v>-2.4562204964214982</v>
      </c>
      <c r="I1869">
        <f t="shared" si="206"/>
        <v>-0.81192420898770712</v>
      </c>
      <c r="J1869">
        <f t="shared" si="207"/>
        <v>-0.82142450313196913</v>
      </c>
      <c r="K1869">
        <f t="shared" si="208"/>
        <v>-1.1674160974469481</v>
      </c>
      <c r="L1869">
        <f t="shared" si="209"/>
        <v>-0.81925754232104042</v>
      </c>
    </row>
    <row r="1870" spans="1:12" x14ac:dyDescent="0.25">
      <c r="A1870" s="1">
        <v>42947</v>
      </c>
      <c r="B1870" s="6">
        <v>195.45410000000001</v>
      </c>
      <c r="C1870" s="6">
        <v>12.811400000000001</v>
      </c>
      <c r="D1870" s="6">
        <v>10427.33</v>
      </c>
      <c r="E1870" s="6">
        <v>0.66</v>
      </c>
      <c r="F1870" s="6">
        <f t="shared" si="203"/>
        <v>7.3333333333333341E-3</v>
      </c>
      <c r="G1870">
        <f t="shared" si="204"/>
        <v>0.70421918384150428</v>
      </c>
      <c r="H1870">
        <f t="shared" si="205"/>
        <v>0</v>
      </c>
      <c r="I1870">
        <f t="shared" si="206"/>
        <v>4.1062836693680403E-2</v>
      </c>
      <c r="J1870">
        <f t="shared" si="207"/>
        <v>0.49034711337736026</v>
      </c>
      <c r="K1870">
        <f t="shared" si="208"/>
        <v>0.69688585050817098</v>
      </c>
      <c r="L1870">
        <f t="shared" si="209"/>
        <v>3.3729503360347066E-2</v>
      </c>
    </row>
    <row r="1871" spans="1:12" x14ac:dyDescent="0.25">
      <c r="A1871" s="1">
        <v>42948</v>
      </c>
      <c r="B1871" s="6">
        <v>193.17609999999999</v>
      </c>
      <c r="C1871" s="6">
        <v>12.581</v>
      </c>
      <c r="D1871" s="6">
        <v>10437.290000000001</v>
      </c>
      <c r="E1871" s="6">
        <v>0.66</v>
      </c>
      <c r="F1871" s="6">
        <f t="shared" si="203"/>
        <v>7.3333333333333341E-3</v>
      </c>
      <c r="G1871">
        <f t="shared" si="204"/>
        <v>-1.1654910283284003</v>
      </c>
      <c r="H1871">
        <f t="shared" si="205"/>
        <v>-1.798398301512725</v>
      </c>
      <c r="I1871">
        <f t="shared" si="206"/>
        <v>9.5518219908652988E-2</v>
      </c>
      <c r="J1871">
        <f t="shared" si="207"/>
        <v>-0.82522989930146873</v>
      </c>
      <c r="K1871">
        <f t="shared" si="208"/>
        <v>-1.1728243616617338</v>
      </c>
      <c r="L1871">
        <f t="shared" si="209"/>
        <v>8.8184886575319657E-2</v>
      </c>
    </row>
    <row r="1872" spans="1:12" x14ac:dyDescent="0.25">
      <c r="A1872" s="1">
        <v>42949</v>
      </c>
      <c r="B1872" s="6">
        <v>196.82089999999999</v>
      </c>
      <c r="C1872" s="6">
        <v>12.581</v>
      </c>
      <c r="D1872" s="6">
        <v>10519.27</v>
      </c>
      <c r="E1872" s="6">
        <v>0.66</v>
      </c>
      <c r="F1872" s="6">
        <f t="shared" si="203"/>
        <v>7.3333333333333341E-3</v>
      </c>
      <c r="G1872">
        <f t="shared" si="204"/>
        <v>1.8867758485651194</v>
      </c>
      <c r="H1872">
        <f t="shared" si="205"/>
        <v>0</v>
      </c>
      <c r="I1872">
        <f t="shared" si="206"/>
        <v>0.78545292887329521</v>
      </c>
      <c r="J1872">
        <f t="shared" si="207"/>
        <v>1.3224249156882346</v>
      </c>
      <c r="K1872">
        <f t="shared" si="208"/>
        <v>1.879442515231786</v>
      </c>
      <c r="L1872">
        <f t="shared" si="209"/>
        <v>0.77811959553996191</v>
      </c>
    </row>
    <row r="1873" spans="1:12" x14ac:dyDescent="0.25">
      <c r="A1873" s="1">
        <v>42950</v>
      </c>
      <c r="B1873" s="6">
        <v>194.5429</v>
      </c>
      <c r="C1873" s="6">
        <v>12.3506</v>
      </c>
      <c r="D1873" s="6">
        <v>10469.879999999999</v>
      </c>
      <c r="E1873" s="6">
        <v>0.66</v>
      </c>
      <c r="F1873" s="6">
        <f t="shared" si="203"/>
        <v>7.3333333333333341E-3</v>
      </c>
      <c r="G1873">
        <f t="shared" si="204"/>
        <v>-1.157397410539222</v>
      </c>
      <c r="H1873">
        <f t="shared" si="205"/>
        <v>-1.8313329624036205</v>
      </c>
      <c r="I1873">
        <f t="shared" si="206"/>
        <v>-0.46951927272521032</v>
      </c>
      <c r="J1873">
        <f t="shared" si="207"/>
        <v>-0.81953501811424234</v>
      </c>
      <c r="K1873">
        <f t="shared" si="208"/>
        <v>-1.1647307438725554</v>
      </c>
      <c r="L1873">
        <f t="shared" si="209"/>
        <v>-0.47685260605854368</v>
      </c>
    </row>
    <row r="1874" spans="1:12" x14ac:dyDescent="0.25">
      <c r="A1874" s="1">
        <v>42951</v>
      </c>
      <c r="B1874" s="6">
        <v>194.0873</v>
      </c>
      <c r="C1874" s="6">
        <v>12.7654</v>
      </c>
      <c r="D1874" s="6">
        <v>10506.56</v>
      </c>
      <c r="E1874" s="6">
        <v>0.66</v>
      </c>
      <c r="F1874" s="6">
        <f t="shared" si="203"/>
        <v>7.3333333333333341E-3</v>
      </c>
      <c r="G1874">
        <f t="shared" si="204"/>
        <v>-0.23418999099941659</v>
      </c>
      <c r="H1874">
        <f t="shared" si="205"/>
        <v>3.3585412854436192</v>
      </c>
      <c r="I1874">
        <f t="shared" si="206"/>
        <v>0.35033830378189906</v>
      </c>
      <c r="J1874">
        <f t="shared" si="207"/>
        <v>-0.16994212870516487</v>
      </c>
      <c r="K1874">
        <f t="shared" si="208"/>
        <v>-0.24152332433274992</v>
      </c>
      <c r="L1874">
        <f t="shared" si="209"/>
        <v>0.3430049704485657</v>
      </c>
    </row>
    <row r="1875" spans="1:12" x14ac:dyDescent="0.25">
      <c r="A1875" s="1">
        <v>42954</v>
      </c>
      <c r="B1875" s="6">
        <v>196.82089999999999</v>
      </c>
      <c r="C1875" s="6">
        <v>12.811400000000001</v>
      </c>
      <c r="D1875" s="6">
        <v>10579.38</v>
      </c>
      <c r="E1875" s="6">
        <v>0.66</v>
      </c>
      <c r="F1875" s="6">
        <f t="shared" si="203"/>
        <v>7.3333333333333341E-3</v>
      </c>
      <c r="G1875">
        <f t="shared" si="204"/>
        <v>1.4084383676829939</v>
      </c>
      <c r="H1875">
        <f t="shared" si="205"/>
        <v>0.36034906857600352</v>
      </c>
      <c r="I1875">
        <f t="shared" si="206"/>
        <v>0.69309079279992414</v>
      </c>
      <c r="J1875">
        <f t="shared" si="207"/>
        <v>0.98585415191147985</v>
      </c>
      <c r="K1875">
        <f t="shared" si="208"/>
        <v>1.4011050343496605</v>
      </c>
      <c r="L1875">
        <f t="shared" si="209"/>
        <v>0.68575745946659084</v>
      </c>
    </row>
    <row r="1876" spans="1:12" x14ac:dyDescent="0.25">
      <c r="A1876" s="1">
        <v>42955</v>
      </c>
      <c r="B1876" s="6">
        <v>198.18770000000001</v>
      </c>
      <c r="C1876" s="6">
        <v>12.903600000000001</v>
      </c>
      <c r="D1876" s="6">
        <v>10568.97</v>
      </c>
      <c r="E1876" s="6">
        <v>0.66</v>
      </c>
      <c r="F1876" s="6">
        <f t="shared" si="203"/>
        <v>7.3333333333333341E-3</v>
      </c>
      <c r="G1876">
        <f t="shared" si="204"/>
        <v>0.6944384463235419</v>
      </c>
      <c r="H1876">
        <f t="shared" si="205"/>
        <v>0.71967154253243248</v>
      </c>
      <c r="I1876">
        <f t="shared" si="206"/>
        <v>-9.8398960997713059E-2</v>
      </c>
      <c r="J1876">
        <f t="shared" si="207"/>
        <v>0.48346513061771995</v>
      </c>
      <c r="K1876">
        <f t="shared" si="208"/>
        <v>0.6871051129902086</v>
      </c>
      <c r="L1876">
        <f t="shared" si="209"/>
        <v>-0.10573229433104639</v>
      </c>
    </row>
    <row r="1877" spans="1:12" x14ac:dyDescent="0.25">
      <c r="A1877" s="1">
        <v>42956</v>
      </c>
      <c r="B1877" s="6">
        <v>195.45410000000001</v>
      </c>
      <c r="C1877" s="6">
        <v>12.811400000000001</v>
      </c>
      <c r="D1877" s="6">
        <v>10470.379999999999</v>
      </c>
      <c r="E1877" s="6">
        <v>0.66</v>
      </c>
      <c r="F1877" s="6">
        <f t="shared" si="203"/>
        <v>7.3333333333333341E-3</v>
      </c>
      <c r="G1877">
        <f t="shared" si="204"/>
        <v>-1.3792985134798958</v>
      </c>
      <c r="H1877">
        <f t="shared" si="205"/>
        <v>-0.71452927865091953</v>
      </c>
      <c r="I1877">
        <f t="shared" si="206"/>
        <v>-0.93282505296164286</v>
      </c>
      <c r="J1877">
        <f t="shared" si="207"/>
        <v>-0.97567043857495106</v>
      </c>
      <c r="K1877">
        <f t="shared" si="208"/>
        <v>-1.3866318468132293</v>
      </c>
      <c r="L1877">
        <f t="shared" si="209"/>
        <v>-0.94015838629497617</v>
      </c>
    </row>
    <row r="1878" spans="1:12" x14ac:dyDescent="0.25">
      <c r="A1878" s="1">
        <v>42957</v>
      </c>
      <c r="B1878" s="6">
        <v>194.99850000000001</v>
      </c>
      <c r="C1878" s="6">
        <v>12.903600000000001</v>
      </c>
      <c r="D1878" s="6">
        <v>10329.74</v>
      </c>
      <c r="E1878" s="6">
        <v>0.66</v>
      </c>
      <c r="F1878" s="6">
        <f t="shared" si="203"/>
        <v>7.3333333333333341E-3</v>
      </c>
      <c r="G1878">
        <f t="shared" si="204"/>
        <v>-0.23309820566568007</v>
      </c>
      <c r="H1878">
        <f t="shared" si="205"/>
        <v>0.71967154253243248</v>
      </c>
      <c r="I1878">
        <f t="shared" si="206"/>
        <v>-1.3432177246671031</v>
      </c>
      <c r="J1878">
        <f t="shared" si="207"/>
        <v>-0.16917391998570952</v>
      </c>
      <c r="K1878">
        <f t="shared" si="208"/>
        <v>-0.2404315389990134</v>
      </c>
      <c r="L1878">
        <f t="shared" si="209"/>
        <v>-1.3505510580004365</v>
      </c>
    </row>
    <row r="1879" spans="1:12" x14ac:dyDescent="0.25">
      <c r="A1879" s="1">
        <v>42958</v>
      </c>
      <c r="B1879" s="6">
        <v>193.6317</v>
      </c>
      <c r="C1879" s="6">
        <v>12.9497</v>
      </c>
      <c r="D1879" s="6">
        <v>10329.57</v>
      </c>
      <c r="E1879" s="6">
        <v>0.66</v>
      </c>
      <c r="F1879" s="6">
        <f t="shared" si="203"/>
        <v>7.3333333333333341E-3</v>
      </c>
      <c r="G1879">
        <f t="shared" si="204"/>
        <v>-0.70092846868053449</v>
      </c>
      <c r="H1879">
        <f t="shared" si="205"/>
        <v>0.35726463932545288</v>
      </c>
      <c r="I1879">
        <f t="shared" si="206"/>
        <v>-1.6457335809039991E-3</v>
      </c>
      <c r="J1879">
        <f t="shared" si="207"/>
        <v>-0.49835153042596536</v>
      </c>
      <c r="K1879">
        <f t="shared" si="208"/>
        <v>-0.70826180201386779</v>
      </c>
      <c r="L1879">
        <f t="shared" si="209"/>
        <v>-8.9790669142373325E-3</v>
      </c>
    </row>
    <row r="1880" spans="1:12" x14ac:dyDescent="0.25">
      <c r="A1880" s="1">
        <v>42961</v>
      </c>
      <c r="B1880" s="6">
        <v>192.26490000000001</v>
      </c>
      <c r="C1880" s="6">
        <v>12.9497</v>
      </c>
      <c r="D1880" s="6">
        <v>10225.280000000001</v>
      </c>
      <c r="E1880" s="6">
        <v>0.66</v>
      </c>
      <c r="F1880" s="6">
        <f t="shared" si="203"/>
        <v>7.3333333333333341E-3</v>
      </c>
      <c r="G1880">
        <f t="shared" si="204"/>
        <v>-0.70587615560880967</v>
      </c>
      <c r="H1880">
        <f t="shared" si="205"/>
        <v>0</v>
      </c>
      <c r="I1880">
        <f t="shared" si="206"/>
        <v>-1.0096257637055468</v>
      </c>
      <c r="J1880">
        <f t="shared" si="207"/>
        <v>-0.50183285236901465</v>
      </c>
      <c r="K1880">
        <f t="shared" si="208"/>
        <v>-0.71320948894214298</v>
      </c>
      <c r="L1880">
        <f t="shared" si="209"/>
        <v>-1.0169590970388802</v>
      </c>
    </row>
    <row r="1881" spans="1:12" x14ac:dyDescent="0.25">
      <c r="A1881" s="1">
        <v>42962</v>
      </c>
      <c r="B1881" s="6">
        <v>194.99850000000001</v>
      </c>
      <c r="C1881" s="6">
        <v>12.995799999999999</v>
      </c>
      <c r="D1881" s="6">
        <v>10311.16</v>
      </c>
      <c r="E1881" s="6">
        <v>0.66</v>
      </c>
      <c r="F1881" s="6">
        <f t="shared" si="203"/>
        <v>7.3333333333333341E-3</v>
      </c>
      <c r="G1881">
        <f t="shared" si="204"/>
        <v>1.4217883763495029</v>
      </c>
      <c r="H1881">
        <f t="shared" si="205"/>
        <v>0.35599280292206881</v>
      </c>
      <c r="I1881">
        <f t="shared" si="206"/>
        <v>0.8398792013519355</v>
      </c>
      <c r="J1881">
        <f t="shared" si="207"/>
        <v>0.99524756721530894</v>
      </c>
      <c r="K1881">
        <f t="shared" si="208"/>
        <v>1.4144550430161695</v>
      </c>
      <c r="L1881">
        <f t="shared" si="209"/>
        <v>0.8325458680186022</v>
      </c>
    </row>
    <row r="1882" spans="1:12" x14ac:dyDescent="0.25">
      <c r="A1882" s="1">
        <v>42963</v>
      </c>
      <c r="B1882" s="6">
        <v>194.0873</v>
      </c>
      <c r="C1882" s="6">
        <v>12.9497</v>
      </c>
      <c r="D1882" s="6">
        <v>10290.39</v>
      </c>
      <c r="E1882" s="6">
        <v>0.66</v>
      </c>
      <c r="F1882" s="6">
        <f t="shared" si="203"/>
        <v>7.3333333333333341E-3</v>
      </c>
      <c r="G1882">
        <f t="shared" si="204"/>
        <v>-0.46728564578702297</v>
      </c>
      <c r="H1882">
        <f t="shared" si="205"/>
        <v>-0.35472998968896985</v>
      </c>
      <c r="I1882">
        <f t="shared" si="206"/>
        <v>-0.20143223458854714</v>
      </c>
      <c r="J1882">
        <f t="shared" si="207"/>
        <v>-0.33395432866956681</v>
      </c>
      <c r="K1882">
        <f t="shared" si="208"/>
        <v>-0.47461897912035633</v>
      </c>
      <c r="L1882">
        <f t="shared" si="209"/>
        <v>-0.20876556792188047</v>
      </c>
    </row>
    <row r="1883" spans="1:12" x14ac:dyDescent="0.25">
      <c r="A1883" s="1">
        <v>42964</v>
      </c>
      <c r="B1883" s="6">
        <v>194.99850000000001</v>
      </c>
      <c r="C1883" s="6">
        <v>13.0419</v>
      </c>
      <c r="D1883" s="6">
        <v>10369.370000000001</v>
      </c>
      <c r="E1883" s="6">
        <v>0.66</v>
      </c>
      <c r="F1883" s="6">
        <f t="shared" si="203"/>
        <v>7.3333333333333341E-3</v>
      </c>
      <c r="G1883">
        <f t="shared" si="204"/>
        <v>0.46947945589433621</v>
      </c>
      <c r="H1883">
        <f t="shared" si="205"/>
        <v>0.71198560584415127</v>
      </c>
      <c r="I1883">
        <f t="shared" si="206"/>
        <v>0.76751221285103277</v>
      </c>
      <c r="J1883">
        <f t="shared" si="207"/>
        <v>0.32517810053265023</v>
      </c>
      <c r="K1883">
        <f t="shared" si="208"/>
        <v>0.46214612256100285</v>
      </c>
      <c r="L1883">
        <f t="shared" si="209"/>
        <v>0.76017887951769947</v>
      </c>
    </row>
    <row r="1884" spans="1:12" x14ac:dyDescent="0.25">
      <c r="A1884" s="1">
        <v>42965</v>
      </c>
      <c r="B1884" s="6">
        <v>193.6317</v>
      </c>
      <c r="C1884" s="6">
        <v>12.995799999999999</v>
      </c>
      <c r="D1884" s="6">
        <v>10321.33</v>
      </c>
      <c r="E1884" s="6">
        <v>0.66</v>
      </c>
      <c r="F1884" s="6">
        <f t="shared" si="203"/>
        <v>7.3333333333333341E-3</v>
      </c>
      <c r="G1884">
        <f t="shared" si="204"/>
        <v>-0.70092846868053449</v>
      </c>
      <c r="H1884">
        <f t="shared" si="205"/>
        <v>-0.35347610394191736</v>
      </c>
      <c r="I1884">
        <f t="shared" si="206"/>
        <v>-0.46328754784524873</v>
      </c>
      <c r="J1884">
        <f t="shared" si="207"/>
        <v>-0.49835153042596536</v>
      </c>
      <c r="K1884">
        <f t="shared" si="208"/>
        <v>-0.70826180201386779</v>
      </c>
      <c r="L1884">
        <f t="shared" si="209"/>
        <v>-0.47062088117858208</v>
      </c>
    </row>
    <row r="1885" spans="1:12" x14ac:dyDescent="0.25">
      <c r="A1885" s="1">
        <v>42968</v>
      </c>
      <c r="B1885" s="6">
        <v>192.72049999999999</v>
      </c>
      <c r="C1885" s="6">
        <v>13.0419</v>
      </c>
      <c r="D1885" s="6">
        <v>10326.39</v>
      </c>
      <c r="E1885" s="6">
        <v>0.66</v>
      </c>
      <c r="F1885" s="6">
        <f t="shared" si="203"/>
        <v>7.3333333333333341E-3</v>
      </c>
      <c r="G1885">
        <f t="shared" si="204"/>
        <v>-0.47058410373921628</v>
      </c>
      <c r="H1885">
        <f t="shared" si="205"/>
        <v>0.3547299896889835</v>
      </c>
      <c r="I1885">
        <f t="shared" si="206"/>
        <v>4.9024689647550176E-2</v>
      </c>
      <c r="J1885">
        <f t="shared" si="207"/>
        <v>-0.33627520996493993</v>
      </c>
      <c r="K1885">
        <f t="shared" si="208"/>
        <v>-0.47791743707254963</v>
      </c>
      <c r="L1885">
        <f t="shared" si="209"/>
        <v>4.1691356314216846E-2</v>
      </c>
    </row>
    <row r="1886" spans="1:12" x14ac:dyDescent="0.25">
      <c r="A1886" s="1">
        <v>42969</v>
      </c>
      <c r="B1886" s="6">
        <v>195.45410000000001</v>
      </c>
      <c r="C1886" s="6">
        <v>13.180099999999999</v>
      </c>
      <c r="D1886" s="6">
        <v>10392.07</v>
      </c>
      <c r="E1886" s="6">
        <v>0.66</v>
      </c>
      <c r="F1886" s="6">
        <f t="shared" si="203"/>
        <v>7.3333333333333341E-3</v>
      </c>
      <c r="G1886">
        <f t="shared" si="204"/>
        <v>1.4184272041635551</v>
      </c>
      <c r="H1886">
        <f t="shared" si="205"/>
        <v>1.0596615523811672</v>
      </c>
      <c r="I1886">
        <f t="shared" si="206"/>
        <v>0.63604028125995915</v>
      </c>
      <c r="J1886">
        <f t="shared" si="207"/>
        <v>0.99288255854460339</v>
      </c>
      <c r="K1886">
        <f t="shared" si="208"/>
        <v>1.4110938708302216</v>
      </c>
      <c r="L1886">
        <f t="shared" si="209"/>
        <v>0.62870694792662585</v>
      </c>
    </row>
    <row r="1887" spans="1:12" x14ac:dyDescent="0.25">
      <c r="A1887" s="1">
        <v>42970</v>
      </c>
      <c r="B1887" s="6">
        <v>196.36529999999999</v>
      </c>
      <c r="C1887" s="6">
        <v>13.087899999999999</v>
      </c>
      <c r="D1887" s="6">
        <v>10406.81</v>
      </c>
      <c r="E1887" s="6">
        <v>0.66</v>
      </c>
      <c r="F1887" s="6">
        <f t="shared" si="203"/>
        <v>7.3333333333333341E-3</v>
      </c>
      <c r="G1887">
        <f t="shared" si="204"/>
        <v>0.46619641133134559</v>
      </c>
      <c r="H1887">
        <f t="shared" si="205"/>
        <v>-0.6995394572120095</v>
      </c>
      <c r="I1887">
        <f t="shared" si="206"/>
        <v>0.14183892140834101</v>
      </c>
      <c r="J1887">
        <f t="shared" si="207"/>
        <v>0.32286806450109962</v>
      </c>
      <c r="K1887">
        <f t="shared" si="208"/>
        <v>0.45886307799801224</v>
      </c>
      <c r="L1887">
        <f t="shared" si="209"/>
        <v>0.13450558807500768</v>
      </c>
    </row>
    <row r="1888" spans="1:12" x14ac:dyDescent="0.25">
      <c r="A1888" s="1">
        <v>42971</v>
      </c>
      <c r="B1888" s="6">
        <v>197.7321</v>
      </c>
      <c r="C1888" s="6">
        <v>13.779199999999999</v>
      </c>
      <c r="D1888" s="6">
        <v>10488.96</v>
      </c>
      <c r="E1888" s="6">
        <v>0.66</v>
      </c>
      <c r="F1888" s="6">
        <f t="shared" si="203"/>
        <v>7.3333333333333341E-3</v>
      </c>
      <c r="G1888">
        <f t="shared" si="204"/>
        <v>0.69604965846817746</v>
      </c>
      <c r="H1888">
        <f t="shared" si="205"/>
        <v>5.2819780102231828</v>
      </c>
      <c r="I1888">
        <f t="shared" si="206"/>
        <v>0.78938694950709809</v>
      </c>
      <c r="J1888">
        <f t="shared" si="207"/>
        <v>0.48459882162835605</v>
      </c>
      <c r="K1888">
        <f t="shared" si="208"/>
        <v>0.68871632513484415</v>
      </c>
      <c r="L1888">
        <f t="shared" si="209"/>
        <v>0.78205361617376479</v>
      </c>
    </row>
    <row r="1889" spans="1:12" x14ac:dyDescent="0.25">
      <c r="A1889" s="1">
        <v>42972</v>
      </c>
      <c r="B1889" s="6">
        <v>198.18770000000001</v>
      </c>
      <c r="C1889" s="6">
        <v>13.7331</v>
      </c>
      <c r="D1889" s="6">
        <v>10515.51</v>
      </c>
      <c r="E1889" s="6">
        <v>0.66</v>
      </c>
      <c r="F1889" s="6">
        <f t="shared" si="203"/>
        <v>7.3333333333333341E-3</v>
      </c>
      <c r="G1889">
        <f t="shared" si="204"/>
        <v>0.23041276555501305</v>
      </c>
      <c r="H1889">
        <f t="shared" si="205"/>
        <v>-0.33456223873664032</v>
      </c>
      <c r="I1889">
        <f t="shared" si="206"/>
        <v>0.25312328390995004</v>
      </c>
      <c r="J1889">
        <f t="shared" si="207"/>
        <v>0.15696452376525699</v>
      </c>
      <c r="K1889">
        <f t="shared" si="208"/>
        <v>0.22307943222167972</v>
      </c>
      <c r="L1889">
        <f t="shared" si="209"/>
        <v>0.24578995057661671</v>
      </c>
    </row>
    <row r="1890" spans="1:12" x14ac:dyDescent="0.25">
      <c r="A1890" s="1">
        <v>42975</v>
      </c>
      <c r="B1890" s="6">
        <v>196.82089999999999</v>
      </c>
      <c r="C1890" s="6">
        <v>13.7331</v>
      </c>
      <c r="D1890" s="6">
        <v>10525.98</v>
      </c>
      <c r="E1890" s="6">
        <v>0.66</v>
      </c>
      <c r="F1890" s="6">
        <f t="shared" si="203"/>
        <v>7.3333333333333341E-3</v>
      </c>
      <c r="G1890">
        <f t="shared" si="204"/>
        <v>-0.68964925673995503</v>
      </c>
      <c r="H1890">
        <f t="shared" si="205"/>
        <v>0</v>
      </c>
      <c r="I1890">
        <f t="shared" si="206"/>
        <v>9.9567210720158561E-2</v>
      </c>
      <c r="J1890">
        <f t="shared" si="207"/>
        <v>-0.49041518186586536</v>
      </c>
      <c r="K1890">
        <f t="shared" si="208"/>
        <v>-0.69698259007328833</v>
      </c>
      <c r="L1890">
        <f t="shared" si="209"/>
        <v>9.223387738682523E-2</v>
      </c>
    </row>
    <row r="1891" spans="1:12" x14ac:dyDescent="0.25">
      <c r="A1891" s="1">
        <v>42976</v>
      </c>
      <c r="B1891" s="6">
        <v>196.82089999999999</v>
      </c>
      <c r="C1891" s="6">
        <v>13.7331</v>
      </c>
      <c r="D1891" s="6">
        <v>10496.57</v>
      </c>
      <c r="E1891" s="6">
        <v>0.66</v>
      </c>
      <c r="F1891" s="6">
        <f t="shared" si="203"/>
        <v>7.3333333333333341E-3</v>
      </c>
      <c r="G1891">
        <f t="shared" si="204"/>
        <v>0</v>
      </c>
      <c r="H1891">
        <f t="shared" si="205"/>
        <v>0</v>
      </c>
      <c r="I1891">
        <f t="shared" si="206"/>
        <v>-0.27940391298482287</v>
      </c>
      <c r="J1891">
        <f t="shared" si="207"/>
        <v>-5.1599251567697223E-3</v>
      </c>
      <c r="K1891">
        <f t="shared" si="208"/>
        <v>-7.3333333333333341E-3</v>
      </c>
      <c r="L1891">
        <f t="shared" si="209"/>
        <v>-0.28673724631815622</v>
      </c>
    </row>
    <row r="1892" spans="1:12" x14ac:dyDescent="0.25">
      <c r="A1892" s="1">
        <v>42977</v>
      </c>
      <c r="B1892" s="6">
        <v>198.18770000000001</v>
      </c>
      <c r="C1892" s="6">
        <v>13.686999999999999</v>
      </c>
      <c r="D1892" s="6">
        <v>10569.4</v>
      </c>
      <c r="E1892" s="6">
        <v>0.66</v>
      </c>
      <c r="F1892" s="6">
        <f t="shared" si="203"/>
        <v>7.3333333333333341E-3</v>
      </c>
      <c r="G1892">
        <f t="shared" si="204"/>
        <v>0.6944384463235419</v>
      </c>
      <c r="H1892">
        <f t="shared" si="205"/>
        <v>-0.33568531504176707</v>
      </c>
      <c r="I1892">
        <f t="shared" si="206"/>
        <v>0.69384570388231515</v>
      </c>
      <c r="J1892">
        <f t="shared" si="207"/>
        <v>0.48346513061771995</v>
      </c>
      <c r="K1892">
        <f t="shared" si="208"/>
        <v>0.6871051129902086</v>
      </c>
      <c r="L1892">
        <f t="shared" si="209"/>
        <v>0.68651237054898184</v>
      </c>
    </row>
    <row r="1893" spans="1:12" x14ac:dyDescent="0.25">
      <c r="A1893" s="1">
        <v>42978</v>
      </c>
      <c r="B1893" s="6">
        <v>197.2765</v>
      </c>
      <c r="C1893" s="6">
        <v>13.8714</v>
      </c>
      <c r="D1893" s="6">
        <v>10585.78</v>
      </c>
      <c r="E1893" s="6">
        <v>0.66</v>
      </c>
      <c r="F1893" s="6">
        <f t="shared" si="203"/>
        <v>7.3333333333333341E-3</v>
      </c>
      <c r="G1893">
        <f t="shared" si="204"/>
        <v>-0.45976617115997004</v>
      </c>
      <c r="H1893">
        <f t="shared" si="205"/>
        <v>1.3472638269891146</v>
      </c>
      <c r="I1893">
        <f t="shared" si="206"/>
        <v>0.154975684523256</v>
      </c>
      <c r="J1893">
        <f t="shared" si="207"/>
        <v>-0.32866342962950018</v>
      </c>
      <c r="K1893">
        <f t="shared" si="208"/>
        <v>-0.4670995044933034</v>
      </c>
      <c r="L1893">
        <f t="shared" si="209"/>
        <v>0.14764235118992267</v>
      </c>
    </row>
    <row r="1894" spans="1:12" x14ac:dyDescent="0.25">
      <c r="A1894" s="1">
        <v>42979</v>
      </c>
      <c r="B1894" s="6">
        <v>197.2765</v>
      </c>
      <c r="C1894" s="6">
        <v>14.793100000000001</v>
      </c>
      <c r="D1894" s="6">
        <v>10594.82</v>
      </c>
      <c r="E1894" s="6">
        <v>0.66</v>
      </c>
      <c r="F1894" s="6">
        <f t="shared" si="203"/>
        <v>7.3333333333333341E-3</v>
      </c>
      <c r="G1894">
        <f t="shared" si="204"/>
        <v>0</v>
      </c>
      <c r="H1894">
        <f t="shared" si="205"/>
        <v>6.6446068889946313</v>
      </c>
      <c r="I1894">
        <f t="shared" si="206"/>
        <v>8.5397580527831238E-2</v>
      </c>
      <c r="J1894">
        <f t="shared" si="207"/>
        <v>-5.1599251567697223E-3</v>
      </c>
      <c r="K1894">
        <f t="shared" si="208"/>
        <v>-7.3333333333333341E-3</v>
      </c>
      <c r="L1894">
        <f t="shared" si="209"/>
        <v>7.8064247194497907E-2</v>
      </c>
    </row>
    <row r="1895" spans="1:12" x14ac:dyDescent="0.25">
      <c r="A1895" s="1">
        <v>42982</v>
      </c>
      <c r="B1895" s="6">
        <v>198.18770000000001</v>
      </c>
      <c r="C1895" s="6">
        <v>15.207800000000001</v>
      </c>
      <c r="D1895" s="6">
        <v>10569.87</v>
      </c>
      <c r="E1895" s="6">
        <v>0.66</v>
      </c>
      <c r="F1895" s="6">
        <f t="shared" si="203"/>
        <v>7.3333333333333341E-3</v>
      </c>
      <c r="G1895">
        <f t="shared" si="204"/>
        <v>0.46188978413546877</v>
      </c>
      <c r="H1895">
        <f t="shared" si="205"/>
        <v>2.803333986791138</v>
      </c>
      <c r="I1895">
        <f t="shared" si="206"/>
        <v>-0.23549243875779777</v>
      </c>
      <c r="J1895">
        <f t="shared" si="207"/>
        <v>0.31983780895444047</v>
      </c>
      <c r="K1895">
        <f t="shared" si="208"/>
        <v>0.45455645080213541</v>
      </c>
      <c r="L1895">
        <f t="shared" si="209"/>
        <v>-0.2428257720911311</v>
      </c>
    </row>
    <row r="1896" spans="1:12" x14ac:dyDescent="0.25">
      <c r="A1896" s="1">
        <v>42983</v>
      </c>
      <c r="B1896" s="6">
        <v>198.64330000000001</v>
      </c>
      <c r="C1896" s="6">
        <v>15.207800000000001</v>
      </c>
      <c r="D1896" s="6">
        <v>10617.84</v>
      </c>
      <c r="E1896" s="6">
        <v>0.66</v>
      </c>
      <c r="F1896" s="6">
        <f t="shared" si="203"/>
        <v>7.3333333333333341E-3</v>
      </c>
      <c r="G1896">
        <f t="shared" si="204"/>
        <v>0.22988308557998502</v>
      </c>
      <c r="H1896">
        <f t="shared" si="205"/>
        <v>0</v>
      </c>
      <c r="I1896">
        <f t="shared" si="206"/>
        <v>0.45383718058972666</v>
      </c>
      <c r="J1896">
        <f t="shared" si="207"/>
        <v>0.15659182707959549</v>
      </c>
      <c r="K1896">
        <f t="shared" si="208"/>
        <v>0.22254975224665169</v>
      </c>
      <c r="L1896">
        <f t="shared" si="209"/>
        <v>0.4465038472563933</v>
      </c>
    </row>
    <row r="1897" spans="1:12" x14ac:dyDescent="0.25">
      <c r="A1897" s="1">
        <v>42984</v>
      </c>
      <c r="B1897" s="6">
        <v>197.7321</v>
      </c>
      <c r="C1897" s="6">
        <v>14.793100000000001</v>
      </c>
      <c r="D1897" s="6">
        <v>10547.86</v>
      </c>
      <c r="E1897" s="6">
        <v>0.66</v>
      </c>
      <c r="F1897" s="6">
        <f t="shared" si="203"/>
        <v>7.3333333333333341E-3</v>
      </c>
      <c r="G1897">
        <f t="shared" si="204"/>
        <v>-0.45871167061763873</v>
      </c>
      <c r="H1897">
        <f t="shared" si="205"/>
        <v>-2.7268901484764387</v>
      </c>
      <c r="I1897">
        <f t="shared" si="206"/>
        <v>-0.6590794361188298</v>
      </c>
      <c r="J1897">
        <f t="shared" si="207"/>
        <v>-0.32792145546456347</v>
      </c>
      <c r="K1897">
        <f t="shared" si="208"/>
        <v>-0.46604500395097209</v>
      </c>
      <c r="L1897">
        <f t="shared" si="209"/>
        <v>-0.6664127694521631</v>
      </c>
    </row>
    <row r="1898" spans="1:12" x14ac:dyDescent="0.25">
      <c r="A1898" s="1">
        <v>42985</v>
      </c>
      <c r="B1898" s="6">
        <v>197.7321</v>
      </c>
      <c r="C1898" s="6">
        <v>15.0235</v>
      </c>
      <c r="D1898" s="6">
        <v>10538.51</v>
      </c>
      <c r="E1898" s="6">
        <v>0.66</v>
      </c>
      <c r="F1898" s="6">
        <f t="shared" si="203"/>
        <v>7.3333333333333341E-3</v>
      </c>
      <c r="G1898">
        <f t="shared" si="204"/>
        <v>0</v>
      </c>
      <c r="H1898">
        <f t="shared" si="205"/>
        <v>1.5574828805321366</v>
      </c>
      <c r="I1898">
        <f t="shared" si="206"/>
        <v>-8.8643573198737599E-2</v>
      </c>
      <c r="J1898">
        <f t="shared" si="207"/>
        <v>-5.1599251567697223E-3</v>
      </c>
      <c r="K1898">
        <f t="shared" si="208"/>
        <v>-7.3333333333333341E-3</v>
      </c>
      <c r="L1898">
        <f t="shared" si="209"/>
        <v>-9.597690653207093E-2</v>
      </c>
    </row>
    <row r="1899" spans="1:12" x14ac:dyDescent="0.25">
      <c r="A1899" s="1">
        <v>42986</v>
      </c>
      <c r="B1899" s="6">
        <v>198.64330000000001</v>
      </c>
      <c r="C1899" s="6">
        <v>14.977399999999999</v>
      </c>
      <c r="D1899" s="6">
        <v>10609.95</v>
      </c>
      <c r="E1899" s="6">
        <v>0.66</v>
      </c>
      <c r="F1899" s="6">
        <f t="shared" si="203"/>
        <v>7.3333333333333341E-3</v>
      </c>
      <c r="G1899">
        <f t="shared" si="204"/>
        <v>0.46082553111002611</v>
      </c>
      <c r="H1899">
        <f t="shared" si="205"/>
        <v>-0.30685259759710398</v>
      </c>
      <c r="I1899">
        <f t="shared" si="206"/>
        <v>0.67789469289302295</v>
      </c>
      <c r="J1899">
        <f t="shared" si="207"/>
        <v>0.3190889726872837</v>
      </c>
      <c r="K1899">
        <f t="shared" si="208"/>
        <v>0.45349219777669275</v>
      </c>
      <c r="L1899">
        <f t="shared" si="209"/>
        <v>0.67056135955968965</v>
      </c>
    </row>
    <row r="1900" spans="1:12" x14ac:dyDescent="0.25">
      <c r="A1900" s="1">
        <v>42989</v>
      </c>
      <c r="B1900" s="6">
        <v>197.7321</v>
      </c>
      <c r="C1900" s="6">
        <v>14.793100000000001</v>
      </c>
      <c r="D1900" s="6">
        <v>10572.16</v>
      </c>
      <c r="E1900" s="6">
        <v>0.66</v>
      </c>
      <c r="F1900" s="6">
        <f t="shared" si="203"/>
        <v>7.3333333333333341E-3</v>
      </c>
      <c r="G1900">
        <f t="shared" si="204"/>
        <v>-0.45871167061763873</v>
      </c>
      <c r="H1900">
        <f t="shared" si="205"/>
        <v>-1.2305206511143361</v>
      </c>
      <c r="I1900">
        <f t="shared" si="206"/>
        <v>-0.35617509978841438</v>
      </c>
      <c r="J1900">
        <f t="shared" si="207"/>
        <v>-0.32792145546456347</v>
      </c>
      <c r="K1900">
        <f t="shared" si="208"/>
        <v>-0.46604500395097209</v>
      </c>
      <c r="L1900">
        <f t="shared" si="209"/>
        <v>-0.36350843312174774</v>
      </c>
    </row>
    <row r="1901" spans="1:12" x14ac:dyDescent="0.25">
      <c r="A1901" s="1">
        <v>42990</v>
      </c>
      <c r="B1901" s="6">
        <v>199.55459999999999</v>
      </c>
      <c r="C1901" s="6">
        <v>14.6548</v>
      </c>
      <c r="D1901" s="6">
        <v>10610.35</v>
      </c>
      <c r="E1901" s="6">
        <v>0.66</v>
      </c>
      <c r="F1901" s="6">
        <f t="shared" si="203"/>
        <v>7.3333333333333341E-3</v>
      </c>
      <c r="G1901">
        <f t="shared" si="204"/>
        <v>0.92170163569799279</v>
      </c>
      <c r="H1901">
        <f t="shared" si="205"/>
        <v>-0.93489532281942911</v>
      </c>
      <c r="I1901">
        <f t="shared" si="206"/>
        <v>0.36123176342394092</v>
      </c>
      <c r="J1901">
        <f t="shared" si="207"/>
        <v>0.64337345535330415</v>
      </c>
      <c r="K1901">
        <f t="shared" si="208"/>
        <v>0.91436830236465949</v>
      </c>
      <c r="L1901">
        <f t="shared" si="209"/>
        <v>0.35389843009060756</v>
      </c>
    </row>
    <row r="1902" spans="1:12" x14ac:dyDescent="0.25">
      <c r="A1902" s="1">
        <v>42991</v>
      </c>
      <c r="B1902" s="6">
        <v>198.64330000000001</v>
      </c>
      <c r="C1902" s="6">
        <v>14.470499999999999</v>
      </c>
      <c r="D1902" s="6">
        <v>10532.88</v>
      </c>
      <c r="E1902" s="6">
        <v>0.66</v>
      </c>
      <c r="F1902" s="6">
        <f t="shared" si="203"/>
        <v>7.3333333333333341E-3</v>
      </c>
      <c r="G1902">
        <f t="shared" si="204"/>
        <v>-0.45666699740320843</v>
      </c>
      <c r="H1902">
        <f t="shared" si="205"/>
        <v>-1.2576084286377185</v>
      </c>
      <c r="I1902">
        <f t="shared" si="206"/>
        <v>-0.730136140655126</v>
      </c>
      <c r="J1902">
        <f t="shared" si="207"/>
        <v>-0.32648276990685726</v>
      </c>
      <c r="K1902">
        <f t="shared" si="208"/>
        <v>-0.46400033073654179</v>
      </c>
      <c r="L1902">
        <f t="shared" si="209"/>
        <v>-0.7374694739884593</v>
      </c>
    </row>
    <row r="1903" spans="1:12" x14ac:dyDescent="0.25">
      <c r="A1903" s="1">
        <v>42992</v>
      </c>
      <c r="B1903" s="6">
        <v>199.09889999999999</v>
      </c>
      <c r="C1903" s="6">
        <v>14.6548</v>
      </c>
      <c r="D1903" s="6">
        <v>10553.57</v>
      </c>
      <c r="E1903" s="6">
        <v>0.66</v>
      </c>
      <c r="F1903" s="6">
        <f t="shared" si="203"/>
        <v>7.3333333333333341E-3</v>
      </c>
      <c r="G1903">
        <f t="shared" si="204"/>
        <v>0.22935583530880504</v>
      </c>
      <c r="H1903">
        <f t="shared" si="205"/>
        <v>1.2736256521889386</v>
      </c>
      <c r="I1903">
        <f t="shared" si="206"/>
        <v>0.19643250469008011</v>
      </c>
      <c r="J1903">
        <f t="shared" si="207"/>
        <v>0.15622083999711706</v>
      </c>
      <c r="K1903">
        <f t="shared" si="208"/>
        <v>0.22202250197547171</v>
      </c>
      <c r="L1903">
        <f t="shared" si="209"/>
        <v>0.18909917135674678</v>
      </c>
    </row>
    <row r="1904" spans="1:12" x14ac:dyDescent="0.25">
      <c r="A1904" s="1">
        <v>42993</v>
      </c>
      <c r="B1904" s="6">
        <v>199.09889999999999</v>
      </c>
      <c r="C1904" s="6">
        <v>14.3322</v>
      </c>
      <c r="D1904" s="6">
        <v>10580.41</v>
      </c>
      <c r="E1904" s="6">
        <v>0.66</v>
      </c>
      <c r="F1904" s="6">
        <f t="shared" si="203"/>
        <v>7.3333333333333341E-3</v>
      </c>
      <c r="G1904">
        <f t="shared" si="204"/>
        <v>0</v>
      </c>
      <c r="H1904">
        <f t="shared" si="205"/>
        <v>-2.2013265278270571</v>
      </c>
      <c r="I1904">
        <f t="shared" si="206"/>
        <v>0.25432152342761877</v>
      </c>
      <c r="J1904">
        <f t="shared" si="207"/>
        <v>-5.1599251567697223E-3</v>
      </c>
      <c r="K1904">
        <f t="shared" si="208"/>
        <v>-7.3333333333333341E-3</v>
      </c>
      <c r="L1904">
        <f t="shared" si="209"/>
        <v>0.24698819009428544</v>
      </c>
    </row>
    <row r="1905" spans="1:12" x14ac:dyDescent="0.25">
      <c r="A1905" s="1">
        <v>42996</v>
      </c>
      <c r="B1905" s="6">
        <v>200.0102</v>
      </c>
      <c r="C1905" s="6">
        <v>14.6548</v>
      </c>
      <c r="D1905" s="6">
        <v>10631.57</v>
      </c>
      <c r="E1905" s="6">
        <v>0.66</v>
      </c>
      <c r="F1905" s="6">
        <f t="shared" si="203"/>
        <v>7.3333333333333341E-3</v>
      </c>
      <c r="G1905">
        <f t="shared" si="204"/>
        <v>0.45771222241811049</v>
      </c>
      <c r="H1905">
        <f t="shared" si="205"/>
        <v>2.2508756506328376</v>
      </c>
      <c r="I1905">
        <f t="shared" si="206"/>
        <v>0.48353513710716178</v>
      </c>
      <c r="J1905">
        <f t="shared" si="207"/>
        <v>0.31689836725452841</v>
      </c>
      <c r="K1905">
        <f t="shared" si="208"/>
        <v>0.45037888908477713</v>
      </c>
      <c r="L1905">
        <f t="shared" si="209"/>
        <v>0.47620180377382842</v>
      </c>
    </row>
    <row r="1906" spans="1:12" x14ac:dyDescent="0.25">
      <c r="A1906" s="1">
        <v>42997</v>
      </c>
      <c r="B1906" s="6">
        <v>201.83260000000001</v>
      </c>
      <c r="C1906" s="6">
        <v>14.747</v>
      </c>
      <c r="D1906" s="6">
        <v>10576.14</v>
      </c>
      <c r="E1906" s="6">
        <v>0.66</v>
      </c>
      <c r="F1906" s="6">
        <f t="shared" si="203"/>
        <v>7.3333333333333341E-3</v>
      </c>
      <c r="G1906">
        <f t="shared" si="204"/>
        <v>0.91115353116991837</v>
      </c>
      <c r="H1906">
        <f t="shared" si="205"/>
        <v>0.62914539945956316</v>
      </c>
      <c r="I1906">
        <f t="shared" si="206"/>
        <v>-0.52137172590690084</v>
      </c>
      <c r="J1906">
        <f t="shared" si="207"/>
        <v>0.6359515330927612</v>
      </c>
      <c r="K1906">
        <f t="shared" si="208"/>
        <v>0.90382019783658507</v>
      </c>
      <c r="L1906">
        <f t="shared" si="209"/>
        <v>-0.52870505924023414</v>
      </c>
    </row>
    <row r="1907" spans="1:12" x14ac:dyDescent="0.25">
      <c r="A1907" s="1">
        <v>42998</v>
      </c>
      <c r="B1907" s="6">
        <v>201.83260000000001</v>
      </c>
      <c r="C1907" s="6">
        <v>14.4244</v>
      </c>
      <c r="D1907" s="6">
        <v>10519.17</v>
      </c>
      <c r="E1907" s="6">
        <v>0.66</v>
      </c>
      <c r="F1907" s="6">
        <f t="shared" si="203"/>
        <v>7.3333333333333341E-3</v>
      </c>
      <c r="G1907">
        <f t="shared" si="204"/>
        <v>0</v>
      </c>
      <c r="H1907">
        <f t="shared" si="205"/>
        <v>-2.1875635722519804</v>
      </c>
      <c r="I1907">
        <f t="shared" si="206"/>
        <v>-0.53866533536809602</v>
      </c>
      <c r="J1907">
        <f t="shared" si="207"/>
        <v>-5.1599251567697223E-3</v>
      </c>
      <c r="K1907">
        <f t="shared" si="208"/>
        <v>-7.3333333333333341E-3</v>
      </c>
      <c r="L1907">
        <f t="shared" si="209"/>
        <v>-0.54599866870142932</v>
      </c>
    </row>
    <row r="1908" spans="1:12" x14ac:dyDescent="0.25">
      <c r="A1908" s="1">
        <v>42999</v>
      </c>
      <c r="B1908" s="6">
        <v>201.37700000000001</v>
      </c>
      <c r="C1908" s="6">
        <v>14.608700000000001</v>
      </c>
      <c r="D1908" s="6">
        <v>10578.44</v>
      </c>
      <c r="E1908" s="6">
        <v>0.66</v>
      </c>
      <c r="F1908" s="6">
        <f t="shared" si="203"/>
        <v>7.3333333333333341E-3</v>
      </c>
      <c r="G1908">
        <f t="shared" si="204"/>
        <v>-0.22573162115535547</v>
      </c>
      <c r="H1908">
        <f t="shared" si="205"/>
        <v>1.2776961260087099</v>
      </c>
      <c r="I1908">
        <f t="shared" si="206"/>
        <v>0.56344749633288971</v>
      </c>
      <c r="J1908">
        <f t="shared" si="207"/>
        <v>-0.16399059843103306</v>
      </c>
      <c r="K1908">
        <f t="shared" si="208"/>
        <v>-0.2330649544886888</v>
      </c>
      <c r="L1908">
        <f t="shared" si="209"/>
        <v>0.55611416299955641</v>
      </c>
    </row>
    <row r="1909" spans="1:12" x14ac:dyDescent="0.25">
      <c r="A1909" s="1">
        <v>43000</v>
      </c>
      <c r="B1909" s="6">
        <v>199.09889999999999</v>
      </c>
      <c r="C1909" s="6">
        <v>14.286099999999999</v>
      </c>
      <c r="D1909" s="6">
        <v>10449.68</v>
      </c>
      <c r="E1909" s="6">
        <v>0.66</v>
      </c>
      <c r="F1909" s="6">
        <f t="shared" si="203"/>
        <v>7.3333333333333341E-3</v>
      </c>
      <c r="G1909">
        <f t="shared" si="204"/>
        <v>-1.1312612661823462</v>
      </c>
      <c r="H1909">
        <f t="shared" si="205"/>
        <v>-2.2082731522996659</v>
      </c>
      <c r="I1909">
        <f t="shared" si="206"/>
        <v>-1.2171927051625779</v>
      </c>
      <c r="J1909">
        <f t="shared" si="207"/>
        <v>-0.80114494328224117</v>
      </c>
      <c r="K1909">
        <f t="shared" si="208"/>
        <v>-1.1385945995156797</v>
      </c>
      <c r="L1909">
        <f t="shared" si="209"/>
        <v>-1.2245260384959114</v>
      </c>
    </row>
    <row r="1910" spans="1:12" x14ac:dyDescent="0.25">
      <c r="A1910" s="1">
        <v>43003</v>
      </c>
      <c r="B1910" s="6">
        <v>197.7321</v>
      </c>
      <c r="C1910" s="6">
        <v>14.009600000000001</v>
      </c>
      <c r="D1910" s="6">
        <v>10335.89</v>
      </c>
      <c r="E1910" s="6">
        <v>0.66</v>
      </c>
      <c r="F1910" s="6">
        <f t="shared" si="203"/>
        <v>7.3333333333333341E-3</v>
      </c>
      <c r="G1910">
        <f t="shared" si="204"/>
        <v>-0.68649299418529364</v>
      </c>
      <c r="H1910">
        <f t="shared" si="205"/>
        <v>-1.935447742910932</v>
      </c>
      <c r="I1910">
        <f t="shared" si="206"/>
        <v>-1.0889328668437777</v>
      </c>
      <c r="J1910">
        <f t="shared" si="207"/>
        <v>-0.4881943529717061</v>
      </c>
      <c r="K1910">
        <f t="shared" si="208"/>
        <v>-0.69382632751862694</v>
      </c>
      <c r="L1910">
        <f t="shared" si="209"/>
        <v>-1.0962662001771111</v>
      </c>
    </row>
    <row r="1911" spans="1:12" x14ac:dyDescent="0.25">
      <c r="A1911" s="1">
        <v>43004</v>
      </c>
      <c r="B1911" s="6">
        <v>194.99850000000001</v>
      </c>
      <c r="C1911" s="6">
        <v>14.0557</v>
      </c>
      <c r="D1911" s="6">
        <v>10257.02</v>
      </c>
      <c r="E1911" s="6">
        <v>0.66</v>
      </c>
      <c r="F1911" s="6">
        <f t="shared" si="203"/>
        <v>7.3333333333333341E-3</v>
      </c>
      <c r="G1911">
        <f t="shared" si="204"/>
        <v>-1.382476593330064</v>
      </c>
      <c r="H1911">
        <f t="shared" si="205"/>
        <v>0.32906007309273028</v>
      </c>
      <c r="I1911">
        <f t="shared" si="206"/>
        <v>-0.76306926641052664</v>
      </c>
      <c r="J1911">
        <f t="shared" si="207"/>
        <v>-0.97790661868892004</v>
      </c>
      <c r="K1911">
        <f t="shared" si="208"/>
        <v>-1.3898099266633974</v>
      </c>
      <c r="L1911">
        <f t="shared" si="209"/>
        <v>-0.77040259974385994</v>
      </c>
    </row>
    <row r="1912" spans="1:12" x14ac:dyDescent="0.25">
      <c r="A1912" s="1">
        <v>43005</v>
      </c>
      <c r="B1912" s="6">
        <v>195.90969999999999</v>
      </c>
      <c r="C1912" s="6">
        <v>14.0557</v>
      </c>
      <c r="D1912" s="6">
        <v>10326.68</v>
      </c>
      <c r="E1912" s="6">
        <v>0.66</v>
      </c>
      <c r="F1912" s="6">
        <f t="shared" si="203"/>
        <v>7.3333333333333341E-3</v>
      </c>
      <c r="G1912">
        <f t="shared" si="204"/>
        <v>0.46728564578700837</v>
      </c>
      <c r="H1912">
        <f t="shared" si="205"/>
        <v>0</v>
      </c>
      <c r="I1912">
        <f t="shared" si="206"/>
        <v>0.67914462485205107</v>
      </c>
      <c r="J1912">
        <f t="shared" si="207"/>
        <v>0.32363447835601705</v>
      </c>
      <c r="K1912">
        <f t="shared" si="208"/>
        <v>0.45995231245367502</v>
      </c>
      <c r="L1912">
        <f t="shared" si="209"/>
        <v>0.67181129151871777</v>
      </c>
    </row>
    <row r="1913" spans="1:12" x14ac:dyDescent="0.25">
      <c r="A1913" s="1">
        <v>43006</v>
      </c>
      <c r="B1913" s="6">
        <v>194.99850000000001</v>
      </c>
      <c r="C1913" s="6">
        <v>14.24</v>
      </c>
      <c r="D1913" s="6">
        <v>10296.450000000001</v>
      </c>
      <c r="E1913" s="6">
        <v>0.66</v>
      </c>
      <c r="F1913" s="6">
        <f t="shared" si="203"/>
        <v>7.3333333333333341E-3</v>
      </c>
      <c r="G1913">
        <f t="shared" si="204"/>
        <v>-0.46511224303849152</v>
      </c>
      <c r="H1913">
        <f t="shared" si="205"/>
        <v>1.3112118215385955</v>
      </c>
      <c r="I1913">
        <f t="shared" si="206"/>
        <v>-0.2927368718697545</v>
      </c>
      <c r="J1913">
        <f t="shared" si="207"/>
        <v>-0.33242506564439323</v>
      </c>
      <c r="K1913">
        <f t="shared" si="208"/>
        <v>-0.47244557637182488</v>
      </c>
      <c r="L1913">
        <f t="shared" si="209"/>
        <v>-0.30007020520308786</v>
      </c>
    </row>
    <row r="1914" spans="1:12" x14ac:dyDescent="0.25">
      <c r="A1914" s="1">
        <v>43007</v>
      </c>
      <c r="B1914" s="6">
        <v>197.2765</v>
      </c>
      <c r="C1914" s="6">
        <v>13.9635</v>
      </c>
      <c r="D1914" s="6">
        <v>10329.94</v>
      </c>
      <c r="E1914" s="6">
        <v>0.66</v>
      </c>
      <c r="F1914" s="6">
        <f t="shared" si="203"/>
        <v>7.3333333333333341E-3</v>
      </c>
      <c r="G1914">
        <f t="shared" si="204"/>
        <v>1.1682141144675429</v>
      </c>
      <c r="H1914">
        <f t="shared" si="205"/>
        <v>-1.9417134831460703</v>
      </c>
      <c r="I1914">
        <f t="shared" si="206"/>
        <v>0.3252577344618755</v>
      </c>
      <c r="J1914">
        <f t="shared" si="207"/>
        <v>0.8168260836252127</v>
      </c>
      <c r="K1914">
        <f t="shared" si="208"/>
        <v>1.1608807811342094</v>
      </c>
      <c r="L1914">
        <f t="shared" si="209"/>
        <v>0.31792440112854214</v>
      </c>
    </row>
    <row r="1915" spans="1:12" x14ac:dyDescent="0.25">
      <c r="A1915" s="1">
        <v>43008</v>
      </c>
      <c r="B1915" s="6">
        <v>197.2765</v>
      </c>
      <c r="C1915" s="6">
        <v>13.8253</v>
      </c>
      <c r="D1915" s="6">
        <v>10383.94</v>
      </c>
      <c r="E1915" s="6">
        <v>0.66</v>
      </c>
      <c r="F1915" s="6">
        <f t="shared" si="203"/>
        <v>7.3333333333333341E-3</v>
      </c>
      <c r="G1915">
        <f t="shared" si="204"/>
        <v>0</v>
      </c>
      <c r="H1915">
        <f t="shared" si="205"/>
        <v>-0.98972320693235538</v>
      </c>
      <c r="I1915">
        <f t="shared" si="206"/>
        <v>0.52275231027479341</v>
      </c>
      <c r="J1915">
        <f t="shared" si="207"/>
        <v>-5.1599251567697223E-3</v>
      </c>
      <c r="K1915">
        <f t="shared" si="208"/>
        <v>-7.3333333333333341E-3</v>
      </c>
      <c r="L1915">
        <f t="shared" si="209"/>
        <v>0.51541897694146011</v>
      </c>
    </row>
    <row r="1916" spans="1:12" x14ac:dyDescent="0.25">
      <c r="A1916" s="1">
        <v>43010</v>
      </c>
      <c r="B1916" s="6">
        <v>200.92140000000001</v>
      </c>
      <c r="C1916" s="6">
        <v>13.9635</v>
      </c>
      <c r="D1916" s="6">
        <v>10465.16</v>
      </c>
      <c r="E1916" s="6">
        <v>0.66</v>
      </c>
      <c r="F1916" s="6">
        <f t="shared" si="203"/>
        <v>7.3333333333333341E-3</v>
      </c>
      <c r="G1916">
        <f t="shared" si="204"/>
        <v>1.8476098268166796</v>
      </c>
      <c r="H1916">
        <f t="shared" si="205"/>
        <v>0.99961664484676227</v>
      </c>
      <c r="I1916">
        <f t="shared" si="206"/>
        <v>0.78216938849800111</v>
      </c>
      <c r="J1916">
        <f t="shared" si="207"/>
        <v>1.2948666782913667</v>
      </c>
      <c r="K1916">
        <f t="shared" si="208"/>
        <v>1.8402764934833462</v>
      </c>
      <c r="L1916">
        <f t="shared" si="209"/>
        <v>0.7748360551646678</v>
      </c>
    </row>
    <row r="1917" spans="1:12" x14ac:dyDescent="0.25">
      <c r="A1917" s="1">
        <v>43011</v>
      </c>
      <c r="B1917" s="6">
        <v>202.74379999999999</v>
      </c>
      <c r="C1917" s="6">
        <v>14.5626</v>
      </c>
      <c r="D1917" s="6">
        <v>10469.35</v>
      </c>
      <c r="E1917" s="6">
        <v>0.66</v>
      </c>
      <c r="F1917" s="6">
        <f t="shared" si="203"/>
        <v>7.3333333333333341E-3</v>
      </c>
      <c r="G1917">
        <f t="shared" si="204"/>
        <v>0.90702135262843453</v>
      </c>
      <c r="H1917">
        <f t="shared" si="205"/>
        <v>4.2904715866365883</v>
      </c>
      <c r="I1917">
        <f t="shared" si="206"/>
        <v>4.003761050954318E-2</v>
      </c>
      <c r="J1917">
        <f t="shared" si="207"/>
        <v>0.63304402418251582</v>
      </c>
      <c r="K1917">
        <f t="shared" si="208"/>
        <v>0.89968801929510123</v>
      </c>
      <c r="L1917">
        <f t="shared" si="209"/>
        <v>3.2704277176209842E-2</v>
      </c>
    </row>
    <row r="1918" spans="1:12" x14ac:dyDescent="0.25">
      <c r="A1918" s="1">
        <v>43013</v>
      </c>
      <c r="B1918" s="6">
        <v>204.56620000000001</v>
      </c>
      <c r="C1918" s="6">
        <v>14.470499999999999</v>
      </c>
      <c r="D1918" s="6">
        <v>10518.27</v>
      </c>
      <c r="E1918" s="6">
        <v>0.66</v>
      </c>
      <c r="F1918" s="6">
        <f t="shared" si="203"/>
        <v>7.3333333333333341E-3</v>
      </c>
      <c r="G1918">
        <f t="shared" si="204"/>
        <v>0.89886842408991841</v>
      </c>
      <c r="H1918">
        <f t="shared" si="205"/>
        <v>-0.63244200898191461</v>
      </c>
      <c r="I1918">
        <f t="shared" si="206"/>
        <v>0.46726874161242171</v>
      </c>
      <c r="J1918">
        <f t="shared" si="207"/>
        <v>0.6273074104006201</v>
      </c>
      <c r="K1918">
        <f t="shared" si="208"/>
        <v>0.8915350907565851</v>
      </c>
      <c r="L1918">
        <f t="shared" si="209"/>
        <v>0.45993540827908835</v>
      </c>
    </row>
    <row r="1919" spans="1:12" x14ac:dyDescent="0.25">
      <c r="A1919" s="1">
        <v>43014</v>
      </c>
      <c r="B1919" s="6">
        <v>204.56620000000001</v>
      </c>
      <c r="C1919" s="6">
        <v>14.3322</v>
      </c>
      <c r="D1919" s="6">
        <v>10532.81</v>
      </c>
      <c r="E1919" s="6">
        <v>0.66</v>
      </c>
      <c r="F1919" s="6">
        <f t="shared" si="203"/>
        <v>7.3333333333333341E-3</v>
      </c>
      <c r="G1919">
        <f t="shared" si="204"/>
        <v>0</v>
      </c>
      <c r="H1919">
        <f t="shared" si="205"/>
        <v>-0.95573753498496394</v>
      </c>
      <c r="I1919">
        <f t="shared" si="206"/>
        <v>0.13823566042703841</v>
      </c>
      <c r="J1919">
        <f t="shared" si="207"/>
        <v>-5.1599251567697223E-3</v>
      </c>
      <c r="K1919">
        <f t="shared" si="208"/>
        <v>-7.3333333333333341E-3</v>
      </c>
      <c r="L1919">
        <f t="shared" si="209"/>
        <v>0.13090232709370508</v>
      </c>
    </row>
    <row r="1920" spans="1:12" x14ac:dyDescent="0.25">
      <c r="A1920" s="1">
        <v>43019</v>
      </c>
      <c r="B1920" s="6">
        <v>212.3115</v>
      </c>
      <c r="C1920" s="6">
        <v>14.5626</v>
      </c>
      <c r="D1920" s="6">
        <v>10641.19</v>
      </c>
      <c r="E1920" s="6">
        <v>0.66</v>
      </c>
      <c r="F1920" s="6">
        <f t="shared" si="203"/>
        <v>7.3333333333333341E-3</v>
      </c>
      <c r="G1920">
        <f t="shared" si="204"/>
        <v>3.7862071055726636</v>
      </c>
      <c r="H1920">
        <f t="shared" si="205"/>
        <v>1.6075689705697624</v>
      </c>
      <c r="I1920">
        <f t="shared" si="206"/>
        <v>1.0289751737665545</v>
      </c>
      <c r="J1920">
        <f t="shared" si="207"/>
        <v>2.6589144329502297</v>
      </c>
      <c r="K1920">
        <f t="shared" si="208"/>
        <v>3.7788737722393302</v>
      </c>
      <c r="L1920">
        <f t="shared" si="209"/>
        <v>1.021641840433221</v>
      </c>
    </row>
    <row r="1921" spans="1:12" x14ac:dyDescent="0.25">
      <c r="A1921" s="1">
        <v>43020</v>
      </c>
      <c r="B1921" s="6">
        <v>216.4119</v>
      </c>
      <c r="C1921" s="6">
        <v>14.6548</v>
      </c>
      <c r="D1921" s="6">
        <v>10711.44</v>
      </c>
      <c r="E1921" s="6">
        <v>0.66</v>
      </c>
      <c r="F1921" s="6">
        <f t="shared" si="203"/>
        <v>7.3333333333333341E-3</v>
      </c>
      <c r="G1921">
        <f t="shared" si="204"/>
        <v>1.9313131884047767</v>
      </c>
      <c r="H1921">
        <f t="shared" si="205"/>
        <v>0.63312869954541129</v>
      </c>
      <c r="I1921">
        <f t="shared" si="206"/>
        <v>0.66017052604079052</v>
      </c>
      <c r="J1921">
        <f t="shared" si="207"/>
        <v>1.3537625529956323</v>
      </c>
      <c r="K1921">
        <f t="shared" si="208"/>
        <v>1.9239798550714433</v>
      </c>
      <c r="L1921">
        <f t="shared" si="209"/>
        <v>0.65283719270745721</v>
      </c>
    </row>
    <row r="1922" spans="1:12" x14ac:dyDescent="0.25">
      <c r="A1922" s="1">
        <v>43021</v>
      </c>
      <c r="B1922" s="6">
        <v>216.4119</v>
      </c>
      <c r="C1922" s="6">
        <v>14.700900000000001</v>
      </c>
      <c r="D1922" s="6">
        <v>10724.09</v>
      </c>
      <c r="E1922" s="6">
        <v>0.66</v>
      </c>
      <c r="F1922" s="6">
        <f t="shared" si="203"/>
        <v>7.3333333333333341E-3</v>
      </c>
      <c r="G1922">
        <f t="shared" si="204"/>
        <v>0</v>
      </c>
      <c r="H1922">
        <f t="shared" si="205"/>
        <v>0.31457269972978763</v>
      </c>
      <c r="I1922">
        <f t="shared" si="206"/>
        <v>0.11809803350436203</v>
      </c>
      <c r="J1922">
        <f t="shared" si="207"/>
        <v>-5.1599251567697223E-3</v>
      </c>
      <c r="K1922">
        <f t="shared" si="208"/>
        <v>-7.3333333333333341E-3</v>
      </c>
      <c r="L1922">
        <f t="shared" si="209"/>
        <v>0.1107647001710287</v>
      </c>
    </row>
    <row r="1923" spans="1:12" x14ac:dyDescent="0.25">
      <c r="A1923" s="1">
        <v>43024</v>
      </c>
      <c r="B1923" s="6">
        <v>216.86750000000001</v>
      </c>
      <c r="C1923" s="6">
        <v>14.700900000000001</v>
      </c>
      <c r="D1923" s="6">
        <v>10774.21</v>
      </c>
      <c r="E1923" s="6">
        <v>0.66</v>
      </c>
      <c r="F1923" s="6">
        <f t="shared" ref="F1923:F1986" si="210">E1923/90</f>
        <v>7.3333333333333341E-3</v>
      </c>
      <c r="G1923">
        <f t="shared" si="204"/>
        <v>0.21052446746228096</v>
      </c>
      <c r="H1923">
        <f t="shared" si="205"/>
        <v>0</v>
      </c>
      <c r="I1923">
        <f t="shared" si="206"/>
        <v>0.46735900202253972</v>
      </c>
      <c r="J1923">
        <f t="shared" si="207"/>
        <v>0.14297059699425377</v>
      </c>
      <c r="K1923">
        <f t="shared" si="208"/>
        <v>0.20319113412894763</v>
      </c>
      <c r="L1923">
        <f t="shared" si="209"/>
        <v>0.46002566868920636</v>
      </c>
    </row>
    <row r="1924" spans="1:12" x14ac:dyDescent="0.25">
      <c r="A1924" s="1">
        <v>43025</v>
      </c>
      <c r="B1924" s="6">
        <v>214.58949999999999</v>
      </c>
      <c r="C1924" s="6">
        <v>14.6548</v>
      </c>
      <c r="D1924" s="6">
        <v>10723.15</v>
      </c>
      <c r="E1924" s="6">
        <v>0.66</v>
      </c>
      <c r="F1924" s="6">
        <f t="shared" si="210"/>
        <v>7.3333333333333341E-3</v>
      </c>
      <c r="G1924">
        <f t="shared" ref="G1924:G1987" si="211">100*(B1924-B1923)/B1923</f>
        <v>-1.0504109652207085</v>
      </c>
      <c r="H1924">
        <f t="shared" ref="H1924:H1987" si="212">100*(C1924-C1923)/C1923</f>
        <v>-0.31358624301914112</v>
      </c>
      <c r="I1924">
        <f t="shared" ref="I1924:I1987" si="213">100*(D1924-D1923)/D1923</f>
        <v>-0.47390945600651457</v>
      </c>
      <c r="J1924">
        <f t="shared" ref="J1924:J1987" si="214">(G1924-F1924)/$N$3</f>
        <v>-0.74425655666437429</v>
      </c>
      <c r="K1924">
        <f t="shared" ref="K1924:K1987" si="215">G1924-F1924</f>
        <v>-1.057744298554042</v>
      </c>
      <c r="L1924">
        <f t="shared" ref="L1924:L1987" si="216">I1924-F1924</f>
        <v>-0.48124278933984793</v>
      </c>
    </row>
    <row r="1925" spans="1:12" x14ac:dyDescent="0.25">
      <c r="A1925" s="1">
        <v>43026</v>
      </c>
      <c r="B1925" s="6">
        <v>216.4119</v>
      </c>
      <c r="C1925" s="6">
        <v>14.700900000000001</v>
      </c>
      <c r="D1925" s="6">
        <v>10720.28</v>
      </c>
      <c r="E1925" s="6">
        <v>0.66</v>
      </c>
      <c r="F1925" s="6">
        <f t="shared" si="210"/>
        <v>7.3333333333333341E-3</v>
      </c>
      <c r="G1925">
        <f t="shared" si="211"/>
        <v>0.84924938079450119</v>
      </c>
      <c r="H1925">
        <f t="shared" si="212"/>
        <v>0.31457269972978763</v>
      </c>
      <c r="I1925">
        <f t="shared" si="213"/>
        <v>-2.6764523484227875E-2</v>
      </c>
      <c r="J1925">
        <f t="shared" si="214"/>
        <v>0.59239415361586523</v>
      </c>
      <c r="K1925">
        <f t="shared" si="215"/>
        <v>0.84191604746116788</v>
      </c>
      <c r="L1925">
        <f t="shared" si="216"/>
        <v>-3.4097856817561209E-2</v>
      </c>
    </row>
    <row r="1926" spans="1:12" x14ac:dyDescent="0.25">
      <c r="A1926" s="1">
        <v>43027</v>
      </c>
      <c r="B1926" s="6">
        <v>217.77869999999999</v>
      </c>
      <c r="C1926" s="6">
        <v>14.4244</v>
      </c>
      <c r="D1926" s="6">
        <v>10760.29</v>
      </c>
      <c r="E1926" s="6">
        <v>0.66</v>
      </c>
      <c r="F1926" s="6">
        <f t="shared" si="210"/>
        <v>7.3333333333333341E-3</v>
      </c>
      <c r="G1926">
        <f t="shared" si="211"/>
        <v>0.63157340238682969</v>
      </c>
      <c r="H1926">
        <f t="shared" si="212"/>
        <v>-1.8808372276527314</v>
      </c>
      <c r="I1926">
        <f t="shared" si="213"/>
        <v>0.37321786371251697</v>
      </c>
      <c r="J1926">
        <f t="shared" si="214"/>
        <v>0.4392316412962915</v>
      </c>
      <c r="K1926">
        <f t="shared" si="215"/>
        <v>0.62424006905349638</v>
      </c>
      <c r="L1926">
        <f t="shared" si="216"/>
        <v>0.36588453037918361</v>
      </c>
    </row>
    <row r="1927" spans="1:12" x14ac:dyDescent="0.25">
      <c r="A1927" s="1">
        <v>43028</v>
      </c>
      <c r="B1927" s="6">
        <v>216.4119</v>
      </c>
      <c r="C1927" s="6">
        <v>14.3322</v>
      </c>
      <c r="D1927" s="6">
        <v>10728.88</v>
      </c>
      <c r="E1927" s="6">
        <v>0.66</v>
      </c>
      <c r="F1927" s="6">
        <f t="shared" si="210"/>
        <v>7.3333333333333341E-3</v>
      </c>
      <c r="G1927">
        <f t="shared" si="211"/>
        <v>-0.62760958716347548</v>
      </c>
      <c r="H1927">
        <f t="shared" si="212"/>
        <v>-0.63919469787304883</v>
      </c>
      <c r="I1927">
        <f t="shared" si="213"/>
        <v>-0.2919066307692606</v>
      </c>
      <c r="J1927">
        <f t="shared" si="214"/>
        <v>-0.44676244753422562</v>
      </c>
      <c r="K1927">
        <f t="shared" si="215"/>
        <v>-0.63494292049680878</v>
      </c>
      <c r="L1927">
        <f t="shared" si="216"/>
        <v>-0.29923996410259396</v>
      </c>
    </row>
    <row r="1928" spans="1:12" x14ac:dyDescent="0.25">
      <c r="A1928" s="1">
        <v>43031</v>
      </c>
      <c r="B1928" s="6">
        <v>217.77869999999999</v>
      </c>
      <c r="C1928" s="6">
        <v>14.378299999999999</v>
      </c>
      <c r="D1928" s="6">
        <v>10735.21</v>
      </c>
      <c r="E1928" s="6">
        <v>0.66</v>
      </c>
      <c r="F1928" s="6">
        <f t="shared" si="210"/>
        <v>7.3333333333333341E-3</v>
      </c>
      <c r="G1928">
        <f t="shared" si="211"/>
        <v>0.63157340238682969</v>
      </c>
      <c r="H1928">
        <f t="shared" si="212"/>
        <v>0.3216533400315314</v>
      </c>
      <c r="I1928">
        <f t="shared" si="213"/>
        <v>5.8999634631013931E-2</v>
      </c>
      <c r="J1928">
        <f t="shared" si="214"/>
        <v>0.4392316412962915</v>
      </c>
      <c r="K1928">
        <f t="shared" si="215"/>
        <v>0.62424006905349638</v>
      </c>
      <c r="L1928">
        <f t="shared" si="216"/>
        <v>5.16663012976806E-2</v>
      </c>
    </row>
    <row r="1929" spans="1:12" x14ac:dyDescent="0.25">
      <c r="A1929" s="1">
        <v>43032</v>
      </c>
      <c r="B1929" s="6">
        <v>216.86750000000001</v>
      </c>
      <c r="C1929" s="6">
        <v>14.3322</v>
      </c>
      <c r="D1929" s="6">
        <v>10743.78</v>
      </c>
      <c r="E1929" s="6">
        <v>0.66</v>
      </c>
      <c r="F1929" s="6">
        <f t="shared" si="210"/>
        <v>7.3333333333333341E-3</v>
      </c>
      <c r="G1929">
        <f t="shared" si="211"/>
        <v>-0.41840639144231262</v>
      </c>
      <c r="H1929">
        <f t="shared" si="212"/>
        <v>-0.3206220485036419</v>
      </c>
      <c r="I1929">
        <f t="shared" si="213"/>
        <v>7.983076250955061E-2</v>
      </c>
      <c r="J1929">
        <f t="shared" si="214"/>
        <v>-0.29956160674173726</v>
      </c>
      <c r="K1929">
        <f t="shared" si="215"/>
        <v>-0.42573972477564598</v>
      </c>
      <c r="L1929">
        <f t="shared" si="216"/>
        <v>7.2497429176217279E-2</v>
      </c>
    </row>
    <row r="1930" spans="1:12" x14ac:dyDescent="0.25">
      <c r="A1930" s="1">
        <v>43033</v>
      </c>
      <c r="B1930" s="6">
        <v>216.86750000000001</v>
      </c>
      <c r="C1930" s="6">
        <v>14.286099999999999</v>
      </c>
      <c r="D1930" s="6">
        <v>10750.57</v>
      </c>
      <c r="E1930" s="6">
        <v>0.66</v>
      </c>
      <c r="F1930" s="6">
        <f t="shared" si="210"/>
        <v>7.3333333333333341E-3</v>
      </c>
      <c r="G1930">
        <f t="shared" si="211"/>
        <v>0</v>
      </c>
      <c r="H1930">
        <f t="shared" si="212"/>
        <v>-0.32165334003154378</v>
      </c>
      <c r="I1930">
        <f t="shared" si="213"/>
        <v>6.3199358140236056E-2</v>
      </c>
      <c r="J1930">
        <f t="shared" si="214"/>
        <v>-5.1599251567697223E-3</v>
      </c>
      <c r="K1930">
        <f t="shared" si="215"/>
        <v>-7.3333333333333341E-3</v>
      </c>
      <c r="L1930">
        <f t="shared" si="216"/>
        <v>5.5866024806902725E-2</v>
      </c>
    </row>
    <row r="1931" spans="1:12" x14ac:dyDescent="0.25">
      <c r="A1931" s="1">
        <v>43034</v>
      </c>
      <c r="B1931" s="6">
        <v>215.04509999999999</v>
      </c>
      <c r="C1931" s="6">
        <v>14.3322</v>
      </c>
      <c r="D1931" s="6">
        <v>10734.76</v>
      </c>
      <c r="E1931" s="6">
        <v>0.66</v>
      </c>
      <c r="F1931" s="6">
        <f t="shared" si="210"/>
        <v>7.3333333333333341E-3</v>
      </c>
      <c r="G1931">
        <f t="shared" si="211"/>
        <v>-0.84032877217656676</v>
      </c>
      <c r="H1931">
        <f t="shared" si="212"/>
        <v>0.32269128733524838</v>
      </c>
      <c r="I1931">
        <f t="shared" si="213"/>
        <v>-0.14706196973741384</v>
      </c>
      <c r="J1931">
        <f t="shared" si="214"/>
        <v>-0.59643723036285323</v>
      </c>
      <c r="K1931">
        <f t="shared" si="215"/>
        <v>-0.84766210550990007</v>
      </c>
      <c r="L1931">
        <f t="shared" si="216"/>
        <v>-0.15439530307074717</v>
      </c>
    </row>
    <row r="1932" spans="1:12" x14ac:dyDescent="0.25">
      <c r="A1932" s="1">
        <v>43035</v>
      </c>
      <c r="B1932" s="6">
        <v>217.77869999999999</v>
      </c>
      <c r="C1932" s="6">
        <v>14.24</v>
      </c>
      <c r="D1932" s="6">
        <v>10709.11</v>
      </c>
      <c r="E1932" s="6">
        <v>0.66</v>
      </c>
      <c r="F1932" s="6">
        <f t="shared" si="210"/>
        <v>7.3333333333333341E-3</v>
      </c>
      <c r="G1932">
        <f t="shared" si="211"/>
        <v>1.2711752092933044</v>
      </c>
      <c r="H1932">
        <f t="shared" si="212"/>
        <v>-0.64330668006307512</v>
      </c>
      <c r="I1932">
        <f t="shared" si="213"/>
        <v>-0.23894339510151727</v>
      </c>
      <c r="J1932">
        <f t="shared" si="214"/>
        <v>0.88927220317430355</v>
      </c>
      <c r="K1932">
        <f t="shared" si="215"/>
        <v>1.263841875959971</v>
      </c>
      <c r="L1932">
        <f t="shared" si="216"/>
        <v>-0.2462767284348506</v>
      </c>
    </row>
    <row r="1933" spans="1:12" x14ac:dyDescent="0.25">
      <c r="A1933" s="1">
        <v>43038</v>
      </c>
      <c r="B1933" s="6">
        <v>221.42349999999999</v>
      </c>
      <c r="C1933" s="6">
        <v>14.5626</v>
      </c>
      <c r="D1933" s="6">
        <v>10756.87</v>
      </c>
      <c r="E1933" s="6">
        <v>0.66</v>
      </c>
      <c r="F1933" s="6">
        <f t="shared" si="210"/>
        <v>7.3333333333333341E-3</v>
      </c>
      <c r="G1933">
        <f t="shared" si="211"/>
        <v>1.6736255657692896</v>
      </c>
      <c r="H1933">
        <f t="shared" si="212"/>
        <v>2.2654494382022441</v>
      </c>
      <c r="I1933">
        <f t="shared" si="213"/>
        <v>0.4459754358672216</v>
      </c>
      <c r="J1933">
        <f t="shared" si="214"/>
        <v>1.1724468011831279</v>
      </c>
      <c r="K1933">
        <f t="shared" si="215"/>
        <v>1.6662922324359561</v>
      </c>
      <c r="L1933">
        <f t="shared" si="216"/>
        <v>0.43864210253388825</v>
      </c>
    </row>
    <row r="1934" spans="1:12" x14ac:dyDescent="0.25">
      <c r="A1934" s="1">
        <v>43039</v>
      </c>
      <c r="B1934" s="6">
        <v>221.42349999999999</v>
      </c>
      <c r="C1934" s="6">
        <v>14.286099999999999</v>
      </c>
      <c r="D1934" s="6">
        <v>10793.8</v>
      </c>
      <c r="E1934" s="6">
        <v>0.66</v>
      </c>
      <c r="F1934" s="6">
        <f t="shared" si="210"/>
        <v>7.3333333333333341E-3</v>
      </c>
      <c r="G1934">
        <f t="shared" si="211"/>
        <v>0</v>
      </c>
      <c r="H1934">
        <f t="shared" si="212"/>
        <v>-1.8986994080727371</v>
      </c>
      <c r="I1934">
        <f t="shared" si="213"/>
        <v>0.34331548117620153</v>
      </c>
      <c r="J1934">
        <f t="shared" si="214"/>
        <v>-5.1599251567697223E-3</v>
      </c>
      <c r="K1934">
        <f t="shared" si="215"/>
        <v>-7.3333333333333341E-3</v>
      </c>
      <c r="L1934">
        <f t="shared" si="216"/>
        <v>0.33598214784286817</v>
      </c>
    </row>
    <row r="1935" spans="1:12" x14ac:dyDescent="0.25">
      <c r="A1935" s="1">
        <v>43040</v>
      </c>
      <c r="B1935" s="6">
        <v>220.96789999999999</v>
      </c>
      <c r="C1935" s="6">
        <v>14.286099999999999</v>
      </c>
      <c r="D1935" s="6">
        <v>10806.36</v>
      </c>
      <c r="E1935" s="6">
        <v>0.66</v>
      </c>
      <c r="F1935" s="6">
        <f t="shared" si="210"/>
        <v>7.3333333333333341E-3</v>
      </c>
      <c r="G1935">
        <f t="shared" si="211"/>
        <v>-0.20575955126714374</v>
      </c>
      <c r="H1935">
        <f t="shared" si="212"/>
        <v>0</v>
      </c>
      <c r="I1935">
        <f t="shared" si="213"/>
        <v>0.11636309733366665</v>
      </c>
      <c r="J1935">
        <f t="shared" si="214"/>
        <v>-0.1499377276334494</v>
      </c>
      <c r="K1935">
        <f t="shared" si="215"/>
        <v>-0.21309288460047707</v>
      </c>
      <c r="L1935">
        <f t="shared" si="216"/>
        <v>0.10902976400033332</v>
      </c>
    </row>
    <row r="1936" spans="1:12" x14ac:dyDescent="0.25">
      <c r="A1936" s="1">
        <v>43041</v>
      </c>
      <c r="B1936" s="6">
        <v>219.6011</v>
      </c>
      <c r="C1936" s="6">
        <v>14.286099999999999</v>
      </c>
      <c r="D1936" s="6">
        <v>10788.51</v>
      </c>
      <c r="E1936" s="6">
        <v>0.66</v>
      </c>
      <c r="F1936" s="6">
        <f t="shared" si="210"/>
        <v>7.3333333333333341E-3</v>
      </c>
      <c r="G1936">
        <f t="shared" si="211"/>
        <v>-0.61855138235009866</v>
      </c>
      <c r="H1936">
        <f t="shared" si="212"/>
        <v>0</v>
      </c>
      <c r="I1936">
        <f t="shared" si="213"/>
        <v>-0.1651805048138352</v>
      </c>
      <c r="J1936">
        <f t="shared" si="214"/>
        <v>-0.44038885768535529</v>
      </c>
      <c r="K1936">
        <f t="shared" si="215"/>
        <v>-0.62588471568343196</v>
      </c>
      <c r="L1936">
        <f t="shared" si="216"/>
        <v>-0.17251383814716853</v>
      </c>
    </row>
    <row r="1937" spans="1:12" x14ac:dyDescent="0.25">
      <c r="A1937" s="1">
        <v>43042</v>
      </c>
      <c r="B1937" s="6">
        <v>217.77869999999999</v>
      </c>
      <c r="C1937" s="6">
        <v>14.24</v>
      </c>
      <c r="D1937" s="6">
        <v>10800.77</v>
      </c>
      <c r="E1937" s="6">
        <v>0.66</v>
      </c>
      <c r="F1937" s="6">
        <f t="shared" si="210"/>
        <v>7.3333333333333341E-3</v>
      </c>
      <c r="G1937">
        <f t="shared" si="211"/>
        <v>-0.82986833854658104</v>
      </c>
      <c r="H1937">
        <f t="shared" si="212"/>
        <v>-0.32269128733523594</v>
      </c>
      <c r="I1937">
        <f t="shared" si="213"/>
        <v>0.11363941823291834</v>
      </c>
      <c r="J1937">
        <f t="shared" si="214"/>
        <v>-0.58907699563947824</v>
      </c>
      <c r="K1937">
        <f t="shared" si="215"/>
        <v>-0.83720167187991434</v>
      </c>
      <c r="L1937">
        <f t="shared" si="216"/>
        <v>0.10630608489958501</v>
      </c>
    </row>
    <row r="1938" spans="1:12" x14ac:dyDescent="0.25">
      <c r="A1938" s="1">
        <v>43045</v>
      </c>
      <c r="B1938" s="6">
        <v>218.23429999999999</v>
      </c>
      <c r="C1938" s="6">
        <v>14.0557</v>
      </c>
      <c r="D1938" s="6">
        <v>10786.19</v>
      </c>
      <c r="E1938" s="6">
        <v>0.66</v>
      </c>
      <c r="F1938" s="6">
        <f t="shared" si="210"/>
        <v>7.3333333333333341E-3</v>
      </c>
      <c r="G1938">
        <f t="shared" si="211"/>
        <v>0.20920319572116283</v>
      </c>
      <c r="H1938">
        <f t="shared" si="212"/>
        <v>-1.2942415730337102</v>
      </c>
      <c r="I1938">
        <f t="shared" si="213"/>
        <v>-0.13499037568617725</v>
      </c>
      <c r="J1938">
        <f t="shared" si="214"/>
        <v>0.14204091563571863</v>
      </c>
      <c r="K1938">
        <f t="shared" si="215"/>
        <v>0.2018698623878295</v>
      </c>
      <c r="L1938">
        <f t="shared" si="216"/>
        <v>-0.14232370901951058</v>
      </c>
    </row>
    <row r="1939" spans="1:12" x14ac:dyDescent="0.25">
      <c r="A1939" s="1">
        <v>43046</v>
      </c>
      <c r="B1939" s="6">
        <v>222.3348</v>
      </c>
      <c r="C1939" s="6">
        <v>14.194000000000001</v>
      </c>
      <c r="D1939" s="6">
        <v>10840.34</v>
      </c>
      <c r="E1939" s="6">
        <v>0.66</v>
      </c>
      <c r="F1939" s="6">
        <f t="shared" si="210"/>
        <v>7.3333333333333341E-3</v>
      </c>
      <c r="G1939">
        <f t="shared" si="211"/>
        <v>1.8789438690435056</v>
      </c>
      <c r="H1939">
        <f t="shared" si="212"/>
        <v>0.98394245750834874</v>
      </c>
      <c r="I1939">
        <f t="shared" si="213"/>
        <v>0.50203083758027289</v>
      </c>
      <c r="J1939">
        <f t="shared" si="214"/>
        <v>1.3169141300299327</v>
      </c>
      <c r="K1939">
        <f t="shared" si="215"/>
        <v>1.8716105357101722</v>
      </c>
      <c r="L1939">
        <f t="shared" si="216"/>
        <v>0.49469750424693953</v>
      </c>
    </row>
    <row r="1940" spans="1:12" x14ac:dyDescent="0.25">
      <c r="A1940" s="1">
        <v>43047</v>
      </c>
      <c r="B1940" s="6">
        <v>220.96789999999999</v>
      </c>
      <c r="C1940" s="6">
        <v>14.1479</v>
      </c>
      <c r="D1940" s="6">
        <v>10818.99</v>
      </c>
      <c r="E1940" s="6">
        <v>0.66</v>
      </c>
      <c r="F1940" s="6">
        <f t="shared" si="210"/>
        <v>7.3333333333333341E-3</v>
      </c>
      <c r="G1940">
        <f t="shared" si="211"/>
        <v>-0.61479354558981114</v>
      </c>
      <c r="H1940">
        <f t="shared" si="212"/>
        <v>-0.32478512047344593</v>
      </c>
      <c r="I1940">
        <f t="shared" si="213"/>
        <v>-0.19694954217303481</v>
      </c>
      <c r="J1940">
        <f t="shared" si="214"/>
        <v>-0.43774474544429509</v>
      </c>
      <c r="K1940">
        <f t="shared" si="215"/>
        <v>-0.62212687892314444</v>
      </c>
      <c r="L1940">
        <f t="shared" si="216"/>
        <v>-0.20428287550636814</v>
      </c>
    </row>
    <row r="1941" spans="1:12" x14ac:dyDescent="0.25">
      <c r="A1941" s="1">
        <v>43048</v>
      </c>
      <c r="B1941" s="6">
        <v>219.6011</v>
      </c>
      <c r="C1941" s="6">
        <v>14.470499999999999</v>
      </c>
      <c r="D1941" s="6">
        <v>10743.27</v>
      </c>
      <c r="E1941" s="6">
        <v>0.66</v>
      </c>
      <c r="F1941" s="6">
        <f t="shared" si="210"/>
        <v>7.3333333333333341E-3</v>
      </c>
      <c r="G1941">
        <f t="shared" si="211"/>
        <v>-0.61855138235009866</v>
      </c>
      <c r="H1941">
        <f t="shared" si="212"/>
        <v>2.2801970610479261</v>
      </c>
      <c r="I1941">
        <f t="shared" si="213"/>
        <v>-0.69988048791984603</v>
      </c>
      <c r="J1941">
        <f t="shared" si="214"/>
        <v>-0.44038885768535529</v>
      </c>
      <c r="K1941">
        <f t="shared" si="215"/>
        <v>-0.62588471568343196</v>
      </c>
      <c r="L1941">
        <f t="shared" si="216"/>
        <v>-0.70721382125317933</v>
      </c>
    </row>
    <row r="1942" spans="1:12" x14ac:dyDescent="0.25">
      <c r="A1942" s="1">
        <v>43049</v>
      </c>
      <c r="B1942" s="6">
        <v>219.1455</v>
      </c>
      <c r="C1942" s="6">
        <v>14.608700000000001</v>
      </c>
      <c r="D1942" s="6">
        <v>10732.67</v>
      </c>
      <c r="E1942" s="6">
        <v>0.66</v>
      </c>
      <c r="F1942" s="6">
        <f t="shared" si="210"/>
        <v>7.3333333333333341E-3</v>
      </c>
      <c r="G1942">
        <f t="shared" si="211"/>
        <v>-0.20746708463664526</v>
      </c>
      <c r="H1942">
        <f t="shared" si="212"/>
        <v>0.95504647386062136</v>
      </c>
      <c r="I1942">
        <f t="shared" si="213"/>
        <v>-9.8666420931433019E-2</v>
      </c>
      <c r="J1942">
        <f t="shared" si="214"/>
        <v>-0.15113919277744686</v>
      </c>
      <c r="K1942">
        <f t="shared" si="215"/>
        <v>-0.21480041796997859</v>
      </c>
      <c r="L1942">
        <f t="shared" si="216"/>
        <v>-0.10599975426476635</v>
      </c>
    </row>
    <row r="1943" spans="1:12" x14ac:dyDescent="0.25">
      <c r="A1943" s="1">
        <v>43052</v>
      </c>
      <c r="B1943" s="6">
        <v>218.23429999999999</v>
      </c>
      <c r="C1943" s="6">
        <v>14.4244</v>
      </c>
      <c r="D1943" s="6">
        <v>10683.92</v>
      </c>
      <c r="E1943" s="6">
        <v>0.66</v>
      </c>
      <c r="F1943" s="6">
        <f t="shared" si="210"/>
        <v>7.3333333333333341E-3</v>
      </c>
      <c r="G1943">
        <f t="shared" si="211"/>
        <v>-0.41579681079465836</v>
      </c>
      <c r="H1943">
        <f t="shared" si="212"/>
        <v>-1.2615770054830364</v>
      </c>
      <c r="I1943">
        <f t="shared" si="213"/>
        <v>-0.45422061798229146</v>
      </c>
      <c r="J1943">
        <f t="shared" si="214"/>
        <v>-0.29772543753731218</v>
      </c>
      <c r="K1943">
        <f t="shared" si="215"/>
        <v>-0.42313014412799171</v>
      </c>
      <c r="L1943">
        <f t="shared" si="216"/>
        <v>-0.46155395131562482</v>
      </c>
    </row>
    <row r="1944" spans="1:12" x14ac:dyDescent="0.25">
      <c r="A1944" s="1">
        <v>43053</v>
      </c>
      <c r="B1944" s="6">
        <v>218.68989999999999</v>
      </c>
      <c r="C1944" s="6">
        <v>14.5166</v>
      </c>
      <c r="D1944" s="6">
        <v>10687.18</v>
      </c>
      <c r="E1944" s="6">
        <v>0.66</v>
      </c>
      <c r="F1944" s="6">
        <f t="shared" si="210"/>
        <v>7.3333333333333341E-3</v>
      </c>
      <c r="G1944">
        <f t="shared" si="211"/>
        <v>0.20876644963692875</v>
      </c>
      <c r="H1944">
        <f t="shared" si="212"/>
        <v>0.63919469787304883</v>
      </c>
      <c r="I1944">
        <f t="shared" si="213"/>
        <v>3.0513144987983982E-2</v>
      </c>
      <c r="J1944">
        <f t="shared" si="214"/>
        <v>0.14173360966656043</v>
      </c>
      <c r="K1944">
        <f t="shared" si="215"/>
        <v>0.20143311630359542</v>
      </c>
      <c r="L1944">
        <f t="shared" si="216"/>
        <v>2.3179811654650648E-2</v>
      </c>
    </row>
    <row r="1945" spans="1:12" x14ac:dyDescent="0.25">
      <c r="A1945" s="1">
        <v>43054</v>
      </c>
      <c r="B1945" s="6">
        <v>216.4119</v>
      </c>
      <c r="C1945" s="6">
        <v>14.378299999999999</v>
      </c>
      <c r="D1945" s="6">
        <v>10630.65</v>
      </c>
      <c r="E1945" s="6">
        <v>0.66</v>
      </c>
      <c r="F1945" s="6">
        <f t="shared" si="210"/>
        <v>7.3333333333333341E-3</v>
      </c>
      <c r="G1945">
        <f t="shared" si="211"/>
        <v>-1.0416576165611633</v>
      </c>
      <c r="H1945">
        <f t="shared" si="212"/>
        <v>-0.9527024234324909</v>
      </c>
      <c r="I1945">
        <f t="shared" si="213"/>
        <v>-0.52895151012709296</v>
      </c>
      <c r="J1945">
        <f t="shared" si="214"/>
        <v>-0.73809747157968819</v>
      </c>
      <c r="K1945">
        <f t="shared" si="215"/>
        <v>-1.0489909498944967</v>
      </c>
      <c r="L1945">
        <f t="shared" si="216"/>
        <v>-0.53628484346042626</v>
      </c>
    </row>
    <row r="1946" spans="1:12" x14ac:dyDescent="0.25">
      <c r="A1946" s="1">
        <v>43055</v>
      </c>
      <c r="B1946" s="6">
        <v>216.86750000000001</v>
      </c>
      <c r="C1946" s="6">
        <v>14.378299999999999</v>
      </c>
      <c r="D1946" s="6">
        <v>10625.04</v>
      </c>
      <c r="E1946" s="6">
        <v>0.66</v>
      </c>
      <c r="F1946" s="6">
        <f t="shared" si="210"/>
        <v>7.3333333333333341E-3</v>
      </c>
      <c r="G1946">
        <f t="shared" si="211"/>
        <v>0.21052446746228096</v>
      </c>
      <c r="H1946">
        <f t="shared" si="212"/>
        <v>0</v>
      </c>
      <c r="I1946">
        <f t="shared" si="213"/>
        <v>-5.2771937746033996E-2</v>
      </c>
      <c r="J1946">
        <f t="shared" si="214"/>
        <v>0.14297059699425377</v>
      </c>
      <c r="K1946">
        <f t="shared" si="215"/>
        <v>0.20319113412894763</v>
      </c>
      <c r="L1946">
        <f t="shared" si="216"/>
        <v>-6.0105271079367334E-2</v>
      </c>
    </row>
    <row r="1947" spans="1:12" x14ac:dyDescent="0.25">
      <c r="A1947" s="1">
        <v>43056</v>
      </c>
      <c r="B1947" s="6">
        <v>220.05670000000001</v>
      </c>
      <c r="C1947" s="6">
        <v>14.4244</v>
      </c>
      <c r="D1947" s="6">
        <v>10701.64</v>
      </c>
      <c r="E1947" s="6">
        <v>0.66</v>
      </c>
      <c r="F1947" s="6">
        <f t="shared" si="210"/>
        <v>7.3333333333333341E-3</v>
      </c>
      <c r="G1947">
        <f t="shared" si="211"/>
        <v>1.4705753513089788</v>
      </c>
      <c r="H1947">
        <f t="shared" si="212"/>
        <v>0.32062204850365428</v>
      </c>
      <c r="I1947">
        <f t="shared" si="213"/>
        <v>0.72093846234930448</v>
      </c>
      <c r="J1947">
        <f t="shared" si="214"/>
        <v>1.0295753589538672</v>
      </c>
      <c r="K1947">
        <f t="shared" si="215"/>
        <v>1.4632420179756453</v>
      </c>
      <c r="L1947">
        <f t="shared" si="216"/>
        <v>0.71360512901597117</v>
      </c>
    </row>
    <row r="1948" spans="1:12" x14ac:dyDescent="0.25">
      <c r="A1948" s="1">
        <v>43059</v>
      </c>
      <c r="B1948" s="6">
        <v>217.32310000000001</v>
      </c>
      <c r="C1948" s="6">
        <v>14.6548</v>
      </c>
      <c r="D1948" s="6">
        <v>10664.55</v>
      </c>
      <c r="E1948" s="6">
        <v>0.66</v>
      </c>
      <c r="F1948" s="6">
        <f t="shared" si="210"/>
        <v>7.3333333333333341E-3</v>
      </c>
      <c r="G1948">
        <f t="shared" si="211"/>
        <v>-1.2422252992069751</v>
      </c>
      <c r="H1948">
        <f t="shared" si="212"/>
        <v>1.5972934749452281</v>
      </c>
      <c r="I1948">
        <f t="shared" si="213"/>
        <v>-0.34658239297902144</v>
      </c>
      <c r="J1948">
        <f t="shared" si="214"/>
        <v>-0.87922213948684236</v>
      </c>
      <c r="K1948">
        <f t="shared" si="215"/>
        <v>-1.2495586325403085</v>
      </c>
      <c r="L1948">
        <f t="shared" si="216"/>
        <v>-0.35391572631235479</v>
      </c>
    </row>
    <row r="1949" spans="1:12" x14ac:dyDescent="0.25">
      <c r="A1949" s="1">
        <v>43060</v>
      </c>
      <c r="B1949" s="6">
        <v>221.42349999999999</v>
      </c>
      <c r="C1949" s="6">
        <v>14.885199999999999</v>
      </c>
      <c r="D1949" s="6">
        <v>10779.24</v>
      </c>
      <c r="E1949" s="6">
        <v>0.66</v>
      </c>
      <c r="F1949" s="6">
        <f t="shared" si="210"/>
        <v>7.3333333333333341E-3</v>
      </c>
      <c r="G1949">
        <f t="shared" si="211"/>
        <v>1.8867759570887674</v>
      </c>
      <c r="H1949">
        <f t="shared" si="212"/>
        <v>1.5721811283674938</v>
      </c>
      <c r="I1949">
        <f t="shared" si="213"/>
        <v>1.0754321560684748</v>
      </c>
      <c r="J1949">
        <f t="shared" si="214"/>
        <v>1.3224249920483122</v>
      </c>
      <c r="K1949">
        <f t="shared" si="215"/>
        <v>1.879442623755434</v>
      </c>
      <c r="L1949">
        <f t="shared" si="216"/>
        <v>1.0680988227351413</v>
      </c>
    </row>
    <row r="1950" spans="1:12" x14ac:dyDescent="0.25">
      <c r="A1950" s="1">
        <v>43061</v>
      </c>
      <c r="B1950" s="6">
        <v>220.51230000000001</v>
      </c>
      <c r="C1950" s="6">
        <v>14.8391</v>
      </c>
      <c r="D1950" s="6">
        <v>10822.59</v>
      </c>
      <c r="E1950" s="6">
        <v>0.66</v>
      </c>
      <c r="F1950" s="6">
        <f t="shared" si="210"/>
        <v>7.3333333333333341E-3</v>
      </c>
      <c r="G1950">
        <f t="shared" si="211"/>
        <v>-0.41151910253427465</v>
      </c>
      <c r="H1950">
        <f t="shared" si="212"/>
        <v>-0.30970359820492266</v>
      </c>
      <c r="I1950">
        <f t="shared" si="213"/>
        <v>0.40216193349438706</v>
      </c>
      <c r="J1950">
        <f t="shared" si="214"/>
        <v>-0.29471553011012008</v>
      </c>
      <c r="K1950">
        <f t="shared" si="215"/>
        <v>-0.41885243586760801</v>
      </c>
      <c r="L1950">
        <f t="shared" si="216"/>
        <v>0.3948286001610537</v>
      </c>
    </row>
    <row r="1951" spans="1:12" x14ac:dyDescent="0.25">
      <c r="A1951" s="1">
        <v>43062</v>
      </c>
      <c r="B1951" s="6">
        <v>220.96789999999999</v>
      </c>
      <c r="C1951" s="6">
        <v>14.700900000000001</v>
      </c>
      <c r="D1951" s="6">
        <v>10854.57</v>
      </c>
      <c r="E1951" s="6">
        <v>0.66</v>
      </c>
      <c r="F1951" s="6">
        <f t="shared" si="210"/>
        <v>7.3333333333333341E-3</v>
      </c>
      <c r="G1951">
        <f t="shared" si="211"/>
        <v>0.20660979002077234</v>
      </c>
      <c r="H1951">
        <f t="shared" si="212"/>
        <v>-0.93132332823418829</v>
      </c>
      <c r="I1951">
        <f t="shared" si="213"/>
        <v>0.29549303817292871</v>
      </c>
      <c r="J1951">
        <f t="shared" si="214"/>
        <v>0.14021612754728843</v>
      </c>
      <c r="K1951">
        <f t="shared" si="215"/>
        <v>0.19927645668743901</v>
      </c>
      <c r="L1951">
        <f t="shared" si="216"/>
        <v>0.28815970483959535</v>
      </c>
    </row>
    <row r="1952" spans="1:12" x14ac:dyDescent="0.25">
      <c r="A1952" s="1">
        <v>43063</v>
      </c>
      <c r="B1952" s="6">
        <v>222.3348</v>
      </c>
      <c r="C1952" s="6">
        <v>14.700900000000001</v>
      </c>
      <c r="D1952" s="6">
        <v>10854.09</v>
      </c>
      <c r="E1952" s="6">
        <v>0.66</v>
      </c>
      <c r="F1952" s="6">
        <f t="shared" si="210"/>
        <v>7.3333333333333341E-3</v>
      </c>
      <c r="G1952">
        <f t="shared" si="211"/>
        <v>0.61859663779219309</v>
      </c>
      <c r="H1952">
        <f t="shared" si="212"/>
        <v>0</v>
      </c>
      <c r="I1952">
        <f t="shared" si="213"/>
        <v>-4.4221005530349286E-3</v>
      </c>
      <c r="J1952">
        <f t="shared" si="214"/>
        <v>0.43010085028465367</v>
      </c>
      <c r="K1952">
        <f t="shared" si="215"/>
        <v>0.61126330445885979</v>
      </c>
      <c r="L1952">
        <f t="shared" si="216"/>
        <v>-1.1755433886368263E-2</v>
      </c>
    </row>
    <row r="1953" spans="1:12" x14ac:dyDescent="0.25">
      <c r="A1953" s="1">
        <v>43066</v>
      </c>
      <c r="B1953" s="6">
        <v>215.9563</v>
      </c>
      <c r="C1953" s="6">
        <v>14.5626</v>
      </c>
      <c r="D1953" s="6">
        <v>10750.93</v>
      </c>
      <c r="E1953" s="6">
        <v>0.66</v>
      </c>
      <c r="F1953" s="6">
        <f t="shared" si="210"/>
        <v>7.3333333333333341E-3</v>
      </c>
      <c r="G1953">
        <f t="shared" si="211"/>
        <v>-2.8688716296324293</v>
      </c>
      <c r="H1953">
        <f t="shared" si="212"/>
        <v>-0.9407587290574112</v>
      </c>
      <c r="I1953">
        <f t="shared" si="213"/>
        <v>-0.9504251392792934</v>
      </c>
      <c r="J1953">
        <f t="shared" si="214"/>
        <v>-2.0237730469681314</v>
      </c>
      <c r="K1953">
        <f t="shared" si="215"/>
        <v>-2.8762049629657627</v>
      </c>
      <c r="L1953">
        <f t="shared" si="216"/>
        <v>-0.9577584726126267</v>
      </c>
    </row>
    <row r="1954" spans="1:12" x14ac:dyDescent="0.25">
      <c r="A1954" s="1">
        <v>43067</v>
      </c>
      <c r="B1954" s="6">
        <v>213.2227</v>
      </c>
      <c r="C1954" s="6">
        <v>14.608700000000001</v>
      </c>
      <c r="D1954" s="6">
        <v>10707.07</v>
      </c>
      <c r="E1954" s="6">
        <v>0.66</v>
      </c>
      <c r="F1954" s="6">
        <f t="shared" si="210"/>
        <v>7.3333333333333341E-3</v>
      </c>
      <c r="G1954">
        <f t="shared" si="211"/>
        <v>-1.2658116480047101</v>
      </c>
      <c r="H1954">
        <f t="shared" si="212"/>
        <v>0.31656434977271175</v>
      </c>
      <c r="I1954">
        <f t="shared" si="213"/>
        <v>-0.40796470630913401</v>
      </c>
      <c r="J1954">
        <f t="shared" si="214"/>
        <v>-0.89581811146653945</v>
      </c>
      <c r="K1954">
        <f t="shared" si="215"/>
        <v>-1.2731449813380435</v>
      </c>
      <c r="L1954">
        <f t="shared" si="216"/>
        <v>-0.41529803964246736</v>
      </c>
    </row>
    <row r="1955" spans="1:12" x14ac:dyDescent="0.25">
      <c r="A1955" s="1">
        <v>43068</v>
      </c>
      <c r="B1955" s="6">
        <v>213.67830000000001</v>
      </c>
      <c r="C1955" s="6">
        <v>14.470499999999999</v>
      </c>
      <c r="D1955" s="6">
        <v>10713.55</v>
      </c>
      <c r="E1955" s="6">
        <v>0.66</v>
      </c>
      <c r="F1955" s="6">
        <f t="shared" si="210"/>
        <v>7.3333333333333341E-3</v>
      </c>
      <c r="G1955">
        <f t="shared" si="211"/>
        <v>0.2136733096429245</v>
      </c>
      <c r="H1955">
        <f t="shared" si="212"/>
        <v>-0.94601162321083465</v>
      </c>
      <c r="I1955">
        <f t="shared" si="213"/>
        <v>6.0520758713630933E-2</v>
      </c>
      <c r="J1955">
        <f t="shared" si="214"/>
        <v>0.14518620471915381</v>
      </c>
      <c r="K1955">
        <f t="shared" si="215"/>
        <v>0.20633997630959117</v>
      </c>
      <c r="L1955">
        <f t="shared" si="216"/>
        <v>5.3187425380297595E-2</v>
      </c>
    </row>
    <row r="1956" spans="1:12" x14ac:dyDescent="0.25">
      <c r="A1956" s="1">
        <v>43069</v>
      </c>
      <c r="B1956" s="6">
        <v>205.93299999999999</v>
      </c>
      <c r="C1956" s="6">
        <v>14.101800000000001</v>
      </c>
      <c r="D1956" s="6">
        <v>10560.44</v>
      </c>
      <c r="E1956" s="6">
        <v>0.66</v>
      </c>
      <c r="F1956" s="6">
        <f t="shared" si="210"/>
        <v>7.3333333333333341E-3</v>
      </c>
      <c r="G1956">
        <f t="shared" si="211"/>
        <v>-3.624748044139257</v>
      </c>
      <c r="H1956">
        <f t="shared" si="212"/>
        <v>-2.5479423655022195</v>
      </c>
      <c r="I1956">
        <f t="shared" si="213"/>
        <v>-1.4291247999029153</v>
      </c>
      <c r="J1956">
        <f t="shared" si="214"/>
        <v>-2.5556274642348606</v>
      </c>
      <c r="K1956">
        <f t="shared" si="215"/>
        <v>-3.6320813774725904</v>
      </c>
      <c r="L1956">
        <f t="shared" si="216"/>
        <v>-1.4364581332362487</v>
      </c>
    </row>
    <row r="1957" spans="1:12" x14ac:dyDescent="0.25">
      <c r="A1957" s="1">
        <v>43070</v>
      </c>
      <c r="B1957" s="6">
        <v>210.489</v>
      </c>
      <c r="C1957" s="6">
        <v>14.1479</v>
      </c>
      <c r="D1957" s="6">
        <v>10600.37</v>
      </c>
      <c r="E1957" s="6">
        <v>0.66</v>
      </c>
      <c r="F1957" s="6">
        <f t="shared" si="210"/>
        <v>7.3333333333333341E-3</v>
      </c>
      <c r="G1957">
        <f t="shared" si="211"/>
        <v>2.2123700426837911</v>
      </c>
      <c r="H1957">
        <f t="shared" si="212"/>
        <v>0.32690862159440026</v>
      </c>
      <c r="I1957">
        <f t="shared" si="213"/>
        <v>0.37810924544810909</v>
      </c>
      <c r="J1957">
        <f t="shared" si="214"/>
        <v>1.5515215074788389</v>
      </c>
      <c r="K1957">
        <f t="shared" si="215"/>
        <v>2.2050367093504577</v>
      </c>
      <c r="L1957">
        <f t="shared" si="216"/>
        <v>0.37077591211477573</v>
      </c>
    </row>
    <row r="1958" spans="1:12" x14ac:dyDescent="0.25">
      <c r="A1958" s="1">
        <v>43073</v>
      </c>
      <c r="B1958" s="6">
        <v>213.2227</v>
      </c>
      <c r="C1958" s="6">
        <v>14.470499999999999</v>
      </c>
      <c r="D1958" s="6">
        <v>10651.11</v>
      </c>
      <c r="E1958" s="6">
        <v>0.66</v>
      </c>
      <c r="F1958" s="6">
        <f t="shared" si="210"/>
        <v>7.3333333333333341E-3</v>
      </c>
      <c r="G1958">
        <f t="shared" si="211"/>
        <v>1.2987377012575474</v>
      </c>
      <c r="H1958">
        <f t="shared" si="212"/>
        <v>2.2801970610479261</v>
      </c>
      <c r="I1958">
        <f t="shared" si="213"/>
        <v>0.47866253725105612</v>
      </c>
      <c r="J1958">
        <f t="shared" si="214"/>
        <v>0.90866589349288007</v>
      </c>
      <c r="K1958">
        <f t="shared" si="215"/>
        <v>1.291404367924214</v>
      </c>
      <c r="L1958">
        <f t="shared" si="216"/>
        <v>0.47132920391772276</v>
      </c>
    </row>
    <row r="1959" spans="1:12" x14ac:dyDescent="0.25">
      <c r="A1959" s="1">
        <v>43074</v>
      </c>
      <c r="B1959" s="6">
        <v>209.12219999999999</v>
      </c>
      <c r="C1959" s="6">
        <v>14.3322</v>
      </c>
      <c r="D1959" s="6">
        <v>10566.85</v>
      </c>
      <c r="E1959" s="6">
        <v>0.66</v>
      </c>
      <c r="F1959" s="6">
        <f t="shared" si="210"/>
        <v>7.3333333333333341E-3</v>
      </c>
      <c r="G1959">
        <f t="shared" si="211"/>
        <v>-1.9231066861080039</v>
      </c>
      <c r="H1959">
        <f t="shared" si="212"/>
        <v>-0.95573753498496394</v>
      </c>
      <c r="I1959">
        <f t="shared" si="213"/>
        <v>-0.79109125715535955</v>
      </c>
      <c r="J1959">
        <f t="shared" si="214"/>
        <v>-1.3583080936295984</v>
      </c>
      <c r="K1959">
        <f t="shared" si="215"/>
        <v>-1.9304400194413374</v>
      </c>
      <c r="L1959">
        <f t="shared" si="216"/>
        <v>-0.79842459048869285</v>
      </c>
    </row>
    <row r="1960" spans="1:12" x14ac:dyDescent="0.25">
      <c r="A1960" s="1">
        <v>43075</v>
      </c>
      <c r="B1960" s="6">
        <v>206.8442</v>
      </c>
      <c r="C1960" s="6">
        <v>13.8253</v>
      </c>
      <c r="D1960" s="6">
        <v>10393.92</v>
      </c>
      <c r="E1960" s="6">
        <v>0.66</v>
      </c>
      <c r="F1960" s="6">
        <f t="shared" si="210"/>
        <v>7.3333333333333341E-3</v>
      </c>
      <c r="G1960">
        <f t="shared" si="211"/>
        <v>-1.0893152424754482</v>
      </c>
      <c r="H1960">
        <f t="shared" si="212"/>
        <v>-3.5367912811710687</v>
      </c>
      <c r="I1960">
        <f t="shared" si="213"/>
        <v>-1.6365331200878246</v>
      </c>
      <c r="J1960">
        <f t="shared" si="214"/>
        <v>-0.77163062378882996</v>
      </c>
      <c r="K1960">
        <f t="shared" si="215"/>
        <v>-1.0966485758087816</v>
      </c>
      <c r="L1960">
        <f t="shared" si="216"/>
        <v>-1.643866453421158</v>
      </c>
    </row>
    <row r="1961" spans="1:12" x14ac:dyDescent="0.25">
      <c r="A1961" s="1">
        <v>43076</v>
      </c>
      <c r="B1961" s="6">
        <v>206.3886</v>
      </c>
      <c r="C1961" s="6">
        <v>13.502700000000001</v>
      </c>
      <c r="D1961" s="6">
        <v>10355.76</v>
      </c>
      <c r="E1961" s="6">
        <v>0.66</v>
      </c>
      <c r="F1961" s="6">
        <f t="shared" si="210"/>
        <v>7.3333333333333341E-3</v>
      </c>
      <c r="G1961">
        <f t="shared" si="211"/>
        <v>-0.2202624003960488</v>
      </c>
      <c r="H1961">
        <f t="shared" si="212"/>
        <v>-2.3334032534556179</v>
      </c>
      <c r="I1961">
        <f t="shared" si="213"/>
        <v>-0.36713771127736072</v>
      </c>
      <c r="J1961">
        <f t="shared" si="214"/>
        <v>-0.16014231164232301</v>
      </c>
      <c r="K1961">
        <f t="shared" si="215"/>
        <v>-0.22759573372938213</v>
      </c>
      <c r="L1961">
        <f t="shared" si="216"/>
        <v>-0.37447104461069408</v>
      </c>
    </row>
    <row r="1962" spans="1:12" x14ac:dyDescent="0.25">
      <c r="A1962" s="1">
        <v>43077</v>
      </c>
      <c r="B1962" s="6">
        <v>206.8442</v>
      </c>
      <c r="C1962" s="6">
        <v>13.502700000000001</v>
      </c>
      <c r="D1962" s="6">
        <v>10398.620000000001</v>
      </c>
      <c r="E1962" s="6">
        <v>0.66</v>
      </c>
      <c r="F1962" s="6">
        <f t="shared" si="210"/>
        <v>7.3333333333333341E-3</v>
      </c>
      <c r="G1962">
        <f t="shared" si="211"/>
        <v>0.22074862661988309</v>
      </c>
      <c r="H1962">
        <f t="shared" si="212"/>
        <v>0</v>
      </c>
      <c r="I1962">
        <f t="shared" si="213"/>
        <v>0.4138759492301925</v>
      </c>
      <c r="J1962">
        <f t="shared" si="214"/>
        <v>0.15016458281845316</v>
      </c>
      <c r="K1962">
        <f t="shared" si="215"/>
        <v>0.21341529328654976</v>
      </c>
      <c r="L1962">
        <f t="shared" si="216"/>
        <v>0.40654261589685914</v>
      </c>
    </row>
    <row r="1963" spans="1:12" x14ac:dyDescent="0.25">
      <c r="A1963" s="1">
        <v>43080</v>
      </c>
      <c r="B1963" s="6">
        <v>207.2998</v>
      </c>
      <c r="C1963" s="6">
        <v>13.9635</v>
      </c>
      <c r="D1963" s="6">
        <v>10473.09</v>
      </c>
      <c r="E1963" s="6">
        <v>0.66</v>
      </c>
      <c r="F1963" s="6">
        <f t="shared" si="210"/>
        <v>7.3333333333333341E-3</v>
      </c>
      <c r="G1963">
        <f t="shared" si="211"/>
        <v>0.2202624003960488</v>
      </c>
      <c r="H1963">
        <f t="shared" si="212"/>
        <v>3.4126508031726912</v>
      </c>
      <c r="I1963">
        <f t="shared" si="213"/>
        <v>0.71615272026479804</v>
      </c>
      <c r="J1963">
        <f t="shared" si="214"/>
        <v>0.14982246132878355</v>
      </c>
      <c r="K1963">
        <f t="shared" si="215"/>
        <v>0.21292906706271547</v>
      </c>
      <c r="L1963">
        <f t="shared" si="216"/>
        <v>0.70881938693146473</v>
      </c>
    </row>
    <row r="1964" spans="1:12" x14ac:dyDescent="0.25">
      <c r="A1964" s="1">
        <v>43081</v>
      </c>
      <c r="B1964" s="6">
        <v>207.2998</v>
      </c>
      <c r="C1964" s="6">
        <v>13.779199999999999</v>
      </c>
      <c r="D1964" s="6">
        <v>10443.280000000001</v>
      </c>
      <c r="E1964" s="6">
        <v>0.66</v>
      </c>
      <c r="F1964" s="6">
        <f t="shared" si="210"/>
        <v>7.3333333333333341E-3</v>
      </c>
      <c r="G1964">
        <f t="shared" si="211"/>
        <v>0</v>
      </c>
      <c r="H1964">
        <f t="shared" si="212"/>
        <v>-1.319869660185486</v>
      </c>
      <c r="I1964">
        <f t="shared" si="213"/>
        <v>-0.28463423879675903</v>
      </c>
      <c r="J1964">
        <f t="shared" si="214"/>
        <v>-5.1599251567697223E-3</v>
      </c>
      <c r="K1964">
        <f t="shared" si="215"/>
        <v>-7.3333333333333341E-3</v>
      </c>
      <c r="L1964">
        <f t="shared" si="216"/>
        <v>-0.29196757213009239</v>
      </c>
    </row>
    <row r="1965" spans="1:12" x14ac:dyDescent="0.25">
      <c r="A1965" s="1">
        <v>43082</v>
      </c>
      <c r="B1965" s="6">
        <v>206.8442</v>
      </c>
      <c r="C1965" s="6">
        <v>13.641</v>
      </c>
      <c r="D1965" s="6">
        <v>10470.700000000001</v>
      </c>
      <c r="E1965" s="6">
        <v>0.66</v>
      </c>
      <c r="F1965" s="6">
        <f t="shared" si="210"/>
        <v>7.3333333333333341E-3</v>
      </c>
      <c r="G1965">
        <f t="shared" si="211"/>
        <v>-0.21977831141178331</v>
      </c>
      <c r="H1965">
        <f t="shared" si="212"/>
        <v>-1.0029609846725458</v>
      </c>
      <c r="I1965">
        <f t="shared" si="213"/>
        <v>0.26256118767283909</v>
      </c>
      <c r="J1965">
        <f t="shared" si="214"/>
        <v>-0.15980169397031938</v>
      </c>
      <c r="K1965">
        <f t="shared" si="215"/>
        <v>-0.22711164474511664</v>
      </c>
      <c r="L1965">
        <f t="shared" si="216"/>
        <v>0.25522785433950573</v>
      </c>
    </row>
    <row r="1966" spans="1:12" x14ac:dyDescent="0.25">
      <c r="A1966" s="1">
        <v>43083</v>
      </c>
      <c r="B1966" s="6">
        <v>210.0334</v>
      </c>
      <c r="C1966" s="6">
        <v>13.7331</v>
      </c>
      <c r="D1966" s="6">
        <v>10538.01</v>
      </c>
      <c r="E1966" s="6">
        <v>0.66</v>
      </c>
      <c r="F1966" s="6">
        <f t="shared" si="210"/>
        <v>7.3333333333333341E-3</v>
      </c>
      <c r="G1966">
        <f t="shared" si="211"/>
        <v>1.5418368027723279</v>
      </c>
      <c r="H1966">
        <f t="shared" si="212"/>
        <v>0.67517044204970522</v>
      </c>
      <c r="I1966">
        <f t="shared" si="213"/>
        <v>0.64284145281594818</v>
      </c>
      <c r="J1966">
        <f t="shared" si="214"/>
        <v>1.0797167802420935</v>
      </c>
      <c r="K1966">
        <f t="shared" si="215"/>
        <v>1.5345034694389945</v>
      </c>
      <c r="L1966">
        <f t="shared" si="216"/>
        <v>0.63550811948261487</v>
      </c>
    </row>
    <row r="1967" spans="1:12" x14ac:dyDescent="0.25">
      <c r="A1967" s="1">
        <v>43084</v>
      </c>
      <c r="B1967" s="6">
        <v>209.5778</v>
      </c>
      <c r="C1967" s="6">
        <v>13.502700000000001</v>
      </c>
      <c r="D1967" s="6">
        <v>10491.44</v>
      </c>
      <c r="E1967" s="6">
        <v>0.66</v>
      </c>
      <c r="F1967" s="6">
        <f t="shared" si="210"/>
        <v>7.3333333333333341E-3</v>
      </c>
      <c r="G1967">
        <f t="shared" si="211"/>
        <v>-0.21691788067993187</v>
      </c>
      <c r="H1967">
        <f t="shared" si="212"/>
        <v>-1.677698407497211</v>
      </c>
      <c r="I1967">
        <f t="shared" si="213"/>
        <v>-0.44192404448277905</v>
      </c>
      <c r="J1967">
        <f t="shared" si="214"/>
        <v>-0.15778902008498152</v>
      </c>
      <c r="K1967">
        <f t="shared" si="215"/>
        <v>-0.2242512140132652</v>
      </c>
      <c r="L1967">
        <f t="shared" si="216"/>
        <v>-0.44925737781611241</v>
      </c>
    </row>
    <row r="1968" spans="1:12" x14ac:dyDescent="0.25">
      <c r="A1968" s="1">
        <v>43087</v>
      </c>
      <c r="B1968" s="6">
        <v>206.8442</v>
      </c>
      <c r="C1968" s="6">
        <v>13.3644</v>
      </c>
      <c r="D1968" s="6">
        <v>10506.52</v>
      </c>
      <c r="E1968" s="6">
        <v>0.66</v>
      </c>
      <c r="F1968" s="6">
        <f t="shared" si="210"/>
        <v>7.3333333333333341E-3</v>
      </c>
      <c r="G1968">
        <f t="shared" si="211"/>
        <v>-1.3043366234400759</v>
      </c>
      <c r="H1968">
        <f t="shared" si="212"/>
        <v>-1.0242395965251465</v>
      </c>
      <c r="I1968">
        <f t="shared" si="213"/>
        <v>0.14373622686685456</v>
      </c>
      <c r="J1968">
        <f t="shared" si="214"/>
        <v>-0.9229252919092048</v>
      </c>
      <c r="K1968">
        <f t="shared" si="215"/>
        <v>-1.3116699567734094</v>
      </c>
      <c r="L1968">
        <f t="shared" si="216"/>
        <v>0.13640289353352122</v>
      </c>
    </row>
    <row r="1969" spans="1:12" x14ac:dyDescent="0.25">
      <c r="A1969" s="1">
        <v>43088</v>
      </c>
      <c r="B1969" s="6">
        <v>205.02180000000001</v>
      </c>
      <c r="C1969" s="6">
        <v>13.410500000000001</v>
      </c>
      <c r="D1969" s="6">
        <v>10467.34</v>
      </c>
      <c r="E1969" s="6">
        <v>0.66</v>
      </c>
      <c r="F1969" s="6">
        <f t="shared" si="210"/>
        <v>7.3333333333333341E-3</v>
      </c>
      <c r="G1969">
        <f t="shared" si="211"/>
        <v>-0.88104960158418155</v>
      </c>
      <c r="H1969">
        <f t="shared" si="212"/>
        <v>0.34494627517884019</v>
      </c>
      <c r="I1969">
        <f t="shared" si="213"/>
        <v>-0.37291129698511294</v>
      </c>
      <c r="J1969">
        <f t="shared" si="214"/>
        <v>-0.62508947109897317</v>
      </c>
      <c r="K1969">
        <f t="shared" si="215"/>
        <v>-0.88838293491751485</v>
      </c>
      <c r="L1969">
        <f t="shared" si="216"/>
        <v>-0.3802446303184463</v>
      </c>
    </row>
    <row r="1970" spans="1:12" x14ac:dyDescent="0.25">
      <c r="A1970" s="1">
        <v>43089</v>
      </c>
      <c r="B1970" s="6">
        <v>204.56620000000001</v>
      </c>
      <c r="C1970" s="6">
        <v>13.4566</v>
      </c>
      <c r="D1970" s="6">
        <v>10504.52</v>
      </c>
      <c r="E1970" s="6">
        <v>0.66</v>
      </c>
      <c r="F1970" s="6">
        <f t="shared" si="210"/>
        <v>7.3333333333333341E-3</v>
      </c>
      <c r="G1970">
        <f t="shared" si="211"/>
        <v>-0.22222027121018545</v>
      </c>
      <c r="H1970">
        <f t="shared" si="212"/>
        <v>0.34376048618619098</v>
      </c>
      <c r="I1970">
        <f t="shared" si="213"/>
        <v>0.35520007948533527</v>
      </c>
      <c r="J1970">
        <f t="shared" si="214"/>
        <v>-0.16151992076062785</v>
      </c>
      <c r="K1970">
        <f t="shared" si="215"/>
        <v>-0.22955360454351878</v>
      </c>
      <c r="L1970">
        <f t="shared" si="216"/>
        <v>0.34786674615200192</v>
      </c>
    </row>
    <row r="1971" spans="1:12" x14ac:dyDescent="0.25">
      <c r="A1971" s="1">
        <v>43090</v>
      </c>
      <c r="B1971" s="6">
        <v>205.02180000000001</v>
      </c>
      <c r="C1971" s="6">
        <v>13.3184</v>
      </c>
      <c r="D1971" s="6">
        <v>10488.97</v>
      </c>
      <c r="E1971" s="6">
        <v>0.66</v>
      </c>
      <c r="F1971" s="6">
        <f t="shared" si="210"/>
        <v>7.3333333333333341E-3</v>
      </c>
      <c r="G1971">
        <f t="shared" si="211"/>
        <v>0.22271518950833716</v>
      </c>
      <c r="H1971">
        <f t="shared" si="212"/>
        <v>-1.0270053356717108</v>
      </c>
      <c r="I1971">
        <f t="shared" si="213"/>
        <v>-0.14803151405300852</v>
      </c>
      <c r="J1971">
        <f t="shared" si="214"/>
        <v>0.15154830790761278</v>
      </c>
      <c r="K1971">
        <f t="shared" si="215"/>
        <v>0.21538185617500383</v>
      </c>
      <c r="L1971">
        <f t="shared" si="216"/>
        <v>-0.15536484738634185</v>
      </c>
    </row>
    <row r="1972" spans="1:12" x14ac:dyDescent="0.25">
      <c r="A1972" s="1">
        <v>43091</v>
      </c>
      <c r="B1972" s="6">
        <v>207.2998</v>
      </c>
      <c r="C1972" s="6">
        <v>13.2723</v>
      </c>
      <c r="D1972" s="6">
        <v>10537.27</v>
      </c>
      <c r="E1972" s="6">
        <v>0.66</v>
      </c>
      <c r="F1972" s="6">
        <f t="shared" si="210"/>
        <v>7.3333333333333341E-3</v>
      </c>
      <c r="G1972">
        <f t="shared" si="211"/>
        <v>1.1111013560509133</v>
      </c>
      <c r="H1972">
        <f t="shared" si="212"/>
        <v>-0.34613767419510538</v>
      </c>
      <c r="I1972">
        <f t="shared" si="213"/>
        <v>0.46048372719152686</v>
      </c>
      <c r="J1972">
        <f t="shared" si="214"/>
        <v>0.77664005286251103</v>
      </c>
      <c r="K1972">
        <f t="shared" si="215"/>
        <v>1.1037680227175799</v>
      </c>
      <c r="L1972">
        <f t="shared" si="216"/>
        <v>0.4531503938581935</v>
      </c>
    </row>
    <row r="1973" spans="1:12" x14ac:dyDescent="0.25">
      <c r="A1973" s="1">
        <v>43094</v>
      </c>
      <c r="B1973" s="6">
        <v>208.21100000000001</v>
      </c>
      <c r="C1973" s="6">
        <v>13.3184</v>
      </c>
      <c r="D1973" s="6">
        <v>10522.49</v>
      </c>
      <c r="E1973" s="6">
        <v>0.66</v>
      </c>
      <c r="F1973" s="6">
        <f t="shared" si="210"/>
        <v>7.3333333333333341E-3</v>
      </c>
      <c r="G1973">
        <f t="shared" si="211"/>
        <v>0.43955662282356661</v>
      </c>
      <c r="H1973">
        <f t="shared" si="212"/>
        <v>0.34733994861479112</v>
      </c>
      <c r="I1973">
        <f t="shared" si="213"/>
        <v>-0.14026403423278186</v>
      </c>
      <c r="J1973">
        <f t="shared" si="214"/>
        <v>0.30412361247032954</v>
      </c>
      <c r="K1973">
        <f t="shared" si="215"/>
        <v>0.43222328949023325</v>
      </c>
      <c r="L1973">
        <f t="shared" si="216"/>
        <v>-0.14759736756611519</v>
      </c>
    </row>
    <row r="1974" spans="1:12" x14ac:dyDescent="0.25">
      <c r="A1974" s="1">
        <v>43095</v>
      </c>
      <c r="B1974" s="6">
        <v>205.93299999999999</v>
      </c>
      <c r="C1974" s="6">
        <v>12.9497</v>
      </c>
      <c r="D1974" s="6">
        <v>10421.91</v>
      </c>
      <c r="E1974" s="6">
        <v>0.66</v>
      </c>
      <c r="F1974" s="6">
        <f t="shared" si="210"/>
        <v>7.3333333333333341E-3</v>
      </c>
      <c r="G1974">
        <f t="shared" si="211"/>
        <v>-1.0940824452118378</v>
      </c>
      <c r="H1974">
        <f t="shared" si="212"/>
        <v>-2.7683505526189367</v>
      </c>
      <c r="I1974">
        <f t="shared" si="213"/>
        <v>-0.95585740637434613</v>
      </c>
      <c r="J1974">
        <f t="shared" si="214"/>
        <v>-0.77498495233340969</v>
      </c>
      <c r="K1974">
        <f t="shared" si="215"/>
        <v>-1.1014157785451713</v>
      </c>
      <c r="L1974">
        <f t="shared" si="216"/>
        <v>-0.96319073970767943</v>
      </c>
    </row>
    <row r="1975" spans="1:12" x14ac:dyDescent="0.25">
      <c r="A1975" s="1">
        <v>43096</v>
      </c>
      <c r="B1975" s="6">
        <v>205.02180000000001</v>
      </c>
      <c r="C1975" s="6">
        <v>13.087899999999999</v>
      </c>
      <c r="D1975" s="6">
        <v>10486.67</v>
      </c>
      <c r="E1975" s="6">
        <v>0.66</v>
      </c>
      <c r="F1975" s="6">
        <f t="shared" si="210"/>
        <v>7.3333333333333341E-3</v>
      </c>
      <c r="G1975">
        <f t="shared" si="211"/>
        <v>-0.44247400853674718</v>
      </c>
      <c r="H1975">
        <f t="shared" si="212"/>
        <v>1.0672061901047858</v>
      </c>
      <c r="I1975">
        <f t="shared" si="213"/>
        <v>0.62138322054211004</v>
      </c>
      <c r="J1975">
        <f t="shared" si="214"/>
        <v>-0.3164962116838837</v>
      </c>
      <c r="K1975">
        <f t="shared" si="215"/>
        <v>-0.44980734187008053</v>
      </c>
      <c r="L1975">
        <f t="shared" si="216"/>
        <v>0.61404988720877673</v>
      </c>
    </row>
    <row r="1976" spans="1:12" x14ac:dyDescent="0.25">
      <c r="A1976" s="1">
        <v>43097</v>
      </c>
      <c r="B1976" s="6">
        <v>205.93299999999999</v>
      </c>
      <c r="C1976" s="6">
        <v>13.180099999999999</v>
      </c>
      <c r="D1976" s="6">
        <v>10567.64</v>
      </c>
      <c r="E1976" s="6">
        <v>0.66</v>
      </c>
      <c r="F1976" s="6">
        <f t="shared" si="210"/>
        <v>7.3333333333333341E-3</v>
      </c>
      <c r="G1976">
        <f t="shared" si="211"/>
        <v>0.44444054242035702</v>
      </c>
      <c r="H1976">
        <f t="shared" si="212"/>
        <v>0.70446748523445368</v>
      </c>
      <c r="I1976">
        <f t="shared" si="213"/>
        <v>0.77212308578413691</v>
      </c>
      <c r="J1976">
        <f t="shared" si="214"/>
        <v>0.30756006605093678</v>
      </c>
      <c r="K1976">
        <f t="shared" si="215"/>
        <v>0.43710720908702366</v>
      </c>
      <c r="L1976">
        <f t="shared" si="216"/>
        <v>0.76478975245080361</v>
      </c>
    </row>
    <row r="1977" spans="1:12" x14ac:dyDescent="0.25">
      <c r="A1977" s="1">
        <v>43098</v>
      </c>
      <c r="B1977" s="6">
        <v>209.12219999999999</v>
      </c>
      <c r="C1977" s="6">
        <v>13.087899999999999</v>
      </c>
      <c r="D1977" s="6">
        <v>10642.86</v>
      </c>
      <c r="E1977" s="6">
        <v>0.66</v>
      </c>
      <c r="F1977" s="6">
        <f t="shared" si="210"/>
        <v>7.3333333333333341E-3</v>
      </c>
      <c r="G1977">
        <f t="shared" si="211"/>
        <v>1.5486590298786498</v>
      </c>
      <c r="H1977">
        <f t="shared" si="212"/>
        <v>-0.6995394572120095</v>
      </c>
      <c r="I1977">
        <f t="shared" si="213"/>
        <v>0.71179563270513724</v>
      </c>
      <c r="J1977">
        <f t="shared" si="214"/>
        <v>1.0845170776881534</v>
      </c>
      <c r="K1977">
        <f t="shared" si="215"/>
        <v>1.5413256965453164</v>
      </c>
      <c r="L1977">
        <f t="shared" si="216"/>
        <v>0.70446229937180393</v>
      </c>
    </row>
    <row r="1978" spans="1:12" x14ac:dyDescent="0.25">
      <c r="A1978" s="1">
        <v>43102</v>
      </c>
      <c r="B1978" s="6">
        <v>211.85589999999999</v>
      </c>
      <c r="C1978" s="6">
        <v>13.134</v>
      </c>
      <c r="D1978" s="6">
        <v>10710.73</v>
      </c>
      <c r="E1978" s="6">
        <v>0.66</v>
      </c>
      <c r="F1978" s="6">
        <f t="shared" si="210"/>
        <v>7.3333333333333341E-3</v>
      </c>
      <c r="G1978">
        <f t="shared" si="211"/>
        <v>1.3072261099012916</v>
      </c>
      <c r="H1978">
        <f t="shared" si="212"/>
        <v>0.35223374261723361</v>
      </c>
      <c r="I1978">
        <f t="shared" si="213"/>
        <v>0.63770452679072143</v>
      </c>
      <c r="J1978">
        <f t="shared" si="214"/>
        <v>0.91463855985221598</v>
      </c>
      <c r="K1978">
        <f t="shared" si="215"/>
        <v>1.2998927765679582</v>
      </c>
      <c r="L1978">
        <f t="shared" si="216"/>
        <v>0.63037119345738812</v>
      </c>
    </row>
    <row r="1979" spans="1:12" x14ac:dyDescent="0.25">
      <c r="A1979" s="1">
        <v>43103</v>
      </c>
      <c r="B1979" s="6">
        <v>215.9563</v>
      </c>
      <c r="C1979" s="6">
        <v>13.2723</v>
      </c>
      <c r="D1979" s="6">
        <v>10801.57</v>
      </c>
      <c r="E1979" s="6">
        <v>0.66</v>
      </c>
      <c r="F1979" s="6">
        <f t="shared" si="210"/>
        <v>7.3333333333333341E-3</v>
      </c>
      <c r="G1979">
        <f t="shared" si="211"/>
        <v>1.9354665128514277</v>
      </c>
      <c r="H1979">
        <f t="shared" si="212"/>
        <v>1.0529922338967503</v>
      </c>
      <c r="I1979">
        <f t="shared" si="213"/>
        <v>0.84812146324293625</v>
      </c>
      <c r="J1979">
        <f t="shared" si="214"/>
        <v>1.3566849407178825</v>
      </c>
      <c r="K1979">
        <f t="shared" si="215"/>
        <v>1.9281331795180943</v>
      </c>
      <c r="L1979">
        <f t="shared" si="216"/>
        <v>0.84078812990960294</v>
      </c>
    </row>
    <row r="1980" spans="1:12" x14ac:dyDescent="0.25">
      <c r="A1980" s="1">
        <v>43104</v>
      </c>
      <c r="B1980" s="6">
        <v>218.23429999999999</v>
      </c>
      <c r="C1980" s="6">
        <v>13.2262</v>
      </c>
      <c r="D1980" s="6">
        <v>10848.63</v>
      </c>
      <c r="E1980" s="6">
        <v>0.66</v>
      </c>
      <c r="F1980" s="6">
        <f t="shared" si="210"/>
        <v>7.3333333333333341E-3</v>
      </c>
      <c r="G1980">
        <f t="shared" si="211"/>
        <v>1.0548430400039228</v>
      </c>
      <c r="H1980">
        <f t="shared" si="212"/>
        <v>-0.34733994861477774</v>
      </c>
      <c r="I1980">
        <f t="shared" si="213"/>
        <v>0.4356774061548413</v>
      </c>
      <c r="J1980">
        <f t="shared" si="214"/>
        <v>0.73705523010136997</v>
      </c>
      <c r="K1980">
        <f t="shared" si="215"/>
        <v>1.0475097066705894</v>
      </c>
      <c r="L1980">
        <f t="shared" si="216"/>
        <v>0.42834407282150794</v>
      </c>
    </row>
    <row r="1981" spans="1:12" x14ac:dyDescent="0.25">
      <c r="A1981" s="1">
        <v>43105</v>
      </c>
      <c r="B1981" s="6">
        <v>218.68989999999999</v>
      </c>
      <c r="C1981" s="6">
        <v>13.410500000000001</v>
      </c>
      <c r="D1981" s="6">
        <v>10879.8</v>
      </c>
      <c r="E1981" s="6">
        <v>0.66</v>
      </c>
      <c r="F1981" s="6">
        <f t="shared" si="210"/>
        <v>7.3333333333333341E-3</v>
      </c>
      <c r="G1981">
        <f t="shared" si="211"/>
        <v>0.20876644963692875</v>
      </c>
      <c r="H1981">
        <f t="shared" si="212"/>
        <v>1.3934463413527722</v>
      </c>
      <c r="I1981">
        <f t="shared" si="213"/>
        <v>0.28731738477577423</v>
      </c>
      <c r="J1981">
        <f t="shared" si="214"/>
        <v>0.14173360966656043</v>
      </c>
      <c r="K1981">
        <f t="shared" si="215"/>
        <v>0.20143311630359542</v>
      </c>
      <c r="L1981">
        <f t="shared" si="216"/>
        <v>0.27998405144244087</v>
      </c>
    </row>
    <row r="1982" spans="1:12" x14ac:dyDescent="0.25">
      <c r="A1982" s="1">
        <v>43108</v>
      </c>
      <c r="B1982" s="6">
        <v>220.51230000000001</v>
      </c>
      <c r="C1982" s="6">
        <v>13.5488</v>
      </c>
      <c r="D1982" s="6">
        <v>10915.75</v>
      </c>
      <c r="E1982" s="6">
        <v>0.66</v>
      </c>
      <c r="F1982" s="6">
        <f t="shared" si="210"/>
        <v>7.3333333333333341E-3</v>
      </c>
      <c r="G1982">
        <f t="shared" si="211"/>
        <v>0.83332609324894114</v>
      </c>
      <c r="H1982">
        <f t="shared" si="212"/>
        <v>1.0312814585585861</v>
      </c>
      <c r="I1982">
        <f t="shared" si="213"/>
        <v>0.33042886817773054</v>
      </c>
      <c r="J1982">
        <f t="shared" si="214"/>
        <v>0.58119011198157244</v>
      </c>
      <c r="K1982">
        <f t="shared" si="215"/>
        <v>0.82599275991560783</v>
      </c>
      <c r="L1982">
        <f t="shared" si="216"/>
        <v>0.32309553484439718</v>
      </c>
    </row>
    <row r="1983" spans="1:12" x14ac:dyDescent="0.25">
      <c r="A1983" s="1">
        <v>43109</v>
      </c>
      <c r="B1983" s="6">
        <v>220.51230000000001</v>
      </c>
      <c r="C1983" s="6">
        <v>13.594900000000001</v>
      </c>
      <c r="D1983" s="6">
        <v>10914.89</v>
      </c>
      <c r="E1983" s="6">
        <v>0.66</v>
      </c>
      <c r="F1983" s="6">
        <f t="shared" si="210"/>
        <v>7.3333333333333341E-3</v>
      </c>
      <c r="G1983">
        <f t="shared" si="211"/>
        <v>0</v>
      </c>
      <c r="H1983">
        <f t="shared" si="212"/>
        <v>0.34025153519131524</v>
      </c>
      <c r="I1983">
        <f t="shared" si="213"/>
        <v>-7.8785241508882303E-3</v>
      </c>
      <c r="J1983">
        <f t="shared" si="214"/>
        <v>-5.1599251567697223E-3</v>
      </c>
      <c r="K1983">
        <f t="shared" si="215"/>
        <v>-7.3333333333333341E-3</v>
      </c>
      <c r="L1983">
        <f t="shared" si="216"/>
        <v>-1.5211857484221564E-2</v>
      </c>
    </row>
    <row r="1984" spans="1:12" x14ac:dyDescent="0.25">
      <c r="A1984" s="1">
        <v>43110</v>
      </c>
      <c r="B1984" s="6">
        <v>215.50069999999999</v>
      </c>
      <c r="C1984" s="6">
        <v>13.087899999999999</v>
      </c>
      <c r="D1984" s="6">
        <v>10831.09</v>
      </c>
      <c r="E1984" s="6">
        <v>0.66</v>
      </c>
      <c r="F1984" s="6">
        <f t="shared" si="210"/>
        <v>7.3333333333333341E-3</v>
      </c>
      <c r="G1984">
        <f t="shared" si="211"/>
        <v>-2.2727076902286245</v>
      </c>
      <c r="H1984">
        <f t="shared" si="212"/>
        <v>-3.7293396788501676</v>
      </c>
      <c r="I1984">
        <f t="shared" si="213"/>
        <v>-0.76775853902329094</v>
      </c>
      <c r="J1984">
        <f t="shared" si="214"/>
        <v>-1.6042965049014999</v>
      </c>
      <c r="K1984">
        <f t="shared" si="215"/>
        <v>-2.2800410235619579</v>
      </c>
      <c r="L1984">
        <f t="shared" si="216"/>
        <v>-0.77509187235662425</v>
      </c>
    </row>
    <row r="1985" spans="1:12" x14ac:dyDescent="0.25">
      <c r="A1985" s="1">
        <v>43111</v>
      </c>
      <c r="B1985" s="6">
        <v>214.13390000000001</v>
      </c>
      <c r="C1985" s="6">
        <v>12.903600000000001</v>
      </c>
      <c r="D1985" s="6">
        <v>10810.06</v>
      </c>
      <c r="E1985" s="6">
        <v>0.66</v>
      </c>
      <c r="F1985" s="6">
        <f t="shared" si="210"/>
        <v>7.3333333333333341E-3</v>
      </c>
      <c r="G1985">
        <f t="shared" si="211"/>
        <v>-0.63424387948623073</v>
      </c>
      <c r="H1985">
        <f t="shared" si="212"/>
        <v>-1.4081709059512877</v>
      </c>
      <c r="I1985">
        <f t="shared" si="213"/>
        <v>-0.19416328365843746</v>
      </c>
      <c r="J1985">
        <f t="shared" si="214"/>
        <v>-0.45143050915061866</v>
      </c>
      <c r="K1985">
        <f t="shared" si="215"/>
        <v>-0.64157721281956404</v>
      </c>
      <c r="L1985">
        <f t="shared" si="216"/>
        <v>-0.20149661699177079</v>
      </c>
    </row>
    <row r="1986" spans="1:12" x14ac:dyDescent="0.25">
      <c r="A1986" s="1">
        <v>43112</v>
      </c>
      <c r="B1986" s="6">
        <v>215.9563</v>
      </c>
      <c r="C1986" s="6">
        <v>13.087899999999999</v>
      </c>
      <c r="D1986" s="6">
        <v>10883.96</v>
      </c>
      <c r="E1986" s="6">
        <v>0.66</v>
      </c>
      <c r="F1986" s="6">
        <f t="shared" si="210"/>
        <v>7.3333333333333341E-3</v>
      </c>
      <c r="G1986">
        <f t="shared" si="211"/>
        <v>0.85105627833798736</v>
      </c>
      <c r="H1986">
        <f t="shared" si="212"/>
        <v>1.4282835797761753</v>
      </c>
      <c r="I1986">
        <f t="shared" si="213"/>
        <v>0.68362247758106465</v>
      </c>
      <c r="J1986">
        <f t="shared" si="214"/>
        <v>0.59366553399182065</v>
      </c>
      <c r="K1986">
        <f t="shared" si="215"/>
        <v>0.84372294500465406</v>
      </c>
      <c r="L1986">
        <f t="shared" si="216"/>
        <v>0.67628914424773134</v>
      </c>
    </row>
    <row r="1987" spans="1:12" x14ac:dyDescent="0.25">
      <c r="A1987" s="1">
        <v>43115</v>
      </c>
      <c r="B1987" s="6">
        <v>218.68989999999999</v>
      </c>
      <c r="C1987" s="6">
        <v>13.180099999999999</v>
      </c>
      <c r="D1987" s="6">
        <v>10956.31</v>
      </c>
      <c r="E1987" s="6">
        <v>0.66</v>
      </c>
      <c r="F1987" s="6">
        <f t="shared" ref="F1987:F2050" si="217">E1987/90</f>
        <v>7.3333333333333341E-3</v>
      </c>
      <c r="G1987">
        <f t="shared" si="211"/>
        <v>1.2658116480047101</v>
      </c>
      <c r="H1987">
        <f t="shared" si="212"/>
        <v>0.70446748523445368</v>
      </c>
      <c r="I1987">
        <f t="shared" si="213"/>
        <v>0.6647396719576365</v>
      </c>
      <c r="J1987">
        <f t="shared" si="214"/>
        <v>0.8854982611529999</v>
      </c>
      <c r="K1987">
        <f t="shared" si="215"/>
        <v>1.2584783146713767</v>
      </c>
      <c r="L1987">
        <f t="shared" si="216"/>
        <v>0.6574063386243032</v>
      </c>
    </row>
    <row r="1988" spans="1:12" x14ac:dyDescent="0.25">
      <c r="A1988" s="1">
        <v>43116</v>
      </c>
      <c r="B1988" s="6">
        <v>219.1455</v>
      </c>
      <c r="C1988" s="6">
        <v>13.180099999999999</v>
      </c>
      <c r="D1988" s="6">
        <v>10986.11</v>
      </c>
      <c r="E1988" s="6">
        <v>0.66</v>
      </c>
      <c r="F1988" s="6">
        <f t="shared" si="217"/>
        <v>7.3333333333333341E-3</v>
      </c>
      <c r="G1988">
        <f t="shared" ref="G1988:G2051" si="218">100*(B1988-B1987)/B1987</f>
        <v>0.20833152331223528</v>
      </c>
      <c r="H1988">
        <f t="shared" ref="H1988:H2051" si="219">100*(C1988-C1987)/C1987</f>
        <v>0</v>
      </c>
      <c r="I1988">
        <f t="shared" ref="I1988:I2051" si="220">100*(D1988-D1987)/D1987</f>
        <v>0.27198938328690125</v>
      </c>
      <c r="J1988">
        <f t="shared" ref="J1988:J2051" si="221">(G1988-F1988)/$N$3</f>
        <v>0.14142758412781581</v>
      </c>
      <c r="K1988">
        <f t="shared" ref="K1988:K2051" si="222">G1988-F1988</f>
        <v>0.20099818997890195</v>
      </c>
      <c r="L1988">
        <f t="shared" ref="L1988:L2051" si="223">I1988-F1988</f>
        <v>0.2646560499535679</v>
      </c>
    </row>
    <row r="1989" spans="1:12" x14ac:dyDescent="0.25">
      <c r="A1989" s="1">
        <v>43117</v>
      </c>
      <c r="B1989" s="6">
        <v>220.51230000000001</v>
      </c>
      <c r="C1989" s="6">
        <v>13.180099999999999</v>
      </c>
      <c r="D1989" s="6">
        <v>11004.8</v>
      </c>
      <c r="E1989" s="6">
        <v>0.66</v>
      </c>
      <c r="F1989" s="6">
        <f t="shared" si="217"/>
        <v>7.3333333333333341E-3</v>
      </c>
      <c r="G1989">
        <f t="shared" si="218"/>
        <v>0.62369521619198753</v>
      </c>
      <c r="H1989">
        <f t="shared" si="219"/>
        <v>0</v>
      </c>
      <c r="I1989">
        <f t="shared" si="220"/>
        <v>0.17012391101125593</v>
      </c>
      <c r="J1989">
        <f t="shared" si="221"/>
        <v>0.43368834341404394</v>
      </c>
      <c r="K1989">
        <f t="shared" si="222"/>
        <v>0.61636188285865423</v>
      </c>
      <c r="L1989">
        <f t="shared" si="223"/>
        <v>0.1627905776779226</v>
      </c>
    </row>
    <row r="1990" spans="1:12" x14ac:dyDescent="0.25">
      <c r="A1990" s="1">
        <v>43118</v>
      </c>
      <c r="B1990" s="6">
        <v>226.43520000000001</v>
      </c>
      <c r="C1990" s="6">
        <v>13.180099999999999</v>
      </c>
      <c r="D1990" s="6">
        <v>11071.57</v>
      </c>
      <c r="E1990" s="6">
        <v>0.66</v>
      </c>
      <c r="F1990" s="6">
        <f t="shared" si="217"/>
        <v>7.3333333333333341E-3</v>
      </c>
      <c r="G1990">
        <f t="shared" si="218"/>
        <v>2.6859726192144375</v>
      </c>
      <c r="H1990">
        <f t="shared" si="219"/>
        <v>0</v>
      </c>
      <c r="I1990">
        <f t="shared" si="220"/>
        <v>0.6067352428031445</v>
      </c>
      <c r="J1990">
        <f t="shared" si="221"/>
        <v>1.8847606686994898</v>
      </c>
      <c r="K1990">
        <f t="shared" si="222"/>
        <v>2.6786392858811041</v>
      </c>
      <c r="L1990">
        <f t="shared" si="223"/>
        <v>0.5994019094698112</v>
      </c>
    </row>
    <row r="1991" spans="1:12" x14ac:dyDescent="0.25">
      <c r="A1991" s="1">
        <v>43119</v>
      </c>
      <c r="B1991" s="6">
        <v>232.81360000000001</v>
      </c>
      <c r="C1991" s="6">
        <v>13.087899999999999</v>
      </c>
      <c r="D1991" s="6">
        <v>11150.85</v>
      </c>
      <c r="E1991" s="6">
        <v>0.66</v>
      </c>
      <c r="F1991" s="6">
        <f t="shared" si="217"/>
        <v>7.3333333333333341E-3</v>
      </c>
      <c r="G1991">
        <f t="shared" si="218"/>
        <v>2.8168765280309769</v>
      </c>
      <c r="H1991">
        <f t="shared" si="219"/>
        <v>-0.6995394572120095</v>
      </c>
      <c r="I1991">
        <f t="shared" si="220"/>
        <v>0.71606827216014224</v>
      </c>
      <c r="J1991">
        <f t="shared" si="221"/>
        <v>1.9768680830933922</v>
      </c>
      <c r="K1991">
        <f t="shared" si="222"/>
        <v>2.8095431946976435</v>
      </c>
      <c r="L1991">
        <f t="shared" si="223"/>
        <v>0.70873493882680894</v>
      </c>
    </row>
    <row r="1992" spans="1:12" x14ac:dyDescent="0.25">
      <c r="A1992" s="1">
        <v>43122</v>
      </c>
      <c r="B1992" s="6">
        <v>238.2809</v>
      </c>
      <c r="C1992" s="6">
        <v>12.903600000000001</v>
      </c>
      <c r="D1992" s="6">
        <v>11231.46</v>
      </c>
      <c r="E1992" s="6">
        <v>0.66</v>
      </c>
      <c r="F1992" s="6">
        <f t="shared" si="217"/>
        <v>7.3333333333333341E-3</v>
      </c>
      <c r="G1992">
        <f t="shared" si="218"/>
        <v>2.348359374194632</v>
      </c>
      <c r="H1992">
        <f t="shared" si="219"/>
        <v>-1.4081709059512877</v>
      </c>
      <c r="I1992">
        <f t="shared" si="220"/>
        <v>0.72290453194150006</v>
      </c>
      <c r="J1992">
        <f t="shared" si="221"/>
        <v>1.6472071583036234</v>
      </c>
      <c r="K1992">
        <f t="shared" si="222"/>
        <v>2.3410260408612986</v>
      </c>
      <c r="L1992">
        <f t="shared" si="223"/>
        <v>0.71557119860816676</v>
      </c>
    </row>
    <row r="1993" spans="1:12" x14ac:dyDescent="0.25">
      <c r="A1993" s="1">
        <v>43123</v>
      </c>
      <c r="B1993" s="6">
        <v>242.38130000000001</v>
      </c>
      <c r="C1993" s="6">
        <v>13.4566</v>
      </c>
      <c r="D1993" s="6">
        <v>11253.11</v>
      </c>
      <c r="E1993" s="6">
        <v>0.66</v>
      </c>
      <c r="F1993" s="6">
        <f t="shared" si="217"/>
        <v>7.3333333333333341E-3</v>
      </c>
      <c r="G1993">
        <f t="shared" si="218"/>
        <v>1.720826134197079</v>
      </c>
      <c r="H1993">
        <f t="shared" si="219"/>
        <v>4.2856257168542031</v>
      </c>
      <c r="I1993">
        <f t="shared" si="220"/>
        <v>0.19276211641230487</v>
      </c>
      <c r="J1993">
        <f t="shared" si="221"/>
        <v>1.2056583557891798</v>
      </c>
      <c r="K1993">
        <f t="shared" si="222"/>
        <v>1.7134928008637456</v>
      </c>
      <c r="L1993">
        <f t="shared" si="223"/>
        <v>0.18542878307897154</v>
      </c>
    </row>
    <row r="1994" spans="1:12" x14ac:dyDescent="0.25">
      <c r="A1994" s="1">
        <v>43124</v>
      </c>
      <c r="B1994" s="6">
        <v>235.0917</v>
      </c>
      <c r="C1994" s="6">
        <v>13.2723</v>
      </c>
      <c r="D1994" s="6">
        <v>11152.16</v>
      </c>
      <c r="E1994" s="6">
        <v>0.66</v>
      </c>
      <c r="F1994" s="6">
        <f t="shared" si="217"/>
        <v>7.3333333333333341E-3</v>
      </c>
      <c r="G1994">
        <f t="shared" si="218"/>
        <v>-3.0074927397451896</v>
      </c>
      <c r="H1994">
        <f t="shared" si="219"/>
        <v>-1.3695881574840625</v>
      </c>
      <c r="I1994">
        <f t="shared" si="220"/>
        <v>-0.89708533907515986</v>
      </c>
      <c r="J1994">
        <f t="shared" si="221"/>
        <v>-2.1213104860586105</v>
      </c>
      <c r="K1994">
        <f t="shared" si="222"/>
        <v>-3.014826073078523</v>
      </c>
      <c r="L1994">
        <f t="shared" si="223"/>
        <v>-0.90441867240849316</v>
      </c>
    </row>
    <row r="1995" spans="1:12" x14ac:dyDescent="0.25">
      <c r="A1995" s="1">
        <v>43125</v>
      </c>
      <c r="B1995" s="6">
        <v>235.0917</v>
      </c>
      <c r="C1995" s="6">
        <v>13.3644</v>
      </c>
      <c r="D1995" s="6">
        <v>11165.95</v>
      </c>
      <c r="E1995" s="6">
        <v>0.66</v>
      </c>
      <c r="F1995" s="6">
        <f t="shared" si="217"/>
        <v>7.3333333333333341E-3</v>
      </c>
      <c r="G1995">
        <f t="shared" si="218"/>
        <v>0</v>
      </c>
      <c r="H1995">
        <f t="shared" si="219"/>
        <v>0.69392644831717409</v>
      </c>
      <c r="I1995">
        <f t="shared" si="220"/>
        <v>0.12365317570767344</v>
      </c>
      <c r="J1995">
        <f t="shared" si="221"/>
        <v>-5.1599251567697223E-3</v>
      </c>
      <c r="K1995">
        <f t="shared" si="222"/>
        <v>-7.3333333333333341E-3</v>
      </c>
      <c r="L1995">
        <f t="shared" si="223"/>
        <v>0.11631984237434011</v>
      </c>
    </row>
    <row r="1996" spans="1:12" x14ac:dyDescent="0.25">
      <c r="A1996" s="1">
        <v>43126</v>
      </c>
      <c r="B1996" s="6">
        <v>232.358</v>
      </c>
      <c r="C1996" s="6">
        <v>13.4566</v>
      </c>
      <c r="D1996" s="6">
        <v>11147.1</v>
      </c>
      <c r="E1996" s="6">
        <v>0.66</v>
      </c>
      <c r="F1996" s="6">
        <f t="shared" si="217"/>
        <v>7.3333333333333341E-3</v>
      </c>
      <c r="G1996">
        <f t="shared" si="218"/>
        <v>-1.1628228474250681</v>
      </c>
      <c r="H1996">
        <f t="shared" si="219"/>
        <v>0.68989255035766706</v>
      </c>
      <c r="I1996">
        <f t="shared" si="220"/>
        <v>-0.16881680466060087</v>
      </c>
      <c r="J1996">
        <f t="shared" si="221"/>
        <v>-0.82335249742429828</v>
      </c>
      <c r="K1996">
        <f t="shared" si="222"/>
        <v>-1.1701561807584016</v>
      </c>
      <c r="L1996">
        <f t="shared" si="223"/>
        <v>-0.1761501379939342</v>
      </c>
    </row>
    <row r="1997" spans="1:12" x14ac:dyDescent="0.25">
      <c r="A1997" s="1">
        <v>43129</v>
      </c>
      <c r="B1997" s="6">
        <v>235.54730000000001</v>
      </c>
      <c r="C1997" s="6">
        <v>13.410500000000001</v>
      </c>
      <c r="D1997" s="6">
        <v>11221.81</v>
      </c>
      <c r="E1997" s="6">
        <v>0.66</v>
      </c>
      <c r="F1997" s="6">
        <f t="shared" si="217"/>
        <v>7.3333333333333341E-3</v>
      </c>
      <c r="G1997">
        <f t="shared" si="218"/>
        <v>1.3725802425567455</v>
      </c>
      <c r="H1997">
        <f t="shared" si="219"/>
        <v>-0.34258282181233851</v>
      </c>
      <c r="I1997">
        <f t="shared" si="220"/>
        <v>0.6702191601402977</v>
      </c>
      <c r="J1997">
        <f t="shared" si="221"/>
        <v>0.96062343710508991</v>
      </c>
      <c r="K1997">
        <f t="shared" si="222"/>
        <v>1.3652469092234121</v>
      </c>
      <c r="L1997">
        <f t="shared" si="223"/>
        <v>0.6628858268069644</v>
      </c>
    </row>
    <row r="1998" spans="1:12" x14ac:dyDescent="0.25">
      <c r="A1998" s="1">
        <v>43130</v>
      </c>
      <c r="B1998" s="6">
        <v>230.53559999999999</v>
      </c>
      <c r="C1998" s="6">
        <v>13.3184</v>
      </c>
      <c r="D1998" s="6">
        <v>11076.78</v>
      </c>
      <c r="E1998" s="6">
        <v>0.66</v>
      </c>
      <c r="F1998" s="6">
        <f t="shared" si="217"/>
        <v>7.3333333333333341E-3</v>
      </c>
      <c r="G1998">
        <f t="shared" si="218"/>
        <v>-2.1276830598355483</v>
      </c>
      <c r="H1998">
        <f t="shared" si="219"/>
        <v>-0.68677528802058307</v>
      </c>
      <c r="I1998">
        <f t="shared" si="220"/>
        <v>-1.292394007740274</v>
      </c>
      <c r="J1998">
        <f t="shared" si="221"/>
        <v>-1.5022533814401637</v>
      </c>
      <c r="K1998">
        <f t="shared" si="222"/>
        <v>-2.1350163931688817</v>
      </c>
      <c r="L1998">
        <f t="shared" si="223"/>
        <v>-1.2997273410736074</v>
      </c>
    </row>
    <row r="1999" spans="1:12" x14ac:dyDescent="0.25">
      <c r="A1999" s="1">
        <v>43131</v>
      </c>
      <c r="B1999" s="6">
        <v>232.358</v>
      </c>
      <c r="C1999" s="6">
        <v>13.134</v>
      </c>
      <c r="D1999" s="6">
        <v>11103.79</v>
      </c>
      <c r="E1999" s="6">
        <v>0.66</v>
      </c>
      <c r="F1999" s="6">
        <f t="shared" si="217"/>
        <v>7.3333333333333341E-3</v>
      </c>
      <c r="G1999">
        <f t="shared" si="218"/>
        <v>0.79050697592910424</v>
      </c>
      <c r="H1999">
        <f t="shared" si="219"/>
        <v>-1.3845506967803949</v>
      </c>
      <c r="I1999">
        <f t="shared" si="220"/>
        <v>0.24384342742205059</v>
      </c>
      <c r="J1999">
        <f t="shared" si="221"/>
        <v>0.5510614609839406</v>
      </c>
      <c r="K1999">
        <f t="shared" si="222"/>
        <v>0.78317364259577094</v>
      </c>
      <c r="L1999">
        <f t="shared" si="223"/>
        <v>0.23651009408871726</v>
      </c>
    </row>
    <row r="2000" spans="1:12" x14ac:dyDescent="0.25">
      <c r="A2000" s="1">
        <v>43132</v>
      </c>
      <c r="B2000" s="6">
        <v>236.45849999999999</v>
      </c>
      <c r="C2000" s="6">
        <v>13.2723</v>
      </c>
      <c r="D2000" s="6">
        <v>11160.25</v>
      </c>
      <c r="E2000" s="6">
        <v>0.66</v>
      </c>
      <c r="F2000" s="6">
        <f t="shared" si="217"/>
        <v>7.3333333333333341E-3</v>
      </c>
      <c r="G2000">
        <f t="shared" si="218"/>
        <v>1.7647337298478996</v>
      </c>
      <c r="H2000">
        <f t="shared" si="219"/>
        <v>1.0529922338967503</v>
      </c>
      <c r="I2000">
        <f t="shared" si="220"/>
        <v>0.50847503420002649</v>
      </c>
      <c r="J2000">
        <f t="shared" si="221"/>
        <v>1.2365528886126265</v>
      </c>
      <c r="K2000">
        <f t="shared" si="222"/>
        <v>1.7574003965145661</v>
      </c>
      <c r="L2000">
        <f t="shared" si="223"/>
        <v>0.50114170086669318</v>
      </c>
    </row>
    <row r="2001" spans="1:12" x14ac:dyDescent="0.25">
      <c r="A2001" s="1">
        <v>43133</v>
      </c>
      <c r="B2001" s="6">
        <v>236.45849999999999</v>
      </c>
      <c r="C2001" s="6">
        <v>13.410500000000001</v>
      </c>
      <c r="D2001" s="6">
        <v>11126.23</v>
      </c>
      <c r="E2001" s="6">
        <v>0.66</v>
      </c>
      <c r="F2001" s="6">
        <f t="shared" si="217"/>
        <v>7.3333333333333341E-3</v>
      </c>
      <c r="G2001">
        <f t="shared" si="218"/>
        <v>0</v>
      </c>
      <c r="H2001">
        <f t="shared" si="219"/>
        <v>1.0412663969319651</v>
      </c>
      <c r="I2001">
        <f t="shared" si="220"/>
        <v>-0.30483188100625375</v>
      </c>
      <c r="J2001">
        <f t="shared" si="221"/>
        <v>-5.1599251567697223E-3</v>
      </c>
      <c r="K2001">
        <f t="shared" si="222"/>
        <v>-7.3333333333333341E-3</v>
      </c>
      <c r="L2001">
        <f t="shared" si="223"/>
        <v>-0.3121652143395871</v>
      </c>
    </row>
    <row r="2002" spans="1:12" x14ac:dyDescent="0.25">
      <c r="A2002" s="1">
        <v>43136</v>
      </c>
      <c r="B2002" s="6">
        <v>230.53559999999999</v>
      </c>
      <c r="C2002" s="6">
        <v>13.2723</v>
      </c>
      <c r="D2002" s="6">
        <v>10946.25</v>
      </c>
      <c r="E2002" s="6">
        <v>0.66</v>
      </c>
      <c r="F2002" s="6">
        <f t="shared" si="217"/>
        <v>7.3333333333333341E-3</v>
      </c>
      <c r="G2002">
        <f t="shared" si="218"/>
        <v>-2.5048370009959458</v>
      </c>
      <c r="H2002">
        <f t="shared" si="219"/>
        <v>-1.0305357742067873</v>
      </c>
      <c r="I2002">
        <f t="shared" si="220"/>
        <v>-1.6176189059546637</v>
      </c>
      <c r="J2002">
        <f t="shared" si="221"/>
        <v>-1.7676287599358524</v>
      </c>
      <c r="K2002">
        <f t="shared" si="222"/>
        <v>-2.5121703343292792</v>
      </c>
      <c r="L2002">
        <f t="shared" si="223"/>
        <v>-1.6249522392879971</v>
      </c>
    </row>
    <row r="2003" spans="1:12" x14ac:dyDescent="0.25">
      <c r="A2003" s="1">
        <v>43137</v>
      </c>
      <c r="B2003" s="6">
        <v>217.77869999999999</v>
      </c>
      <c r="C2003" s="6">
        <v>12.8575</v>
      </c>
      <c r="D2003" s="6">
        <v>10404</v>
      </c>
      <c r="E2003" s="6">
        <v>0.66</v>
      </c>
      <c r="F2003" s="6">
        <f t="shared" si="217"/>
        <v>7.3333333333333341E-3</v>
      </c>
      <c r="G2003">
        <f t="shared" si="218"/>
        <v>-5.5335922087521414</v>
      </c>
      <c r="H2003">
        <f t="shared" si="219"/>
        <v>-3.1253060886206581</v>
      </c>
      <c r="I2003">
        <f t="shared" si="220"/>
        <v>-4.9537512846865361</v>
      </c>
      <c r="J2003">
        <f t="shared" si="221"/>
        <v>-3.8987401495083751</v>
      </c>
      <c r="K2003">
        <f t="shared" si="222"/>
        <v>-5.5409255420854748</v>
      </c>
      <c r="L2003">
        <f t="shared" si="223"/>
        <v>-4.9610846180198696</v>
      </c>
    </row>
    <row r="2004" spans="1:12" x14ac:dyDescent="0.25">
      <c r="A2004" s="1">
        <v>43138</v>
      </c>
      <c r="B2004" s="6">
        <v>218.68989999999999</v>
      </c>
      <c r="C2004" s="6">
        <v>13.087899999999999</v>
      </c>
      <c r="D2004" s="6">
        <v>10551.54</v>
      </c>
      <c r="E2004" s="6">
        <v>0.66</v>
      </c>
      <c r="F2004" s="6">
        <f t="shared" si="217"/>
        <v>7.3333333333333341E-3</v>
      </c>
      <c r="G2004">
        <f t="shared" si="218"/>
        <v>0.41840639144232566</v>
      </c>
      <c r="H2004">
        <f t="shared" si="219"/>
        <v>1.7919502236048959</v>
      </c>
      <c r="I2004">
        <f t="shared" si="220"/>
        <v>1.4181084198385321</v>
      </c>
      <c r="J2004">
        <f t="shared" si="221"/>
        <v>0.28924175642820699</v>
      </c>
      <c r="K2004">
        <f t="shared" si="222"/>
        <v>0.41107305810899231</v>
      </c>
      <c r="L2004">
        <f t="shared" si="223"/>
        <v>1.4107750865051987</v>
      </c>
    </row>
    <row r="2005" spans="1:12" x14ac:dyDescent="0.25">
      <c r="A2005" s="1">
        <v>43139</v>
      </c>
      <c r="B2005" s="6">
        <v>217.32310000000001</v>
      </c>
      <c r="C2005" s="6">
        <v>13.0419</v>
      </c>
      <c r="D2005" s="6">
        <v>10528.52</v>
      </c>
      <c r="E2005" s="6">
        <v>0.66</v>
      </c>
      <c r="F2005" s="6">
        <f t="shared" si="217"/>
        <v>7.3333333333333341E-3</v>
      </c>
      <c r="G2005">
        <f t="shared" si="218"/>
        <v>-0.62499456993669278</v>
      </c>
      <c r="H2005">
        <f t="shared" si="219"/>
        <v>-0.35146967809961399</v>
      </c>
      <c r="I2005">
        <f t="shared" si="220"/>
        <v>-0.21816720592444738</v>
      </c>
      <c r="J2005">
        <f t="shared" si="221"/>
        <v>-0.44492245301051714</v>
      </c>
      <c r="K2005">
        <f t="shared" si="222"/>
        <v>-0.63232790327002608</v>
      </c>
      <c r="L2005">
        <f t="shared" si="223"/>
        <v>-0.22550053925778071</v>
      </c>
    </row>
    <row r="2006" spans="1:12" x14ac:dyDescent="0.25">
      <c r="A2006" s="1">
        <v>43140</v>
      </c>
      <c r="B2006" s="6">
        <v>211.85589999999999</v>
      </c>
      <c r="C2006" s="6">
        <v>12.9497</v>
      </c>
      <c r="D2006" s="6">
        <v>10371.75</v>
      </c>
      <c r="E2006" s="6">
        <v>0.66</v>
      </c>
      <c r="F2006" s="6">
        <f t="shared" si="217"/>
        <v>7.3333333333333341E-3</v>
      </c>
      <c r="G2006">
        <f t="shared" si="218"/>
        <v>-2.5157012761183783</v>
      </c>
      <c r="H2006">
        <f t="shared" si="219"/>
        <v>-0.70695220788382107</v>
      </c>
      <c r="I2006">
        <f t="shared" si="220"/>
        <v>-1.4890032027293525</v>
      </c>
      <c r="J2006">
        <f t="shared" si="221"/>
        <v>-1.7752731480968942</v>
      </c>
      <c r="K2006">
        <f t="shared" si="222"/>
        <v>-2.5230346094517118</v>
      </c>
      <c r="L2006">
        <f t="shared" si="223"/>
        <v>-1.4963365360626859</v>
      </c>
    </row>
    <row r="2007" spans="1:12" x14ac:dyDescent="0.25">
      <c r="A2007" s="1">
        <v>43143</v>
      </c>
      <c r="B2007" s="6">
        <v>215.50069999999999</v>
      </c>
      <c r="C2007" s="6">
        <v>12.7654</v>
      </c>
      <c r="D2007" s="6">
        <v>10421.09</v>
      </c>
      <c r="E2007" s="6">
        <v>0.66</v>
      </c>
      <c r="F2007" s="6">
        <f t="shared" si="217"/>
        <v>7.3333333333333341E-3</v>
      </c>
      <c r="G2007">
        <f t="shared" si="218"/>
        <v>1.7204146780901564</v>
      </c>
      <c r="H2007">
        <f t="shared" si="219"/>
        <v>-1.4231989930268683</v>
      </c>
      <c r="I2007">
        <f t="shared" si="220"/>
        <v>0.47571528430592858</v>
      </c>
      <c r="J2007">
        <f t="shared" si="221"/>
        <v>1.2053688445095867</v>
      </c>
      <c r="K2007">
        <f t="shared" si="222"/>
        <v>1.7130813447568229</v>
      </c>
      <c r="L2007">
        <f t="shared" si="223"/>
        <v>0.46838195097259522</v>
      </c>
    </row>
    <row r="2008" spans="1:12" x14ac:dyDescent="0.25">
      <c r="A2008" s="1">
        <v>43152</v>
      </c>
      <c r="B2008" s="6">
        <v>220.96789999999999</v>
      </c>
      <c r="C2008" s="6">
        <v>12.995799999999999</v>
      </c>
      <c r="D2008" s="6">
        <v>10714.44</v>
      </c>
      <c r="E2008" s="6">
        <v>0.66</v>
      </c>
      <c r="F2008" s="6">
        <f t="shared" si="217"/>
        <v>7.3333333333333341E-3</v>
      </c>
      <c r="G2008">
        <f t="shared" si="218"/>
        <v>2.5369755179449491</v>
      </c>
      <c r="H2008">
        <f t="shared" si="219"/>
        <v>1.804878813041499</v>
      </c>
      <c r="I2008">
        <f t="shared" si="220"/>
        <v>2.8149646534095796</v>
      </c>
      <c r="J2008">
        <f t="shared" si="221"/>
        <v>1.7799224108186444</v>
      </c>
      <c r="K2008">
        <f t="shared" si="222"/>
        <v>2.5296421846116157</v>
      </c>
      <c r="L2008">
        <f t="shared" si="223"/>
        <v>2.8076313200762462</v>
      </c>
    </row>
    <row r="2009" spans="1:12" x14ac:dyDescent="0.25">
      <c r="A2009" s="1">
        <v>43153</v>
      </c>
      <c r="B2009" s="6">
        <v>218.23429999999999</v>
      </c>
      <c r="C2009" s="6">
        <v>12.8575</v>
      </c>
      <c r="D2009" s="6">
        <v>10662.38</v>
      </c>
      <c r="E2009" s="6">
        <v>0.66</v>
      </c>
      <c r="F2009" s="6">
        <f t="shared" si="217"/>
        <v>7.3333333333333341E-3</v>
      </c>
      <c r="G2009">
        <f t="shared" si="218"/>
        <v>-1.2371027647002102</v>
      </c>
      <c r="H2009">
        <f t="shared" si="219"/>
        <v>-1.0641899690669232</v>
      </c>
      <c r="I2009">
        <f t="shared" si="220"/>
        <v>-0.48588633657009894</v>
      </c>
      <c r="J2009">
        <f t="shared" si="221"/>
        <v>-0.87561779021395003</v>
      </c>
      <c r="K2009">
        <f t="shared" si="222"/>
        <v>-1.2444360980335436</v>
      </c>
      <c r="L2009">
        <f t="shared" si="223"/>
        <v>-0.4932196699034323</v>
      </c>
    </row>
    <row r="2010" spans="1:12" x14ac:dyDescent="0.25">
      <c r="A2010" s="1">
        <v>43154</v>
      </c>
      <c r="B2010" s="6">
        <v>223.24600000000001</v>
      </c>
      <c r="C2010" s="6">
        <v>13.0419</v>
      </c>
      <c r="D2010" s="6">
        <v>10794.55</v>
      </c>
      <c r="E2010" s="6">
        <v>0.66</v>
      </c>
      <c r="F2010" s="6">
        <f t="shared" si="217"/>
        <v>7.3333333333333341E-3</v>
      </c>
      <c r="G2010">
        <f t="shared" si="218"/>
        <v>2.2964767683173632</v>
      </c>
      <c r="H2010">
        <f t="shared" si="219"/>
        <v>1.4341823838226726</v>
      </c>
      <c r="I2010">
        <f t="shared" si="220"/>
        <v>1.2395919109992335</v>
      </c>
      <c r="J2010">
        <f t="shared" si="221"/>
        <v>1.6107011996765932</v>
      </c>
      <c r="K2010">
        <f t="shared" si="222"/>
        <v>2.2891434349840298</v>
      </c>
      <c r="L2010">
        <f t="shared" si="223"/>
        <v>1.2322585776659001</v>
      </c>
    </row>
    <row r="2011" spans="1:12" x14ac:dyDescent="0.25">
      <c r="A2011" s="1">
        <v>43157</v>
      </c>
      <c r="B2011" s="6">
        <v>224.61279999999999</v>
      </c>
      <c r="C2011" s="6">
        <v>12.995799999999999</v>
      </c>
      <c r="D2011" s="6">
        <v>10836.7</v>
      </c>
      <c r="E2011" s="6">
        <v>0.66</v>
      </c>
      <c r="F2011" s="6">
        <f t="shared" si="217"/>
        <v>7.3333333333333341E-3</v>
      </c>
      <c r="G2011">
        <f t="shared" si="218"/>
        <v>0.61223941302419016</v>
      </c>
      <c r="H2011">
        <f t="shared" si="219"/>
        <v>-0.35347610394191736</v>
      </c>
      <c r="I2011">
        <f t="shared" si="220"/>
        <v>0.39047482294307273</v>
      </c>
      <c r="J2011">
        <f t="shared" si="221"/>
        <v>0.42562774064724579</v>
      </c>
      <c r="K2011">
        <f t="shared" si="222"/>
        <v>0.60490607969085686</v>
      </c>
      <c r="L2011">
        <f t="shared" si="223"/>
        <v>0.38314148960973937</v>
      </c>
    </row>
    <row r="2012" spans="1:12" x14ac:dyDescent="0.25">
      <c r="A2012" s="1">
        <v>43158</v>
      </c>
      <c r="B2012" s="6">
        <v>224.15719999999999</v>
      </c>
      <c r="C2012" s="6">
        <v>13.0419</v>
      </c>
      <c r="D2012" s="6">
        <v>10815.47</v>
      </c>
      <c r="E2012" s="6">
        <v>0.66</v>
      </c>
      <c r="F2012" s="6">
        <f t="shared" si="217"/>
        <v>7.3333333333333341E-3</v>
      </c>
      <c r="G2012">
        <f t="shared" si="218"/>
        <v>-0.20283795046408931</v>
      </c>
      <c r="H2012">
        <f t="shared" si="219"/>
        <v>0.3547299896889835</v>
      </c>
      <c r="I2012">
        <f t="shared" si="220"/>
        <v>-0.19590834848248434</v>
      </c>
      <c r="J2012">
        <f t="shared" si="221"/>
        <v>-0.14788201288594224</v>
      </c>
      <c r="K2012">
        <f t="shared" si="222"/>
        <v>-0.21017128379742264</v>
      </c>
      <c r="L2012">
        <f t="shared" si="223"/>
        <v>-0.20324168181581767</v>
      </c>
    </row>
    <row r="2013" spans="1:12" x14ac:dyDescent="0.25">
      <c r="A2013" s="1">
        <v>43160</v>
      </c>
      <c r="B2013" s="6">
        <v>221.42349999999999</v>
      </c>
      <c r="C2013" s="6">
        <v>12.903600000000001</v>
      </c>
      <c r="D2013" s="6">
        <v>10785.79</v>
      </c>
      <c r="E2013" s="6">
        <v>0.66</v>
      </c>
      <c r="F2013" s="6">
        <f t="shared" si="217"/>
        <v>7.3333333333333341E-3</v>
      </c>
      <c r="G2013">
        <f t="shared" si="218"/>
        <v>-1.2195459258056396</v>
      </c>
      <c r="H2013">
        <f t="shared" si="219"/>
        <v>-1.0604283118257247</v>
      </c>
      <c r="I2013">
        <f t="shared" si="220"/>
        <v>-0.27442173109442747</v>
      </c>
      <c r="J2013">
        <f t="shared" si="221"/>
        <v>-0.86326433912047984</v>
      </c>
      <c r="K2013">
        <f t="shared" si="222"/>
        <v>-1.226879259138973</v>
      </c>
      <c r="L2013">
        <f t="shared" si="223"/>
        <v>-0.28175506442776083</v>
      </c>
    </row>
    <row r="2014" spans="1:12" x14ac:dyDescent="0.25">
      <c r="A2014" s="1">
        <v>43161</v>
      </c>
      <c r="B2014" s="6">
        <v>218.68989999999999</v>
      </c>
      <c r="C2014" s="6">
        <v>12.903600000000001</v>
      </c>
      <c r="D2014" s="6">
        <v>10698.17</v>
      </c>
      <c r="E2014" s="6">
        <v>0.66</v>
      </c>
      <c r="F2014" s="6">
        <f t="shared" si="217"/>
        <v>7.3333333333333341E-3</v>
      </c>
      <c r="G2014">
        <f t="shared" si="218"/>
        <v>-1.2345573076028495</v>
      </c>
      <c r="H2014">
        <f t="shared" si="219"/>
        <v>0</v>
      </c>
      <c r="I2014">
        <f t="shared" si="220"/>
        <v>-0.81236515823134692</v>
      </c>
      <c r="J2014">
        <f t="shared" si="221"/>
        <v>-0.8738267400168388</v>
      </c>
      <c r="K2014">
        <f t="shared" si="222"/>
        <v>-1.241890640936183</v>
      </c>
      <c r="L2014">
        <f t="shared" si="223"/>
        <v>-0.81969849156468022</v>
      </c>
    </row>
    <row r="2015" spans="1:12" x14ac:dyDescent="0.25">
      <c r="A2015" s="1">
        <v>43164</v>
      </c>
      <c r="B2015" s="6">
        <v>220.05670000000001</v>
      </c>
      <c r="C2015" s="6">
        <v>12.811400000000001</v>
      </c>
      <c r="D2015" s="6">
        <v>10642.9</v>
      </c>
      <c r="E2015" s="6">
        <v>0.66</v>
      </c>
      <c r="F2015" s="6">
        <f t="shared" si="217"/>
        <v>7.3333333333333341E-3</v>
      </c>
      <c r="G2015">
        <f t="shared" si="218"/>
        <v>0.62499456993670588</v>
      </c>
      <c r="H2015">
        <f t="shared" si="219"/>
        <v>-0.71452927865091953</v>
      </c>
      <c r="I2015">
        <f t="shared" si="220"/>
        <v>-0.51663041436059098</v>
      </c>
      <c r="J2015">
        <f t="shared" si="221"/>
        <v>0.43460260269698692</v>
      </c>
      <c r="K2015">
        <f t="shared" si="222"/>
        <v>0.61766123660337258</v>
      </c>
      <c r="L2015">
        <f t="shared" si="223"/>
        <v>-0.52396374769392429</v>
      </c>
    </row>
    <row r="2016" spans="1:12" x14ac:dyDescent="0.25">
      <c r="A2016" s="1">
        <v>43165</v>
      </c>
      <c r="B2016" s="6">
        <v>227.80199999999999</v>
      </c>
      <c r="C2016" s="6">
        <v>13.0419</v>
      </c>
      <c r="D2016" s="6">
        <v>10784.34</v>
      </c>
      <c r="E2016" s="6">
        <v>0.66</v>
      </c>
      <c r="F2016" s="6">
        <f t="shared" si="217"/>
        <v>7.3333333333333341E-3</v>
      </c>
      <c r="G2016">
        <f t="shared" si="218"/>
        <v>3.5196837905866922</v>
      </c>
      <c r="H2016">
        <f t="shared" si="219"/>
        <v>1.7991788563310742</v>
      </c>
      <c r="I2016">
        <f t="shared" si="220"/>
        <v>1.3289610914318515</v>
      </c>
      <c r="J2016">
        <f t="shared" si="221"/>
        <v>2.4713816568781692</v>
      </c>
      <c r="K2016">
        <f t="shared" si="222"/>
        <v>3.5123504572533588</v>
      </c>
      <c r="L2016">
        <f t="shared" si="223"/>
        <v>1.3216277580985181</v>
      </c>
    </row>
    <row r="2017" spans="1:12" x14ac:dyDescent="0.25">
      <c r="A2017" s="1">
        <v>43166</v>
      </c>
      <c r="B2017" s="6">
        <v>225.0684</v>
      </c>
      <c r="C2017" s="6">
        <v>12.9497</v>
      </c>
      <c r="D2017" s="6">
        <v>10745.32</v>
      </c>
      <c r="E2017" s="6">
        <v>0.66</v>
      </c>
      <c r="F2017" s="6">
        <f t="shared" si="217"/>
        <v>7.3333333333333341E-3</v>
      </c>
      <c r="G2017">
        <f t="shared" si="218"/>
        <v>-1.1999894645349891</v>
      </c>
      <c r="H2017">
        <f t="shared" si="219"/>
        <v>-0.70695220788382107</v>
      </c>
      <c r="I2017">
        <f t="shared" si="220"/>
        <v>-0.36182093665444931</v>
      </c>
      <c r="J2017">
        <f t="shared" si="221"/>
        <v>-0.84950390141759502</v>
      </c>
      <c r="K2017">
        <f t="shared" si="222"/>
        <v>-1.2073227978683225</v>
      </c>
      <c r="L2017">
        <f t="shared" si="223"/>
        <v>-0.36915426998778267</v>
      </c>
    </row>
    <row r="2018" spans="1:12" x14ac:dyDescent="0.25">
      <c r="A2018" s="1">
        <v>43167</v>
      </c>
      <c r="B2018" s="6">
        <v>227.34639999999999</v>
      </c>
      <c r="C2018" s="6">
        <v>14.24</v>
      </c>
      <c r="D2018" s="6">
        <v>10823.24</v>
      </c>
      <c r="E2018" s="6">
        <v>0.66</v>
      </c>
      <c r="F2018" s="6">
        <f t="shared" si="217"/>
        <v>7.3333333333333341E-3</v>
      </c>
      <c r="G2018">
        <f t="shared" si="218"/>
        <v>1.0121367548709599</v>
      </c>
      <c r="H2018">
        <f t="shared" si="219"/>
        <v>9.9639373885109332</v>
      </c>
      <c r="I2018">
        <f t="shared" si="220"/>
        <v>0.72515290377578401</v>
      </c>
      <c r="J2018">
        <f t="shared" si="221"/>
        <v>0.70700597078185778</v>
      </c>
      <c r="K2018">
        <f t="shared" si="222"/>
        <v>1.0048034215376265</v>
      </c>
      <c r="L2018">
        <f t="shared" si="223"/>
        <v>0.71781957044245071</v>
      </c>
    </row>
    <row r="2019" spans="1:12" x14ac:dyDescent="0.25">
      <c r="A2019" s="1">
        <v>43168</v>
      </c>
      <c r="B2019" s="6">
        <v>228.2576</v>
      </c>
      <c r="C2019" s="6">
        <v>13.9175</v>
      </c>
      <c r="D2019" s="6">
        <v>10864.82</v>
      </c>
      <c r="E2019" s="6">
        <v>0.66</v>
      </c>
      <c r="F2019" s="6">
        <f t="shared" si="217"/>
        <v>7.3333333333333341E-3</v>
      </c>
      <c r="G2019">
        <f t="shared" si="218"/>
        <v>0.40079807729526751</v>
      </c>
      <c r="H2019">
        <f t="shared" si="219"/>
        <v>-2.2647471910112342</v>
      </c>
      <c r="I2019">
        <f t="shared" si="220"/>
        <v>0.38417331593866466</v>
      </c>
      <c r="J2019">
        <f t="shared" si="221"/>
        <v>0.27685208600061023</v>
      </c>
      <c r="K2019">
        <f t="shared" si="222"/>
        <v>0.39346474396193415</v>
      </c>
      <c r="L2019">
        <f t="shared" si="223"/>
        <v>0.3768399826053313</v>
      </c>
    </row>
    <row r="2020" spans="1:12" x14ac:dyDescent="0.25">
      <c r="A2020" s="1">
        <v>43171</v>
      </c>
      <c r="B2020" s="6">
        <v>231.4468</v>
      </c>
      <c r="C2020" s="6">
        <v>14.0557</v>
      </c>
      <c r="D2020" s="6">
        <v>11002.1</v>
      </c>
      <c r="E2020" s="6">
        <v>0.66</v>
      </c>
      <c r="F2020" s="6">
        <f t="shared" si="217"/>
        <v>7.3333333333333341E-3</v>
      </c>
      <c r="G2020">
        <f t="shared" si="218"/>
        <v>1.397193346464696</v>
      </c>
      <c r="H2020">
        <f t="shared" si="219"/>
        <v>0.99299443147116528</v>
      </c>
      <c r="I2020">
        <f t="shared" si="220"/>
        <v>1.2635276056115119</v>
      </c>
      <c r="J2020">
        <f t="shared" si="221"/>
        <v>0.97794186083792911</v>
      </c>
      <c r="K2020">
        <f t="shared" si="222"/>
        <v>1.3898600131313625</v>
      </c>
      <c r="L2020">
        <f t="shared" si="223"/>
        <v>1.2561942722781785</v>
      </c>
    </row>
    <row r="2021" spans="1:12" x14ac:dyDescent="0.25">
      <c r="A2021" s="1">
        <v>43172</v>
      </c>
      <c r="B2021" s="6">
        <v>236.00290000000001</v>
      </c>
      <c r="C2021" s="6">
        <v>14.0557</v>
      </c>
      <c r="D2021" s="6">
        <v>11095.63</v>
      </c>
      <c r="E2021" s="6">
        <v>0.66</v>
      </c>
      <c r="F2021" s="6">
        <f t="shared" si="217"/>
        <v>7.3333333333333341E-3</v>
      </c>
      <c r="G2021">
        <f t="shared" si="218"/>
        <v>1.9685301330586618</v>
      </c>
      <c r="H2021">
        <f t="shared" si="219"/>
        <v>0</v>
      </c>
      <c r="I2021">
        <f t="shared" si="220"/>
        <v>0.85011043346269199</v>
      </c>
      <c r="J2021">
        <f t="shared" si="221"/>
        <v>1.379949368765317</v>
      </c>
      <c r="K2021">
        <f t="shared" si="222"/>
        <v>1.9611967997253283</v>
      </c>
      <c r="L2021">
        <f t="shared" si="223"/>
        <v>0.84277710012935869</v>
      </c>
    </row>
    <row r="2022" spans="1:12" x14ac:dyDescent="0.25">
      <c r="A2022" s="1">
        <v>43173</v>
      </c>
      <c r="B2022" s="6">
        <v>234.18049999999999</v>
      </c>
      <c r="C2022" s="6">
        <v>13.9175</v>
      </c>
      <c r="D2022" s="6">
        <v>11038.8</v>
      </c>
      <c r="E2022" s="6">
        <v>0.66</v>
      </c>
      <c r="F2022" s="6">
        <f t="shared" si="217"/>
        <v>7.3333333333333341E-3</v>
      </c>
      <c r="G2022">
        <f t="shared" si="218"/>
        <v>-0.77219390100715535</v>
      </c>
      <c r="H2022">
        <f t="shared" si="219"/>
        <v>-0.98323100236914163</v>
      </c>
      <c r="I2022">
        <f t="shared" si="220"/>
        <v>-0.51218362544533236</v>
      </c>
      <c r="J2022">
        <f t="shared" si="221"/>
        <v>-0.54849575275372009</v>
      </c>
      <c r="K2022">
        <f t="shared" si="222"/>
        <v>-0.77952723434048865</v>
      </c>
      <c r="L2022">
        <f t="shared" si="223"/>
        <v>-0.51951695877866566</v>
      </c>
    </row>
    <row r="2023" spans="1:12" x14ac:dyDescent="0.25">
      <c r="A2023" s="1">
        <v>43174</v>
      </c>
      <c r="B2023" s="6">
        <v>232.358</v>
      </c>
      <c r="C2023" s="6">
        <v>13.9175</v>
      </c>
      <c r="D2023" s="6">
        <v>11018.45</v>
      </c>
      <c r="E2023" s="6">
        <v>0.66</v>
      </c>
      <c r="F2023" s="6">
        <f t="shared" si="217"/>
        <v>7.3333333333333341E-3</v>
      </c>
      <c r="G2023">
        <f t="shared" si="218"/>
        <v>-0.7782458402813176</v>
      </c>
      <c r="H2023">
        <f t="shared" si="219"/>
        <v>0</v>
      </c>
      <c r="I2023">
        <f t="shared" si="220"/>
        <v>-0.18434974816101882</v>
      </c>
      <c r="J2023">
        <f t="shared" si="221"/>
        <v>-0.55275405553208268</v>
      </c>
      <c r="K2023">
        <f t="shared" si="222"/>
        <v>-0.78557917361465091</v>
      </c>
      <c r="L2023">
        <f t="shared" si="223"/>
        <v>-0.19168308149435215</v>
      </c>
    </row>
    <row r="2024" spans="1:12" x14ac:dyDescent="0.25">
      <c r="A2024" s="1">
        <v>43175</v>
      </c>
      <c r="B2024" s="6">
        <v>232.358</v>
      </c>
      <c r="C2024" s="6">
        <v>14.009600000000001</v>
      </c>
      <c r="D2024" s="6">
        <v>11027.7</v>
      </c>
      <c r="E2024" s="6">
        <v>0.66</v>
      </c>
      <c r="F2024" s="6">
        <f t="shared" si="217"/>
        <v>7.3333333333333341E-3</v>
      </c>
      <c r="G2024">
        <f t="shared" si="218"/>
        <v>0</v>
      </c>
      <c r="H2024">
        <f t="shared" si="219"/>
        <v>0.66175678103107805</v>
      </c>
      <c r="I2024">
        <f t="shared" si="220"/>
        <v>8.3950101874583086E-2</v>
      </c>
      <c r="J2024">
        <f t="shared" si="221"/>
        <v>-5.1599251567697223E-3</v>
      </c>
      <c r="K2024">
        <f t="shared" si="222"/>
        <v>-7.3333333333333341E-3</v>
      </c>
      <c r="L2024">
        <f t="shared" si="223"/>
        <v>7.6616768541249755E-2</v>
      </c>
    </row>
    <row r="2025" spans="1:12" x14ac:dyDescent="0.25">
      <c r="A2025" s="1">
        <v>43178</v>
      </c>
      <c r="B2025" s="6">
        <v>232.358</v>
      </c>
      <c r="C2025" s="6">
        <v>14.0557</v>
      </c>
      <c r="D2025" s="6">
        <v>11046.9</v>
      </c>
      <c r="E2025" s="6">
        <v>0.66</v>
      </c>
      <c r="F2025" s="6">
        <f t="shared" si="217"/>
        <v>7.3333333333333341E-3</v>
      </c>
      <c r="G2025">
        <f t="shared" si="218"/>
        <v>0</v>
      </c>
      <c r="H2025">
        <f t="shared" si="219"/>
        <v>0.32906007309273028</v>
      </c>
      <c r="I2025">
        <f t="shared" si="220"/>
        <v>0.17410702140971288</v>
      </c>
      <c r="J2025">
        <f t="shared" si="221"/>
        <v>-5.1599251567697223E-3</v>
      </c>
      <c r="K2025">
        <f t="shared" si="222"/>
        <v>-7.3333333333333341E-3</v>
      </c>
      <c r="L2025">
        <f t="shared" si="223"/>
        <v>0.16677368807637954</v>
      </c>
    </row>
    <row r="2026" spans="1:12" x14ac:dyDescent="0.25">
      <c r="A2026" s="1">
        <v>43179</v>
      </c>
      <c r="B2026" s="6">
        <v>230.53559999999999</v>
      </c>
      <c r="C2026" s="6">
        <v>14.009600000000001</v>
      </c>
      <c r="D2026" s="6">
        <v>11010.84</v>
      </c>
      <c r="E2026" s="6">
        <v>0.66</v>
      </c>
      <c r="F2026" s="6">
        <f t="shared" si="217"/>
        <v>7.3333333333333341E-3</v>
      </c>
      <c r="G2026">
        <f t="shared" si="218"/>
        <v>-0.78430697458233245</v>
      </c>
      <c r="H2026">
        <f t="shared" si="219"/>
        <v>-0.32798081916944116</v>
      </c>
      <c r="I2026">
        <f t="shared" si="220"/>
        <v>-0.32642641827118463</v>
      </c>
      <c r="J2026">
        <f t="shared" si="221"/>
        <v>-0.55701882817185988</v>
      </c>
      <c r="K2026">
        <f t="shared" si="222"/>
        <v>-0.79164030791566575</v>
      </c>
      <c r="L2026">
        <f t="shared" si="223"/>
        <v>-0.33375975160451798</v>
      </c>
    </row>
    <row r="2027" spans="1:12" x14ac:dyDescent="0.25">
      <c r="A2027" s="1">
        <v>43180</v>
      </c>
      <c r="B2027" s="6">
        <v>230.08</v>
      </c>
      <c r="C2027" s="6">
        <v>14.009600000000001</v>
      </c>
      <c r="D2027" s="6">
        <v>11011.07</v>
      </c>
      <c r="E2027" s="6">
        <v>0.66</v>
      </c>
      <c r="F2027" s="6">
        <f t="shared" si="217"/>
        <v>7.3333333333333341E-3</v>
      </c>
      <c r="G2027">
        <f t="shared" si="218"/>
        <v>-0.19762674398226374</v>
      </c>
      <c r="H2027">
        <f t="shared" si="219"/>
        <v>0</v>
      </c>
      <c r="I2027">
        <f t="shared" si="220"/>
        <v>2.0888506235633561E-3</v>
      </c>
      <c r="J2027">
        <f t="shared" si="221"/>
        <v>-0.14421527169193862</v>
      </c>
      <c r="K2027">
        <f t="shared" si="222"/>
        <v>-0.20496007731559707</v>
      </c>
      <c r="L2027">
        <f t="shared" si="223"/>
        <v>-5.244482709769978E-3</v>
      </c>
    </row>
    <row r="2028" spans="1:12" x14ac:dyDescent="0.25">
      <c r="A2028" s="1">
        <v>43181</v>
      </c>
      <c r="B2028" s="6">
        <v>229.1688</v>
      </c>
      <c r="C2028" s="6">
        <v>14.0557</v>
      </c>
      <c r="D2028" s="6">
        <v>11005.84</v>
      </c>
      <c r="E2028" s="6">
        <v>0.66</v>
      </c>
      <c r="F2028" s="6">
        <f t="shared" si="217"/>
        <v>7.3333333333333341E-3</v>
      </c>
      <c r="G2028">
        <f t="shared" si="218"/>
        <v>-0.39603616133519121</v>
      </c>
      <c r="H2028">
        <f t="shared" si="219"/>
        <v>0.32906007309273028</v>
      </c>
      <c r="I2028">
        <f t="shared" si="220"/>
        <v>-4.7497654633015356E-2</v>
      </c>
      <c r="J2028">
        <f t="shared" si="221"/>
        <v>-0.28382132768367413</v>
      </c>
      <c r="K2028">
        <f t="shared" si="222"/>
        <v>-0.40336949466852456</v>
      </c>
      <c r="L2028">
        <f t="shared" si="223"/>
        <v>-5.4830987966348693E-2</v>
      </c>
    </row>
    <row r="2029" spans="1:12" x14ac:dyDescent="0.25">
      <c r="A2029" s="1">
        <v>43182</v>
      </c>
      <c r="B2029" s="6">
        <v>223.24600000000001</v>
      </c>
      <c r="C2029" s="6">
        <v>14.009600000000001</v>
      </c>
      <c r="D2029" s="6">
        <v>10823.33</v>
      </c>
      <c r="E2029" s="6">
        <v>0.66</v>
      </c>
      <c r="F2029" s="6">
        <f t="shared" si="217"/>
        <v>7.3333333333333341E-3</v>
      </c>
      <c r="G2029">
        <f t="shared" si="218"/>
        <v>-2.5844704863838337</v>
      </c>
      <c r="H2029">
        <f t="shared" si="219"/>
        <v>-0.32798081916944116</v>
      </c>
      <c r="I2029">
        <f t="shared" si="220"/>
        <v>-1.6583014108873126</v>
      </c>
      <c r="J2029">
        <f t="shared" si="221"/>
        <v>-1.8236609632868819</v>
      </c>
      <c r="K2029">
        <f t="shared" si="222"/>
        <v>-2.5918038197171671</v>
      </c>
      <c r="L2029">
        <f t="shared" si="223"/>
        <v>-1.6656347442206461</v>
      </c>
    </row>
    <row r="2030" spans="1:12" x14ac:dyDescent="0.25">
      <c r="A2030" s="1">
        <v>43185</v>
      </c>
      <c r="B2030" s="6">
        <v>221.87909999999999</v>
      </c>
      <c r="C2030" s="6">
        <v>13.9635</v>
      </c>
      <c r="D2030" s="6">
        <v>10840.05</v>
      </c>
      <c r="E2030" s="6">
        <v>0.66</v>
      </c>
      <c r="F2030" s="6">
        <f t="shared" si="217"/>
        <v>7.3333333333333341E-3</v>
      </c>
      <c r="G2030">
        <f t="shared" si="218"/>
        <v>-0.61228420665992456</v>
      </c>
      <c r="H2030">
        <f t="shared" si="219"/>
        <v>-0.32906007309274293</v>
      </c>
      <c r="I2030">
        <f t="shared" si="220"/>
        <v>0.1544811070160417</v>
      </c>
      <c r="J2030">
        <f t="shared" si="221"/>
        <v>-0.43597910893458824</v>
      </c>
      <c r="K2030">
        <f t="shared" si="222"/>
        <v>-0.61961753999325786</v>
      </c>
      <c r="L2030">
        <f t="shared" si="223"/>
        <v>0.14714777368270837</v>
      </c>
    </row>
    <row r="2031" spans="1:12" x14ac:dyDescent="0.25">
      <c r="A2031" s="1">
        <v>43186</v>
      </c>
      <c r="B2031" s="6">
        <v>228.7132</v>
      </c>
      <c r="C2031" s="6">
        <v>14.3322</v>
      </c>
      <c r="D2031" s="6">
        <v>10986.79</v>
      </c>
      <c r="E2031" s="6">
        <v>0.66</v>
      </c>
      <c r="F2031" s="6">
        <f t="shared" si="217"/>
        <v>7.3333333333333341E-3</v>
      </c>
      <c r="G2031">
        <f t="shared" si="218"/>
        <v>3.0801008296860797</v>
      </c>
      <c r="H2031">
        <f t="shared" si="219"/>
        <v>2.6404554731979837</v>
      </c>
      <c r="I2031">
        <f t="shared" si="220"/>
        <v>1.3536837929714496</v>
      </c>
      <c r="J2031">
        <f t="shared" si="221"/>
        <v>2.162079587091116</v>
      </c>
      <c r="K2031">
        <f t="shared" si="222"/>
        <v>3.0727674963527463</v>
      </c>
      <c r="L2031">
        <f t="shared" si="223"/>
        <v>1.3463504596381162</v>
      </c>
    </row>
    <row r="2032" spans="1:12" x14ac:dyDescent="0.25">
      <c r="A2032" s="1">
        <v>43187</v>
      </c>
      <c r="B2032" s="6">
        <v>223.24600000000001</v>
      </c>
      <c r="C2032" s="6">
        <v>14.194000000000001</v>
      </c>
      <c r="D2032" s="6">
        <v>10865.66</v>
      </c>
      <c r="E2032" s="6">
        <v>0.66</v>
      </c>
      <c r="F2032" s="6">
        <f t="shared" si="217"/>
        <v>7.3333333333333341E-3</v>
      </c>
      <c r="G2032">
        <f t="shared" si="218"/>
        <v>-2.3904173436426017</v>
      </c>
      <c r="H2032">
        <f t="shared" si="219"/>
        <v>-0.96426229050668721</v>
      </c>
      <c r="I2032">
        <f t="shared" si="220"/>
        <v>-1.1025058274527957</v>
      </c>
      <c r="J2032">
        <f t="shared" si="221"/>
        <v>-1.6871200960622399</v>
      </c>
      <c r="K2032">
        <f t="shared" si="222"/>
        <v>-2.3977506769759351</v>
      </c>
      <c r="L2032">
        <f t="shared" si="223"/>
        <v>-1.1098391607861291</v>
      </c>
    </row>
    <row r="2033" spans="1:12" x14ac:dyDescent="0.25">
      <c r="A2033" s="1">
        <v>43188</v>
      </c>
      <c r="B2033" s="6">
        <v>222.3348</v>
      </c>
      <c r="C2033" s="6">
        <v>14.101800000000001</v>
      </c>
      <c r="D2033" s="6">
        <v>10845.92</v>
      </c>
      <c r="E2033" s="6">
        <v>0.66</v>
      </c>
      <c r="F2033" s="6">
        <f t="shared" si="217"/>
        <v>7.3333333333333341E-3</v>
      </c>
      <c r="G2033">
        <f t="shared" si="218"/>
        <v>-0.40815960868280193</v>
      </c>
      <c r="H2033">
        <f t="shared" si="219"/>
        <v>-0.64957024094687932</v>
      </c>
      <c r="I2033">
        <f t="shared" si="220"/>
        <v>-0.18167327157300875</v>
      </c>
      <c r="J2033">
        <f t="shared" si="221"/>
        <v>-0.29235170235945274</v>
      </c>
      <c r="K2033">
        <f t="shared" si="222"/>
        <v>-0.41549294201613529</v>
      </c>
      <c r="L2033">
        <f t="shared" si="223"/>
        <v>-0.18900660490634208</v>
      </c>
    </row>
    <row r="2034" spans="1:12" x14ac:dyDescent="0.25">
      <c r="A2034" s="1">
        <v>43189</v>
      </c>
      <c r="B2034" s="6">
        <v>224.15719999999999</v>
      </c>
      <c r="C2034" s="6">
        <v>14.194000000000001</v>
      </c>
      <c r="D2034" s="6">
        <v>10906.22</v>
      </c>
      <c r="E2034" s="6">
        <v>0.66</v>
      </c>
      <c r="F2034" s="6">
        <f t="shared" si="217"/>
        <v>7.3333333333333341E-3</v>
      </c>
      <c r="G2034">
        <f t="shared" si="218"/>
        <v>0.81966475783367587</v>
      </c>
      <c r="H2034">
        <f t="shared" si="219"/>
        <v>0.65381724318881318</v>
      </c>
      <c r="I2034">
        <f t="shared" si="220"/>
        <v>0.55596943366721563</v>
      </c>
      <c r="J2034">
        <f t="shared" si="221"/>
        <v>0.57157763903371384</v>
      </c>
      <c r="K2034">
        <f t="shared" si="222"/>
        <v>0.81233142450034257</v>
      </c>
      <c r="L2034">
        <f t="shared" si="223"/>
        <v>0.54863610033388233</v>
      </c>
    </row>
    <row r="2035" spans="1:12" x14ac:dyDescent="0.25">
      <c r="A2035" s="1">
        <v>43190</v>
      </c>
      <c r="B2035" s="6">
        <v>225.524</v>
      </c>
      <c r="C2035" s="6">
        <v>14.286099999999999</v>
      </c>
      <c r="D2035" s="6">
        <v>10919.49</v>
      </c>
      <c r="E2035" s="6">
        <v>0.66</v>
      </c>
      <c r="F2035" s="6">
        <f t="shared" si="217"/>
        <v>7.3333333333333341E-3</v>
      </c>
      <c r="G2035">
        <f t="shared" si="218"/>
        <v>0.60975065712812793</v>
      </c>
      <c r="H2035">
        <f t="shared" si="219"/>
        <v>0.64886571790896508</v>
      </c>
      <c r="I2035">
        <f t="shared" si="220"/>
        <v>0.1216736871253325</v>
      </c>
      <c r="J2035">
        <f t="shared" si="221"/>
        <v>0.42387658689854346</v>
      </c>
      <c r="K2035">
        <f t="shared" si="222"/>
        <v>0.60241732379479462</v>
      </c>
      <c r="L2035">
        <f t="shared" si="223"/>
        <v>0.11434035379199917</v>
      </c>
    </row>
    <row r="2036" spans="1:12" x14ac:dyDescent="0.25">
      <c r="A2036" s="1">
        <v>43192</v>
      </c>
      <c r="B2036" s="6">
        <v>224.61279999999999</v>
      </c>
      <c r="C2036" s="6">
        <v>14.24</v>
      </c>
      <c r="D2036" s="6">
        <v>10888.27</v>
      </c>
      <c r="E2036" s="6">
        <v>0.66</v>
      </c>
      <c r="F2036" s="6">
        <f t="shared" si="217"/>
        <v>7.3333333333333341E-3</v>
      </c>
      <c r="G2036">
        <f t="shared" si="218"/>
        <v>-0.40403682091485077</v>
      </c>
      <c r="H2036">
        <f t="shared" si="219"/>
        <v>-0.32269128733523594</v>
      </c>
      <c r="I2036">
        <f t="shared" si="220"/>
        <v>-0.28591078887383337</v>
      </c>
      <c r="J2036">
        <f t="shared" si="221"/>
        <v>-0.28945080104310628</v>
      </c>
      <c r="K2036">
        <f t="shared" si="222"/>
        <v>-0.41137015424818413</v>
      </c>
      <c r="L2036">
        <f t="shared" si="223"/>
        <v>-0.29324412220716672</v>
      </c>
    </row>
    <row r="2037" spans="1:12" x14ac:dyDescent="0.25">
      <c r="A2037" s="1">
        <v>43193</v>
      </c>
      <c r="B2037" s="6">
        <v>222.3348</v>
      </c>
      <c r="C2037" s="6">
        <v>14.194000000000001</v>
      </c>
      <c r="D2037" s="6">
        <v>10821.53</v>
      </c>
      <c r="E2037" s="6">
        <v>0.66</v>
      </c>
      <c r="F2037" s="6">
        <f t="shared" si="217"/>
        <v>7.3333333333333341E-3</v>
      </c>
      <c r="G2037">
        <f t="shared" si="218"/>
        <v>-1.014189752320434</v>
      </c>
      <c r="H2037">
        <f t="shared" si="219"/>
        <v>-0.32303370786516417</v>
      </c>
      <c r="I2037">
        <f t="shared" si="220"/>
        <v>-0.61295320560566346</v>
      </c>
      <c r="J2037">
        <f t="shared" si="221"/>
        <v>-0.71877036380262349</v>
      </c>
      <c r="K2037">
        <f t="shared" si="222"/>
        <v>-1.0215230856537674</v>
      </c>
      <c r="L2037">
        <f t="shared" si="223"/>
        <v>-0.62028653893899677</v>
      </c>
    </row>
    <row r="2038" spans="1:12" x14ac:dyDescent="0.25">
      <c r="A2038" s="1">
        <v>43199</v>
      </c>
      <c r="B2038" s="6">
        <v>223.24600000000001</v>
      </c>
      <c r="C2038" s="6">
        <v>14.0557</v>
      </c>
      <c r="D2038" s="6">
        <v>10893.53</v>
      </c>
      <c r="E2038" s="6">
        <v>0.66</v>
      </c>
      <c r="F2038" s="6">
        <f t="shared" si="217"/>
        <v>7.3333333333333341E-3</v>
      </c>
      <c r="G2038">
        <f t="shared" si="218"/>
        <v>0.40983237891684432</v>
      </c>
      <c r="H2038">
        <f t="shared" si="219"/>
        <v>-0.97435536142032531</v>
      </c>
      <c r="I2038">
        <f t="shared" si="220"/>
        <v>0.66534029846056886</v>
      </c>
      <c r="J2038">
        <f t="shared" si="221"/>
        <v>0.28320885693847653</v>
      </c>
      <c r="K2038">
        <f t="shared" si="222"/>
        <v>0.40249904558351096</v>
      </c>
      <c r="L2038">
        <f t="shared" si="223"/>
        <v>0.65800696512723555</v>
      </c>
    </row>
    <row r="2039" spans="1:12" x14ac:dyDescent="0.25">
      <c r="A2039" s="1">
        <v>43200</v>
      </c>
      <c r="B2039" s="6">
        <v>223.70160000000001</v>
      </c>
      <c r="C2039" s="6">
        <v>14.101800000000001</v>
      </c>
      <c r="D2039" s="6">
        <v>10927.18</v>
      </c>
      <c r="E2039" s="6">
        <v>0.66</v>
      </c>
      <c r="F2039" s="6">
        <f t="shared" si="217"/>
        <v>7.3333333333333341E-3</v>
      </c>
      <c r="G2039">
        <f t="shared" si="218"/>
        <v>0.20407980434140097</v>
      </c>
      <c r="H2039">
        <f t="shared" si="219"/>
        <v>0.32798081916945382</v>
      </c>
      <c r="I2039">
        <f t="shared" si="220"/>
        <v>0.30889895194670264</v>
      </c>
      <c r="J2039">
        <f t="shared" si="221"/>
        <v>0.13843596344457176</v>
      </c>
      <c r="K2039">
        <f t="shared" si="222"/>
        <v>0.19674647100806764</v>
      </c>
      <c r="L2039">
        <f t="shared" si="223"/>
        <v>0.30156561861336928</v>
      </c>
    </row>
    <row r="2040" spans="1:12" x14ac:dyDescent="0.25">
      <c r="A2040" s="1">
        <v>43201</v>
      </c>
      <c r="B2040" s="6">
        <v>225.9796</v>
      </c>
      <c r="C2040" s="6">
        <v>14.194000000000001</v>
      </c>
      <c r="D2040" s="6">
        <v>10974.02</v>
      </c>
      <c r="E2040" s="6">
        <v>0.66</v>
      </c>
      <c r="F2040" s="6">
        <f t="shared" si="217"/>
        <v>7.3333333333333341E-3</v>
      </c>
      <c r="G2040">
        <f t="shared" si="218"/>
        <v>1.0183208345402945</v>
      </c>
      <c r="H2040">
        <f t="shared" si="219"/>
        <v>0.65381724318881318</v>
      </c>
      <c r="I2040">
        <f t="shared" si="220"/>
        <v>0.42865588376873215</v>
      </c>
      <c r="J2040">
        <f t="shared" si="221"/>
        <v>0.71135725099875791</v>
      </c>
      <c r="K2040">
        <f t="shared" si="222"/>
        <v>1.0109875012069611</v>
      </c>
      <c r="L2040">
        <f t="shared" si="223"/>
        <v>0.42132255043539879</v>
      </c>
    </row>
    <row r="2041" spans="1:12" x14ac:dyDescent="0.25">
      <c r="A2041" s="1">
        <v>43202</v>
      </c>
      <c r="B2041" s="6">
        <v>223.24600000000001</v>
      </c>
      <c r="C2041" s="6">
        <v>14.24</v>
      </c>
      <c r="D2041" s="6">
        <v>10955.29</v>
      </c>
      <c r="E2041" s="6">
        <v>0.66</v>
      </c>
      <c r="F2041" s="6">
        <f t="shared" si="217"/>
        <v>7.3333333333333341E-3</v>
      </c>
      <c r="G2041">
        <f t="shared" si="218"/>
        <v>-1.2096667132785417</v>
      </c>
      <c r="H2041">
        <f t="shared" si="219"/>
        <v>0.32408059743553169</v>
      </c>
      <c r="I2041">
        <f t="shared" si="220"/>
        <v>-0.17067583255725396</v>
      </c>
      <c r="J2041">
        <f t="shared" si="221"/>
        <v>-0.85631306676852803</v>
      </c>
      <c r="K2041">
        <f t="shared" si="222"/>
        <v>-1.2170000466118751</v>
      </c>
      <c r="L2041">
        <f t="shared" si="223"/>
        <v>-0.1780091658905873</v>
      </c>
    </row>
    <row r="2042" spans="1:12" x14ac:dyDescent="0.25">
      <c r="A2042" s="1">
        <v>43203</v>
      </c>
      <c r="B2042" s="6">
        <v>222.79040000000001</v>
      </c>
      <c r="C2042" s="6">
        <v>14.194000000000001</v>
      </c>
      <c r="D2042" s="6">
        <v>10965.39</v>
      </c>
      <c r="E2042" s="6">
        <v>0.66</v>
      </c>
      <c r="F2042" s="6">
        <f t="shared" si="217"/>
        <v>7.3333333333333341E-3</v>
      </c>
      <c r="G2042">
        <f t="shared" si="218"/>
        <v>-0.20407980434140097</v>
      </c>
      <c r="H2042">
        <f t="shared" si="219"/>
        <v>-0.32303370786516417</v>
      </c>
      <c r="I2042">
        <f t="shared" si="220"/>
        <v>9.2192904067336823E-2</v>
      </c>
      <c r="J2042">
        <f t="shared" si="221"/>
        <v>-0.1487558137581112</v>
      </c>
      <c r="K2042">
        <f t="shared" si="222"/>
        <v>-0.2114131376747343</v>
      </c>
      <c r="L2042">
        <f t="shared" si="223"/>
        <v>8.4859570734003492E-2</v>
      </c>
    </row>
    <row r="2043" spans="1:12" x14ac:dyDescent="0.25">
      <c r="A2043" s="1">
        <v>43206</v>
      </c>
      <c r="B2043" s="6">
        <v>221.87909999999999</v>
      </c>
      <c r="C2043" s="6">
        <v>14.1479</v>
      </c>
      <c r="D2043" s="6">
        <v>10954.55</v>
      </c>
      <c r="E2043" s="6">
        <v>0.66</v>
      </c>
      <c r="F2043" s="6">
        <f t="shared" si="217"/>
        <v>7.3333333333333341E-3</v>
      </c>
      <c r="G2043">
        <f t="shared" si="218"/>
        <v>-0.40903916865359158</v>
      </c>
      <c r="H2043">
        <f t="shared" si="219"/>
        <v>-0.32478512047344593</v>
      </c>
      <c r="I2043">
        <f t="shared" si="220"/>
        <v>-9.8856493020313421E-2</v>
      </c>
      <c r="J2043">
        <f t="shared" si="221"/>
        <v>-0.29297058376220247</v>
      </c>
      <c r="K2043">
        <f t="shared" si="222"/>
        <v>-0.41637250198692494</v>
      </c>
      <c r="L2043">
        <f t="shared" si="223"/>
        <v>-0.10618982635364675</v>
      </c>
    </row>
    <row r="2044" spans="1:12" x14ac:dyDescent="0.25">
      <c r="A2044" s="1">
        <v>43207</v>
      </c>
      <c r="B2044" s="6">
        <v>216.86750000000001</v>
      </c>
      <c r="C2044" s="6">
        <v>14.1479</v>
      </c>
      <c r="D2044" s="6">
        <v>10810.45</v>
      </c>
      <c r="E2044" s="6">
        <v>0.66</v>
      </c>
      <c r="F2044" s="6">
        <f t="shared" si="217"/>
        <v>7.3333333333333341E-3</v>
      </c>
      <c r="G2044">
        <f t="shared" si="218"/>
        <v>-2.2587075574040041</v>
      </c>
      <c r="H2044">
        <f t="shared" si="219"/>
        <v>0</v>
      </c>
      <c r="I2044">
        <f t="shared" si="220"/>
        <v>-1.3154351388235808</v>
      </c>
      <c r="J2044">
        <f t="shared" si="221"/>
        <v>-1.5944456452342441</v>
      </c>
      <c r="K2044">
        <f t="shared" si="222"/>
        <v>-2.2660408907373375</v>
      </c>
      <c r="L2044">
        <f t="shared" si="223"/>
        <v>-1.3227684721569142</v>
      </c>
    </row>
    <row r="2045" spans="1:12" x14ac:dyDescent="0.25">
      <c r="A2045" s="1">
        <v>43208</v>
      </c>
      <c r="B2045" s="6">
        <v>216.86750000000001</v>
      </c>
      <c r="C2045" s="6">
        <v>14.378299999999999</v>
      </c>
      <c r="D2045" s="6">
        <v>10847.89</v>
      </c>
      <c r="E2045" s="6">
        <v>0.66</v>
      </c>
      <c r="F2045" s="6">
        <f t="shared" si="217"/>
        <v>7.3333333333333341E-3</v>
      </c>
      <c r="G2045">
        <f t="shared" si="218"/>
        <v>0</v>
      </c>
      <c r="H2045">
        <f t="shared" si="219"/>
        <v>1.6285102382685734</v>
      </c>
      <c r="I2045">
        <f t="shared" si="220"/>
        <v>0.34633155881576333</v>
      </c>
      <c r="J2045">
        <f t="shared" si="221"/>
        <v>-5.1599251567697223E-3</v>
      </c>
      <c r="K2045">
        <f t="shared" si="222"/>
        <v>-7.3333333333333341E-3</v>
      </c>
      <c r="L2045">
        <f t="shared" si="223"/>
        <v>0.33899822548242997</v>
      </c>
    </row>
    <row r="2046" spans="1:12" x14ac:dyDescent="0.25">
      <c r="A2046" s="1">
        <v>43209</v>
      </c>
      <c r="B2046" s="6">
        <v>222.79040000000001</v>
      </c>
      <c r="C2046" s="6">
        <v>14.608700000000001</v>
      </c>
      <c r="D2046" s="6">
        <v>10971.22</v>
      </c>
      <c r="E2046" s="6">
        <v>0.66</v>
      </c>
      <c r="F2046" s="6">
        <f t="shared" si="217"/>
        <v>7.3333333333333341E-3</v>
      </c>
      <c r="G2046">
        <f t="shared" si="218"/>
        <v>2.731114620678524</v>
      </c>
      <c r="H2046">
        <f t="shared" si="219"/>
        <v>1.602414750005225</v>
      </c>
      <c r="I2046">
        <f t="shared" si="220"/>
        <v>1.1369031212521508</v>
      </c>
      <c r="J2046">
        <f t="shared" si="221"/>
        <v>1.9165237617424182</v>
      </c>
      <c r="K2046">
        <f t="shared" si="222"/>
        <v>2.7237812873451905</v>
      </c>
      <c r="L2046">
        <f t="shared" si="223"/>
        <v>1.1295697879188173</v>
      </c>
    </row>
    <row r="2047" spans="1:12" x14ac:dyDescent="0.25">
      <c r="A2047" s="1">
        <v>43210</v>
      </c>
      <c r="B2047" s="6">
        <v>208.66659999999999</v>
      </c>
      <c r="C2047" s="6">
        <v>14.378299999999999</v>
      </c>
      <c r="D2047" s="6">
        <v>10779.38</v>
      </c>
      <c r="E2047" s="6">
        <v>0.66</v>
      </c>
      <c r="F2047" s="6">
        <f t="shared" si="217"/>
        <v>7.3333333333333341E-3</v>
      </c>
      <c r="G2047">
        <f t="shared" si="218"/>
        <v>-6.3395011634253615</v>
      </c>
      <c r="H2047">
        <f t="shared" si="219"/>
        <v>-1.5771423877552504</v>
      </c>
      <c r="I2047">
        <f t="shared" si="220"/>
        <v>-1.7485749078042383</v>
      </c>
      <c r="J2047">
        <f t="shared" si="221"/>
        <v>-4.4657987707744216</v>
      </c>
      <c r="K2047">
        <f t="shared" si="222"/>
        <v>-6.3468344967586949</v>
      </c>
      <c r="L2047">
        <f t="shared" si="223"/>
        <v>-1.7559082411375717</v>
      </c>
    </row>
    <row r="2048" spans="1:12" x14ac:dyDescent="0.25">
      <c r="A2048" s="1">
        <v>43213</v>
      </c>
      <c r="B2048" s="6">
        <v>206.3886</v>
      </c>
      <c r="C2048" s="6">
        <v>14.3322</v>
      </c>
      <c r="D2048" s="6">
        <v>10697.13</v>
      </c>
      <c r="E2048" s="6">
        <v>0.66</v>
      </c>
      <c r="F2048" s="6">
        <f t="shared" si="217"/>
        <v>7.3333333333333341E-3</v>
      </c>
      <c r="G2048">
        <f t="shared" si="218"/>
        <v>-1.0916936395187307</v>
      </c>
      <c r="H2048">
        <f t="shared" si="219"/>
        <v>-0.3206220485036419</v>
      </c>
      <c r="I2048">
        <f t="shared" si="220"/>
        <v>-0.76303089788095424</v>
      </c>
      <c r="J2048">
        <f t="shared" si="221"/>
        <v>-0.77330412616197819</v>
      </c>
      <c r="K2048">
        <f t="shared" si="222"/>
        <v>-1.0990269728520641</v>
      </c>
      <c r="L2048">
        <f t="shared" si="223"/>
        <v>-0.77036423121428754</v>
      </c>
    </row>
    <row r="2049" spans="1:12" x14ac:dyDescent="0.25">
      <c r="A2049" s="1">
        <v>43214</v>
      </c>
      <c r="B2049" s="6">
        <v>206.8442</v>
      </c>
      <c r="C2049" s="6">
        <v>14.1479</v>
      </c>
      <c r="D2049" s="6">
        <v>10579.5</v>
      </c>
      <c r="E2049" s="6">
        <v>0.66</v>
      </c>
      <c r="F2049" s="6">
        <f t="shared" si="217"/>
        <v>7.3333333333333341E-3</v>
      </c>
      <c r="G2049">
        <f t="shared" si="218"/>
        <v>0.22074862661988309</v>
      </c>
      <c r="H2049">
        <f t="shared" si="219"/>
        <v>-1.2859156305382311</v>
      </c>
      <c r="I2049">
        <f t="shared" si="220"/>
        <v>-1.0996407447605032</v>
      </c>
      <c r="J2049">
        <f t="shared" si="221"/>
        <v>0.15016458281845316</v>
      </c>
      <c r="K2049">
        <f t="shared" si="222"/>
        <v>0.21341529328654976</v>
      </c>
      <c r="L2049">
        <f t="shared" si="223"/>
        <v>-1.1069740780938366</v>
      </c>
    </row>
    <row r="2050" spans="1:12" x14ac:dyDescent="0.25">
      <c r="A2050" s="1">
        <v>43215</v>
      </c>
      <c r="B2050" s="6">
        <v>205.02180000000001</v>
      </c>
      <c r="C2050" s="6">
        <v>14.286099999999999</v>
      </c>
      <c r="D2050" s="6">
        <v>10559.97</v>
      </c>
      <c r="E2050" s="6">
        <v>0.66</v>
      </c>
      <c r="F2050" s="6">
        <f t="shared" si="217"/>
        <v>7.3333333333333341E-3</v>
      </c>
      <c r="G2050">
        <f t="shared" si="218"/>
        <v>-0.88104960158418155</v>
      </c>
      <c r="H2050">
        <f t="shared" si="219"/>
        <v>0.97682341548922058</v>
      </c>
      <c r="I2050">
        <f t="shared" si="220"/>
        <v>-0.18460229689494451</v>
      </c>
      <c r="J2050">
        <f t="shared" si="221"/>
        <v>-0.62508947109897317</v>
      </c>
      <c r="K2050">
        <f t="shared" si="222"/>
        <v>-0.88838293491751485</v>
      </c>
      <c r="L2050">
        <f t="shared" si="223"/>
        <v>-0.19193563022827784</v>
      </c>
    </row>
    <row r="2051" spans="1:12" x14ac:dyDescent="0.25">
      <c r="A2051" s="1">
        <v>43216</v>
      </c>
      <c r="B2051" s="6">
        <v>202.28819999999999</v>
      </c>
      <c r="C2051" s="6">
        <v>14.470499999999999</v>
      </c>
      <c r="D2051" s="6">
        <v>10488.58</v>
      </c>
      <c r="E2051" s="6">
        <v>0.66</v>
      </c>
      <c r="F2051" s="6">
        <f t="shared" ref="F2051:F2114" si="224">E2051/90</f>
        <v>7.3333333333333341E-3</v>
      </c>
      <c r="G2051">
        <f t="shared" si="218"/>
        <v>-1.3333216272611126</v>
      </c>
      <c r="H2051">
        <f t="shared" si="219"/>
        <v>1.2907651493409686</v>
      </c>
      <c r="I2051">
        <f t="shared" si="220"/>
        <v>-0.67604358724503411</v>
      </c>
      <c r="J2051">
        <f t="shared" si="221"/>
        <v>-0.94331989877991851</v>
      </c>
      <c r="K2051">
        <f t="shared" si="222"/>
        <v>-1.340654960594446</v>
      </c>
      <c r="L2051">
        <f t="shared" si="223"/>
        <v>-0.68337692057836741</v>
      </c>
    </row>
    <row r="2052" spans="1:12" x14ac:dyDescent="0.25">
      <c r="A2052" s="1">
        <v>43217</v>
      </c>
      <c r="B2052" s="6">
        <v>203.655</v>
      </c>
      <c r="C2052" s="6">
        <v>14.470499999999999</v>
      </c>
      <c r="D2052" s="6">
        <v>10553.43</v>
      </c>
      <c r="E2052" s="6">
        <v>0.66</v>
      </c>
      <c r="F2052" s="6">
        <f t="shared" si="224"/>
        <v>7.3333333333333341E-3</v>
      </c>
      <c r="G2052">
        <f t="shared" ref="G2052:G2115" si="225">100*(B2052-B2051)/B2051</f>
        <v>0.675669663381261</v>
      </c>
      <c r="H2052">
        <f t="shared" ref="H2052:H2115" si="226">100*(C2052-C2051)/C2051</f>
        <v>0</v>
      </c>
      <c r="I2052">
        <f t="shared" ref="I2052:I2115" si="227">100*(D2052-D2051)/D2051</f>
        <v>0.61829151324583842</v>
      </c>
      <c r="J2052">
        <f t="shared" ref="J2052:J2115" si="228">(G2052-F2052)/$N$3</f>
        <v>0.47025892399056191</v>
      </c>
      <c r="K2052">
        <f t="shared" ref="K2052:K2115" si="229">G2052-F2052</f>
        <v>0.6683363300479277</v>
      </c>
      <c r="L2052">
        <f t="shared" ref="L2052:L2115" si="230">I2052-F2052</f>
        <v>0.61095817991250512</v>
      </c>
    </row>
    <row r="2053" spans="1:12" x14ac:dyDescent="0.25">
      <c r="A2053" s="1">
        <v>43220</v>
      </c>
      <c r="B2053" s="6">
        <v>206.8442</v>
      </c>
      <c r="C2053" s="6">
        <v>14.747</v>
      </c>
      <c r="D2053" s="6">
        <v>10657.88</v>
      </c>
      <c r="E2053" s="6">
        <v>0.66</v>
      </c>
      <c r="F2053" s="6">
        <f t="shared" si="224"/>
        <v>7.3333333333333341E-3</v>
      </c>
      <c r="G2053">
        <f t="shared" si="225"/>
        <v>1.5659816847118899</v>
      </c>
      <c r="H2053">
        <f t="shared" si="226"/>
        <v>1.9107840088455854</v>
      </c>
      <c r="I2053">
        <f t="shared" si="227"/>
        <v>0.98972561527388636</v>
      </c>
      <c r="J2053">
        <f t="shared" si="228"/>
        <v>1.0967057507503455</v>
      </c>
      <c r="K2053">
        <f t="shared" si="229"/>
        <v>1.5586483513785565</v>
      </c>
      <c r="L2053">
        <f t="shared" si="230"/>
        <v>0.98239228194055306</v>
      </c>
    </row>
    <row r="2054" spans="1:12" x14ac:dyDescent="0.25">
      <c r="A2054" s="1">
        <v>43222</v>
      </c>
      <c r="B2054" s="6">
        <v>203.1994</v>
      </c>
      <c r="C2054" s="6">
        <v>14.977399999999999</v>
      </c>
      <c r="D2054" s="6">
        <v>10618.81</v>
      </c>
      <c r="E2054" s="6">
        <v>0.66</v>
      </c>
      <c r="F2054" s="6">
        <f t="shared" si="224"/>
        <v>7.3333333333333341E-3</v>
      </c>
      <c r="G2054">
        <f t="shared" si="225"/>
        <v>-1.7620992031683769</v>
      </c>
      <c r="H2054">
        <f t="shared" si="226"/>
        <v>1.5623516647453686</v>
      </c>
      <c r="I2054">
        <f t="shared" si="227"/>
        <v>-0.36658322292988577</v>
      </c>
      <c r="J2054">
        <f t="shared" si="228"/>
        <v>-1.2450190170411866</v>
      </c>
      <c r="K2054">
        <f t="shared" si="229"/>
        <v>-1.7694325365017103</v>
      </c>
      <c r="L2054">
        <f t="shared" si="230"/>
        <v>-0.37391655626321912</v>
      </c>
    </row>
    <row r="2055" spans="1:12" x14ac:dyDescent="0.25">
      <c r="A2055" s="1">
        <v>43223</v>
      </c>
      <c r="B2055" s="6">
        <v>200.92140000000001</v>
      </c>
      <c r="C2055" s="6">
        <v>14.793100000000001</v>
      </c>
      <c r="D2055" s="6">
        <v>10514.18</v>
      </c>
      <c r="E2055" s="6">
        <v>0.66</v>
      </c>
      <c r="F2055" s="6">
        <f t="shared" si="224"/>
        <v>7.3333333333333341E-3</v>
      </c>
      <c r="G2055">
        <f t="shared" si="225"/>
        <v>-1.1210663023611249</v>
      </c>
      <c r="H2055">
        <f t="shared" si="226"/>
        <v>-1.2305206511143361</v>
      </c>
      <c r="I2055">
        <f t="shared" si="227"/>
        <v>-0.9853269810835602</v>
      </c>
      <c r="J2055">
        <f t="shared" si="228"/>
        <v>-0.7939715000604034</v>
      </c>
      <c r="K2055">
        <f t="shared" si="229"/>
        <v>-1.1283996356944583</v>
      </c>
      <c r="L2055">
        <f t="shared" si="230"/>
        <v>-0.99266031441689351</v>
      </c>
    </row>
    <row r="2056" spans="1:12" x14ac:dyDescent="0.25">
      <c r="A2056" s="1">
        <v>43224</v>
      </c>
      <c r="B2056" s="6">
        <v>203.1994</v>
      </c>
      <c r="C2056" s="6">
        <v>14.747</v>
      </c>
      <c r="D2056" s="6">
        <v>10529.37</v>
      </c>
      <c r="E2056" s="6">
        <v>0.66</v>
      </c>
      <c r="F2056" s="6">
        <f t="shared" si="224"/>
        <v>7.3333333333333341E-3</v>
      </c>
      <c r="G2056">
        <f t="shared" si="225"/>
        <v>1.1337766907855467</v>
      </c>
      <c r="H2056">
        <f t="shared" si="226"/>
        <v>-0.31163177427314703</v>
      </c>
      <c r="I2056">
        <f t="shared" si="227"/>
        <v>0.14447156126298494</v>
      </c>
      <c r="J2056">
        <f t="shared" si="228"/>
        <v>0.79259501151733958</v>
      </c>
      <c r="K2056">
        <f t="shared" si="229"/>
        <v>1.1264433574522132</v>
      </c>
      <c r="L2056">
        <f t="shared" si="230"/>
        <v>0.13713822792965161</v>
      </c>
    </row>
    <row r="2057" spans="1:12" x14ac:dyDescent="0.25">
      <c r="A2057" s="1">
        <v>43227</v>
      </c>
      <c r="B2057" s="6">
        <v>203.655</v>
      </c>
      <c r="C2057" s="6">
        <v>14.4244</v>
      </c>
      <c r="D2057" s="6">
        <v>10604.91</v>
      </c>
      <c r="E2057" s="6">
        <v>0.66</v>
      </c>
      <c r="F2057" s="6">
        <f t="shared" si="224"/>
        <v>7.3333333333333341E-3</v>
      </c>
      <c r="G2057">
        <f t="shared" si="225"/>
        <v>0.22421326047222778</v>
      </c>
      <c r="H2057">
        <f t="shared" si="226"/>
        <v>-2.1875635722519804</v>
      </c>
      <c r="I2057">
        <f t="shared" si="227"/>
        <v>0.7174218400530995</v>
      </c>
      <c r="J2057">
        <f t="shared" si="228"/>
        <v>0.15260238982395899</v>
      </c>
      <c r="K2057">
        <f t="shared" si="229"/>
        <v>0.21687992713889445</v>
      </c>
      <c r="L2057">
        <f t="shared" si="230"/>
        <v>0.7100885067197662</v>
      </c>
    </row>
    <row r="2058" spans="1:12" x14ac:dyDescent="0.25">
      <c r="A2058" s="1">
        <v>43228</v>
      </c>
      <c r="B2058" s="6">
        <v>207.75540000000001</v>
      </c>
      <c r="C2058" s="6">
        <v>14.608700000000001</v>
      </c>
      <c r="D2058" s="6">
        <v>10691.38</v>
      </c>
      <c r="E2058" s="6">
        <v>0.66</v>
      </c>
      <c r="F2058" s="6">
        <f t="shared" si="224"/>
        <v>7.3333333333333341E-3</v>
      </c>
      <c r="G2058">
        <f t="shared" si="225"/>
        <v>2.0134050232010052</v>
      </c>
      <c r="H2058">
        <f t="shared" si="226"/>
        <v>1.2776961260087099</v>
      </c>
      <c r="I2058">
        <f t="shared" si="227"/>
        <v>0.81537702818788038</v>
      </c>
      <c r="J2058">
        <f t="shared" si="228"/>
        <v>1.4115245152952383</v>
      </c>
      <c r="K2058">
        <f t="shared" si="229"/>
        <v>2.0060716898676718</v>
      </c>
      <c r="L2058">
        <f t="shared" si="230"/>
        <v>0.80804369485454708</v>
      </c>
    </row>
    <row r="2059" spans="1:12" x14ac:dyDescent="0.25">
      <c r="A2059" s="1">
        <v>43229</v>
      </c>
      <c r="B2059" s="6">
        <v>209.12219999999999</v>
      </c>
      <c r="C2059" s="6">
        <v>14.9313</v>
      </c>
      <c r="D2059" s="6">
        <v>10703.35</v>
      </c>
      <c r="E2059" s="6">
        <v>0.66</v>
      </c>
      <c r="F2059" s="6">
        <f t="shared" si="224"/>
        <v>7.3333333333333341E-3</v>
      </c>
      <c r="G2059">
        <f t="shared" si="225"/>
        <v>0.65788903681925159</v>
      </c>
      <c r="H2059">
        <f t="shared" si="226"/>
        <v>2.2082731522996539</v>
      </c>
      <c r="I2059">
        <f t="shared" si="227"/>
        <v>0.11195935417131525</v>
      </c>
      <c r="J2059">
        <f t="shared" si="228"/>
        <v>0.45774801004050186</v>
      </c>
      <c r="K2059">
        <f t="shared" si="229"/>
        <v>0.65055570348591829</v>
      </c>
      <c r="L2059">
        <f t="shared" si="230"/>
        <v>0.10462602083798192</v>
      </c>
    </row>
    <row r="2060" spans="1:12" x14ac:dyDescent="0.25">
      <c r="A2060" s="1">
        <v>43230</v>
      </c>
      <c r="B2060" s="6">
        <v>209.12219999999999</v>
      </c>
      <c r="C2060" s="6">
        <v>14.700900000000001</v>
      </c>
      <c r="D2060" s="6">
        <v>10760.21</v>
      </c>
      <c r="E2060" s="6">
        <v>0.66</v>
      </c>
      <c r="F2060" s="6">
        <f t="shared" si="224"/>
        <v>7.3333333333333341E-3</v>
      </c>
      <c r="G2060">
        <f t="shared" si="225"/>
        <v>0</v>
      </c>
      <c r="H2060">
        <f t="shared" si="226"/>
        <v>-1.5430672479958174</v>
      </c>
      <c r="I2060">
        <f t="shared" si="227"/>
        <v>0.53123554774905768</v>
      </c>
      <c r="J2060">
        <f t="shared" si="228"/>
        <v>-5.1599251567697223E-3</v>
      </c>
      <c r="K2060">
        <f t="shared" si="229"/>
        <v>-7.3333333333333341E-3</v>
      </c>
      <c r="L2060">
        <f t="shared" si="230"/>
        <v>0.52390221441572438</v>
      </c>
    </row>
    <row r="2061" spans="1:12" x14ac:dyDescent="0.25">
      <c r="A2061" s="1">
        <v>43231</v>
      </c>
      <c r="B2061" s="6">
        <v>212.3115</v>
      </c>
      <c r="C2061" s="6">
        <v>14.885199999999999</v>
      </c>
      <c r="D2061" s="6">
        <v>10858.98</v>
      </c>
      <c r="E2061" s="6">
        <v>0.66</v>
      </c>
      <c r="F2061" s="6">
        <f t="shared" si="224"/>
        <v>7.3333333333333341E-3</v>
      </c>
      <c r="G2061">
        <f t="shared" si="225"/>
        <v>1.5250891583963841</v>
      </c>
      <c r="H2061">
        <f t="shared" si="226"/>
        <v>1.2536647416144493</v>
      </c>
      <c r="I2061">
        <f t="shared" si="227"/>
        <v>0.91791888820014145</v>
      </c>
      <c r="J2061">
        <f t="shared" si="228"/>
        <v>1.06793269957863</v>
      </c>
      <c r="K2061">
        <f t="shared" si="229"/>
        <v>1.5177558250630507</v>
      </c>
      <c r="L2061">
        <f t="shared" si="230"/>
        <v>0.91058555486680814</v>
      </c>
    </row>
    <row r="2062" spans="1:12" x14ac:dyDescent="0.25">
      <c r="A2062" s="1">
        <v>43234</v>
      </c>
      <c r="B2062" s="6">
        <v>212.3115</v>
      </c>
      <c r="C2062" s="6">
        <v>15.1157</v>
      </c>
      <c r="D2062" s="6">
        <v>10952.39</v>
      </c>
      <c r="E2062" s="6">
        <v>0.66</v>
      </c>
      <c r="F2062" s="6">
        <f t="shared" si="224"/>
        <v>7.3333333333333341E-3</v>
      </c>
      <c r="G2062">
        <f t="shared" si="225"/>
        <v>0</v>
      </c>
      <c r="H2062">
        <f t="shared" si="226"/>
        <v>1.5485179910246489</v>
      </c>
      <c r="I2062">
        <f t="shared" si="227"/>
        <v>0.86020970662069418</v>
      </c>
      <c r="J2062">
        <f t="shared" si="228"/>
        <v>-5.1599251567697223E-3</v>
      </c>
      <c r="K2062">
        <f t="shared" si="229"/>
        <v>-7.3333333333333341E-3</v>
      </c>
      <c r="L2062">
        <f t="shared" si="230"/>
        <v>0.85287637328736088</v>
      </c>
    </row>
    <row r="2063" spans="1:12" x14ac:dyDescent="0.25">
      <c r="A2063" s="1">
        <v>43235</v>
      </c>
      <c r="B2063" s="6">
        <v>210.0334</v>
      </c>
      <c r="C2063" s="6">
        <v>15.1617</v>
      </c>
      <c r="D2063" s="6">
        <v>10874.73</v>
      </c>
      <c r="E2063" s="6">
        <v>0.66</v>
      </c>
      <c r="F2063" s="6">
        <f t="shared" si="224"/>
        <v>7.3333333333333341E-3</v>
      </c>
      <c r="G2063">
        <f t="shared" si="225"/>
        <v>-1.072998871940519</v>
      </c>
      <c r="H2063">
        <f t="shared" si="226"/>
        <v>0.30431935007971428</v>
      </c>
      <c r="I2063">
        <f t="shared" si="227"/>
        <v>-0.70906897946475478</v>
      </c>
      <c r="J2063">
        <f t="shared" si="228"/>
        <v>-0.76014999868105393</v>
      </c>
      <c r="K2063">
        <f t="shared" si="229"/>
        <v>-1.0803322052738524</v>
      </c>
      <c r="L2063">
        <f t="shared" si="230"/>
        <v>-0.71640231279808808</v>
      </c>
    </row>
    <row r="2064" spans="1:12" x14ac:dyDescent="0.25">
      <c r="A2064" s="1">
        <v>43236</v>
      </c>
      <c r="B2064" s="6">
        <v>210.0334</v>
      </c>
      <c r="C2064" s="6">
        <v>15.0235</v>
      </c>
      <c r="D2064" s="6">
        <v>10897.57</v>
      </c>
      <c r="E2064" s="6">
        <v>0.66</v>
      </c>
      <c r="F2064" s="6">
        <f t="shared" si="224"/>
        <v>7.3333333333333341E-3</v>
      </c>
      <c r="G2064">
        <f t="shared" si="225"/>
        <v>0</v>
      </c>
      <c r="H2064">
        <f t="shared" si="226"/>
        <v>-0.91150728480315157</v>
      </c>
      <c r="I2064">
        <f t="shared" si="227"/>
        <v>0.2100282029990643</v>
      </c>
      <c r="J2064">
        <f t="shared" si="228"/>
        <v>-5.1599251567697223E-3</v>
      </c>
      <c r="K2064">
        <f t="shared" si="229"/>
        <v>-7.3333333333333341E-3</v>
      </c>
      <c r="L2064">
        <f t="shared" si="230"/>
        <v>0.20269486966573097</v>
      </c>
    </row>
    <row r="2065" spans="1:12" x14ac:dyDescent="0.25">
      <c r="A2065" s="1">
        <v>43237</v>
      </c>
      <c r="B2065" s="6">
        <v>206.3886</v>
      </c>
      <c r="C2065" s="6">
        <v>14.793100000000001</v>
      </c>
      <c r="D2065" s="6">
        <v>10833.81</v>
      </c>
      <c r="E2065" s="6">
        <v>0.66</v>
      </c>
      <c r="F2065" s="6">
        <f t="shared" si="224"/>
        <v>7.3333333333333341E-3</v>
      </c>
      <c r="G2065">
        <f t="shared" si="225"/>
        <v>-1.7353430454394414</v>
      </c>
      <c r="H2065">
        <f t="shared" si="226"/>
        <v>-1.5335973641295271</v>
      </c>
      <c r="I2065">
        <f t="shared" si="227"/>
        <v>-0.58508456472406434</v>
      </c>
      <c r="J2065">
        <f t="shared" si="228"/>
        <v>-1.2261926845824547</v>
      </c>
      <c r="K2065">
        <f t="shared" si="229"/>
        <v>-1.7426763787727748</v>
      </c>
      <c r="L2065">
        <f t="shared" si="230"/>
        <v>-0.59241789805739764</v>
      </c>
    </row>
    <row r="2066" spans="1:12" x14ac:dyDescent="0.25">
      <c r="A2066" s="1">
        <v>43238</v>
      </c>
      <c r="B2066" s="6">
        <v>203.655</v>
      </c>
      <c r="C2066" s="6">
        <v>14.793100000000001</v>
      </c>
      <c r="D2066" s="6">
        <v>10830.84</v>
      </c>
      <c r="E2066" s="6">
        <v>0.66</v>
      </c>
      <c r="F2066" s="6">
        <f t="shared" si="224"/>
        <v>7.3333333333333341E-3</v>
      </c>
      <c r="G2066">
        <f t="shared" si="225"/>
        <v>-1.3244917597192847</v>
      </c>
      <c r="H2066">
        <f t="shared" si="226"/>
        <v>0</v>
      </c>
      <c r="I2066">
        <f t="shared" si="227"/>
        <v>-2.7414178391529345E-2</v>
      </c>
      <c r="J2066">
        <f t="shared" si="228"/>
        <v>-0.93710697300809731</v>
      </c>
      <c r="K2066">
        <f t="shared" si="229"/>
        <v>-1.3318250930526181</v>
      </c>
      <c r="L2066">
        <f t="shared" si="230"/>
        <v>-3.4747511724862679E-2</v>
      </c>
    </row>
    <row r="2067" spans="1:12" x14ac:dyDescent="0.25">
      <c r="A2067" s="1">
        <v>43241</v>
      </c>
      <c r="B2067" s="6">
        <v>208.66659999999999</v>
      </c>
      <c r="C2067" s="6">
        <v>14.793100000000001</v>
      </c>
      <c r="D2067" s="6">
        <v>10966.2</v>
      </c>
      <c r="E2067" s="6">
        <v>0.66</v>
      </c>
      <c r="F2067" s="6">
        <f t="shared" si="224"/>
        <v>7.3333333333333341E-3</v>
      </c>
      <c r="G2067">
        <f t="shared" si="225"/>
        <v>2.460828361690107</v>
      </c>
      <c r="H2067">
        <f t="shared" si="226"/>
        <v>0</v>
      </c>
      <c r="I2067">
        <f t="shared" si="227"/>
        <v>1.2497645611974748</v>
      </c>
      <c r="J2067">
        <f t="shared" si="228"/>
        <v>1.7263432798401215</v>
      </c>
      <c r="K2067">
        <f t="shared" si="229"/>
        <v>2.4534950283567736</v>
      </c>
      <c r="L2067">
        <f t="shared" si="230"/>
        <v>1.2424312278641414</v>
      </c>
    </row>
    <row r="2068" spans="1:12" x14ac:dyDescent="0.25">
      <c r="A2068" s="1">
        <v>43242</v>
      </c>
      <c r="B2068" s="6">
        <v>208.66659999999999</v>
      </c>
      <c r="C2068" s="6">
        <v>14.9313</v>
      </c>
      <c r="D2068" s="6">
        <v>10938.73</v>
      </c>
      <c r="E2068" s="6">
        <v>0.66</v>
      </c>
      <c r="F2068" s="6">
        <f t="shared" si="224"/>
        <v>7.3333333333333341E-3</v>
      </c>
      <c r="G2068">
        <f t="shared" si="225"/>
        <v>0</v>
      </c>
      <c r="H2068">
        <f t="shared" si="226"/>
        <v>0.93421933198585438</v>
      </c>
      <c r="I2068">
        <f t="shared" si="227"/>
        <v>-0.25049698163448747</v>
      </c>
      <c r="J2068">
        <f t="shared" si="228"/>
        <v>-5.1599251567697223E-3</v>
      </c>
      <c r="K2068">
        <f t="shared" si="229"/>
        <v>-7.3333333333333341E-3</v>
      </c>
      <c r="L2068">
        <f t="shared" si="230"/>
        <v>-0.25783031496782083</v>
      </c>
    </row>
    <row r="2069" spans="1:12" x14ac:dyDescent="0.25">
      <c r="A2069" s="1">
        <v>43243</v>
      </c>
      <c r="B2069" s="6">
        <v>208.21100000000001</v>
      </c>
      <c r="C2069" s="6">
        <v>14.9313</v>
      </c>
      <c r="D2069" s="6">
        <v>10886.18</v>
      </c>
      <c r="E2069" s="6">
        <v>0.66</v>
      </c>
      <c r="F2069" s="6">
        <f t="shared" si="224"/>
        <v>7.3333333333333341E-3</v>
      </c>
      <c r="G2069">
        <f t="shared" si="225"/>
        <v>-0.21833872790373524</v>
      </c>
      <c r="H2069">
        <f t="shared" si="226"/>
        <v>0</v>
      </c>
      <c r="I2069">
        <f t="shared" si="227"/>
        <v>-0.48040311809505559</v>
      </c>
      <c r="J2069">
        <f t="shared" si="228"/>
        <v>-0.15878876535780373</v>
      </c>
      <c r="K2069">
        <f t="shared" si="229"/>
        <v>-0.22567206123706857</v>
      </c>
      <c r="L2069">
        <f t="shared" si="230"/>
        <v>-0.48773645142838895</v>
      </c>
    </row>
    <row r="2070" spans="1:12" x14ac:dyDescent="0.25">
      <c r="A2070" s="1">
        <v>43244</v>
      </c>
      <c r="B2070" s="6">
        <v>208.66659999999999</v>
      </c>
      <c r="C2070" s="6">
        <v>14.9313</v>
      </c>
      <c r="D2070" s="6">
        <v>10936.93</v>
      </c>
      <c r="E2070" s="6">
        <v>0.66</v>
      </c>
      <c r="F2070" s="6">
        <f t="shared" si="224"/>
        <v>7.3333333333333341E-3</v>
      </c>
      <c r="G2070">
        <f t="shared" si="225"/>
        <v>0.21881648904235393</v>
      </c>
      <c r="H2070">
        <f t="shared" si="226"/>
        <v>0</v>
      </c>
      <c r="I2070">
        <f t="shared" si="227"/>
        <v>0.46618740458085389</v>
      </c>
      <c r="J2070">
        <f t="shared" si="228"/>
        <v>0.14880508027854866</v>
      </c>
      <c r="K2070">
        <f t="shared" si="229"/>
        <v>0.2114831557090206</v>
      </c>
      <c r="L2070">
        <f t="shared" si="230"/>
        <v>0.45885407124752053</v>
      </c>
    </row>
    <row r="2071" spans="1:12" x14ac:dyDescent="0.25">
      <c r="A2071" s="1">
        <v>43245</v>
      </c>
      <c r="B2071" s="6">
        <v>208.21100000000001</v>
      </c>
      <c r="C2071" s="6">
        <v>14.977399999999999</v>
      </c>
      <c r="D2071" s="6">
        <v>10942.3</v>
      </c>
      <c r="E2071" s="6">
        <v>0.66</v>
      </c>
      <c r="F2071" s="6">
        <f t="shared" si="224"/>
        <v>7.3333333333333341E-3</v>
      </c>
      <c r="G2071">
        <f t="shared" si="225"/>
        <v>-0.21833872790373524</v>
      </c>
      <c r="H2071">
        <f t="shared" si="226"/>
        <v>0.30874739640888027</v>
      </c>
      <c r="I2071">
        <f t="shared" si="227"/>
        <v>4.9099701653013972E-2</v>
      </c>
      <c r="J2071">
        <f t="shared" si="228"/>
        <v>-0.15878876535780373</v>
      </c>
      <c r="K2071">
        <f t="shared" si="229"/>
        <v>-0.22567206123706857</v>
      </c>
      <c r="L2071">
        <f t="shared" si="230"/>
        <v>4.1766368319680641E-2</v>
      </c>
    </row>
    <row r="2072" spans="1:12" x14ac:dyDescent="0.25">
      <c r="A2072" s="1">
        <v>43248</v>
      </c>
      <c r="B2072" s="6">
        <v>206.8442</v>
      </c>
      <c r="C2072" s="6">
        <v>15.1157</v>
      </c>
      <c r="D2072" s="6">
        <v>10987.77</v>
      </c>
      <c r="E2072" s="6">
        <v>0.66</v>
      </c>
      <c r="F2072" s="6">
        <f t="shared" si="224"/>
        <v>7.3333333333333341E-3</v>
      </c>
      <c r="G2072">
        <f t="shared" si="225"/>
        <v>-0.65644946712710273</v>
      </c>
      <c r="H2072">
        <f t="shared" si="226"/>
        <v>0.92339124280583407</v>
      </c>
      <c r="I2072">
        <f t="shared" si="227"/>
        <v>0.41554335011835875</v>
      </c>
      <c r="J2072">
        <f t="shared" si="228"/>
        <v>-0.46705494146275367</v>
      </c>
      <c r="K2072">
        <f t="shared" si="229"/>
        <v>-0.66378280046043603</v>
      </c>
      <c r="L2072">
        <f t="shared" si="230"/>
        <v>0.40821001678502539</v>
      </c>
    </row>
    <row r="2073" spans="1:12" x14ac:dyDescent="0.25">
      <c r="A2073" s="1">
        <v>43249</v>
      </c>
      <c r="B2073" s="6">
        <v>205.02180000000001</v>
      </c>
      <c r="C2073" s="6">
        <v>15.1617</v>
      </c>
      <c r="D2073" s="6">
        <v>10964.12</v>
      </c>
      <c r="E2073" s="6">
        <v>0.66</v>
      </c>
      <c r="F2073" s="6">
        <f t="shared" si="224"/>
        <v>7.3333333333333341E-3</v>
      </c>
      <c r="G2073">
        <f t="shared" si="225"/>
        <v>-0.88104960158418155</v>
      </c>
      <c r="H2073">
        <f t="shared" si="226"/>
        <v>0.30431935007971428</v>
      </c>
      <c r="I2073">
        <f t="shared" si="227"/>
        <v>-0.21523930697493335</v>
      </c>
      <c r="J2073">
        <f t="shared" si="228"/>
        <v>-0.62508947109897317</v>
      </c>
      <c r="K2073">
        <f t="shared" si="229"/>
        <v>-0.88838293491751485</v>
      </c>
      <c r="L2073">
        <f t="shared" si="230"/>
        <v>-0.22257264030826668</v>
      </c>
    </row>
    <row r="2074" spans="1:12" x14ac:dyDescent="0.25">
      <c r="A2074" s="1">
        <v>43250</v>
      </c>
      <c r="B2074" s="6">
        <v>201.37700000000001</v>
      </c>
      <c r="C2074" s="6">
        <v>15.1157</v>
      </c>
      <c r="D2074" s="6">
        <v>10821.17</v>
      </c>
      <c r="E2074" s="6">
        <v>0.66</v>
      </c>
      <c r="F2074" s="6">
        <f t="shared" si="224"/>
        <v>7.3333333333333341E-3</v>
      </c>
      <c r="G2074">
        <f t="shared" si="225"/>
        <v>-1.7777621696814696</v>
      </c>
      <c r="H2074">
        <f t="shared" si="226"/>
        <v>-0.30339605717036594</v>
      </c>
      <c r="I2074">
        <f t="shared" si="227"/>
        <v>-1.303798207243269</v>
      </c>
      <c r="J2074">
        <f t="shared" si="228"/>
        <v>-1.2560398899876251</v>
      </c>
      <c r="K2074">
        <f t="shared" si="229"/>
        <v>-1.785095503014803</v>
      </c>
      <c r="L2074">
        <f t="shared" si="230"/>
        <v>-1.3111315405766024</v>
      </c>
    </row>
    <row r="2075" spans="1:12" x14ac:dyDescent="0.25">
      <c r="A2075" s="1">
        <v>43251</v>
      </c>
      <c r="B2075" s="6">
        <v>204.11060000000001</v>
      </c>
      <c r="C2075" s="6">
        <v>15.3461</v>
      </c>
      <c r="D2075" s="6">
        <v>10874.96</v>
      </c>
      <c r="E2075" s="6">
        <v>0.66</v>
      </c>
      <c r="F2075" s="6">
        <f t="shared" si="224"/>
        <v>7.3333333333333341E-3</v>
      </c>
      <c r="G2075">
        <f t="shared" si="225"/>
        <v>1.3574539296940542</v>
      </c>
      <c r="H2075">
        <f t="shared" si="226"/>
        <v>1.5242430056166734</v>
      </c>
      <c r="I2075">
        <f t="shared" si="227"/>
        <v>0.4970811843820867</v>
      </c>
      <c r="J2075">
        <f t="shared" si="228"/>
        <v>0.94998016770472127</v>
      </c>
      <c r="K2075">
        <f t="shared" si="229"/>
        <v>1.3501205963607208</v>
      </c>
      <c r="L2075">
        <f t="shared" si="230"/>
        <v>0.48974785104875335</v>
      </c>
    </row>
    <row r="2076" spans="1:12" x14ac:dyDescent="0.25">
      <c r="A2076" s="1">
        <v>43252</v>
      </c>
      <c r="B2076" s="6">
        <v>204.11060000000001</v>
      </c>
      <c r="C2076" s="6">
        <v>15.1617</v>
      </c>
      <c r="D2076" s="6">
        <v>10949.08</v>
      </c>
      <c r="E2076" s="6">
        <v>0.66</v>
      </c>
      <c r="F2076" s="6">
        <f t="shared" si="224"/>
        <v>7.3333333333333341E-3</v>
      </c>
      <c r="G2076">
        <f t="shared" si="225"/>
        <v>0</v>
      </c>
      <c r="H2076">
        <f t="shared" si="226"/>
        <v>-1.2016082261942782</v>
      </c>
      <c r="I2076">
        <f t="shared" si="227"/>
        <v>0.68156572529922688</v>
      </c>
      <c r="J2076">
        <f t="shared" si="228"/>
        <v>-5.1599251567697223E-3</v>
      </c>
      <c r="K2076">
        <f t="shared" si="229"/>
        <v>-7.3333333333333341E-3</v>
      </c>
      <c r="L2076">
        <f t="shared" si="230"/>
        <v>0.67423239196589357</v>
      </c>
    </row>
    <row r="2077" spans="1:12" x14ac:dyDescent="0.25">
      <c r="A2077" s="1">
        <v>43255</v>
      </c>
      <c r="B2077" s="6">
        <v>208.66659999999999</v>
      </c>
      <c r="C2077" s="6">
        <v>15.207800000000001</v>
      </c>
      <c r="D2077" s="6">
        <v>11109.5</v>
      </c>
      <c r="E2077" s="6">
        <v>0.66</v>
      </c>
      <c r="F2077" s="6">
        <f t="shared" si="224"/>
        <v>7.3333333333333341E-3</v>
      </c>
      <c r="G2077">
        <f t="shared" si="225"/>
        <v>2.232123172436896</v>
      </c>
      <c r="H2077">
        <f t="shared" si="226"/>
        <v>0.30405561381639867</v>
      </c>
      <c r="I2077">
        <f t="shared" si="227"/>
        <v>1.4651459300690111</v>
      </c>
      <c r="J2077">
        <f t="shared" si="228"/>
        <v>1.5654203262703819</v>
      </c>
      <c r="K2077">
        <f t="shared" si="229"/>
        <v>2.2247898391035625</v>
      </c>
      <c r="L2077">
        <f t="shared" si="230"/>
        <v>1.4578125967356776</v>
      </c>
    </row>
    <row r="2078" spans="1:12" x14ac:dyDescent="0.25">
      <c r="A2078" s="1">
        <v>43256</v>
      </c>
      <c r="B2078" s="6">
        <v>208.66659999999999</v>
      </c>
      <c r="C2078" s="6">
        <v>15.207800000000001</v>
      </c>
      <c r="D2078" s="6">
        <v>11100.11</v>
      </c>
      <c r="E2078" s="6">
        <v>0.66</v>
      </c>
      <c r="F2078" s="6">
        <f t="shared" si="224"/>
        <v>7.3333333333333341E-3</v>
      </c>
      <c r="G2078">
        <f t="shared" si="225"/>
        <v>0</v>
      </c>
      <c r="H2078">
        <f t="shared" si="226"/>
        <v>0</v>
      </c>
      <c r="I2078">
        <f t="shared" si="227"/>
        <v>-8.4522255727075182E-2</v>
      </c>
      <c r="J2078">
        <f t="shared" si="228"/>
        <v>-5.1599251567697223E-3</v>
      </c>
      <c r="K2078">
        <f t="shared" si="229"/>
        <v>-7.3333333333333341E-3</v>
      </c>
      <c r="L2078">
        <f t="shared" si="230"/>
        <v>-9.1855589060408513E-2</v>
      </c>
    </row>
    <row r="2079" spans="1:12" x14ac:dyDescent="0.25">
      <c r="A2079" s="1">
        <v>43257</v>
      </c>
      <c r="B2079" s="6">
        <v>209.5778</v>
      </c>
      <c r="C2079" s="6">
        <v>15.1157</v>
      </c>
      <c r="D2079" s="6">
        <v>11201.83</v>
      </c>
      <c r="E2079" s="6">
        <v>0.66</v>
      </c>
      <c r="F2079" s="6">
        <f t="shared" si="224"/>
        <v>7.3333333333333341E-3</v>
      </c>
      <c r="G2079">
        <f t="shared" si="225"/>
        <v>0.43667745580749773</v>
      </c>
      <c r="H2079">
        <f t="shared" si="226"/>
        <v>-0.60561027893581121</v>
      </c>
      <c r="I2079">
        <f t="shared" si="227"/>
        <v>0.91638731508065541</v>
      </c>
      <c r="J2079">
        <f t="shared" si="228"/>
        <v>0.30209775524531746</v>
      </c>
      <c r="K2079">
        <f t="shared" si="229"/>
        <v>0.42934412247416437</v>
      </c>
      <c r="L2079">
        <f t="shared" si="230"/>
        <v>0.9090539817473221</v>
      </c>
    </row>
    <row r="2080" spans="1:12" x14ac:dyDescent="0.25">
      <c r="A2080" s="1">
        <v>43258</v>
      </c>
      <c r="B2080" s="6">
        <v>209.5778</v>
      </c>
      <c r="C2080" s="6">
        <v>15.3</v>
      </c>
      <c r="D2080" s="6">
        <v>11251.75</v>
      </c>
      <c r="E2080" s="6">
        <v>0.66</v>
      </c>
      <c r="F2080" s="6">
        <f t="shared" si="224"/>
        <v>7.3333333333333341E-3</v>
      </c>
      <c r="G2080">
        <f t="shared" si="225"/>
        <v>0</v>
      </c>
      <c r="H2080">
        <f t="shared" si="226"/>
        <v>1.2192620917324395</v>
      </c>
      <c r="I2080">
        <f t="shared" si="227"/>
        <v>0.44564147108106511</v>
      </c>
      <c r="J2080">
        <f t="shared" si="228"/>
        <v>-5.1599251567697223E-3</v>
      </c>
      <c r="K2080">
        <f t="shared" si="229"/>
        <v>-7.3333333333333341E-3</v>
      </c>
      <c r="L2080">
        <f t="shared" si="230"/>
        <v>0.43830813774773175</v>
      </c>
    </row>
    <row r="2081" spans="1:12" x14ac:dyDescent="0.25">
      <c r="A2081" s="1">
        <v>43259</v>
      </c>
      <c r="B2081" s="6">
        <v>206.8442</v>
      </c>
      <c r="C2081" s="6">
        <v>15.1157</v>
      </c>
      <c r="D2081" s="6">
        <v>11156.42</v>
      </c>
      <c r="E2081" s="6">
        <v>0.66</v>
      </c>
      <c r="F2081" s="6">
        <f t="shared" si="224"/>
        <v>7.3333333333333341E-3</v>
      </c>
      <c r="G2081">
        <f t="shared" si="225"/>
        <v>-1.3043366234400759</v>
      </c>
      <c r="H2081">
        <f t="shared" si="226"/>
        <v>-1.204575163398695</v>
      </c>
      <c r="I2081">
        <f t="shared" si="227"/>
        <v>-0.84724598395805029</v>
      </c>
      <c r="J2081">
        <f t="shared" si="228"/>
        <v>-0.9229252919092048</v>
      </c>
      <c r="K2081">
        <f t="shared" si="229"/>
        <v>-1.3116699567734094</v>
      </c>
      <c r="L2081">
        <f t="shared" si="230"/>
        <v>-0.85457931729138359</v>
      </c>
    </row>
    <row r="2082" spans="1:12" x14ac:dyDescent="0.25">
      <c r="A2082" s="1">
        <v>43262</v>
      </c>
      <c r="B2082" s="6">
        <v>205.93299999999999</v>
      </c>
      <c r="C2082" s="6">
        <v>15.484299999999999</v>
      </c>
      <c r="D2082" s="6">
        <v>11149.23</v>
      </c>
      <c r="E2082" s="6">
        <v>0.66</v>
      </c>
      <c r="F2082" s="6">
        <f t="shared" si="224"/>
        <v>7.3333333333333341E-3</v>
      </c>
      <c r="G2082">
        <f t="shared" si="225"/>
        <v>-0.4405248007920976</v>
      </c>
      <c r="H2082">
        <f t="shared" si="226"/>
        <v>2.438524183464867</v>
      </c>
      <c r="I2082">
        <f t="shared" si="227"/>
        <v>-6.4447197219184196E-2</v>
      </c>
      <c r="J2082">
        <f t="shared" si="228"/>
        <v>-0.3151246981278763</v>
      </c>
      <c r="K2082">
        <f t="shared" si="229"/>
        <v>-0.44785813412543096</v>
      </c>
      <c r="L2082">
        <f t="shared" si="230"/>
        <v>-7.1780530552517527E-2</v>
      </c>
    </row>
    <row r="2083" spans="1:12" x14ac:dyDescent="0.25">
      <c r="A2083" s="1">
        <v>43263</v>
      </c>
      <c r="B2083" s="6">
        <v>208.66659999999999</v>
      </c>
      <c r="C2083" s="6">
        <v>15.5304</v>
      </c>
      <c r="D2083" s="6">
        <v>11144.79</v>
      </c>
      <c r="E2083" s="6">
        <v>0.66</v>
      </c>
      <c r="F2083" s="6">
        <f t="shared" si="224"/>
        <v>7.3333333333333341E-3</v>
      </c>
      <c r="G2083">
        <f t="shared" si="225"/>
        <v>1.3274220256102691</v>
      </c>
      <c r="H2083">
        <f t="shared" si="226"/>
        <v>0.29772091731625533</v>
      </c>
      <c r="I2083">
        <f t="shared" si="227"/>
        <v>-3.9823377937298725E-2</v>
      </c>
      <c r="J2083">
        <f t="shared" si="228"/>
        <v>0.9288489344245916</v>
      </c>
      <c r="K2083">
        <f t="shared" si="229"/>
        <v>1.3200886922769357</v>
      </c>
      <c r="L2083">
        <f t="shared" si="230"/>
        <v>-4.7156711270632062E-2</v>
      </c>
    </row>
    <row r="2084" spans="1:12" x14ac:dyDescent="0.25">
      <c r="A2084" s="1">
        <v>43264</v>
      </c>
      <c r="B2084" s="6">
        <v>211.40029999999999</v>
      </c>
      <c r="C2084" s="6">
        <v>17.051200000000001</v>
      </c>
      <c r="D2084" s="6">
        <v>11173.21</v>
      </c>
      <c r="E2084" s="6">
        <v>0.66</v>
      </c>
      <c r="F2084" s="6">
        <f t="shared" si="224"/>
        <v>7.3333333333333341E-3</v>
      </c>
      <c r="G2084">
        <f t="shared" si="225"/>
        <v>1.3100802907604758</v>
      </c>
      <c r="H2084">
        <f t="shared" si="226"/>
        <v>9.7924071498480476</v>
      </c>
      <c r="I2084">
        <f t="shared" si="227"/>
        <v>0.25500704813637809</v>
      </c>
      <c r="J2084">
        <f t="shared" si="228"/>
        <v>0.9166468361636626</v>
      </c>
      <c r="K2084">
        <f t="shared" si="229"/>
        <v>1.3027469574271424</v>
      </c>
      <c r="L2084">
        <f t="shared" si="230"/>
        <v>0.24767371480304476</v>
      </c>
    </row>
    <row r="2085" spans="1:12" x14ac:dyDescent="0.25">
      <c r="A2085" s="1">
        <v>43265</v>
      </c>
      <c r="B2085" s="6">
        <v>206.3886</v>
      </c>
      <c r="C2085" s="6">
        <v>16.682500000000001</v>
      </c>
      <c r="D2085" s="6">
        <v>11013.98</v>
      </c>
      <c r="E2085" s="6">
        <v>0.66</v>
      </c>
      <c r="F2085" s="6">
        <f t="shared" si="224"/>
        <v>7.3333333333333341E-3</v>
      </c>
      <c r="G2085">
        <f t="shared" si="225"/>
        <v>-2.3707156517753241</v>
      </c>
      <c r="H2085">
        <f t="shared" si="226"/>
        <v>-2.1623111569860209</v>
      </c>
      <c r="I2085">
        <f t="shared" si="227"/>
        <v>-1.4251052293834947</v>
      </c>
      <c r="J2085">
        <f t="shared" si="228"/>
        <v>-1.6732574703126637</v>
      </c>
      <c r="K2085">
        <f t="shared" si="229"/>
        <v>-2.3780489851086575</v>
      </c>
      <c r="L2085">
        <f t="shared" si="230"/>
        <v>-1.4324385627168281</v>
      </c>
    </row>
    <row r="2086" spans="1:12" x14ac:dyDescent="0.25">
      <c r="A2086" s="1">
        <v>43266</v>
      </c>
      <c r="B2086" s="6">
        <v>210.489</v>
      </c>
      <c r="C2086" s="6">
        <v>17.189399999999999</v>
      </c>
      <c r="D2086" s="6">
        <v>11087.47</v>
      </c>
      <c r="E2086" s="6">
        <v>0.66</v>
      </c>
      <c r="F2086" s="6">
        <f t="shared" si="224"/>
        <v>7.3333333333333341E-3</v>
      </c>
      <c r="G2086">
        <f t="shared" si="225"/>
        <v>1.986737639578934</v>
      </c>
      <c r="H2086">
        <f t="shared" si="226"/>
        <v>3.038513412258343</v>
      </c>
      <c r="I2086">
        <f t="shared" si="227"/>
        <v>0.66724290401834563</v>
      </c>
      <c r="J2086">
        <f t="shared" si="228"/>
        <v>1.3927606466202265</v>
      </c>
      <c r="K2086">
        <f t="shared" si="229"/>
        <v>1.9794043062456006</v>
      </c>
      <c r="L2086">
        <f t="shared" si="230"/>
        <v>0.65990957068501233</v>
      </c>
    </row>
    <row r="2087" spans="1:12" x14ac:dyDescent="0.25">
      <c r="A2087" s="1">
        <v>43270</v>
      </c>
      <c r="B2087" s="6">
        <v>205.02180000000001</v>
      </c>
      <c r="C2087" s="6">
        <v>16.774699999999999</v>
      </c>
      <c r="D2087" s="6">
        <v>10904.19</v>
      </c>
      <c r="E2087" s="6">
        <v>0.66</v>
      </c>
      <c r="F2087" s="6">
        <f t="shared" si="224"/>
        <v>7.3333333333333341E-3</v>
      </c>
      <c r="G2087">
        <f t="shared" si="225"/>
        <v>-2.5973803856733562</v>
      </c>
      <c r="H2087">
        <f t="shared" si="226"/>
        <v>-2.4125333054091467</v>
      </c>
      <c r="I2087">
        <f t="shared" si="227"/>
        <v>-1.6530371671805997</v>
      </c>
      <c r="J2087">
        <f t="shared" si="228"/>
        <v>-1.8327447061207962</v>
      </c>
      <c r="K2087">
        <f t="shared" si="229"/>
        <v>-2.6047137190066896</v>
      </c>
      <c r="L2087">
        <f t="shared" si="230"/>
        <v>-1.6603705005139331</v>
      </c>
    </row>
    <row r="2088" spans="1:12" x14ac:dyDescent="0.25">
      <c r="A2088" s="1">
        <v>43271</v>
      </c>
      <c r="B2088" s="6">
        <v>205.93299999999999</v>
      </c>
      <c r="C2088" s="6">
        <v>16.636399999999998</v>
      </c>
      <c r="D2088" s="6">
        <v>10927.44</v>
      </c>
      <c r="E2088" s="6">
        <v>0.66</v>
      </c>
      <c r="F2088" s="6">
        <f t="shared" si="224"/>
        <v>7.3333333333333341E-3</v>
      </c>
      <c r="G2088">
        <f t="shared" si="225"/>
        <v>0.44444054242035702</v>
      </c>
      <c r="H2088">
        <f t="shared" si="226"/>
        <v>-0.8244558770052578</v>
      </c>
      <c r="I2088">
        <f t="shared" si="227"/>
        <v>0.21322078943965575</v>
      </c>
      <c r="J2088">
        <f t="shared" si="228"/>
        <v>0.30756006605093678</v>
      </c>
      <c r="K2088">
        <f t="shared" si="229"/>
        <v>0.43710720908702366</v>
      </c>
      <c r="L2088">
        <f t="shared" si="230"/>
        <v>0.20588745610632242</v>
      </c>
    </row>
    <row r="2089" spans="1:12" x14ac:dyDescent="0.25">
      <c r="A2089" s="1">
        <v>43272</v>
      </c>
      <c r="B2089" s="6">
        <v>206.3886</v>
      </c>
      <c r="C2089" s="6">
        <v>16.267800000000001</v>
      </c>
      <c r="D2089" s="6">
        <v>10941.07</v>
      </c>
      <c r="E2089" s="6">
        <v>0.66</v>
      </c>
      <c r="F2089" s="6">
        <f t="shared" si="224"/>
        <v>7.3333333333333341E-3</v>
      </c>
      <c r="G2089">
        <f t="shared" si="225"/>
        <v>0.2212370042683805</v>
      </c>
      <c r="H2089">
        <f t="shared" si="226"/>
        <v>-2.2156235724074751</v>
      </c>
      <c r="I2089">
        <f t="shared" si="227"/>
        <v>0.12473186766524638</v>
      </c>
      <c r="J2089">
        <f t="shared" si="228"/>
        <v>0.15050821810679213</v>
      </c>
      <c r="K2089">
        <f t="shared" si="229"/>
        <v>0.21390367093504717</v>
      </c>
      <c r="L2089">
        <f t="shared" si="230"/>
        <v>0.11739853433191305</v>
      </c>
    </row>
    <row r="2090" spans="1:12" x14ac:dyDescent="0.25">
      <c r="A2090" s="1">
        <v>43273</v>
      </c>
      <c r="B2090" s="6">
        <v>207.2998</v>
      </c>
      <c r="C2090" s="6">
        <v>16.405999999999999</v>
      </c>
      <c r="D2090" s="6">
        <v>10899.28</v>
      </c>
      <c r="E2090" s="6">
        <v>0.66</v>
      </c>
      <c r="F2090" s="6">
        <f t="shared" si="224"/>
        <v>7.3333333333333341E-3</v>
      </c>
      <c r="G2090">
        <f t="shared" si="225"/>
        <v>0.44149725323976619</v>
      </c>
      <c r="H2090">
        <f t="shared" si="226"/>
        <v>0.84953097530088673</v>
      </c>
      <c r="I2090">
        <f t="shared" si="227"/>
        <v>-0.38195532978035107</v>
      </c>
      <c r="J2090">
        <f t="shared" si="228"/>
        <v>0.30548909079367603</v>
      </c>
      <c r="K2090">
        <f t="shared" si="229"/>
        <v>0.43416391990643283</v>
      </c>
      <c r="L2090">
        <f t="shared" si="230"/>
        <v>-0.38928866311368443</v>
      </c>
    </row>
    <row r="2091" spans="1:12" x14ac:dyDescent="0.25">
      <c r="A2091" s="1">
        <v>43276</v>
      </c>
      <c r="B2091" s="6">
        <v>205.88310000000001</v>
      </c>
      <c r="C2091" s="6">
        <v>16.405999999999999</v>
      </c>
      <c r="D2091" s="6">
        <v>10786.46</v>
      </c>
      <c r="E2091" s="6">
        <v>0.66</v>
      </c>
      <c r="F2091" s="6">
        <f t="shared" si="224"/>
        <v>7.3333333333333341E-3</v>
      </c>
      <c r="G2091">
        <f t="shared" si="225"/>
        <v>-0.68340635157390006</v>
      </c>
      <c r="H2091">
        <f t="shared" si="226"/>
        <v>0</v>
      </c>
      <c r="I2091">
        <f t="shared" si="227"/>
        <v>-1.035114246078654</v>
      </c>
      <c r="J2091">
        <f t="shared" si="228"/>
        <v>-0.48602251049073059</v>
      </c>
      <c r="K2091">
        <f t="shared" si="229"/>
        <v>-0.69073968490723336</v>
      </c>
      <c r="L2091">
        <f t="shared" si="230"/>
        <v>-1.0424475794119874</v>
      </c>
    </row>
    <row r="2092" spans="1:12" x14ac:dyDescent="0.25">
      <c r="A2092" s="1">
        <v>43277</v>
      </c>
      <c r="B2092" s="6">
        <v>202.57769999999999</v>
      </c>
      <c r="C2092" s="6">
        <v>16.221699999999998</v>
      </c>
      <c r="D2092" s="6">
        <v>10742.17</v>
      </c>
      <c r="E2092" s="6">
        <v>0.66</v>
      </c>
      <c r="F2092" s="6">
        <f t="shared" si="224"/>
        <v>7.3333333333333341E-3</v>
      </c>
      <c r="G2092">
        <f t="shared" si="225"/>
        <v>-1.6054741744222911</v>
      </c>
      <c r="H2092">
        <f t="shared" si="226"/>
        <v>-1.1233694989637959</v>
      </c>
      <c r="I2092">
        <f t="shared" si="227"/>
        <v>-0.41060737257635088</v>
      </c>
      <c r="J2092">
        <f t="shared" si="228"/>
        <v>-1.1348135498584535</v>
      </c>
      <c r="K2092">
        <f t="shared" si="229"/>
        <v>-1.6128075077556245</v>
      </c>
      <c r="L2092">
        <f t="shared" si="230"/>
        <v>-0.41794070590968424</v>
      </c>
    </row>
    <row r="2093" spans="1:12" x14ac:dyDescent="0.25">
      <c r="A2093" s="1">
        <v>43278</v>
      </c>
      <c r="B2093" s="6">
        <v>201.161</v>
      </c>
      <c r="C2093" s="6">
        <v>16.221699999999998</v>
      </c>
      <c r="D2093" s="6">
        <v>10701.03</v>
      </c>
      <c r="E2093" s="6">
        <v>0.66</v>
      </c>
      <c r="F2093" s="6">
        <f t="shared" si="224"/>
        <v>7.3333333333333341E-3</v>
      </c>
      <c r="G2093">
        <f t="shared" si="225"/>
        <v>-0.69933660022795785</v>
      </c>
      <c r="H2093">
        <f t="shared" si="226"/>
        <v>0</v>
      </c>
      <c r="I2093">
        <f t="shared" si="227"/>
        <v>-0.38297662390373099</v>
      </c>
      <c r="J2093">
        <f t="shared" si="228"/>
        <v>-0.4972314501430492</v>
      </c>
      <c r="K2093">
        <f t="shared" si="229"/>
        <v>-0.70666993356129115</v>
      </c>
      <c r="L2093">
        <f t="shared" si="230"/>
        <v>-0.39030995723706435</v>
      </c>
    </row>
    <row r="2094" spans="1:12" x14ac:dyDescent="0.25">
      <c r="A2094" s="1">
        <v>43279</v>
      </c>
      <c r="B2094" s="6">
        <v>200.2166</v>
      </c>
      <c r="C2094" s="6">
        <v>15.6226</v>
      </c>
      <c r="D2094" s="6">
        <v>10654.28</v>
      </c>
      <c r="E2094" s="6">
        <v>0.66</v>
      </c>
      <c r="F2094" s="6">
        <f t="shared" si="224"/>
        <v>7.3333333333333341E-3</v>
      </c>
      <c r="G2094">
        <f t="shared" si="225"/>
        <v>-0.46947469937015707</v>
      </c>
      <c r="H2094">
        <f t="shared" si="226"/>
        <v>-3.6932010825005901</v>
      </c>
      <c r="I2094">
        <f t="shared" si="227"/>
        <v>-0.43687383364031313</v>
      </c>
      <c r="J2094">
        <f t="shared" si="228"/>
        <v>-0.33549460403135734</v>
      </c>
      <c r="K2094">
        <f t="shared" si="229"/>
        <v>-0.47680803270349043</v>
      </c>
      <c r="L2094">
        <f t="shared" si="230"/>
        <v>-0.44420716697364648</v>
      </c>
    </row>
    <row r="2095" spans="1:12" x14ac:dyDescent="0.25">
      <c r="A2095" s="1">
        <v>43280</v>
      </c>
      <c r="B2095" s="6">
        <v>204.4665</v>
      </c>
      <c r="C2095" s="6">
        <v>15.6226</v>
      </c>
      <c r="D2095" s="6">
        <v>10836.91</v>
      </c>
      <c r="E2095" s="6">
        <v>0.66</v>
      </c>
      <c r="F2095" s="6">
        <f t="shared" si="224"/>
        <v>7.3333333333333341E-3</v>
      </c>
      <c r="G2095">
        <f t="shared" si="225"/>
        <v>2.1226511687842051</v>
      </c>
      <c r="H2095">
        <f t="shared" si="226"/>
        <v>0</v>
      </c>
      <c r="I2095">
        <f t="shared" si="227"/>
        <v>1.7141468029749471</v>
      </c>
      <c r="J2095">
        <f t="shared" si="228"/>
        <v>1.4883929609599946</v>
      </c>
      <c r="K2095">
        <f t="shared" si="229"/>
        <v>2.1153178354508717</v>
      </c>
      <c r="L2095">
        <f t="shared" si="230"/>
        <v>1.7068134696416137</v>
      </c>
    </row>
    <row r="2096" spans="1:12" x14ac:dyDescent="0.25">
      <c r="A2096" s="1">
        <v>43283</v>
      </c>
      <c r="B2096" s="6">
        <v>202.10550000000001</v>
      </c>
      <c r="C2096" s="6">
        <v>16.774699999999999</v>
      </c>
      <c r="D2096" s="6">
        <v>10777.94</v>
      </c>
      <c r="E2096" s="6">
        <v>0.66</v>
      </c>
      <c r="F2096" s="6">
        <f t="shared" si="224"/>
        <v>7.3333333333333341E-3</v>
      </c>
      <c r="G2096">
        <f t="shared" si="225"/>
        <v>-1.1547123856475217</v>
      </c>
      <c r="H2096">
        <f t="shared" si="226"/>
        <v>7.3745727343719922</v>
      </c>
      <c r="I2096">
        <f t="shared" si="227"/>
        <v>-0.54415880541592898</v>
      </c>
      <c r="J2096">
        <f t="shared" si="228"/>
        <v>-0.81764576436625536</v>
      </c>
      <c r="K2096">
        <f t="shared" si="229"/>
        <v>-1.1620457189808551</v>
      </c>
      <c r="L2096">
        <f t="shared" si="230"/>
        <v>-0.55149213874926228</v>
      </c>
    </row>
    <row r="2097" spans="1:12" x14ac:dyDescent="0.25">
      <c r="A2097" s="1">
        <v>43284</v>
      </c>
      <c r="B2097" s="6">
        <v>202.57769999999999</v>
      </c>
      <c r="C2097" s="6">
        <v>16.5443</v>
      </c>
      <c r="D2097" s="6">
        <v>10715.72</v>
      </c>
      <c r="E2097" s="6">
        <v>0.66</v>
      </c>
      <c r="F2097" s="6">
        <f t="shared" si="224"/>
        <v>7.3333333333333341E-3</v>
      </c>
      <c r="G2097">
        <f t="shared" si="225"/>
        <v>0.23364035120270682</v>
      </c>
      <c r="H2097">
        <f t="shared" si="226"/>
        <v>-1.3734969924946467</v>
      </c>
      <c r="I2097">
        <f t="shared" si="227"/>
        <v>-0.57729027996074533</v>
      </c>
      <c r="J2097">
        <f t="shared" si="228"/>
        <v>0.1592355374533248</v>
      </c>
      <c r="K2097">
        <f t="shared" si="229"/>
        <v>0.22630701786937349</v>
      </c>
      <c r="L2097">
        <f t="shared" si="230"/>
        <v>-0.58462361329407864</v>
      </c>
    </row>
    <row r="2098" spans="1:12" x14ac:dyDescent="0.25">
      <c r="A2098" s="1">
        <v>43285</v>
      </c>
      <c r="B2098" s="6">
        <v>203.99430000000001</v>
      </c>
      <c r="C2098" s="6">
        <v>16.5443</v>
      </c>
      <c r="D2098" s="6">
        <v>10721.87</v>
      </c>
      <c r="E2098" s="6">
        <v>0.66</v>
      </c>
      <c r="F2098" s="6">
        <f t="shared" si="224"/>
        <v>7.3333333333333341E-3</v>
      </c>
      <c r="G2098">
        <f t="shared" si="225"/>
        <v>0.69928723645298407</v>
      </c>
      <c r="H2098">
        <f t="shared" si="226"/>
        <v>0</v>
      </c>
      <c r="I2098">
        <f t="shared" si="227"/>
        <v>5.7392317081833566E-2</v>
      </c>
      <c r="J2098">
        <f t="shared" si="228"/>
        <v>0.48687686618619341</v>
      </c>
      <c r="K2098">
        <f t="shared" si="229"/>
        <v>0.69195390311965077</v>
      </c>
      <c r="L2098">
        <f t="shared" si="230"/>
        <v>5.0058983748500235E-2</v>
      </c>
    </row>
    <row r="2099" spans="1:12" x14ac:dyDescent="0.25">
      <c r="A2099" s="1">
        <v>43286</v>
      </c>
      <c r="B2099" s="6">
        <v>202.57769999999999</v>
      </c>
      <c r="C2099" s="6">
        <v>16.5443</v>
      </c>
      <c r="D2099" s="6">
        <v>10611.81</v>
      </c>
      <c r="E2099" s="6">
        <v>0.66</v>
      </c>
      <c r="F2099" s="6">
        <f t="shared" si="224"/>
        <v>7.3333333333333341E-3</v>
      </c>
      <c r="G2099">
        <f t="shared" si="225"/>
        <v>-0.69443116792970028</v>
      </c>
      <c r="H2099">
        <f t="shared" si="226"/>
        <v>0</v>
      </c>
      <c r="I2099">
        <f t="shared" si="227"/>
        <v>-1.0265000415039662</v>
      </c>
      <c r="J2099">
        <f t="shared" si="228"/>
        <v>-0.49377985966296606</v>
      </c>
      <c r="K2099">
        <f t="shared" si="229"/>
        <v>-0.70176450126303358</v>
      </c>
      <c r="L2099">
        <f t="shared" si="230"/>
        <v>-1.0338333748372996</v>
      </c>
    </row>
    <row r="2100" spans="1:12" x14ac:dyDescent="0.25">
      <c r="A2100" s="1">
        <v>43287</v>
      </c>
      <c r="B2100" s="6">
        <v>204.93870000000001</v>
      </c>
      <c r="C2100" s="6">
        <v>16.221699999999998</v>
      </c>
      <c r="D2100" s="6">
        <v>10608.57</v>
      </c>
      <c r="E2100" s="6">
        <v>0.66</v>
      </c>
      <c r="F2100" s="6">
        <f t="shared" si="224"/>
        <v>7.3333333333333341E-3</v>
      </c>
      <c r="G2100">
        <f t="shared" si="225"/>
        <v>1.1654787274216356</v>
      </c>
      <c r="H2100">
        <f t="shared" si="226"/>
        <v>-1.9499162853671739</v>
      </c>
      <c r="I2100">
        <f t="shared" si="227"/>
        <v>-3.0532020456451651E-2</v>
      </c>
      <c r="J2100">
        <f t="shared" si="228"/>
        <v>0.8149013937481655</v>
      </c>
      <c r="K2100">
        <f t="shared" si="229"/>
        <v>1.1581453940883022</v>
      </c>
      <c r="L2100">
        <f t="shared" si="230"/>
        <v>-3.7865353789784985E-2</v>
      </c>
    </row>
    <row r="2101" spans="1:12" x14ac:dyDescent="0.25">
      <c r="A2101" s="1">
        <v>43290</v>
      </c>
      <c r="B2101" s="6">
        <v>209.18860000000001</v>
      </c>
      <c r="C2101" s="6">
        <v>16.267800000000001</v>
      </c>
      <c r="D2101" s="6">
        <v>10720.28</v>
      </c>
      <c r="E2101" s="6">
        <v>0.66</v>
      </c>
      <c r="F2101" s="6">
        <f t="shared" si="224"/>
        <v>7.3333333333333341E-3</v>
      </c>
      <c r="G2101">
        <f t="shared" si="225"/>
        <v>2.0737420506717359</v>
      </c>
      <c r="H2101">
        <f t="shared" si="226"/>
        <v>0.28418723068484003</v>
      </c>
      <c r="I2101">
        <f t="shared" si="227"/>
        <v>1.0530165705651275</v>
      </c>
      <c r="J2101">
        <f t="shared" si="228"/>
        <v>1.4539792261040014</v>
      </c>
      <c r="K2101">
        <f t="shared" si="229"/>
        <v>2.0664087173384025</v>
      </c>
      <c r="L2101">
        <f t="shared" si="230"/>
        <v>1.0456832372317941</v>
      </c>
    </row>
    <row r="2102" spans="1:12" x14ac:dyDescent="0.25">
      <c r="A2102" s="1">
        <v>43291</v>
      </c>
      <c r="B2102" s="6">
        <v>209.66079999999999</v>
      </c>
      <c r="C2102" s="6">
        <v>16.327000000000002</v>
      </c>
      <c r="D2102" s="6">
        <v>10756.89</v>
      </c>
      <c r="E2102" s="6">
        <v>0.66</v>
      </c>
      <c r="F2102" s="6">
        <f t="shared" si="224"/>
        <v>7.3333333333333341E-3</v>
      </c>
      <c r="G2102">
        <f t="shared" si="225"/>
        <v>0.22572931794561779</v>
      </c>
      <c r="H2102">
        <f t="shared" si="226"/>
        <v>0.36390907190892796</v>
      </c>
      <c r="I2102">
        <f t="shared" si="227"/>
        <v>0.34150227419431917</v>
      </c>
      <c r="J2102">
        <f t="shared" si="228"/>
        <v>0.1536691275188754</v>
      </c>
      <c r="K2102">
        <f t="shared" si="229"/>
        <v>0.21839598461228446</v>
      </c>
      <c r="L2102">
        <f t="shared" si="230"/>
        <v>0.33416894086098581</v>
      </c>
    </row>
    <row r="2103" spans="1:12" x14ac:dyDescent="0.25">
      <c r="A2103" s="1">
        <v>43292</v>
      </c>
      <c r="B2103" s="6">
        <v>207.77199999999999</v>
      </c>
      <c r="C2103" s="6">
        <v>16.230899999999998</v>
      </c>
      <c r="D2103" s="6">
        <v>10676.84</v>
      </c>
      <c r="E2103" s="6">
        <v>0.66</v>
      </c>
      <c r="F2103" s="6">
        <f t="shared" si="224"/>
        <v>7.3333333333333341E-3</v>
      </c>
      <c r="G2103">
        <f t="shared" si="225"/>
        <v>-0.90088371312138626</v>
      </c>
      <c r="H2103">
        <f t="shared" si="226"/>
        <v>-0.58859557787715677</v>
      </c>
      <c r="I2103">
        <f t="shared" si="227"/>
        <v>-0.74417419904823123</v>
      </c>
      <c r="J2103">
        <f t="shared" si="228"/>
        <v>-0.63904527079210949</v>
      </c>
      <c r="K2103">
        <f t="shared" si="229"/>
        <v>-0.90821704645471957</v>
      </c>
      <c r="L2103">
        <f t="shared" si="230"/>
        <v>-0.75150753238156454</v>
      </c>
    </row>
    <row r="2104" spans="1:12" x14ac:dyDescent="0.25">
      <c r="A2104" s="1">
        <v>43293</v>
      </c>
      <c r="B2104" s="6">
        <v>208.24420000000001</v>
      </c>
      <c r="C2104" s="6">
        <v>16.7592</v>
      </c>
      <c r="D2104" s="6">
        <v>10738.38</v>
      </c>
      <c r="E2104" s="6">
        <v>0.66</v>
      </c>
      <c r="F2104" s="6">
        <f t="shared" si="224"/>
        <v>7.3333333333333341E-3</v>
      </c>
      <c r="G2104">
        <f t="shared" si="225"/>
        <v>0.22726835184722441</v>
      </c>
      <c r="H2104">
        <f t="shared" si="226"/>
        <v>3.2549026856181826</v>
      </c>
      <c r="I2104">
        <f t="shared" si="227"/>
        <v>0.57638777016419707</v>
      </c>
      <c r="J2104">
        <f t="shared" si="228"/>
        <v>0.15475203202969651</v>
      </c>
      <c r="K2104">
        <f t="shared" si="229"/>
        <v>0.21993501851389108</v>
      </c>
      <c r="L2104">
        <f t="shared" si="230"/>
        <v>0.56905443683086376</v>
      </c>
    </row>
    <row r="2105" spans="1:12" x14ac:dyDescent="0.25">
      <c r="A2105" s="1">
        <v>43294</v>
      </c>
      <c r="B2105" s="6">
        <v>212.02180000000001</v>
      </c>
      <c r="C2105" s="6">
        <v>16.711099999999998</v>
      </c>
      <c r="D2105" s="6">
        <v>10864.54</v>
      </c>
      <c r="E2105" s="6">
        <v>0.66</v>
      </c>
      <c r="F2105" s="6">
        <f t="shared" si="224"/>
        <v>7.3333333333333341E-3</v>
      </c>
      <c r="G2105">
        <f t="shared" si="225"/>
        <v>1.8140241120761138</v>
      </c>
      <c r="H2105">
        <f t="shared" si="226"/>
        <v>-0.28700653969164153</v>
      </c>
      <c r="I2105">
        <f t="shared" si="227"/>
        <v>1.17485132766769</v>
      </c>
      <c r="J2105">
        <f t="shared" si="228"/>
        <v>1.2712348908734663</v>
      </c>
      <c r="K2105">
        <f t="shared" si="229"/>
        <v>1.8066907787427804</v>
      </c>
      <c r="L2105">
        <f t="shared" si="230"/>
        <v>1.1675179943343565</v>
      </c>
    </row>
    <row r="2106" spans="1:12" x14ac:dyDescent="0.25">
      <c r="A2106" s="1">
        <v>43297</v>
      </c>
      <c r="B2106" s="6">
        <v>211.07740000000001</v>
      </c>
      <c r="C2106" s="6">
        <v>16.5671</v>
      </c>
      <c r="D2106" s="6">
        <v>10817.45</v>
      </c>
      <c r="E2106" s="6">
        <v>0.66</v>
      </c>
      <c r="F2106" s="6">
        <f t="shared" si="224"/>
        <v>7.3333333333333341E-3</v>
      </c>
      <c r="G2106">
        <f t="shared" si="225"/>
        <v>-0.44542589488439471</v>
      </c>
      <c r="H2106">
        <f t="shared" si="226"/>
        <v>-0.86170270060019005</v>
      </c>
      <c r="I2106">
        <f t="shared" si="227"/>
        <v>-0.43342838260984951</v>
      </c>
      <c r="J2106">
        <f t="shared" si="228"/>
        <v>-0.318573236132768</v>
      </c>
      <c r="K2106">
        <f t="shared" si="229"/>
        <v>-0.45275922821772807</v>
      </c>
      <c r="L2106">
        <f t="shared" si="230"/>
        <v>-0.44076171594318286</v>
      </c>
    </row>
    <row r="2107" spans="1:12" x14ac:dyDescent="0.25">
      <c r="A2107" s="1">
        <v>43298</v>
      </c>
      <c r="B2107" s="6">
        <v>209.18860000000001</v>
      </c>
      <c r="C2107" s="6">
        <v>16.5671</v>
      </c>
      <c r="D2107" s="6">
        <v>10778.99</v>
      </c>
      <c r="E2107" s="6">
        <v>0.66</v>
      </c>
      <c r="F2107" s="6">
        <f t="shared" si="224"/>
        <v>7.3333333333333341E-3</v>
      </c>
      <c r="G2107">
        <f t="shared" si="225"/>
        <v>-0.89483762828232827</v>
      </c>
      <c r="H2107">
        <f t="shared" si="226"/>
        <v>0</v>
      </c>
      <c r="I2107">
        <f t="shared" si="227"/>
        <v>-0.35553665605111134</v>
      </c>
      <c r="J2107">
        <f t="shared" si="228"/>
        <v>-0.63479108734742495</v>
      </c>
      <c r="K2107">
        <f t="shared" si="229"/>
        <v>-0.90217096161566157</v>
      </c>
      <c r="L2107">
        <f t="shared" si="230"/>
        <v>-0.3628699893844447</v>
      </c>
    </row>
    <row r="2108" spans="1:12" x14ac:dyDescent="0.25">
      <c r="A2108" s="1">
        <v>43299</v>
      </c>
      <c r="B2108" s="6">
        <v>210.6052</v>
      </c>
      <c r="C2108" s="6">
        <v>16.711099999999998</v>
      </c>
      <c r="D2108" s="6">
        <v>10842.46</v>
      </c>
      <c r="E2108" s="6">
        <v>0.66</v>
      </c>
      <c r="F2108" s="6">
        <f t="shared" si="224"/>
        <v>7.3333333333333341E-3</v>
      </c>
      <c r="G2108">
        <f t="shared" si="225"/>
        <v>0.67718795383686692</v>
      </c>
      <c r="H2108">
        <f t="shared" si="226"/>
        <v>0.8691925563315146</v>
      </c>
      <c r="I2108">
        <f t="shared" si="227"/>
        <v>0.58883067894115637</v>
      </c>
      <c r="J2108">
        <f t="shared" si="228"/>
        <v>0.47132723287017519</v>
      </c>
      <c r="K2108">
        <f t="shared" si="229"/>
        <v>0.66985462050353362</v>
      </c>
      <c r="L2108">
        <f t="shared" si="230"/>
        <v>0.58149734560782307</v>
      </c>
    </row>
    <row r="2109" spans="1:12" x14ac:dyDescent="0.25">
      <c r="A2109" s="1">
        <v>43300</v>
      </c>
      <c r="B2109" s="6">
        <v>212.02180000000001</v>
      </c>
      <c r="C2109" s="6">
        <v>16.903199999999998</v>
      </c>
      <c r="D2109" s="6">
        <v>10835.38</v>
      </c>
      <c r="E2109" s="6">
        <v>0.66</v>
      </c>
      <c r="F2109" s="6">
        <f t="shared" si="224"/>
        <v>7.3333333333333341E-3</v>
      </c>
      <c r="G2109">
        <f t="shared" si="225"/>
        <v>0.67263296442823672</v>
      </c>
      <c r="H2109">
        <f t="shared" si="226"/>
        <v>1.1495353387867941</v>
      </c>
      <c r="I2109">
        <f t="shared" si="227"/>
        <v>-6.529883439735934E-2</v>
      </c>
      <c r="J2109">
        <f t="shared" si="228"/>
        <v>0.46812222317402835</v>
      </c>
      <c r="K2109">
        <f t="shared" si="229"/>
        <v>0.66529963109490342</v>
      </c>
      <c r="L2109">
        <f t="shared" si="230"/>
        <v>-7.2632167730692671E-2</v>
      </c>
    </row>
    <row r="2110" spans="1:12" x14ac:dyDescent="0.25">
      <c r="A2110" s="1">
        <v>43301</v>
      </c>
      <c r="B2110" s="6">
        <v>224.29929999999999</v>
      </c>
      <c r="C2110" s="6">
        <v>17.1433</v>
      </c>
      <c r="D2110" s="6">
        <v>10932.11</v>
      </c>
      <c r="E2110" s="6">
        <v>0.66</v>
      </c>
      <c r="F2110" s="6">
        <f t="shared" si="224"/>
        <v>7.3333333333333341E-3</v>
      </c>
      <c r="G2110">
        <f t="shared" si="225"/>
        <v>5.7906781283811259</v>
      </c>
      <c r="H2110">
        <f t="shared" si="226"/>
        <v>1.4204410999100867</v>
      </c>
      <c r="I2110">
        <f t="shared" si="227"/>
        <v>0.89272365159321954</v>
      </c>
      <c r="J2110">
        <f t="shared" si="228"/>
        <v>4.069312677032773</v>
      </c>
      <c r="K2110">
        <f t="shared" si="229"/>
        <v>5.7833447950477925</v>
      </c>
      <c r="L2110">
        <f t="shared" si="230"/>
        <v>0.88539031825988623</v>
      </c>
    </row>
    <row r="2111" spans="1:12" x14ac:dyDescent="0.25">
      <c r="A2111" s="1">
        <v>43304</v>
      </c>
      <c r="B2111" s="6">
        <v>227.60470000000001</v>
      </c>
      <c r="C2111" s="6">
        <v>17.5275</v>
      </c>
      <c r="D2111" s="6">
        <v>10946.89</v>
      </c>
      <c r="E2111" s="6">
        <v>0.66</v>
      </c>
      <c r="F2111" s="6">
        <f t="shared" si="224"/>
        <v>7.3333333333333341E-3</v>
      </c>
      <c r="G2111">
        <f t="shared" si="225"/>
        <v>1.4736559588014855</v>
      </c>
      <c r="H2111">
        <f t="shared" si="226"/>
        <v>2.241108771356739</v>
      </c>
      <c r="I2111">
        <f t="shared" si="227"/>
        <v>0.13519805417251413</v>
      </c>
      <c r="J2111">
        <f t="shared" si="228"/>
        <v>1.0317429549673289</v>
      </c>
      <c r="K2111">
        <f t="shared" si="229"/>
        <v>1.4663226254681521</v>
      </c>
      <c r="L2111">
        <f t="shared" si="230"/>
        <v>0.1278647208391808</v>
      </c>
    </row>
    <row r="2112" spans="1:12" x14ac:dyDescent="0.25">
      <c r="A2112" s="1">
        <v>43305</v>
      </c>
      <c r="B2112" s="6">
        <v>227.60470000000001</v>
      </c>
      <c r="C2112" s="6">
        <v>17.479500000000002</v>
      </c>
      <c r="D2112" s="6">
        <v>10995.39</v>
      </c>
      <c r="E2112" s="6">
        <v>0.66</v>
      </c>
      <c r="F2112" s="6">
        <f t="shared" si="224"/>
        <v>7.3333333333333341E-3</v>
      </c>
      <c r="G2112">
        <f t="shared" si="225"/>
        <v>0</v>
      </c>
      <c r="H2112">
        <f t="shared" si="226"/>
        <v>-0.27385537013263883</v>
      </c>
      <c r="I2112">
        <f t="shared" si="227"/>
        <v>0.44304820821256086</v>
      </c>
      <c r="J2112">
        <f t="shared" si="228"/>
        <v>-5.1599251567697223E-3</v>
      </c>
      <c r="K2112">
        <f t="shared" si="229"/>
        <v>-7.3333333333333341E-3</v>
      </c>
      <c r="L2112">
        <f t="shared" si="230"/>
        <v>0.4357148748792275</v>
      </c>
    </row>
    <row r="2113" spans="1:12" x14ac:dyDescent="0.25">
      <c r="A2113" s="1">
        <v>43306</v>
      </c>
      <c r="B2113" s="6">
        <v>227.13249999999999</v>
      </c>
      <c r="C2113" s="6">
        <v>17.479500000000002</v>
      </c>
      <c r="D2113" s="6">
        <v>10965.79</v>
      </c>
      <c r="E2113" s="6">
        <v>0.66</v>
      </c>
      <c r="F2113" s="6">
        <f t="shared" si="224"/>
        <v>7.3333333333333341E-3</v>
      </c>
      <c r="G2113">
        <f t="shared" si="225"/>
        <v>-0.20746496008211388</v>
      </c>
      <c r="H2113">
        <f t="shared" si="226"/>
        <v>0</v>
      </c>
      <c r="I2113">
        <f t="shared" si="227"/>
        <v>-0.26920372992680158</v>
      </c>
      <c r="J2113">
        <f t="shared" si="228"/>
        <v>-0.15113769788530501</v>
      </c>
      <c r="K2113">
        <f t="shared" si="229"/>
        <v>-0.21479829341544721</v>
      </c>
      <c r="L2113">
        <f t="shared" si="230"/>
        <v>-0.27653706326013494</v>
      </c>
    </row>
    <row r="2114" spans="1:12" x14ac:dyDescent="0.25">
      <c r="A2114" s="1">
        <v>43307</v>
      </c>
      <c r="B2114" s="6">
        <v>227.60470000000001</v>
      </c>
      <c r="C2114" s="6">
        <v>16.807200000000002</v>
      </c>
      <c r="D2114" s="6">
        <v>11010.61</v>
      </c>
      <c r="E2114" s="6">
        <v>0.66</v>
      </c>
      <c r="F2114" s="6">
        <f t="shared" si="224"/>
        <v>7.3333333333333341E-3</v>
      </c>
      <c r="G2114">
        <f t="shared" si="225"/>
        <v>0.20789627199983052</v>
      </c>
      <c r="H2114">
        <f t="shared" si="226"/>
        <v>-3.8462198575474118</v>
      </c>
      <c r="I2114">
        <f t="shared" si="227"/>
        <v>0.40872568232657841</v>
      </c>
      <c r="J2114">
        <f t="shared" si="228"/>
        <v>0.14112132991921658</v>
      </c>
      <c r="K2114">
        <f t="shared" si="229"/>
        <v>0.20056293866649719</v>
      </c>
      <c r="L2114">
        <f t="shared" si="230"/>
        <v>0.40139234899324505</v>
      </c>
    </row>
    <row r="2115" spans="1:12" x14ac:dyDescent="0.25">
      <c r="A2115" s="1">
        <v>43308</v>
      </c>
      <c r="B2115" s="6">
        <v>230.9102</v>
      </c>
      <c r="C2115" s="6">
        <v>16.615100000000002</v>
      </c>
      <c r="D2115" s="6">
        <v>11075.78</v>
      </c>
      <c r="E2115" s="6">
        <v>0.66</v>
      </c>
      <c r="F2115" s="6">
        <f t="shared" ref="F2115:F2178" si="231">E2115/90</f>
        <v>7.3333333333333341E-3</v>
      </c>
      <c r="G2115">
        <f t="shared" si="225"/>
        <v>1.4522986563985696</v>
      </c>
      <c r="H2115">
        <f t="shared" si="226"/>
        <v>-1.1429625398638674</v>
      </c>
      <c r="I2115">
        <f t="shared" si="227"/>
        <v>0.59188364677343097</v>
      </c>
      <c r="J2115">
        <f t="shared" si="228"/>
        <v>1.0167153983378456</v>
      </c>
      <c r="K2115">
        <f t="shared" si="229"/>
        <v>1.4449653230652362</v>
      </c>
      <c r="L2115">
        <f t="shared" si="230"/>
        <v>0.58455031344009767</v>
      </c>
    </row>
    <row r="2116" spans="1:12" x14ac:dyDescent="0.25">
      <c r="A2116" s="1">
        <v>43311</v>
      </c>
      <c r="B2116" s="6">
        <v>231.8546</v>
      </c>
      <c r="C2116" s="6">
        <v>16.519100000000002</v>
      </c>
      <c r="D2116" s="6">
        <v>11033.54</v>
      </c>
      <c r="E2116" s="6">
        <v>0.66</v>
      </c>
      <c r="F2116" s="6">
        <f t="shared" si="231"/>
        <v>7.3333333333333341E-3</v>
      </c>
      <c r="G2116">
        <f t="shared" ref="G2116:G2179" si="232">100*(B2116-B2115)/B2115</f>
        <v>0.4089901615433193</v>
      </c>
      <c r="H2116">
        <f t="shared" ref="H2116:H2179" si="233">100*(C2116-C2115)/C2115</f>
        <v>-0.57778767506665674</v>
      </c>
      <c r="I2116">
        <f t="shared" ref="I2116:I2179" si="234">100*(D2116-D2115)/D2115</f>
        <v>-0.38137268887608622</v>
      </c>
      <c r="J2116">
        <f t="shared" ref="J2116:J2179" si="235">(G2116-F2116)/$N$3</f>
        <v>0.28261625076396013</v>
      </c>
      <c r="K2116">
        <f t="shared" ref="K2116:K2179" si="236">G2116-F2116</f>
        <v>0.40165682820998594</v>
      </c>
      <c r="L2116">
        <f t="shared" ref="L2116:L2179" si="237">I2116-F2116</f>
        <v>-0.38870602220941958</v>
      </c>
    </row>
    <row r="2117" spans="1:12" x14ac:dyDescent="0.25">
      <c r="A2117" s="1">
        <v>43312</v>
      </c>
      <c r="B2117" s="6">
        <v>232.32679999999999</v>
      </c>
      <c r="C2117" s="6">
        <v>16.8552</v>
      </c>
      <c r="D2117" s="6">
        <v>11057.51</v>
      </c>
      <c r="E2117" s="6">
        <v>0.66</v>
      </c>
      <c r="F2117" s="6">
        <f t="shared" si="231"/>
        <v>7.3333333333333341E-3</v>
      </c>
      <c r="G2117">
        <f t="shared" si="232"/>
        <v>0.20366212272691014</v>
      </c>
      <c r="H2117">
        <f t="shared" si="233"/>
        <v>2.0346144765755896</v>
      </c>
      <c r="I2117">
        <f t="shared" si="234"/>
        <v>0.21724668601373034</v>
      </c>
      <c r="J2117">
        <f t="shared" si="235"/>
        <v>0.13814207173500839</v>
      </c>
      <c r="K2117">
        <f t="shared" si="236"/>
        <v>0.19632878939357681</v>
      </c>
      <c r="L2117">
        <f t="shared" si="237"/>
        <v>0.20991335268039701</v>
      </c>
    </row>
    <row r="2118" spans="1:12" x14ac:dyDescent="0.25">
      <c r="A2118" s="1">
        <v>43313</v>
      </c>
      <c r="B2118" s="6">
        <v>234.2157</v>
      </c>
      <c r="C2118" s="6">
        <v>16.711099999999998</v>
      </c>
      <c r="D2118" s="6">
        <v>11098.13</v>
      </c>
      <c r="E2118" s="6">
        <v>0.66</v>
      </c>
      <c r="F2118" s="6">
        <f t="shared" si="231"/>
        <v>7.3333333333333341E-3</v>
      </c>
      <c r="G2118">
        <f t="shared" si="232"/>
        <v>0.81303577546800743</v>
      </c>
      <c r="H2118">
        <f t="shared" si="233"/>
        <v>-0.85492904266933456</v>
      </c>
      <c r="I2118">
        <f t="shared" si="234"/>
        <v>0.36735214347533018</v>
      </c>
      <c r="J2118">
        <f t="shared" si="235"/>
        <v>0.56691331364202358</v>
      </c>
      <c r="K2118">
        <f t="shared" si="236"/>
        <v>0.80570244213467412</v>
      </c>
      <c r="L2118">
        <f t="shared" si="237"/>
        <v>0.36001881014199683</v>
      </c>
    </row>
    <row r="2119" spans="1:12" x14ac:dyDescent="0.25">
      <c r="A2119" s="1">
        <v>43314</v>
      </c>
      <c r="B2119" s="6">
        <v>230.9102</v>
      </c>
      <c r="C2119" s="6">
        <v>16.615100000000002</v>
      </c>
      <c r="D2119" s="6">
        <v>10929.77</v>
      </c>
      <c r="E2119" s="6">
        <v>0.66</v>
      </c>
      <c r="F2119" s="6">
        <f t="shared" si="231"/>
        <v>7.3333333333333341E-3</v>
      </c>
      <c r="G2119">
        <f t="shared" si="232"/>
        <v>-1.4113059030628583</v>
      </c>
      <c r="H2119">
        <f t="shared" si="233"/>
        <v>-0.57446846706677923</v>
      </c>
      <c r="I2119">
        <f t="shared" si="234"/>
        <v>-1.5170123254998704</v>
      </c>
      <c r="J2119">
        <f t="shared" si="235"/>
        <v>-0.99819167512654061</v>
      </c>
      <c r="K2119">
        <f t="shared" si="236"/>
        <v>-1.4186392363961917</v>
      </c>
      <c r="L2119">
        <f t="shared" si="237"/>
        <v>-1.5243456588332038</v>
      </c>
    </row>
    <row r="2120" spans="1:12" x14ac:dyDescent="0.25">
      <c r="A2120" s="1">
        <v>43315</v>
      </c>
      <c r="B2120" s="6">
        <v>233.27119999999999</v>
      </c>
      <c r="C2120" s="6">
        <v>16.999300000000002</v>
      </c>
      <c r="D2120" s="6">
        <v>11012.43</v>
      </c>
      <c r="E2120" s="6">
        <v>0.66</v>
      </c>
      <c r="F2120" s="6">
        <f t="shared" si="231"/>
        <v>7.3333333333333341E-3</v>
      </c>
      <c r="G2120">
        <f t="shared" si="232"/>
        <v>1.0224754038582922</v>
      </c>
      <c r="H2120">
        <f t="shared" si="233"/>
        <v>2.3123544245896794</v>
      </c>
      <c r="I2120">
        <f t="shared" si="234"/>
        <v>0.75628306908562437</v>
      </c>
      <c r="J2120">
        <f t="shared" si="235"/>
        <v>0.7142805146450506</v>
      </c>
      <c r="K2120">
        <f t="shared" si="236"/>
        <v>1.0151420705249588</v>
      </c>
      <c r="L2120">
        <f t="shared" si="237"/>
        <v>0.74894973575229107</v>
      </c>
    </row>
    <row r="2121" spans="1:12" x14ac:dyDescent="0.25">
      <c r="A2121" s="1">
        <v>43318</v>
      </c>
      <c r="B2121" s="6">
        <v>231.8546</v>
      </c>
      <c r="C2121" s="6">
        <v>17.2394</v>
      </c>
      <c r="D2121" s="6">
        <v>11024.1</v>
      </c>
      <c r="E2121" s="6">
        <v>0.66</v>
      </c>
      <c r="F2121" s="6">
        <f t="shared" si="231"/>
        <v>7.3333333333333341E-3</v>
      </c>
      <c r="G2121">
        <f t="shared" si="232"/>
        <v>-0.60727599463628101</v>
      </c>
      <c r="H2121">
        <f t="shared" si="233"/>
        <v>1.4124110992805479</v>
      </c>
      <c r="I2121">
        <f t="shared" si="234"/>
        <v>0.10597116167821337</v>
      </c>
      <c r="J2121">
        <f t="shared" si="235"/>
        <v>-0.43245519995123805</v>
      </c>
      <c r="K2121">
        <f t="shared" si="236"/>
        <v>-0.61460932796961432</v>
      </c>
      <c r="L2121">
        <f t="shared" si="237"/>
        <v>9.8637828344880038E-2</v>
      </c>
    </row>
    <row r="2122" spans="1:12" x14ac:dyDescent="0.25">
      <c r="A2122" s="1">
        <v>43319</v>
      </c>
      <c r="B2122" s="6">
        <v>228.07689999999999</v>
      </c>
      <c r="C2122" s="6">
        <v>17.1433</v>
      </c>
      <c r="D2122" s="6">
        <v>10983.44</v>
      </c>
      <c r="E2122" s="6">
        <v>0.66</v>
      </c>
      <c r="F2122" s="6">
        <f t="shared" si="231"/>
        <v>7.3333333333333341E-3</v>
      </c>
      <c r="G2122">
        <f t="shared" si="232"/>
        <v>-1.6293401122945199</v>
      </c>
      <c r="H2122">
        <f t="shared" si="233"/>
        <v>-0.55744399457057581</v>
      </c>
      <c r="I2122">
        <f t="shared" si="234"/>
        <v>-0.3688282943732355</v>
      </c>
      <c r="J2122">
        <f t="shared" si="235"/>
        <v>-1.1516062480243829</v>
      </c>
      <c r="K2122">
        <f t="shared" si="236"/>
        <v>-1.6366734456278533</v>
      </c>
      <c r="L2122">
        <f t="shared" si="237"/>
        <v>-0.37616162770656886</v>
      </c>
    </row>
    <row r="2123" spans="1:12" x14ac:dyDescent="0.25">
      <c r="A2123" s="1">
        <v>43320</v>
      </c>
      <c r="B2123" s="6">
        <v>233.74350000000001</v>
      </c>
      <c r="C2123" s="6">
        <v>17.2394</v>
      </c>
      <c r="D2123" s="6">
        <v>11075.25</v>
      </c>
      <c r="E2123" s="6">
        <v>0.66</v>
      </c>
      <c r="F2123" s="6">
        <f t="shared" si="231"/>
        <v>7.3333333333333341E-3</v>
      </c>
      <c r="G2123">
        <f t="shared" si="232"/>
        <v>2.484512898938918</v>
      </c>
      <c r="H2123">
        <f t="shared" si="233"/>
        <v>0.56056885197132322</v>
      </c>
      <c r="I2123">
        <f t="shared" si="234"/>
        <v>0.83589476521016626</v>
      </c>
      <c r="J2123">
        <f t="shared" si="235"/>
        <v>1.7430083397823839</v>
      </c>
      <c r="K2123">
        <f t="shared" si="236"/>
        <v>2.4771795656055846</v>
      </c>
      <c r="L2123">
        <f t="shared" si="237"/>
        <v>0.82856143187683295</v>
      </c>
    </row>
    <row r="2124" spans="1:12" x14ac:dyDescent="0.25">
      <c r="A2124" s="1">
        <v>43321</v>
      </c>
      <c r="B2124" s="6">
        <v>233.27119999999999</v>
      </c>
      <c r="C2124" s="6">
        <v>17.1433</v>
      </c>
      <c r="D2124" s="6">
        <v>11028.07</v>
      </c>
      <c r="E2124" s="6">
        <v>0.66</v>
      </c>
      <c r="F2124" s="6">
        <f t="shared" si="231"/>
        <v>7.3333333333333341E-3</v>
      </c>
      <c r="G2124">
        <f t="shared" si="232"/>
        <v>-0.20205909469141103</v>
      </c>
      <c r="H2124">
        <f t="shared" si="233"/>
        <v>-0.55744399457057581</v>
      </c>
      <c r="I2124">
        <f t="shared" si="234"/>
        <v>-0.42599489853502442</v>
      </c>
      <c r="J2124">
        <f t="shared" si="235"/>
        <v>-0.14733398959117797</v>
      </c>
      <c r="K2124">
        <f t="shared" si="236"/>
        <v>-0.20939242802474436</v>
      </c>
      <c r="L2124">
        <f t="shared" si="237"/>
        <v>-0.43332823186835778</v>
      </c>
    </row>
    <row r="2125" spans="1:12" x14ac:dyDescent="0.25">
      <c r="A2125" s="1">
        <v>43322</v>
      </c>
      <c r="B2125" s="6">
        <v>231.38239999999999</v>
      </c>
      <c r="C2125" s="6">
        <v>17.2394</v>
      </c>
      <c r="D2125" s="6">
        <v>10983.68</v>
      </c>
      <c r="E2125" s="6">
        <v>0.66</v>
      </c>
      <c r="F2125" s="6">
        <f t="shared" si="231"/>
        <v>7.3333333333333341E-3</v>
      </c>
      <c r="G2125">
        <f t="shared" si="232"/>
        <v>-0.80970132618171609</v>
      </c>
      <c r="H2125">
        <f t="shared" si="233"/>
        <v>0.56056885197132322</v>
      </c>
      <c r="I2125">
        <f t="shared" si="234"/>
        <v>-0.40251830102637559</v>
      </c>
      <c r="J2125">
        <f t="shared" si="235"/>
        <v>-0.5748869582160665</v>
      </c>
      <c r="K2125">
        <f t="shared" si="236"/>
        <v>-0.81703465951504939</v>
      </c>
      <c r="L2125">
        <f t="shared" si="237"/>
        <v>-0.40985163435970895</v>
      </c>
    </row>
    <row r="2126" spans="1:12" x14ac:dyDescent="0.25">
      <c r="A2126" s="1">
        <v>43325</v>
      </c>
      <c r="B2126" s="6">
        <v>227.13249999999999</v>
      </c>
      <c r="C2126" s="6">
        <v>16.615100000000002</v>
      </c>
      <c r="D2126" s="6">
        <v>10748.92</v>
      </c>
      <c r="E2126" s="6">
        <v>0.66</v>
      </c>
      <c r="F2126" s="6">
        <f t="shared" si="231"/>
        <v>7.3333333333333341E-3</v>
      </c>
      <c r="G2126">
        <f t="shared" si="232"/>
        <v>-1.836742984773257</v>
      </c>
      <c r="H2126">
        <f t="shared" si="233"/>
        <v>-3.6213557316379807</v>
      </c>
      <c r="I2126">
        <f t="shared" si="234"/>
        <v>-2.1373528726255699</v>
      </c>
      <c r="J2126">
        <f t="shared" si="235"/>
        <v>-1.2975403342911109</v>
      </c>
      <c r="K2126">
        <f t="shared" si="236"/>
        <v>-1.8440763181065905</v>
      </c>
      <c r="L2126">
        <f t="shared" si="237"/>
        <v>-2.1446862059589034</v>
      </c>
    </row>
    <row r="2127" spans="1:12" x14ac:dyDescent="0.25">
      <c r="A2127" s="1">
        <v>43326</v>
      </c>
      <c r="B2127" s="6">
        <v>229.9658</v>
      </c>
      <c r="C2127" s="6">
        <v>16.711099999999998</v>
      </c>
      <c r="D2127" s="6">
        <v>10824.23</v>
      </c>
      <c r="E2127" s="6">
        <v>0.66</v>
      </c>
      <c r="F2127" s="6">
        <f t="shared" si="231"/>
        <v>7.3333333333333341E-3</v>
      </c>
      <c r="G2127">
        <f t="shared" si="232"/>
        <v>1.2474216591637077</v>
      </c>
      <c r="H2127">
        <f t="shared" si="233"/>
        <v>0.57778767506663531</v>
      </c>
      <c r="I2127">
        <f t="shared" si="234"/>
        <v>0.70062852826143918</v>
      </c>
      <c r="J2127">
        <f t="shared" si="235"/>
        <v>0.87255858396389951</v>
      </c>
      <c r="K2127">
        <f t="shared" si="236"/>
        <v>1.2400883258303743</v>
      </c>
      <c r="L2127">
        <f t="shared" si="237"/>
        <v>0.69329519492810587</v>
      </c>
    </row>
    <row r="2128" spans="1:12" x14ac:dyDescent="0.25">
      <c r="A2128" s="1">
        <v>43327</v>
      </c>
      <c r="B2128" s="6">
        <v>228.07689999999999</v>
      </c>
      <c r="C2128" s="6">
        <v>16.2789</v>
      </c>
      <c r="D2128" s="6">
        <v>10716.75</v>
      </c>
      <c r="E2128" s="6">
        <v>0.66</v>
      </c>
      <c r="F2128" s="6">
        <f t="shared" si="231"/>
        <v>7.3333333333333341E-3</v>
      </c>
      <c r="G2128">
        <f t="shared" si="232"/>
        <v>-0.82138300564692956</v>
      </c>
      <c r="H2128">
        <f t="shared" si="233"/>
        <v>-2.586304911106978</v>
      </c>
      <c r="I2128">
        <f t="shared" si="234"/>
        <v>-0.99295746672049257</v>
      </c>
      <c r="J2128">
        <f t="shared" si="235"/>
        <v>-0.58310649345414045</v>
      </c>
      <c r="K2128">
        <f t="shared" si="236"/>
        <v>-0.82871633898026287</v>
      </c>
      <c r="L2128">
        <f t="shared" si="237"/>
        <v>-1.000290800053826</v>
      </c>
    </row>
    <row r="2129" spans="1:12" x14ac:dyDescent="0.25">
      <c r="A2129" s="1">
        <v>43328</v>
      </c>
      <c r="B2129" s="6">
        <v>225.7159</v>
      </c>
      <c r="C2129" s="6">
        <v>16.471</v>
      </c>
      <c r="D2129" s="6">
        <v>10683.9</v>
      </c>
      <c r="E2129" s="6">
        <v>0.66</v>
      </c>
      <c r="F2129" s="6">
        <f t="shared" si="231"/>
        <v>7.3333333333333341E-3</v>
      </c>
      <c r="G2129">
        <f t="shared" si="232"/>
        <v>-1.0351771705069606</v>
      </c>
      <c r="H2129">
        <f t="shared" si="233"/>
        <v>1.1800551634324183</v>
      </c>
      <c r="I2129">
        <f t="shared" si="234"/>
        <v>-0.30652949821541386</v>
      </c>
      <c r="J2129">
        <f t="shared" si="235"/>
        <v>-0.73353766022211964</v>
      </c>
      <c r="K2129">
        <f t="shared" si="236"/>
        <v>-1.042510503840294</v>
      </c>
      <c r="L2129">
        <f t="shared" si="237"/>
        <v>-0.31386283154874722</v>
      </c>
    </row>
    <row r="2130" spans="1:12" x14ac:dyDescent="0.25">
      <c r="A2130" s="1">
        <v>43329</v>
      </c>
      <c r="B2130" s="6">
        <v>226.18809999999999</v>
      </c>
      <c r="C2130" s="6">
        <v>16.519100000000002</v>
      </c>
      <c r="D2130" s="6">
        <v>10690.96</v>
      </c>
      <c r="E2130" s="6">
        <v>0.66</v>
      </c>
      <c r="F2130" s="6">
        <f t="shared" si="231"/>
        <v>7.3333333333333341E-3</v>
      </c>
      <c r="G2130">
        <f t="shared" si="232"/>
        <v>0.20920103546094299</v>
      </c>
      <c r="H2130">
        <f t="shared" si="233"/>
        <v>0.2920284135753845</v>
      </c>
      <c r="I2130">
        <f t="shared" si="234"/>
        <v>6.6080738307167708E-2</v>
      </c>
      <c r="J2130">
        <f t="shared" si="235"/>
        <v>0.14203939562012041</v>
      </c>
      <c r="K2130">
        <f t="shared" si="236"/>
        <v>0.20186770212760966</v>
      </c>
      <c r="L2130">
        <f t="shared" si="237"/>
        <v>5.8747404973834377E-2</v>
      </c>
    </row>
    <row r="2131" spans="1:12" x14ac:dyDescent="0.25">
      <c r="A2131" s="1">
        <v>43332</v>
      </c>
      <c r="B2131" s="6">
        <v>226.18809999999999</v>
      </c>
      <c r="C2131" s="6">
        <v>16.8552</v>
      </c>
      <c r="D2131" s="6">
        <v>10699.05</v>
      </c>
      <c r="E2131" s="6">
        <v>0.66</v>
      </c>
      <c r="F2131" s="6">
        <f t="shared" si="231"/>
        <v>7.3333333333333341E-3</v>
      </c>
      <c r="G2131">
        <f t="shared" si="232"/>
        <v>0</v>
      </c>
      <c r="H2131">
        <f t="shared" si="233"/>
        <v>2.0346144765755896</v>
      </c>
      <c r="I2131">
        <f t="shared" si="234"/>
        <v>7.5671408367444515E-2</v>
      </c>
      <c r="J2131">
        <f t="shared" si="235"/>
        <v>-5.1599251567697223E-3</v>
      </c>
      <c r="K2131">
        <f t="shared" si="236"/>
        <v>-7.3333333333333341E-3</v>
      </c>
      <c r="L2131">
        <f t="shared" si="237"/>
        <v>6.8338075034111184E-2</v>
      </c>
    </row>
    <row r="2132" spans="1:12" x14ac:dyDescent="0.25">
      <c r="A2132" s="1">
        <v>43333</v>
      </c>
      <c r="B2132" s="6">
        <v>227.60470000000001</v>
      </c>
      <c r="C2132" s="6">
        <v>17.287400000000002</v>
      </c>
      <c r="D2132" s="6">
        <v>10792.2</v>
      </c>
      <c r="E2132" s="6">
        <v>0.66</v>
      </c>
      <c r="F2132" s="6">
        <f t="shared" si="231"/>
        <v>7.3333333333333341E-3</v>
      </c>
      <c r="G2132">
        <f t="shared" si="232"/>
        <v>0.62629289516115871</v>
      </c>
      <c r="H2132">
        <f t="shared" si="233"/>
        <v>2.5641938392899619</v>
      </c>
      <c r="I2132">
        <f t="shared" si="234"/>
        <v>0.87063804730327887</v>
      </c>
      <c r="J2132">
        <f t="shared" si="235"/>
        <v>0.43551613828616731</v>
      </c>
      <c r="K2132">
        <f t="shared" si="236"/>
        <v>0.61895956182782541</v>
      </c>
      <c r="L2132">
        <f t="shared" si="237"/>
        <v>0.86330471396994557</v>
      </c>
    </row>
    <row r="2133" spans="1:12" x14ac:dyDescent="0.25">
      <c r="A2133" s="1">
        <v>43334</v>
      </c>
      <c r="B2133" s="6">
        <v>228.54920000000001</v>
      </c>
      <c r="C2133" s="6">
        <v>16.807200000000002</v>
      </c>
      <c r="D2133" s="6">
        <v>10804.2</v>
      </c>
      <c r="E2133" s="6">
        <v>0.66</v>
      </c>
      <c r="F2133" s="6">
        <f t="shared" si="231"/>
        <v>7.3333333333333341E-3</v>
      </c>
      <c r="G2133">
        <f t="shared" si="232"/>
        <v>0.4149738559880376</v>
      </c>
      <c r="H2133">
        <f t="shared" si="233"/>
        <v>-2.7777456413341506</v>
      </c>
      <c r="I2133">
        <f t="shared" si="234"/>
        <v>0.11119141602268304</v>
      </c>
      <c r="J2133">
        <f t="shared" si="235"/>
        <v>0.28682653469519537</v>
      </c>
      <c r="K2133">
        <f t="shared" si="236"/>
        <v>0.40764052265470424</v>
      </c>
      <c r="L2133">
        <f t="shared" si="237"/>
        <v>0.10385808268934971</v>
      </c>
    </row>
    <row r="2134" spans="1:12" x14ac:dyDescent="0.25">
      <c r="A2134" s="1">
        <v>43335</v>
      </c>
      <c r="B2134" s="6">
        <v>230.9102</v>
      </c>
      <c r="C2134" s="6">
        <v>16.9512</v>
      </c>
      <c r="D2134" s="6">
        <v>10863.13</v>
      </c>
      <c r="E2134" s="6">
        <v>0.66</v>
      </c>
      <c r="F2134" s="6">
        <f t="shared" si="231"/>
        <v>7.3333333333333341E-3</v>
      </c>
      <c r="G2134">
        <f t="shared" si="232"/>
        <v>1.0330379629418918</v>
      </c>
      <c r="H2134">
        <f t="shared" si="233"/>
        <v>0.85677566757103107</v>
      </c>
      <c r="I2134">
        <f t="shared" si="234"/>
        <v>0.5454360341348593</v>
      </c>
      <c r="J2134">
        <f t="shared" si="235"/>
        <v>0.7217126075089596</v>
      </c>
      <c r="K2134">
        <f t="shared" si="236"/>
        <v>1.0257046296085583</v>
      </c>
      <c r="L2134">
        <f t="shared" si="237"/>
        <v>0.538102700801526</v>
      </c>
    </row>
    <row r="2135" spans="1:12" x14ac:dyDescent="0.25">
      <c r="A2135" s="1">
        <v>43336</v>
      </c>
      <c r="B2135" s="6">
        <v>229.9658</v>
      </c>
      <c r="C2135" s="6">
        <v>16.615100000000002</v>
      </c>
      <c r="D2135" s="6">
        <v>10809.35</v>
      </c>
      <c r="E2135" s="6">
        <v>0.66</v>
      </c>
      <c r="F2135" s="6">
        <f t="shared" si="231"/>
        <v>7.3333333333333341E-3</v>
      </c>
      <c r="G2135">
        <f t="shared" si="232"/>
        <v>-0.4089901615433193</v>
      </c>
      <c r="H2135">
        <f t="shared" si="233"/>
        <v>-1.9827504837415539</v>
      </c>
      <c r="I2135">
        <f t="shared" si="234"/>
        <v>-0.49506910071037391</v>
      </c>
      <c r="J2135">
        <f t="shared" si="235"/>
        <v>-0.29293610107749962</v>
      </c>
      <c r="K2135">
        <f t="shared" si="236"/>
        <v>-0.41632349487665266</v>
      </c>
      <c r="L2135">
        <f t="shared" si="237"/>
        <v>-0.50240243404370721</v>
      </c>
    </row>
    <row r="2136" spans="1:12" x14ac:dyDescent="0.25">
      <c r="A2136" s="1">
        <v>43339</v>
      </c>
      <c r="B2136" s="6">
        <v>231.38239999999999</v>
      </c>
      <c r="C2136" s="6">
        <v>16.711099999999998</v>
      </c>
      <c r="D2136" s="6">
        <v>10902.21</v>
      </c>
      <c r="E2136" s="6">
        <v>0.66</v>
      </c>
      <c r="F2136" s="6">
        <f t="shared" si="231"/>
        <v>7.3333333333333341E-3</v>
      </c>
      <c r="G2136">
        <f t="shared" si="232"/>
        <v>0.61600464069004535</v>
      </c>
      <c r="H2136">
        <f t="shared" si="233"/>
        <v>0.57778767506663531</v>
      </c>
      <c r="I2136">
        <f t="shared" si="234"/>
        <v>0.85907108197994109</v>
      </c>
      <c r="J2136">
        <f t="shared" si="235"/>
        <v>0.42827705332279281</v>
      </c>
      <c r="K2136">
        <f t="shared" si="236"/>
        <v>0.60867130735671204</v>
      </c>
      <c r="L2136">
        <f t="shared" si="237"/>
        <v>0.85173774864660778</v>
      </c>
    </row>
    <row r="2137" spans="1:12" x14ac:dyDescent="0.25">
      <c r="A2137" s="1">
        <v>43340</v>
      </c>
      <c r="B2137" s="6">
        <v>235.63229999999999</v>
      </c>
      <c r="C2137" s="6">
        <v>16.807200000000002</v>
      </c>
      <c r="D2137" s="6">
        <v>10989.55</v>
      </c>
      <c r="E2137" s="6">
        <v>0.66</v>
      </c>
      <c r="F2137" s="6">
        <f t="shared" si="231"/>
        <v>7.3333333333333341E-3</v>
      </c>
      <c r="G2137">
        <f t="shared" si="232"/>
        <v>1.836742984773257</v>
      </c>
      <c r="H2137">
        <f t="shared" si="233"/>
        <v>0.57506687172001492</v>
      </c>
      <c r="I2137">
        <f t="shared" si="234"/>
        <v>0.80112197435199062</v>
      </c>
      <c r="J2137">
        <f t="shared" si="235"/>
        <v>1.2872204839775714</v>
      </c>
      <c r="K2137">
        <f t="shared" si="236"/>
        <v>1.8294096514399236</v>
      </c>
      <c r="L2137">
        <f t="shared" si="237"/>
        <v>0.79378864101865731</v>
      </c>
    </row>
    <row r="2138" spans="1:12" x14ac:dyDescent="0.25">
      <c r="A2138" s="1">
        <v>43341</v>
      </c>
      <c r="B2138" s="6">
        <v>244.60429999999999</v>
      </c>
      <c r="C2138" s="6">
        <v>16.8552</v>
      </c>
      <c r="D2138" s="6">
        <v>11099.57</v>
      </c>
      <c r="E2138" s="6">
        <v>0.66</v>
      </c>
      <c r="F2138" s="6">
        <f t="shared" si="231"/>
        <v>7.3333333333333341E-3</v>
      </c>
      <c r="G2138">
        <f t="shared" si="232"/>
        <v>3.8076273923396786</v>
      </c>
      <c r="H2138">
        <f t="shared" si="233"/>
        <v>0.28559188919033662</v>
      </c>
      <c r="I2138">
        <f t="shared" si="234"/>
        <v>1.0011328944315321</v>
      </c>
      <c r="J2138">
        <f t="shared" si="235"/>
        <v>2.6739863070258219</v>
      </c>
      <c r="K2138">
        <f t="shared" si="236"/>
        <v>3.8002940590063452</v>
      </c>
      <c r="L2138">
        <f t="shared" si="237"/>
        <v>0.99379956109819878</v>
      </c>
    </row>
    <row r="2139" spans="1:12" x14ac:dyDescent="0.25">
      <c r="A2139" s="1">
        <v>43342</v>
      </c>
      <c r="B2139" s="6">
        <v>248.85409999999999</v>
      </c>
      <c r="C2139" s="6">
        <v>16.6631</v>
      </c>
      <c r="D2139" s="6">
        <v>11093.75</v>
      </c>
      <c r="E2139" s="6">
        <v>0.66</v>
      </c>
      <c r="F2139" s="6">
        <f t="shared" si="231"/>
        <v>7.3333333333333341E-3</v>
      </c>
      <c r="G2139">
        <f t="shared" si="232"/>
        <v>1.7374183528253564</v>
      </c>
      <c r="H2139">
        <f t="shared" si="233"/>
        <v>-1.1397076273197586</v>
      </c>
      <c r="I2139">
        <f t="shared" si="234"/>
        <v>-5.2434463677419114E-2</v>
      </c>
      <c r="J2139">
        <f t="shared" si="235"/>
        <v>1.2173330748309987</v>
      </c>
      <c r="K2139">
        <f t="shared" si="236"/>
        <v>1.730085019492023</v>
      </c>
      <c r="L2139">
        <f t="shared" si="237"/>
        <v>-5.9767797010752452E-2</v>
      </c>
    </row>
    <row r="2140" spans="1:12" x14ac:dyDescent="0.25">
      <c r="A2140" s="1">
        <v>43343</v>
      </c>
      <c r="B2140" s="6">
        <v>241.77099999999999</v>
      </c>
      <c r="C2140" s="6">
        <v>16.6631</v>
      </c>
      <c r="D2140" s="6">
        <v>11063.94</v>
      </c>
      <c r="E2140" s="6">
        <v>0.66</v>
      </c>
      <c r="F2140" s="6">
        <f t="shared" si="231"/>
        <v>7.3333333333333341E-3</v>
      </c>
      <c r="G2140">
        <f t="shared" si="232"/>
        <v>-2.8462862375986582</v>
      </c>
      <c r="H2140">
        <f t="shared" si="233"/>
        <v>0</v>
      </c>
      <c r="I2140">
        <f t="shared" si="234"/>
        <v>-0.26870985915492501</v>
      </c>
      <c r="J2140">
        <f t="shared" si="235"/>
        <v>-2.0078813743503279</v>
      </c>
      <c r="K2140">
        <f t="shared" si="236"/>
        <v>-2.8536195709319916</v>
      </c>
      <c r="L2140">
        <f t="shared" si="237"/>
        <v>-0.27604319248825837</v>
      </c>
    </row>
    <row r="2141" spans="1:12" x14ac:dyDescent="0.25">
      <c r="A2141" s="1">
        <v>43346</v>
      </c>
      <c r="B2141" s="6">
        <v>242.71539999999999</v>
      </c>
      <c r="C2141" s="6">
        <v>16.422999999999998</v>
      </c>
      <c r="D2141" s="6">
        <v>10964.22</v>
      </c>
      <c r="E2141" s="6">
        <v>0.66</v>
      </c>
      <c r="F2141" s="6">
        <f t="shared" si="231"/>
        <v>7.3333333333333341E-3</v>
      </c>
      <c r="G2141">
        <f t="shared" si="232"/>
        <v>0.39061756786380575</v>
      </c>
      <c r="H2141">
        <f t="shared" si="233"/>
        <v>-1.4409083543878496</v>
      </c>
      <c r="I2141">
        <f t="shared" si="234"/>
        <v>-0.9013064062169639</v>
      </c>
      <c r="J2141">
        <f t="shared" si="235"/>
        <v>0.26968881326550143</v>
      </c>
      <c r="K2141">
        <f t="shared" si="236"/>
        <v>0.38328423453047239</v>
      </c>
      <c r="L2141">
        <f t="shared" si="237"/>
        <v>-0.9086397395502972</v>
      </c>
    </row>
    <row r="2142" spans="1:12" x14ac:dyDescent="0.25">
      <c r="A2142" s="1">
        <v>43347</v>
      </c>
      <c r="B2142" s="6">
        <v>243.1876</v>
      </c>
      <c r="C2142" s="6">
        <v>16.519100000000002</v>
      </c>
      <c r="D2142" s="6">
        <v>11021.38</v>
      </c>
      <c r="E2142" s="6">
        <v>0.66</v>
      </c>
      <c r="F2142" s="6">
        <f t="shared" si="231"/>
        <v>7.3333333333333341E-3</v>
      </c>
      <c r="G2142">
        <f t="shared" si="232"/>
        <v>0.1945488419770707</v>
      </c>
      <c r="H2142">
        <f t="shared" si="233"/>
        <v>0.58515496559704938</v>
      </c>
      <c r="I2142">
        <f t="shared" si="234"/>
        <v>0.52133211482440023</v>
      </c>
      <c r="J2142">
        <f t="shared" si="235"/>
        <v>0.13172972901658089</v>
      </c>
      <c r="K2142">
        <f t="shared" si="236"/>
        <v>0.18721550864373737</v>
      </c>
      <c r="L2142">
        <f t="shared" si="237"/>
        <v>0.51399878149106693</v>
      </c>
    </row>
    <row r="2143" spans="1:12" x14ac:dyDescent="0.25">
      <c r="A2143" s="1">
        <v>43348</v>
      </c>
      <c r="B2143" s="6">
        <v>249.32640000000001</v>
      </c>
      <c r="C2143" s="6">
        <v>16.327000000000002</v>
      </c>
      <c r="D2143" s="6">
        <v>10995.13</v>
      </c>
      <c r="E2143" s="6">
        <v>0.66</v>
      </c>
      <c r="F2143" s="6">
        <f t="shared" si="231"/>
        <v>7.3333333333333341E-3</v>
      </c>
      <c r="G2143">
        <f t="shared" si="232"/>
        <v>2.5243063379876292</v>
      </c>
      <c r="H2143">
        <f t="shared" si="233"/>
        <v>-1.1628962836958425</v>
      </c>
      <c r="I2143">
        <f t="shared" si="234"/>
        <v>-0.23817344107543703</v>
      </c>
      <c r="J2143">
        <f t="shared" si="235"/>
        <v>1.7710080444035421</v>
      </c>
      <c r="K2143">
        <f t="shared" si="236"/>
        <v>2.5169730046542957</v>
      </c>
      <c r="L2143">
        <f t="shared" si="237"/>
        <v>-0.24550677440877036</v>
      </c>
    </row>
    <row r="2144" spans="1:12" x14ac:dyDescent="0.25">
      <c r="A2144" s="1">
        <v>43349</v>
      </c>
      <c r="B2144" s="6">
        <v>246.4931</v>
      </c>
      <c r="C2144" s="6">
        <v>16.230899999999998</v>
      </c>
      <c r="D2144" s="6">
        <v>10924.3</v>
      </c>
      <c r="E2144" s="6">
        <v>0.66</v>
      </c>
      <c r="F2144" s="6">
        <f t="shared" si="231"/>
        <v>7.3333333333333341E-3</v>
      </c>
      <c r="G2144">
        <f t="shared" si="232"/>
        <v>-1.1363818673032653</v>
      </c>
      <c r="H2144">
        <f t="shared" si="233"/>
        <v>-0.58859557787715677</v>
      </c>
      <c r="I2144">
        <f t="shared" si="234"/>
        <v>-0.64419429329166578</v>
      </c>
      <c r="J2144">
        <f t="shared" si="235"/>
        <v>-0.80474793217427942</v>
      </c>
      <c r="K2144">
        <f t="shared" si="236"/>
        <v>-1.1437152006365987</v>
      </c>
      <c r="L2144">
        <f t="shared" si="237"/>
        <v>-0.65152762662499908</v>
      </c>
    </row>
    <row r="2145" spans="1:12" x14ac:dyDescent="0.25">
      <c r="A2145" s="1">
        <v>43350</v>
      </c>
      <c r="B2145" s="6">
        <v>249.32640000000001</v>
      </c>
      <c r="C2145" s="6">
        <v>15.6547</v>
      </c>
      <c r="D2145" s="6">
        <v>10846.99</v>
      </c>
      <c r="E2145" s="6">
        <v>0.66</v>
      </c>
      <c r="F2145" s="6">
        <f t="shared" si="231"/>
        <v>7.3333333333333341E-3</v>
      </c>
      <c r="G2145">
        <f t="shared" si="232"/>
        <v>1.1494439398100833</v>
      </c>
      <c r="H2145">
        <f t="shared" si="233"/>
        <v>-3.5500187913177847</v>
      </c>
      <c r="I2145">
        <f t="shared" si="234"/>
        <v>-0.7076883644718609</v>
      </c>
      <c r="J2145">
        <f t="shared" si="235"/>
        <v>0.80361889775085082</v>
      </c>
      <c r="K2145">
        <f t="shared" si="236"/>
        <v>1.1421106064767499</v>
      </c>
      <c r="L2145">
        <f t="shared" si="237"/>
        <v>-0.7150216978051942</v>
      </c>
    </row>
    <row r="2146" spans="1:12" x14ac:dyDescent="0.25">
      <c r="A2146" s="1">
        <v>43353</v>
      </c>
      <c r="B2146" s="6">
        <v>249.79859999999999</v>
      </c>
      <c r="C2146" s="6">
        <v>14.9344</v>
      </c>
      <c r="D2146" s="6">
        <v>10725.8</v>
      </c>
      <c r="E2146" s="6">
        <v>0.66</v>
      </c>
      <c r="F2146" s="6">
        <f t="shared" si="231"/>
        <v>7.3333333333333341E-3</v>
      </c>
      <c r="G2146">
        <f t="shared" si="232"/>
        <v>0.18939029320600892</v>
      </c>
      <c r="H2146">
        <f t="shared" si="233"/>
        <v>-4.6011740882929724</v>
      </c>
      <c r="I2146">
        <f t="shared" si="234"/>
        <v>-1.1172684772457659</v>
      </c>
      <c r="J2146">
        <f t="shared" si="235"/>
        <v>0.12810003916527743</v>
      </c>
      <c r="K2146">
        <f t="shared" si="236"/>
        <v>0.18205695987267559</v>
      </c>
      <c r="L2146">
        <f t="shared" si="237"/>
        <v>-1.1246018105790994</v>
      </c>
    </row>
    <row r="2147" spans="1:12" x14ac:dyDescent="0.25">
      <c r="A2147" s="1">
        <v>43354</v>
      </c>
      <c r="B2147" s="6">
        <v>245.5487</v>
      </c>
      <c r="C2147" s="6">
        <v>15.0304</v>
      </c>
      <c r="D2147" s="6">
        <v>10752.3</v>
      </c>
      <c r="E2147" s="6">
        <v>0.66</v>
      </c>
      <c r="F2147" s="6">
        <f t="shared" si="231"/>
        <v>7.3333333333333341E-3</v>
      </c>
      <c r="G2147">
        <f t="shared" si="232"/>
        <v>-1.7013305919248534</v>
      </c>
      <c r="H2147">
        <f t="shared" si="233"/>
        <v>0.64281122776944566</v>
      </c>
      <c r="I2147">
        <f t="shared" si="234"/>
        <v>0.24706781778515358</v>
      </c>
      <c r="J2147">
        <f t="shared" si="235"/>
        <v>-1.2022606326006298</v>
      </c>
      <c r="K2147">
        <f t="shared" si="236"/>
        <v>-1.7086639252581868</v>
      </c>
      <c r="L2147">
        <f t="shared" si="237"/>
        <v>0.23973448445182025</v>
      </c>
    </row>
    <row r="2148" spans="1:12" x14ac:dyDescent="0.25">
      <c r="A2148" s="1">
        <v>43355</v>
      </c>
      <c r="B2148" s="6">
        <v>246.02090000000001</v>
      </c>
      <c r="C2148" s="6">
        <v>14.7903</v>
      </c>
      <c r="D2148" s="6">
        <v>10722.57</v>
      </c>
      <c r="E2148" s="6">
        <v>0.66</v>
      </c>
      <c r="F2148" s="6">
        <f t="shared" si="231"/>
        <v>7.3333333333333341E-3</v>
      </c>
      <c r="G2148">
        <f t="shared" si="232"/>
        <v>0.19230401138349137</v>
      </c>
      <c r="H2148">
        <f t="shared" si="233"/>
        <v>-1.5974292101341281</v>
      </c>
      <c r="I2148">
        <f t="shared" si="234"/>
        <v>-0.27649898161323222</v>
      </c>
      <c r="J2148">
        <f t="shared" si="235"/>
        <v>0.13015020749124048</v>
      </c>
      <c r="K2148">
        <f t="shared" si="236"/>
        <v>0.18497067805015804</v>
      </c>
      <c r="L2148">
        <f t="shared" si="237"/>
        <v>-0.28383231494656558</v>
      </c>
    </row>
    <row r="2149" spans="1:12" x14ac:dyDescent="0.25">
      <c r="A2149" s="1">
        <v>43356</v>
      </c>
      <c r="B2149" s="6">
        <v>240.82660000000001</v>
      </c>
      <c r="C2149" s="6">
        <v>14.9824</v>
      </c>
      <c r="D2149" s="6">
        <v>10727.23</v>
      </c>
      <c r="E2149" s="6">
        <v>0.66</v>
      </c>
      <c r="F2149" s="6">
        <f t="shared" si="231"/>
        <v>7.3333333333333341E-3</v>
      </c>
      <c r="G2149">
        <f t="shared" si="232"/>
        <v>-2.1113246882683536</v>
      </c>
      <c r="H2149">
        <f t="shared" si="233"/>
        <v>1.2988242293935885</v>
      </c>
      <c r="I2149">
        <f t="shared" si="234"/>
        <v>4.3459730269887302E-2</v>
      </c>
      <c r="J2149">
        <f t="shared" si="235"/>
        <v>-1.4907432033074337</v>
      </c>
      <c r="K2149">
        <f t="shared" si="236"/>
        <v>-2.118658021601687</v>
      </c>
      <c r="L2149">
        <f t="shared" si="237"/>
        <v>3.6126396936553964E-2</v>
      </c>
    </row>
    <row r="2150" spans="1:12" x14ac:dyDescent="0.25">
      <c r="A2150" s="1">
        <v>43357</v>
      </c>
      <c r="B2150" s="6">
        <v>246.4931</v>
      </c>
      <c r="C2150" s="6">
        <v>15.0784</v>
      </c>
      <c r="D2150" s="6">
        <v>10868.14</v>
      </c>
      <c r="E2150" s="6">
        <v>0.66</v>
      </c>
      <c r="F2150" s="6">
        <f t="shared" si="231"/>
        <v>7.3333333333333341E-3</v>
      </c>
      <c r="G2150">
        <f t="shared" si="232"/>
        <v>2.3529377568756877</v>
      </c>
      <c r="H2150">
        <f t="shared" si="233"/>
        <v>0.6407518154634777</v>
      </c>
      <c r="I2150">
        <f t="shared" si="234"/>
        <v>1.3135730286383331</v>
      </c>
      <c r="J2150">
        <f t="shared" si="235"/>
        <v>1.6504286281181639</v>
      </c>
      <c r="K2150">
        <f t="shared" si="236"/>
        <v>2.3456044235423543</v>
      </c>
      <c r="L2150">
        <f t="shared" si="237"/>
        <v>1.3062396953049997</v>
      </c>
    </row>
    <row r="2151" spans="1:12" x14ac:dyDescent="0.25">
      <c r="A2151" s="1">
        <v>43360</v>
      </c>
      <c r="B2151" s="6">
        <v>243.65979999999999</v>
      </c>
      <c r="C2151" s="6">
        <v>14.9824</v>
      </c>
      <c r="D2151" s="6">
        <v>10828.61</v>
      </c>
      <c r="E2151" s="6">
        <v>0.66</v>
      </c>
      <c r="F2151" s="6">
        <f t="shared" si="231"/>
        <v>7.3333333333333341E-3</v>
      </c>
      <c r="G2151">
        <f t="shared" si="232"/>
        <v>-1.1494439398100833</v>
      </c>
      <c r="H2151">
        <f t="shared" si="233"/>
        <v>-0.63667232597623147</v>
      </c>
      <c r="I2151">
        <f t="shared" si="234"/>
        <v>-0.36372369145041228</v>
      </c>
      <c r="J2151">
        <f t="shared" si="235"/>
        <v>-0.81393874806439037</v>
      </c>
      <c r="K2151">
        <f t="shared" si="236"/>
        <v>-1.1567772731434167</v>
      </c>
      <c r="L2151">
        <f t="shared" si="237"/>
        <v>-0.37105702478374564</v>
      </c>
    </row>
    <row r="2152" spans="1:12" x14ac:dyDescent="0.25">
      <c r="A2152" s="1">
        <v>43361</v>
      </c>
      <c r="B2152" s="6">
        <v>240.3544</v>
      </c>
      <c r="C2152" s="6">
        <v>14.6943</v>
      </c>
      <c r="D2152" s="6">
        <v>10760.21</v>
      </c>
      <c r="E2152" s="6">
        <v>0.66</v>
      </c>
      <c r="F2152" s="6">
        <f t="shared" si="231"/>
        <v>7.3333333333333341E-3</v>
      </c>
      <c r="G2152">
        <f t="shared" si="232"/>
        <v>-1.3565635365374149</v>
      </c>
      <c r="H2152">
        <f t="shared" si="233"/>
        <v>-1.9229228961982061</v>
      </c>
      <c r="I2152">
        <f t="shared" si="234"/>
        <v>-0.63166001915297953</v>
      </c>
      <c r="J2152">
        <f t="shared" si="235"/>
        <v>-0.95967351410257551</v>
      </c>
      <c r="K2152">
        <f t="shared" si="236"/>
        <v>-1.3638968698707483</v>
      </c>
      <c r="L2152">
        <f t="shared" si="237"/>
        <v>-0.63899335248631284</v>
      </c>
    </row>
    <row r="2153" spans="1:12" x14ac:dyDescent="0.25">
      <c r="A2153" s="1">
        <v>43362</v>
      </c>
      <c r="B2153" s="6">
        <v>243.65979999999999</v>
      </c>
      <c r="C2153" s="6">
        <v>14.9824</v>
      </c>
      <c r="D2153" s="6">
        <v>10857.27</v>
      </c>
      <c r="E2153" s="6">
        <v>0.66</v>
      </c>
      <c r="F2153" s="6">
        <f t="shared" si="231"/>
        <v>7.3333333333333341E-3</v>
      </c>
      <c r="G2153">
        <f t="shared" si="232"/>
        <v>1.3752192595600463</v>
      </c>
      <c r="H2153">
        <f t="shared" si="233"/>
        <v>1.960624187610162</v>
      </c>
      <c r="I2153">
        <f t="shared" si="234"/>
        <v>0.90202700504917022</v>
      </c>
      <c r="J2153">
        <f t="shared" si="235"/>
        <v>0.96248031849933657</v>
      </c>
      <c r="K2153">
        <f t="shared" si="236"/>
        <v>1.3678859262267129</v>
      </c>
      <c r="L2153">
        <f t="shared" si="237"/>
        <v>0.89469367171583691</v>
      </c>
    </row>
    <row r="2154" spans="1:12" x14ac:dyDescent="0.25">
      <c r="A2154" s="1">
        <v>43363</v>
      </c>
      <c r="B2154" s="6">
        <v>245.5487</v>
      </c>
      <c r="C2154" s="6">
        <v>14.8383</v>
      </c>
      <c r="D2154" s="6">
        <v>10831.41</v>
      </c>
      <c r="E2154" s="6">
        <v>0.66</v>
      </c>
      <c r="F2154" s="6">
        <f t="shared" si="231"/>
        <v>7.3333333333333341E-3</v>
      </c>
      <c r="G2154">
        <f t="shared" si="232"/>
        <v>0.77522020456390706</v>
      </c>
      <c r="H2154">
        <f t="shared" si="233"/>
        <v>-0.96179517300298945</v>
      </c>
      <c r="I2154">
        <f t="shared" si="234"/>
        <v>-0.23818142129651912</v>
      </c>
      <c r="J2154">
        <f t="shared" si="235"/>
        <v>0.54030528878397677</v>
      </c>
      <c r="K2154">
        <f t="shared" si="236"/>
        <v>0.76788687123057375</v>
      </c>
      <c r="L2154">
        <f t="shared" si="237"/>
        <v>-0.24551475462985245</v>
      </c>
    </row>
    <row r="2155" spans="1:12" x14ac:dyDescent="0.25">
      <c r="A2155" s="1">
        <v>43364</v>
      </c>
      <c r="B2155" s="6">
        <v>246.96530000000001</v>
      </c>
      <c r="C2155" s="6">
        <v>15.2225</v>
      </c>
      <c r="D2155" s="6">
        <v>10972.41</v>
      </c>
      <c r="E2155" s="6">
        <v>0.66</v>
      </c>
      <c r="F2155" s="6">
        <f t="shared" si="231"/>
        <v>7.3333333333333341E-3</v>
      </c>
      <c r="G2155">
        <f t="shared" si="232"/>
        <v>0.57691203415046255</v>
      </c>
      <c r="H2155">
        <f t="shared" si="233"/>
        <v>2.5892453987316597</v>
      </c>
      <c r="I2155">
        <f t="shared" si="234"/>
        <v>1.30176957570621</v>
      </c>
      <c r="J2155">
        <f t="shared" si="235"/>
        <v>0.40077047278725275</v>
      </c>
      <c r="K2155">
        <f t="shared" si="236"/>
        <v>0.56957870081712925</v>
      </c>
      <c r="L2155">
        <f t="shared" si="237"/>
        <v>1.2944362423728766</v>
      </c>
    </row>
    <row r="2156" spans="1:12" x14ac:dyDescent="0.25">
      <c r="A2156" s="1">
        <v>43368</v>
      </c>
      <c r="B2156" s="6">
        <v>248.85409999999999</v>
      </c>
      <c r="C2156" s="6">
        <v>15.0304</v>
      </c>
      <c r="D2156" s="6">
        <v>10978.85</v>
      </c>
      <c r="E2156" s="6">
        <v>0.66</v>
      </c>
      <c r="F2156" s="6">
        <f t="shared" si="231"/>
        <v>7.3333333333333341E-3</v>
      </c>
      <c r="G2156">
        <f t="shared" si="232"/>
        <v>0.76480380037194495</v>
      </c>
      <c r="H2156">
        <f t="shared" si="233"/>
        <v>-1.2619477746756442</v>
      </c>
      <c r="I2156">
        <f t="shared" si="234"/>
        <v>5.8692666424245081E-2</v>
      </c>
      <c r="J2156">
        <f t="shared" si="235"/>
        <v>0.53297603432490581</v>
      </c>
      <c r="K2156">
        <f t="shared" si="236"/>
        <v>0.75747046703861165</v>
      </c>
      <c r="L2156">
        <f t="shared" si="237"/>
        <v>5.1359333090911743E-2</v>
      </c>
    </row>
    <row r="2157" spans="1:12" x14ac:dyDescent="0.25">
      <c r="A2157" s="1">
        <v>43369</v>
      </c>
      <c r="B2157" s="6">
        <v>248.85409999999999</v>
      </c>
      <c r="C2157" s="6">
        <v>15.2705</v>
      </c>
      <c r="D2157" s="6">
        <v>10974.19</v>
      </c>
      <c r="E2157" s="6">
        <v>0.66</v>
      </c>
      <c r="F2157" s="6">
        <f t="shared" si="231"/>
        <v>7.3333333333333341E-3</v>
      </c>
      <c r="G2157">
        <f t="shared" si="232"/>
        <v>0</v>
      </c>
      <c r="H2157">
        <f t="shared" si="233"/>
        <v>1.5974292101341281</v>
      </c>
      <c r="I2157">
        <f t="shared" si="234"/>
        <v>-4.2445246997635036E-2</v>
      </c>
      <c r="J2157">
        <f t="shared" si="235"/>
        <v>-5.1599251567697223E-3</v>
      </c>
      <c r="K2157">
        <f t="shared" si="236"/>
        <v>-7.3333333333333341E-3</v>
      </c>
      <c r="L2157">
        <f t="shared" si="237"/>
        <v>-4.9778580330968367E-2</v>
      </c>
    </row>
    <row r="2158" spans="1:12" x14ac:dyDescent="0.25">
      <c r="A2158" s="1">
        <v>43370</v>
      </c>
      <c r="B2158" s="6">
        <v>250.27080000000001</v>
      </c>
      <c r="C2158" s="6">
        <v>15.3185</v>
      </c>
      <c r="D2158" s="6">
        <v>11034.19</v>
      </c>
      <c r="E2158" s="6">
        <v>0.66</v>
      </c>
      <c r="F2158" s="6">
        <f t="shared" si="231"/>
        <v>7.3333333333333341E-3</v>
      </c>
      <c r="G2158">
        <f t="shared" si="232"/>
        <v>0.5692893948703357</v>
      </c>
      <c r="H2158">
        <f t="shared" si="233"/>
        <v>0.31433155430405058</v>
      </c>
      <c r="I2158">
        <f t="shared" si="234"/>
        <v>0.54673739018551704</v>
      </c>
      <c r="J2158">
        <f t="shared" si="235"/>
        <v>0.39540698439872901</v>
      </c>
      <c r="K2158">
        <f t="shared" si="236"/>
        <v>0.56195606153700239</v>
      </c>
      <c r="L2158">
        <f t="shared" si="237"/>
        <v>0.53940405685218373</v>
      </c>
    </row>
    <row r="2159" spans="1:12" x14ac:dyDescent="0.25">
      <c r="A2159" s="1">
        <v>43371</v>
      </c>
      <c r="B2159" s="6">
        <v>247.90969999999999</v>
      </c>
      <c r="C2159" s="6">
        <v>15.5106</v>
      </c>
      <c r="D2159" s="6">
        <v>11006.34</v>
      </c>
      <c r="E2159" s="6">
        <v>0.66</v>
      </c>
      <c r="F2159" s="6">
        <f t="shared" si="231"/>
        <v>7.3333333333333341E-3</v>
      </c>
      <c r="G2159">
        <f t="shared" si="232"/>
        <v>-0.94341808952543471</v>
      </c>
      <c r="H2159">
        <f t="shared" si="233"/>
        <v>1.2540392336064232</v>
      </c>
      <c r="I2159">
        <f t="shared" si="234"/>
        <v>-0.25239732141643711</v>
      </c>
      <c r="J2159">
        <f t="shared" si="235"/>
        <v>-0.66897357063321339</v>
      </c>
      <c r="K2159">
        <f t="shared" si="236"/>
        <v>-0.95075142285876801</v>
      </c>
      <c r="L2159">
        <f t="shared" si="237"/>
        <v>-0.25973065474977047</v>
      </c>
    </row>
    <row r="2160" spans="1:12" x14ac:dyDescent="0.25">
      <c r="A2160" s="1">
        <v>43374</v>
      </c>
      <c r="B2160" s="6">
        <v>248.3819</v>
      </c>
      <c r="C2160" s="6">
        <v>15.2705</v>
      </c>
      <c r="D2160" s="6">
        <v>11051.8</v>
      </c>
      <c r="E2160" s="6">
        <v>0.66</v>
      </c>
      <c r="F2160" s="6">
        <f t="shared" si="231"/>
        <v>7.3333333333333341E-3</v>
      </c>
      <c r="G2160">
        <f t="shared" si="232"/>
        <v>0.19047257933030257</v>
      </c>
      <c r="H2160">
        <f t="shared" si="233"/>
        <v>-1.5479736438306706</v>
      </c>
      <c r="I2160">
        <f t="shared" si="234"/>
        <v>0.41303466910888748</v>
      </c>
      <c r="J2160">
        <f t="shared" si="235"/>
        <v>0.12886156399249094</v>
      </c>
      <c r="K2160">
        <f t="shared" si="236"/>
        <v>0.18313924599696924</v>
      </c>
      <c r="L2160">
        <f t="shared" si="237"/>
        <v>0.40570133577555412</v>
      </c>
    </row>
    <row r="2161" spans="1:12" x14ac:dyDescent="0.25">
      <c r="A2161" s="1">
        <v>43375</v>
      </c>
      <c r="B2161" s="6">
        <v>243.1876</v>
      </c>
      <c r="C2161" s="6">
        <v>14.9824</v>
      </c>
      <c r="D2161" s="6">
        <v>10919.63</v>
      </c>
      <c r="E2161" s="6">
        <v>0.66</v>
      </c>
      <c r="F2161" s="6">
        <f t="shared" si="231"/>
        <v>7.3333333333333341E-3</v>
      </c>
      <c r="G2161">
        <f t="shared" si="232"/>
        <v>-2.0912554417209943</v>
      </c>
      <c r="H2161">
        <f t="shared" si="233"/>
        <v>-1.8866441832291019</v>
      </c>
      <c r="I2161">
        <f t="shared" si="234"/>
        <v>-1.1959137877992732</v>
      </c>
      <c r="J2161">
        <f t="shared" si="235"/>
        <v>-1.4766219564705518</v>
      </c>
      <c r="K2161">
        <f t="shared" si="236"/>
        <v>-2.0985887750543277</v>
      </c>
      <c r="L2161">
        <f t="shared" si="237"/>
        <v>-1.2032471211326066</v>
      </c>
    </row>
    <row r="2162" spans="1:12" x14ac:dyDescent="0.25">
      <c r="A2162" s="1">
        <v>43376</v>
      </c>
      <c r="B2162" s="6">
        <v>245.5487</v>
      </c>
      <c r="C2162" s="6">
        <v>14.8864</v>
      </c>
      <c r="D2162" s="6">
        <v>10863.94</v>
      </c>
      <c r="E2162" s="6">
        <v>0.66</v>
      </c>
      <c r="F2162" s="6">
        <f t="shared" si="231"/>
        <v>7.3333333333333341E-3</v>
      </c>
      <c r="G2162">
        <f t="shared" si="232"/>
        <v>0.97089654242239043</v>
      </c>
      <c r="H2162">
        <f t="shared" si="233"/>
        <v>-0.6407518154634777</v>
      </c>
      <c r="I2162">
        <f t="shared" si="234"/>
        <v>-0.50999896516639021</v>
      </c>
      <c r="J2162">
        <f t="shared" si="235"/>
        <v>0.67798827855223498</v>
      </c>
      <c r="K2162">
        <f t="shared" si="236"/>
        <v>0.96356320908905713</v>
      </c>
      <c r="L2162">
        <f t="shared" si="237"/>
        <v>-0.51733229849972351</v>
      </c>
    </row>
    <row r="2163" spans="1:12" x14ac:dyDescent="0.25">
      <c r="A2163" s="1">
        <v>43377</v>
      </c>
      <c r="B2163" s="6">
        <v>239.88220000000001</v>
      </c>
      <c r="C2163" s="6">
        <v>14.5022</v>
      </c>
      <c r="D2163" s="6">
        <v>10718.91</v>
      </c>
      <c r="E2163" s="6">
        <v>0.66</v>
      </c>
      <c r="F2163" s="6">
        <f t="shared" si="231"/>
        <v>7.3333333333333341E-3</v>
      </c>
      <c r="G2163">
        <f t="shared" si="232"/>
        <v>-2.3076888617207034</v>
      </c>
      <c r="H2163">
        <f t="shared" si="233"/>
        <v>-2.5808791917454847</v>
      </c>
      <c r="I2163">
        <f t="shared" si="234"/>
        <v>-1.3349668720556322</v>
      </c>
      <c r="J2163">
        <f t="shared" si="235"/>
        <v>-1.6289101721917618</v>
      </c>
      <c r="K2163">
        <f t="shared" si="236"/>
        <v>-2.3150221950540368</v>
      </c>
      <c r="L2163">
        <f t="shared" si="237"/>
        <v>-1.3423002053889657</v>
      </c>
    </row>
    <row r="2164" spans="1:12" x14ac:dyDescent="0.25">
      <c r="A2164" s="1">
        <v>43378</v>
      </c>
      <c r="B2164" s="6">
        <v>236.1045</v>
      </c>
      <c r="C2164" s="6">
        <v>14.118</v>
      </c>
      <c r="D2164" s="6">
        <v>10517.12</v>
      </c>
      <c r="E2164" s="6">
        <v>0.66</v>
      </c>
      <c r="F2164" s="6">
        <f t="shared" si="231"/>
        <v>7.3333333333333341E-3</v>
      </c>
      <c r="G2164">
        <f t="shared" si="232"/>
        <v>-1.5748146381849133</v>
      </c>
      <c r="H2164">
        <f t="shared" si="233"/>
        <v>-2.6492532167533192</v>
      </c>
      <c r="I2164">
        <f t="shared" si="234"/>
        <v>-1.8825608200833766</v>
      </c>
      <c r="J2164">
        <f t="shared" si="235"/>
        <v>-1.1132406981776164</v>
      </c>
      <c r="K2164">
        <f t="shared" si="236"/>
        <v>-1.5821479715182467</v>
      </c>
      <c r="L2164">
        <f t="shared" si="237"/>
        <v>-1.88989415341671</v>
      </c>
    </row>
    <row r="2165" spans="1:12" x14ac:dyDescent="0.25">
      <c r="A2165" s="1">
        <v>43381</v>
      </c>
      <c r="B2165" s="6">
        <v>229.9658</v>
      </c>
      <c r="C2165" s="6">
        <v>14.2141</v>
      </c>
      <c r="D2165" s="6">
        <v>10455.93</v>
      </c>
      <c r="E2165" s="6">
        <v>0.66</v>
      </c>
      <c r="F2165" s="6">
        <f t="shared" si="231"/>
        <v>7.3333333333333341E-3</v>
      </c>
      <c r="G2165">
        <f t="shared" si="232"/>
        <v>-2.5999927997983945</v>
      </c>
      <c r="H2165">
        <f t="shared" si="233"/>
        <v>0.68069131605043098</v>
      </c>
      <c r="I2165">
        <f t="shared" si="234"/>
        <v>-0.58181327207448907</v>
      </c>
      <c r="J2165">
        <f t="shared" si="235"/>
        <v>-1.834582869034026</v>
      </c>
      <c r="K2165">
        <f t="shared" si="236"/>
        <v>-2.6073261331317279</v>
      </c>
      <c r="L2165">
        <f t="shared" si="237"/>
        <v>-0.58914660540782238</v>
      </c>
    </row>
    <row r="2166" spans="1:12" x14ac:dyDescent="0.25">
      <c r="A2166" s="1">
        <v>43382</v>
      </c>
      <c r="B2166" s="6">
        <v>230.43799999999999</v>
      </c>
      <c r="C2166" s="6">
        <v>14.2141</v>
      </c>
      <c r="D2166" s="6">
        <v>10466.83</v>
      </c>
      <c r="E2166" s="6">
        <v>0.66</v>
      </c>
      <c r="F2166" s="6">
        <f t="shared" si="231"/>
        <v>7.3333333333333341E-3</v>
      </c>
      <c r="G2166">
        <f t="shared" si="232"/>
        <v>0.20533488023001101</v>
      </c>
      <c r="H2166">
        <f t="shared" si="233"/>
        <v>0</v>
      </c>
      <c r="I2166">
        <f t="shared" si="234"/>
        <v>0.10424706362800473</v>
      </c>
      <c r="J2166">
        <f t="shared" si="235"/>
        <v>0.13931906766974822</v>
      </c>
      <c r="K2166">
        <f t="shared" si="236"/>
        <v>0.19800154689667768</v>
      </c>
      <c r="L2166">
        <f t="shared" si="237"/>
        <v>9.6913730294671402E-2</v>
      </c>
    </row>
    <row r="2167" spans="1:12" x14ac:dyDescent="0.25">
      <c r="A2167" s="1">
        <v>43384</v>
      </c>
      <c r="B2167" s="6">
        <v>214.85509999999999</v>
      </c>
      <c r="C2167" s="6">
        <v>13.2056</v>
      </c>
      <c r="D2167" s="6">
        <v>9806.11</v>
      </c>
      <c r="E2167" s="6">
        <v>0.66</v>
      </c>
      <c r="F2167" s="6">
        <f t="shared" si="231"/>
        <v>7.3333333333333341E-3</v>
      </c>
      <c r="G2167">
        <f t="shared" si="232"/>
        <v>-6.7622961490726334</v>
      </c>
      <c r="H2167">
        <f t="shared" si="233"/>
        <v>-7.0950675737471922</v>
      </c>
      <c r="I2167">
        <f t="shared" si="234"/>
        <v>-6.3125129576003376</v>
      </c>
      <c r="J2167">
        <f t="shared" si="235"/>
        <v>-4.7632883820377101</v>
      </c>
      <c r="K2167">
        <f t="shared" si="236"/>
        <v>-6.7696294824059668</v>
      </c>
      <c r="L2167">
        <f t="shared" si="237"/>
        <v>-6.319846290933671</v>
      </c>
    </row>
    <row r="2168" spans="1:12" x14ac:dyDescent="0.25">
      <c r="A2168" s="1">
        <v>43385</v>
      </c>
      <c r="B2168" s="6">
        <v>223.8271</v>
      </c>
      <c r="C2168" s="6">
        <v>13.1096</v>
      </c>
      <c r="D2168" s="6">
        <v>10045.81</v>
      </c>
      <c r="E2168" s="6">
        <v>0.66</v>
      </c>
      <c r="F2168" s="6">
        <f t="shared" si="231"/>
        <v>7.3333333333333341E-3</v>
      </c>
      <c r="G2168">
        <f t="shared" si="232"/>
        <v>4.1758375761152555</v>
      </c>
      <c r="H2168">
        <f t="shared" si="233"/>
        <v>-0.72696431816805052</v>
      </c>
      <c r="I2168">
        <f t="shared" si="234"/>
        <v>2.444394362290438</v>
      </c>
      <c r="J2168">
        <f t="shared" si="235"/>
        <v>2.9330686238770585</v>
      </c>
      <c r="K2168">
        <f t="shared" si="236"/>
        <v>4.1685042427819221</v>
      </c>
      <c r="L2168">
        <f t="shared" si="237"/>
        <v>2.4370610289571046</v>
      </c>
    </row>
    <row r="2169" spans="1:12" x14ac:dyDescent="0.25">
      <c r="A2169" s="1">
        <v>43388</v>
      </c>
      <c r="B2169" s="6">
        <v>217.6883</v>
      </c>
      <c r="C2169" s="6">
        <v>12.8215</v>
      </c>
      <c r="D2169" s="6">
        <v>9901.1200000000008</v>
      </c>
      <c r="E2169" s="6">
        <v>0.66</v>
      </c>
      <c r="F2169" s="6">
        <f t="shared" si="231"/>
        <v>7.3333333333333341E-3</v>
      </c>
      <c r="G2169">
        <f t="shared" si="232"/>
        <v>-2.7426526993380174</v>
      </c>
      <c r="H2169">
        <f t="shared" si="233"/>
        <v>-2.1976261670836639</v>
      </c>
      <c r="I2169">
        <f t="shared" si="234"/>
        <v>-1.4403019766449763</v>
      </c>
      <c r="J2169">
        <f t="shared" si="235"/>
        <v>-1.9349621060108544</v>
      </c>
      <c r="K2169">
        <f t="shared" si="236"/>
        <v>-2.7499860326713508</v>
      </c>
      <c r="L2169">
        <f t="shared" si="237"/>
        <v>-1.4476353099783097</v>
      </c>
    </row>
    <row r="2170" spans="1:12" x14ac:dyDescent="0.25">
      <c r="A2170" s="1">
        <v>43389</v>
      </c>
      <c r="B2170" s="6">
        <v>223.8271</v>
      </c>
      <c r="C2170" s="6">
        <v>12.6774</v>
      </c>
      <c r="D2170" s="6">
        <v>9981.1</v>
      </c>
      <c r="E2170" s="6">
        <v>0.66</v>
      </c>
      <c r="F2170" s="6">
        <f t="shared" si="231"/>
        <v>7.3333333333333341E-3</v>
      </c>
      <c r="G2170">
        <f t="shared" si="232"/>
        <v>2.8199953787135108</v>
      </c>
      <c r="H2170">
        <f t="shared" si="233"/>
        <v>-1.1238934602035635</v>
      </c>
      <c r="I2170">
        <f t="shared" si="234"/>
        <v>0.80778740182928355</v>
      </c>
      <c r="J2170">
        <f t="shared" si="235"/>
        <v>1.9790625880157124</v>
      </c>
      <c r="K2170">
        <f t="shared" si="236"/>
        <v>2.8126620453801774</v>
      </c>
      <c r="L2170">
        <f t="shared" si="237"/>
        <v>0.80045406849595024</v>
      </c>
    </row>
    <row r="2171" spans="1:12" x14ac:dyDescent="0.25">
      <c r="A2171" s="1">
        <v>43390</v>
      </c>
      <c r="B2171" s="6">
        <v>225.24369999999999</v>
      </c>
      <c r="C2171" s="6">
        <v>13.0616</v>
      </c>
      <c r="D2171" s="6">
        <v>9979.14</v>
      </c>
      <c r="E2171" s="6">
        <v>0.66</v>
      </c>
      <c r="F2171" s="6">
        <f t="shared" si="231"/>
        <v>7.3333333333333341E-3</v>
      </c>
      <c r="G2171">
        <f t="shared" si="232"/>
        <v>0.63289923338147536</v>
      </c>
      <c r="H2171">
        <f t="shared" si="233"/>
        <v>3.0305898685850399</v>
      </c>
      <c r="I2171">
        <f t="shared" si="234"/>
        <v>-1.9637114145744917E-2</v>
      </c>
      <c r="J2171">
        <f t="shared" si="235"/>
        <v>0.44016453066486838</v>
      </c>
      <c r="K2171">
        <f t="shared" si="236"/>
        <v>0.62556590004814205</v>
      </c>
      <c r="L2171">
        <f t="shared" si="237"/>
        <v>-2.6970447479078251E-2</v>
      </c>
    </row>
    <row r="2172" spans="1:12" x14ac:dyDescent="0.25">
      <c r="A2172" s="1">
        <v>43391</v>
      </c>
      <c r="B2172" s="6">
        <v>223.35489999999999</v>
      </c>
      <c r="C2172" s="6">
        <v>12.7254</v>
      </c>
      <c r="D2172" s="6">
        <v>9953.73</v>
      </c>
      <c r="E2172" s="6">
        <v>0.66</v>
      </c>
      <c r="F2172" s="6">
        <f t="shared" si="231"/>
        <v>7.3333333333333341E-3</v>
      </c>
      <c r="G2172">
        <f t="shared" si="232"/>
        <v>-0.83855841473035808</v>
      </c>
      <c r="H2172">
        <f t="shared" si="233"/>
        <v>-2.5739572487290978</v>
      </c>
      <c r="I2172">
        <f t="shared" si="234"/>
        <v>-0.25463116060101226</v>
      </c>
      <c r="J2172">
        <f t="shared" si="235"/>
        <v>-0.59519156055514866</v>
      </c>
      <c r="K2172">
        <f t="shared" si="236"/>
        <v>-0.84589174806369138</v>
      </c>
      <c r="L2172">
        <f t="shared" si="237"/>
        <v>-0.26196449393434562</v>
      </c>
    </row>
    <row r="2173" spans="1:12" x14ac:dyDescent="0.25">
      <c r="A2173" s="1">
        <v>43392</v>
      </c>
      <c r="B2173" s="6">
        <v>222.8826</v>
      </c>
      <c r="C2173" s="6">
        <v>12.7735</v>
      </c>
      <c r="D2173" s="6">
        <v>9919.26</v>
      </c>
      <c r="E2173" s="6">
        <v>0.66</v>
      </c>
      <c r="F2173" s="6">
        <f t="shared" si="231"/>
        <v>7.3333333333333341E-3</v>
      </c>
      <c r="G2173">
        <f t="shared" si="232"/>
        <v>-0.21145719211890582</v>
      </c>
      <c r="H2173">
        <f t="shared" si="233"/>
        <v>0.37798418910210924</v>
      </c>
      <c r="I2173">
        <f t="shared" si="234"/>
        <v>-0.34630234093148343</v>
      </c>
      <c r="J2173">
        <f t="shared" si="235"/>
        <v>-0.15394673677416476</v>
      </c>
      <c r="K2173">
        <f t="shared" si="236"/>
        <v>-0.21879052545223915</v>
      </c>
      <c r="L2173">
        <f t="shared" si="237"/>
        <v>-0.35363567426481679</v>
      </c>
    </row>
    <row r="2174" spans="1:12" x14ac:dyDescent="0.25">
      <c r="A2174" s="1">
        <v>43395</v>
      </c>
      <c r="B2174" s="6">
        <v>223.8271</v>
      </c>
      <c r="C2174" s="6">
        <v>12.5814</v>
      </c>
      <c r="D2174" s="6">
        <v>9974.2800000000007</v>
      </c>
      <c r="E2174" s="6">
        <v>0.66</v>
      </c>
      <c r="F2174" s="6">
        <f t="shared" si="231"/>
        <v>7.3333333333333341E-3</v>
      </c>
      <c r="G2174">
        <f t="shared" si="232"/>
        <v>0.42376569548273624</v>
      </c>
      <c r="H2174">
        <f t="shared" si="233"/>
        <v>-1.503894782166203</v>
      </c>
      <c r="I2174">
        <f t="shared" si="234"/>
        <v>0.55467847399907289</v>
      </c>
      <c r="J2174">
        <f t="shared" si="235"/>
        <v>0.29301270293832865</v>
      </c>
      <c r="K2174">
        <f t="shared" si="236"/>
        <v>0.41643236214940288</v>
      </c>
      <c r="L2174">
        <f t="shared" si="237"/>
        <v>0.54734514066573958</v>
      </c>
    </row>
    <row r="2175" spans="1:12" x14ac:dyDescent="0.25">
      <c r="A2175" s="1">
        <v>43396</v>
      </c>
      <c r="B2175" s="6">
        <v>217.21610000000001</v>
      </c>
      <c r="C2175" s="6">
        <v>12.245200000000001</v>
      </c>
      <c r="D2175" s="6">
        <v>9775.2000000000007</v>
      </c>
      <c r="E2175" s="6">
        <v>0.66</v>
      </c>
      <c r="F2175" s="6">
        <f t="shared" si="231"/>
        <v>7.3333333333333341E-3</v>
      </c>
      <c r="G2175">
        <f t="shared" si="232"/>
        <v>-2.9536191104651714</v>
      </c>
      <c r="H2175">
        <f t="shared" si="233"/>
        <v>-2.6721986424404265</v>
      </c>
      <c r="I2175">
        <f t="shared" si="234"/>
        <v>-1.9959335410676251</v>
      </c>
      <c r="J2175">
        <f t="shared" si="235"/>
        <v>-2.0834035912847306</v>
      </c>
      <c r="K2175">
        <f t="shared" si="236"/>
        <v>-2.9609524437985049</v>
      </c>
      <c r="L2175">
        <f t="shared" si="237"/>
        <v>-2.0032668744009583</v>
      </c>
    </row>
    <row r="2176" spans="1:12" x14ac:dyDescent="0.25">
      <c r="A2176" s="1">
        <v>43397</v>
      </c>
      <c r="B2176" s="6">
        <v>216.7439</v>
      </c>
      <c r="C2176" s="6">
        <v>12.1492</v>
      </c>
      <c r="D2176" s="6">
        <v>9759.4</v>
      </c>
      <c r="E2176" s="6">
        <v>0.66</v>
      </c>
      <c r="F2176" s="6">
        <f t="shared" si="231"/>
        <v>7.3333333333333341E-3</v>
      </c>
      <c r="G2176">
        <f t="shared" si="232"/>
        <v>-0.21738720104081374</v>
      </c>
      <c r="H2176">
        <f t="shared" si="233"/>
        <v>-0.78398066181034265</v>
      </c>
      <c r="I2176">
        <f t="shared" si="234"/>
        <v>-0.16163352156478733</v>
      </c>
      <c r="J2176">
        <f t="shared" si="235"/>
        <v>-0.15811924616725861</v>
      </c>
      <c r="K2176">
        <f t="shared" si="236"/>
        <v>-0.22472053437414707</v>
      </c>
      <c r="L2176">
        <f t="shared" si="237"/>
        <v>-0.16896685489812066</v>
      </c>
    </row>
    <row r="2177" spans="1:12" x14ac:dyDescent="0.25">
      <c r="A2177" s="1">
        <v>43398</v>
      </c>
      <c r="B2177" s="6">
        <v>207.2998</v>
      </c>
      <c r="C2177" s="6">
        <v>11.813000000000001</v>
      </c>
      <c r="D2177" s="6">
        <v>9520.7900000000009</v>
      </c>
      <c r="E2177" s="6">
        <v>0.66</v>
      </c>
      <c r="F2177" s="6">
        <f t="shared" si="231"/>
        <v>7.3333333333333341E-3</v>
      </c>
      <c r="G2177">
        <f t="shared" si="232"/>
        <v>-4.3572621882322835</v>
      </c>
      <c r="H2177">
        <f t="shared" si="233"/>
        <v>-2.7672603957462205</v>
      </c>
      <c r="I2177">
        <f t="shared" si="234"/>
        <v>-2.4449248929237326</v>
      </c>
      <c r="J2177">
        <f t="shared" si="235"/>
        <v>-3.0710435769342124</v>
      </c>
      <c r="K2177">
        <f t="shared" si="236"/>
        <v>-4.3645955215656169</v>
      </c>
      <c r="L2177">
        <f t="shared" si="237"/>
        <v>-2.452258226257066</v>
      </c>
    </row>
    <row r="2178" spans="1:12" x14ac:dyDescent="0.25">
      <c r="A2178" s="1">
        <v>43399</v>
      </c>
      <c r="B2178" s="6">
        <v>208.71639999999999</v>
      </c>
      <c r="C2178" s="6">
        <v>11.236800000000001</v>
      </c>
      <c r="D2178" s="6">
        <v>9489.18</v>
      </c>
      <c r="E2178" s="6">
        <v>0.66</v>
      </c>
      <c r="F2178" s="6">
        <f t="shared" si="231"/>
        <v>7.3333333333333341E-3</v>
      </c>
      <c r="G2178">
        <f t="shared" si="232"/>
        <v>0.68335811226059473</v>
      </c>
      <c r="H2178">
        <f t="shared" si="233"/>
        <v>-4.8776771353593498</v>
      </c>
      <c r="I2178">
        <f t="shared" si="234"/>
        <v>-0.33201026385416105</v>
      </c>
      <c r="J2178">
        <f t="shared" si="235"/>
        <v>0.47566871773451808</v>
      </c>
      <c r="K2178">
        <f t="shared" si="236"/>
        <v>0.67602477892726143</v>
      </c>
      <c r="L2178">
        <f t="shared" si="237"/>
        <v>-0.33934359718749441</v>
      </c>
    </row>
    <row r="2179" spans="1:12" x14ac:dyDescent="0.25">
      <c r="A2179" s="1">
        <v>43402</v>
      </c>
      <c r="B2179" s="6">
        <v>210.13300000000001</v>
      </c>
      <c r="C2179" s="6">
        <v>11.1408</v>
      </c>
      <c r="D2179" s="6">
        <v>9516.32</v>
      </c>
      <c r="E2179" s="6">
        <v>0.66</v>
      </c>
      <c r="F2179" s="6">
        <f t="shared" ref="F2179:F2242" si="238">E2179/90</f>
        <v>7.3333333333333341E-3</v>
      </c>
      <c r="G2179">
        <f t="shared" si="232"/>
        <v>0.6787200239176302</v>
      </c>
      <c r="H2179">
        <f t="shared" si="233"/>
        <v>-0.85433575395130357</v>
      </c>
      <c r="I2179">
        <f t="shared" si="234"/>
        <v>0.28600996081852614</v>
      </c>
      <c r="J2179">
        <f t="shared" si="235"/>
        <v>0.47240523745449314</v>
      </c>
      <c r="K2179">
        <f t="shared" si="236"/>
        <v>0.6713866905842969</v>
      </c>
      <c r="L2179">
        <f t="shared" si="237"/>
        <v>0.27867662748519278</v>
      </c>
    </row>
    <row r="2180" spans="1:12" x14ac:dyDescent="0.25">
      <c r="A2180" s="1">
        <v>43403</v>
      </c>
      <c r="B2180" s="6">
        <v>210.6052</v>
      </c>
      <c r="C2180" s="6">
        <v>11.236800000000001</v>
      </c>
      <c r="D2180" s="6">
        <v>9526.11</v>
      </c>
      <c r="E2180" s="6">
        <v>0.66</v>
      </c>
      <c r="F2180" s="6">
        <f t="shared" si="238"/>
        <v>7.3333333333333341E-3</v>
      </c>
      <c r="G2180">
        <f t="shared" ref="G2180:G2243" si="239">100*(B2180-B2179)/B2179</f>
        <v>0.22471482346893948</v>
      </c>
      <c r="H2180">
        <f t="shared" ref="H2180:H2243" si="240">100*(C2180-C2179)/C2179</f>
        <v>0.86169754416199984</v>
      </c>
      <c r="I2180">
        <f t="shared" ref="I2180:I2243" si="241">100*(D2180-D2179)/D2179</f>
        <v>0.10287590160903451</v>
      </c>
      <c r="J2180">
        <f t="shared" ref="J2180:J2243" si="242">(G2180-F2180)/$N$3</f>
        <v>0.15295530266820045</v>
      </c>
      <c r="K2180">
        <f t="shared" ref="K2180:K2243" si="243">G2180-F2180</f>
        <v>0.21738149013560615</v>
      </c>
      <c r="L2180">
        <f t="shared" ref="L2180:L2243" si="244">I2180-F2180</f>
        <v>9.5542568275701178E-2</v>
      </c>
    </row>
    <row r="2181" spans="1:12" x14ac:dyDescent="0.25">
      <c r="A2181" s="1">
        <v>43404</v>
      </c>
      <c r="B2181" s="6">
        <v>220.99379999999999</v>
      </c>
      <c r="C2181" s="6">
        <v>11.332800000000001</v>
      </c>
      <c r="D2181" s="6">
        <v>9802.1299999999992</v>
      </c>
      <c r="E2181" s="6">
        <v>0.66</v>
      </c>
      <c r="F2181" s="6">
        <f t="shared" si="238"/>
        <v>7.3333333333333341E-3</v>
      </c>
      <c r="G2181">
        <f t="shared" si="239"/>
        <v>4.9327367035571754</v>
      </c>
      <c r="H2181">
        <f t="shared" si="240"/>
        <v>0.85433575395130357</v>
      </c>
      <c r="I2181">
        <f t="shared" si="241"/>
        <v>2.897510106433776</v>
      </c>
      <c r="J2181">
        <f t="shared" si="242"/>
        <v>3.4656426487167784</v>
      </c>
      <c r="K2181">
        <f t="shared" si="243"/>
        <v>4.925403370223842</v>
      </c>
      <c r="L2181">
        <f t="shared" si="244"/>
        <v>2.8901767731004426</v>
      </c>
    </row>
    <row r="2182" spans="1:12" x14ac:dyDescent="0.25">
      <c r="A2182" s="1">
        <v>43405</v>
      </c>
      <c r="B2182" s="6">
        <v>222.41040000000001</v>
      </c>
      <c r="C2182" s="6">
        <v>11.476900000000001</v>
      </c>
      <c r="D2182" s="6">
        <v>9844.74</v>
      </c>
      <c r="E2182" s="6">
        <v>0.66</v>
      </c>
      <c r="F2182" s="6">
        <f t="shared" si="238"/>
        <v>7.3333333333333341E-3</v>
      </c>
      <c r="G2182">
        <f t="shared" si="239"/>
        <v>0.64101345829612266</v>
      </c>
      <c r="H2182">
        <f t="shared" si="240"/>
        <v>1.2715304249611736</v>
      </c>
      <c r="I2182">
        <f t="shared" si="241"/>
        <v>0.43470143734066563</v>
      </c>
      <c r="J2182">
        <f t="shared" si="242"/>
        <v>0.44587391156461059</v>
      </c>
      <c r="K2182">
        <f t="shared" si="243"/>
        <v>0.63368012496278936</v>
      </c>
      <c r="L2182">
        <f t="shared" si="244"/>
        <v>0.42736810400733227</v>
      </c>
    </row>
    <row r="2183" spans="1:12" x14ac:dyDescent="0.25">
      <c r="A2183" s="1">
        <v>43406</v>
      </c>
      <c r="B2183" s="6">
        <v>223.35489999999999</v>
      </c>
      <c r="C2183" s="6">
        <v>11.428900000000001</v>
      </c>
      <c r="D2183" s="6">
        <v>9906.59</v>
      </c>
      <c r="E2183" s="6">
        <v>0.66</v>
      </c>
      <c r="F2183" s="6">
        <f t="shared" si="238"/>
        <v>7.3333333333333341E-3</v>
      </c>
      <c r="G2183">
        <f t="shared" si="239"/>
        <v>0.424665393344905</v>
      </c>
      <c r="H2183">
        <f t="shared" si="240"/>
        <v>-0.41823140395054448</v>
      </c>
      <c r="I2183">
        <f t="shared" si="241"/>
        <v>0.62825427588743188</v>
      </c>
      <c r="J2183">
        <f t="shared" si="242"/>
        <v>0.29364575388821451</v>
      </c>
      <c r="K2183">
        <f t="shared" si="243"/>
        <v>0.41733206001157164</v>
      </c>
      <c r="L2183">
        <f t="shared" si="244"/>
        <v>0.62092094255409858</v>
      </c>
    </row>
    <row r="2184" spans="1:12" x14ac:dyDescent="0.25">
      <c r="A2184" s="1">
        <v>43409</v>
      </c>
      <c r="B2184" s="6">
        <v>221.93819999999999</v>
      </c>
      <c r="C2184" s="6">
        <v>10.324400000000001</v>
      </c>
      <c r="D2184" s="6">
        <v>9889.81</v>
      </c>
      <c r="E2184" s="6">
        <v>0.66</v>
      </c>
      <c r="F2184" s="6">
        <f t="shared" si="238"/>
        <v>7.3333333333333341E-3</v>
      </c>
      <c r="G2184">
        <f t="shared" si="239"/>
        <v>-0.63428203276489203</v>
      </c>
      <c r="H2184">
        <f t="shared" si="240"/>
        <v>-9.6640971572067293</v>
      </c>
      <c r="I2184">
        <f t="shared" si="241"/>
        <v>-0.16938219912200519</v>
      </c>
      <c r="J2184">
        <f t="shared" si="242"/>
        <v>-0.45145735479548837</v>
      </c>
      <c r="K2184">
        <f t="shared" si="243"/>
        <v>-0.64161536609822534</v>
      </c>
      <c r="L2184">
        <f t="shared" si="244"/>
        <v>-0.17671553245533853</v>
      </c>
    </row>
    <row r="2185" spans="1:12" x14ac:dyDescent="0.25">
      <c r="A2185" s="1">
        <v>43410</v>
      </c>
      <c r="B2185" s="6">
        <v>221.46600000000001</v>
      </c>
      <c r="C2185" s="6">
        <v>10.468500000000001</v>
      </c>
      <c r="D2185" s="6">
        <v>9824.9500000000007</v>
      </c>
      <c r="E2185" s="6">
        <v>0.66</v>
      </c>
      <c r="F2185" s="6">
        <f t="shared" si="238"/>
        <v>7.3333333333333341E-3</v>
      </c>
      <c r="G2185">
        <f t="shared" si="239"/>
        <v>-0.21276193102403582</v>
      </c>
      <c r="H2185">
        <f t="shared" si="240"/>
        <v>1.3957227538646302</v>
      </c>
      <c r="I2185">
        <f t="shared" si="241"/>
        <v>-0.65582655278512703</v>
      </c>
      <c r="J2185">
        <f t="shared" si="242"/>
        <v>-0.154864785196837</v>
      </c>
      <c r="K2185">
        <f t="shared" si="243"/>
        <v>-0.22009526435736915</v>
      </c>
      <c r="L2185">
        <f t="shared" si="244"/>
        <v>-0.66315988611846033</v>
      </c>
    </row>
    <row r="2186" spans="1:12" x14ac:dyDescent="0.25">
      <c r="A2186" s="1">
        <v>43411</v>
      </c>
      <c r="B2186" s="6">
        <v>220.99379999999999</v>
      </c>
      <c r="C2186" s="6">
        <v>10.516500000000001</v>
      </c>
      <c r="D2186" s="6">
        <v>9908.35</v>
      </c>
      <c r="E2186" s="6">
        <v>0.66</v>
      </c>
      <c r="F2186" s="6">
        <f t="shared" si="238"/>
        <v>7.3333333333333341E-3</v>
      </c>
      <c r="G2186">
        <f t="shared" si="239"/>
        <v>-0.2132155725935426</v>
      </c>
      <c r="H2186">
        <f t="shared" si="240"/>
        <v>0.45851841237999752</v>
      </c>
      <c r="I2186">
        <f t="shared" si="241"/>
        <v>0.84885928172662084</v>
      </c>
      <c r="J2186">
        <f t="shared" si="242"/>
        <v>-0.15518397927138081</v>
      </c>
      <c r="K2186">
        <f t="shared" si="243"/>
        <v>-0.22054890592687593</v>
      </c>
      <c r="L2186">
        <f t="shared" si="244"/>
        <v>0.84152594839328754</v>
      </c>
    </row>
    <row r="2187" spans="1:12" x14ac:dyDescent="0.25">
      <c r="A2187" s="1">
        <v>43412</v>
      </c>
      <c r="B2187" s="6">
        <v>223.35489999999999</v>
      </c>
      <c r="C2187" s="6">
        <v>10.420400000000001</v>
      </c>
      <c r="D2187" s="6">
        <v>9945.31</v>
      </c>
      <c r="E2187" s="6">
        <v>0.66</v>
      </c>
      <c r="F2187" s="6">
        <f t="shared" si="238"/>
        <v>7.3333333333333341E-3</v>
      </c>
      <c r="G2187">
        <f t="shared" si="239"/>
        <v>1.0684010139650946</v>
      </c>
      <c r="H2187">
        <f t="shared" si="240"/>
        <v>-0.91380212047734366</v>
      </c>
      <c r="I2187">
        <f t="shared" si="241"/>
        <v>0.37301871653705337</v>
      </c>
      <c r="J2187">
        <f t="shared" si="242"/>
        <v>0.74659497522642615</v>
      </c>
      <c r="K2187">
        <f t="shared" si="243"/>
        <v>1.0610676806317612</v>
      </c>
      <c r="L2187">
        <f t="shared" si="244"/>
        <v>0.36568538320372002</v>
      </c>
    </row>
    <row r="2188" spans="1:12" x14ac:dyDescent="0.25">
      <c r="A2188" s="1">
        <v>43413</v>
      </c>
      <c r="B2188" s="6">
        <v>218.16059999999999</v>
      </c>
      <c r="C2188" s="6">
        <v>10.180300000000001</v>
      </c>
      <c r="D2188" s="6">
        <v>9830.01</v>
      </c>
      <c r="E2188" s="6">
        <v>0.66</v>
      </c>
      <c r="F2188" s="6">
        <f t="shared" si="238"/>
        <v>7.3333333333333341E-3</v>
      </c>
      <c r="G2188">
        <f t="shared" si="239"/>
        <v>-2.3255813953488365</v>
      </c>
      <c r="H2188">
        <f t="shared" si="240"/>
        <v>-2.3041341983033279</v>
      </c>
      <c r="I2188">
        <f t="shared" si="241"/>
        <v>-1.1593404328271244</v>
      </c>
      <c r="J2188">
        <f t="shared" si="242"/>
        <v>-1.6414998268807826</v>
      </c>
      <c r="K2188">
        <f t="shared" si="243"/>
        <v>-2.3329147286821699</v>
      </c>
      <c r="L2188">
        <f t="shared" si="244"/>
        <v>-1.1666737661604578</v>
      </c>
    </row>
    <row r="2189" spans="1:12" x14ac:dyDescent="0.25">
      <c r="A2189" s="1">
        <v>43416</v>
      </c>
      <c r="B2189" s="6">
        <v>218.6328</v>
      </c>
      <c r="C2189" s="6">
        <v>10.276400000000001</v>
      </c>
      <c r="D2189" s="6">
        <v>9831.2099999999991</v>
      </c>
      <c r="E2189" s="6">
        <v>0.66</v>
      </c>
      <c r="F2189" s="6">
        <f t="shared" si="238"/>
        <v>7.3333333333333341E-3</v>
      </c>
      <c r="G2189">
        <f t="shared" si="239"/>
        <v>0.21644604937830894</v>
      </c>
      <c r="H2189">
        <f t="shared" si="240"/>
        <v>0.94398003988094503</v>
      </c>
      <c r="I2189">
        <f t="shared" si="241"/>
        <v>1.2207515556941535E-2</v>
      </c>
      <c r="J2189">
        <f t="shared" si="242"/>
        <v>0.14713717692557907</v>
      </c>
      <c r="K2189">
        <f t="shared" si="243"/>
        <v>0.20911271604497561</v>
      </c>
      <c r="L2189">
        <f t="shared" si="244"/>
        <v>4.8741822236082009E-3</v>
      </c>
    </row>
    <row r="2190" spans="1:12" x14ac:dyDescent="0.25">
      <c r="A2190" s="1">
        <v>43417</v>
      </c>
      <c r="B2190" s="6">
        <v>214.85509999999999</v>
      </c>
      <c r="C2190" s="6">
        <v>10.036300000000001</v>
      </c>
      <c r="D2190" s="6">
        <v>9775.84</v>
      </c>
      <c r="E2190" s="6">
        <v>0.66</v>
      </c>
      <c r="F2190" s="6">
        <f t="shared" si="238"/>
        <v>7.3333333333333341E-3</v>
      </c>
      <c r="G2190">
        <f t="shared" si="239"/>
        <v>-1.7278743171198512</v>
      </c>
      <c r="H2190">
        <f t="shared" si="240"/>
        <v>-2.3364213148573425</v>
      </c>
      <c r="I2190">
        <f t="shared" si="241"/>
        <v>-0.56320636015301251</v>
      </c>
      <c r="J2190">
        <f t="shared" si="242"/>
        <v>-1.2209374919717277</v>
      </c>
      <c r="K2190">
        <f t="shared" si="243"/>
        <v>-1.7352076504531846</v>
      </c>
      <c r="L2190">
        <f t="shared" si="244"/>
        <v>-0.57053969348634581</v>
      </c>
    </row>
    <row r="2191" spans="1:12" x14ac:dyDescent="0.25">
      <c r="A2191" s="1">
        <v>43418</v>
      </c>
      <c r="B2191" s="6">
        <v>215.79949999999999</v>
      </c>
      <c r="C2191" s="6">
        <v>10.372400000000001</v>
      </c>
      <c r="D2191" s="6">
        <v>9791.8799999999992</v>
      </c>
      <c r="E2191" s="6">
        <v>0.66</v>
      </c>
      <c r="F2191" s="6">
        <f t="shared" si="238"/>
        <v>7.3333333333333341E-3</v>
      </c>
      <c r="G2191">
        <f t="shared" si="239"/>
        <v>0.43955205159198069</v>
      </c>
      <c r="H2191">
        <f t="shared" si="240"/>
        <v>3.3488436973785163</v>
      </c>
      <c r="I2191">
        <f t="shared" si="241"/>
        <v>0.16407797181622299</v>
      </c>
      <c r="J2191">
        <f t="shared" si="242"/>
        <v>0.30412039603221258</v>
      </c>
      <c r="K2191">
        <f t="shared" si="243"/>
        <v>0.43221871825864733</v>
      </c>
      <c r="L2191">
        <f t="shared" si="244"/>
        <v>0.15674463848288966</v>
      </c>
    </row>
    <row r="2192" spans="1:12" x14ac:dyDescent="0.25">
      <c r="A2192" s="1">
        <v>43419</v>
      </c>
      <c r="B2192" s="6">
        <v>218.16059999999999</v>
      </c>
      <c r="C2192" s="6">
        <v>10.756600000000001</v>
      </c>
      <c r="D2192" s="6">
        <v>9826.4599999999991</v>
      </c>
      <c r="E2192" s="6">
        <v>0.66</v>
      </c>
      <c r="F2192" s="6">
        <f t="shared" si="238"/>
        <v>7.3333333333333341E-3</v>
      </c>
      <c r="G2192">
        <f t="shared" si="239"/>
        <v>1.0941174562498956</v>
      </c>
      <c r="H2192">
        <f t="shared" si="240"/>
        <v>3.7040607766765632</v>
      </c>
      <c r="I2192">
        <f t="shared" si="241"/>
        <v>0.35314975265219684</v>
      </c>
      <c r="J2192">
        <f t="shared" si="242"/>
        <v>0.76468973670205731</v>
      </c>
      <c r="K2192">
        <f t="shared" si="243"/>
        <v>1.0867841229165622</v>
      </c>
      <c r="L2192">
        <f t="shared" si="244"/>
        <v>0.34581641931886348</v>
      </c>
    </row>
    <row r="2193" spans="1:12" x14ac:dyDescent="0.25">
      <c r="A2193" s="1">
        <v>43420</v>
      </c>
      <c r="B2193" s="6">
        <v>213.4385</v>
      </c>
      <c r="C2193" s="6">
        <v>10.564500000000001</v>
      </c>
      <c r="D2193" s="6">
        <v>9797.09</v>
      </c>
      <c r="E2193" s="6">
        <v>0.66</v>
      </c>
      <c r="F2193" s="6">
        <f t="shared" si="238"/>
        <v>7.3333333333333341E-3</v>
      </c>
      <c r="G2193">
        <f t="shared" si="239"/>
        <v>-2.1645063315740716</v>
      </c>
      <c r="H2193">
        <f t="shared" si="240"/>
        <v>-1.7858802967480423</v>
      </c>
      <c r="I2193">
        <f t="shared" si="241"/>
        <v>-0.29888688296699917</v>
      </c>
      <c r="J2193">
        <f t="shared" si="242"/>
        <v>-1.5281631986490056</v>
      </c>
      <c r="K2193">
        <f t="shared" si="243"/>
        <v>-2.171839664907405</v>
      </c>
      <c r="L2193">
        <f t="shared" si="244"/>
        <v>-0.30622021630033253</v>
      </c>
    </row>
    <row r="2194" spans="1:12" x14ac:dyDescent="0.25">
      <c r="A2194" s="1">
        <v>43423</v>
      </c>
      <c r="B2194" s="6">
        <v>209.66079999999999</v>
      </c>
      <c r="C2194" s="6">
        <v>10.660600000000001</v>
      </c>
      <c r="D2194" s="6">
        <v>9828.69</v>
      </c>
      <c r="E2194" s="6">
        <v>0.66</v>
      </c>
      <c r="F2194" s="6">
        <f t="shared" si="238"/>
        <v>7.3333333333333341E-3</v>
      </c>
      <c r="G2194">
        <f t="shared" si="239"/>
        <v>-1.7699243576018431</v>
      </c>
      <c r="H2194">
        <f t="shared" si="240"/>
        <v>0.9096502437408287</v>
      </c>
      <c r="I2194">
        <f t="shared" si="241"/>
        <v>0.32254475563662643</v>
      </c>
      <c r="J2194">
        <f t="shared" si="242"/>
        <v>-1.2505250003889388</v>
      </c>
      <c r="K2194">
        <f t="shared" si="243"/>
        <v>-1.7772576909351765</v>
      </c>
      <c r="L2194">
        <f t="shared" si="244"/>
        <v>0.31521142230329308</v>
      </c>
    </row>
    <row r="2195" spans="1:12" x14ac:dyDescent="0.25">
      <c r="A2195" s="1">
        <v>43424</v>
      </c>
      <c r="B2195" s="6">
        <v>205.88310000000001</v>
      </c>
      <c r="C2195" s="6">
        <v>10.564500000000001</v>
      </c>
      <c r="D2195" s="6">
        <v>9743.99</v>
      </c>
      <c r="E2195" s="6">
        <v>0.66</v>
      </c>
      <c r="F2195" s="6">
        <f t="shared" si="238"/>
        <v>7.3333333333333341E-3</v>
      </c>
      <c r="G2195">
        <f t="shared" si="239"/>
        <v>-1.8018151223309182</v>
      </c>
      <c r="H2195">
        <f t="shared" si="240"/>
        <v>-0.9014501998011355</v>
      </c>
      <c r="I2195">
        <f t="shared" si="241"/>
        <v>-0.86176285954690524</v>
      </c>
      <c r="J2195">
        <f t="shared" si="242"/>
        <v>-1.2729641766426905</v>
      </c>
      <c r="K2195">
        <f t="shared" si="243"/>
        <v>-1.8091484556642516</v>
      </c>
      <c r="L2195">
        <f t="shared" si="244"/>
        <v>-0.86909619288023854</v>
      </c>
    </row>
    <row r="2196" spans="1:12" x14ac:dyDescent="0.25">
      <c r="A2196" s="1">
        <v>43425</v>
      </c>
      <c r="B2196" s="6">
        <v>206.82749999999999</v>
      </c>
      <c r="C2196" s="6">
        <v>10.564500000000001</v>
      </c>
      <c r="D2196" s="6">
        <v>9741.52</v>
      </c>
      <c r="E2196" s="6">
        <v>0.66</v>
      </c>
      <c r="F2196" s="6">
        <f t="shared" si="238"/>
        <v>7.3333333333333341E-3</v>
      </c>
      <c r="G2196">
        <f t="shared" si="239"/>
        <v>0.45870690697778166</v>
      </c>
      <c r="H2196">
        <f t="shared" si="240"/>
        <v>0</v>
      </c>
      <c r="I2196">
        <f t="shared" si="241"/>
        <v>-2.5348958691453351E-2</v>
      </c>
      <c r="J2196">
        <f t="shared" si="242"/>
        <v>0.31759825332941449</v>
      </c>
      <c r="K2196">
        <f t="shared" si="243"/>
        <v>0.4513735736444483</v>
      </c>
      <c r="L2196">
        <f t="shared" si="244"/>
        <v>-3.2682292024786688E-2</v>
      </c>
    </row>
    <row r="2197" spans="1:12" x14ac:dyDescent="0.25">
      <c r="A2197" s="1">
        <v>43426</v>
      </c>
      <c r="B2197" s="6">
        <v>206.82749999999999</v>
      </c>
      <c r="C2197" s="6">
        <v>10.756600000000001</v>
      </c>
      <c r="D2197" s="6">
        <v>9714.7099999999991</v>
      </c>
      <c r="E2197" s="6">
        <v>0.66</v>
      </c>
      <c r="F2197" s="6">
        <f t="shared" si="238"/>
        <v>7.3333333333333341E-3</v>
      </c>
      <c r="G2197">
        <f t="shared" si="239"/>
        <v>0</v>
      </c>
      <c r="H2197">
        <f t="shared" si="240"/>
        <v>1.818353921151024</v>
      </c>
      <c r="I2197">
        <f t="shared" si="241"/>
        <v>-0.27521372434693259</v>
      </c>
      <c r="J2197">
        <f t="shared" si="242"/>
        <v>-5.1599251567697223E-3</v>
      </c>
      <c r="K2197">
        <f t="shared" si="243"/>
        <v>-7.3333333333333341E-3</v>
      </c>
      <c r="L2197">
        <f t="shared" si="244"/>
        <v>-0.28254705768026595</v>
      </c>
    </row>
    <row r="2198" spans="1:12" x14ac:dyDescent="0.25">
      <c r="A2198" s="1">
        <v>43427</v>
      </c>
      <c r="B2198" s="6">
        <v>206.3553</v>
      </c>
      <c r="C2198" s="6">
        <v>10.708600000000001</v>
      </c>
      <c r="D2198" s="6">
        <v>9667.2999999999993</v>
      </c>
      <c r="E2198" s="6">
        <v>0.66</v>
      </c>
      <c r="F2198" s="6">
        <f t="shared" si="238"/>
        <v>7.3333333333333341E-3</v>
      </c>
      <c r="G2198">
        <f t="shared" si="239"/>
        <v>-0.22830619719330683</v>
      </c>
      <c r="H2198">
        <f t="shared" si="240"/>
        <v>-0.44623765873975085</v>
      </c>
      <c r="I2198">
        <f t="shared" si="241"/>
        <v>-0.48802280253347613</v>
      </c>
      <c r="J2198">
        <f t="shared" si="242"/>
        <v>-0.16580213747642963</v>
      </c>
      <c r="K2198">
        <f t="shared" si="243"/>
        <v>-0.23563953052664016</v>
      </c>
      <c r="L2198">
        <f t="shared" si="244"/>
        <v>-0.49535613586680949</v>
      </c>
    </row>
    <row r="2199" spans="1:12" x14ac:dyDescent="0.25">
      <c r="A2199" s="1">
        <v>43430</v>
      </c>
      <c r="B2199" s="6">
        <v>210.6052</v>
      </c>
      <c r="C2199" s="6">
        <v>11.044700000000001</v>
      </c>
      <c r="D2199" s="6">
        <v>9765.36</v>
      </c>
      <c r="E2199" s="6">
        <v>0.66</v>
      </c>
      <c r="F2199" s="6">
        <f t="shared" si="238"/>
        <v>7.3333333333333341E-3</v>
      </c>
      <c r="G2199">
        <f t="shared" si="239"/>
        <v>2.0595061042774265</v>
      </c>
      <c r="H2199">
        <f t="shared" si="240"/>
        <v>3.1385988831406539</v>
      </c>
      <c r="I2199">
        <f t="shared" si="241"/>
        <v>1.0143473358642157</v>
      </c>
      <c r="J2199">
        <f t="shared" si="242"/>
        <v>1.4439624418407619</v>
      </c>
      <c r="K2199">
        <f t="shared" si="243"/>
        <v>2.0521727709440931</v>
      </c>
      <c r="L2199">
        <f t="shared" si="244"/>
        <v>1.0070140025308822</v>
      </c>
    </row>
    <row r="2200" spans="1:12" x14ac:dyDescent="0.25">
      <c r="A2200" s="1">
        <v>43431</v>
      </c>
      <c r="B2200" s="6">
        <v>211.5496</v>
      </c>
      <c r="C2200" s="6">
        <v>11.284800000000001</v>
      </c>
      <c r="D2200" s="6">
        <v>9778.6200000000008</v>
      </c>
      <c r="E2200" s="6">
        <v>0.66</v>
      </c>
      <c r="F2200" s="6">
        <f t="shared" si="238"/>
        <v>7.3333333333333341E-3</v>
      </c>
      <c r="G2200">
        <f t="shared" si="239"/>
        <v>0.44842197628548663</v>
      </c>
      <c r="H2200">
        <f t="shared" si="240"/>
        <v>2.1738933606164039</v>
      </c>
      <c r="I2200">
        <f t="shared" si="241"/>
        <v>0.13578608469119641</v>
      </c>
      <c r="J2200">
        <f t="shared" si="242"/>
        <v>0.31036150706375909</v>
      </c>
      <c r="K2200">
        <f t="shared" si="243"/>
        <v>0.44108864295215328</v>
      </c>
      <c r="L2200">
        <f t="shared" si="244"/>
        <v>0.12845275135786308</v>
      </c>
    </row>
    <row r="2201" spans="1:12" x14ac:dyDescent="0.25">
      <c r="A2201" s="1">
        <v>43432</v>
      </c>
      <c r="B2201" s="6">
        <v>213.91069999999999</v>
      </c>
      <c r="C2201" s="6">
        <v>11.284800000000001</v>
      </c>
      <c r="D2201" s="6">
        <v>9884.31</v>
      </c>
      <c r="E2201" s="6">
        <v>0.66</v>
      </c>
      <c r="F2201" s="6">
        <f t="shared" si="238"/>
        <v>7.3333333333333341E-3</v>
      </c>
      <c r="G2201">
        <f t="shared" si="239"/>
        <v>1.116097596024759</v>
      </c>
      <c r="H2201">
        <f t="shared" si="240"/>
        <v>0</v>
      </c>
      <c r="I2201">
        <f t="shared" si="241"/>
        <v>1.0808273560072759</v>
      </c>
      <c r="J2201">
        <f t="shared" si="242"/>
        <v>0.78015553799846171</v>
      </c>
      <c r="K2201">
        <f t="shared" si="243"/>
        <v>1.1087642626914256</v>
      </c>
      <c r="L2201">
        <f t="shared" si="244"/>
        <v>1.0734940226739424</v>
      </c>
    </row>
    <row r="2202" spans="1:12" x14ac:dyDescent="0.25">
      <c r="A2202" s="1">
        <v>43433</v>
      </c>
      <c r="B2202" s="6">
        <v>216.27170000000001</v>
      </c>
      <c r="C2202" s="6">
        <v>11.044700000000001</v>
      </c>
      <c r="D2202" s="6">
        <v>9885.36</v>
      </c>
      <c r="E2202" s="6">
        <v>0.66</v>
      </c>
      <c r="F2202" s="6">
        <f t="shared" si="238"/>
        <v>7.3333333333333341E-3</v>
      </c>
      <c r="G2202">
        <f t="shared" si="239"/>
        <v>1.1037316038889211</v>
      </c>
      <c r="H2202">
        <f t="shared" si="240"/>
        <v>-2.1276407202608816</v>
      </c>
      <c r="I2202">
        <f t="shared" si="241"/>
        <v>1.0622896287157034E-2</v>
      </c>
      <c r="J2202">
        <f t="shared" si="242"/>
        <v>0.7714545024652627</v>
      </c>
      <c r="K2202">
        <f t="shared" si="243"/>
        <v>1.0963982705555877</v>
      </c>
      <c r="L2202">
        <f t="shared" si="244"/>
        <v>3.2895629538236999E-3</v>
      </c>
    </row>
    <row r="2203" spans="1:12" x14ac:dyDescent="0.25">
      <c r="A2203" s="1">
        <v>43434</v>
      </c>
      <c r="B2203" s="6">
        <v>212.96629999999999</v>
      </c>
      <c r="C2203" s="6">
        <v>11.092700000000001</v>
      </c>
      <c r="D2203" s="6">
        <v>9888.0300000000007</v>
      </c>
      <c r="E2203" s="6">
        <v>0.66</v>
      </c>
      <c r="F2203" s="6">
        <f t="shared" si="238"/>
        <v>7.3333333333333341E-3</v>
      </c>
      <c r="G2203">
        <f t="shared" si="239"/>
        <v>-1.5283553049243244</v>
      </c>
      <c r="H2203">
        <f t="shared" si="240"/>
        <v>0.43459758979420027</v>
      </c>
      <c r="I2203">
        <f t="shared" si="241"/>
        <v>2.700963849571561E-2</v>
      </c>
      <c r="J2203">
        <f t="shared" si="242"/>
        <v>-1.0805506960242444</v>
      </c>
      <c r="K2203">
        <f t="shared" si="243"/>
        <v>-1.5356886382576578</v>
      </c>
      <c r="L2203">
        <f t="shared" si="244"/>
        <v>1.9676305162382276E-2</v>
      </c>
    </row>
    <row r="2204" spans="1:12" x14ac:dyDescent="0.25">
      <c r="A2204" s="1">
        <v>43437</v>
      </c>
      <c r="B2204" s="6">
        <v>221.93819999999999</v>
      </c>
      <c r="C2204" s="6">
        <v>11.236800000000001</v>
      </c>
      <c r="D2204" s="6">
        <v>10137.870000000001</v>
      </c>
      <c r="E2204" s="6">
        <v>0.66</v>
      </c>
      <c r="F2204" s="6">
        <f t="shared" si="238"/>
        <v>7.3333333333333341E-3</v>
      </c>
      <c r="G2204">
        <f t="shared" si="239"/>
        <v>4.2128261607587705</v>
      </c>
      <c r="H2204">
        <f t="shared" si="240"/>
        <v>1.2990525300422791</v>
      </c>
      <c r="I2204">
        <f t="shared" si="241"/>
        <v>2.5266913631936809</v>
      </c>
      <c r="J2204">
        <f t="shared" si="242"/>
        <v>2.9590947595700645</v>
      </c>
      <c r="K2204">
        <f t="shared" si="243"/>
        <v>4.2054928274254371</v>
      </c>
      <c r="L2204">
        <f t="shared" si="244"/>
        <v>2.5193580298603475</v>
      </c>
    </row>
    <row r="2205" spans="1:12" x14ac:dyDescent="0.25">
      <c r="A2205" s="1">
        <v>43438</v>
      </c>
      <c r="B2205" s="6">
        <v>220.99379999999999</v>
      </c>
      <c r="C2205" s="6">
        <v>11.332800000000001</v>
      </c>
      <c r="D2205" s="6">
        <v>10083.540000000001</v>
      </c>
      <c r="E2205" s="6">
        <v>0.66</v>
      </c>
      <c r="F2205" s="6">
        <f t="shared" si="238"/>
        <v>7.3333333333333341E-3</v>
      </c>
      <c r="G2205">
        <f t="shared" si="239"/>
        <v>-0.4255238620480844</v>
      </c>
      <c r="H2205">
        <f t="shared" si="240"/>
        <v>0.85433575395130357</v>
      </c>
      <c r="I2205">
        <f t="shared" si="241"/>
        <v>-0.53591138967061047</v>
      </c>
      <c r="J2205">
        <f t="shared" si="242"/>
        <v>-0.30456964523691332</v>
      </c>
      <c r="K2205">
        <f t="shared" si="243"/>
        <v>-0.43285719538141776</v>
      </c>
      <c r="L2205">
        <f t="shared" si="244"/>
        <v>-0.54324472300394377</v>
      </c>
    </row>
    <row r="2206" spans="1:12" x14ac:dyDescent="0.25">
      <c r="A2206" s="1">
        <v>43439</v>
      </c>
      <c r="B2206" s="6">
        <v>213.4385</v>
      </c>
      <c r="C2206" s="6">
        <v>11.092700000000001</v>
      </c>
      <c r="D2206" s="6">
        <v>9916.74</v>
      </c>
      <c r="E2206" s="6">
        <v>0.66</v>
      </c>
      <c r="F2206" s="6">
        <f t="shared" si="238"/>
        <v>7.3333333333333341E-3</v>
      </c>
      <c r="G2206">
        <f t="shared" si="239"/>
        <v>-3.4187836943841812</v>
      </c>
      <c r="H2206">
        <f t="shared" si="240"/>
        <v>-2.1186291119582097</v>
      </c>
      <c r="I2206">
        <f t="shared" si="241"/>
        <v>-1.6541809721585978</v>
      </c>
      <c r="J2206">
        <f t="shared" si="242"/>
        <v>-2.410705560185006</v>
      </c>
      <c r="K2206">
        <f t="shared" si="243"/>
        <v>-3.4261170277175146</v>
      </c>
      <c r="L2206">
        <f t="shared" si="244"/>
        <v>-1.6615143054919312</v>
      </c>
    </row>
    <row r="2207" spans="1:12" x14ac:dyDescent="0.25">
      <c r="A2207" s="1">
        <v>43440</v>
      </c>
      <c r="B2207" s="6">
        <v>207.77199999999999</v>
      </c>
      <c r="C2207" s="6">
        <v>10.852600000000001</v>
      </c>
      <c r="D2207" s="6">
        <v>9684.7199999999993</v>
      </c>
      <c r="E2207" s="6">
        <v>0.66</v>
      </c>
      <c r="F2207" s="6">
        <f t="shared" si="238"/>
        <v>7.3333333333333341E-3</v>
      </c>
      <c r="G2207">
        <f t="shared" si="239"/>
        <v>-2.6548631104510259</v>
      </c>
      <c r="H2207">
        <f t="shared" si="240"/>
        <v>-2.1644865542203426</v>
      </c>
      <c r="I2207">
        <f t="shared" si="241"/>
        <v>-2.3396801771549969</v>
      </c>
      <c r="J2207">
        <f t="shared" si="242"/>
        <v>-1.8731910548926098</v>
      </c>
      <c r="K2207">
        <f t="shared" si="243"/>
        <v>-2.6621964437843593</v>
      </c>
      <c r="L2207">
        <f t="shared" si="244"/>
        <v>-2.3470135104883303</v>
      </c>
    </row>
    <row r="2208" spans="1:12" x14ac:dyDescent="0.25">
      <c r="A2208" s="1">
        <v>43441</v>
      </c>
      <c r="B2208" s="6">
        <v>208.71639999999999</v>
      </c>
      <c r="C2208" s="6">
        <v>10.756600000000001</v>
      </c>
      <c r="D2208" s="6">
        <v>9760.8799999999992</v>
      </c>
      <c r="E2208" s="6">
        <v>0.66</v>
      </c>
      <c r="F2208" s="6">
        <f t="shared" si="238"/>
        <v>7.3333333333333341E-3</v>
      </c>
      <c r="G2208">
        <f t="shared" si="239"/>
        <v>0.45453670369443511</v>
      </c>
      <c r="H2208">
        <f t="shared" si="240"/>
        <v>-0.88458065348395853</v>
      </c>
      <c r="I2208">
        <f t="shared" si="241"/>
        <v>0.78639341147704689</v>
      </c>
      <c r="J2208">
        <f t="shared" si="242"/>
        <v>0.31466398921615307</v>
      </c>
      <c r="K2208">
        <f t="shared" si="243"/>
        <v>0.44720337036110175</v>
      </c>
      <c r="L2208">
        <f t="shared" si="244"/>
        <v>0.77906007814371359</v>
      </c>
    </row>
    <row r="2209" spans="1:12" x14ac:dyDescent="0.25">
      <c r="A2209" s="1">
        <v>43444</v>
      </c>
      <c r="B2209" s="6">
        <v>206.82749999999999</v>
      </c>
      <c r="C2209" s="6">
        <v>10.660600000000001</v>
      </c>
      <c r="D2209" s="6">
        <v>9647.5400000000009</v>
      </c>
      <c r="E2209" s="6">
        <v>0.66</v>
      </c>
      <c r="F2209" s="6">
        <f t="shared" si="238"/>
        <v>7.3333333333333341E-3</v>
      </c>
      <c r="G2209">
        <f t="shared" si="239"/>
        <v>-0.90500794379359106</v>
      </c>
      <c r="H2209">
        <f t="shared" si="240"/>
        <v>-0.89247531747950171</v>
      </c>
      <c r="I2209">
        <f t="shared" si="241"/>
        <v>-1.1611657965265256</v>
      </c>
      <c r="J2209">
        <f t="shared" si="242"/>
        <v>-0.64194718737363188</v>
      </c>
      <c r="K2209">
        <f t="shared" si="243"/>
        <v>-0.91234127712692437</v>
      </c>
      <c r="L2209">
        <f t="shared" si="244"/>
        <v>-1.168499129859859</v>
      </c>
    </row>
    <row r="2210" spans="1:12" x14ac:dyDescent="0.25">
      <c r="A2210" s="1">
        <v>43445</v>
      </c>
      <c r="B2210" s="6">
        <v>210.13300000000001</v>
      </c>
      <c r="C2210" s="6">
        <v>10.564500000000001</v>
      </c>
      <c r="D2210" s="6">
        <v>9707.0400000000009</v>
      </c>
      <c r="E2210" s="6">
        <v>0.66</v>
      </c>
      <c r="F2210" s="6">
        <f t="shared" si="238"/>
        <v>7.3333333333333341E-3</v>
      </c>
      <c r="G2210">
        <f t="shared" si="239"/>
        <v>1.5981917298231731</v>
      </c>
      <c r="H2210">
        <f t="shared" si="240"/>
        <v>-0.9014501998011355</v>
      </c>
      <c r="I2210">
        <f t="shared" si="241"/>
        <v>0.61673753101826989</v>
      </c>
      <c r="J2210">
        <f t="shared" si="242"/>
        <v>1.1193695810326725</v>
      </c>
      <c r="K2210">
        <f t="shared" si="243"/>
        <v>1.5908583964898397</v>
      </c>
      <c r="L2210">
        <f t="shared" si="244"/>
        <v>0.60940419768493659</v>
      </c>
    </row>
    <row r="2211" spans="1:12" x14ac:dyDescent="0.25">
      <c r="A2211" s="1">
        <v>43446</v>
      </c>
      <c r="B2211" s="6">
        <v>213.91069999999999</v>
      </c>
      <c r="C2211" s="6">
        <v>10.852600000000001</v>
      </c>
      <c r="D2211" s="6">
        <v>9816.4500000000007</v>
      </c>
      <c r="E2211" s="6">
        <v>0.66</v>
      </c>
      <c r="F2211" s="6">
        <f t="shared" si="238"/>
        <v>7.3333333333333341E-3</v>
      </c>
      <c r="G2211">
        <f t="shared" si="239"/>
        <v>1.7977661766595354</v>
      </c>
      <c r="H2211">
        <f t="shared" si="240"/>
        <v>2.7270575985612191</v>
      </c>
      <c r="I2211">
        <f t="shared" si="241"/>
        <v>1.1271201107649689</v>
      </c>
      <c r="J2211">
        <f t="shared" si="242"/>
        <v>1.2597953822434926</v>
      </c>
      <c r="K2211">
        <f t="shared" si="243"/>
        <v>1.790432843326202</v>
      </c>
      <c r="L2211">
        <f t="shared" si="244"/>
        <v>1.1197867774316355</v>
      </c>
    </row>
    <row r="2212" spans="1:12" x14ac:dyDescent="0.25">
      <c r="A2212" s="1">
        <v>43447</v>
      </c>
      <c r="B2212" s="6">
        <v>213.4385</v>
      </c>
      <c r="C2212" s="6">
        <v>11.044700000000001</v>
      </c>
      <c r="D2212" s="6">
        <v>9858.76</v>
      </c>
      <c r="E2212" s="6">
        <v>0.66</v>
      </c>
      <c r="F2212" s="6">
        <f t="shared" si="238"/>
        <v>7.3333333333333341E-3</v>
      </c>
      <c r="G2212">
        <f t="shared" si="239"/>
        <v>-0.22074632077777626</v>
      </c>
      <c r="H2212">
        <f t="shared" si="240"/>
        <v>1.7700827451486272</v>
      </c>
      <c r="I2212">
        <f t="shared" si="241"/>
        <v>0.43101121077374699</v>
      </c>
      <c r="J2212">
        <f t="shared" si="242"/>
        <v>-0.1604828106811706</v>
      </c>
      <c r="K2212">
        <f t="shared" si="243"/>
        <v>-0.22807965411110959</v>
      </c>
      <c r="L2212">
        <f t="shared" si="244"/>
        <v>0.42367787744041363</v>
      </c>
    </row>
    <row r="2213" spans="1:12" x14ac:dyDescent="0.25">
      <c r="A2213" s="1">
        <v>43448</v>
      </c>
      <c r="B2213" s="6">
        <v>210.13300000000001</v>
      </c>
      <c r="C2213" s="6">
        <v>10.900700000000001</v>
      </c>
      <c r="D2213" s="6">
        <v>9774.16</v>
      </c>
      <c r="E2213" s="6">
        <v>0.66</v>
      </c>
      <c r="F2213" s="6">
        <f t="shared" si="238"/>
        <v>7.3333333333333341E-3</v>
      </c>
      <c r="G2213">
        <f t="shared" si="239"/>
        <v>-1.5486896693895407</v>
      </c>
      <c r="H2213">
        <f t="shared" si="240"/>
        <v>-1.3037927693826008</v>
      </c>
      <c r="I2213">
        <f t="shared" si="241"/>
        <v>-0.85812008812467655</v>
      </c>
      <c r="J2213">
        <f t="shared" si="242"/>
        <v>-1.0948584867630162</v>
      </c>
      <c r="K2213">
        <f t="shared" si="243"/>
        <v>-1.5560230027228741</v>
      </c>
      <c r="L2213">
        <f t="shared" si="244"/>
        <v>-0.86545342145800985</v>
      </c>
    </row>
    <row r="2214" spans="1:12" x14ac:dyDescent="0.25">
      <c r="A2214" s="1">
        <v>43451</v>
      </c>
      <c r="B2214" s="6">
        <v>211.07740000000001</v>
      </c>
      <c r="C2214" s="6">
        <v>10.948700000000001</v>
      </c>
      <c r="D2214" s="6">
        <v>9787.5300000000007</v>
      </c>
      <c r="E2214" s="6">
        <v>0.66</v>
      </c>
      <c r="F2214" s="6">
        <f t="shared" si="238"/>
        <v>7.3333333333333341E-3</v>
      </c>
      <c r="G2214">
        <f t="shared" si="239"/>
        <v>0.4494296469378925</v>
      </c>
      <c r="H2214">
        <f t="shared" si="240"/>
        <v>0.44033869384534974</v>
      </c>
      <c r="I2214">
        <f t="shared" si="241"/>
        <v>0.13678924838554721</v>
      </c>
      <c r="J2214">
        <f t="shared" si="242"/>
        <v>0.31107053049318012</v>
      </c>
      <c r="K2214">
        <f t="shared" si="243"/>
        <v>0.44209631360455914</v>
      </c>
      <c r="L2214">
        <f t="shared" si="244"/>
        <v>0.12945591505221388</v>
      </c>
    </row>
    <row r="2215" spans="1:12" x14ac:dyDescent="0.25">
      <c r="A2215" s="1">
        <v>43452</v>
      </c>
      <c r="B2215" s="6">
        <v>210.13300000000001</v>
      </c>
      <c r="C2215" s="6">
        <v>10.756600000000001</v>
      </c>
      <c r="D2215" s="6">
        <v>9718.82</v>
      </c>
      <c r="E2215" s="6">
        <v>0.66</v>
      </c>
      <c r="F2215" s="6">
        <f t="shared" si="238"/>
        <v>7.3333333333333341E-3</v>
      </c>
      <c r="G2215">
        <f t="shared" si="239"/>
        <v>-0.44741881414116413</v>
      </c>
      <c r="H2215">
        <f t="shared" si="240"/>
        <v>-1.7545462018321802</v>
      </c>
      <c r="I2215">
        <f t="shared" si="241"/>
        <v>-0.7020157281765772</v>
      </c>
      <c r="J2215">
        <f t="shared" si="242"/>
        <v>-0.31997550625209736</v>
      </c>
      <c r="K2215">
        <f t="shared" si="243"/>
        <v>-0.45475214747449749</v>
      </c>
      <c r="L2215">
        <f t="shared" si="244"/>
        <v>-0.70934906150991051</v>
      </c>
    </row>
    <row r="2216" spans="1:12" x14ac:dyDescent="0.25">
      <c r="A2216" s="1">
        <v>43453</v>
      </c>
      <c r="B2216" s="6">
        <v>212.96629999999999</v>
      </c>
      <c r="C2216" s="6">
        <v>10.852600000000001</v>
      </c>
      <c r="D2216" s="6">
        <v>9783.2099999999991</v>
      </c>
      <c r="E2216" s="6">
        <v>0.66</v>
      </c>
      <c r="F2216" s="6">
        <f t="shared" si="238"/>
        <v>7.3333333333333341E-3</v>
      </c>
      <c r="G2216">
        <f t="shared" si="239"/>
        <v>1.348336529721643</v>
      </c>
      <c r="H2216">
        <f t="shared" si="240"/>
        <v>0.89247531747950171</v>
      </c>
      <c r="I2216">
        <f t="shared" si="241"/>
        <v>0.6625289901448882</v>
      </c>
      <c r="J2216">
        <f t="shared" si="242"/>
        <v>0.94356492659354274</v>
      </c>
      <c r="K2216">
        <f t="shared" si="243"/>
        <v>1.3410031963883096</v>
      </c>
      <c r="L2216">
        <f t="shared" si="244"/>
        <v>0.65519565681155489</v>
      </c>
    </row>
    <row r="2217" spans="1:12" x14ac:dyDescent="0.25">
      <c r="A2217" s="1">
        <v>43454</v>
      </c>
      <c r="B2217" s="6">
        <v>208.71639999999999</v>
      </c>
      <c r="C2217" s="6">
        <v>10.852600000000001</v>
      </c>
      <c r="D2217" s="6">
        <v>9674.52</v>
      </c>
      <c r="E2217" s="6">
        <v>0.66</v>
      </c>
      <c r="F2217" s="6">
        <f t="shared" si="238"/>
        <v>7.3333333333333341E-3</v>
      </c>
      <c r="G2217">
        <f t="shared" si="239"/>
        <v>-1.9955739476151846</v>
      </c>
      <c r="H2217">
        <f t="shared" si="240"/>
        <v>0</v>
      </c>
      <c r="I2217">
        <f t="shared" si="241"/>
        <v>-1.1109850447859004</v>
      </c>
      <c r="J2217">
        <f t="shared" si="242"/>
        <v>-1.4092979544059316</v>
      </c>
      <c r="K2217">
        <f t="shared" si="243"/>
        <v>-2.0029072809485178</v>
      </c>
      <c r="L2217">
        <f t="shared" si="244"/>
        <v>-1.1183183781192338</v>
      </c>
    </row>
    <row r="2218" spans="1:12" x14ac:dyDescent="0.25">
      <c r="A2218" s="1">
        <v>43455</v>
      </c>
      <c r="B2218" s="6">
        <v>211.07740000000001</v>
      </c>
      <c r="C2218" s="6">
        <v>10.948700000000001</v>
      </c>
      <c r="D2218" s="6">
        <v>9676.67</v>
      </c>
      <c r="E2218" s="6">
        <v>0.66</v>
      </c>
      <c r="F2218" s="6">
        <f t="shared" si="238"/>
        <v>7.3333333333333341E-3</v>
      </c>
      <c r="G2218">
        <f t="shared" si="239"/>
        <v>1.1312000398627124</v>
      </c>
      <c r="H2218">
        <f t="shared" si="240"/>
        <v>0.88550209166466876</v>
      </c>
      <c r="I2218">
        <f t="shared" si="241"/>
        <v>2.2223324774765425E-2</v>
      </c>
      <c r="J2218">
        <f t="shared" si="242"/>
        <v>0.79078201252866509</v>
      </c>
      <c r="K2218">
        <f t="shared" si="243"/>
        <v>1.123866706529379</v>
      </c>
      <c r="L2218">
        <f t="shared" si="244"/>
        <v>1.4889991441432091E-2</v>
      </c>
    </row>
    <row r="2219" spans="1:12" x14ac:dyDescent="0.25">
      <c r="A2219" s="1">
        <v>43456</v>
      </c>
      <c r="B2219" s="6">
        <v>209.18860000000001</v>
      </c>
      <c r="C2219" s="6">
        <v>10.804600000000001</v>
      </c>
      <c r="D2219" s="6">
        <v>9646.16</v>
      </c>
      <c r="E2219" s="6">
        <v>0.66</v>
      </c>
      <c r="F2219" s="6">
        <f t="shared" si="238"/>
        <v>7.3333333333333341E-3</v>
      </c>
      <c r="G2219">
        <f t="shared" si="239"/>
        <v>-0.89483762828232827</v>
      </c>
      <c r="H2219">
        <f t="shared" si="240"/>
        <v>-1.3161379889849927</v>
      </c>
      <c r="I2219">
        <f t="shared" si="241"/>
        <v>-0.31529441429748267</v>
      </c>
      <c r="J2219">
        <f t="shared" si="242"/>
        <v>-0.63479108734742495</v>
      </c>
      <c r="K2219">
        <f t="shared" si="243"/>
        <v>-0.90217096161566157</v>
      </c>
      <c r="L2219">
        <f t="shared" si="244"/>
        <v>-0.32262774763081603</v>
      </c>
    </row>
    <row r="2220" spans="1:12" x14ac:dyDescent="0.25">
      <c r="A2220" s="1">
        <v>43458</v>
      </c>
      <c r="B2220" s="6">
        <v>207.77199999999999</v>
      </c>
      <c r="C2220" s="6">
        <v>10.756600000000001</v>
      </c>
      <c r="D2220" s="6">
        <v>9639.7000000000007</v>
      </c>
      <c r="E2220" s="6">
        <v>0.66</v>
      </c>
      <c r="F2220" s="6">
        <f t="shared" si="238"/>
        <v>7.3333333333333341E-3</v>
      </c>
      <c r="G2220">
        <f t="shared" si="239"/>
        <v>-0.67718795383688057</v>
      </c>
      <c r="H2220">
        <f t="shared" si="240"/>
        <v>-0.44425522462654832</v>
      </c>
      <c r="I2220">
        <f t="shared" si="241"/>
        <v>-6.6969654245825558E-2</v>
      </c>
      <c r="J2220">
        <f t="shared" si="242"/>
        <v>-0.48164708318372423</v>
      </c>
      <c r="K2220">
        <f t="shared" si="243"/>
        <v>-0.68452128717021388</v>
      </c>
      <c r="L2220">
        <f t="shared" si="244"/>
        <v>-7.4302987579158888E-2</v>
      </c>
    </row>
    <row r="2221" spans="1:12" x14ac:dyDescent="0.25">
      <c r="A2221" s="1">
        <v>43459</v>
      </c>
      <c r="B2221" s="6">
        <v>205.4109</v>
      </c>
      <c r="C2221" s="6">
        <v>10.708600000000001</v>
      </c>
      <c r="D2221" s="6">
        <v>9527.09</v>
      </c>
      <c r="E2221" s="6">
        <v>0.66</v>
      </c>
      <c r="F2221" s="6">
        <f t="shared" si="238"/>
        <v>7.3333333333333341E-3</v>
      </c>
      <c r="G2221">
        <f t="shared" si="239"/>
        <v>-1.1363898889166939</v>
      </c>
      <c r="H2221">
        <f t="shared" si="240"/>
        <v>-0.44623765873975085</v>
      </c>
      <c r="I2221">
        <f t="shared" si="241"/>
        <v>-1.1681898814278513</v>
      </c>
      <c r="J2221">
        <f t="shared" si="242"/>
        <v>-0.80475357639131506</v>
      </c>
      <c r="K2221">
        <f t="shared" si="243"/>
        <v>-1.1437232222500273</v>
      </c>
      <c r="L2221">
        <f t="shared" si="244"/>
        <v>-1.1755232147611847</v>
      </c>
    </row>
    <row r="2222" spans="1:12" x14ac:dyDescent="0.25">
      <c r="A2222" s="1">
        <v>43460</v>
      </c>
      <c r="B2222" s="6">
        <v>204.4665</v>
      </c>
      <c r="C2222" s="6">
        <v>10.756600000000001</v>
      </c>
      <c r="D2222" s="6">
        <v>9478.99</v>
      </c>
      <c r="E2222" s="6">
        <v>0.66</v>
      </c>
      <c r="F2222" s="6">
        <f t="shared" si="238"/>
        <v>7.3333333333333341E-3</v>
      </c>
      <c r="G2222">
        <f t="shared" si="239"/>
        <v>-0.45976138559346252</v>
      </c>
      <c r="H2222">
        <f t="shared" si="240"/>
        <v>0.44823786489363726</v>
      </c>
      <c r="I2222">
        <f t="shared" si="241"/>
        <v>-0.5048760954289333</v>
      </c>
      <c r="J2222">
        <f t="shared" si="242"/>
        <v>-0.32866006237972589</v>
      </c>
      <c r="K2222">
        <f t="shared" si="243"/>
        <v>-0.46709471892679588</v>
      </c>
      <c r="L2222">
        <f t="shared" si="244"/>
        <v>-0.51220942876226661</v>
      </c>
    </row>
    <row r="2223" spans="1:12" x14ac:dyDescent="0.25">
      <c r="A2223" s="1">
        <v>43461</v>
      </c>
      <c r="B2223" s="6">
        <v>210.6052</v>
      </c>
      <c r="C2223" s="6">
        <v>10.804600000000001</v>
      </c>
      <c r="D2223" s="6">
        <v>9641.56</v>
      </c>
      <c r="E2223" s="6">
        <v>0.66</v>
      </c>
      <c r="F2223" s="6">
        <f t="shared" si="238"/>
        <v>7.3333333333333341E-3</v>
      </c>
      <c r="G2223">
        <f t="shared" si="239"/>
        <v>3.0023011104508561</v>
      </c>
      <c r="H2223">
        <f t="shared" si="240"/>
        <v>0.44623765873975085</v>
      </c>
      <c r="I2223">
        <f t="shared" si="241"/>
        <v>1.7150561399473965</v>
      </c>
      <c r="J2223">
        <f t="shared" si="242"/>
        <v>2.1073376695722819</v>
      </c>
      <c r="K2223">
        <f t="shared" si="243"/>
        <v>2.9949677771175227</v>
      </c>
      <c r="L2223">
        <f t="shared" si="244"/>
        <v>1.7077228066140631</v>
      </c>
    </row>
    <row r="2224" spans="1:12" x14ac:dyDescent="0.25">
      <c r="A2224" s="1">
        <v>43462</v>
      </c>
      <c r="B2224" s="6">
        <v>212.96629999999999</v>
      </c>
      <c r="C2224" s="6">
        <v>10.804600000000001</v>
      </c>
      <c r="D2224" s="6">
        <v>9727.41</v>
      </c>
      <c r="E2224" s="6">
        <v>0.66</v>
      </c>
      <c r="F2224" s="6">
        <f t="shared" si="238"/>
        <v>7.3333333333333341E-3</v>
      </c>
      <c r="G2224">
        <f t="shared" si="239"/>
        <v>1.121102422922128</v>
      </c>
      <c r="H2224">
        <f t="shared" si="240"/>
        <v>0</v>
      </c>
      <c r="I2224">
        <f t="shared" si="241"/>
        <v>0.89041607374740572</v>
      </c>
      <c r="J2224">
        <f t="shared" si="242"/>
        <v>0.78367706511841795</v>
      </c>
      <c r="K2224">
        <f t="shared" si="243"/>
        <v>1.1137690895887946</v>
      </c>
      <c r="L2224">
        <f t="shared" si="244"/>
        <v>0.88308274041407242</v>
      </c>
    </row>
    <row r="2225" spans="1:12" x14ac:dyDescent="0.25">
      <c r="A2225" s="1">
        <v>43467</v>
      </c>
      <c r="B2225" s="6">
        <v>207.2998</v>
      </c>
      <c r="C2225" s="6">
        <v>10.660600000000001</v>
      </c>
      <c r="D2225" s="6">
        <v>9554.14</v>
      </c>
      <c r="E2225" s="6">
        <v>0.66</v>
      </c>
      <c r="F2225" s="6">
        <f t="shared" si="238"/>
        <v>7.3333333333333341E-3</v>
      </c>
      <c r="G2225">
        <f t="shared" si="239"/>
        <v>-2.6607496115582538</v>
      </c>
      <c r="H2225">
        <f t="shared" si="240"/>
        <v>-1.332765673879645</v>
      </c>
      <c r="I2225">
        <f t="shared" si="241"/>
        <v>-1.7812552364915268</v>
      </c>
      <c r="J2225">
        <f t="shared" si="242"/>
        <v>-1.8773329510492289</v>
      </c>
      <c r="K2225">
        <f t="shared" si="243"/>
        <v>-2.6680829448915873</v>
      </c>
      <c r="L2225">
        <f t="shared" si="244"/>
        <v>-1.7885885698248603</v>
      </c>
    </row>
    <row r="2226" spans="1:12" x14ac:dyDescent="0.25">
      <c r="A2226" s="1">
        <v>43468</v>
      </c>
      <c r="B2226" s="6">
        <v>203.52209999999999</v>
      </c>
      <c r="C2226" s="6">
        <v>10.468500000000001</v>
      </c>
      <c r="D2226" s="6">
        <v>9492.42</v>
      </c>
      <c r="E2226" s="6">
        <v>0.66</v>
      </c>
      <c r="F2226" s="6">
        <f t="shared" si="238"/>
        <v>7.3333333333333341E-3</v>
      </c>
      <c r="G2226">
        <f t="shared" si="239"/>
        <v>-1.8223365386749095</v>
      </c>
      <c r="H2226">
        <f t="shared" si="240"/>
        <v>-1.8019623660957163</v>
      </c>
      <c r="I2226">
        <f t="shared" si="241"/>
        <v>-0.64600267528002886</v>
      </c>
      <c r="J2226">
        <f t="shared" si="242"/>
        <v>-1.2874035819762233</v>
      </c>
      <c r="K2226">
        <f t="shared" si="243"/>
        <v>-1.8296698720082429</v>
      </c>
      <c r="L2226">
        <f t="shared" si="244"/>
        <v>-0.65333600861336216</v>
      </c>
    </row>
    <row r="2227" spans="1:12" x14ac:dyDescent="0.25">
      <c r="A2227" s="1">
        <v>43469</v>
      </c>
      <c r="B2227" s="6">
        <v>196.43889999999999</v>
      </c>
      <c r="C2227" s="6">
        <v>10.276400000000001</v>
      </c>
      <c r="D2227" s="6">
        <v>9382.51</v>
      </c>
      <c r="E2227" s="6">
        <v>0.66</v>
      </c>
      <c r="F2227" s="6">
        <f t="shared" si="238"/>
        <v>7.3333333333333341E-3</v>
      </c>
      <c r="G2227">
        <f t="shared" si="239"/>
        <v>-3.4803100007321097</v>
      </c>
      <c r="H2227">
        <f t="shared" si="240"/>
        <v>-1.8350288962124461</v>
      </c>
      <c r="I2227">
        <f t="shared" si="241"/>
        <v>-1.1578712277796375</v>
      </c>
      <c r="J2227">
        <f t="shared" si="242"/>
        <v>-2.4539970787206147</v>
      </c>
      <c r="K2227">
        <f t="shared" si="243"/>
        <v>-3.4876433340654431</v>
      </c>
      <c r="L2227">
        <f t="shared" si="244"/>
        <v>-1.1652045611129709</v>
      </c>
    </row>
    <row r="2228" spans="1:12" x14ac:dyDescent="0.25">
      <c r="A2228" s="1">
        <v>43472</v>
      </c>
      <c r="B2228" s="6">
        <v>201.161</v>
      </c>
      <c r="C2228" s="6">
        <v>10.564500000000001</v>
      </c>
      <c r="D2228" s="6">
        <v>9590.2999999999993</v>
      </c>
      <c r="E2228" s="6">
        <v>0.66</v>
      </c>
      <c r="F2228" s="6">
        <f t="shared" si="238"/>
        <v>7.3333333333333341E-3</v>
      </c>
      <c r="G2228">
        <f t="shared" si="239"/>
        <v>2.4038517829208024</v>
      </c>
      <c r="H2228">
        <f t="shared" si="240"/>
        <v>2.8035109571445256</v>
      </c>
      <c r="I2228">
        <f t="shared" si="241"/>
        <v>2.2146525823047249</v>
      </c>
      <c r="J2228">
        <f t="shared" si="242"/>
        <v>1.6862530686394297</v>
      </c>
      <c r="K2228">
        <f t="shared" si="243"/>
        <v>2.396518449587469</v>
      </c>
      <c r="L2228">
        <f t="shared" si="244"/>
        <v>2.2073192489713915</v>
      </c>
    </row>
    <row r="2229" spans="1:12" x14ac:dyDescent="0.25">
      <c r="A2229" s="1">
        <v>43473</v>
      </c>
      <c r="B2229" s="6">
        <v>199.2722</v>
      </c>
      <c r="C2229" s="6">
        <v>10.516500000000001</v>
      </c>
      <c r="D2229" s="6">
        <v>9563.6</v>
      </c>
      <c r="E2229" s="6">
        <v>0.66</v>
      </c>
      <c r="F2229" s="6">
        <f t="shared" si="238"/>
        <v>7.3333333333333341E-3</v>
      </c>
      <c r="G2229">
        <f t="shared" si="239"/>
        <v>-0.93894939874031413</v>
      </c>
      <c r="H2229">
        <f t="shared" si="240"/>
        <v>-0.45435183870509765</v>
      </c>
      <c r="I2229">
        <f t="shared" si="241"/>
        <v>-0.2784063063720521</v>
      </c>
      <c r="J2229">
        <f t="shared" si="242"/>
        <v>-0.6658292829059449</v>
      </c>
      <c r="K2229">
        <f t="shared" si="243"/>
        <v>-0.94628273207364744</v>
      </c>
      <c r="L2229">
        <f t="shared" si="244"/>
        <v>-0.28573963970538546</v>
      </c>
    </row>
    <row r="2230" spans="1:12" x14ac:dyDescent="0.25">
      <c r="A2230" s="1">
        <v>43474</v>
      </c>
      <c r="B2230" s="6">
        <v>203.52209999999999</v>
      </c>
      <c r="C2230" s="6">
        <v>10.660600000000001</v>
      </c>
      <c r="D2230" s="6">
        <v>9738.31</v>
      </c>
      <c r="E2230" s="6">
        <v>0.66</v>
      </c>
      <c r="F2230" s="6">
        <f t="shared" si="238"/>
        <v>7.3333333333333341E-3</v>
      </c>
      <c r="G2230">
        <f t="shared" si="239"/>
        <v>2.1327109350928009</v>
      </c>
      <c r="H2230">
        <f t="shared" si="240"/>
        <v>1.370227737365092</v>
      </c>
      <c r="I2230">
        <f t="shared" si="241"/>
        <v>1.8268225354468937</v>
      </c>
      <c r="J2230">
        <f t="shared" si="242"/>
        <v>1.4954712756754875</v>
      </c>
      <c r="K2230">
        <f t="shared" si="243"/>
        <v>2.1253776017594674</v>
      </c>
      <c r="L2230">
        <f t="shared" si="244"/>
        <v>1.8194892021135602</v>
      </c>
    </row>
    <row r="2231" spans="1:12" x14ac:dyDescent="0.25">
      <c r="A2231" s="1">
        <v>43475</v>
      </c>
      <c r="B2231" s="6">
        <v>203.99430000000001</v>
      </c>
      <c r="C2231" s="6">
        <v>10.708600000000001</v>
      </c>
      <c r="D2231" s="6">
        <v>9720.69</v>
      </c>
      <c r="E2231" s="6">
        <v>0.66</v>
      </c>
      <c r="F2231" s="6">
        <f t="shared" si="238"/>
        <v>7.3333333333333341E-3</v>
      </c>
      <c r="G2231">
        <f t="shared" si="239"/>
        <v>0.23201411542039663</v>
      </c>
      <c r="H2231">
        <f t="shared" si="240"/>
        <v>0.45025608314729038</v>
      </c>
      <c r="I2231">
        <f t="shared" si="241"/>
        <v>-0.18093488500570409</v>
      </c>
      <c r="J2231">
        <f t="shared" si="242"/>
        <v>0.15809127541823642</v>
      </c>
      <c r="K2231">
        <f t="shared" si="243"/>
        <v>0.2246807820870633</v>
      </c>
      <c r="L2231">
        <f t="shared" si="244"/>
        <v>-0.18826821833903742</v>
      </c>
    </row>
    <row r="2232" spans="1:12" x14ac:dyDescent="0.25">
      <c r="A2232" s="1">
        <v>43476</v>
      </c>
      <c r="B2232" s="6">
        <v>208.24420000000001</v>
      </c>
      <c r="C2232" s="6">
        <v>10.756600000000001</v>
      </c>
      <c r="D2232" s="6">
        <v>9759.4</v>
      </c>
      <c r="E2232" s="6">
        <v>0.66</v>
      </c>
      <c r="F2232" s="6">
        <f t="shared" si="238"/>
        <v>7.3333333333333341E-3</v>
      </c>
      <c r="G2232">
        <f t="shared" si="239"/>
        <v>2.0833425247666217</v>
      </c>
      <c r="H2232">
        <f t="shared" si="240"/>
        <v>0.44823786489363726</v>
      </c>
      <c r="I2232">
        <f t="shared" si="241"/>
        <v>0.39822275990695233</v>
      </c>
      <c r="J2232">
        <f t="shared" si="242"/>
        <v>1.4607343708038809</v>
      </c>
      <c r="K2232">
        <f t="shared" si="243"/>
        <v>2.0760091914332883</v>
      </c>
      <c r="L2232">
        <f t="shared" si="244"/>
        <v>0.39088942657361897</v>
      </c>
    </row>
    <row r="2233" spans="1:12" x14ac:dyDescent="0.25">
      <c r="A2233" s="1">
        <v>43479</v>
      </c>
      <c r="B2233" s="6">
        <v>206.3553</v>
      </c>
      <c r="C2233" s="6">
        <v>10.660600000000001</v>
      </c>
      <c r="D2233" s="6">
        <v>9708.2199999999993</v>
      </c>
      <c r="E2233" s="6">
        <v>0.66</v>
      </c>
      <c r="F2233" s="6">
        <f t="shared" si="238"/>
        <v>7.3333333333333341E-3</v>
      </c>
      <c r="G2233">
        <f t="shared" si="239"/>
        <v>-0.90706007658316856</v>
      </c>
      <c r="H2233">
        <f t="shared" si="240"/>
        <v>-0.89247531747950171</v>
      </c>
      <c r="I2233">
        <f t="shared" si="241"/>
        <v>-0.52441748468143834</v>
      </c>
      <c r="J2233">
        <f t="shared" si="242"/>
        <v>-0.64339112168353729</v>
      </c>
      <c r="K2233">
        <f t="shared" si="243"/>
        <v>-0.91439340991650186</v>
      </c>
      <c r="L2233">
        <f t="shared" si="244"/>
        <v>-0.53175081801477164</v>
      </c>
    </row>
    <row r="2234" spans="1:12" x14ac:dyDescent="0.25">
      <c r="A2234" s="1">
        <v>43480</v>
      </c>
      <c r="B2234" s="6">
        <v>208.71639999999999</v>
      </c>
      <c r="C2234" s="6">
        <v>10.804600000000001</v>
      </c>
      <c r="D2234" s="6">
        <v>9806.0400000000009</v>
      </c>
      <c r="E2234" s="6">
        <v>0.66</v>
      </c>
      <c r="F2234" s="6">
        <f t="shared" si="238"/>
        <v>7.3333333333333341E-3</v>
      </c>
      <c r="G2234">
        <f t="shared" si="239"/>
        <v>1.1441915957574114</v>
      </c>
      <c r="H2234">
        <f t="shared" si="240"/>
        <v>1.3507682494418711</v>
      </c>
      <c r="I2234">
        <f t="shared" si="241"/>
        <v>1.007599745370434</v>
      </c>
      <c r="J2234">
        <f t="shared" si="242"/>
        <v>0.79992321108593378</v>
      </c>
      <c r="K2234">
        <f t="shared" si="243"/>
        <v>1.1368582624240779</v>
      </c>
      <c r="L2234">
        <f t="shared" si="244"/>
        <v>1.0002664120371005</v>
      </c>
    </row>
    <row r="2235" spans="1:12" x14ac:dyDescent="0.25">
      <c r="A2235" s="1">
        <v>43481</v>
      </c>
      <c r="B2235" s="6">
        <v>205.4109</v>
      </c>
      <c r="C2235" s="6">
        <v>10.852600000000001</v>
      </c>
      <c r="D2235" s="6">
        <v>9763.81</v>
      </c>
      <c r="E2235" s="6">
        <v>0.66</v>
      </c>
      <c r="F2235" s="6">
        <f t="shared" si="238"/>
        <v>7.3333333333333341E-3</v>
      </c>
      <c r="G2235">
        <f t="shared" si="239"/>
        <v>-1.5837279677112077</v>
      </c>
      <c r="H2235">
        <f t="shared" si="240"/>
        <v>0.44425522462654832</v>
      </c>
      <c r="I2235">
        <f t="shared" si="241"/>
        <v>-0.43065294451176395</v>
      </c>
      <c r="J2235">
        <f t="shared" si="242"/>
        <v>-1.1195123499848851</v>
      </c>
      <c r="K2235">
        <f t="shared" si="243"/>
        <v>-1.5910613010445411</v>
      </c>
      <c r="L2235">
        <f t="shared" si="244"/>
        <v>-0.4379862778450973</v>
      </c>
    </row>
    <row r="2236" spans="1:12" x14ac:dyDescent="0.25">
      <c r="A2236" s="1">
        <v>43482</v>
      </c>
      <c r="B2236" s="6">
        <v>208.24420000000001</v>
      </c>
      <c r="C2236" s="6">
        <v>10.804600000000001</v>
      </c>
      <c r="D2236" s="6">
        <v>9789.15</v>
      </c>
      <c r="E2236" s="6">
        <v>0.66</v>
      </c>
      <c r="F2236" s="6">
        <f t="shared" si="238"/>
        <v>7.3333333333333341E-3</v>
      </c>
      <c r="G2236">
        <f t="shared" si="239"/>
        <v>1.3793328396886477</v>
      </c>
      <c r="H2236">
        <f t="shared" si="240"/>
        <v>-0.44229032674197927</v>
      </c>
      <c r="I2236">
        <f t="shared" si="241"/>
        <v>0.2595298351770482</v>
      </c>
      <c r="J2236">
        <f t="shared" si="242"/>
        <v>0.96537474107978538</v>
      </c>
      <c r="K2236">
        <f t="shared" si="243"/>
        <v>1.3719995063553143</v>
      </c>
      <c r="L2236">
        <f t="shared" si="244"/>
        <v>0.25219650184371484</v>
      </c>
    </row>
    <row r="2237" spans="1:12" x14ac:dyDescent="0.25">
      <c r="A2237" s="1">
        <v>43483</v>
      </c>
      <c r="B2237" s="6">
        <v>206.3553</v>
      </c>
      <c r="C2237" s="6">
        <v>10.948700000000001</v>
      </c>
      <c r="D2237" s="6">
        <v>9836.06</v>
      </c>
      <c r="E2237" s="6">
        <v>0.66</v>
      </c>
      <c r="F2237" s="6">
        <f t="shared" si="238"/>
        <v>7.3333333333333341E-3</v>
      </c>
      <c r="G2237">
        <f t="shared" si="239"/>
        <v>-0.90706007658316856</v>
      </c>
      <c r="H2237">
        <f t="shared" si="240"/>
        <v>1.3336912055976147</v>
      </c>
      <c r="I2237">
        <f t="shared" si="241"/>
        <v>0.47920401669194829</v>
      </c>
      <c r="J2237">
        <f t="shared" si="242"/>
        <v>-0.64339112168353729</v>
      </c>
      <c r="K2237">
        <f t="shared" si="243"/>
        <v>-0.91439340991650186</v>
      </c>
      <c r="L2237">
        <f t="shared" si="244"/>
        <v>0.47187068335861493</v>
      </c>
    </row>
    <row r="2238" spans="1:12" x14ac:dyDescent="0.25">
      <c r="A2238" s="1">
        <v>43486</v>
      </c>
      <c r="B2238" s="6">
        <v>208.71639999999999</v>
      </c>
      <c r="C2238" s="6">
        <v>11.236800000000001</v>
      </c>
      <c r="D2238" s="6">
        <v>9889.4</v>
      </c>
      <c r="E2238" s="6">
        <v>0.66</v>
      </c>
      <c r="F2238" s="6">
        <f t="shared" si="238"/>
        <v>7.3333333333333341E-3</v>
      </c>
      <c r="G2238">
        <f t="shared" si="239"/>
        <v>1.1441915957574114</v>
      </c>
      <c r="H2238">
        <f t="shared" si="240"/>
        <v>2.6313626275265558</v>
      </c>
      <c r="I2238">
        <f t="shared" si="241"/>
        <v>0.54229030729784233</v>
      </c>
      <c r="J2238">
        <f t="shared" si="242"/>
        <v>0.79992321108593378</v>
      </c>
      <c r="K2238">
        <f t="shared" si="243"/>
        <v>1.1368582624240779</v>
      </c>
      <c r="L2238">
        <f t="shared" si="244"/>
        <v>0.53495697396450903</v>
      </c>
    </row>
    <row r="2239" spans="1:12" x14ac:dyDescent="0.25">
      <c r="A2239" s="1">
        <v>43487</v>
      </c>
      <c r="B2239" s="6">
        <v>210.6052</v>
      </c>
      <c r="C2239" s="6">
        <v>11.236800000000001</v>
      </c>
      <c r="D2239" s="6">
        <v>9894.66</v>
      </c>
      <c r="E2239" s="6">
        <v>0.66</v>
      </c>
      <c r="F2239" s="6">
        <f t="shared" si="238"/>
        <v>7.3333333333333341E-3</v>
      </c>
      <c r="G2239">
        <f t="shared" si="239"/>
        <v>0.90496003189016461</v>
      </c>
      <c r="H2239">
        <f t="shared" si="240"/>
        <v>0</v>
      </c>
      <c r="I2239">
        <f t="shared" si="241"/>
        <v>5.3188262179709775E-2</v>
      </c>
      <c r="J2239">
        <f t="shared" si="242"/>
        <v>0.63159362499157445</v>
      </c>
      <c r="K2239">
        <f t="shared" si="243"/>
        <v>0.8976266985568313</v>
      </c>
      <c r="L2239">
        <f t="shared" si="244"/>
        <v>4.5854928846376444E-2</v>
      </c>
    </row>
    <row r="2240" spans="1:12" x14ac:dyDescent="0.25">
      <c r="A2240" s="1">
        <v>43488</v>
      </c>
      <c r="B2240" s="6">
        <v>208.24420000000001</v>
      </c>
      <c r="C2240" s="6">
        <v>11.092700000000001</v>
      </c>
      <c r="D2240" s="6">
        <v>9846.4</v>
      </c>
      <c r="E2240" s="6">
        <v>0.66</v>
      </c>
      <c r="F2240" s="6">
        <f t="shared" si="238"/>
        <v>7.3333333333333341E-3</v>
      </c>
      <c r="G2240">
        <f t="shared" si="239"/>
        <v>-1.1210549407137098</v>
      </c>
      <c r="H2240">
        <f t="shared" si="240"/>
        <v>-1.2823935640039859</v>
      </c>
      <c r="I2240">
        <f t="shared" si="241"/>
        <v>-0.48773783030442902</v>
      </c>
      <c r="J2240">
        <f t="shared" si="242"/>
        <v>-0.79396350570808716</v>
      </c>
      <c r="K2240">
        <f t="shared" si="243"/>
        <v>-1.1283882740470432</v>
      </c>
      <c r="L2240">
        <f t="shared" si="244"/>
        <v>-0.49507116363776238</v>
      </c>
    </row>
    <row r="2241" spans="1:12" x14ac:dyDescent="0.25">
      <c r="A2241" s="1">
        <v>43489</v>
      </c>
      <c r="B2241" s="6">
        <v>210.13300000000001</v>
      </c>
      <c r="C2241" s="6">
        <v>11.236800000000001</v>
      </c>
      <c r="D2241" s="6">
        <v>9877.1200000000008</v>
      </c>
      <c r="E2241" s="6">
        <v>0.66</v>
      </c>
      <c r="F2241" s="6">
        <f t="shared" si="238"/>
        <v>7.3333333333333341E-3</v>
      </c>
      <c r="G2241">
        <f t="shared" si="239"/>
        <v>0.9070120560380569</v>
      </c>
      <c r="H2241">
        <f t="shared" si="240"/>
        <v>1.2990525300422791</v>
      </c>
      <c r="I2241">
        <f t="shared" si="241"/>
        <v>0.31199220019500695</v>
      </c>
      <c r="J2241">
        <f t="shared" si="242"/>
        <v>0.63303748285834827</v>
      </c>
      <c r="K2241">
        <f t="shared" si="243"/>
        <v>0.8996787227047236</v>
      </c>
      <c r="L2241">
        <f t="shared" si="244"/>
        <v>0.30465886686167359</v>
      </c>
    </row>
    <row r="2242" spans="1:12" x14ac:dyDescent="0.25">
      <c r="A2242" s="1">
        <v>43490</v>
      </c>
      <c r="B2242" s="6">
        <v>213.4385</v>
      </c>
      <c r="C2242" s="6">
        <v>11.476900000000001</v>
      </c>
      <c r="D2242" s="6">
        <v>9969.61</v>
      </c>
      <c r="E2242" s="6">
        <v>0.66</v>
      </c>
      <c r="F2242" s="6">
        <f t="shared" si="238"/>
        <v>7.3333333333333341E-3</v>
      </c>
      <c r="G2242">
        <f t="shared" si="239"/>
        <v>1.5730513531905959</v>
      </c>
      <c r="H2242">
        <f t="shared" si="240"/>
        <v>2.1367293179552895</v>
      </c>
      <c r="I2242">
        <f t="shared" si="241"/>
        <v>0.93640656385666854</v>
      </c>
      <c r="J2242">
        <f t="shared" si="242"/>
        <v>1.1016801544185224</v>
      </c>
      <c r="K2242">
        <f t="shared" si="243"/>
        <v>1.5657180198572624</v>
      </c>
      <c r="L2242">
        <f t="shared" si="244"/>
        <v>0.92907323052333524</v>
      </c>
    </row>
    <row r="2243" spans="1:12" x14ac:dyDescent="0.25">
      <c r="A2243" s="1">
        <v>43493</v>
      </c>
      <c r="B2243" s="6">
        <v>216.27170000000001</v>
      </c>
      <c r="C2243" s="6">
        <v>11.3809</v>
      </c>
      <c r="D2243" s="6">
        <v>10013.33</v>
      </c>
      <c r="E2243" s="6">
        <v>0.66</v>
      </c>
      <c r="F2243" s="6">
        <f t="shared" ref="F2243:F2306" si="245">E2243/90</f>
        <v>7.3333333333333341E-3</v>
      </c>
      <c r="G2243">
        <f t="shared" si="239"/>
        <v>1.3274081292737745</v>
      </c>
      <c r="H2243">
        <f t="shared" si="240"/>
        <v>-0.83646280790108896</v>
      </c>
      <c r="I2243">
        <f t="shared" si="241"/>
        <v>0.43853270087796153</v>
      </c>
      <c r="J2243">
        <f t="shared" si="242"/>
        <v>0.92883915659873717</v>
      </c>
      <c r="K2243">
        <f t="shared" si="243"/>
        <v>1.3200747959404411</v>
      </c>
      <c r="L2243">
        <f t="shared" si="244"/>
        <v>0.43119936754462818</v>
      </c>
    </row>
    <row r="2244" spans="1:12" x14ac:dyDescent="0.25">
      <c r="A2244" s="1">
        <v>43494</v>
      </c>
      <c r="B2244" s="6">
        <v>210.13300000000001</v>
      </c>
      <c r="C2244" s="6">
        <v>11.524900000000001</v>
      </c>
      <c r="D2244" s="6">
        <v>9931.59</v>
      </c>
      <c r="E2244" s="6">
        <v>0.66</v>
      </c>
      <c r="F2244" s="6">
        <f t="shared" si="245"/>
        <v>7.3333333333333341E-3</v>
      </c>
      <c r="G2244">
        <f t="shared" ref="G2244:G2307" si="246">100*(B2244-B2243)/B2243</f>
        <v>-2.8384203758513018</v>
      </c>
      <c r="H2244">
        <f t="shared" ref="H2244:H2307" si="247">100*(C2244-C2243)/C2243</f>
        <v>1.2652777899814613</v>
      </c>
      <c r="I2244">
        <f t="shared" ref="I2244:I2307" si="248">100*(D2244-D2243)/D2243</f>
        <v>-0.8163118562955558</v>
      </c>
      <c r="J2244">
        <f t="shared" ref="J2244:J2307" si="249">(G2244-F2244)/$N$3</f>
        <v>-2.002346748271711</v>
      </c>
      <c r="K2244">
        <f t="shared" ref="K2244:K2307" si="250">G2244-F2244</f>
        <v>-2.8457537091846352</v>
      </c>
      <c r="L2244">
        <f t="shared" ref="L2244:L2307" si="251">I2244-F2244</f>
        <v>-0.82364518962888911</v>
      </c>
    </row>
    <row r="2245" spans="1:12" x14ac:dyDescent="0.25">
      <c r="A2245" s="1">
        <v>43495</v>
      </c>
      <c r="B2245" s="6">
        <v>208.71639999999999</v>
      </c>
      <c r="C2245" s="6">
        <v>10.900700000000001</v>
      </c>
      <c r="D2245" s="6">
        <v>9932.26</v>
      </c>
      <c r="E2245" s="6">
        <v>0.66</v>
      </c>
      <c r="F2245" s="6">
        <f t="shared" si="245"/>
        <v>7.3333333333333341E-3</v>
      </c>
      <c r="G2245">
        <f t="shared" si="246"/>
        <v>-0.67414447040684555</v>
      </c>
      <c r="H2245">
        <f t="shared" si="247"/>
        <v>-5.4160990550894157</v>
      </c>
      <c r="I2245">
        <f t="shared" si="248"/>
        <v>6.7461504149896722E-3</v>
      </c>
      <c r="J2245">
        <f t="shared" si="249"/>
        <v>-0.47950560863169928</v>
      </c>
      <c r="K2245">
        <f t="shared" si="250"/>
        <v>-0.68147780374017886</v>
      </c>
      <c r="L2245">
        <f t="shared" si="251"/>
        <v>-5.8718291834366186E-4</v>
      </c>
    </row>
    <row r="2246" spans="1:12" x14ac:dyDescent="0.25">
      <c r="A2246" s="1">
        <v>43507</v>
      </c>
      <c r="B2246" s="6">
        <v>215.32730000000001</v>
      </c>
      <c r="C2246" s="6">
        <v>10.420400000000001</v>
      </c>
      <c r="D2246" s="6">
        <v>10004.25</v>
      </c>
      <c r="E2246" s="6">
        <v>0.66</v>
      </c>
      <c r="F2246" s="6">
        <f t="shared" si="245"/>
        <v>7.3333333333333341E-3</v>
      </c>
      <c r="G2246">
        <f t="shared" si="246"/>
        <v>3.1674080235190023</v>
      </c>
      <c r="H2246">
        <f t="shared" si="247"/>
        <v>-4.4061390552900246</v>
      </c>
      <c r="I2246">
        <f t="shared" si="248"/>
        <v>0.72480986200522113</v>
      </c>
      <c r="J2246">
        <f t="shared" si="249"/>
        <v>2.2235112124309526</v>
      </c>
      <c r="K2246">
        <f t="shared" si="250"/>
        <v>3.1600746901856689</v>
      </c>
      <c r="L2246">
        <f t="shared" si="251"/>
        <v>0.71747652867188783</v>
      </c>
    </row>
    <row r="2247" spans="1:12" x14ac:dyDescent="0.25">
      <c r="A2247" s="1">
        <v>43508</v>
      </c>
      <c r="B2247" s="6">
        <v>217.21610000000001</v>
      </c>
      <c r="C2247" s="6">
        <v>10.660600000000001</v>
      </c>
      <c r="D2247" s="6">
        <v>10097.74</v>
      </c>
      <c r="E2247" s="6">
        <v>0.66</v>
      </c>
      <c r="F2247" s="6">
        <f t="shared" si="245"/>
        <v>7.3333333333333341E-3</v>
      </c>
      <c r="G2247">
        <f t="shared" si="246"/>
        <v>0.87717628001651593</v>
      </c>
      <c r="H2247">
        <f t="shared" si="247"/>
        <v>2.3050938543625938</v>
      </c>
      <c r="I2247">
        <f t="shared" si="248"/>
        <v>0.93450283629457265</v>
      </c>
      <c r="J2247">
        <f t="shared" si="249"/>
        <v>0.61204425041308064</v>
      </c>
      <c r="K2247">
        <f t="shared" si="250"/>
        <v>0.86984294668318263</v>
      </c>
      <c r="L2247">
        <f t="shared" si="251"/>
        <v>0.92716950296123934</v>
      </c>
    </row>
    <row r="2248" spans="1:12" x14ac:dyDescent="0.25">
      <c r="A2248" s="1">
        <v>43509</v>
      </c>
      <c r="B2248" s="6">
        <v>216.27170000000001</v>
      </c>
      <c r="C2248" s="6">
        <v>10.660600000000001</v>
      </c>
      <c r="D2248" s="6">
        <v>10090.58</v>
      </c>
      <c r="E2248" s="6">
        <v>0.66</v>
      </c>
      <c r="F2248" s="6">
        <f t="shared" si="245"/>
        <v>7.3333333333333341E-3</v>
      </c>
      <c r="G2248">
        <f t="shared" si="246"/>
        <v>-0.43477440208161439</v>
      </c>
      <c r="H2248">
        <f t="shared" si="247"/>
        <v>0</v>
      </c>
      <c r="I2248">
        <f t="shared" si="248"/>
        <v>-7.0906955417745499E-2</v>
      </c>
      <c r="J2248">
        <f t="shared" si="249"/>
        <v>-0.3110785671777383</v>
      </c>
      <c r="K2248">
        <f t="shared" si="250"/>
        <v>-0.44210773541494774</v>
      </c>
      <c r="L2248">
        <f t="shared" si="251"/>
        <v>-7.8240288751078829E-2</v>
      </c>
    </row>
    <row r="2249" spans="1:12" x14ac:dyDescent="0.25">
      <c r="A2249" s="1">
        <v>43510</v>
      </c>
      <c r="B2249" s="6">
        <v>214.38290000000001</v>
      </c>
      <c r="C2249" s="6">
        <v>10.852600000000001</v>
      </c>
      <c r="D2249" s="6">
        <v>10089.01</v>
      </c>
      <c r="E2249" s="6">
        <v>0.66</v>
      </c>
      <c r="F2249" s="6">
        <f t="shared" si="245"/>
        <v>7.3333333333333341E-3</v>
      </c>
      <c r="G2249">
        <f t="shared" si="246"/>
        <v>-0.87334588852818162</v>
      </c>
      <c r="H2249">
        <f t="shared" si="247"/>
        <v>1.8010243325891615</v>
      </c>
      <c r="I2249">
        <f t="shared" si="248"/>
        <v>-1.5559065980347106E-2</v>
      </c>
      <c r="J2249">
        <f t="shared" si="249"/>
        <v>-0.61966893708103832</v>
      </c>
      <c r="K2249">
        <f t="shared" si="250"/>
        <v>-0.88067922186151493</v>
      </c>
      <c r="L2249">
        <f t="shared" si="251"/>
        <v>-2.289239931368044E-2</v>
      </c>
    </row>
    <row r="2250" spans="1:12" x14ac:dyDescent="0.25">
      <c r="A2250" s="1">
        <v>43511</v>
      </c>
      <c r="B2250" s="6">
        <v>214.38290000000001</v>
      </c>
      <c r="C2250" s="6">
        <v>10.948700000000001</v>
      </c>
      <c r="D2250" s="6">
        <v>10064.780000000001</v>
      </c>
      <c r="E2250" s="6">
        <v>0.66</v>
      </c>
      <c r="F2250" s="6">
        <f t="shared" si="245"/>
        <v>7.3333333333333341E-3</v>
      </c>
      <c r="G2250">
        <f t="shared" si="246"/>
        <v>0</v>
      </c>
      <c r="H2250">
        <f t="shared" si="247"/>
        <v>0.88550209166466876</v>
      </c>
      <c r="I2250">
        <f t="shared" si="248"/>
        <v>-0.24016231523211456</v>
      </c>
      <c r="J2250">
        <f t="shared" si="249"/>
        <v>-5.1599251567697223E-3</v>
      </c>
      <c r="K2250">
        <f t="shared" si="250"/>
        <v>-7.3333333333333341E-3</v>
      </c>
      <c r="L2250">
        <f t="shared" si="251"/>
        <v>-0.2474956485654479</v>
      </c>
    </row>
    <row r="2251" spans="1:12" x14ac:dyDescent="0.25">
      <c r="A2251" s="1">
        <v>43514</v>
      </c>
      <c r="B2251" s="6">
        <v>217.21610000000001</v>
      </c>
      <c r="C2251" s="6">
        <v>10.996700000000001</v>
      </c>
      <c r="D2251" s="6">
        <v>10145.280000000001</v>
      </c>
      <c r="E2251" s="6">
        <v>0.66</v>
      </c>
      <c r="F2251" s="6">
        <f t="shared" si="245"/>
        <v>7.3333333333333341E-3</v>
      </c>
      <c r="G2251">
        <f t="shared" si="246"/>
        <v>1.3215606282030912</v>
      </c>
      <c r="H2251">
        <f t="shared" si="247"/>
        <v>0.43840821284718773</v>
      </c>
      <c r="I2251">
        <f t="shared" si="248"/>
        <v>0.79981877398214363</v>
      </c>
      <c r="J2251">
        <f t="shared" si="249"/>
        <v>0.92472470188798395</v>
      </c>
      <c r="K2251">
        <f t="shared" si="250"/>
        <v>1.3142272948697578</v>
      </c>
      <c r="L2251">
        <f t="shared" si="251"/>
        <v>0.79248544064881032</v>
      </c>
    </row>
    <row r="2252" spans="1:12" x14ac:dyDescent="0.25">
      <c r="A2252" s="1">
        <v>43515</v>
      </c>
      <c r="B2252" s="6">
        <v>216.27170000000001</v>
      </c>
      <c r="C2252" s="6">
        <v>10.996700000000001</v>
      </c>
      <c r="D2252" s="6">
        <v>10152.26</v>
      </c>
      <c r="E2252" s="6">
        <v>0.66</v>
      </c>
      <c r="F2252" s="6">
        <f t="shared" si="245"/>
        <v>7.3333333333333341E-3</v>
      </c>
      <c r="G2252">
        <f t="shared" si="246"/>
        <v>-0.43477440208161439</v>
      </c>
      <c r="H2252">
        <f t="shared" si="247"/>
        <v>0</v>
      </c>
      <c r="I2252">
        <f t="shared" si="248"/>
        <v>6.8800466818062816E-2</v>
      </c>
      <c r="J2252">
        <f t="shared" si="249"/>
        <v>-0.3110785671777383</v>
      </c>
      <c r="K2252">
        <f t="shared" si="250"/>
        <v>-0.44210773541494774</v>
      </c>
      <c r="L2252">
        <f t="shared" si="251"/>
        <v>6.1467133484729486E-2</v>
      </c>
    </row>
    <row r="2253" spans="1:12" x14ac:dyDescent="0.25">
      <c r="A2253" s="1">
        <v>43516</v>
      </c>
      <c r="B2253" s="6">
        <v>221.46600000000001</v>
      </c>
      <c r="C2253" s="6">
        <v>10.948700000000001</v>
      </c>
      <c r="D2253" s="6">
        <v>10272.459999999999</v>
      </c>
      <c r="E2253" s="6">
        <v>0.66</v>
      </c>
      <c r="F2253" s="6">
        <f t="shared" si="245"/>
        <v>7.3333333333333341E-3</v>
      </c>
      <c r="G2253">
        <f t="shared" si="246"/>
        <v>2.4017474315872112</v>
      </c>
      <c r="H2253">
        <f t="shared" si="247"/>
        <v>-0.43649458473905844</v>
      </c>
      <c r="I2253">
        <f t="shared" si="248"/>
        <v>1.1839728296950522</v>
      </c>
      <c r="J2253">
        <f t="shared" si="249"/>
        <v>1.6847723919960371</v>
      </c>
      <c r="K2253">
        <f t="shared" si="250"/>
        <v>2.3944140982538777</v>
      </c>
      <c r="L2253">
        <f t="shared" si="251"/>
        <v>1.1766394963617188</v>
      </c>
    </row>
    <row r="2254" spans="1:12" x14ac:dyDescent="0.25">
      <c r="A2254" s="1">
        <v>43517</v>
      </c>
      <c r="B2254" s="6">
        <v>223.35489999999999</v>
      </c>
      <c r="C2254" s="6">
        <v>10.996700000000001</v>
      </c>
      <c r="D2254" s="6">
        <v>10319.530000000001</v>
      </c>
      <c r="E2254" s="6">
        <v>0.66</v>
      </c>
      <c r="F2254" s="6">
        <f t="shared" si="245"/>
        <v>7.3333333333333341E-3</v>
      </c>
      <c r="G2254">
        <f t="shared" si="246"/>
        <v>0.85290744403203123</v>
      </c>
      <c r="H2254">
        <f t="shared" si="247"/>
        <v>0.43840821284718773</v>
      </c>
      <c r="I2254">
        <f t="shared" si="248"/>
        <v>0.45821546153503184</v>
      </c>
      <c r="J2254">
        <f t="shared" si="249"/>
        <v>0.59496806259646329</v>
      </c>
      <c r="K2254">
        <f t="shared" si="250"/>
        <v>0.84557411069869792</v>
      </c>
      <c r="L2254">
        <f t="shared" si="251"/>
        <v>0.45088212820169848</v>
      </c>
    </row>
    <row r="2255" spans="1:12" x14ac:dyDescent="0.25">
      <c r="A2255" s="1">
        <v>43518</v>
      </c>
      <c r="B2255" s="6">
        <v>223.35489999999999</v>
      </c>
      <c r="C2255" s="6">
        <v>11.044700000000001</v>
      </c>
      <c r="D2255" s="6">
        <v>10322.92</v>
      </c>
      <c r="E2255" s="6">
        <v>0.66</v>
      </c>
      <c r="F2255" s="6">
        <f t="shared" si="245"/>
        <v>7.3333333333333341E-3</v>
      </c>
      <c r="G2255">
        <f t="shared" si="246"/>
        <v>0</v>
      </c>
      <c r="H2255">
        <f t="shared" si="247"/>
        <v>0.43649458473905844</v>
      </c>
      <c r="I2255">
        <f t="shared" si="248"/>
        <v>3.285033330005744E-2</v>
      </c>
      <c r="J2255">
        <f t="shared" si="249"/>
        <v>-5.1599251567697223E-3</v>
      </c>
      <c r="K2255">
        <f t="shared" si="250"/>
        <v>-7.3333333333333341E-3</v>
      </c>
      <c r="L2255">
        <f t="shared" si="251"/>
        <v>2.5516999966724106E-2</v>
      </c>
    </row>
    <row r="2256" spans="1:12" x14ac:dyDescent="0.25">
      <c r="A2256" s="1">
        <v>43521</v>
      </c>
      <c r="B2256" s="6">
        <v>224.7715</v>
      </c>
      <c r="C2256" s="6">
        <v>11.188800000000001</v>
      </c>
      <c r="D2256" s="6">
        <v>10390.93</v>
      </c>
      <c r="E2256" s="6">
        <v>0.66</v>
      </c>
      <c r="F2256" s="6">
        <f t="shared" si="245"/>
        <v>7.3333333333333341E-3</v>
      </c>
      <c r="G2256">
        <f t="shared" si="246"/>
        <v>0.63423726096898558</v>
      </c>
      <c r="H2256">
        <f t="shared" si="247"/>
        <v>1.3046981810280034</v>
      </c>
      <c r="I2256">
        <f t="shared" si="248"/>
        <v>0.65882521612102218</v>
      </c>
      <c r="J2256">
        <f t="shared" si="249"/>
        <v>0.44110600187522009</v>
      </c>
      <c r="K2256">
        <f t="shared" si="250"/>
        <v>0.62690392763565228</v>
      </c>
      <c r="L2256">
        <f t="shared" si="251"/>
        <v>0.65149188278768888</v>
      </c>
    </row>
    <row r="2257" spans="1:12" x14ac:dyDescent="0.25">
      <c r="A2257" s="1">
        <v>43522</v>
      </c>
      <c r="B2257" s="6">
        <v>226.18809999999999</v>
      </c>
      <c r="C2257" s="6">
        <v>11.188800000000001</v>
      </c>
      <c r="D2257" s="6">
        <v>10391.549999999999</v>
      </c>
      <c r="E2257" s="6">
        <v>0.66</v>
      </c>
      <c r="F2257" s="6">
        <f t="shared" si="245"/>
        <v>7.3333333333333341E-3</v>
      </c>
      <c r="G2257">
        <f t="shared" si="246"/>
        <v>0.63024004377778686</v>
      </c>
      <c r="H2257">
        <f t="shared" si="247"/>
        <v>0</v>
      </c>
      <c r="I2257">
        <f t="shared" si="248"/>
        <v>5.9667421491529761E-3</v>
      </c>
      <c r="J2257">
        <f t="shared" si="249"/>
        <v>0.43829345530131941</v>
      </c>
      <c r="K2257">
        <f t="shared" si="250"/>
        <v>0.62290671044445356</v>
      </c>
      <c r="L2257">
        <f t="shared" si="251"/>
        <v>-1.3665911841803579E-3</v>
      </c>
    </row>
    <row r="2258" spans="1:12" x14ac:dyDescent="0.25">
      <c r="A2258" s="1">
        <v>43523</v>
      </c>
      <c r="B2258" s="6">
        <v>225.7159</v>
      </c>
      <c r="C2258" s="6">
        <v>10.996700000000001</v>
      </c>
      <c r="D2258" s="6">
        <v>10389.17</v>
      </c>
      <c r="E2258" s="6">
        <v>0.66</v>
      </c>
      <c r="F2258" s="6">
        <f t="shared" si="245"/>
        <v>7.3333333333333341E-3</v>
      </c>
      <c r="G2258">
        <f t="shared" si="246"/>
        <v>-0.20876429838704452</v>
      </c>
      <c r="H2258">
        <f t="shared" si="247"/>
        <v>-1.7168954668954663</v>
      </c>
      <c r="I2258">
        <f t="shared" si="248"/>
        <v>-2.2903224254314319E-2</v>
      </c>
      <c r="J2258">
        <f t="shared" si="249"/>
        <v>-0.15205194630440949</v>
      </c>
      <c r="K2258">
        <f t="shared" si="250"/>
        <v>-0.21609763172037785</v>
      </c>
      <c r="L2258">
        <f t="shared" si="251"/>
        <v>-3.0236557587647653E-2</v>
      </c>
    </row>
    <row r="2259" spans="1:12" x14ac:dyDescent="0.25">
      <c r="A2259" s="1">
        <v>43528</v>
      </c>
      <c r="B2259" s="6">
        <v>222.41040000000001</v>
      </c>
      <c r="C2259" s="6">
        <v>10.996700000000001</v>
      </c>
      <c r="D2259" s="6">
        <v>10349.879999999999</v>
      </c>
      <c r="E2259" s="6">
        <v>0.66</v>
      </c>
      <c r="F2259" s="6">
        <f t="shared" si="245"/>
        <v>7.3333333333333341E-3</v>
      </c>
      <c r="G2259">
        <f t="shared" si="246"/>
        <v>-1.4644515517072545</v>
      </c>
      <c r="H2259">
        <f t="shared" si="247"/>
        <v>0</v>
      </c>
      <c r="I2259">
        <f t="shared" si="248"/>
        <v>-0.37818228020141043</v>
      </c>
      <c r="J2259">
        <f t="shared" si="249"/>
        <v>-1.0355863436828676</v>
      </c>
      <c r="K2259">
        <f t="shared" si="250"/>
        <v>-1.4717848850405879</v>
      </c>
      <c r="L2259">
        <f t="shared" si="251"/>
        <v>-0.38551561353474378</v>
      </c>
    </row>
    <row r="2260" spans="1:12" x14ac:dyDescent="0.25">
      <c r="A2260" s="1">
        <v>43529</v>
      </c>
      <c r="B2260" s="6">
        <v>220.04939999999999</v>
      </c>
      <c r="C2260" s="6">
        <v>11.1408</v>
      </c>
      <c r="D2260" s="6">
        <v>10305.26</v>
      </c>
      <c r="E2260" s="6">
        <v>0.66</v>
      </c>
      <c r="F2260" s="6">
        <f t="shared" si="245"/>
        <v>7.3333333333333341E-3</v>
      </c>
      <c r="G2260">
        <f t="shared" si="246"/>
        <v>-1.0615510785466948</v>
      </c>
      <c r="H2260">
        <f t="shared" si="247"/>
        <v>1.3103931179353796</v>
      </c>
      <c r="I2260">
        <f t="shared" si="248"/>
        <v>-0.43111610955874835</v>
      </c>
      <c r="J2260">
        <f t="shared" si="249"/>
        <v>-0.75209503180074089</v>
      </c>
      <c r="K2260">
        <f t="shared" si="250"/>
        <v>-1.0688844118800283</v>
      </c>
      <c r="L2260">
        <f t="shared" si="251"/>
        <v>-0.43844944289208171</v>
      </c>
    </row>
    <row r="2261" spans="1:12" x14ac:dyDescent="0.25">
      <c r="A2261" s="1">
        <v>43530</v>
      </c>
      <c r="B2261" s="6">
        <v>220.99379999999999</v>
      </c>
      <c r="C2261" s="6">
        <v>11.236800000000001</v>
      </c>
      <c r="D2261" s="6">
        <v>10357.15</v>
      </c>
      <c r="E2261" s="6">
        <v>0.66</v>
      </c>
      <c r="F2261" s="6">
        <f t="shared" si="245"/>
        <v>7.3333333333333341E-3</v>
      </c>
      <c r="G2261">
        <f t="shared" si="246"/>
        <v>0.42917635767241435</v>
      </c>
      <c r="H2261">
        <f t="shared" si="247"/>
        <v>0.86169754416199984</v>
      </c>
      <c r="I2261">
        <f t="shared" si="248"/>
        <v>0.50352926563715439</v>
      </c>
      <c r="J2261">
        <f t="shared" si="249"/>
        <v>0.29681978638568812</v>
      </c>
      <c r="K2261">
        <f t="shared" si="250"/>
        <v>0.421843024339081</v>
      </c>
      <c r="L2261">
        <f t="shared" si="251"/>
        <v>0.49619593230382103</v>
      </c>
    </row>
    <row r="2262" spans="1:12" x14ac:dyDescent="0.25">
      <c r="A2262" s="1">
        <v>43531</v>
      </c>
      <c r="B2262" s="6">
        <v>220.99379999999999</v>
      </c>
      <c r="C2262" s="6">
        <v>11.3809</v>
      </c>
      <c r="D2262" s="6">
        <v>10311.68</v>
      </c>
      <c r="E2262" s="6">
        <v>0.66</v>
      </c>
      <c r="F2262" s="6">
        <f t="shared" si="245"/>
        <v>7.3333333333333341E-3</v>
      </c>
      <c r="G2262">
        <f t="shared" si="246"/>
        <v>0</v>
      </c>
      <c r="H2262">
        <f t="shared" si="247"/>
        <v>1.2823935640039859</v>
      </c>
      <c r="I2262">
        <f t="shared" si="248"/>
        <v>-0.43902038688248551</v>
      </c>
      <c r="J2262">
        <f t="shared" si="249"/>
        <v>-5.1599251567697223E-3</v>
      </c>
      <c r="K2262">
        <f t="shared" si="250"/>
        <v>-7.3333333333333341E-3</v>
      </c>
      <c r="L2262">
        <f t="shared" si="251"/>
        <v>-0.44635372021581887</v>
      </c>
    </row>
    <row r="2263" spans="1:12" x14ac:dyDescent="0.25">
      <c r="A2263" s="1">
        <v>43532</v>
      </c>
      <c r="B2263" s="6">
        <v>217.21610000000001</v>
      </c>
      <c r="C2263" s="6">
        <v>11.1408</v>
      </c>
      <c r="D2263" s="6">
        <v>10241.75</v>
      </c>
      <c r="E2263" s="6">
        <v>0.66</v>
      </c>
      <c r="F2263" s="6">
        <f t="shared" si="245"/>
        <v>7.3333333333333341E-3</v>
      </c>
      <c r="G2263">
        <f t="shared" si="246"/>
        <v>-1.7094144722612046</v>
      </c>
      <c r="H2263">
        <f t="shared" si="247"/>
        <v>-2.1096749817676983</v>
      </c>
      <c r="I2263">
        <f t="shared" si="248"/>
        <v>-0.67816301514399491</v>
      </c>
      <c r="J2263">
        <f t="shared" si="249"/>
        <v>-1.2079486622613371</v>
      </c>
      <c r="K2263">
        <f t="shared" si="250"/>
        <v>-1.716747805594538</v>
      </c>
      <c r="L2263">
        <f t="shared" si="251"/>
        <v>-0.68549634847732821</v>
      </c>
    </row>
    <row r="2264" spans="1:12" x14ac:dyDescent="0.25">
      <c r="A2264" s="1">
        <v>43535</v>
      </c>
      <c r="B2264" s="6">
        <v>217.6883</v>
      </c>
      <c r="C2264" s="6">
        <v>10.996700000000001</v>
      </c>
      <c r="D2264" s="6">
        <v>10250.280000000001</v>
      </c>
      <c r="E2264" s="6">
        <v>0.66</v>
      </c>
      <c r="F2264" s="6">
        <f t="shared" si="245"/>
        <v>7.3333333333333341E-3</v>
      </c>
      <c r="G2264">
        <f t="shared" si="246"/>
        <v>0.21738720104080067</v>
      </c>
      <c r="H2264">
        <f t="shared" si="247"/>
        <v>-1.2934439178514998</v>
      </c>
      <c r="I2264">
        <f t="shared" si="248"/>
        <v>8.328654770913814E-2</v>
      </c>
      <c r="J2264">
        <f t="shared" si="249"/>
        <v>0.14779939585370999</v>
      </c>
      <c r="K2264">
        <f t="shared" si="250"/>
        <v>0.21005386770746734</v>
      </c>
      <c r="L2264">
        <f t="shared" si="251"/>
        <v>7.5953214375804809E-2</v>
      </c>
    </row>
    <row r="2265" spans="1:12" x14ac:dyDescent="0.25">
      <c r="A2265" s="1">
        <v>43536</v>
      </c>
      <c r="B2265" s="6">
        <v>222.41040000000001</v>
      </c>
      <c r="C2265" s="6">
        <v>11.188800000000001</v>
      </c>
      <c r="D2265" s="6">
        <v>10343.33</v>
      </c>
      <c r="E2265" s="6">
        <v>0.66</v>
      </c>
      <c r="F2265" s="6">
        <f t="shared" si="245"/>
        <v>7.3333333333333341E-3</v>
      </c>
      <c r="G2265">
        <f t="shared" si="246"/>
        <v>2.1692024789573034</v>
      </c>
      <c r="H2265">
        <f t="shared" si="247"/>
        <v>1.746887702674438</v>
      </c>
      <c r="I2265">
        <f t="shared" si="248"/>
        <v>0.90778008015390088</v>
      </c>
      <c r="J2265">
        <f t="shared" si="249"/>
        <v>1.5211476804749167</v>
      </c>
      <c r="K2265">
        <f t="shared" si="250"/>
        <v>2.16186914562397</v>
      </c>
      <c r="L2265">
        <f t="shared" si="251"/>
        <v>0.90044674682056758</v>
      </c>
    </row>
    <row r="2266" spans="1:12" x14ac:dyDescent="0.25">
      <c r="A2266" s="1">
        <v>43537</v>
      </c>
      <c r="B2266" s="6">
        <v>223.8271</v>
      </c>
      <c r="C2266" s="6">
        <v>11.092700000000001</v>
      </c>
      <c r="D2266" s="6">
        <v>10373.32</v>
      </c>
      <c r="E2266" s="6">
        <v>0.66</v>
      </c>
      <c r="F2266" s="6">
        <f t="shared" si="245"/>
        <v>7.3333333333333341E-3</v>
      </c>
      <c r="G2266">
        <f t="shared" si="246"/>
        <v>0.6369756090542491</v>
      </c>
      <c r="H2266">
        <f t="shared" si="247"/>
        <v>-0.85889460889460756</v>
      </c>
      <c r="I2266">
        <f t="shared" si="248"/>
        <v>0.2899453077490497</v>
      </c>
      <c r="J2266">
        <f t="shared" si="249"/>
        <v>0.4430327752170124</v>
      </c>
      <c r="K2266">
        <f t="shared" si="250"/>
        <v>0.6296422757209158</v>
      </c>
      <c r="L2266">
        <f t="shared" si="251"/>
        <v>0.28261197441571634</v>
      </c>
    </row>
    <row r="2267" spans="1:12" x14ac:dyDescent="0.25">
      <c r="A2267" s="1">
        <v>43538</v>
      </c>
      <c r="B2267" s="6">
        <v>221.46600000000001</v>
      </c>
      <c r="C2267" s="6">
        <v>10.996700000000001</v>
      </c>
      <c r="D2267" s="6">
        <v>10348.65</v>
      </c>
      <c r="E2267" s="6">
        <v>0.66</v>
      </c>
      <c r="F2267" s="6">
        <f t="shared" si="245"/>
        <v>7.3333333333333341E-3</v>
      </c>
      <c r="G2267">
        <f t="shared" si="246"/>
        <v>-1.0548767329782647</v>
      </c>
      <c r="H2267">
        <f t="shared" si="247"/>
        <v>-0.86543402417806381</v>
      </c>
      <c r="I2267">
        <f t="shared" si="248"/>
        <v>-0.2378216424442712</v>
      </c>
      <c r="J2267">
        <f t="shared" si="249"/>
        <v>-0.74739878767298862</v>
      </c>
      <c r="K2267">
        <f t="shared" si="250"/>
        <v>-1.0622100663115981</v>
      </c>
      <c r="L2267">
        <f t="shared" si="251"/>
        <v>-0.24515497577760453</v>
      </c>
    </row>
    <row r="2268" spans="1:12" x14ac:dyDescent="0.25">
      <c r="A2268" s="1">
        <v>43539</v>
      </c>
      <c r="B2268" s="6">
        <v>225.7159</v>
      </c>
      <c r="C2268" s="6">
        <v>11.188800000000001</v>
      </c>
      <c r="D2268" s="6">
        <v>10439.24</v>
      </c>
      <c r="E2268" s="6">
        <v>0.66</v>
      </c>
      <c r="F2268" s="6">
        <f t="shared" si="245"/>
        <v>7.3333333333333341E-3</v>
      </c>
      <c r="G2268">
        <f t="shared" si="246"/>
        <v>1.9189853069997185</v>
      </c>
      <c r="H2268">
        <f t="shared" si="247"/>
        <v>1.746887702674438</v>
      </c>
      <c r="I2268">
        <f t="shared" si="248"/>
        <v>0.87537988046750204</v>
      </c>
      <c r="J2268">
        <f t="shared" si="249"/>
        <v>1.3450883331695005</v>
      </c>
      <c r="K2268">
        <f t="shared" si="250"/>
        <v>1.9116519736663851</v>
      </c>
      <c r="L2268">
        <f t="shared" si="251"/>
        <v>0.86804654713416873</v>
      </c>
    </row>
    <row r="2269" spans="1:12" x14ac:dyDescent="0.25">
      <c r="A2269" s="1">
        <v>43542</v>
      </c>
      <c r="B2269" s="6">
        <v>227.60470000000001</v>
      </c>
      <c r="C2269" s="6">
        <v>11.236800000000001</v>
      </c>
      <c r="D2269" s="6">
        <v>10512.7</v>
      </c>
      <c r="E2269" s="6">
        <v>0.66</v>
      </c>
      <c r="F2269" s="6">
        <f t="shared" si="245"/>
        <v>7.3333333333333341E-3</v>
      </c>
      <c r="G2269">
        <f t="shared" si="246"/>
        <v>0.83680414184379714</v>
      </c>
      <c r="H2269">
        <f t="shared" si="247"/>
        <v>0.42900042900042934</v>
      </c>
      <c r="I2269">
        <f t="shared" si="248"/>
        <v>0.70369107329653258</v>
      </c>
      <c r="J2269">
        <f t="shared" si="249"/>
        <v>0.58363735795080862</v>
      </c>
      <c r="K2269">
        <f t="shared" si="250"/>
        <v>0.82947080851046384</v>
      </c>
      <c r="L2269">
        <f t="shared" si="251"/>
        <v>0.69635773996319927</v>
      </c>
    </row>
    <row r="2270" spans="1:12" x14ac:dyDescent="0.25">
      <c r="A2270" s="1">
        <v>43543</v>
      </c>
      <c r="B2270" s="6">
        <v>227.13249999999999</v>
      </c>
      <c r="C2270" s="6">
        <v>11.236800000000001</v>
      </c>
      <c r="D2270" s="6">
        <v>10512.32</v>
      </c>
      <c r="E2270" s="6">
        <v>0.66</v>
      </c>
      <c r="F2270" s="6">
        <f t="shared" si="245"/>
        <v>7.3333333333333341E-3</v>
      </c>
      <c r="G2270">
        <f t="shared" si="246"/>
        <v>-0.20746496008211388</v>
      </c>
      <c r="H2270">
        <f t="shared" si="247"/>
        <v>0</v>
      </c>
      <c r="I2270">
        <f t="shared" si="248"/>
        <v>-3.6146755828761271E-3</v>
      </c>
      <c r="J2270">
        <f t="shared" si="249"/>
        <v>-0.15113769788530501</v>
      </c>
      <c r="K2270">
        <f t="shared" si="250"/>
        <v>-0.21479829341544721</v>
      </c>
      <c r="L2270">
        <f t="shared" si="251"/>
        <v>-1.0948008916209461E-2</v>
      </c>
    </row>
    <row r="2271" spans="1:12" x14ac:dyDescent="0.25">
      <c r="A2271" s="1">
        <v>43544</v>
      </c>
      <c r="B2271" s="6">
        <v>228.54920000000001</v>
      </c>
      <c r="C2271" s="6">
        <v>11.092700000000001</v>
      </c>
      <c r="D2271" s="6">
        <v>10551.56</v>
      </c>
      <c r="E2271" s="6">
        <v>0.66</v>
      </c>
      <c r="F2271" s="6">
        <f t="shared" si="245"/>
        <v>7.3333333333333341E-3</v>
      </c>
      <c r="G2271">
        <f t="shared" si="246"/>
        <v>0.62373284316424116</v>
      </c>
      <c r="H2271">
        <f t="shared" si="247"/>
        <v>-1.2823935640039859</v>
      </c>
      <c r="I2271">
        <f t="shared" si="248"/>
        <v>0.3732763081793532</v>
      </c>
      <c r="J2271">
        <f t="shared" si="249"/>
        <v>0.43371481873595824</v>
      </c>
      <c r="K2271">
        <f t="shared" si="250"/>
        <v>0.61639950983090785</v>
      </c>
      <c r="L2271">
        <f t="shared" si="251"/>
        <v>0.36594297484601984</v>
      </c>
    </row>
    <row r="2272" spans="1:12" x14ac:dyDescent="0.25">
      <c r="A2272" s="1">
        <v>43545</v>
      </c>
      <c r="B2272" s="6">
        <v>231.8546</v>
      </c>
      <c r="C2272" s="6">
        <v>11.1408</v>
      </c>
      <c r="D2272" s="6">
        <v>10609.55</v>
      </c>
      <c r="E2272" s="6">
        <v>0.66</v>
      </c>
      <c r="F2272" s="6">
        <f t="shared" si="245"/>
        <v>7.3333333333333341E-3</v>
      </c>
      <c r="G2272">
        <f t="shared" si="246"/>
        <v>1.4462531481186509</v>
      </c>
      <c r="H2272">
        <f t="shared" si="247"/>
        <v>0.43361850586421524</v>
      </c>
      <c r="I2272">
        <f t="shared" si="248"/>
        <v>0.54958698050335486</v>
      </c>
      <c r="J2272">
        <f t="shared" si="249"/>
        <v>1.012461620575253</v>
      </c>
      <c r="K2272">
        <f t="shared" si="250"/>
        <v>1.4389198147853175</v>
      </c>
      <c r="L2272">
        <f t="shared" si="251"/>
        <v>0.54225364717002156</v>
      </c>
    </row>
    <row r="2273" spans="1:12" x14ac:dyDescent="0.25">
      <c r="A2273" s="1">
        <v>43546</v>
      </c>
      <c r="B2273" s="6">
        <v>234.68790000000001</v>
      </c>
      <c r="C2273" s="6">
        <v>11.332800000000001</v>
      </c>
      <c r="D2273" s="6">
        <v>10639.07</v>
      </c>
      <c r="E2273" s="6">
        <v>0.66</v>
      </c>
      <c r="F2273" s="6">
        <f t="shared" si="245"/>
        <v>7.3333333333333341E-3</v>
      </c>
      <c r="G2273">
        <f t="shared" si="246"/>
        <v>1.2220158668406873</v>
      </c>
      <c r="H2273">
        <f t="shared" si="247"/>
        <v>1.7233950883239997</v>
      </c>
      <c r="I2273">
        <f t="shared" si="248"/>
        <v>0.27823988764839641</v>
      </c>
      <c r="J2273">
        <f t="shared" si="249"/>
        <v>0.85468240392727857</v>
      </c>
      <c r="K2273">
        <f t="shared" si="250"/>
        <v>1.2146825335073539</v>
      </c>
      <c r="L2273">
        <f t="shared" si="251"/>
        <v>0.27090655431506305</v>
      </c>
    </row>
    <row r="2274" spans="1:12" x14ac:dyDescent="0.25">
      <c r="A2274" s="1">
        <v>43549</v>
      </c>
      <c r="B2274" s="6">
        <v>228.07689999999999</v>
      </c>
      <c r="C2274" s="6">
        <v>11.188800000000001</v>
      </c>
      <c r="D2274" s="6">
        <v>10479.48</v>
      </c>
      <c r="E2274" s="6">
        <v>0.66</v>
      </c>
      <c r="F2274" s="6">
        <f t="shared" si="245"/>
        <v>7.3333333333333341E-3</v>
      </c>
      <c r="G2274">
        <f t="shared" si="246"/>
        <v>-2.8169326156141916</v>
      </c>
      <c r="H2274">
        <f t="shared" si="247"/>
        <v>-1.2706480304955539</v>
      </c>
      <c r="I2274">
        <f t="shared" si="248"/>
        <v>-1.5000371273053017</v>
      </c>
      <c r="J2274">
        <f t="shared" si="249"/>
        <v>-1.9872273980976063</v>
      </c>
      <c r="K2274">
        <f t="shared" si="250"/>
        <v>-2.824265948947525</v>
      </c>
      <c r="L2274">
        <f t="shared" si="251"/>
        <v>-1.5073704606386351</v>
      </c>
    </row>
    <row r="2275" spans="1:12" x14ac:dyDescent="0.25">
      <c r="A2275" s="1">
        <v>43550</v>
      </c>
      <c r="B2275" s="6">
        <v>230.43799999999999</v>
      </c>
      <c r="C2275" s="6">
        <v>11.188800000000001</v>
      </c>
      <c r="D2275" s="6">
        <v>10559.2</v>
      </c>
      <c r="E2275" s="6">
        <v>0.66</v>
      </c>
      <c r="F2275" s="6">
        <f t="shared" si="245"/>
        <v>7.3333333333333341E-3</v>
      </c>
      <c r="G2275">
        <f t="shared" si="246"/>
        <v>1.0352210153680594</v>
      </c>
      <c r="H2275">
        <f t="shared" si="247"/>
        <v>0</v>
      </c>
      <c r="I2275">
        <f t="shared" si="248"/>
        <v>0.76072476878624862</v>
      </c>
      <c r="J2275">
        <f t="shared" si="249"/>
        <v>0.72324866029973178</v>
      </c>
      <c r="K2275">
        <f t="shared" si="250"/>
        <v>1.027887682034726</v>
      </c>
      <c r="L2275">
        <f t="shared" si="251"/>
        <v>0.75339143545291531</v>
      </c>
    </row>
    <row r="2276" spans="1:12" x14ac:dyDescent="0.25">
      <c r="A2276" s="1">
        <v>43551</v>
      </c>
      <c r="B2276" s="6">
        <v>228.07689999999999</v>
      </c>
      <c r="C2276" s="6">
        <v>11.188800000000001</v>
      </c>
      <c r="D2276" s="6">
        <v>10542.7</v>
      </c>
      <c r="E2276" s="6">
        <v>0.66</v>
      </c>
      <c r="F2276" s="6">
        <f t="shared" si="245"/>
        <v>7.3333333333333341E-3</v>
      </c>
      <c r="G2276">
        <f t="shared" si="246"/>
        <v>-1.0246139959555254</v>
      </c>
      <c r="H2276">
        <f t="shared" si="247"/>
        <v>0</v>
      </c>
      <c r="I2276">
        <f t="shared" si="248"/>
        <v>-0.15626183801803165</v>
      </c>
      <c r="J2276">
        <f t="shared" si="249"/>
        <v>-0.7261051342989423</v>
      </c>
      <c r="K2276">
        <f t="shared" si="250"/>
        <v>-1.0319473292888588</v>
      </c>
      <c r="L2276">
        <f t="shared" si="251"/>
        <v>-0.16359517135136498</v>
      </c>
    </row>
    <row r="2277" spans="1:12" x14ac:dyDescent="0.25">
      <c r="A2277" s="1">
        <v>43552</v>
      </c>
      <c r="B2277" s="6">
        <v>228.54920000000001</v>
      </c>
      <c r="C2277" s="6">
        <v>11.188800000000001</v>
      </c>
      <c r="D2277" s="6">
        <v>10536.26</v>
      </c>
      <c r="E2277" s="6">
        <v>0.66</v>
      </c>
      <c r="F2277" s="6">
        <f t="shared" si="245"/>
        <v>7.3333333333333341E-3</v>
      </c>
      <c r="G2277">
        <f t="shared" si="246"/>
        <v>0.20707927896249834</v>
      </c>
      <c r="H2277">
        <f t="shared" si="247"/>
        <v>0</v>
      </c>
      <c r="I2277">
        <f t="shared" si="248"/>
        <v>-6.1084921319970301E-2</v>
      </c>
      <c r="J2277">
        <f t="shared" si="249"/>
        <v>0.14054647224745712</v>
      </c>
      <c r="K2277">
        <f t="shared" si="250"/>
        <v>0.19974594562916501</v>
      </c>
      <c r="L2277">
        <f t="shared" si="251"/>
        <v>-6.8418254653303631E-2</v>
      </c>
    </row>
    <row r="2278" spans="1:12" x14ac:dyDescent="0.25">
      <c r="A2278" s="1">
        <v>43553</v>
      </c>
      <c r="B2278" s="6">
        <v>231.8546</v>
      </c>
      <c r="C2278" s="6">
        <v>11.188800000000001</v>
      </c>
      <c r="D2278" s="6">
        <v>10641.04</v>
      </c>
      <c r="E2278" s="6">
        <v>0.66</v>
      </c>
      <c r="F2278" s="6">
        <f t="shared" si="245"/>
        <v>7.3333333333333341E-3</v>
      </c>
      <c r="G2278">
        <f t="shared" si="246"/>
        <v>1.4462531481186509</v>
      </c>
      <c r="H2278">
        <f t="shared" si="247"/>
        <v>0</v>
      </c>
      <c r="I2278">
        <f t="shared" si="248"/>
        <v>0.99447052369627031</v>
      </c>
      <c r="J2278">
        <f t="shared" si="249"/>
        <v>1.012461620575253</v>
      </c>
      <c r="K2278">
        <f t="shared" si="250"/>
        <v>1.4389198147853175</v>
      </c>
      <c r="L2278">
        <f t="shared" si="251"/>
        <v>0.98713719036293701</v>
      </c>
    </row>
    <row r="2279" spans="1:12" x14ac:dyDescent="0.25">
      <c r="A2279" s="1">
        <v>43556</v>
      </c>
      <c r="B2279" s="6">
        <v>231.8546</v>
      </c>
      <c r="C2279" s="6">
        <v>11.092700000000001</v>
      </c>
      <c r="D2279" s="6">
        <v>10642.63</v>
      </c>
      <c r="E2279" s="6">
        <v>0.66</v>
      </c>
      <c r="F2279" s="6">
        <f t="shared" si="245"/>
        <v>7.3333333333333341E-3</v>
      </c>
      <c r="G2279">
        <f t="shared" si="246"/>
        <v>0</v>
      </c>
      <c r="H2279">
        <f t="shared" si="247"/>
        <v>-0.85889460889460756</v>
      </c>
      <c r="I2279">
        <f t="shared" si="248"/>
        <v>1.4942148511783871E-2</v>
      </c>
      <c r="J2279">
        <f t="shared" si="249"/>
        <v>-5.1599251567697223E-3</v>
      </c>
      <c r="K2279">
        <f t="shared" si="250"/>
        <v>-7.3333333333333341E-3</v>
      </c>
      <c r="L2279">
        <f t="shared" si="251"/>
        <v>7.608815178450537E-3</v>
      </c>
    </row>
    <row r="2280" spans="1:12" x14ac:dyDescent="0.25">
      <c r="A2280" s="1">
        <v>43557</v>
      </c>
      <c r="B2280" s="6">
        <v>232.32679999999999</v>
      </c>
      <c r="C2280" s="6">
        <v>11.1408</v>
      </c>
      <c r="D2280" s="6">
        <v>10690.3</v>
      </c>
      <c r="E2280" s="6">
        <v>0.66</v>
      </c>
      <c r="F2280" s="6">
        <f t="shared" si="245"/>
        <v>7.3333333333333341E-3</v>
      </c>
      <c r="G2280">
        <f t="shared" si="246"/>
        <v>0.20366212272691014</v>
      </c>
      <c r="H2280">
        <f t="shared" si="247"/>
        <v>0.43361850586421524</v>
      </c>
      <c r="I2280">
        <f t="shared" si="248"/>
        <v>0.44791559980944634</v>
      </c>
      <c r="J2280">
        <f t="shared" si="249"/>
        <v>0.13814207173500839</v>
      </c>
      <c r="K2280">
        <f t="shared" si="250"/>
        <v>0.19632878939357681</v>
      </c>
      <c r="L2280">
        <f t="shared" si="251"/>
        <v>0.44058226647611298</v>
      </c>
    </row>
    <row r="2281" spans="1:12" x14ac:dyDescent="0.25">
      <c r="A2281" s="1">
        <v>43558</v>
      </c>
      <c r="B2281" s="6">
        <v>232.79900000000001</v>
      </c>
      <c r="C2281" s="6">
        <v>11.092700000000001</v>
      </c>
      <c r="D2281" s="6">
        <v>10704.38</v>
      </c>
      <c r="E2281" s="6">
        <v>0.66</v>
      </c>
      <c r="F2281" s="6">
        <f t="shared" si="245"/>
        <v>7.3333333333333341E-3</v>
      </c>
      <c r="G2281">
        <f t="shared" si="246"/>
        <v>0.20324818316268939</v>
      </c>
      <c r="H2281">
        <f t="shared" si="247"/>
        <v>-0.43174637368949992</v>
      </c>
      <c r="I2281">
        <f t="shared" si="248"/>
        <v>0.13170818405470314</v>
      </c>
      <c r="J2281">
        <f t="shared" si="249"/>
        <v>0.13785081302989863</v>
      </c>
      <c r="K2281">
        <f t="shared" si="250"/>
        <v>0.19591484982935606</v>
      </c>
      <c r="L2281">
        <f t="shared" si="251"/>
        <v>0.12437485072136981</v>
      </c>
    </row>
    <row r="2282" spans="1:12" x14ac:dyDescent="0.25">
      <c r="A2282" s="1">
        <v>43563</v>
      </c>
      <c r="B2282" s="6">
        <v>238.93780000000001</v>
      </c>
      <c r="C2282" s="6">
        <v>11.428900000000001</v>
      </c>
      <c r="D2282" s="6">
        <v>10800.57</v>
      </c>
      <c r="E2282" s="6">
        <v>0.66</v>
      </c>
      <c r="F2282" s="6">
        <f t="shared" si="245"/>
        <v>7.3333333333333341E-3</v>
      </c>
      <c r="G2282">
        <f t="shared" si="246"/>
        <v>2.6369529078733169</v>
      </c>
      <c r="H2282">
        <f t="shared" si="247"/>
        <v>3.0308220721735899</v>
      </c>
      <c r="I2282">
        <f t="shared" si="248"/>
        <v>0.89860412279833601</v>
      </c>
      <c r="J2282">
        <f t="shared" si="249"/>
        <v>1.8502691175549482</v>
      </c>
      <c r="K2282">
        <f t="shared" si="250"/>
        <v>2.6296195745399835</v>
      </c>
      <c r="L2282">
        <f t="shared" si="251"/>
        <v>0.89127078946500271</v>
      </c>
    </row>
    <row r="2283" spans="1:12" x14ac:dyDescent="0.25">
      <c r="A2283" s="1">
        <v>43564</v>
      </c>
      <c r="B2283" s="6">
        <v>239.88220000000001</v>
      </c>
      <c r="C2283" s="6">
        <v>11.813000000000001</v>
      </c>
      <c r="D2283" s="6">
        <v>10851.6</v>
      </c>
      <c r="E2283" s="6">
        <v>0.66</v>
      </c>
      <c r="F2283" s="6">
        <f t="shared" si="245"/>
        <v>7.3333333333333341E-3</v>
      </c>
      <c r="G2283">
        <f t="shared" si="246"/>
        <v>0.39524930756037835</v>
      </c>
      <c r="H2283">
        <f t="shared" si="247"/>
        <v>3.360778377621644</v>
      </c>
      <c r="I2283">
        <f t="shared" si="248"/>
        <v>0.47247506381608245</v>
      </c>
      <c r="J2283">
        <f t="shared" si="249"/>
        <v>0.27294782647185878</v>
      </c>
      <c r="K2283">
        <f t="shared" si="250"/>
        <v>0.38791597422704499</v>
      </c>
      <c r="L2283">
        <f t="shared" si="251"/>
        <v>0.46514173048274909</v>
      </c>
    </row>
    <row r="2284" spans="1:12" x14ac:dyDescent="0.25">
      <c r="A2284" s="1">
        <v>43565</v>
      </c>
      <c r="B2284" s="6">
        <v>239.88220000000001</v>
      </c>
      <c r="C2284" s="6">
        <v>11.765000000000001</v>
      </c>
      <c r="D2284" s="6">
        <v>10868.14</v>
      </c>
      <c r="E2284" s="6">
        <v>0.66</v>
      </c>
      <c r="F2284" s="6">
        <f t="shared" si="245"/>
        <v>7.3333333333333341E-3</v>
      </c>
      <c r="G2284">
        <f t="shared" si="246"/>
        <v>0</v>
      </c>
      <c r="H2284">
        <f t="shared" si="247"/>
        <v>-0.40633200711081047</v>
      </c>
      <c r="I2284">
        <f t="shared" si="248"/>
        <v>0.15241991964317753</v>
      </c>
      <c r="J2284">
        <f t="shared" si="249"/>
        <v>-5.1599251567697223E-3</v>
      </c>
      <c r="K2284">
        <f t="shared" si="250"/>
        <v>-7.3333333333333341E-3</v>
      </c>
      <c r="L2284">
        <f t="shared" si="251"/>
        <v>0.1450865863098442</v>
      </c>
    </row>
    <row r="2285" spans="1:12" x14ac:dyDescent="0.25">
      <c r="A2285" s="1">
        <v>43566</v>
      </c>
      <c r="B2285" s="6">
        <v>237.9933</v>
      </c>
      <c r="C2285" s="6">
        <v>11.621</v>
      </c>
      <c r="D2285" s="6">
        <v>10808.77</v>
      </c>
      <c r="E2285" s="6">
        <v>0.66</v>
      </c>
      <c r="F2285" s="6">
        <f t="shared" si="245"/>
        <v>7.3333333333333341E-3</v>
      </c>
      <c r="G2285">
        <f t="shared" si="246"/>
        <v>-0.78742816265650661</v>
      </c>
      <c r="H2285">
        <f t="shared" si="247"/>
        <v>-1.223969400764982</v>
      </c>
      <c r="I2285">
        <f t="shared" si="248"/>
        <v>-0.54627562766028948</v>
      </c>
      <c r="J2285">
        <f t="shared" si="249"/>
        <v>-0.55921497774407913</v>
      </c>
      <c r="K2285">
        <f t="shared" si="250"/>
        <v>-0.79476149598983992</v>
      </c>
      <c r="L2285">
        <f t="shared" si="251"/>
        <v>-0.55360896099362278</v>
      </c>
    </row>
    <row r="2286" spans="1:12" x14ac:dyDescent="0.25">
      <c r="A2286" s="1">
        <v>43567</v>
      </c>
      <c r="B2286" s="6">
        <v>237.9933</v>
      </c>
      <c r="C2286" s="6">
        <v>11.717000000000001</v>
      </c>
      <c r="D2286" s="6">
        <v>10805.3</v>
      </c>
      <c r="E2286" s="6">
        <v>0.66</v>
      </c>
      <c r="F2286" s="6">
        <f t="shared" si="245"/>
        <v>7.3333333333333341E-3</v>
      </c>
      <c r="G2286">
        <f t="shared" si="246"/>
        <v>0</v>
      </c>
      <c r="H2286">
        <f t="shared" si="247"/>
        <v>0.82609069787453815</v>
      </c>
      <c r="I2286">
        <f t="shared" si="248"/>
        <v>-3.2103560349615763E-2</v>
      </c>
      <c r="J2286">
        <f t="shared" si="249"/>
        <v>-5.1599251567697223E-3</v>
      </c>
      <c r="K2286">
        <f t="shared" si="250"/>
        <v>-7.3333333333333341E-3</v>
      </c>
      <c r="L2286">
        <f t="shared" si="251"/>
        <v>-3.9436893682949101E-2</v>
      </c>
    </row>
    <row r="2287" spans="1:12" x14ac:dyDescent="0.25">
      <c r="A2287" s="1">
        <v>43570</v>
      </c>
      <c r="B2287" s="6">
        <v>241.2988</v>
      </c>
      <c r="C2287" s="6">
        <v>11.572900000000001</v>
      </c>
      <c r="D2287" s="6">
        <v>10875.6</v>
      </c>
      <c r="E2287" s="6">
        <v>0.66</v>
      </c>
      <c r="F2287" s="6">
        <f t="shared" si="245"/>
        <v>7.3333333333333341E-3</v>
      </c>
      <c r="G2287">
        <f t="shared" si="246"/>
        <v>1.3889046456349801</v>
      </c>
      <c r="H2287">
        <f t="shared" si="247"/>
        <v>-1.2298369889903549</v>
      </c>
      <c r="I2287">
        <f t="shared" si="248"/>
        <v>0.65060664673818491</v>
      </c>
      <c r="J2287">
        <f t="shared" si="249"/>
        <v>0.97210971412044878</v>
      </c>
      <c r="K2287">
        <f t="shared" si="250"/>
        <v>1.3815713123016466</v>
      </c>
      <c r="L2287">
        <f t="shared" si="251"/>
        <v>0.64327331340485161</v>
      </c>
    </row>
    <row r="2288" spans="1:12" x14ac:dyDescent="0.25">
      <c r="A2288" s="1">
        <v>43571</v>
      </c>
      <c r="B2288" s="6">
        <v>242.71539999999999</v>
      </c>
      <c r="C2288" s="6">
        <v>11.621</v>
      </c>
      <c r="D2288" s="6">
        <v>10927.85</v>
      </c>
      <c r="E2288" s="6">
        <v>0.66</v>
      </c>
      <c r="F2288" s="6">
        <f t="shared" si="245"/>
        <v>7.3333333333333341E-3</v>
      </c>
      <c r="G2288">
        <f t="shared" si="246"/>
        <v>0.58707295684851657</v>
      </c>
      <c r="H2288">
        <f t="shared" si="247"/>
        <v>0.41562616111778211</v>
      </c>
      <c r="I2288">
        <f t="shared" si="248"/>
        <v>0.48043326345213139</v>
      </c>
      <c r="J2288">
        <f t="shared" si="249"/>
        <v>0.4079199637843911</v>
      </c>
      <c r="K2288">
        <f t="shared" si="250"/>
        <v>0.57973962351518327</v>
      </c>
      <c r="L2288">
        <f t="shared" si="251"/>
        <v>0.47309993011879803</v>
      </c>
    </row>
    <row r="2289" spans="1:12" x14ac:dyDescent="0.25">
      <c r="A2289" s="1">
        <v>43572</v>
      </c>
      <c r="B2289" s="6">
        <v>246.96530000000001</v>
      </c>
      <c r="C2289" s="6">
        <v>11.717000000000001</v>
      </c>
      <c r="D2289" s="6">
        <v>10997.26</v>
      </c>
      <c r="E2289" s="6">
        <v>0.66</v>
      </c>
      <c r="F2289" s="6">
        <f t="shared" si="245"/>
        <v>7.3333333333333341E-3</v>
      </c>
      <c r="G2289">
        <f t="shared" si="246"/>
        <v>1.7509807783107398</v>
      </c>
      <c r="H2289">
        <f t="shared" si="247"/>
        <v>0.82609069787453815</v>
      </c>
      <c r="I2289">
        <f t="shared" si="248"/>
        <v>0.63516611227276965</v>
      </c>
      <c r="J2289">
        <f t="shared" si="249"/>
        <v>1.2268759521649322</v>
      </c>
      <c r="K2289">
        <f t="shared" si="250"/>
        <v>1.7436474449774064</v>
      </c>
      <c r="L2289">
        <f t="shared" si="251"/>
        <v>0.62783277893943634</v>
      </c>
    </row>
    <row r="2290" spans="1:12" x14ac:dyDescent="0.25">
      <c r="A2290" s="1">
        <v>43573</v>
      </c>
      <c r="B2290" s="6">
        <v>249.79859999999999</v>
      </c>
      <c r="C2290" s="6">
        <v>11.524900000000001</v>
      </c>
      <c r="D2290" s="6">
        <v>10962.02</v>
      </c>
      <c r="E2290" s="6">
        <v>0.66</v>
      </c>
      <c r="F2290" s="6">
        <f t="shared" si="245"/>
        <v>7.3333333333333341E-3</v>
      </c>
      <c r="G2290">
        <f t="shared" si="246"/>
        <v>1.1472461920763686</v>
      </c>
      <c r="H2290">
        <f t="shared" si="247"/>
        <v>-1.639498165059315</v>
      </c>
      <c r="I2290">
        <f t="shared" si="248"/>
        <v>-0.32044345591538059</v>
      </c>
      <c r="J2290">
        <f t="shared" si="249"/>
        <v>0.80207250495729243</v>
      </c>
      <c r="K2290">
        <f t="shared" si="250"/>
        <v>1.1399128587430352</v>
      </c>
      <c r="L2290">
        <f t="shared" si="251"/>
        <v>-0.32777678924871395</v>
      </c>
    </row>
    <row r="2291" spans="1:12" x14ac:dyDescent="0.25">
      <c r="A2291" s="1">
        <v>43574</v>
      </c>
      <c r="B2291" s="6">
        <v>249.79859999999999</v>
      </c>
      <c r="C2291" s="6">
        <v>11.621</v>
      </c>
      <c r="D2291" s="6">
        <v>10968.5</v>
      </c>
      <c r="E2291" s="6">
        <v>0.66</v>
      </c>
      <c r="F2291" s="6">
        <f t="shared" si="245"/>
        <v>7.3333333333333341E-3</v>
      </c>
      <c r="G2291">
        <f t="shared" si="246"/>
        <v>0</v>
      </c>
      <c r="H2291">
        <f t="shared" si="247"/>
        <v>0.83384671450511372</v>
      </c>
      <c r="I2291">
        <f t="shared" si="248"/>
        <v>5.9113192641498218E-2</v>
      </c>
      <c r="J2291">
        <f t="shared" si="249"/>
        <v>-5.1599251567697223E-3</v>
      </c>
      <c r="K2291">
        <f t="shared" si="250"/>
        <v>-7.3333333333333341E-3</v>
      </c>
      <c r="L2291">
        <f t="shared" si="251"/>
        <v>5.177985930816488E-2</v>
      </c>
    </row>
    <row r="2292" spans="1:12" x14ac:dyDescent="0.25">
      <c r="A2292" s="1">
        <v>43577</v>
      </c>
      <c r="B2292" s="6">
        <v>251.21520000000001</v>
      </c>
      <c r="C2292" s="6">
        <v>11.428900000000001</v>
      </c>
      <c r="D2292" s="6">
        <v>10987.71</v>
      </c>
      <c r="E2292" s="6">
        <v>0.66</v>
      </c>
      <c r="F2292" s="6">
        <f t="shared" si="245"/>
        <v>7.3333333333333341E-3</v>
      </c>
      <c r="G2292">
        <f t="shared" si="246"/>
        <v>0.56709685322496473</v>
      </c>
      <c r="H2292">
        <f t="shared" si="247"/>
        <v>-1.6530419068926936</v>
      </c>
      <c r="I2292">
        <f t="shared" si="248"/>
        <v>0.17513789488078704</v>
      </c>
      <c r="J2292">
        <f t="shared" si="249"/>
        <v>0.39386425474510878</v>
      </c>
      <c r="K2292">
        <f t="shared" si="250"/>
        <v>0.55976351989163142</v>
      </c>
      <c r="L2292">
        <f t="shared" si="251"/>
        <v>0.16780456154745371</v>
      </c>
    </row>
    <row r="2293" spans="1:12" x14ac:dyDescent="0.25">
      <c r="A2293" s="1">
        <v>43578</v>
      </c>
      <c r="B2293" s="6">
        <v>253.10400000000001</v>
      </c>
      <c r="C2293" s="6">
        <v>11.476900000000001</v>
      </c>
      <c r="D2293" s="6">
        <v>11025.68</v>
      </c>
      <c r="E2293" s="6">
        <v>0.66</v>
      </c>
      <c r="F2293" s="6">
        <f t="shared" si="245"/>
        <v>7.3333333333333341E-3</v>
      </c>
      <c r="G2293">
        <f t="shared" si="246"/>
        <v>0.75186533298940639</v>
      </c>
      <c r="H2293">
        <f t="shared" si="247"/>
        <v>0.41998792534714663</v>
      </c>
      <c r="I2293">
        <f t="shared" si="248"/>
        <v>0.34556791178508683</v>
      </c>
      <c r="J2293">
        <f t="shared" si="249"/>
        <v>0.52387219023346876</v>
      </c>
      <c r="K2293">
        <f t="shared" si="250"/>
        <v>0.74453199965607308</v>
      </c>
      <c r="L2293">
        <f t="shared" si="251"/>
        <v>0.33823457845175348</v>
      </c>
    </row>
    <row r="2294" spans="1:12" x14ac:dyDescent="0.25">
      <c r="A2294" s="1">
        <v>43579</v>
      </c>
      <c r="B2294" s="6">
        <v>254.04839999999999</v>
      </c>
      <c r="C2294" s="6">
        <v>11.476900000000001</v>
      </c>
      <c r="D2294" s="6">
        <v>11027.64</v>
      </c>
      <c r="E2294" s="6">
        <v>0.66</v>
      </c>
      <c r="F2294" s="6">
        <f t="shared" si="245"/>
        <v>7.3333333333333341E-3</v>
      </c>
      <c r="G2294">
        <f t="shared" si="246"/>
        <v>0.37312725203867708</v>
      </c>
      <c r="H2294">
        <f t="shared" si="247"/>
        <v>0</v>
      </c>
      <c r="I2294">
        <f t="shared" si="248"/>
        <v>1.7776681347537085E-2</v>
      </c>
      <c r="J2294">
        <f t="shared" si="249"/>
        <v>0.25738216954378385</v>
      </c>
      <c r="K2294">
        <f t="shared" si="250"/>
        <v>0.36579391870534372</v>
      </c>
      <c r="L2294">
        <f t="shared" si="251"/>
        <v>1.0443348014203751E-2</v>
      </c>
    </row>
    <row r="2295" spans="1:12" x14ac:dyDescent="0.25">
      <c r="A2295" s="1">
        <v>43580</v>
      </c>
      <c r="B2295" s="6">
        <v>252.6318</v>
      </c>
      <c r="C2295" s="6">
        <v>12.5814</v>
      </c>
      <c r="D2295" s="6">
        <v>11039.86</v>
      </c>
      <c r="E2295" s="6">
        <v>0.66</v>
      </c>
      <c r="F2295" s="6">
        <f t="shared" si="245"/>
        <v>7.3333333333333341E-3</v>
      </c>
      <c r="G2295">
        <f t="shared" si="246"/>
        <v>-0.55761028213521058</v>
      </c>
      <c r="H2295">
        <f t="shared" si="247"/>
        <v>9.6236788679869978</v>
      </c>
      <c r="I2295">
        <f t="shared" si="248"/>
        <v>0.11081246758146951</v>
      </c>
      <c r="J2295">
        <f t="shared" si="249"/>
        <v>-0.39750910549262453</v>
      </c>
      <c r="K2295">
        <f t="shared" si="250"/>
        <v>-0.56494361546854388</v>
      </c>
      <c r="L2295">
        <f t="shared" si="251"/>
        <v>0.10347913424813618</v>
      </c>
    </row>
    <row r="2296" spans="1:12" x14ac:dyDescent="0.25">
      <c r="A2296" s="1">
        <v>43581</v>
      </c>
      <c r="B2296" s="6">
        <v>245.5487</v>
      </c>
      <c r="C2296" s="6">
        <v>12.9175</v>
      </c>
      <c r="D2296" s="6">
        <v>10952.47</v>
      </c>
      <c r="E2296" s="6">
        <v>0.66</v>
      </c>
      <c r="F2296" s="6">
        <f t="shared" si="245"/>
        <v>7.3333333333333341E-3</v>
      </c>
      <c r="G2296">
        <f t="shared" si="246"/>
        <v>-2.8037246300742829</v>
      </c>
      <c r="H2296">
        <f t="shared" si="247"/>
        <v>2.6714038183350031</v>
      </c>
      <c r="I2296">
        <f t="shared" si="248"/>
        <v>-0.79158612518638127</v>
      </c>
      <c r="J2296">
        <f t="shared" si="249"/>
        <v>-1.9779339139806573</v>
      </c>
      <c r="K2296">
        <f t="shared" si="250"/>
        <v>-2.8110579634076163</v>
      </c>
      <c r="L2296">
        <f t="shared" si="251"/>
        <v>-0.79891945851971458</v>
      </c>
    </row>
    <row r="2297" spans="1:12" x14ac:dyDescent="0.25">
      <c r="A2297" s="1">
        <v>43584</v>
      </c>
      <c r="B2297" s="6">
        <v>245.07650000000001</v>
      </c>
      <c r="C2297" s="6">
        <v>12.8215</v>
      </c>
      <c r="D2297" s="6">
        <v>10939.06</v>
      </c>
      <c r="E2297" s="6">
        <v>0.66</v>
      </c>
      <c r="F2297" s="6">
        <f t="shared" si="245"/>
        <v>7.3333333333333341E-3</v>
      </c>
      <c r="G2297">
        <f t="shared" si="246"/>
        <v>-0.1923040113834798</v>
      </c>
      <c r="H2297">
        <f t="shared" si="247"/>
        <v>-0.74317785949293658</v>
      </c>
      <c r="I2297">
        <f t="shared" si="248"/>
        <v>-0.1224381349595101</v>
      </c>
      <c r="J2297">
        <f t="shared" si="249"/>
        <v>-0.14047005780477179</v>
      </c>
      <c r="K2297">
        <f t="shared" si="250"/>
        <v>-0.19963734471681313</v>
      </c>
      <c r="L2297">
        <f t="shared" si="251"/>
        <v>-0.12977146829284344</v>
      </c>
    </row>
    <row r="2298" spans="1:12" x14ac:dyDescent="0.25">
      <c r="A2298" s="1">
        <v>43585</v>
      </c>
      <c r="B2298" s="6">
        <v>244.60429999999999</v>
      </c>
      <c r="C2298" s="6">
        <v>12.9175</v>
      </c>
      <c r="D2298" s="6">
        <v>10967.73</v>
      </c>
      <c r="E2298" s="6">
        <v>0.66</v>
      </c>
      <c r="F2298" s="6">
        <f t="shared" si="245"/>
        <v>7.3333333333333341E-3</v>
      </c>
      <c r="G2298">
        <f t="shared" si="246"/>
        <v>-0.19267453223789921</v>
      </c>
      <c r="H2298">
        <f t="shared" si="247"/>
        <v>0.74874234683929397</v>
      </c>
      <c r="I2298">
        <f t="shared" si="248"/>
        <v>0.26208833300119089</v>
      </c>
      <c r="J2298">
        <f t="shared" si="249"/>
        <v>-0.14073076596992995</v>
      </c>
      <c r="K2298">
        <f t="shared" si="250"/>
        <v>-0.20000786557123254</v>
      </c>
      <c r="L2298">
        <f t="shared" si="251"/>
        <v>0.25475499966785753</v>
      </c>
    </row>
    <row r="2299" spans="1:12" x14ac:dyDescent="0.25">
      <c r="A2299" s="1">
        <v>43587</v>
      </c>
      <c r="B2299" s="6">
        <v>244.60429999999999</v>
      </c>
      <c r="C2299" s="6">
        <v>13.0136</v>
      </c>
      <c r="D2299" s="6">
        <v>11004.49</v>
      </c>
      <c r="E2299" s="6">
        <v>0.66</v>
      </c>
      <c r="F2299" s="6">
        <f t="shared" si="245"/>
        <v>7.3333333333333341E-3</v>
      </c>
      <c r="G2299">
        <f t="shared" si="246"/>
        <v>0</v>
      </c>
      <c r="H2299">
        <f t="shared" si="247"/>
        <v>0.74395200309657328</v>
      </c>
      <c r="I2299">
        <f t="shared" si="248"/>
        <v>0.33516507062081413</v>
      </c>
      <c r="J2299">
        <f t="shared" si="249"/>
        <v>-5.1599251567697223E-3</v>
      </c>
      <c r="K2299">
        <f t="shared" si="250"/>
        <v>-7.3333333333333341E-3</v>
      </c>
      <c r="L2299">
        <f t="shared" si="251"/>
        <v>0.32783173728748077</v>
      </c>
    </row>
    <row r="2300" spans="1:12" x14ac:dyDescent="0.25">
      <c r="A2300" s="1">
        <v>43588</v>
      </c>
      <c r="B2300" s="6">
        <v>250.27080000000001</v>
      </c>
      <c r="C2300" s="6">
        <v>13.3017</v>
      </c>
      <c r="D2300" s="6">
        <v>11096.3</v>
      </c>
      <c r="E2300" s="6">
        <v>0.66</v>
      </c>
      <c r="F2300" s="6">
        <f t="shared" si="245"/>
        <v>7.3333333333333341E-3</v>
      </c>
      <c r="G2300">
        <f t="shared" si="246"/>
        <v>2.316598686122858</v>
      </c>
      <c r="H2300">
        <f t="shared" si="247"/>
        <v>2.213837831191984</v>
      </c>
      <c r="I2300">
        <f t="shared" si="248"/>
        <v>0.83429581925195528</v>
      </c>
      <c r="J2300">
        <f t="shared" si="249"/>
        <v>1.6248595073884602</v>
      </c>
      <c r="K2300">
        <f t="shared" si="250"/>
        <v>2.3092653527895246</v>
      </c>
      <c r="L2300">
        <f t="shared" si="251"/>
        <v>0.82696248591862198</v>
      </c>
    </row>
    <row r="2301" spans="1:12" x14ac:dyDescent="0.25">
      <c r="A2301" s="1">
        <v>43591</v>
      </c>
      <c r="B2301" s="6">
        <v>244.60429999999999</v>
      </c>
      <c r="C2301" s="6">
        <v>12.6774</v>
      </c>
      <c r="D2301" s="6">
        <v>10897.12</v>
      </c>
      <c r="E2301" s="6">
        <v>0.66</v>
      </c>
      <c r="F2301" s="6">
        <f t="shared" si="245"/>
        <v>7.3333333333333341E-3</v>
      </c>
      <c r="G2301">
        <f t="shared" si="246"/>
        <v>-2.2641474754545929</v>
      </c>
      <c r="H2301">
        <f t="shared" si="247"/>
        <v>-4.6933850560454671</v>
      </c>
      <c r="I2301">
        <f t="shared" si="248"/>
        <v>-1.7950127519984003</v>
      </c>
      <c r="J2301">
        <f t="shared" si="249"/>
        <v>-1.5982733138706076</v>
      </c>
      <c r="K2301">
        <f t="shared" si="250"/>
        <v>-2.2714808087879264</v>
      </c>
      <c r="L2301">
        <f t="shared" si="251"/>
        <v>-1.8023460853317337</v>
      </c>
    </row>
    <row r="2302" spans="1:12" x14ac:dyDescent="0.25">
      <c r="A2302" s="1">
        <v>43592</v>
      </c>
      <c r="B2302" s="6">
        <v>247.90969999999999</v>
      </c>
      <c r="C2302" s="6">
        <v>13.0616</v>
      </c>
      <c r="D2302" s="6">
        <v>10987.14</v>
      </c>
      <c r="E2302" s="6">
        <v>0.66</v>
      </c>
      <c r="F2302" s="6">
        <f t="shared" si="245"/>
        <v>7.3333333333333341E-3</v>
      </c>
      <c r="G2302">
        <f t="shared" si="246"/>
        <v>1.3513253855308316</v>
      </c>
      <c r="H2302">
        <f t="shared" si="247"/>
        <v>3.0305898685850399</v>
      </c>
      <c r="I2302">
        <f t="shared" si="248"/>
        <v>0.82608982923927254</v>
      </c>
      <c r="J2302">
        <f t="shared" si="249"/>
        <v>0.94566796372260498</v>
      </c>
      <c r="K2302">
        <f t="shared" si="250"/>
        <v>1.3439920521974982</v>
      </c>
      <c r="L2302">
        <f t="shared" si="251"/>
        <v>0.81875649590593924</v>
      </c>
    </row>
    <row r="2303" spans="1:12" x14ac:dyDescent="0.25">
      <c r="A2303" s="1">
        <v>43593</v>
      </c>
      <c r="B2303" s="6">
        <v>245.5487</v>
      </c>
      <c r="C2303" s="6">
        <v>12.9175</v>
      </c>
      <c r="D2303" s="6">
        <v>10923.71</v>
      </c>
      <c r="E2303" s="6">
        <v>0.66</v>
      </c>
      <c r="F2303" s="6">
        <f t="shared" si="245"/>
        <v>7.3333333333333341E-3</v>
      </c>
      <c r="G2303">
        <f t="shared" si="246"/>
        <v>-0.95236289665147844</v>
      </c>
      <c r="H2303">
        <f t="shared" si="247"/>
        <v>-1.1032339070251722</v>
      </c>
      <c r="I2303">
        <f t="shared" si="248"/>
        <v>-0.57731129302075235</v>
      </c>
      <c r="J2303">
        <f t="shared" si="249"/>
        <v>-0.67526737090304878</v>
      </c>
      <c r="K2303">
        <f t="shared" si="250"/>
        <v>-0.95969622998481174</v>
      </c>
      <c r="L2303">
        <f t="shared" si="251"/>
        <v>-0.58464462635408565</v>
      </c>
    </row>
    <row r="2304" spans="1:12" x14ac:dyDescent="0.25">
      <c r="A2304" s="1">
        <v>43594</v>
      </c>
      <c r="B2304" s="6">
        <v>242.2432</v>
      </c>
      <c r="C2304" s="6">
        <v>12.6294</v>
      </c>
      <c r="D2304" s="6">
        <v>10733.67</v>
      </c>
      <c r="E2304" s="6">
        <v>0.66</v>
      </c>
      <c r="F2304" s="6">
        <f t="shared" si="245"/>
        <v>7.3333333333333341E-3</v>
      </c>
      <c r="G2304">
        <f t="shared" si="246"/>
        <v>-1.3461688048032814</v>
      </c>
      <c r="H2304">
        <f t="shared" si="247"/>
        <v>-2.2303077220824465</v>
      </c>
      <c r="I2304">
        <f t="shared" si="248"/>
        <v>-1.7397019876946482</v>
      </c>
      <c r="J2304">
        <f t="shared" si="249"/>
        <v>-0.95235950895173538</v>
      </c>
      <c r="K2304">
        <f t="shared" si="250"/>
        <v>-1.3535021381366148</v>
      </c>
      <c r="L2304">
        <f t="shared" si="251"/>
        <v>-1.7470353210279816</v>
      </c>
    </row>
    <row r="2305" spans="1:12" x14ac:dyDescent="0.25">
      <c r="A2305" s="1">
        <v>43595</v>
      </c>
      <c r="B2305" s="6">
        <v>241.77099999999999</v>
      </c>
      <c r="C2305" s="6">
        <v>12.6774</v>
      </c>
      <c r="D2305" s="6">
        <v>10712.99</v>
      </c>
      <c r="E2305" s="6">
        <v>0.66</v>
      </c>
      <c r="F2305" s="6">
        <f t="shared" si="245"/>
        <v>7.3333333333333341E-3</v>
      </c>
      <c r="G2305">
        <f t="shared" si="246"/>
        <v>-0.19492807228438819</v>
      </c>
      <c r="H2305">
        <f t="shared" si="247"/>
        <v>0.38006556130932617</v>
      </c>
      <c r="I2305">
        <f t="shared" si="248"/>
        <v>-0.19266476424186965</v>
      </c>
      <c r="J2305">
        <f t="shared" si="249"/>
        <v>-0.14231641569415718</v>
      </c>
      <c r="K2305">
        <f t="shared" si="250"/>
        <v>-0.20226140561772152</v>
      </c>
      <c r="L2305">
        <f t="shared" si="251"/>
        <v>-0.19999809757520298</v>
      </c>
    </row>
    <row r="2306" spans="1:12" x14ac:dyDescent="0.25">
      <c r="A2306" s="1">
        <v>43598</v>
      </c>
      <c r="B2306" s="6">
        <v>236.57669999999999</v>
      </c>
      <c r="C2306" s="6">
        <v>12.4373</v>
      </c>
      <c r="D2306" s="6">
        <v>10558.29</v>
      </c>
      <c r="E2306" s="6">
        <v>0.66</v>
      </c>
      <c r="F2306" s="6">
        <f t="shared" si="245"/>
        <v>7.3333333333333341E-3</v>
      </c>
      <c r="G2306">
        <f t="shared" si="246"/>
        <v>-2.1484379847045338</v>
      </c>
      <c r="H2306">
        <f t="shared" si="247"/>
        <v>-1.8939214665467681</v>
      </c>
      <c r="I2306">
        <f t="shared" si="248"/>
        <v>-1.4440412993944634</v>
      </c>
      <c r="J2306">
        <f t="shared" si="249"/>
        <v>-1.516857089479938</v>
      </c>
      <c r="K2306">
        <f t="shared" si="250"/>
        <v>-2.1557713180378673</v>
      </c>
      <c r="L2306">
        <f t="shared" si="251"/>
        <v>-1.4513746327277968</v>
      </c>
    </row>
    <row r="2307" spans="1:12" x14ac:dyDescent="0.25">
      <c r="A2307" s="1">
        <v>43599</v>
      </c>
      <c r="B2307" s="6">
        <v>234.68790000000001</v>
      </c>
      <c r="C2307" s="6">
        <v>12.485300000000001</v>
      </c>
      <c r="D2307" s="6">
        <v>10519.25</v>
      </c>
      <c r="E2307" s="6">
        <v>0.66</v>
      </c>
      <c r="F2307" s="6">
        <f t="shared" ref="F2307:F2370" si="252">E2307/90</f>
        <v>7.3333333333333341E-3</v>
      </c>
      <c r="G2307">
        <f t="shared" si="246"/>
        <v>-0.79838800693389289</v>
      </c>
      <c r="H2307">
        <f t="shared" si="247"/>
        <v>0.38593585424489268</v>
      </c>
      <c r="I2307">
        <f t="shared" si="248"/>
        <v>-0.36975684509518936</v>
      </c>
      <c r="J2307">
        <f t="shared" si="249"/>
        <v>-0.56692661086241969</v>
      </c>
      <c r="K2307">
        <f t="shared" si="250"/>
        <v>-0.80572134026722619</v>
      </c>
      <c r="L2307">
        <f t="shared" si="251"/>
        <v>-0.37709017842852272</v>
      </c>
    </row>
    <row r="2308" spans="1:12" x14ac:dyDescent="0.25">
      <c r="A2308" s="1">
        <v>43600</v>
      </c>
      <c r="B2308" s="6">
        <v>235.1601</v>
      </c>
      <c r="C2308" s="6">
        <v>12.3893</v>
      </c>
      <c r="D2308" s="6">
        <v>10560.71</v>
      </c>
      <c r="E2308" s="6">
        <v>0.66</v>
      </c>
      <c r="F2308" s="6">
        <f t="shared" si="252"/>
        <v>7.3333333333333341E-3</v>
      </c>
      <c r="G2308">
        <f t="shared" ref="G2308:G2371" si="253">100*(B2308-B2307)/B2307</f>
        <v>0.20120338543230673</v>
      </c>
      <c r="H2308">
        <f t="shared" ref="H2308:H2371" si="254">100*(C2308-C2307)/C2307</f>
        <v>-0.76890423137609898</v>
      </c>
      <c r="I2308">
        <f t="shared" ref="I2308:I2371" si="255">100*(D2308-D2307)/D2307</f>
        <v>0.39413456282528819</v>
      </c>
      <c r="J2308">
        <f t="shared" ref="J2308:J2371" si="256">(G2308-F2308)/$N$3</f>
        <v>0.13641203985951128</v>
      </c>
      <c r="K2308">
        <f t="shared" ref="K2308:K2371" si="257">G2308-F2308</f>
        <v>0.1938700520989734</v>
      </c>
      <c r="L2308">
        <f t="shared" ref="L2308:L2371" si="258">I2308-F2308</f>
        <v>0.38680122949195483</v>
      </c>
    </row>
    <row r="2309" spans="1:12" x14ac:dyDescent="0.25">
      <c r="A2309" s="1">
        <v>43601</v>
      </c>
      <c r="B2309" s="6">
        <v>233.27119999999999</v>
      </c>
      <c r="C2309" s="6">
        <v>12.4373</v>
      </c>
      <c r="D2309" s="6">
        <v>10474.61</v>
      </c>
      <c r="E2309" s="6">
        <v>0.66</v>
      </c>
      <c r="F2309" s="6">
        <f t="shared" si="252"/>
        <v>7.3333333333333341E-3</v>
      </c>
      <c r="G2309">
        <f t="shared" si="253"/>
        <v>-0.80324000542609342</v>
      </c>
      <c r="H2309">
        <f t="shared" si="254"/>
        <v>0.38743108973065499</v>
      </c>
      <c r="I2309">
        <f t="shared" si="255"/>
        <v>-0.81528609345393022</v>
      </c>
      <c r="J2309">
        <f t="shared" si="256"/>
        <v>-0.57034060391885344</v>
      </c>
      <c r="K2309">
        <f t="shared" si="257"/>
        <v>-0.81057333875942672</v>
      </c>
      <c r="L2309">
        <f t="shared" si="258"/>
        <v>-0.82261942678726352</v>
      </c>
    </row>
    <row r="2310" spans="1:12" x14ac:dyDescent="0.25">
      <c r="A2310" s="1">
        <v>43602</v>
      </c>
      <c r="B2310" s="6">
        <v>228.07689999999999</v>
      </c>
      <c r="C2310" s="6">
        <v>12.485300000000001</v>
      </c>
      <c r="D2310" s="6">
        <v>10384.11</v>
      </c>
      <c r="E2310" s="6">
        <v>0.66</v>
      </c>
      <c r="F2310" s="6">
        <f t="shared" si="252"/>
        <v>7.3333333333333341E-3</v>
      </c>
      <c r="G2310">
        <f t="shared" si="253"/>
        <v>-2.2267215155578564</v>
      </c>
      <c r="H2310">
        <f t="shared" si="254"/>
        <v>0.38593585424489268</v>
      </c>
      <c r="I2310">
        <f t="shared" si="255"/>
        <v>-0.86399398163750241</v>
      </c>
      <c r="J2310">
        <f t="shared" si="256"/>
        <v>-1.5719394295086859</v>
      </c>
      <c r="K2310">
        <f t="shared" si="257"/>
        <v>-2.2340548488911898</v>
      </c>
      <c r="L2310">
        <f t="shared" si="258"/>
        <v>-0.87132731497083571</v>
      </c>
    </row>
    <row r="2311" spans="1:12" x14ac:dyDescent="0.25">
      <c r="A2311" s="1">
        <v>43605</v>
      </c>
      <c r="B2311" s="6">
        <v>224.7715</v>
      </c>
      <c r="C2311" s="6">
        <v>12.245200000000001</v>
      </c>
      <c r="D2311" s="6">
        <v>10398.41</v>
      </c>
      <c r="E2311" s="6">
        <v>0.66</v>
      </c>
      <c r="F2311" s="6">
        <f t="shared" si="252"/>
        <v>7.3333333333333341E-3</v>
      </c>
      <c r="G2311">
        <f t="shared" si="253"/>
        <v>-1.4492480387097473</v>
      </c>
      <c r="H2311">
        <f t="shared" si="254"/>
        <v>-1.9230615203479289</v>
      </c>
      <c r="I2311">
        <f t="shared" si="255"/>
        <v>0.13771040561010306</v>
      </c>
      <c r="J2311">
        <f t="shared" si="256"/>
        <v>-1.0248887542482614</v>
      </c>
      <c r="K2311">
        <f t="shared" si="257"/>
        <v>-1.4565813720430807</v>
      </c>
      <c r="L2311">
        <f t="shared" si="258"/>
        <v>0.13037707227676973</v>
      </c>
    </row>
    <row r="2312" spans="1:12" x14ac:dyDescent="0.25">
      <c r="A2312" s="1">
        <v>43606</v>
      </c>
      <c r="B2312" s="6">
        <v>220.99379999999999</v>
      </c>
      <c r="C2312" s="6">
        <v>12.4373</v>
      </c>
      <c r="D2312" s="6">
        <v>10464.5</v>
      </c>
      <c r="E2312" s="6">
        <v>0.66</v>
      </c>
      <c r="F2312" s="6">
        <f t="shared" si="252"/>
        <v>7.3333333333333341E-3</v>
      </c>
      <c r="G2312">
        <f t="shared" si="253"/>
        <v>-1.6806846063669147</v>
      </c>
      <c r="H2312">
        <f t="shared" si="254"/>
        <v>1.5687779701434026</v>
      </c>
      <c r="I2312">
        <f t="shared" si="255"/>
        <v>0.63557793931957041</v>
      </c>
      <c r="J2312">
        <f t="shared" si="256"/>
        <v>-1.1877335771097144</v>
      </c>
      <c r="K2312">
        <f t="shared" si="257"/>
        <v>-1.6880179397002482</v>
      </c>
      <c r="L2312">
        <f t="shared" si="258"/>
        <v>0.6282446059862371</v>
      </c>
    </row>
    <row r="2313" spans="1:12" x14ac:dyDescent="0.25">
      <c r="A2313" s="1">
        <v>43607</v>
      </c>
      <c r="B2313" s="6">
        <v>224.7715</v>
      </c>
      <c r="C2313" s="6">
        <v>12.485300000000001</v>
      </c>
      <c r="D2313" s="6">
        <v>10457.219999999999</v>
      </c>
      <c r="E2313" s="6">
        <v>0.66</v>
      </c>
      <c r="F2313" s="6">
        <f t="shared" si="252"/>
        <v>7.3333333333333341E-3</v>
      </c>
      <c r="G2313">
        <f t="shared" si="253"/>
        <v>1.7094144722612175</v>
      </c>
      <c r="H2313">
        <f t="shared" si="254"/>
        <v>0.38593585424489268</v>
      </c>
      <c r="I2313">
        <f t="shared" si="255"/>
        <v>-6.9568541258547043E-2</v>
      </c>
      <c r="J2313">
        <f t="shared" si="256"/>
        <v>1.1976288119478067</v>
      </c>
      <c r="K2313">
        <f t="shared" si="257"/>
        <v>1.702081138927884</v>
      </c>
      <c r="L2313">
        <f t="shared" si="258"/>
        <v>-7.6901874591880373E-2</v>
      </c>
    </row>
    <row r="2314" spans="1:12" x14ac:dyDescent="0.25">
      <c r="A2314" s="1">
        <v>43608</v>
      </c>
      <c r="B2314" s="6">
        <v>217.21610000000001</v>
      </c>
      <c r="C2314" s="6">
        <v>12.3413</v>
      </c>
      <c r="D2314" s="6">
        <v>10308.370000000001</v>
      </c>
      <c r="E2314" s="6">
        <v>0.66</v>
      </c>
      <c r="F2314" s="6">
        <f t="shared" si="252"/>
        <v>7.3333333333333341E-3</v>
      </c>
      <c r="G2314">
        <f t="shared" si="253"/>
        <v>-3.3613692127338171</v>
      </c>
      <c r="H2314">
        <f t="shared" si="254"/>
        <v>-1.1533563470641484</v>
      </c>
      <c r="I2314">
        <f t="shared" si="255"/>
        <v>-1.4234184611206282</v>
      </c>
      <c r="J2314">
        <f t="shared" si="256"/>
        <v>-2.3703072290626506</v>
      </c>
      <c r="K2314">
        <f t="shared" si="257"/>
        <v>-3.3687025460671505</v>
      </c>
      <c r="L2314">
        <f t="shared" si="258"/>
        <v>-1.4307517944539616</v>
      </c>
    </row>
    <row r="2315" spans="1:12" x14ac:dyDescent="0.25">
      <c r="A2315" s="1">
        <v>43609</v>
      </c>
      <c r="B2315" s="6">
        <v>220.04939999999999</v>
      </c>
      <c r="C2315" s="6">
        <v>12.4373</v>
      </c>
      <c r="D2315" s="6">
        <v>10328.280000000001</v>
      </c>
      <c r="E2315" s="6">
        <v>0.66</v>
      </c>
      <c r="F2315" s="6">
        <f t="shared" si="252"/>
        <v>7.3333333333333341E-3</v>
      </c>
      <c r="G2315">
        <f t="shared" si="253"/>
        <v>1.3043692433479745</v>
      </c>
      <c r="H2315">
        <f t="shared" si="254"/>
        <v>0.77787591258619504</v>
      </c>
      <c r="I2315">
        <f t="shared" si="255"/>
        <v>0.19314401791941746</v>
      </c>
      <c r="J2315">
        <f t="shared" si="256"/>
        <v>0.91262839381612582</v>
      </c>
      <c r="K2315">
        <f t="shared" si="257"/>
        <v>1.2970359100146411</v>
      </c>
      <c r="L2315">
        <f t="shared" si="258"/>
        <v>0.18581068458608413</v>
      </c>
    </row>
    <row r="2316" spans="1:12" x14ac:dyDescent="0.25">
      <c r="A2316" s="1">
        <v>43612</v>
      </c>
      <c r="B2316" s="6">
        <v>218.16059999999999</v>
      </c>
      <c r="C2316" s="6">
        <v>12.293200000000001</v>
      </c>
      <c r="D2316" s="6">
        <v>10334.129999999999</v>
      </c>
      <c r="E2316" s="6">
        <v>0.66</v>
      </c>
      <c r="F2316" s="6">
        <f t="shared" si="252"/>
        <v>7.3333333333333341E-3</v>
      </c>
      <c r="G2316">
        <f t="shared" si="253"/>
        <v>-0.85835271534482871</v>
      </c>
      <c r="H2316">
        <f t="shared" si="254"/>
        <v>-1.158611595764353</v>
      </c>
      <c r="I2316">
        <f t="shared" si="255"/>
        <v>5.6640602307436907E-2</v>
      </c>
      <c r="J2316">
        <f t="shared" si="256"/>
        <v>-0.60911934824168545</v>
      </c>
      <c r="K2316">
        <f t="shared" si="257"/>
        <v>-0.86568604867816201</v>
      </c>
      <c r="L2316">
        <f t="shared" si="258"/>
        <v>4.9307268974103577E-2</v>
      </c>
    </row>
    <row r="2317" spans="1:12" x14ac:dyDescent="0.25">
      <c r="A2317" s="1">
        <v>43613</v>
      </c>
      <c r="B2317" s="6">
        <v>217.6883</v>
      </c>
      <c r="C2317" s="6">
        <v>11.957100000000001</v>
      </c>
      <c r="D2317" s="6">
        <v>10312.31</v>
      </c>
      <c r="E2317" s="6">
        <v>0.66</v>
      </c>
      <c r="F2317" s="6">
        <f t="shared" si="252"/>
        <v>7.3333333333333341E-3</v>
      </c>
      <c r="G2317">
        <f t="shared" si="253"/>
        <v>-0.21649188716935597</v>
      </c>
      <c r="H2317">
        <f t="shared" si="254"/>
        <v>-2.7340318224709601</v>
      </c>
      <c r="I2317">
        <f t="shared" si="255"/>
        <v>-0.21114501172328692</v>
      </c>
      <c r="J2317">
        <f t="shared" si="256"/>
        <v>-0.15748927990791228</v>
      </c>
      <c r="K2317">
        <f t="shared" si="257"/>
        <v>-0.2238252205026893</v>
      </c>
      <c r="L2317">
        <f t="shared" si="258"/>
        <v>-0.21847834505662025</v>
      </c>
    </row>
    <row r="2318" spans="1:12" x14ac:dyDescent="0.25">
      <c r="A2318" s="1">
        <v>43614</v>
      </c>
      <c r="B2318" s="6">
        <v>216.7439</v>
      </c>
      <c r="C2318" s="6">
        <v>12.1012</v>
      </c>
      <c r="D2318" s="6">
        <v>10301.780000000001</v>
      </c>
      <c r="E2318" s="6">
        <v>0.66</v>
      </c>
      <c r="F2318" s="6">
        <f t="shared" si="252"/>
        <v>7.3333333333333341E-3</v>
      </c>
      <c r="G2318">
        <f t="shared" si="253"/>
        <v>-0.43383130834316852</v>
      </c>
      <c r="H2318">
        <f t="shared" si="254"/>
        <v>1.20514171496433</v>
      </c>
      <c r="I2318">
        <f t="shared" si="255"/>
        <v>-0.1021109722263861</v>
      </c>
      <c r="J2318">
        <f t="shared" si="256"/>
        <v>-0.31041498175416576</v>
      </c>
      <c r="K2318">
        <f t="shared" si="257"/>
        <v>-0.44116464167650188</v>
      </c>
      <c r="L2318">
        <f t="shared" si="258"/>
        <v>-0.10944430555971943</v>
      </c>
    </row>
    <row r="2319" spans="1:12" x14ac:dyDescent="0.25">
      <c r="A2319" s="1">
        <v>43615</v>
      </c>
      <c r="B2319" s="6">
        <v>218.16059999999999</v>
      </c>
      <c r="C2319" s="6">
        <v>12.245200000000001</v>
      </c>
      <c r="D2319" s="6">
        <v>10382.99</v>
      </c>
      <c r="E2319" s="6">
        <v>0.66</v>
      </c>
      <c r="F2319" s="6">
        <f t="shared" si="252"/>
        <v>7.3333333333333341E-3</v>
      </c>
      <c r="G2319">
        <f t="shared" si="253"/>
        <v>0.65362854502479273</v>
      </c>
      <c r="H2319">
        <f t="shared" si="254"/>
        <v>1.1899646316067838</v>
      </c>
      <c r="I2319">
        <f t="shared" si="255"/>
        <v>0.78831036966426304</v>
      </c>
      <c r="J2319">
        <f t="shared" si="256"/>
        <v>0.45475021656907832</v>
      </c>
      <c r="K2319">
        <f t="shared" si="257"/>
        <v>0.64629521169145943</v>
      </c>
      <c r="L2319">
        <f t="shared" si="258"/>
        <v>0.78097703633092974</v>
      </c>
    </row>
    <row r="2320" spans="1:12" x14ac:dyDescent="0.25">
      <c r="A2320" s="1">
        <v>43616</v>
      </c>
      <c r="B2320" s="6">
        <v>222.41040000000001</v>
      </c>
      <c r="C2320" s="6">
        <v>12.3893</v>
      </c>
      <c r="D2320" s="6">
        <v>10498.49</v>
      </c>
      <c r="E2320" s="6">
        <v>0.66</v>
      </c>
      <c r="F2320" s="6">
        <f t="shared" si="252"/>
        <v>7.3333333333333341E-3</v>
      </c>
      <c r="G2320">
        <f t="shared" si="253"/>
        <v>1.9480144444047285</v>
      </c>
      <c r="H2320">
        <f t="shared" si="254"/>
        <v>1.1767876392382313</v>
      </c>
      <c r="I2320">
        <f t="shared" si="255"/>
        <v>1.1123963328482451</v>
      </c>
      <c r="J2320">
        <f t="shared" si="256"/>
        <v>1.3655139935843328</v>
      </c>
      <c r="K2320">
        <f t="shared" si="257"/>
        <v>1.9406811110713951</v>
      </c>
      <c r="L2320">
        <f t="shared" si="258"/>
        <v>1.1050629995149117</v>
      </c>
    </row>
    <row r="2321" spans="1:12" x14ac:dyDescent="0.25">
      <c r="A2321" s="1">
        <v>43619</v>
      </c>
      <c r="B2321" s="6">
        <v>224.7715</v>
      </c>
      <c r="C2321" s="6">
        <v>12.6774</v>
      </c>
      <c r="D2321" s="6">
        <v>10500.07</v>
      </c>
      <c r="E2321" s="6">
        <v>0.66</v>
      </c>
      <c r="F2321" s="6">
        <f t="shared" si="252"/>
        <v>7.3333333333333341E-3</v>
      </c>
      <c r="G2321">
        <f t="shared" si="253"/>
        <v>1.0615960404729246</v>
      </c>
      <c r="H2321">
        <f t="shared" si="254"/>
        <v>2.3253936864875335</v>
      </c>
      <c r="I2321">
        <f t="shared" si="255"/>
        <v>1.5049783349795325E-2</v>
      </c>
      <c r="J2321">
        <f t="shared" si="256"/>
        <v>0.74180681787459901</v>
      </c>
      <c r="K2321">
        <f t="shared" si="257"/>
        <v>1.0542627071395911</v>
      </c>
      <c r="L2321">
        <f t="shared" si="258"/>
        <v>7.7164500164619912E-3</v>
      </c>
    </row>
    <row r="2322" spans="1:12" x14ac:dyDescent="0.25">
      <c r="A2322" s="1">
        <v>43620</v>
      </c>
      <c r="B2322" s="6">
        <v>220.04939999999999</v>
      </c>
      <c r="C2322" s="6">
        <v>12.485300000000001</v>
      </c>
      <c r="D2322" s="6">
        <v>10429.120000000001</v>
      </c>
      <c r="E2322" s="6">
        <v>0.66</v>
      </c>
      <c r="F2322" s="6">
        <f t="shared" si="252"/>
        <v>7.3333333333333341E-3</v>
      </c>
      <c r="G2322">
        <f t="shared" si="253"/>
        <v>-2.1008446355521104</v>
      </c>
      <c r="H2322">
        <f t="shared" si="254"/>
        <v>-1.5152949342925199</v>
      </c>
      <c r="I2322">
        <f t="shared" si="255"/>
        <v>-0.67570978098240209</v>
      </c>
      <c r="J2322">
        <f t="shared" si="256"/>
        <v>-1.483369164081777</v>
      </c>
      <c r="K2322">
        <f t="shared" si="257"/>
        <v>-2.1081779688854438</v>
      </c>
      <c r="L2322">
        <f t="shared" si="258"/>
        <v>-0.68304311431573539</v>
      </c>
    </row>
    <row r="2323" spans="1:12" x14ac:dyDescent="0.25">
      <c r="A2323" s="1">
        <v>43621</v>
      </c>
      <c r="B2323" s="6">
        <v>221.93819999999999</v>
      </c>
      <c r="C2323" s="6">
        <v>12.3893</v>
      </c>
      <c r="D2323" s="6">
        <v>10461.620000000001</v>
      </c>
      <c r="E2323" s="6">
        <v>0.66</v>
      </c>
      <c r="F2323" s="6">
        <f t="shared" si="252"/>
        <v>7.3333333333333341E-3</v>
      </c>
      <c r="G2323">
        <f t="shared" si="253"/>
        <v>0.85835271534482871</v>
      </c>
      <c r="H2323">
        <f t="shared" si="254"/>
        <v>-0.76890423137609898</v>
      </c>
      <c r="I2323">
        <f t="shared" si="255"/>
        <v>0.31162744315915436</v>
      </c>
      <c r="J2323">
        <f t="shared" si="256"/>
        <v>0.59879949792814602</v>
      </c>
      <c r="K2323">
        <f t="shared" si="257"/>
        <v>0.85101938201149541</v>
      </c>
      <c r="L2323">
        <f t="shared" si="258"/>
        <v>0.304294109825821</v>
      </c>
    </row>
    <row r="2324" spans="1:12" x14ac:dyDescent="0.25">
      <c r="A2324" s="1">
        <v>43622</v>
      </c>
      <c r="B2324" s="6">
        <v>219.10499999999999</v>
      </c>
      <c r="C2324" s="6">
        <v>12.5334</v>
      </c>
      <c r="D2324" s="6">
        <v>10409.200000000001</v>
      </c>
      <c r="E2324" s="6">
        <v>0.66</v>
      </c>
      <c r="F2324" s="6">
        <f t="shared" si="252"/>
        <v>7.3333333333333341E-3</v>
      </c>
      <c r="G2324">
        <f t="shared" si="253"/>
        <v>-1.2765715861442533</v>
      </c>
      <c r="H2324">
        <f t="shared" si="254"/>
        <v>1.1631004172955686</v>
      </c>
      <c r="I2324">
        <f t="shared" si="255"/>
        <v>-0.50106962401616639</v>
      </c>
      <c r="J2324">
        <f t="shared" si="256"/>
        <v>-0.90338908539720053</v>
      </c>
      <c r="K2324">
        <f t="shared" si="257"/>
        <v>-1.2839049194775867</v>
      </c>
      <c r="L2324">
        <f t="shared" si="258"/>
        <v>-0.5084029573494997</v>
      </c>
    </row>
    <row r="2325" spans="1:12" x14ac:dyDescent="0.25">
      <c r="A2325" s="1">
        <v>43626</v>
      </c>
      <c r="B2325" s="6">
        <v>226.66030000000001</v>
      </c>
      <c r="C2325" s="6">
        <v>12.7735</v>
      </c>
      <c r="D2325" s="6">
        <v>10566.47</v>
      </c>
      <c r="E2325" s="6">
        <v>0.66</v>
      </c>
      <c r="F2325" s="6">
        <f t="shared" si="252"/>
        <v>7.3333333333333341E-3</v>
      </c>
      <c r="G2325">
        <f t="shared" si="253"/>
        <v>3.4482554026608327</v>
      </c>
      <c r="H2325">
        <f t="shared" si="254"/>
        <v>1.9156812995675552</v>
      </c>
      <c r="I2325">
        <f t="shared" si="255"/>
        <v>1.5108749951965434</v>
      </c>
      <c r="J2325">
        <f t="shared" si="256"/>
        <v>2.4211227747282398</v>
      </c>
      <c r="K2325">
        <f t="shared" si="257"/>
        <v>3.4409220693274993</v>
      </c>
      <c r="L2325">
        <f t="shared" si="258"/>
        <v>1.50354166186321</v>
      </c>
    </row>
    <row r="2326" spans="1:12" x14ac:dyDescent="0.25">
      <c r="A2326" s="1">
        <v>43627</v>
      </c>
      <c r="B2326" s="6">
        <v>230.9102</v>
      </c>
      <c r="C2326" s="6">
        <v>12.8695</v>
      </c>
      <c r="D2326" s="6">
        <v>10607.76</v>
      </c>
      <c r="E2326" s="6">
        <v>0.66</v>
      </c>
      <c r="F2326" s="6">
        <f t="shared" si="252"/>
        <v>7.3333333333333341E-3</v>
      </c>
      <c r="G2326">
        <f t="shared" si="253"/>
        <v>1.8750085480342153</v>
      </c>
      <c r="H2326">
        <f t="shared" si="254"/>
        <v>0.75155595568951405</v>
      </c>
      <c r="I2326">
        <f t="shared" si="255"/>
        <v>0.39076437069334297</v>
      </c>
      <c r="J2326">
        <f t="shared" si="256"/>
        <v>1.314145135228687</v>
      </c>
      <c r="K2326">
        <f t="shared" si="257"/>
        <v>1.8676752147008819</v>
      </c>
      <c r="L2326">
        <f t="shared" si="258"/>
        <v>0.38343103736000961</v>
      </c>
    </row>
    <row r="2327" spans="1:12" x14ac:dyDescent="0.25">
      <c r="A2327" s="1">
        <v>43628</v>
      </c>
      <c r="B2327" s="6">
        <v>232.32679999999999</v>
      </c>
      <c r="C2327" s="6">
        <v>13.0136</v>
      </c>
      <c r="D2327" s="6">
        <v>10615.66</v>
      </c>
      <c r="E2327" s="6">
        <v>0.66</v>
      </c>
      <c r="F2327" s="6">
        <f t="shared" si="252"/>
        <v>7.3333333333333341E-3</v>
      </c>
      <c r="G2327">
        <f t="shared" si="253"/>
        <v>0.61348524231497281</v>
      </c>
      <c r="H2327">
        <f t="shared" si="254"/>
        <v>1.1197016201095604</v>
      </c>
      <c r="I2327">
        <f t="shared" si="255"/>
        <v>7.4473781458098937E-2</v>
      </c>
      <c r="J2327">
        <f t="shared" si="256"/>
        <v>0.42650433872432081</v>
      </c>
      <c r="K2327">
        <f t="shared" si="257"/>
        <v>0.60615190898163951</v>
      </c>
      <c r="L2327">
        <f t="shared" si="258"/>
        <v>6.7140448124765606E-2</v>
      </c>
    </row>
    <row r="2328" spans="1:12" x14ac:dyDescent="0.25">
      <c r="A2328" s="1">
        <v>43629</v>
      </c>
      <c r="B2328" s="6">
        <v>226.66030000000001</v>
      </c>
      <c r="C2328" s="6">
        <v>13.2056</v>
      </c>
      <c r="D2328" s="6">
        <v>10561.01</v>
      </c>
      <c r="E2328" s="6">
        <v>0.66</v>
      </c>
      <c r="F2328" s="6">
        <f t="shared" si="252"/>
        <v>7.3333333333333341E-3</v>
      </c>
      <c r="G2328">
        <f t="shared" si="253"/>
        <v>-2.4390212407694616</v>
      </c>
      <c r="H2328">
        <f t="shared" si="254"/>
        <v>1.4753796028769914</v>
      </c>
      <c r="I2328">
        <f t="shared" si="255"/>
        <v>-0.51480548548088045</v>
      </c>
      <c r="J2328">
        <f t="shared" si="256"/>
        <v>-1.7213190694488669</v>
      </c>
      <c r="K2328">
        <f t="shared" si="257"/>
        <v>-2.446354574102795</v>
      </c>
      <c r="L2328">
        <f t="shared" si="258"/>
        <v>-0.52213881881421376</v>
      </c>
    </row>
    <row r="2329" spans="1:12" x14ac:dyDescent="0.25">
      <c r="A2329" s="1">
        <v>43630</v>
      </c>
      <c r="B2329" s="6">
        <v>222.8826</v>
      </c>
      <c r="C2329" s="6">
        <v>13.1576</v>
      </c>
      <c r="D2329" s="6">
        <v>10524.67</v>
      </c>
      <c r="E2329" s="6">
        <v>0.66</v>
      </c>
      <c r="F2329" s="6">
        <f t="shared" si="252"/>
        <v>7.3333333333333341E-3</v>
      </c>
      <c r="G2329">
        <f t="shared" si="253"/>
        <v>-1.6666791670177838</v>
      </c>
      <c r="H2329">
        <f t="shared" si="254"/>
        <v>-0.36348215908402526</v>
      </c>
      <c r="I2329">
        <f t="shared" si="255"/>
        <v>-0.34409587719356527</v>
      </c>
      <c r="J2329">
        <f t="shared" si="256"/>
        <v>-1.1778789836330064</v>
      </c>
      <c r="K2329">
        <f t="shared" si="257"/>
        <v>-1.6740125003511173</v>
      </c>
      <c r="L2329">
        <f t="shared" si="258"/>
        <v>-0.35142921052689863</v>
      </c>
    </row>
    <row r="2330" spans="1:12" x14ac:dyDescent="0.25">
      <c r="A2330" s="1">
        <v>43633</v>
      </c>
      <c r="B2330" s="6">
        <v>220.04939999999999</v>
      </c>
      <c r="C2330" s="6">
        <v>13.1096</v>
      </c>
      <c r="D2330" s="6">
        <v>10530.54</v>
      </c>
      <c r="E2330" s="6">
        <v>0.66</v>
      </c>
      <c r="F2330" s="6">
        <f t="shared" si="252"/>
        <v>7.3333333333333341E-3</v>
      </c>
      <c r="G2330">
        <f t="shared" si="253"/>
        <v>-1.2711624864390514</v>
      </c>
      <c r="H2330">
        <f t="shared" si="254"/>
        <v>-0.36480817170304647</v>
      </c>
      <c r="I2330">
        <f t="shared" si="255"/>
        <v>5.5773720221164183E-2</v>
      </c>
      <c r="J2330">
        <f t="shared" si="256"/>
        <v>-0.89958310135478958</v>
      </c>
      <c r="K2330">
        <f t="shared" si="257"/>
        <v>-1.2784958197723848</v>
      </c>
      <c r="L2330">
        <f t="shared" si="258"/>
        <v>4.8440386887830852E-2</v>
      </c>
    </row>
    <row r="2331" spans="1:12" x14ac:dyDescent="0.25">
      <c r="A2331" s="1">
        <v>43634</v>
      </c>
      <c r="B2331" s="6">
        <v>222.41040000000001</v>
      </c>
      <c r="C2331" s="6">
        <v>12.7254</v>
      </c>
      <c r="D2331" s="6">
        <v>10566.74</v>
      </c>
      <c r="E2331" s="6">
        <v>0.66</v>
      </c>
      <c r="F2331" s="6">
        <f t="shared" si="252"/>
        <v>7.3333333333333341E-3</v>
      </c>
      <c r="G2331">
        <f t="shared" si="253"/>
        <v>1.0729408941810423</v>
      </c>
      <c r="H2331">
        <f t="shared" si="254"/>
        <v>-2.9306767559650932</v>
      </c>
      <c r="I2331">
        <f t="shared" si="255"/>
        <v>0.34376204829001084</v>
      </c>
      <c r="J2331">
        <f t="shared" si="256"/>
        <v>0.74978935369937938</v>
      </c>
      <c r="K2331">
        <f t="shared" si="257"/>
        <v>1.0656075608477089</v>
      </c>
      <c r="L2331">
        <f t="shared" si="258"/>
        <v>0.33642871495667748</v>
      </c>
    </row>
    <row r="2332" spans="1:12" x14ac:dyDescent="0.25">
      <c r="A2332" s="1">
        <v>43635</v>
      </c>
      <c r="B2332" s="6">
        <v>230.43799999999999</v>
      </c>
      <c r="C2332" s="6">
        <v>13.1096</v>
      </c>
      <c r="D2332" s="6">
        <v>10775.34</v>
      </c>
      <c r="E2332" s="6">
        <v>0.66</v>
      </c>
      <c r="F2332" s="6">
        <f t="shared" si="252"/>
        <v>7.3333333333333341E-3</v>
      </c>
      <c r="G2332">
        <f t="shared" si="253"/>
        <v>3.6093635909112063</v>
      </c>
      <c r="H2332">
        <f t="shared" si="254"/>
        <v>3.0191585333270456</v>
      </c>
      <c r="I2332">
        <f t="shared" si="255"/>
        <v>1.9741187916046044</v>
      </c>
      <c r="J2332">
        <f t="shared" si="256"/>
        <v>2.5344827102075165</v>
      </c>
      <c r="K2332">
        <f t="shared" si="257"/>
        <v>3.6020302575778729</v>
      </c>
      <c r="L2332">
        <f t="shared" si="258"/>
        <v>1.9667854582712709</v>
      </c>
    </row>
    <row r="2333" spans="1:12" x14ac:dyDescent="0.25">
      <c r="A2333" s="1">
        <v>43636</v>
      </c>
      <c r="B2333" s="6">
        <v>231.38239999999999</v>
      </c>
      <c r="C2333" s="6">
        <v>12.8695</v>
      </c>
      <c r="D2333" s="6">
        <v>10785.01</v>
      </c>
      <c r="E2333" s="6">
        <v>0.66</v>
      </c>
      <c r="F2333" s="6">
        <f t="shared" si="252"/>
        <v>7.3333333333333341E-3</v>
      </c>
      <c r="G2333">
        <f t="shared" si="253"/>
        <v>0.40982824013400643</v>
      </c>
      <c r="H2333">
        <f t="shared" si="254"/>
        <v>-1.8314822725331052</v>
      </c>
      <c r="I2333">
        <f t="shared" si="255"/>
        <v>8.9741947817888551E-2</v>
      </c>
      <c r="J2333">
        <f t="shared" si="256"/>
        <v>0.28320594478261057</v>
      </c>
      <c r="K2333">
        <f t="shared" si="257"/>
        <v>0.40249490680067307</v>
      </c>
      <c r="L2333">
        <f t="shared" si="258"/>
        <v>8.240861448455522E-2</v>
      </c>
    </row>
    <row r="2334" spans="1:12" x14ac:dyDescent="0.25">
      <c r="A2334" s="1">
        <v>43637</v>
      </c>
      <c r="B2334" s="6">
        <v>234.68790000000001</v>
      </c>
      <c r="C2334" s="6">
        <v>13.1576</v>
      </c>
      <c r="D2334" s="6">
        <v>10803.77</v>
      </c>
      <c r="E2334" s="6">
        <v>0.66</v>
      </c>
      <c r="F2334" s="6">
        <f t="shared" si="252"/>
        <v>7.3333333333333341E-3</v>
      </c>
      <c r="G2334">
        <f t="shared" si="253"/>
        <v>1.4285874811567447</v>
      </c>
      <c r="H2334">
        <f t="shared" si="254"/>
        <v>2.2386262092544391</v>
      </c>
      <c r="I2334">
        <f t="shared" si="255"/>
        <v>0.17394513310604456</v>
      </c>
      <c r="J2334">
        <f t="shared" si="256"/>
        <v>1.000031595206909</v>
      </c>
      <c r="K2334">
        <f t="shared" si="257"/>
        <v>1.4212541478234113</v>
      </c>
      <c r="L2334">
        <f t="shared" si="258"/>
        <v>0.16661179977271123</v>
      </c>
    </row>
    <row r="2335" spans="1:12" x14ac:dyDescent="0.25">
      <c r="A2335" s="1">
        <v>43640</v>
      </c>
      <c r="B2335" s="6">
        <v>235.1755</v>
      </c>
      <c r="C2335" s="6">
        <v>13.2056</v>
      </c>
      <c r="D2335" s="6">
        <v>10779.45</v>
      </c>
      <c r="E2335" s="6">
        <v>0.66</v>
      </c>
      <c r="F2335" s="6">
        <f t="shared" si="252"/>
        <v>7.3333333333333341E-3</v>
      </c>
      <c r="G2335">
        <f t="shared" si="253"/>
        <v>0.20776529169164079</v>
      </c>
      <c r="H2335">
        <f t="shared" si="254"/>
        <v>0.36480817170304647</v>
      </c>
      <c r="I2335">
        <f t="shared" si="255"/>
        <v>-0.22510660630501861</v>
      </c>
      <c r="J2335">
        <f t="shared" si="256"/>
        <v>0.14102916874822527</v>
      </c>
      <c r="K2335">
        <f t="shared" si="257"/>
        <v>0.20043195835830746</v>
      </c>
      <c r="L2335">
        <f t="shared" si="258"/>
        <v>-0.23243993963835194</v>
      </c>
    </row>
    <row r="2336" spans="1:12" x14ac:dyDescent="0.25">
      <c r="A2336" s="1">
        <v>43641</v>
      </c>
      <c r="B2336" s="6">
        <v>232.73589999999999</v>
      </c>
      <c r="C2336" s="6">
        <v>13.1576</v>
      </c>
      <c r="D2336" s="6">
        <v>10706.72</v>
      </c>
      <c r="E2336" s="6">
        <v>0.66</v>
      </c>
      <c r="F2336" s="6">
        <f t="shared" si="252"/>
        <v>7.3333333333333341E-3</v>
      </c>
      <c r="G2336">
        <f t="shared" si="253"/>
        <v>-1.0373529555587264</v>
      </c>
      <c r="H2336">
        <f t="shared" si="254"/>
        <v>-0.36348215908402526</v>
      </c>
      <c r="I2336">
        <f t="shared" si="255"/>
        <v>-0.67470974864210487</v>
      </c>
      <c r="J2336">
        <f t="shared" si="256"/>
        <v>-0.73506859949816461</v>
      </c>
      <c r="K2336">
        <f t="shared" si="257"/>
        <v>-1.0446862888920598</v>
      </c>
      <c r="L2336">
        <f t="shared" si="258"/>
        <v>-0.68204308197543817</v>
      </c>
    </row>
    <row r="2337" spans="1:12" x14ac:dyDescent="0.25">
      <c r="A2337" s="1">
        <v>43642</v>
      </c>
      <c r="B2337" s="6">
        <v>228.83260000000001</v>
      </c>
      <c r="C2337" s="6">
        <v>13.2537</v>
      </c>
      <c r="D2337" s="6">
        <v>10652.55</v>
      </c>
      <c r="E2337" s="6">
        <v>0.66</v>
      </c>
      <c r="F2337" s="6">
        <f t="shared" si="252"/>
        <v>7.3333333333333341E-3</v>
      </c>
      <c r="G2337">
        <f t="shared" si="253"/>
        <v>-1.67713704675556</v>
      </c>
      <c r="H2337">
        <f t="shared" si="254"/>
        <v>0.73037636043047249</v>
      </c>
      <c r="I2337">
        <f t="shared" si="255"/>
        <v>-0.50594393054081999</v>
      </c>
      <c r="J2337">
        <f t="shared" si="256"/>
        <v>-1.1852374213710186</v>
      </c>
      <c r="K2337">
        <f t="shared" si="257"/>
        <v>-1.6844703800888934</v>
      </c>
      <c r="L2337">
        <f t="shared" si="258"/>
        <v>-0.51327726387415329</v>
      </c>
    </row>
    <row r="2338" spans="1:12" x14ac:dyDescent="0.25">
      <c r="A2338" s="1">
        <v>43643</v>
      </c>
      <c r="B2338" s="6">
        <v>234.6876</v>
      </c>
      <c r="C2338" s="6">
        <v>13.4457</v>
      </c>
      <c r="D2338" s="6">
        <v>10773.9</v>
      </c>
      <c r="E2338" s="6">
        <v>0.66</v>
      </c>
      <c r="F2338" s="6">
        <f t="shared" si="252"/>
        <v>7.3333333333333341E-3</v>
      </c>
      <c r="G2338">
        <f t="shared" si="253"/>
        <v>2.5586389351866776</v>
      </c>
      <c r="H2338">
        <f t="shared" si="254"/>
        <v>1.4486520745150424</v>
      </c>
      <c r="I2338">
        <f t="shared" si="255"/>
        <v>1.1391638621738491</v>
      </c>
      <c r="J2338">
        <f t="shared" si="256"/>
        <v>1.7951653578559892</v>
      </c>
      <c r="K2338">
        <f t="shared" si="257"/>
        <v>2.5513056018533442</v>
      </c>
      <c r="L2338">
        <f t="shared" si="258"/>
        <v>1.1318305288405157</v>
      </c>
    </row>
    <row r="2339" spans="1:12" x14ac:dyDescent="0.25">
      <c r="A2339" s="1">
        <v>43644</v>
      </c>
      <c r="B2339" s="6">
        <v>233.22380000000001</v>
      </c>
      <c r="C2339" s="6">
        <v>13.3977</v>
      </c>
      <c r="D2339" s="6">
        <v>10730.83</v>
      </c>
      <c r="E2339" s="6">
        <v>0.66</v>
      </c>
      <c r="F2339" s="6">
        <f t="shared" si="252"/>
        <v>7.3333333333333341E-3</v>
      </c>
      <c r="G2339">
        <f t="shared" si="253"/>
        <v>-0.62372277018470168</v>
      </c>
      <c r="H2339">
        <f t="shared" si="254"/>
        <v>-0.35699145451705783</v>
      </c>
      <c r="I2339">
        <f t="shared" si="255"/>
        <v>-0.39976238873573833</v>
      </c>
      <c r="J2339">
        <f t="shared" si="256"/>
        <v>-0.44402758143760723</v>
      </c>
      <c r="K2339">
        <f t="shared" si="257"/>
        <v>-0.63105610351803498</v>
      </c>
      <c r="L2339">
        <f t="shared" si="258"/>
        <v>-0.40709572206907169</v>
      </c>
    </row>
    <row r="2340" spans="1:12" x14ac:dyDescent="0.25">
      <c r="A2340" s="1">
        <v>43647</v>
      </c>
      <c r="B2340" s="6">
        <v>242.49430000000001</v>
      </c>
      <c r="C2340" s="6">
        <v>13.7819</v>
      </c>
      <c r="D2340" s="6">
        <v>10895.46</v>
      </c>
      <c r="E2340" s="6">
        <v>0.66</v>
      </c>
      <c r="F2340" s="6">
        <f t="shared" si="252"/>
        <v>7.3333333333333341E-3</v>
      </c>
      <c r="G2340">
        <f t="shared" si="253"/>
        <v>3.9749373777461812</v>
      </c>
      <c r="H2340">
        <f t="shared" si="254"/>
        <v>2.8676563887831485</v>
      </c>
      <c r="I2340">
        <f t="shared" si="255"/>
        <v>1.5341776917535661</v>
      </c>
      <c r="J2340">
        <f t="shared" si="256"/>
        <v>2.7917099892091564</v>
      </c>
      <c r="K2340">
        <f t="shared" si="257"/>
        <v>3.9676040444128478</v>
      </c>
      <c r="L2340">
        <f t="shared" si="258"/>
        <v>1.5268443584202327</v>
      </c>
    </row>
    <row r="2341" spans="1:12" x14ac:dyDescent="0.25">
      <c r="A2341" s="1">
        <v>43648</v>
      </c>
      <c r="B2341" s="6">
        <v>242.98220000000001</v>
      </c>
      <c r="C2341" s="6">
        <v>13.6858</v>
      </c>
      <c r="D2341" s="6">
        <v>10865.12</v>
      </c>
      <c r="E2341" s="6">
        <v>0.66</v>
      </c>
      <c r="F2341" s="6">
        <f t="shared" si="252"/>
        <v>7.3333333333333341E-3</v>
      </c>
      <c r="G2341">
        <f t="shared" si="253"/>
        <v>0.20120060554000493</v>
      </c>
      <c r="H2341">
        <f t="shared" si="254"/>
        <v>-0.69729137491927706</v>
      </c>
      <c r="I2341">
        <f t="shared" si="255"/>
        <v>-0.27846460819459051</v>
      </c>
      <c r="J2341">
        <f t="shared" si="256"/>
        <v>0.13641008385457204</v>
      </c>
      <c r="K2341">
        <f t="shared" si="257"/>
        <v>0.1938672722066716</v>
      </c>
      <c r="L2341">
        <f t="shared" si="258"/>
        <v>-0.28579794152792387</v>
      </c>
    </row>
    <row r="2342" spans="1:12" x14ac:dyDescent="0.25">
      <c r="A2342" s="1">
        <v>43649</v>
      </c>
      <c r="B2342" s="6">
        <v>236.63929999999999</v>
      </c>
      <c r="C2342" s="6">
        <v>13.4938</v>
      </c>
      <c r="D2342" s="6">
        <v>10743.77</v>
      </c>
      <c r="E2342" s="6">
        <v>0.66</v>
      </c>
      <c r="F2342" s="6">
        <f t="shared" si="252"/>
        <v>7.3333333333333341E-3</v>
      </c>
      <c r="G2342">
        <f t="shared" si="253"/>
        <v>-2.6104381308589741</v>
      </c>
      <c r="H2342">
        <f t="shared" si="254"/>
        <v>-1.4029139692235759</v>
      </c>
      <c r="I2342">
        <f t="shared" si="255"/>
        <v>-1.1168767579189218</v>
      </c>
      <c r="J2342">
        <f t="shared" si="256"/>
        <v>-1.8419324771945178</v>
      </c>
      <c r="K2342">
        <f t="shared" si="257"/>
        <v>-2.6177714641923076</v>
      </c>
      <c r="L2342">
        <f t="shared" si="258"/>
        <v>-1.1242100912522552</v>
      </c>
    </row>
    <row r="2343" spans="1:12" x14ac:dyDescent="0.25">
      <c r="A2343" s="1">
        <v>43650</v>
      </c>
      <c r="B2343" s="6">
        <v>238.10300000000001</v>
      </c>
      <c r="C2343" s="6">
        <v>13.5898</v>
      </c>
      <c r="D2343" s="6">
        <v>10775.9</v>
      </c>
      <c r="E2343" s="6">
        <v>0.66</v>
      </c>
      <c r="F2343" s="6">
        <f t="shared" si="252"/>
        <v>7.3333333333333341E-3</v>
      </c>
      <c r="G2343">
        <f t="shared" si="253"/>
        <v>0.61853631243838925</v>
      </c>
      <c r="H2343">
        <f t="shared" si="254"/>
        <v>0.71143784552905842</v>
      </c>
      <c r="I2343">
        <f t="shared" si="255"/>
        <v>0.29905703491418001</v>
      </c>
      <c r="J2343">
        <f t="shared" si="256"/>
        <v>0.43005840378774229</v>
      </c>
      <c r="K2343">
        <f t="shared" si="257"/>
        <v>0.61120297910505594</v>
      </c>
      <c r="L2343">
        <f t="shared" si="258"/>
        <v>0.29172370158084665</v>
      </c>
    </row>
    <row r="2344" spans="1:12" x14ac:dyDescent="0.25">
      <c r="A2344" s="1">
        <v>43651</v>
      </c>
      <c r="B2344" s="6">
        <v>237.12719999999999</v>
      </c>
      <c r="C2344" s="6">
        <v>13.5418</v>
      </c>
      <c r="D2344" s="6">
        <v>10785.73</v>
      </c>
      <c r="E2344" s="6">
        <v>0.66</v>
      </c>
      <c r="F2344" s="6">
        <f t="shared" si="252"/>
        <v>7.3333333333333341E-3</v>
      </c>
      <c r="G2344">
        <f t="shared" si="253"/>
        <v>-0.40982263978195188</v>
      </c>
      <c r="H2344">
        <f t="shared" si="254"/>
        <v>-0.35320608103136208</v>
      </c>
      <c r="I2344">
        <f t="shared" si="255"/>
        <v>9.12220788982816E-2</v>
      </c>
      <c r="J2344">
        <f t="shared" si="256"/>
        <v>-0.2935218545419519</v>
      </c>
      <c r="K2344">
        <f t="shared" si="257"/>
        <v>-0.41715597311528524</v>
      </c>
      <c r="L2344">
        <f t="shared" si="258"/>
        <v>8.3888745564948269E-2</v>
      </c>
    </row>
    <row r="2345" spans="1:12" x14ac:dyDescent="0.25">
      <c r="A2345" s="1">
        <v>43654</v>
      </c>
      <c r="B2345" s="6">
        <v>236.63929999999999</v>
      </c>
      <c r="C2345" s="6">
        <v>13.3977</v>
      </c>
      <c r="D2345" s="6">
        <v>10751.22</v>
      </c>
      <c r="E2345" s="6">
        <v>0.66</v>
      </c>
      <c r="F2345" s="6">
        <f t="shared" si="252"/>
        <v>7.3333333333333341E-3</v>
      </c>
      <c r="G2345">
        <f t="shared" si="253"/>
        <v>-0.20575454861356954</v>
      </c>
      <c r="H2345">
        <f t="shared" si="254"/>
        <v>-1.0641125995067118</v>
      </c>
      <c r="I2345">
        <f t="shared" si="255"/>
        <v>-0.3199597987340701</v>
      </c>
      <c r="J2345">
        <f t="shared" si="256"/>
        <v>-0.14993420763553647</v>
      </c>
      <c r="K2345">
        <f t="shared" si="257"/>
        <v>-0.21308788194690287</v>
      </c>
      <c r="L2345">
        <f t="shared" si="258"/>
        <v>-0.32729313206740346</v>
      </c>
    </row>
    <row r="2346" spans="1:12" x14ac:dyDescent="0.25">
      <c r="A2346" s="1">
        <v>43655</v>
      </c>
      <c r="B2346" s="6">
        <v>236.15129999999999</v>
      </c>
      <c r="C2346" s="6">
        <v>13.4457</v>
      </c>
      <c r="D2346" s="6">
        <v>10702.78</v>
      </c>
      <c r="E2346" s="6">
        <v>0.66</v>
      </c>
      <c r="F2346" s="6">
        <f t="shared" si="252"/>
        <v>7.3333333333333341E-3</v>
      </c>
      <c r="G2346">
        <f t="shared" si="253"/>
        <v>-0.20622102922042093</v>
      </c>
      <c r="H2346">
        <f t="shared" si="254"/>
        <v>0.35827044940549529</v>
      </c>
      <c r="I2346">
        <f t="shared" si="255"/>
        <v>-0.45055351857741438</v>
      </c>
      <c r="J2346">
        <f t="shared" si="256"/>
        <v>-0.15026243559259617</v>
      </c>
      <c r="K2346">
        <f t="shared" si="257"/>
        <v>-0.21355436255375426</v>
      </c>
      <c r="L2346">
        <f t="shared" si="258"/>
        <v>-0.45788685191074774</v>
      </c>
    </row>
    <row r="2347" spans="1:12" x14ac:dyDescent="0.25">
      <c r="A2347" s="1">
        <v>43656</v>
      </c>
      <c r="B2347" s="6">
        <v>241.03049999999999</v>
      </c>
      <c r="C2347" s="6">
        <v>14.07</v>
      </c>
      <c r="D2347" s="6">
        <v>10798.48</v>
      </c>
      <c r="E2347" s="6">
        <v>0.66</v>
      </c>
      <c r="F2347" s="6">
        <f t="shared" si="252"/>
        <v>7.3333333333333341E-3</v>
      </c>
      <c r="G2347">
        <f t="shared" si="253"/>
        <v>2.0661330257339245</v>
      </c>
      <c r="H2347">
        <f t="shared" si="254"/>
        <v>4.6431201053124775</v>
      </c>
      <c r="I2347">
        <f t="shared" si="255"/>
        <v>0.89416020884292591</v>
      </c>
      <c r="J2347">
        <f t="shared" si="256"/>
        <v>1.4486253171228511</v>
      </c>
      <c r="K2347">
        <f t="shared" si="257"/>
        <v>2.0587996924005911</v>
      </c>
      <c r="L2347">
        <f t="shared" si="258"/>
        <v>0.8868268755095926</v>
      </c>
    </row>
    <row r="2348" spans="1:12" x14ac:dyDescent="0.25">
      <c r="A2348" s="1">
        <v>43657</v>
      </c>
      <c r="B2348" s="6">
        <v>243.958</v>
      </c>
      <c r="C2348" s="6">
        <v>14.3581</v>
      </c>
      <c r="D2348" s="6">
        <v>10843.42</v>
      </c>
      <c r="E2348" s="6">
        <v>0.66</v>
      </c>
      <c r="F2348" s="6">
        <f t="shared" si="252"/>
        <v>7.3333333333333341E-3</v>
      </c>
      <c r="G2348">
        <f t="shared" si="253"/>
        <v>1.21457657848281</v>
      </c>
      <c r="H2348">
        <f t="shared" si="254"/>
        <v>2.0476190476190479</v>
      </c>
      <c r="I2348">
        <f t="shared" si="255"/>
        <v>0.41616968314059488</v>
      </c>
      <c r="J2348">
        <f t="shared" si="256"/>
        <v>0.84944792604369557</v>
      </c>
      <c r="K2348">
        <f t="shared" si="257"/>
        <v>1.2072432451494766</v>
      </c>
      <c r="L2348">
        <f t="shared" si="258"/>
        <v>0.40883634980726152</v>
      </c>
    </row>
    <row r="2349" spans="1:12" x14ac:dyDescent="0.25">
      <c r="A2349" s="1">
        <v>43658</v>
      </c>
      <c r="B2349" s="6">
        <v>244.44589999999999</v>
      </c>
      <c r="C2349" s="6">
        <v>14.022</v>
      </c>
      <c r="D2349" s="6">
        <v>10824.35</v>
      </c>
      <c r="E2349" s="6">
        <v>0.66</v>
      </c>
      <c r="F2349" s="6">
        <f t="shared" si="252"/>
        <v>7.3333333333333341E-3</v>
      </c>
      <c r="G2349">
        <f t="shared" si="253"/>
        <v>0.19999344149402612</v>
      </c>
      <c r="H2349">
        <f t="shared" si="254"/>
        <v>-2.3408389689443592</v>
      </c>
      <c r="I2349">
        <f t="shared" si="255"/>
        <v>-0.17586702350365208</v>
      </c>
      <c r="J2349">
        <f t="shared" si="256"/>
        <v>0.13556069165513651</v>
      </c>
      <c r="K2349">
        <f t="shared" si="257"/>
        <v>0.19266010816069279</v>
      </c>
      <c r="L2349">
        <f t="shared" si="258"/>
        <v>-0.18320035683698541</v>
      </c>
    </row>
    <row r="2350" spans="1:12" x14ac:dyDescent="0.25">
      <c r="A2350" s="1">
        <v>43661</v>
      </c>
      <c r="B2350" s="6">
        <v>248.3492</v>
      </c>
      <c r="C2350" s="6">
        <v>14.3101</v>
      </c>
      <c r="D2350" s="6">
        <v>10876.43</v>
      </c>
      <c r="E2350" s="6">
        <v>0.66</v>
      </c>
      <c r="F2350" s="6">
        <f t="shared" si="252"/>
        <v>7.3333333333333341E-3</v>
      </c>
      <c r="G2350">
        <f t="shared" si="253"/>
        <v>1.5967950372659152</v>
      </c>
      <c r="H2350">
        <f t="shared" si="254"/>
        <v>2.0546284410212525</v>
      </c>
      <c r="I2350">
        <f t="shared" si="255"/>
        <v>0.48113743550420973</v>
      </c>
      <c r="J2350">
        <f t="shared" si="256"/>
        <v>1.1183868316150631</v>
      </c>
      <c r="K2350">
        <f t="shared" si="257"/>
        <v>1.5894617039325818</v>
      </c>
      <c r="L2350">
        <f t="shared" si="258"/>
        <v>0.47380410217087637</v>
      </c>
    </row>
    <row r="2351" spans="1:12" x14ac:dyDescent="0.25">
      <c r="A2351" s="1">
        <v>43662</v>
      </c>
      <c r="B2351" s="6">
        <v>249.81299999999999</v>
      </c>
      <c r="C2351" s="6">
        <v>14</v>
      </c>
      <c r="D2351" s="6">
        <v>10886.05</v>
      </c>
      <c r="E2351" s="6">
        <v>0.66</v>
      </c>
      <c r="F2351" s="6">
        <f t="shared" si="252"/>
        <v>7.3333333333333341E-3</v>
      </c>
      <c r="G2351">
        <f t="shared" si="253"/>
        <v>0.58941200535374871</v>
      </c>
      <c r="H2351">
        <f t="shared" si="254"/>
        <v>-2.1670009294134931</v>
      </c>
      <c r="I2351">
        <f t="shared" si="255"/>
        <v>8.8448139692886188E-2</v>
      </c>
      <c r="J2351">
        <f t="shared" si="256"/>
        <v>0.40956577949689821</v>
      </c>
      <c r="K2351">
        <f t="shared" si="257"/>
        <v>0.58207867202041541</v>
      </c>
      <c r="L2351">
        <f t="shared" si="258"/>
        <v>8.1114806359552857E-2</v>
      </c>
    </row>
    <row r="2352" spans="1:12" x14ac:dyDescent="0.25">
      <c r="A2352" s="1">
        <v>43663</v>
      </c>
      <c r="B2352" s="6">
        <v>245.90969999999999</v>
      </c>
      <c r="C2352" s="6">
        <v>13.75</v>
      </c>
      <c r="D2352" s="6">
        <v>10828.48</v>
      </c>
      <c r="E2352" s="6">
        <v>0.66</v>
      </c>
      <c r="F2352" s="6">
        <f t="shared" si="252"/>
        <v>7.3333333333333341E-3</v>
      </c>
      <c r="G2352">
        <f t="shared" si="253"/>
        <v>-1.5624887415787017</v>
      </c>
      <c r="H2352">
        <f t="shared" si="254"/>
        <v>-1.7857142857142858</v>
      </c>
      <c r="I2352">
        <f t="shared" si="255"/>
        <v>-0.52884195828606073</v>
      </c>
      <c r="J2352">
        <f t="shared" si="256"/>
        <v>-1.1045678749078709</v>
      </c>
      <c r="K2352">
        <f t="shared" si="257"/>
        <v>-1.5698220749120351</v>
      </c>
      <c r="L2352">
        <f t="shared" si="258"/>
        <v>-0.53617529161939403</v>
      </c>
    </row>
    <row r="2353" spans="1:12" x14ac:dyDescent="0.25">
      <c r="A2353" s="1">
        <v>43664</v>
      </c>
      <c r="B2353" s="6">
        <v>247.8613</v>
      </c>
      <c r="C2353" s="6">
        <v>13.8</v>
      </c>
      <c r="D2353" s="6">
        <v>10799.28</v>
      </c>
      <c r="E2353" s="6">
        <v>0.66</v>
      </c>
      <c r="F2353" s="6">
        <f t="shared" si="252"/>
        <v>7.3333333333333341E-3</v>
      </c>
      <c r="G2353">
        <f t="shared" si="253"/>
        <v>0.79362465165059104</v>
      </c>
      <c r="H2353">
        <f t="shared" si="254"/>
        <v>0.36363636363636881</v>
      </c>
      <c r="I2353">
        <f t="shared" si="255"/>
        <v>-0.26965926889091463</v>
      </c>
      <c r="J2353">
        <f t="shared" si="256"/>
        <v>0.55325513917293379</v>
      </c>
      <c r="K2353">
        <f t="shared" si="257"/>
        <v>0.78629131831725774</v>
      </c>
      <c r="L2353">
        <f t="shared" si="258"/>
        <v>-0.27699260222424799</v>
      </c>
    </row>
    <row r="2354" spans="1:12" x14ac:dyDescent="0.25">
      <c r="A2354" s="1">
        <v>43665</v>
      </c>
      <c r="B2354" s="6">
        <v>252.7405</v>
      </c>
      <c r="C2354" s="6">
        <v>13.8</v>
      </c>
      <c r="D2354" s="6">
        <v>10873.19</v>
      </c>
      <c r="E2354" s="6">
        <v>0.66</v>
      </c>
      <c r="F2354" s="6">
        <f t="shared" si="252"/>
        <v>7.3333333333333341E-3</v>
      </c>
      <c r="G2354">
        <f t="shared" si="253"/>
        <v>1.9685202974405434</v>
      </c>
      <c r="H2354">
        <f t="shared" si="254"/>
        <v>0</v>
      </c>
      <c r="I2354">
        <f t="shared" si="255"/>
        <v>0.68439747835040721</v>
      </c>
      <c r="J2354">
        <f t="shared" si="256"/>
        <v>1.3799424481671314</v>
      </c>
      <c r="K2354">
        <f t="shared" si="257"/>
        <v>1.9611869641072099</v>
      </c>
      <c r="L2354">
        <f t="shared" si="258"/>
        <v>0.6770641450170739</v>
      </c>
    </row>
    <row r="2355" spans="1:12" x14ac:dyDescent="0.25">
      <c r="A2355" s="1">
        <v>43668</v>
      </c>
      <c r="B2355" s="6">
        <v>257.61959999999999</v>
      </c>
      <c r="C2355" s="6">
        <v>13.6</v>
      </c>
      <c r="D2355" s="6">
        <v>10944.53</v>
      </c>
      <c r="E2355" s="6">
        <v>0.66</v>
      </c>
      <c r="F2355" s="6">
        <f t="shared" si="252"/>
        <v>7.3333333333333341E-3</v>
      </c>
      <c r="G2355">
        <f t="shared" si="253"/>
        <v>1.9304780990779056</v>
      </c>
      <c r="H2355">
        <f t="shared" si="254"/>
        <v>-1.4492753623188481</v>
      </c>
      <c r="I2355">
        <f t="shared" si="255"/>
        <v>0.65610920070375067</v>
      </c>
      <c r="J2355">
        <f t="shared" si="256"/>
        <v>1.3531749623011953</v>
      </c>
      <c r="K2355">
        <f t="shared" si="257"/>
        <v>1.9231447657445722</v>
      </c>
      <c r="L2355">
        <f t="shared" si="258"/>
        <v>0.64877586737041737</v>
      </c>
    </row>
    <row r="2356" spans="1:12" x14ac:dyDescent="0.25">
      <c r="A2356" s="1">
        <v>43669</v>
      </c>
      <c r="B2356" s="6">
        <v>257.61959999999999</v>
      </c>
      <c r="C2356" s="6">
        <v>13.6</v>
      </c>
      <c r="D2356" s="6">
        <v>10947.26</v>
      </c>
      <c r="E2356" s="6">
        <v>0.66</v>
      </c>
      <c r="F2356" s="6">
        <f t="shared" si="252"/>
        <v>7.3333333333333341E-3</v>
      </c>
      <c r="G2356">
        <f t="shared" si="253"/>
        <v>0</v>
      </c>
      <c r="H2356">
        <f t="shared" si="254"/>
        <v>0</v>
      </c>
      <c r="I2356">
        <f t="shared" si="255"/>
        <v>2.4943967443093153E-2</v>
      </c>
      <c r="J2356">
        <f t="shared" si="256"/>
        <v>-5.1599251567697223E-3</v>
      </c>
      <c r="K2356">
        <f t="shared" si="257"/>
        <v>-7.3333333333333341E-3</v>
      </c>
      <c r="L2356">
        <f t="shared" si="258"/>
        <v>1.7610634109759819E-2</v>
      </c>
    </row>
    <row r="2357" spans="1:12" x14ac:dyDescent="0.25">
      <c r="A2357" s="1">
        <v>43670</v>
      </c>
      <c r="B2357" s="6">
        <v>258.59550000000002</v>
      </c>
      <c r="C2357" s="6">
        <v>13.85</v>
      </c>
      <c r="D2357" s="6">
        <v>10935.76</v>
      </c>
      <c r="E2357" s="6">
        <v>0.66</v>
      </c>
      <c r="F2357" s="6">
        <f t="shared" si="252"/>
        <v>7.3333333333333341E-3</v>
      </c>
      <c r="G2357">
        <f t="shared" si="253"/>
        <v>0.37881434487128474</v>
      </c>
      <c r="H2357">
        <f t="shared" si="254"/>
        <v>1.8382352941176472</v>
      </c>
      <c r="I2357">
        <f t="shared" si="255"/>
        <v>-0.10504911731337339</v>
      </c>
      <c r="J2357">
        <f t="shared" si="256"/>
        <v>0.2613837568223098</v>
      </c>
      <c r="K2357">
        <f t="shared" si="257"/>
        <v>0.37148101153795138</v>
      </c>
      <c r="L2357">
        <f t="shared" si="258"/>
        <v>-0.11238245064670672</v>
      </c>
    </row>
    <row r="2358" spans="1:12" x14ac:dyDescent="0.25">
      <c r="A2358" s="1">
        <v>43671</v>
      </c>
      <c r="B2358" s="6">
        <v>258.59550000000002</v>
      </c>
      <c r="C2358" s="6">
        <v>13.55</v>
      </c>
      <c r="D2358" s="6">
        <v>10941.41</v>
      </c>
      <c r="E2358" s="6">
        <v>0.66</v>
      </c>
      <c r="F2358" s="6">
        <f t="shared" si="252"/>
        <v>7.3333333333333341E-3</v>
      </c>
      <c r="G2358">
        <f t="shared" si="253"/>
        <v>0</v>
      </c>
      <c r="H2358">
        <f t="shared" si="254"/>
        <v>-2.1660649819494506</v>
      </c>
      <c r="I2358">
        <f t="shared" si="255"/>
        <v>5.1665362078169567E-2</v>
      </c>
      <c r="J2358">
        <f t="shared" si="256"/>
        <v>-5.1599251567697223E-3</v>
      </c>
      <c r="K2358">
        <f t="shared" si="257"/>
        <v>-7.3333333333333341E-3</v>
      </c>
      <c r="L2358">
        <f t="shared" si="258"/>
        <v>4.433202874483623E-2</v>
      </c>
    </row>
    <row r="2359" spans="1:12" x14ac:dyDescent="0.25">
      <c r="A2359" s="1">
        <v>43672</v>
      </c>
      <c r="B2359" s="6">
        <v>254.69220000000001</v>
      </c>
      <c r="C2359" s="6">
        <v>13.2</v>
      </c>
      <c r="D2359" s="6">
        <v>10891.98</v>
      </c>
      <c r="E2359" s="6">
        <v>0.66</v>
      </c>
      <c r="F2359" s="6">
        <f t="shared" si="252"/>
        <v>7.3333333333333341E-3</v>
      </c>
      <c r="G2359">
        <f t="shared" si="253"/>
        <v>-1.5094230178019343</v>
      </c>
      <c r="H2359">
        <f t="shared" si="254"/>
        <v>-2.5830258302583129</v>
      </c>
      <c r="I2359">
        <f t="shared" si="255"/>
        <v>-0.45176992727628607</v>
      </c>
      <c r="J2359">
        <f t="shared" si="256"/>
        <v>-1.0672294435790615</v>
      </c>
      <c r="K2359">
        <f t="shared" si="257"/>
        <v>-1.5167563511352677</v>
      </c>
      <c r="L2359">
        <f t="shared" si="258"/>
        <v>-0.45910326060961942</v>
      </c>
    </row>
    <row r="2360" spans="1:12" x14ac:dyDescent="0.25">
      <c r="A2360" s="1">
        <v>43675</v>
      </c>
      <c r="B2360" s="6">
        <v>254.69220000000001</v>
      </c>
      <c r="C2360" s="6">
        <v>13.4</v>
      </c>
      <c r="D2360" s="6">
        <v>10885.73</v>
      </c>
      <c r="E2360" s="6">
        <v>0.66</v>
      </c>
      <c r="F2360" s="6">
        <f t="shared" si="252"/>
        <v>7.3333333333333341E-3</v>
      </c>
      <c r="G2360">
        <f t="shared" si="253"/>
        <v>0</v>
      </c>
      <c r="H2360">
        <f t="shared" si="254"/>
        <v>1.5151515151515234</v>
      </c>
      <c r="I2360">
        <f t="shared" si="255"/>
        <v>-5.738166981577271E-2</v>
      </c>
      <c r="J2360">
        <f t="shared" si="256"/>
        <v>-5.1599251567697223E-3</v>
      </c>
      <c r="K2360">
        <f t="shared" si="257"/>
        <v>-7.3333333333333341E-3</v>
      </c>
      <c r="L2360">
        <f t="shared" si="258"/>
        <v>-6.471500314910604E-2</v>
      </c>
    </row>
    <row r="2361" spans="1:12" x14ac:dyDescent="0.25">
      <c r="A2361" s="1">
        <v>43676</v>
      </c>
      <c r="B2361" s="6">
        <v>253.71629999999999</v>
      </c>
      <c r="C2361" s="6">
        <v>13.6</v>
      </c>
      <c r="D2361" s="6">
        <v>10830.9</v>
      </c>
      <c r="E2361" s="6">
        <v>0.66</v>
      </c>
      <c r="F2361" s="6">
        <f t="shared" si="252"/>
        <v>7.3333333333333341E-3</v>
      </c>
      <c r="G2361">
        <f t="shared" si="253"/>
        <v>-0.38316838913795714</v>
      </c>
      <c r="H2361">
        <f t="shared" si="254"/>
        <v>1.4925373134328306</v>
      </c>
      <c r="I2361">
        <f t="shared" si="255"/>
        <v>-0.50368693693486732</v>
      </c>
      <c r="J2361">
        <f t="shared" si="256"/>
        <v>-0.27476722657384367</v>
      </c>
      <c r="K2361">
        <f t="shared" si="257"/>
        <v>-0.3905017224712905</v>
      </c>
      <c r="L2361">
        <f t="shared" si="258"/>
        <v>-0.51102027026820063</v>
      </c>
    </row>
    <row r="2362" spans="1:12" x14ac:dyDescent="0.25">
      <c r="A2362" s="1">
        <v>43677</v>
      </c>
      <c r="B2362" s="6">
        <v>253.22839999999999</v>
      </c>
      <c r="C2362" s="6">
        <v>13.8</v>
      </c>
      <c r="D2362" s="6">
        <v>10823.81</v>
      </c>
      <c r="E2362" s="6">
        <v>0.66</v>
      </c>
      <c r="F2362" s="6">
        <f t="shared" si="252"/>
        <v>7.3333333333333341E-3</v>
      </c>
      <c r="G2362">
        <f t="shared" si="253"/>
        <v>-0.1923014012107209</v>
      </c>
      <c r="H2362">
        <f t="shared" si="254"/>
        <v>1.4705882352941255</v>
      </c>
      <c r="I2362">
        <f t="shared" si="255"/>
        <v>-6.5460857361808761E-2</v>
      </c>
      <c r="J2362">
        <f t="shared" si="256"/>
        <v>-0.1404682212189424</v>
      </c>
      <c r="K2362">
        <f t="shared" si="257"/>
        <v>-0.19963473454405423</v>
      </c>
      <c r="L2362">
        <f t="shared" si="258"/>
        <v>-7.2794190695142091E-2</v>
      </c>
    </row>
    <row r="2363" spans="1:12" x14ac:dyDescent="0.25">
      <c r="A2363" s="1">
        <v>43678</v>
      </c>
      <c r="B2363" s="6">
        <v>250.30090000000001</v>
      </c>
      <c r="C2363" s="6">
        <v>13.4</v>
      </c>
      <c r="D2363" s="6">
        <v>10731.75</v>
      </c>
      <c r="E2363" s="6">
        <v>0.66</v>
      </c>
      <c r="F2363" s="6">
        <f t="shared" si="252"/>
        <v>7.3333333333333341E-3</v>
      </c>
      <c r="G2363">
        <f t="shared" si="253"/>
        <v>-1.1560709620247891</v>
      </c>
      <c r="H2363">
        <f t="shared" si="254"/>
        <v>-2.8985507246376834</v>
      </c>
      <c r="I2363">
        <f t="shared" si="255"/>
        <v>-0.8505322987007301</v>
      </c>
      <c r="J2363">
        <f t="shared" si="256"/>
        <v>-0.81860169424259022</v>
      </c>
      <c r="K2363">
        <f t="shared" si="257"/>
        <v>-1.1634042953581225</v>
      </c>
      <c r="L2363">
        <f t="shared" si="258"/>
        <v>-0.85786563203406341</v>
      </c>
    </row>
    <row r="2364" spans="1:12" x14ac:dyDescent="0.25">
      <c r="A2364" s="1">
        <v>43679</v>
      </c>
      <c r="B2364" s="6">
        <v>245.42169999999999</v>
      </c>
      <c r="C2364" s="6">
        <v>13.35</v>
      </c>
      <c r="D2364" s="6">
        <v>10549.04</v>
      </c>
      <c r="E2364" s="6">
        <v>0.66</v>
      </c>
      <c r="F2364" s="6">
        <f t="shared" si="252"/>
        <v>7.3333333333333341E-3</v>
      </c>
      <c r="G2364">
        <f t="shared" si="253"/>
        <v>-1.9493337818601633</v>
      </c>
      <c r="H2364">
        <f t="shared" si="254"/>
        <v>-0.37313432835821425</v>
      </c>
      <c r="I2364">
        <f t="shared" si="255"/>
        <v>-1.7025182286206735</v>
      </c>
      <c r="J2364">
        <f t="shared" si="256"/>
        <v>-1.3767621642424039</v>
      </c>
      <c r="K2364">
        <f t="shared" si="257"/>
        <v>-1.9566671151934967</v>
      </c>
      <c r="L2364">
        <f t="shared" si="258"/>
        <v>-1.7098515619540069</v>
      </c>
    </row>
    <row r="2365" spans="1:12" x14ac:dyDescent="0.25">
      <c r="A2365" s="1">
        <v>43682</v>
      </c>
      <c r="B2365" s="6">
        <v>240.54259999999999</v>
      </c>
      <c r="C2365" s="6">
        <v>13.1</v>
      </c>
      <c r="D2365" s="6">
        <v>10423.41</v>
      </c>
      <c r="E2365" s="6">
        <v>0.66</v>
      </c>
      <c r="F2365" s="6">
        <f t="shared" si="252"/>
        <v>7.3333333333333341E-3</v>
      </c>
      <c r="G2365">
        <f t="shared" si="253"/>
        <v>-1.9880475116910992</v>
      </c>
      <c r="H2365">
        <f t="shared" si="254"/>
        <v>-1.8726591760299627</v>
      </c>
      <c r="I2365">
        <f t="shared" si="255"/>
        <v>-1.1909140547386399</v>
      </c>
      <c r="J2365">
        <f t="shared" si="256"/>
        <v>-1.4040021572151813</v>
      </c>
      <c r="K2365">
        <f t="shared" si="257"/>
        <v>-1.9953808450244326</v>
      </c>
      <c r="L2365">
        <f t="shared" si="258"/>
        <v>-1.1982473880719733</v>
      </c>
    </row>
    <row r="2366" spans="1:12" x14ac:dyDescent="0.25">
      <c r="A2366" s="1">
        <v>43683</v>
      </c>
      <c r="B2366" s="6">
        <v>242.49430000000001</v>
      </c>
      <c r="C2366" s="6">
        <v>13</v>
      </c>
      <c r="D2366" s="6">
        <v>10394.75</v>
      </c>
      <c r="E2366" s="6">
        <v>0.66</v>
      </c>
      <c r="F2366" s="6">
        <f t="shared" si="252"/>
        <v>7.3333333333333341E-3</v>
      </c>
      <c r="G2366">
        <f t="shared" si="253"/>
        <v>0.81137395205673202</v>
      </c>
      <c r="H2366">
        <f t="shared" si="254"/>
        <v>-0.76335877862595147</v>
      </c>
      <c r="I2366">
        <f t="shared" si="255"/>
        <v>-0.27495800318705543</v>
      </c>
      <c r="J2366">
        <f t="shared" si="256"/>
        <v>0.56574401122030327</v>
      </c>
      <c r="K2366">
        <f t="shared" si="257"/>
        <v>0.80404061872339871</v>
      </c>
      <c r="L2366">
        <f t="shared" si="258"/>
        <v>-0.28229133652038879</v>
      </c>
    </row>
    <row r="2367" spans="1:12" x14ac:dyDescent="0.25">
      <c r="A2367" s="1">
        <v>43684</v>
      </c>
      <c r="B2367" s="6">
        <v>242.00630000000001</v>
      </c>
      <c r="C2367" s="6">
        <v>13.1</v>
      </c>
      <c r="D2367" s="6">
        <v>10386.18</v>
      </c>
      <c r="E2367" s="6">
        <v>0.66</v>
      </c>
      <c r="F2367" s="6">
        <f t="shared" si="252"/>
        <v>7.3333333333333341E-3</v>
      </c>
      <c r="G2367">
        <f t="shared" si="253"/>
        <v>-0.20124184362271588</v>
      </c>
      <c r="H2367">
        <f t="shared" si="254"/>
        <v>0.7692307692307665</v>
      </c>
      <c r="I2367">
        <f t="shared" si="255"/>
        <v>-8.2445465258901937E-2</v>
      </c>
      <c r="J2367">
        <f t="shared" si="256"/>
        <v>-0.146758950361802</v>
      </c>
      <c r="K2367">
        <f t="shared" si="257"/>
        <v>-0.20857517695604921</v>
      </c>
      <c r="L2367">
        <f t="shared" si="258"/>
        <v>-8.9778798592235268E-2</v>
      </c>
    </row>
    <row r="2368" spans="1:12" x14ac:dyDescent="0.25">
      <c r="A2368" s="1">
        <v>43685</v>
      </c>
      <c r="B2368" s="6">
        <v>247.3734</v>
      </c>
      <c r="C2368" s="6">
        <v>13.3</v>
      </c>
      <c r="D2368" s="6">
        <v>10494.49</v>
      </c>
      <c r="E2368" s="6">
        <v>0.66</v>
      </c>
      <c r="F2368" s="6">
        <f t="shared" si="252"/>
        <v>7.3333333333333341E-3</v>
      </c>
      <c r="G2368">
        <f t="shared" si="253"/>
        <v>2.217752182484503</v>
      </c>
      <c r="H2368">
        <f t="shared" si="254"/>
        <v>1.5267175572519165</v>
      </c>
      <c r="I2368">
        <f t="shared" si="255"/>
        <v>1.0428280657566062</v>
      </c>
      <c r="J2368">
        <f t="shared" si="256"/>
        <v>1.5553085218272404</v>
      </c>
      <c r="K2368">
        <f t="shared" si="257"/>
        <v>2.2104188491511696</v>
      </c>
      <c r="L2368">
        <f t="shared" si="258"/>
        <v>1.0354947324232728</v>
      </c>
    </row>
    <row r="2369" spans="1:12" x14ac:dyDescent="0.25">
      <c r="A2369" s="1">
        <v>43689</v>
      </c>
      <c r="B2369" s="6">
        <v>244.93379999999999</v>
      </c>
      <c r="C2369" s="6">
        <v>13</v>
      </c>
      <c r="D2369" s="6">
        <v>10472.36</v>
      </c>
      <c r="E2369" s="6">
        <v>0.66</v>
      </c>
      <c r="F2369" s="6">
        <f t="shared" si="252"/>
        <v>7.3333333333333341E-3</v>
      </c>
      <c r="G2369">
        <f t="shared" si="253"/>
        <v>-0.986201426669162</v>
      </c>
      <c r="H2369">
        <f t="shared" si="254"/>
        <v>-2.2556390977443663</v>
      </c>
      <c r="I2369">
        <f t="shared" si="255"/>
        <v>-0.21087256264953513</v>
      </c>
      <c r="J2369">
        <f t="shared" si="256"/>
        <v>-0.699077045763006</v>
      </c>
      <c r="K2369">
        <f t="shared" si="257"/>
        <v>-0.9935347600024953</v>
      </c>
      <c r="L2369">
        <f t="shared" si="258"/>
        <v>-0.21820589598286846</v>
      </c>
    </row>
    <row r="2370" spans="1:12" x14ac:dyDescent="0.25">
      <c r="A2370" s="1">
        <v>43690</v>
      </c>
      <c r="B2370" s="6">
        <v>240.54259999999999</v>
      </c>
      <c r="C2370" s="6">
        <v>12.95</v>
      </c>
      <c r="D2370" s="6">
        <v>10362.66</v>
      </c>
      <c r="E2370" s="6">
        <v>0.66</v>
      </c>
      <c r="F2370" s="6">
        <f t="shared" si="252"/>
        <v>7.3333333333333341E-3</v>
      </c>
      <c r="G2370">
        <f t="shared" si="253"/>
        <v>-1.7928109554500025</v>
      </c>
      <c r="H2370">
        <f t="shared" si="254"/>
        <v>-0.38461538461539008</v>
      </c>
      <c r="I2370">
        <f t="shared" si="255"/>
        <v>-1.0475193748114151</v>
      </c>
      <c r="J2370">
        <f t="shared" si="256"/>
        <v>-1.2666286092966101</v>
      </c>
      <c r="K2370">
        <f t="shared" si="257"/>
        <v>-1.8001442887833359</v>
      </c>
      <c r="L2370">
        <f t="shared" si="258"/>
        <v>-1.0548527081447485</v>
      </c>
    </row>
    <row r="2371" spans="1:12" x14ac:dyDescent="0.25">
      <c r="A2371" s="1">
        <v>43691</v>
      </c>
      <c r="B2371" s="6">
        <v>243.4701</v>
      </c>
      <c r="C2371" s="6">
        <v>13.1</v>
      </c>
      <c r="D2371" s="6">
        <v>10427.73</v>
      </c>
      <c r="E2371" s="6">
        <v>0.66</v>
      </c>
      <c r="F2371" s="6">
        <f t="shared" ref="F2371:F2434" si="259">E2371/90</f>
        <v>7.3333333333333341E-3</v>
      </c>
      <c r="G2371">
        <f t="shared" si="253"/>
        <v>1.217040141746206</v>
      </c>
      <c r="H2371">
        <f t="shared" si="254"/>
        <v>1.1583011583011611</v>
      </c>
      <c r="I2371">
        <f t="shared" si="255"/>
        <v>0.6279275784402818</v>
      </c>
      <c r="J2371">
        <f t="shared" si="256"/>
        <v>0.85118135359707159</v>
      </c>
      <c r="K2371">
        <f t="shared" si="257"/>
        <v>1.2097068084128726</v>
      </c>
      <c r="L2371">
        <f t="shared" si="258"/>
        <v>0.62059424510694849</v>
      </c>
    </row>
    <row r="2372" spans="1:12" x14ac:dyDescent="0.25">
      <c r="A2372" s="1">
        <v>43692</v>
      </c>
      <c r="B2372" s="6">
        <v>242.00630000000001</v>
      </c>
      <c r="C2372" s="6">
        <v>12.9</v>
      </c>
      <c r="D2372" s="6">
        <v>10327.129999999999</v>
      </c>
      <c r="E2372" s="6">
        <v>0.66</v>
      </c>
      <c r="F2372" s="6">
        <f t="shared" si="259"/>
        <v>7.3333333333333341E-3</v>
      </c>
      <c r="G2372">
        <f t="shared" ref="G2372:G2435" si="260">100*(B2372-B2371)/B2371</f>
        <v>-0.60122372315943184</v>
      </c>
      <c r="H2372">
        <f t="shared" ref="H2372:H2435" si="261">100*(C2372-C2371)/C2371</f>
        <v>-1.5267175572519029</v>
      </c>
      <c r="I2372">
        <f t="shared" ref="I2372:I2435" si="262">100*(D2372-D2371)/D2371</f>
        <v>-0.96473537385414054</v>
      </c>
      <c r="J2372">
        <f t="shared" ref="J2372:J2435" si="263">(G2372-F2372)/$N$3</f>
        <v>-0.42819666342637525</v>
      </c>
      <c r="K2372">
        <f t="shared" ref="K2372:K2435" si="264">G2372-F2372</f>
        <v>-0.60855705649276515</v>
      </c>
      <c r="L2372">
        <f t="shared" ref="L2372:L2435" si="265">I2372-F2372</f>
        <v>-0.97206870718747385</v>
      </c>
    </row>
    <row r="2373" spans="1:12" x14ac:dyDescent="0.25">
      <c r="A2373" s="1">
        <v>43693</v>
      </c>
      <c r="B2373" s="6">
        <v>243.958</v>
      </c>
      <c r="C2373" s="6">
        <v>13.35</v>
      </c>
      <c r="D2373" s="6">
        <v>10420.89</v>
      </c>
      <c r="E2373" s="6">
        <v>0.66</v>
      </c>
      <c r="F2373" s="6">
        <f t="shared" si="259"/>
        <v>7.3333333333333341E-3</v>
      </c>
      <c r="G2373">
        <f t="shared" si="260"/>
        <v>0.80646660851390572</v>
      </c>
      <c r="H2373">
        <f t="shared" si="261"/>
        <v>3.48837209302325</v>
      </c>
      <c r="I2373">
        <f t="shared" si="262"/>
        <v>0.90789987150350804</v>
      </c>
      <c r="J2373">
        <f t="shared" si="263"/>
        <v>0.56229107593854766</v>
      </c>
      <c r="K2373">
        <f t="shared" si="264"/>
        <v>0.79913327518057242</v>
      </c>
      <c r="L2373">
        <f t="shared" si="265"/>
        <v>0.90056653817017474</v>
      </c>
    </row>
    <row r="2374" spans="1:12" x14ac:dyDescent="0.25">
      <c r="A2374" s="1">
        <v>43696</v>
      </c>
      <c r="B2374" s="6">
        <v>245.90969999999999</v>
      </c>
      <c r="C2374" s="6">
        <v>13.45</v>
      </c>
      <c r="D2374" s="6">
        <v>10488.75</v>
      </c>
      <c r="E2374" s="6">
        <v>0.66</v>
      </c>
      <c r="F2374" s="6">
        <f t="shared" si="259"/>
        <v>7.3333333333333341E-3</v>
      </c>
      <c r="G2374">
        <f t="shared" si="260"/>
        <v>0.80001475663843291</v>
      </c>
      <c r="H2374">
        <f t="shared" si="261"/>
        <v>0.74906367041198241</v>
      </c>
      <c r="I2374">
        <f t="shared" si="262"/>
        <v>0.65119198072334117</v>
      </c>
      <c r="J2374">
        <f t="shared" si="263"/>
        <v>0.55775138419309256</v>
      </c>
      <c r="K2374">
        <f t="shared" si="264"/>
        <v>0.79268142330509961</v>
      </c>
      <c r="L2374">
        <f t="shared" si="265"/>
        <v>0.64385864739000787</v>
      </c>
    </row>
    <row r="2375" spans="1:12" x14ac:dyDescent="0.25">
      <c r="A2375" s="1">
        <v>43697</v>
      </c>
      <c r="B2375" s="6">
        <v>248.3492</v>
      </c>
      <c r="C2375" s="6">
        <v>13.5</v>
      </c>
      <c r="D2375" s="6">
        <v>10522.5</v>
      </c>
      <c r="E2375" s="6">
        <v>0.66</v>
      </c>
      <c r="F2375" s="6">
        <f t="shared" si="259"/>
        <v>7.3333333333333341E-3</v>
      </c>
      <c r="G2375">
        <f t="shared" si="260"/>
        <v>0.99203081456323594</v>
      </c>
      <c r="H2375">
        <f t="shared" si="261"/>
        <v>0.37174721189591609</v>
      </c>
      <c r="I2375">
        <f t="shared" si="262"/>
        <v>0.32177332856632107</v>
      </c>
      <c r="J2375">
        <f t="shared" si="263"/>
        <v>0.69285890525535765</v>
      </c>
      <c r="K2375">
        <f t="shared" si="264"/>
        <v>0.98469748122990264</v>
      </c>
      <c r="L2375">
        <f t="shared" si="265"/>
        <v>0.31443999523298771</v>
      </c>
    </row>
    <row r="2376" spans="1:12" x14ac:dyDescent="0.25">
      <c r="A2376" s="1">
        <v>43698</v>
      </c>
      <c r="B2376" s="6">
        <v>248.3492</v>
      </c>
      <c r="C2376" s="6">
        <v>13.5</v>
      </c>
      <c r="D2376" s="6">
        <v>10525.8</v>
      </c>
      <c r="E2376" s="6">
        <v>0.66</v>
      </c>
      <c r="F2376" s="6">
        <f t="shared" si="259"/>
        <v>7.3333333333333341E-3</v>
      </c>
      <c r="G2376">
        <f t="shared" si="260"/>
        <v>0</v>
      </c>
      <c r="H2376">
        <f t="shared" si="261"/>
        <v>0</v>
      </c>
      <c r="I2376">
        <f t="shared" si="262"/>
        <v>3.1361368496072912E-2</v>
      </c>
      <c r="J2376">
        <f t="shared" si="263"/>
        <v>-5.1599251567697223E-3</v>
      </c>
      <c r="K2376">
        <f t="shared" si="264"/>
        <v>-7.3333333333333341E-3</v>
      </c>
      <c r="L2376">
        <f t="shared" si="265"/>
        <v>2.4028035162739578E-2</v>
      </c>
    </row>
    <row r="2377" spans="1:12" x14ac:dyDescent="0.25">
      <c r="A2377" s="1">
        <v>43699</v>
      </c>
      <c r="B2377" s="6">
        <v>247.8613</v>
      </c>
      <c r="C2377" s="6">
        <v>13.25</v>
      </c>
      <c r="D2377" s="6">
        <v>10529.78</v>
      </c>
      <c r="E2377" s="6">
        <v>0.66</v>
      </c>
      <c r="F2377" s="6">
        <f t="shared" si="259"/>
        <v>7.3333333333333341E-3</v>
      </c>
      <c r="G2377">
        <f t="shared" si="260"/>
        <v>-0.19645724649002141</v>
      </c>
      <c r="H2377">
        <f t="shared" si="261"/>
        <v>-1.8518518518518519</v>
      </c>
      <c r="I2377">
        <f t="shared" si="262"/>
        <v>3.7811852780799397E-2</v>
      </c>
      <c r="J2377">
        <f t="shared" si="263"/>
        <v>-0.14339238266498402</v>
      </c>
      <c r="K2377">
        <f t="shared" si="264"/>
        <v>-0.20379057982335474</v>
      </c>
      <c r="L2377">
        <f t="shared" si="265"/>
        <v>3.0478519447466063E-2</v>
      </c>
    </row>
    <row r="2378" spans="1:12" x14ac:dyDescent="0.25">
      <c r="A2378" s="1">
        <v>43700</v>
      </c>
      <c r="B2378" s="6">
        <v>247.8613</v>
      </c>
      <c r="C2378" s="6">
        <v>13.35</v>
      </c>
      <c r="D2378" s="6">
        <v>10538.11</v>
      </c>
      <c r="E2378" s="6">
        <v>0.66</v>
      </c>
      <c r="F2378" s="6">
        <f t="shared" si="259"/>
        <v>7.3333333333333341E-3</v>
      </c>
      <c r="G2378">
        <f t="shared" si="260"/>
        <v>0</v>
      </c>
      <c r="H2378">
        <f t="shared" si="261"/>
        <v>0.75471698113207275</v>
      </c>
      <c r="I2378">
        <f t="shared" si="262"/>
        <v>7.9108965239538975E-2</v>
      </c>
      <c r="J2378">
        <f t="shared" si="263"/>
        <v>-5.1599251567697223E-3</v>
      </c>
      <c r="K2378">
        <f t="shared" si="264"/>
        <v>-7.3333333333333341E-3</v>
      </c>
      <c r="L2378">
        <f t="shared" si="265"/>
        <v>7.1775631906205645E-2</v>
      </c>
    </row>
    <row r="2379" spans="1:12" x14ac:dyDescent="0.25">
      <c r="A2379" s="1">
        <v>43703</v>
      </c>
      <c r="B2379" s="6">
        <v>242.49430000000001</v>
      </c>
      <c r="C2379" s="6">
        <v>13</v>
      </c>
      <c r="D2379" s="6">
        <v>10354.57</v>
      </c>
      <c r="E2379" s="6">
        <v>0.66</v>
      </c>
      <c r="F2379" s="6">
        <f t="shared" si="259"/>
        <v>7.3333333333333341E-3</v>
      </c>
      <c r="G2379">
        <f t="shared" si="260"/>
        <v>-2.1653239130110227</v>
      </c>
      <c r="H2379">
        <f t="shared" si="261"/>
        <v>-2.6217228464419451</v>
      </c>
      <c r="I2379">
        <f t="shared" si="262"/>
        <v>-1.7416785362840288</v>
      </c>
      <c r="J2379">
        <f t="shared" si="263"/>
        <v>-1.5287384703341282</v>
      </c>
      <c r="K2379">
        <f t="shared" si="264"/>
        <v>-2.1726572463443561</v>
      </c>
      <c r="L2379">
        <f t="shared" si="265"/>
        <v>-1.7490118696173622</v>
      </c>
    </row>
    <row r="2380" spans="1:12" x14ac:dyDescent="0.25">
      <c r="A2380" s="1">
        <v>43704</v>
      </c>
      <c r="B2380" s="6">
        <v>243.958</v>
      </c>
      <c r="C2380" s="6">
        <v>13.05</v>
      </c>
      <c r="D2380" s="6">
        <v>10387.23</v>
      </c>
      <c r="E2380" s="6">
        <v>0.66</v>
      </c>
      <c r="F2380" s="6">
        <f t="shared" si="259"/>
        <v>7.3333333333333341E-3</v>
      </c>
      <c r="G2380">
        <f t="shared" si="260"/>
        <v>0.60360181662001477</v>
      </c>
      <c r="H2380">
        <f t="shared" si="261"/>
        <v>0.38461538461539008</v>
      </c>
      <c r="I2380">
        <f t="shared" si="262"/>
        <v>0.31541628479019268</v>
      </c>
      <c r="J2380">
        <f t="shared" si="263"/>
        <v>0.41955010187725555</v>
      </c>
      <c r="K2380">
        <f t="shared" si="264"/>
        <v>0.59626848328668147</v>
      </c>
      <c r="L2380">
        <f t="shared" si="265"/>
        <v>0.30808295145685932</v>
      </c>
    </row>
    <row r="2381" spans="1:12" x14ac:dyDescent="0.25">
      <c r="A2381" s="1">
        <v>43705</v>
      </c>
      <c r="B2381" s="6">
        <v>245.90969999999999</v>
      </c>
      <c r="C2381" s="6">
        <v>13.15</v>
      </c>
      <c r="D2381" s="6">
        <v>10434.290000000001</v>
      </c>
      <c r="E2381" s="6">
        <v>0.66</v>
      </c>
      <c r="F2381" s="6">
        <f t="shared" si="259"/>
        <v>7.3333333333333341E-3</v>
      </c>
      <c r="G2381">
        <f t="shared" si="260"/>
        <v>0.80001475663843291</v>
      </c>
      <c r="H2381">
        <f t="shared" si="261"/>
        <v>0.76628352490421181</v>
      </c>
      <c r="I2381">
        <f t="shared" si="262"/>
        <v>0.45305630086174381</v>
      </c>
      <c r="J2381">
        <f t="shared" si="263"/>
        <v>0.55775138419309256</v>
      </c>
      <c r="K2381">
        <f t="shared" si="264"/>
        <v>0.79268142330509961</v>
      </c>
      <c r="L2381">
        <f t="shared" si="265"/>
        <v>0.44572296752841045</v>
      </c>
    </row>
    <row r="2382" spans="1:12" x14ac:dyDescent="0.25">
      <c r="A2382" s="1">
        <v>43706</v>
      </c>
      <c r="B2382" s="6">
        <v>247.8613</v>
      </c>
      <c r="C2382" s="6">
        <v>13.2</v>
      </c>
      <c r="D2382" s="6">
        <v>10462.43</v>
      </c>
      <c r="E2382" s="6">
        <v>0.66</v>
      </c>
      <c r="F2382" s="6">
        <f t="shared" si="259"/>
        <v>7.3333333333333341E-3</v>
      </c>
      <c r="G2382">
        <f t="shared" si="260"/>
        <v>0.79362465165059104</v>
      </c>
      <c r="H2382">
        <f t="shared" si="261"/>
        <v>0.38022813688212115</v>
      </c>
      <c r="I2382">
        <f t="shared" si="262"/>
        <v>0.26968773150831937</v>
      </c>
      <c r="J2382">
        <f t="shared" si="263"/>
        <v>0.55325513917293379</v>
      </c>
      <c r="K2382">
        <f t="shared" si="264"/>
        <v>0.78629131831725774</v>
      </c>
      <c r="L2382">
        <f t="shared" si="265"/>
        <v>0.26235439817498601</v>
      </c>
    </row>
    <row r="2383" spans="1:12" x14ac:dyDescent="0.25">
      <c r="A2383" s="1">
        <v>43707</v>
      </c>
      <c r="B2383" s="6">
        <v>252.7405</v>
      </c>
      <c r="C2383" s="6">
        <v>13.45</v>
      </c>
      <c r="D2383" s="6">
        <v>10618.05</v>
      </c>
      <c r="E2383" s="6">
        <v>0.66</v>
      </c>
      <c r="F2383" s="6">
        <f t="shared" si="259"/>
        <v>7.3333333333333341E-3</v>
      </c>
      <c r="G2383">
        <f t="shared" si="260"/>
        <v>1.9685202974405434</v>
      </c>
      <c r="H2383">
        <f t="shared" si="261"/>
        <v>1.893939393939394</v>
      </c>
      <c r="I2383">
        <f t="shared" si="262"/>
        <v>1.4874173590647581</v>
      </c>
      <c r="J2383">
        <f t="shared" si="263"/>
        <v>1.3799424481671314</v>
      </c>
      <c r="K2383">
        <f t="shared" si="264"/>
        <v>1.9611869641072099</v>
      </c>
      <c r="L2383">
        <f t="shared" si="265"/>
        <v>1.4800840257314247</v>
      </c>
    </row>
    <row r="2384" spans="1:12" x14ac:dyDescent="0.25">
      <c r="A2384" s="1">
        <v>43710</v>
      </c>
      <c r="B2384" s="6">
        <v>251.27670000000001</v>
      </c>
      <c r="C2384" s="6">
        <v>13.35</v>
      </c>
      <c r="D2384" s="6">
        <v>10634.85</v>
      </c>
      <c r="E2384" s="6">
        <v>0.66</v>
      </c>
      <c r="F2384" s="6">
        <f t="shared" si="259"/>
        <v>7.3333333333333341E-3</v>
      </c>
      <c r="G2384">
        <f t="shared" si="260"/>
        <v>-0.57917112611551846</v>
      </c>
      <c r="H2384">
        <f t="shared" si="261"/>
        <v>-0.74349442379181896</v>
      </c>
      <c r="I2384">
        <f t="shared" si="262"/>
        <v>0.15822114230015014</v>
      </c>
      <c r="J2384">
        <f t="shared" si="263"/>
        <v>-0.41267987930014877</v>
      </c>
      <c r="K2384">
        <f t="shared" si="264"/>
        <v>-0.58650445944885177</v>
      </c>
      <c r="L2384">
        <f t="shared" si="265"/>
        <v>0.15088780896681681</v>
      </c>
    </row>
    <row r="2385" spans="1:12" x14ac:dyDescent="0.25">
      <c r="A2385" s="1">
        <v>43711</v>
      </c>
      <c r="B2385" s="6">
        <v>247.8613</v>
      </c>
      <c r="C2385" s="6">
        <v>13.2</v>
      </c>
      <c r="D2385" s="6">
        <v>10558.21</v>
      </c>
      <c r="E2385" s="6">
        <v>0.66</v>
      </c>
      <c r="F2385" s="6">
        <f t="shared" si="259"/>
        <v>7.3333333333333341E-3</v>
      </c>
      <c r="G2385">
        <f t="shared" si="260"/>
        <v>-1.3592187417297368</v>
      </c>
      <c r="H2385">
        <f t="shared" si="261"/>
        <v>-1.1235955056179803</v>
      </c>
      <c r="I2385">
        <f t="shared" si="262"/>
        <v>-0.72064956252322543</v>
      </c>
      <c r="J2385">
        <f t="shared" si="263"/>
        <v>-0.96154178593006379</v>
      </c>
      <c r="K2385">
        <f t="shared" si="264"/>
        <v>-1.3665520750630702</v>
      </c>
      <c r="L2385">
        <f t="shared" si="265"/>
        <v>-0.72798289585655873</v>
      </c>
    </row>
    <row r="2386" spans="1:12" x14ac:dyDescent="0.25">
      <c r="A2386" s="1">
        <v>43712</v>
      </c>
      <c r="B2386" s="6">
        <v>251.27670000000001</v>
      </c>
      <c r="C2386" s="6">
        <v>13.6</v>
      </c>
      <c r="D2386" s="6">
        <v>10657.31</v>
      </c>
      <c r="E2386" s="6">
        <v>0.66</v>
      </c>
      <c r="F2386" s="6">
        <f t="shared" si="259"/>
        <v>7.3333333333333341E-3</v>
      </c>
      <c r="G2386">
        <f t="shared" si="260"/>
        <v>1.3779480701505258</v>
      </c>
      <c r="H2386">
        <f t="shared" si="261"/>
        <v>3.0303030303030329</v>
      </c>
      <c r="I2386">
        <f t="shared" si="262"/>
        <v>0.93860607053658118</v>
      </c>
      <c r="J2386">
        <f t="shared" si="263"/>
        <v>0.96440038101031944</v>
      </c>
      <c r="K2386">
        <f t="shared" si="264"/>
        <v>1.3706147368171924</v>
      </c>
      <c r="L2386">
        <f t="shared" si="265"/>
        <v>0.93127273720324788</v>
      </c>
    </row>
    <row r="2387" spans="1:12" x14ac:dyDescent="0.25">
      <c r="A2387" s="1">
        <v>43713</v>
      </c>
      <c r="B2387" s="6">
        <v>256.6438</v>
      </c>
      <c r="C2387" s="6">
        <v>13.6</v>
      </c>
      <c r="D2387" s="6">
        <v>10756.93</v>
      </c>
      <c r="E2387" s="6">
        <v>0.66</v>
      </c>
      <c r="F2387" s="6">
        <f t="shared" si="259"/>
        <v>7.3333333333333341E-3</v>
      </c>
      <c r="G2387">
        <f t="shared" si="260"/>
        <v>2.1359322213320988</v>
      </c>
      <c r="H2387">
        <f t="shared" si="261"/>
        <v>0</v>
      </c>
      <c r="I2387">
        <f t="shared" si="262"/>
        <v>0.93475745755730855</v>
      </c>
      <c r="J2387">
        <f t="shared" si="263"/>
        <v>1.4977378569350299</v>
      </c>
      <c r="K2387">
        <f t="shared" si="264"/>
        <v>2.1285988879987654</v>
      </c>
      <c r="L2387">
        <f t="shared" si="265"/>
        <v>0.92742412422397524</v>
      </c>
    </row>
    <row r="2388" spans="1:12" x14ac:dyDescent="0.25">
      <c r="A2388" s="1">
        <v>43714</v>
      </c>
      <c r="B2388" s="6">
        <v>257.13170000000002</v>
      </c>
      <c r="C2388" s="6">
        <v>13.55</v>
      </c>
      <c r="D2388" s="6">
        <v>10780.64</v>
      </c>
      <c r="E2388" s="6">
        <v>0.66</v>
      </c>
      <c r="F2388" s="6">
        <f t="shared" si="259"/>
        <v>7.3333333333333341E-3</v>
      </c>
      <c r="G2388">
        <f t="shared" si="260"/>
        <v>0.19010784597174163</v>
      </c>
      <c r="H2388">
        <f t="shared" si="261"/>
        <v>-0.36764705882352161</v>
      </c>
      <c r="I2388">
        <f t="shared" si="262"/>
        <v>0.22041604807318749</v>
      </c>
      <c r="J2388">
        <f t="shared" si="263"/>
        <v>0.12860492806080662</v>
      </c>
      <c r="K2388">
        <f t="shared" si="264"/>
        <v>0.1827745126384083</v>
      </c>
      <c r="L2388">
        <f t="shared" si="265"/>
        <v>0.21308271473985416</v>
      </c>
    </row>
    <row r="2389" spans="1:12" x14ac:dyDescent="0.25">
      <c r="A2389" s="1">
        <v>43717</v>
      </c>
      <c r="B2389" s="6">
        <v>258.59550000000002</v>
      </c>
      <c r="C2389" s="6">
        <v>13.6</v>
      </c>
      <c r="D2389" s="6">
        <v>10801.14</v>
      </c>
      <c r="E2389" s="6">
        <v>0.66</v>
      </c>
      <c r="F2389" s="6">
        <f t="shared" si="259"/>
        <v>7.3333333333333341E-3</v>
      </c>
      <c r="G2389">
        <f t="shared" si="260"/>
        <v>0.56928025599332632</v>
      </c>
      <c r="H2389">
        <f t="shared" si="261"/>
        <v>0.36900369003689248</v>
      </c>
      <c r="I2389">
        <f t="shared" si="262"/>
        <v>0.1901556864898559</v>
      </c>
      <c r="J2389">
        <f t="shared" si="263"/>
        <v>0.39540055404581281</v>
      </c>
      <c r="K2389">
        <f t="shared" si="264"/>
        <v>0.56194692265999302</v>
      </c>
      <c r="L2389">
        <f t="shared" si="265"/>
        <v>0.18282235315652257</v>
      </c>
    </row>
    <row r="2390" spans="1:12" x14ac:dyDescent="0.25">
      <c r="A2390" s="1">
        <v>43718</v>
      </c>
      <c r="B2390" s="6">
        <v>255.18010000000001</v>
      </c>
      <c r="C2390" s="6">
        <v>13.6</v>
      </c>
      <c r="D2390" s="6">
        <v>10753.58</v>
      </c>
      <c r="E2390" s="6">
        <v>0.66</v>
      </c>
      <c r="F2390" s="6">
        <f t="shared" si="259"/>
        <v>7.3333333333333341E-3</v>
      </c>
      <c r="G2390">
        <f t="shared" si="260"/>
        <v>-1.32074997438084</v>
      </c>
      <c r="H2390">
        <f t="shared" si="261"/>
        <v>0</v>
      </c>
      <c r="I2390">
        <f t="shared" si="262"/>
        <v>-0.44032389173734898</v>
      </c>
      <c r="J2390">
        <f t="shared" si="263"/>
        <v>-0.93447415496731456</v>
      </c>
      <c r="K2390">
        <f t="shared" si="264"/>
        <v>-1.3280833077141734</v>
      </c>
      <c r="L2390">
        <f t="shared" si="265"/>
        <v>-0.44765722507068234</v>
      </c>
    </row>
    <row r="2391" spans="1:12" x14ac:dyDescent="0.25">
      <c r="A2391" s="1">
        <v>43719</v>
      </c>
      <c r="B2391" s="6">
        <v>256.6438</v>
      </c>
      <c r="C2391" s="6">
        <v>13.7</v>
      </c>
      <c r="D2391" s="6">
        <v>10790.35</v>
      </c>
      <c r="E2391" s="6">
        <v>0.66</v>
      </c>
      <c r="F2391" s="6">
        <f t="shared" si="259"/>
        <v>7.3333333333333341E-3</v>
      </c>
      <c r="G2391">
        <f t="shared" si="260"/>
        <v>0.57359488455408103</v>
      </c>
      <c r="H2391">
        <f t="shared" si="261"/>
        <v>0.73529411764705621</v>
      </c>
      <c r="I2391">
        <f t="shared" si="262"/>
        <v>0.34193264010683361</v>
      </c>
      <c r="J2391">
        <f t="shared" si="263"/>
        <v>0.39843643956209762</v>
      </c>
      <c r="K2391">
        <f t="shared" si="264"/>
        <v>0.56626155122074773</v>
      </c>
      <c r="L2391">
        <f t="shared" si="265"/>
        <v>0.33459930677350025</v>
      </c>
    </row>
    <row r="2392" spans="1:12" x14ac:dyDescent="0.25">
      <c r="A2392" s="1">
        <v>43720</v>
      </c>
      <c r="B2392" s="6">
        <v>256.15589999999997</v>
      </c>
      <c r="C2392" s="6">
        <v>13.7</v>
      </c>
      <c r="D2392" s="6">
        <v>10827.55</v>
      </c>
      <c r="E2392" s="6">
        <v>0.66</v>
      </c>
      <c r="F2392" s="6">
        <f t="shared" si="259"/>
        <v>7.3333333333333341E-3</v>
      </c>
      <c r="G2392">
        <f t="shared" si="260"/>
        <v>-0.19010784597174163</v>
      </c>
      <c r="H2392">
        <f t="shared" si="261"/>
        <v>0</v>
      </c>
      <c r="I2392">
        <f t="shared" si="262"/>
        <v>0.34475248717603141</v>
      </c>
      <c r="J2392">
        <f t="shared" si="263"/>
        <v>-0.13892477837434605</v>
      </c>
      <c r="K2392">
        <f t="shared" si="264"/>
        <v>-0.19744117930507496</v>
      </c>
      <c r="L2392">
        <f t="shared" si="265"/>
        <v>0.33741915384269805</v>
      </c>
    </row>
    <row r="2393" spans="1:12" x14ac:dyDescent="0.25">
      <c r="A2393" s="1">
        <v>43724</v>
      </c>
      <c r="B2393" s="6">
        <v>259.08339999999998</v>
      </c>
      <c r="C2393" s="6">
        <v>13.6</v>
      </c>
      <c r="D2393" s="6">
        <v>10898.13</v>
      </c>
      <c r="E2393" s="6">
        <v>0.66</v>
      </c>
      <c r="F2393" s="6">
        <f t="shared" si="259"/>
        <v>7.3333333333333341E-3</v>
      </c>
      <c r="G2393">
        <f t="shared" si="260"/>
        <v>1.1428587044061875</v>
      </c>
      <c r="H2393">
        <f t="shared" si="261"/>
        <v>-0.72992700729926752</v>
      </c>
      <c r="I2393">
        <f t="shared" si="262"/>
        <v>0.65185568295690099</v>
      </c>
      <c r="J2393">
        <f t="shared" si="263"/>
        <v>0.79898535386578551</v>
      </c>
      <c r="K2393">
        <f t="shared" si="264"/>
        <v>1.1355253710728541</v>
      </c>
      <c r="L2393">
        <f t="shared" si="265"/>
        <v>0.64452234962356769</v>
      </c>
    </row>
    <row r="2394" spans="1:12" x14ac:dyDescent="0.25">
      <c r="A2394" s="1">
        <v>43725</v>
      </c>
      <c r="B2394" s="6">
        <v>258.59550000000002</v>
      </c>
      <c r="C2394" s="6">
        <v>13.55</v>
      </c>
      <c r="D2394" s="6">
        <v>10874.5</v>
      </c>
      <c r="E2394" s="6">
        <v>0.66</v>
      </c>
      <c r="F2394" s="6">
        <f t="shared" si="259"/>
        <v>7.3333333333333341E-3</v>
      </c>
      <c r="G2394">
        <f t="shared" si="260"/>
        <v>-0.18831773861234175</v>
      </c>
      <c r="H2394">
        <f t="shared" si="261"/>
        <v>-0.36764705882352161</v>
      </c>
      <c r="I2394">
        <f t="shared" si="262"/>
        <v>-0.21682618944717305</v>
      </c>
      <c r="J2394">
        <f t="shared" si="263"/>
        <v>-0.13766521201110704</v>
      </c>
      <c r="K2394">
        <f t="shared" si="264"/>
        <v>-0.19565107194567508</v>
      </c>
      <c r="L2394">
        <f t="shared" si="265"/>
        <v>-0.22415952278050638</v>
      </c>
    </row>
    <row r="2395" spans="1:12" x14ac:dyDescent="0.25">
      <c r="A2395" s="1">
        <v>43726</v>
      </c>
      <c r="B2395" s="6">
        <v>260.5471</v>
      </c>
      <c r="C2395" s="6">
        <v>13.55</v>
      </c>
      <c r="D2395" s="6">
        <v>10929.45</v>
      </c>
      <c r="E2395" s="6">
        <v>0.66</v>
      </c>
      <c r="F2395" s="6">
        <f t="shared" si="259"/>
        <v>7.3333333333333341E-3</v>
      </c>
      <c r="G2395">
        <f t="shared" si="260"/>
        <v>0.75469217368437769</v>
      </c>
      <c r="H2395">
        <f t="shared" si="261"/>
        <v>0</v>
      </c>
      <c r="I2395">
        <f t="shared" si="262"/>
        <v>0.50531058899260406</v>
      </c>
      <c r="J2395">
        <f t="shared" si="263"/>
        <v>0.52586122929021817</v>
      </c>
      <c r="K2395">
        <f t="shared" si="264"/>
        <v>0.74735884035104438</v>
      </c>
      <c r="L2395">
        <f t="shared" si="265"/>
        <v>0.4979772556592707</v>
      </c>
    </row>
    <row r="2396" spans="1:12" x14ac:dyDescent="0.25">
      <c r="A2396" s="1">
        <v>43727</v>
      </c>
      <c r="B2396" s="6">
        <v>260.54750000000001</v>
      </c>
      <c r="C2396" s="6">
        <v>13.6</v>
      </c>
      <c r="D2396" s="6">
        <v>10894.7</v>
      </c>
      <c r="E2396" s="6">
        <v>0.66</v>
      </c>
      <c r="F2396" s="6">
        <f t="shared" si="259"/>
        <v>7.3333333333333341E-3</v>
      </c>
      <c r="G2396">
        <f t="shared" si="260"/>
        <v>1.5352310580823145E-4</v>
      </c>
      <c r="H2396">
        <f t="shared" si="261"/>
        <v>0.36900369003689248</v>
      </c>
      <c r="I2396">
        <f t="shared" si="262"/>
        <v>-0.31794829565989136</v>
      </c>
      <c r="J2396">
        <f t="shared" si="263"/>
        <v>-5.0519022837053618E-3</v>
      </c>
      <c r="K2396">
        <f t="shared" si="264"/>
        <v>-7.1798102275251029E-3</v>
      </c>
      <c r="L2396">
        <f t="shared" si="265"/>
        <v>-0.32528162899322471</v>
      </c>
    </row>
    <row r="2397" spans="1:12" x14ac:dyDescent="0.25">
      <c r="A2397" s="1">
        <v>43728</v>
      </c>
      <c r="B2397" s="6">
        <v>259.5643</v>
      </c>
      <c r="C2397" s="6">
        <v>13.8</v>
      </c>
      <c r="D2397" s="6">
        <v>10929.69</v>
      </c>
      <c r="E2397" s="6">
        <v>0.66</v>
      </c>
      <c r="F2397" s="6">
        <f t="shared" si="259"/>
        <v>7.3333333333333341E-3</v>
      </c>
      <c r="G2397">
        <f t="shared" si="260"/>
        <v>-0.37735921473052347</v>
      </c>
      <c r="H2397">
        <f t="shared" si="261"/>
        <v>1.4705882352941255</v>
      </c>
      <c r="I2397">
        <f t="shared" si="262"/>
        <v>0.32116533727408536</v>
      </c>
      <c r="J2397">
        <f t="shared" si="263"/>
        <v>-0.27067973950589186</v>
      </c>
      <c r="K2397">
        <f t="shared" si="264"/>
        <v>-0.38469254806385683</v>
      </c>
      <c r="L2397">
        <f t="shared" si="265"/>
        <v>0.313832003940752</v>
      </c>
    </row>
    <row r="2398" spans="1:12" x14ac:dyDescent="0.25">
      <c r="A2398" s="1">
        <v>43731</v>
      </c>
      <c r="B2398" s="6">
        <v>259.5643</v>
      </c>
      <c r="C2398" s="6">
        <v>13.7</v>
      </c>
      <c r="D2398" s="6">
        <v>10919.02</v>
      </c>
      <c r="E2398" s="6">
        <v>0.66</v>
      </c>
      <c r="F2398" s="6">
        <f t="shared" si="259"/>
        <v>7.3333333333333341E-3</v>
      </c>
      <c r="G2398">
        <f t="shared" si="260"/>
        <v>0</v>
      </c>
      <c r="H2398">
        <f t="shared" si="261"/>
        <v>-0.7246376811594305</v>
      </c>
      <c r="I2398">
        <f t="shared" si="262"/>
        <v>-9.762399482510549E-2</v>
      </c>
      <c r="J2398">
        <f t="shared" si="263"/>
        <v>-5.1599251567697223E-3</v>
      </c>
      <c r="K2398">
        <f t="shared" si="264"/>
        <v>-7.3333333333333341E-3</v>
      </c>
      <c r="L2398">
        <f t="shared" si="265"/>
        <v>-0.10495732815843882</v>
      </c>
    </row>
    <row r="2399" spans="1:12" x14ac:dyDescent="0.25">
      <c r="A2399" s="1">
        <v>43732</v>
      </c>
      <c r="B2399" s="6">
        <v>260.54750000000001</v>
      </c>
      <c r="C2399" s="6">
        <v>13.65</v>
      </c>
      <c r="D2399" s="6">
        <v>10918.01</v>
      </c>
      <c r="E2399" s="6">
        <v>0.66</v>
      </c>
      <c r="F2399" s="6">
        <f t="shared" si="259"/>
        <v>7.3333333333333341E-3</v>
      </c>
      <c r="G2399">
        <f t="shared" si="260"/>
        <v>0.37878860844885476</v>
      </c>
      <c r="H2399">
        <f t="shared" si="261"/>
        <v>-0.36496350364962726</v>
      </c>
      <c r="I2399">
        <f t="shared" si="262"/>
        <v>-9.2499143696065968E-3</v>
      </c>
      <c r="J2399">
        <f t="shared" si="263"/>
        <v>0.2613656480022814</v>
      </c>
      <c r="K2399">
        <f t="shared" si="264"/>
        <v>0.3714552751155214</v>
      </c>
      <c r="L2399">
        <f t="shared" si="265"/>
        <v>-1.6583247702939931E-2</v>
      </c>
    </row>
    <row r="2400" spans="1:12" x14ac:dyDescent="0.25">
      <c r="A2400" s="1">
        <v>43733</v>
      </c>
      <c r="B2400" s="6">
        <v>261.53070000000002</v>
      </c>
      <c r="C2400" s="6">
        <v>13.6</v>
      </c>
      <c r="D2400" s="6">
        <v>10873.69</v>
      </c>
      <c r="E2400" s="6">
        <v>0.66</v>
      </c>
      <c r="F2400" s="6">
        <f t="shared" si="259"/>
        <v>7.3333333333333341E-3</v>
      </c>
      <c r="G2400">
        <f t="shared" si="260"/>
        <v>0.37735921473052347</v>
      </c>
      <c r="H2400">
        <f t="shared" si="261"/>
        <v>-0.36630036630037149</v>
      </c>
      <c r="I2400">
        <f t="shared" si="262"/>
        <v>-0.40593478115517123</v>
      </c>
      <c r="J2400">
        <f t="shared" si="263"/>
        <v>0.26035988919235237</v>
      </c>
      <c r="K2400">
        <f t="shared" si="264"/>
        <v>0.37002588139719012</v>
      </c>
      <c r="L2400">
        <f t="shared" si="265"/>
        <v>-0.41326811448850459</v>
      </c>
    </row>
    <row r="2401" spans="1:12" x14ac:dyDescent="0.25">
      <c r="A2401" s="1">
        <v>43734</v>
      </c>
      <c r="B2401" s="6">
        <v>263.49709999999999</v>
      </c>
      <c r="C2401" s="6">
        <v>13.6</v>
      </c>
      <c r="D2401" s="6">
        <v>10871.99</v>
      </c>
      <c r="E2401" s="6">
        <v>0.66</v>
      </c>
      <c r="F2401" s="6">
        <f t="shared" si="259"/>
        <v>7.3333333333333341E-3</v>
      </c>
      <c r="G2401">
        <f t="shared" si="260"/>
        <v>0.75188113670783752</v>
      </c>
      <c r="H2401">
        <f t="shared" si="261"/>
        <v>0</v>
      </c>
      <c r="I2401">
        <f t="shared" si="262"/>
        <v>-1.5634067184191636E-2</v>
      </c>
      <c r="J2401">
        <f t="shared" si="263"/>
        <v>0.52388331014314649</v>
      </c>
      <c r="K2401">
        <f t="shared" si="264"/>
        <v>0.74454780337450421</v>
      </c>
      <c r="L2401">
        <f t="shared" si="265"/>
        <v>-2.296740051752497E-2</v>
      </c>
    </row>
    <row r="2402" spans="1:12" x14ac:dyDescent="0.25">
      <c r="A2402" s="1">
        <v>43735</v>
      </c>
      <c r="B2402" s="6">
        <v>267.42989999999998</v>
      </c>
      <c r="C2402" s="6">
        <v>13.4</v>
      </c>
      <c r="D2402" s="6">
        <v>10829.68</v>
      </c>
      <c r="E2402" s="6">
        <v>0.66</v>
      </c>
      <c r="F2402" s="6">
        <f t="shared" si="259"/>
        <v>7.3333333333333341E-3</v>
      </c>
      <c r="G2402">
        <f t="shared" si="260"/>
        <v>1.4925401456031153</v>
      </c>
      <c r="H2402">
        <f t="shared" si="261"/>
        <v>-1.4705882352941124</v>
      </c>
      <c r="I2402">
        <f t="shared" si="262"/>
        <v>-0.38916518503051872</v>
      </c>
      <c r="J2402">
        <f t="shared" si="263"/>
        <v>1.045030362768629</v>
      </c>
      <c r="K2402">
        <f t="shared" si="264"/>
        <v>1.4852068122697819</v>
      </c>
      <c r="L2402">
        <f t="shared" si="265"/>
        <v>-0.39649851836385208</v>
      </c>
    </row>
    <row r="2403" spans="1:12" x14ac:dyDescent="0.25">
      <c r="A2403" s="1">
        <v>43739</v>
      </c>
      <c r="B2403" s="6">
        <v>275.29539999999997</v>
      </c>
      <c r="C2403" s="6">
        <v>13.65</v>
      </c>
      <c r="D2403" s="6">
        <v>10967.65</v>
      </c>
      <c r="E2403" s="6">
        <v>0.66</v>
      </c>
      <c r="F2403" s="6">
        <f t="shared" si="259"/>
        <v>7.3333333333333341E-3</v>
      </c>
      <c r="G2403">
        <f t="shared" si="260"/>
        <v>2.9411445765787589</v>
      </c>
      <c r="H2403">
        <f t="shared" si="261"/>
        <v>1.8656716417910448</v>
      </c>
      <c r="I2403">
        <f t="shared" si="262"/>
        <v>1.273998862385586</v>
      </c>
      <c r="J2403">
        <f t="shared" si="263"/>
        <v>2.0643063326230808</v>
      </c>
      <c r="K2403">
        <f t="shared" si="264"/>
        <v>2.9338112432454255</v>
      </c>
      <c r="L2403">
        <f t="shared" si="265"/>
        <v>1.2666655290522526</v>
      </c>
    </row>
    <row r="2404" spans="1:12" x14ac:dyDescent="0.25">
      <c r="A2404" s="1">
        <v>43740</v>
      </c>
      <c r="B2404" s="6">
        <v>274.80380000000002</v>
      </c>
      <c r="C2404" s="6">
        <v>13.5</v>
      </c>
      <c r="D2404" s="6">
        <v>10947.88</v>
      </c>
      <c r="E2404" s="6">
        <v>0.66</v>
      </c>
      <c r="F2404" s="6">
        <f t="shared" si="259"/>
        <v>7.3333333333333341E-3</v>
      </c>
      <c r="G2404">
        <f t="shared" si="260"/>
        <v>-0.17857181776373618</v>
      </c>
      <c r="H2404">
        <f t="shared" si="261"/>
        <v>-1.0989010989011014</v>
      </c>
      <c r="I2404">
        <f t="shared" si="262"/>
        <v>-0.18025739333403634</v>
      </c>
      <c r="J2404">
        <f t="shared" si="263"/>
        <v>-0.13080772717075162</v>
      </c>
      <c r="K2404">
        <f t="shared" si="264"/>
        <v>-0.18590515109706951</v>
      </c>
      <c r="L2404">
        <f t="shared" si="265"/>
        <v>-0.18759072666736967</v>
      </c>
    </row>
    <row r="2405" spans="1:12" x14ac:dyDescent="0.25">
      <c r="A2405" s="1">
        <v>43741</v>
      </c>
      <c r="B2405" s="6">
        <v>271.85419999999999</v>
      </c>
      <c r="C2405" s="6">
        <v>13.4</v>
      </c>
      <c r="D2405" s="6">
        <v>10875.91</v>
      </c>
      <c r="E2405" s="6">
        <v>0.66</v>
      </c>
      <c r="F2405" s="6">
        <f t="shared" si="259"/>
        <v>7.3333333333333341E-3</v>
      </c>
      <c r="G2405">
        <f t="shared" si="260"/>
        <v>-1.0733476029079771</v>
      </c>
      <c r="H2405">
        <f t="shared" si="261"/>
        <v>-0.74074074074073815</v>
      </c>
      <c r="I2405">
        <f t="shared" si="262"/>
        <v>-0.65738754900491558</v>
      </c>
      <c r="J2405">
        <f t="shared" si="263"/>
        <v>-0.76039537491177189</v>
      </c>
      <c r="K2405">
        <f t="shared" si="264"/>
        <v>-1.0806809362413106</v>
      </c>
      <c r="L2405">
        <f t="shared" si="265"/>
        <v>-0.66472088233824889</v>
      </c>
    </row>
    <row r="2406" spans="1:12" x14ac:dyDescent="0.25">
      <c r="A2406" s="1">
        <v>43742</v>
      </c>
      <c r="B2406" s="6">
        <v>271.85419999999999</v>
      </c>
      <c r="C2406" s="6">
        <v>13.45</v>
      </c>
      <c r="D2406" s="6">
        <v>10894.48</v>
      </c>
      <c r="E2406" s="6">
        <v>0.66</v>
      </c>
      <c r="F2406" s="6">
        <f t="shared" si="259"/>
        <v>7.3333333333333341E-3</v>
      </c>
      <c r="G2406">
        <f t="shared" si="260"/>
        <v>0</v>
      </c>
      <c r="H2406">
        <f t="shared" si="261"/>
        <v>0.37313432835820098</v>
      </c>
      <c r="I2406">
        <f t="shared" si="262"/>
        <v>0.17074433311786977</v>
      </c>
      <c r="J2406">
        <f t="shared" si="263"/>
        <v>-5.1599251567697223E-3</v>
      </c>
      <c r="K2406">
        <f t="shared" si="264"/>
        <v>-7.3333333333333341E-3</v>
      </c>
      <c r="L2406">
        <f t="shared" si="265"/>
        <v>0.16341099978453644</v>
      </c>
    </row>
    <row r="2407" spans="1:12" x14ac:dyDescent="0.25">
      <c r="A2407" s="1">
        <v>43745</v>
      </c>
      <c r="B2407" s="6">
        <v>273.32900000000001</v>
      </c>
      <c r="C2407" s="6">
        <v>13.35</v>
      </c>
      <c r="D2407" s="6">
        <v>10935.06</v>
      </c>
      <c r="E2407" s="6">
        <v>0.66</v>
      </c>
      <c r="F2407" s="6">
        <f t="shared" si="259"/>
        <v>7.3333333333333341E-3</v>
      </c>
      <c r="G2407">
        <f t="shared" si="260"/>
        <v>0.54249667652735034</v>
      </c>
      <c r="H2407">
        <f t="shared" si="261"/>
        <v>-0.74349442379181896</v>
      </c>
      <c r="I2407">
        <f t="shared" si="262"/>
        <v>0.37248221117483282</v>
      </c>
      <c r="J2407">
        <f t="shared" si="263"/>
        <v>0.37655492693560866</v>
      </c>
      <c r="K2407">
        <f t="shared" si="264"/>
        <v>0.53516334319401704</v>
      </c>
      <c r="L2407">
        <f t="shared" si="265"/>
        <v>0.36514887784149946</v>
      </c>
    </row>
    <row r="2408" spans="1:12" x14ac:dyDescent="0.25">
      <c r="A2408" s="1">
        <v>43746</v>
      </c>
      <c r="B2408" s="6">
        <v>281.68619999999999</v>
      </c>
      <c r="C2408" s="6">
        <v>13.35</v>
      </c>
      <c r="D2408" s="6">
        <v>11017.31</v>
      </c>
      <c r="E2408" s="6">
        <v>0.66</v>
      </c>
      <c r="F2408" s="6">
        <f t="shared" si="259"/>
        <v>7.3333333333333341E-3</v>
      </c>
      <c r="G2408">
        <f t="shared" si="260"/>
        <v>3.0575606686447383</v>
      </c>
      <c r="H2408">
        <f t="shared" si="261"/>
        <v>0</v>
      </c>
      <c r="I2408">
        <f t="shared" si="262"/>
        <v>0.75216779789045518</v>
      </c>
      <c r="J2408">
        <f t="shared" si="263"/>
        <v>2.1462197401827261</v>
      </c>
      <c r="K2408">
        <f t="shared" si="264"/>
        <v>3.0502273353114049</v>
      </c>
      <c r="L2408">
        <f t="shared" si="265"/>
        <v>0.74483446455712188</v>
      </c>
    </row>
    <row r="2409" spans="1:12" x14ac:dyDescent="0.25">
      <c r="A2409" s="1">
        <v>43747</v>
      </c>
      <c r="B2409" s="6">
        <v>277.26179999999999</v>
      </c>
      <c r="C2409" s="6">
        <v>13.15</v>
      </c>
      <c r="D2409" s="6">
        <v>10889.96</v>
      </c>
      <c r="E2409" s="6">
        <v>0.66</v>
      </c>
      <c r="F2409" s="6">
        <f t="shared" si="259"/>
        <v>7.3333333333333341E-3</v>
      </c>
      <c r="G2409">
        <f t="shared" si="260"/>
        <v>-1.5706839738687914</v>
      </c>
      <c r="H2409">
        <f t="shared" si="261"/>
        <v>-1.4981273408239648</v>
      </c>
      <c r="I2409">
        <f t="shared" si="262"/>
        <v>-1.155908293403747</v>
      </c>
      <c r="J2409">
        <f t="shared" si="263"/>
        <v>-1.1103342547159443</v>
      </c>
      <c r="K2409">
        <f t="shared" si="264"/>
        <v>-1.5780173072021249</v>
      </c>
      <c r="L2409">
        <f t="shared" si="265"/>
        <v>-1.1632416267370804</v>
      </c>
    </row>
    <row r="2410" spans="1:12" x14ac:dyDescent="0.25">
      <c r="A2410" s="1">
        <v>43752</v>
      </c>
      <c r="B2410" s="6">
        <v>285.12740000000002</v>
      </c>
      <c r="C2410" s="6">
        <v>13.5</v>
      </c>
      <c r="D2410" s="6">
        <v>11066.95</v>
      </c>
      <c r="E2410" s="6">
        <v>0.66</v>
      </c>
      <c r="F2410" s="6">
        <f t="shared" si="259"/>
        <v>7.3333333333333341E-3</v>
      </c>
      <c r="G2410">
        <f t="shared" si="260"/>
        <v>2.8368855716871306</v>
      </c>
      <c r="H2410">
        <f t="shared" si="261"/>
        <v>2.6615969581749024</v>
      </c>
      <c r="I2410">
        <f t="shared" si="262"/>
        <v>1.6252584949807127</v>
      </c>
      <c r="J2410">
        <f t="shared" si="263"/>
        <v>1.9909469696012503</v>
      </c>
      <c r="K2410">
        <f t="shared" si="264"/>
        <v>2.8295522383537972</v>
      </c>
      <c r="L2410">
        <f t="shared" si="265"/>
        <v>1.6179251616473793</v>
      </c>
    </row>
    <row r="2411" spans="1:12" x14ac:dyDescent="0.25">
      <c r="A2411" s="1">
        <v>43753</v>
      </c>
      <c r="B2411" s="6">
        <v>288.5686</v>
      </c>
      <c r="C2411" s="6">
        <v>13.7</v>
      </c>
      <c r="D2411" s="6">
        <v>11111.8</v>
      </c>
      <c r="E2411" s="6">
        <v>0.66</v>
      </c>
      <c r="F2411" s="6">
        <f t="shared" si="259"/>
        <v>7.3333333333333341E-3</v>
      </c>
      <c r="G2411">
        <f t="shared" si="260"/>
        <v>1.2068990914236866</v>
      </c>
      <c r="H2411">
        <f t="shared" si="261"/>
        <v>1.4814814814814763</v>
      </c>
      <c r="I2411">
        <f t="shared" si="262"/>
        <v>0.40526070868666203</v>
      </c>
      <c r="J2411">
        <f t="shared" si="263"/>
        <v>0.84404584532317584</v>
      </c>
      <c r="K2411">
        <f t="shared" si="264"/>
        <v>1.1995657580903532</v>
      </c>
      <c r="L2411">
        <f t="shared" si="265"/>
        <v>0.39792737535332867</v>
      </c>
    </row>
    <row r="2412" spans="1:12" x14ac:dyDescent="0.25">
      <c r="A2412" s="1">
        <v>43754</v>
      </c>
      <c r="B2412" s="6">
        <v>291.51819999999998</v>
      </c>
      <c r="C2412" s="6">
        <v>13.75</v>
      </c>
      <c r="D2412" s="6">
        <v>11162.83</v>
      </c>
      <c r="E2412" s="6">
        <v>0.66</v>
      </c>
      <c r="F2412" s="6">
        <f t="shared" si="259"/>
        <v>7.3333333333333341E-3</v>
      </c>
      <c r="G2412">
        <f t="shared" si="260"/>
        <v>1.0221486329420371</v>
      </c>
      <c r="H2412">
        <f t="shared" si="261"/>
        <v>0.36496350364964025</v>
      </c>
      <c r="I2412">
        <f t="shared" si="262"/>
        <v>0.45924152702533033</v>
      </c>
      <c r="J2412">
        <f t="shared" si="263"/>
        <v>0.71405059008078442</v>
      </c>
      <c r="K2412">
        <f t="shared" si="264"/>
        <v>1.0148152996087036</v>
      </c>
      <c r="L2412">
        <f t="shared" si="265"/>
        <v>0.45190819369199697</v>
      </c>
    </row>
    <row r="2413" spans="1:12" x14ac:dyDescent="0.25">
      <c r="A2413" s="1">
        <v>43755</v>
      </c>
      <c r="B2413" s="6">
        <v>288.5686</v>
      </c>
      <c r="C2413" s="6">
        <v>13.8</v>
      </c>
      <c r="D2413" s="6">
        <v>11186.88</v>
      </c>
      <c r="E2413" s="6">
        <v>0.66</v>
      </c>
      <c r="F2413" s="6">
        <f t="shared" si="259"/>
        <v>7.3333333333333341E-3</v>
      </c>
      <c r="G2413">
        <f t="shared" si="260"/>
        <v>-1.0118064669718652</v>
      </c>
      <c r="H2413">
        <f t="shared" si="261"/>
        <v>0.36363636363636881</v>
      </c>
      <c r="I2413">
        <f t="shared" si="262"/>
        <v>0.21544715811312429</v>
      </c>
      <c r="J2413">
        <f t="shared" si="263"/>
        <v>-0.7170934218900088</v>
      </c>
      <c r="K2413">
        <f t="shared" si="264"/>
        <v>-1.0191398003051986</v>
      </c>
      <c r="L2413">
        <f t="shared" si="265"/>
        <v>0.20811382477979096</v>
      </c>
    </row>
    <row r="2414" spans="1:12" x14ac:dyDescent="0.25">
      <c r="A2414" s="1">
        <v>43756</v>
      </c>
      <c r="B2414" s="6">
        <v>288.077</v>
      </c>
      <c r="C2414" s="6">
        <v>13.95</v>
      </c>
      <c r="D2414" s="6">
        <v>11180.22</v>
      </c>
      <c r="E2414" s="6">
        <v>0.66</v>
      </c>
      <c r="F2414" s="6">
        <f t="shared" si="259"/>
        <v>7.3333333333333341E-3</v>
      </c>
      <c r="G2414">
        <f t="shared" si="260"/>
        <v>-0.1703581054903428</v>
      </c>
      <c r="H2414">
        <f t="shared" si="261"/>
        <v>1.0869565217391202</v>
      </c>
      <c r="I2414">
        <f t="shared" si="262"/>
        <v>-5.9534025572812573E-2</v>
      </c>
      <c r="J2414">
        <f t="shared" si="263"/>
        <v>-0.12502834436303106</v>
      </c>
      <c r="K2414">
        <f t="shared" si="264"/>
        <v>-0.17769143882367613</v>
      </c>
      <c r="L2414">
        <f t="shared" si="265"/>
        <v>-6.686735890614591E-2</v>
      </c>
    </row>
    <row r="2415" spans="1:12" x14ac:dyDescent="0.25">
      <c r="A2415" s="1">
        <v>43759</v>
      </c>
      <c r="B2415" s="6">
        <v>285.12740000000002</v>
      </c>
      <c r="C2415" s="6">
        <v>13.9</v>
      </c>
      <c r="D2415" s="6">
        <v>11184.15</v>
      </c>
      <c r="E2415" s="6">
        <v>0.66</v>
      </c>
      <c r="F2415" s="6">
        <f t="shared" si="259"/>
        <v>7.3333333333333341E-3</v>
      </c>
      <c r="G2415">
        <f t="shared" si="260"/>
        <v>-1.0238929175185716</v>
      </c>
      <c r="H2415">
        <f t="shared" si="261"/>
        <v>-0.35842293906809275</v>
      </c>
      <c r="I2415">
        <f t="shared" si="262"/>
        <v>3.5151365536637842E-2</v>
      </c>
      <c r="J2415">
        <f t="shared" si="263"/>
        <v>-0.72559776464891845</v>
      </c>
      <c r="K2415">
        <f t="shared" si="264"/>
        <v>-1.031226250851905</v>
      </c>
      <c r="L2415">
        <f t="shared" si="265"/>
        <v>2.7818032203304508E-2</v>
      </c>
    </row>
    <row r="2416" spans="1:12" x14ac:dyDescent="0.25">
      <c r="A2416" s="1">
        <v>43760</v>
      </c>
      <c r="B2416" s="6">
        <v>289.06020000000001</v>
      </c>
      <c r="C2416" s="6">
        <v>14</v>
      </c>
      <c r="D2416" s="6">
        <v>11271.25</v>
      </c>
      <c r="E2416" s="6">
        <v>0.66</v>
      </c>
      <c r="F2416" s="6">
        <f t="shared" si="259"/>
        <v>7.3333333333333341E-3</v>
      </c>
      <c r="G2416">
        <f t="shared" si="260"/>
        <v>1.379313247341359</v>
      </c>
      <c r="H2416">
        <f t="shared" si="261"/>
        <v>0.71942446043165209</v>
      </c>
      <c r="I2416">
        <f t="shared" si="262"/>
        <v>0.77878068516606413</v>
      </c>
      <c r="J2416">
        <f t="shared" si="263"/>
        <v>0.96536095539174149</v>
      </c>
      <c r="K2416">
        <f t="shared" si="264"/>
        <v>1.3719799140080255</v>
      </c>
      <c r="L2416">
        <f t="shared" si="265"/>
        <v>0.77144735183273083</v>
      </c>
    </row>
    <row r="2417" spans="1:12" x14ac:dyDescent="0.25">
      <c r="A2417" s="1">
        <v>43761</v>
      </c>
      <c r="B2417" s="6">
        <v>288.077</v>
      </c>
      <c r="C2417" s="6">
        <v>14.05</v>
      </c>
      <c r="D2417" s="6">
        <v>11239.67</v>
      </c>
      <c r="E2417" s="6">
        <v>0.66</v>
      </c>
      <c r="F2417" s="6">
        <f t="shared" si="259"/>
        <v>7.3333333333333341E-3</v>
      </c>
      <c r="G2417">
        <f t="shared" si="260"/>
        <v>-0.34013676043952462</v>
      </c>
      <c r="H2417">
        <f t="shared" si="261"/>
        <v>0.3571428571428622</v>
      </c>
      <c r="I2417">
        <f t="shared" si="262"/>
        <v>-0.28018187867361588</v>
      </c>
      <c r="J2417">
        <f t="shared" si="263"/>
        <v>-0.24448904701141422</v>
      </c>
      <c r="K2417">
        <f t="shared" si="264"/>
        <v>-0.34747009377285798</v>
      </c>
      <c r="L2417">
        <f t="shared" si="265"/>
        <v>-0.28751521200694924</v>
      </c>
    </row>
    <row r="2418" spans="1:12" x14ac:dyDescent="0.25">
      <c r="A2418" s="1">
        <v>43762</v>
      </c>
      <c r="B2418" s="6">
        <v>288.077</v>
      </c>
      <c r="C2418" s="6">
        <v>14.55</v>
      </c>
      <c r="D2418" s="6">
        <v>11320.14</v>
      </c>
      <c r="E2418" s="6">
        <v>0.66</v>
      </c>
      <c r="F2418" s="6">
        <f t="shared" si="259"/>
        <v>7.3333333333333341E-3</v>
      </c>
      <c r="G2418">
        <f t="shared" si="260"/>
        <v>0</v>
      </c>
      <c r="H2418">
        <f t="shared" si="261"/>
        <v>3.5587188612099641</v>
      </c>
      <c r="I2418">
        <f t="shared" si="262"/>
        <v>0.71594628667922944</v>
      </c>
      <c r="J2418">
        <f t="shared" si="263"/>
        <v>-5.1599251567697223E-3</v>
      </c>
      <c r="K2418">
        <f t="shared" si="264"/>
        <v>-7.3333333333333341E-3</v>
      </c>
      <c r="L2418">
        <f t="shared" si="265"/>
        <v>0.70861295334589613</v>
      </c>
    </row>
    <row r="2419" spans="1:12" x14ac:dyDescent="0.25">
      <c r="A2419" s="1">
        <v>43763</v>
      </c>
      <c r="B2419" s="6">
        <v>288.5686</v>
      </c>
      <c r="C2419" s="6">
        <v>14.4</v>
      </c>
      <c r="D2419" s="6">
        <v>11296.12</v>
      </c>
      <c r="E2419" s="6">
        <v>0.66</v>
      </c>
      <c r="F2419" s="6">
        <f t="shared" si="259"/>
        <v>7.3333333333333341E-3</v>
      </c>
      <c r="G2419">
        <f t="shared" si="260"/>
        <v>0.17064881958643188</v>
      </c>
      <c r="H2419">
        <f t="shared" si="261"/>
        <v>-1.0309278350515487</v>
      </c>
      <c r="I2419">
        <f t="shared" si="262"/>
        <v>-0.21218818848528923</v>
      </c>
      <c r="J2419">
        <f t="shared" si="263"/>
        <v>0.11491304809192403</v>
      </c>
      <c r="K2419">
        <f t="shared" si="264"/>
        <v>0.16331548625309855</v>
      </c>
      <c r="L2419">
        <f t="shared" si="265"/>
        <v>-0.21952152181862256</v>
      </c>
    </row>
    <row r="2420" spans="1:12" x14ac:dyDescent="0.25">
      <c r="A2420" s="1">
        <v>43766</v>
      </c>
      <c r="B2420" s="6">
        <v>289.55180000000001</v>
      </c>
      <c r="C2420" s="6">
        <v>14.25</v>
      </c>
      <c r="D2420" s="6">
        <v>11315.02</v>
      </c>
      <c r="E2420" s="6">
        <v>0.66</v>
      </c>
      <c r="F2420" s="6">
        <f t="shared" si="259"/>
        <v>7.3333333333333341E-3</v>
      </c>
      <c r="G2420">
        <f t="shared" si="260"/>
        <v>0.34071621098068561</v>
      </c>
      <c r="H2420">
        <f t="shared" si="261"/>
        <v>-1.0416666666666692</v>
      </c>
      <c r="I2420">
        <f t="shared" si="262"/>
        <v>0.16731408660672545</v>
      </c>
      <c r="J2420">
        <f t="shared" si="263"/>
        <v>0.23457691325575297</v>
      </c>
      <c r="K2420">
        <f t="shared" si="264"/>
        <v>0.33338287764735225</v>
      </c>
      <c r="L2420">
        <f t="shared" si="265"/>
        <v>0.15998075327339212</v>
      </c>
    </row>
    <row r="2421" spans="1:12" x14ac:dyDescent="0.25">
      <c r="A2421" s="1">
        <v>43767</v>
      </c>
      <c r="B2421" s="6">
        <v>293.4846</v>
      </c>
      <c r="C2421" s="6">
        <v>14.5</v>
      </c>
      <c r="D2421" s="6">
        <v>11333.87</v>
      </c>
      <c r="E2421" s="6">
        <v>0.66</v>
      </c>
      <c r="F2421" s="6">
        <f t="shared" si="259"/>
        <v>7.3333333333333341E-3</v>
      </c>
      <c r="G2421">
        <f t="shared" si="260"/>
        <v>1.3582371099057184</v>
      </c>
      <c r="H2421">
        <f t="shared" si="261"/>
        <v>1.7543859649122806</v>
      </c>
      <c r="I2421">
        <f t="shared" si="262"/>
        <v>0.1665927236540489</v>
      </c>
      <c r="J2421">
        <f t="shared" si="263"/>
        <v>0.95053123378787363</v>
      </c>
      <c r="K2421">
        <f t="shared" si="264"/>
        <v>1.350903776572385</v>
      </c>
      <c r="L2421">
        <f t="shared" si="265"/>
        <v>0.15925939032071557</v>
      </c>
    </row>
    <row r="2422" spans="1:12" x14ac:dyDescent="0.25">
      <c r="A2422" s="1">
        <v>43768</v>
      </c>
      <c r="B2422" s="6">
        <v>294.46780000000001</v>
      </c>
      <c r="C2422" s="6">
        <v>14.4</v>
      </c>
      <c r="D2422" s="6">
        <v>11380.28</v>
      </c>
      <c r="E2422" s="6">
        <v>0.66</v>
      </c>
      <c r="F2422" s="6">
        <f t="shared" si="259"/>
        <v>7.3333333333333341E-3</v>
      </c>
      <c r="G2422">
        <f t="shared" si="260"/>
        <v>0.33500906010060177</v>
      </c>
      <c r="H2422">
        <f t="shared" si="261"/>
        <v>-0.68965517241379071</v>
      </c>
      <c r="I2422">
        <f t="shared" si="262"/>
        <v>0.40948060988876572</v>
      </c>
      <c r="J2422">
        <f t="shared" si="263"/>
        <v>0.23056121261034956</v>
      </c>
      <c r="K2422">
        <f t="shared" si="264"/>
        <v>0.32767572676726842</v>
      </c>
      <c r="L2422">
        <f t="shared" si="265"/>
        <v>0.40214727655543236</v>
      </c>
    </row>
    <row r="2423" spans="1:12" x14ac:dyDescent="0.25">
      <c r="A2423" s="1">
        <v>43769</v>
      </c>
      <c r="B2423" s="6">
        <v>293.4846</v>
      </c>
      <c r="C2423" s="6">
        <v>14</v>
      </c>
      <c r="D2423" s="6">
        <v>11358.71</v>
      </c>
      <c r="E2423" s="6">
        <v>0.66</v>
      </c>
      <c r="F2423" s="6">
        <f t="shared" si="259"/>
        <v>7.3333333333333341E-3</v>
      </c>
      <c r="G2423">
        <f t="shared" si="260"/>
        <v>-0.33389049668588916</v>
      </c>
      <c r="H2423">
        <f t="shared" si="261"/>
        <v>-2.7777777777777803</v>
      </c>
      <c r="I2423">
        <f t="shared" si="262"/>
        <v>-0.18953839448591359</v>
      </c>
      <c r="J2423">
        <f t="shared" si="263"/>
        <v>-0.24009401244620479</v>
      </c>
      <c r="K2423">
        <f t="shared" si="264"/>
        <v>-0.34122383001922252</v>
      </c>
      <c r="L2423">
        <f t="shared" si="265"/>
        <v>-0.19687172781924692</v>
      </c>
    </row>
    <row r="2424" spans="1:12" x14ac:dyDescent="0.25">
      <c r="A2424" s="1">
        <v>43770</v>
      </c>
      <c r="B2424" s="6">
        <v>293.97620000000001</v>
      </c>
      <c r="C2424" s="6">
        <v>14.5</v>
      </c>
      <c r="D2424" s="6">
        <v>11399.53</v>
      </c>
      <c r="E2424" s="6">
        <v>0.66</v>
      </c>
      <c r="F2424" s="6">
        <f t="shared" si="259"/>
        <v>7.3333333333333341E-3</v>
      </c>
      <c r="G2424">
        <f t="shared" si="260"/>
        <v>0.16750453005030089</v>
      </c>
      <c r="H2424">
        <f t="shared" si="261"/>
        <v>3.5714285714285716</v>
      </c>
      <c r="I2424">
        <f t="shared" si="262"/>
        <v>0.3593717948605214</v>
      </c>
      <c r="J2424">
        <f t="shared" si="263"/>
        <v>0.11270064372678992</v>
      </c>
      <c r="K2424">
        <f t="shared" si="264"/>
        <v>0.16017119671696756</v>
      </c>
      <c r="L2424">
        <f t="shared" si="265"/>
        <v>0.35203846152718804</v>
      </c>
    </row>
    <row r="2425" spans="1:12" x14ac:dyDescent="0.25">
      <c r="A2425" s="1">
        <v>43773</v>
      </c>
      <c r="B2425" s="6">
        <v>301.84179999999998</v>
      </c>
      <c r="C2425" s="6">
        <v>14.65</v>
      </c>
      <c r="D2425" s="6">
        <v>11556.85</v>
      </c>
      <c r="E2425" s="6">
        <v>0.66</v>
      </c>
      <c r="F2425" s="6">
        <f t="shared" si="259"/>
        <v>7.3333333333333341E-3</v>
      </c>
      <c r="G2425">
        <f t="shared" si="260"/>
        <v>2.6755907451011245</v>
      </c>
      <c r="H2425">
        <f t="shared" si="261"/>
        <v>1.0344827586206922</v>
      </c>
      <c r="I2425">
        <f t="shared" si="262"/>
        <v>1.3800568970825964</v>
      </c>
      <c r="J2425">
        <f t="shared" si="263"/>
        <v>1.8774557105069853</v>
      </c>
      <c r="K2425">
        <f t="shared" si="264"/>
        <v>2.6682574117677911</v>
      </c>
      <c r="L2425">
        <f t="shared" si="265"/>
        <v>1.372723563749263</v>
      </c>
    </row>
    <row r="2426" spans="1:12" x14ac:dyDescent="0.25">
      <c r="A2426" s="1">
        <v>43774</v>
      </c>
      <c r="B2426" s="6">
        <v>305.28300000000002</v>
      </c>
      <c r="C2426" s="6">
        <v>14.5</v>
      </c>
      <c r="D2426" s="6">
        <v>11644.03</v>
      </c>
      <c r="E2426" s="6">
        <v>0.66</v>
      </c>
      <c r="F2426" s="6">
        <f t="shared" si="259"/>
        <v>7.3333333333333341E-3</v>
      </c>
      <c r="G2426">
        <f t="shared" si="260"/>
        <v>1.1400674127970474</v>
      </c>
      <c r="H2426">
        <f t="shared" si="261"/>
        <v>-1.0238907849829375</v>
      </c>
      <c r="I2426">
        <f t="shared" si="262"/>
        <v>0.75435780511125683</v>
      </c>
      <c r="J2426">
        <f t="shared" si="263"/>
        <v>0.79702132807571058</v>
      </c>
      <c r="K2426">
        <f t="shared" si="264"/>
        <v>1.132734079463714</v>
      </c>
      <c r="L2426">
        <f t="shared" si="265"/>
        <v>0.74702447177792353</v>
      </c>
    </row>
    <row r="2427" spans="1:12" x14ac:dyDescent="0.25">
      <c r="A2427" s="1">
        <v>43775</v>
      </c>
      <c r="B2427" s="6">
        <v>305.77460000000002</v>
      </c>
      <c r="C2427" s="6">
        <v>14.5</v>
      </c>
      <c r="D2427" s="6">
        <v>11653.07</v>
      </c>
      <c r="E2427" s="6">
        <v>0.66</v>
      </c>
      <c r="F2427" s="6">
        <f t="shared" si="259"/>
        <v>7.3333333333333341E-3</v>
      </c>
      <c r="G2427">
        <f t="shared" si="260"/>
        <v>0.16103091230104702</v>
      </c>
      <c r="H2427">
        <f t="shared" si="261"/>
        <v>0</v>
      </c>
      <c r="I2427">
        <f t="shared" si="262"/>
        <v>7.763635098843831E-2</v>
      </c>
      <c r="J2427">
        <f t="shared" si="263"/>
        <v>0.10814563694319637</v>
      </c>
      <c r="K2427">
        <f t="shared" si="264"/>
        <v>0.15369757896771369</v>
      </c>
      <c r="L2427">
        <f t="shared" si="265"/>
        <v>7.030301765510498E-2</v>
      </c>
    </row>
    <row r="2428" spans="1:12" x14ac:dyDescent="0.25">
      <c r="A2428" s="1">
        <v>43776</v>
      </c>
      <c r="B2428" s="6">
        <v>303.8082</v>
      </c>
      <c r="C2428" s="6">
        <v>14.25</v>
      </c>
      <c r="D2428" s="6">
        <v>11606.56</v>
      </c>
      <c r="E2428" s="6">
        <v>0.66</v>
      </c>
      <c r="F2428" s="6">
        <f t="shared" si="259"/>
        <v>7.3333333333333341E-3</v>
      </c>
      <c r="G2428">
        <f t="shared" si="260"/>
        <v>-0.64308807860431227</v>
      </c>
      <c r="H2428">
        <f t="shared" si="261"/>
        <v>-1.7241379310344827</v>
      </c>
      <c r="I2428">
        <f t="shared" si="262"/>
        <v>-0.3991222913790119</v>
      </c>
      <c r="J2428">
        <f t="shared" si="263"/>
        <v>-0.45765351899437362</v>
      </c>
      <c r="K2428">
        <f t="shared" si="264"/>
        <v>-0.65042141193764558</v>
      </c>
      <c r="L2428">
        <f t="shared" si="265"/>
        <v>-0.40645562471234525</v>
      </c>
    </row>
    <row r="2429" spans="1:12" x14ac:dyDescent="0.25">
      <c r="A2429" s="1">
        <v>43777</v>
      </c>
      <c r="B2429" s="6">
        <v>300.36700000000002</v>
      </c>
      <c r="C2429" s="6">
        <v>14.25</v>
      </c>
      <c r="D2429" s="6">
        <v>11579.54</v>
      </c>
      <c r="E2429" s="6">
        <v>0.66</v>
      </c>
      <c r="F2429" s="6">
        <f t="shared" si="259"/>
        <v>7.3333333333333341E-3</v>
      </c>
      <c r="G2429">
        <f t="shared" si="260"/>
        <v>-1.1326883211183836</v>
      </c>
      <c r="H2429">
        <f t="shared" si="261"/>
        <v>0</v>
      </c>
      <c r="I2429">
        <f t="shared" si="262"/>
        <v>-0.23279938241820677</v>
      </c>
      <c r="J2429">
        <f t="shared" si="263"/>
        <v>-0.80214905646377099</v>
      </c>
      <c r="K2429">
        <f t="shared" si="264"/>
        <v>-1.140021654451717</v>
      </c>
      <c r="L2429">
        <f t="shared" si="265"/>
        <v>-0.2401327157515401</v>
      </c>
    </row>
    <row r="2430" spans="1:12" x14ac:dyDescent="0.25">
      <c r="A2430" s="1">
        <v>43780</v>
      </c>
      <c r="B2430" s="6">
        <v>295.94260000000003</v>
      </c>
      <c r="C2430" s="6">
        <v>14.25</v>
      </c>
      <c r="D2430" s="6">
        <v>11427.28</v>
      </c>
      <c r="E2430" s="6">
        <v>0.66</v>
      </c>
      <c r="F2430" s="6">
        <f t="shared" si="259"/>
        <v>7.3333333333333341E-3</v>
      </c>
      <c r="G2430">
        <f t="shared" si="260"/>
        <v>-1.4729980324070191</v>
      </c>
      <c r="H2430">
        <f t="shared" si="261"/>
        <v>0</v>
      </c>
      <c r="I2430">
        <f t="shared" si="262"/>
        <v>-1.3149054280221857</v>
      </c>
      <c r="J2430">
        <f t="shared" si="263"/>
        <v>-1.0415998710598535</v>
      </c>
      <c r="K2430">
        <f t="shared" si="264"/>
        <v>-1.4803313657403525</v>
      </c>
      <c r="L2430">
        <f t="shared" si="265"/>
        <v>-1.3222387613555191</v>
      </c>
    </row>
    <row r="2431" spans="1:12" x14ac:dyDescent="0.25">
      <c r="A2431" s="1">
        <v>43781</v>
      </c>
      <c r="B2431" s="6">
        <v>299.87540000000001</v>
      </c>
      <c r="C2431" s="6">
        <v>14.3</v>
      </c>
      <c r="D2431" s="6">
        <v>11520.37</v>
      </c>
      <c r="E2431" s="6">
        <v>0.66</v>
      </c>
      <c r="F2431" s="6">
        <f t="shared" si="259"/>
        <v>7.3333333333333341E-3</v>
      </c>
      <c r="G2431">
        <f t="shared" si="260"/>
        <v>1.3289063487311343</v>
      </c>
      <c r="H2431">
        <f t="shared" si="261"/>
        <v>0.35087719298246112</v>
      </c>
      <c r="I2431">
        <f t="shared" si="262"/>
        <v>0.81462955313950602</v>
      </c>
      <c r="J2431">
        <f t="shared" si="263"/>
        <v>0.92989334299897253</v>
      </c>
      <c r="K2431">
        <f t="shared" si="264"/>
        <v>1.3215730153978009</v>
      </c>
      <c r="L2431">
        <f t="shared" si="265"/>
        <v>0.80729621980617272</v>
      </c>
    </row>
    <row r="2432" spans="1:12" x14ac:dyDescent="0.25">
      <c r="A2432" s="1">
        <v>43782</v>
      </c>
      <c r="B2432" s="6">
        <v>298.8922</v>
      </c>
      <c r="C2432" s="6">
        <v>14.2</v>
      </c>
      <c r="D2432" s="6">
        <v>11467.83</v>
      </c>
      <c r="E2432" s="6">
        <v>0.66</v>
      </c>
      <c r="F2432" s="6">
        <f t="shared" si="259"/>
        <v>7.3333333333333341E-3</v>
      </c>
      <c r="G2432">
        <f t="shared" si="260"/>
        <v>-0.32786950846918778</v>
      </c>
      <c r="H2432">
        <f t="shared" si="261"/>
        <v>-0.69930069930070915</v>
      </c>
      <c r="I2432">
        <f t="shared" si="262"/>
        <v>-0.45606174107255992</v>
      </c>
      <c r="J2432">
        <f t="shared" si="263"/>
        <v>-0.23585748764148137</v>
      </c>
      <c r="K2432">
        <f t="shared" si="264"/>
        <v>-0.33520284180252113</v>
      </c>
      <c r="L2432">
        <f t="shared" si="265"/>
        <v>-0.46339507440589328</v>
      </c>
    </row>
    <row r="2433" spans="1:12" x14ac:dyDescent="0.25">
      <c r="A2433" s="1">
        <v>43783</v>
      </c>
      <c r="B2433" s="6">
        <v>298.4006</v>
      </c>
      <c r="C2433" s="6">
        <v>14.5</v>
      </c>
      <c r="D2433" s="6">
        <v>11450.42</v>
      </c>
      <c r="E2433" s="6">
        <v>0.66</v>
      </c>
      <c r="F2433" s="6">
        <f t="shared" si="259"/>
        <v>7.3333333333333341E-3</v>
      </c>
      <c r="G2433">
        <f t="shared" si="260"/>
        <v>-0.16447401437709158</v>
      </c>
      <c r="H2433">
        <f t="shared" si="261"/>
        <v>2.1126760563380333</v>
      </c>
      <c r="I2433">
        <f t="shared" si="262"/>
        <v>-0.15181599308674662</v>
      </c>
      <c r="J2433">
        <f t="shared" si="263"/>
        <v>-0.12088814394121424</v>
      </c>
      <c r="K2433">
        <f t="shared" si="264"/>
        <v>-0.17180734771042491</v>
      </c>
      <c r="L2433">
        <f t="shared" si="265"/>
        <v>-0.15914932642007995</v>
      </c>
    </row>
    <row r="2434" spans="1:12" x14ac:dyDescent="0.25">
      <c r="A2434" s="1">
        <v>43784</v>
      </c>
      <c r="B2434" s="6">
        <v>301.84179999999998</v>
      </c>
      <c r="C2434" s="6">
        <v>14.3</v>
      </c>
      <c r="D2434" s="6">
        <v>11525.6</v>
      </c>
      <c r="E2434" s="6">
        <v>0.66</v>
      </c>
      <c r="F2434" s="6">
        <f t="shared" si="259"/>
        <v>7.3333333333333341E-3</v>
      </c>
      <c r="G2434">
        <f t="shared" si="260"/>
        <v>1.1532148393803434</v>
      </c>
      <c r="H2434">
        <f t="shared" si="261"/>
        <v>-1.3793103448275814</v>
      </c>
      <c r="I2434">
        <f t="shared" si="262"/>
        <v>0.65656980267972953</v>
      </c>
      <c r="J2434">
        <f t="shared" si="263"/>
        <v>0.8062722013267013</v>
      </c>
      <c r="K2434">
        <f t="shared" si="264"/>
        <v>1.14588150604701</v>
      </c>
      <c r="L2434">
        <f t="shared" si="265"/>
        <v>0.64923646934639623</v>
      </c>
    </row>
    <row r="2435" spans="1:12" x14ac:dyDescent="0.25">
      <c r="A2435" s="1">
        <v>43787</v>
      </c>
      <c r="B2435" s="6">
        <v>305.77460000000002</v>
      </c>
      <c r="C2435" s="6">
        <v>14.5</v>
      </c>
      <c r="D2435" s="6">
        <v>11599.78</v>
      </c>
      <c r="E2435" s="6">
        <v>0.66</v>
      </c>
      <c r="F2435" s="6">
        <f t="shared" ref="F2435:F2492" si="266">E2435/90</f>
        <v>7.3333333333333341E-3</v>
      </c>
      <c r="G2435">
        <f t="shared" si="260"/>
        <v>1.3029341860537682</v>
      </c>
      <c r="H2435">
        <f t="shared" si="261"/>
        <v>1.3986013986013937</v>
      </c>
      <c r="I2435">
        <f t="shared" si="262"/>
        <v>0.6436107447768471</v>
      </c>
      <c r="J2435">
        <f t="shared" si="263"/>
        <v>0.91161864996606479</v>
      </c>
      <c r="K2435">
        <f t="shared" si="264"/>
        <v>1.2956008527204348</v>
      </c>
      <c r="L2435">
        <f t="shared" si="265"/>
        <v>0.6362774114435138</v>
      </c>
    </row>
    <row r="2436" spans="1:12" x14ac:dyDescent="0.25">
      <c r="A2436" s="1">
        <v>43788</v>
      </c>
      <c r="B2436" s="6">
        <v>309.70740000000001</v>
      </c>
      <c r="C2436" s="6">
        <v>14.55</v>
      </c>
      <c r="D2436" s="6">
        <v>11656.4</v>
      </c>
      <c r="E2436" s="6">
        <v>0.66</v>
      </c>
      <c r="F2436" s="6">
        <f t="shared" si="266"/>
        <v>7.3333333333333341E-3</v>
      </c>
      <c r="G2436">
        <f t="shared" ref="G2436:G2492" si="267">100*(B2436-B2435)/B2435</f>
        <v>1.2861761572086059</v>
      </c>
      <c r="H2436">
        <f t="shared" ref="H2436:H2492" si="268">100*(C2436-C2435)/C2435</f>
        <v>0.34482758620690146</v>
      </c>
      <c r="I2436">
        <f t="shared" ref="I2436:I2492" si="269">100*(D2436-D2435)/D2435</f>
        <v>0.48811270558578679</v>
      </c>
      <c r="J2436">
        <f t="shared" ref="J2436:J2492" si="270">(G2436-F2436)/$N$3</f>
        <v>0.89982726251842493</v>
      </c>
      <c r="K2436">
        <f t="shared" ref="K2436:K2492" si="271">G2436-F2436</f>
        <v>1.2788428238752725</v>
      </c>
      <c r="L2436">
        <f t="shared" ref="L2436:L2492" si="272">I2436-F2436</f>
        <v>0.48077937225245343</v>
      </c>
    </row>
    <row r="2437" spans="1:12" x14ac:dyDescent="0.25">
      <c r="A2437" s="1">
        <v>43789</v>
      </c>
      <c r="B2437" s="6">
        <v>308.23259999999999</v>
      </c>
      <c r="C2437" s="6">
        <v>14.75</v>
      </c>
      <c r="D2437" s="6">
        <v>11631.2</v>
      </c>
      <c r="E2437" s="6">
        <v>0.66</v>
      </c>
      <c r="F2437" s="6">
        <f t="shared" si="266"/>
        <v>7.3333333333333341E-3</v>
      </c>
      <c r="G2437">
        <f t="shared" si="267"/>
        <v>-0.4761913987202166</v>
      </c>
      <c r="H2437">
        <f t="shared" si="268"/>
        <v>1.3745704467353903</v>
      </c>
      <c r="I2437">
        <f t="shared" si="269"/>
        <v>-0.21619024741771825</v>
      </c>
      <c r="J2437">
        <f t="shared" si="270"/>
        <v>-0.34022064938774338</v>
      </c>
      <c r="K2437">
        <f t="shared" si="271"/>
        <v>-0.48352473205354995</v>
      </c>
      <c r="L2437">
        <f t="shared" si="272"/>
        <v>-0.22352358075105158</v>
      </c>
    </row>
    <row r="2438" spans="1:12" x14ac:dyDescent="0.25">
      <c r="A2438" s="1">
        <v>43790</v>
      </c>
      <c r="B2438" s="6">
        <v>305.77460000000002</v>
      </c>
      <c r="C2438" s="6">
        <v>14.65</v>
      </c>
      <c r="D2438" s="6">
        <v>11558.27</v>
      </c>
      <c r="E2438" s="6">
        <v>0.66</v>
      </c>
      <c r="F2438" s="6">
        <f t="shared" si="266"/>
        <v>7.3333333333333341E-3</v>
      </c>
      <c r="G2438">
        <f t="shared" si="267"/>
        <v>-0.79744971816737431</v>
      </c>
      <c r="H2438">
        <f t="shared" si="268"/>
        <v>-0.67796610169491289</v>
      </c>
      <c r="I2438">
        <f t="shared" si="269"/>
        <v>-0.62702042781484535</v>
      </c>
      <c r="J2438">
        <f t="shared" si="270"/>
        <v>-0.56626640634278236</v>
      </c>
      <c r="K2438">
        <f t="shared" si="271"/>
        <v>-0.80478305150070761</v>
      </c>
      <c r="L2438">
        <f t="shared" si="272"/>
        <v>-0.63435376114817865</v>
      </c>
    </row>
    <row r="2439" spans="1:12" x14ac:dyDescent="0.25">
      <c r="A2439" s="1">
        <v>43791</v>
      </c>
      <c r="B2439" s="6">
        <v>303.8082</v>
      </c>
      <c r="C2439" s="6">
        <v>14.6</v>
      </c>
      <c r="D2439" s="6">
        <v>11566.8</v>
      </c>
      <c r="E2439" s="6">
        <v>0.66</v>
      </c>
      <c r="F2439" s="6">
        <f t="shared" si="266"/>
        <v>7.3333333333333341E-3</v>
      </c>
      <c r="G2439">
        <f t="shared" si="267"/>
        <v>-0.64308807860431227</v>
      </c>
      <c r="H2439">
        <f t="shared" si="268"/>
        <v>-0.34129692832764991</v>
      </c>
      <c r="I2439">
        <f t="shared" si="269"/>
        <v>7.3799971795076913E-2</v>
      </c>
      <c r="J2439">
        <f t="shared" si="270"/>
        <v>-0.45765351899437362</v>
      </c>
      <c r="K2439">
        <f t="shared" si="271"/>
        <v>-0.65042141193764558</v>
      </c>
      <c r="L2439">
        <f t="shared" si="272"/>
        <v>6.6466638461743582E-2</v>
      </c>
    </row>
    <row r="2440" spans="1:12" x14ac:dyDescent="0.25">
      <c r="A2440" s="1">
        <v>43794</v>
      </c>
      <c r="B2440" s="6">
        <v>301.84179999999998</v>
      </c>
      <c r="C2440" s="6">
        <v>15</v>
      </c>
      <c r="D2440" s="6">
        <v>11561.58</v>
      </c>
      <c r="E2440" s="6">
        <v>0.66</v>
      </c>
      <c r="F2440" s="6">
        <f t="shared" si="266"/>
        <v>7.3333333333333341E-3</v>
      </c>
      <c r="G2440">
        <f t="shared" si="267"/>
        <v>-0.64725046921051554</v>
      </c>
      <c r="H2440">
        <f t="shared" si="268"/>
        <v>2.7397260273972628</v>
      </c>
      <c r="I2440">
        <f t="shared" si="269"/>
        <v>-4.5129162776215939E-2</v>
      </c>
      <c r="J2440">
        <f t="shared" si="270"/>
        <v>-0.46058228590363498</v>
      </c>
      <c r="K2440">
        <f t="shared" si="271"/>
        <v>-0.65458380254384885</v>
      </c>
      <c r="L2440">
        <f t="shared" si="272"/>
        <v>-5.246249610954927E-2</v>
      </c>
    </row>
    <row r="2441" spans="1:12" x14ac:dyDescent="0.25">
      <c r="A2441" s="1">
        <v>43795</v>
      </c>
      <c r="B2441" s="6">
        <v>301.84179999999998</v>
      </c>
      <c r="C2441" s="6">
        <v>15.2</v>
      </c>
      <c r="D2441" s="6">
        <v>11576.82</v>
      </c>
      <c r="E2441" s="6">
        <v>0.66</v>
      </c>
      <c r="F2441" s="6">
        <f t="shared" si="266"/>
        <v>7.3333333333333341E-3</v>
      </c>
      <c r="G2441">
        <f t="shared" si="267"/>
        <v>0</v>
      </c>
      <c r="H2441">
        <f t="shared" si="268"/>
        <v>1.3333333333333286</v>
      </c>
      <c r="I2441">
        <f t="shared" si="269"/>
        <v>0.13181589367543001</v>
      </c>
      <c r="J2441">
        <f t="shared" si="270"/>
        <v>-5.1599251567697223E-3</v>
      </c>
      <c r="K2441">
        <f t="shared" si="271"/>
        <v>-7.3333333333333341E-3</v>
      </c>
      <c r="L2441">
        <f t="shared" si="272"/>
        <v>0.12448256034209668</v>
      </c>
    </row>
    <row r="2442" spans="1:12" x14ac:dyDescent="0.25">
      <c r="A2442" s="1">
        <v>43796</v>
      </c>
      <c r="B2442" s="6">
        <v>305.77460000000002</v>
      </c>
      <c r="C2442" s="6">
        <v>15.2</v>
      </c>
      <c r="D2442" s="6">
        <v>11647.46</v>
      </c>
      <c r="E2442" s="6">
        <v>0.66</v>
      </c>
      <c r="F2442" s="6">
        <f t="shared" si="266"/>
        <v>7.3333333333333341E-3</v>
      </c>
      <c r="G2442">
        <f t="shared" si="267"/>
        <v>1.3029341860537682</v>
      </c>
      <c r="H2442">
        <f t="shared" si="268"/>
        <v>0</v>
      </c>
      <c r="I2442">
        <f t="shared" si="269"/>
        <v>0.61018483486829211</v>
      </c>
      <c r="J2442">
        <f t="shared" si="270"/>
        <v>0.91161864996606479</v>
      </c>
      <c r="K2442">
        <f t="shared" si="271"/>
        <v>1.2956008527204348</v>
      </c>
      <c r="L2442">
        <f t="shared" si="272"/>
        <v>0.60285150153495881</v>
      </c>
    </row>
    <row r="2443" spans="1:12" x14ac:dyDescent="0.25">
      <c r="A2443" s="1">
        <v>43797</v>
      </c>
      <c r="B2443" s="6">
        <v>304.2998</v>
      </c>
      <c r="C2443" s="6">
        <v>15.1</v>
      </c>
      <c r="D2443" s="6">
        <v>11617.08</v>
      </c>
      <c r="E2443" s="6">
        <v>0.66</v>
      </c>
      <c r="F2443" s="6">
        <f t="shared" si="266"/>
        <v>7.3333333333333341E-3</v>
      </c>
      <c r="G2443">
        <f t="shared" si="267"/>
        <v>-0.48231605895323421</v>
      </c>
      <c r="H2443">
        <f t="shared" si="268"/>
        <v>-0.65789473684210298</v>
      </c>
      <c r="I2443">
        <f t="shared" si="269"/>
        <v>-0.26082939971460906</v>
      </c>
      <c r="J2443">
        <f t="shared" si="270"/>
        <v>-0.34453012053497267</v>
      </c>
      <c r="K2443">
        <f t="shared" si="271"/>
        <v>-0.48964939228656756</v>
      </c>
      <c r="L2443">
        <f t="shared" si="272"/>
        <v>-0.26816273304794241</v>
      </c>
    </row>
    <row r="2444" spans="1:12" x14ac:dyDescent="0.25">
      <c r="A2444" s="1">
        <v>43798</v>
      </c>
      <c r="B2444" s="6">
        <v>299.87540000000001</v>
      </c>
      <c r="C2444" s="6">
        <v>14.95</v>
      </c>
      <c r="D2444" s="6">
        <v>11489.57</v>
      </c>
      <c r="E2444" s="6">
        <v>0.66</v>
      </c>
      <c r="F2444" s="6">
        <f t="shared" si="266"/>
        <v>7.3333333333333341E-3</v>
      </c>
      <c r="G2444">
        <f t="shared" si="267"/>
        <v>-1.4539608635957011</v>
      </c>
      <c r="H2444">
        <f t="shared" si="268"/>
        <v>-0.99337748344371102</v>
      </c>
      <c r="I2444">
        <f t="shared" si="269"/>
        <v>-1.0976080047653991</v>
      </c>
      <c r="J2444">
        <f t="shared" si="270"/>
        <v>-1.0282048211148727</v>
      </c>
      <c r="K2444">
        <f t="shared" si="271"/>
        <v>-1.4612941969290345</v>
      </c>
      <c r="L2444">
        <f t="shared" si="272"/>
        <v>-1.1049413380987325</v>
      </c>
    </row>
    <row r="2445" spans="1:12" x14ac:dyDescent="0.25">
      <c r="A2445" s="1">
        <v>43801</v>
      </c>
      <c r="B2445" s="6">
        <v>302.33339999999998</v>
      </c>
      <c r="C2445" s="6">
        <v>15.1</v>
      </c>
      <c r="D2445" s="6">
        <v>11502.83</v>
      </c>
      <c r="E2445" s="6">
        <v>0.66</v>
      </c>
      <c r="F2445" s="6">
        <f t="shared" si="266"/>
        <v>7.3333333333333341E-3</v>
      </c>
      <c r="G2445">
        <f t="shared" si="267"/>
        <v>0.81967377117295048</v>
      </c>
      <c r="H2445">
        <f t="shared" si="268"/>
        <v>1.0033444816053536</v>
      </c>
      <c r="I2445">
        <f t="shared" si="269"/>
        <v>0.11540901878834646</v>
      </c>
      <c r="J2445">
        <f t="shared" si="270"/>
        <v>0.57158398105499608</v>
      </c>
      <c r="K2445">
        <f t="shared" si="271"/>
        <v>0.81234043783961718</v>
      </c>
      <c r="L2445">
        <f t="shared" si="272"/>
        <v>0.10807568545501313</v>
      </c>
    </row>
    <row r="2446" spans="1:12" x14ac:dyDescent="0.25">
      <c r="A2446" s="1">
        <v>43802</v>
      </c>
      <c r="B2446" s="6">
        <v>301.84179999999998</v>
      </c>
      <c r="C2446" s="6">
        <v>15.35</v>
      </c>
      <c r="D2446" s="6">
        <v>11531.58</v>
      </c>
      <c r="E2446" s="6">
        <v>0.66</v>
      </c>
      <c r="F2446" s="6">
        <f t="shared" si="266"/>
        <v>7.3333333333333341E-3</v>
      </c>
      <c r="G2446">
        <f t="shared" si="267"/>
        <v>-0.16260194870960515</v>
      </c>
      <c r="H2446">
        <f t="shared" si="268"/>
        <v>1.6556291390728477</v>
      </c>
      <c r="I2446">
        <f t="shared" si="269"/>
        <v>0.24993849339684235</v>
      </c>
      <c r="J2446">
        <f t="shared" si="270"/>
        <v>-0.11957090956856131</v>
      </c>
      <c r="K2446">
        <f t="shared" si="271"/>
        <v>-0.16993528204293848</v>
      </c>
      <c r="L2446">
        <f t="shared" si="272"/>
        <v>0.24260516006350902</v>
      </c>
    </row>
    <row r="2447" spans="1:12" x14ac:dyDescent="0.25">
      <c r="A2447" s="1">
        <v>43803</v>
      </c>
      <c r="B2447" s="6">
        <v>300.85860000000002</v>
      </c>
      <c r="C2447" s="6">
        <v>15.85</v>
      </c>
      <c r="D2447" s="6">
        <v>11510.47</v>
      </c>
      <c r="E2447" s="6">
        <v>0.66</v>
      </c>
      <c r="F2447" s="6">
        <f t="shared" si="266"/>
        <v>7.3333333333333341E-3</v>
      </c>
      <c r="G2447">
        <f t="shared" si="267"/>
        <v>-0.32573354651342323</v>
      </c>
      <c r="H2447">
        <f t="shared" si="268"/>
        <v>3.2573289902280131</v>
      </c>
      <c r="I2447">
        <f t="shared" si="269"/>
        <v>-0.18306251181538508</v>
      </c>
      <c r="J2447">
        <f t="shared" si="270"/>
        <v>-0.23435456893746515</v>
      </c>
      <c r="K2447">
        <f t="shared" si="271"/>
        <v>-0.33306687984675659</v>
      </c>
      <c r="L2447">
        <f t="shared" si="272"/>
        <v>-0.19039584514871841</v>
      </c>
    </row>
    <row r="2448" spans="1:12" x14ac:dyDescent="0.25">
      <c r="A2448" s="1">
        <v>43804</v>
      </c>
      <c r="B2448" s="6">
        <v>306.75779999999997</v>
      </c>
      <c r="C2448" s="6">
        <v>16.55</v>
      </c>
      <c r="D2448" s="6">
        <v>11594.65</v>
      </c>
      <c r="E2448" s="6">
        <v>0.66</v>
      </c>
      <c r="F2448" s="6">
        <f t="shared" si="266"/>
        <v>7.3333333333333341E-3</v>
      </c>
      <c r="G2448">
        <f t="shared" si="267"/>
        <v>1.9607882241026018</v>
      </c>
      <c r="H2448">
        <f t="shared" si="268"/>
        <v>4.4164037854889662</v>
      </c>
      <c r="I2448">
        <f t="shared" si="269"/>
        <v>0.73133416793580364</v>
      </c>
      <c r="J2448">
        <f t="shared" si="270"/>
        <v>1.3745019591129815</v>
      </c>
      <c r="K2448">
        <f t="shared" si="271"/>
        <v>1.9534548907692684</v>
      </c>
      <c r="L2448">
        <f t="shared" si="272"/>
        <v>0.72400083460247033</v>
      </c>
    </row>
    <row r="2449" spans="1:12" x14ac:dyDescent="0.25">
      <c r="A2449" s="1">
        <v>43805</v>
      </c>
      <c r="B2449" s="6">
        <v>307.74099999999999</v>
      </c>
      <c r="C2449" s="6">
        <v>16.2</v>
      </c>
      <c r="D2449" s="6">
        <v>11609.64</v>
      </c>
      <c r="E2449" s="6">
        <v>0.66</v>
      </c>
      <c r="F2449" s="6">
        <f t="shared" si="266"/>
        <v>7.3333333333333341E-3</v>
      </c>
      <c r="G2449">
        <f t="shared" si="267"/>
        <v>0.32051344741682553</v>
      </c>
      <c r="H2449">
        <f t="shared" si="268"/>
        <v>-2.1148036253776521</v>
      </c>
      <c r="I2449">
        <f t="shared" si="269"/>
        <v>0.12928376449482978</v>
      </c>
      <c r="J2449">
        <f t="shared" si="270"/>
        <v>0.22036172035355764</v>
      </c>
      <c r="K2449">
        <f t="shared" si="271"/>
        <v>0.31318011408349217</v>
      </c>
      <c r="L2449">
        <f t="shared" si="272"/>
        <v>0.12195043116149645</v>
      </c>
    </row>
    <row r="2450" spans="1:12" x14ac:dyDescent="0.25">
      <c r="A2450" s="1">
        <v>43808</v>
      </c>
      <c r="B2450" s="6">
        <v>310.69060000000002</v>
      </c>
      <c r="C2450" s="6">
        <v>16.25</v>
      </c>
      <c r="D2450" s="6">
        <v>11660.77</v>
      </c>
      <c r="E2450" s="6">
        <v>0.66</v>
      </c>
      <c r="F2450" s="6">
        <f t="shared" si="266"/>
        <v>7.3333333333333341E-3</v>
      </c>
      <c r="G2450">
        <f t="shared" si="267"/>
        <v>0.95846832238799262</v>
      </c>
      <c r="H2450">
        <f t="shared" si="268"/>
        <v>0.3086419753086464</v>
      </c>
      <c r="I2450">
        <f t="shared" si="269"/>
        <v>0.44040986628354556</v>
      </c>
      <c r="J2450">
        <f t="shared" si="270"/>
        <v>0.66924345784186778</v>
      </c>
      <c r="K2450">
        <f t="shared" si="271"/>
        <v>0.95113498905465932</v>
      </c>
      <c r="L2450">
        <f t="shared" si="272"/>
        <v>0.4330765329502122</v>
      </c>
    </row>
    <row r="2451" spans="1:12" x14ac:dyDescent="0.25">
      <c r="A2451" s="1">
        <v>43809</v>
      </c>
      <c r="B2451" s="6">
        <v>308.23259999999999</v>
      </c>
      <c r="C2451" s="6">
        <v>16.45</v>
      </c>
      <c r="D2451" s="6">
        <v>11627.84</v>
      </c>
      <c r="E2451" s="6">
        <v>0.66</v>
      </c>
      <c r="F2451" s="6">
        <f t="shared" si="266"/>
        <v>7.3333333333333341E-3</v>
      </c>
      <c r="G2451">
        <f t="shared" si="267"/>
        <v>-0.79114076833995839</v>
      </c>
      <c r="H2451">
        <f t="shared" si="268"/>
        <v>1.2307692307692264</v>
      </c>
      <c r="I2451">
        <f t="shared" si="269"/>
        <v>-0.28239987582295412</v>
      </c>
      <c r="J2451">
        <f t="shared" si="270"/>
        <v>-0.56182726421633489</v>
      </c>
      <c r="K2451">
        <f t="shared" si="271"/>
        <v>-0.79847410167329169</v>
      </c>
      <c r="L2451">
        <f t="shared" si="272"/>
        <v>-0.28973320915628747</v>
      </c>
    </row>
    <row r="2452" spans="1:12" x14ac:dyDescent="0.25">
      <c r="A2452" s="1">
        <v>43810</v>
      </c>
      <c r="B2452" s="6">
        <v>313.64019999999999</v>
      </c>
      <c r="C2452" s="6">
        <v>16.25</v>
      </c>
      <c r="D2452" s="6">
        <v>11700.77</v>
      </c>
      <c r="E2452" s="6">
        <v>0.66</v>
      </c>
      <c r="F2452" s="6">
        <f t="shared" si="266"/>
        <v>7.3333333333333341E-3</v>
      </c>
      <c r="G2452">
        <f t="shared" si="267"/>
        <v>1.7543893799682455</v>
      </c>
      <c r="H2452">
        <f t="shared" si="268"/>
        <v>-1.2158054711246158</v>
      </c>
      <c r="I2452">
        <f t="shared" si="269"/>
        <v>0.62720161268129149</v>
      </c>
      <c r="J2452">
        <f t="shared" si="270"/>
        <v>1.2292743334524736</v>
      </c>
      <c r="K2452">
        <f t="shared" si="271"/>
        <v>1.7470560466349121</v>
      </c>
      <c r="L2452">
        <f t="shared" si="272"/>
        <v>0.61986827934795818</v>
      </c>
    </row>
    <row r="2453" spans="1:12" x14ac:dyDescent="0.25">
      <c r="A2453" s="1">
        <v>43811</v>
      </c>
      <c r="B2453" s="6">
        <v>325.93009999999998</v>
      </c>
      <c r="C2453" s="6">
        <v>16.600000000000001</v>
      </c>
      <c r="D2453" s="6">
        <v>11836.42</v>
      </c>
      <c r="E2453" s="6">
        <v>0.66</v>
      </c>
      <c r="F2453" s="6">
        <f t="shared" si="266"/>
        <v>7.3333333333333341E-3</v>
      </c>
      <c r="G2453">
        <f t="shared" si="267"/>
        <v>3.9184709102978474</v>
      </c>
      <c r="H2453">
        <f t="shared" si="268"/>
        <v>2.1538461538461626</v>
      </c>
      <c r="I2453">
        <f t="shared" si="269"/>
        <v>1.1593254119173322</v>
      </c>
      <c r="J2453">
        <f t="shared" si="270"/>
        <v>2.7519787056772596</v>
      </c>
      <c r="K2453">
        <f t="shared" si="271"/>
        <v>3.911137576964514</v>
      </c>
      <c r="L2453">
        <f t="shared" si="272"/>
        <v>1.1519920785839988</v>
      </c>
    </row>
    <row r="2454" spans="1:12" x14ac:dyDescent="0.25">
      <c r="A2454" s="1">
        <v>43812</v>
      </c>
      <c r="B2454" s="6">
        <v>333.30410000000001</v>
      </c>
      <c r="C2454" s="6">
        <v>16.600000000000001</v>
      </c>
      <c r="D2454" s="6">
        <v>11927.73</v>
      </c>
      <c r="E2454" s="6">
        <v>0.66</v>
      </c>
      <c r="F2454" s="6">
        <f t="shared" si="266"/>
        <v>7.3333333333333341E-3</v>
      </c>
      <c r="G2454">
        <f t="shared" si="267"/>
        <v>2.2624482979632825</v>
      </c>
      <c r="H2454">
        <f t="shared" si="268"/>
        <v>0</v>
      </c>
      <c r="I2454">
        <f t="shared" si="269"/>
        <v>0.77143257843164981</v>
      </c>
      <c r="J2454">
        <f t="shared" si="270"/>
        <v>1.5867578778275366</v>
      </c>
      <c r="K2454">
        <f t="shared" si="271"/>
        <v>2.2551149646299491</v>
      </c>
      <c r="L2454">
        <f t="shared" si="272"/>
        <v>0.7640992450983165</v>
      </c>
    </row>
    <row r="2455" spans="1:12" x14ac:dyDescent="0.25">
      <c r="A2455" s="1">
        <v>43815</v>
      </c>
      <c r="B2455" s="6">
        <v>330.35449999999997</v>
      </c>
      <c r="C2455" s="6">
        <v>16.649999999999999</v>
      </c>
      <c r="D2455" s="6">
        <v>11939.77</v>
      </c>
      <c r="E2455" s="6">
        <v>0.66</v>
      </c>
      <c r="F2455" s="6">
        <f t="shared" si="266"/>
        <v>7.3333333333333341E-3</v>
      </c>
      <c r="G2455">
        <f t="shared" si="267"/>
        <v>-0.88495761078247526</v>
      </c>
      <c r="H2455">
        <f t="shared" si="268"/>
        <v>0.30120481927709131</v>
      </c>
      <c r="I2455">
        <f t="shared" si="269"/>
        <v>0.10094125202365306</v>
      </c>
      <c r="J2455">
        <f t="shared" si="270"/>
        <v>-0.62783924859558637</v>
      </c>
      <c r="K2455">
        <f t="shared" si="271"/>
        <v>-0.89229094411580856</v>
      </c>
      <c r="L2455">
        <f t="shared" si="272"/>
        <v>9.360791869031973E-2</v>
      </c>
    </row>
    <row r="2456" spans="1:12" x14ac:dyDescent="0.25">
      <c r="A2456" s="1">
        <v>43816</v>
      </c>
      <c r="B2456" s="6">
        <v>339.20330000000001</v>
      </c>
      <c r="C2456" s="6">
        <v>17</v>
      </c>
      <c r="D2456" s="6">
        <v>12097.01</v>
      </c>
      <c r="E2456" s="6">
        <v>0.66</v>
      </c>
      <c r="F2456" s="6">
        <f t="shared" si="266"/>
        <v>7.3333333333333341E-3</v>
      </c>
      <c r="G2456">
        <f t="shared" si="267"/>
        <v>2.6785771042925224</v>
      </c>
      <c r="H2456">
        <f t="shared" si="268"/>
        <v>2.1021021021021107</v>
      </c>
      <c r="I2456">
        <f t="shared" si="269"/>
        <v>1.316943291202425</v>
      </c>
      <c r="J2456">
        <f t="shared" si="270"/>
        <v>1.8795569909504641</v>
      </c>
      <c r="K2456">
        <f t="shared" si="271"/>
        <v>2.671243770959189</v>
      </c>
      <c r="L2456">
        <f t="shared" si="272"/>
        <v>1.3096099578690916</v>
      </c>
    </row>
    <row r="2457" spans="1:12" x14ac:dyDescent="0.25">
      <c r="A2457" s="1">
        <v>43817</v>
      </c>
      <c r="B2457" s="6">
        <v>338.71170000000001</v>
      </c>
      <c r="C2457" s="6">
        <v>16.8</v>
      </c>
      <c r="D2457" s="6">
        <v>12122.45</v>
      </c>
      <c r="E2457" s="6">
        <v>0.66</v>
      </c>
      <c r="F2457" s="6">
        <f t="shared" si="266"/>
        <v>7.3333333333333341E-3</v>
      </c>
      <c r="G2457">
        <f t="shared" si="267"/>
        <v>-0.14492783531292452</v>
      </c>
      <c r="H2457">
        <f t="shared" si="268"/>
        <v>-1.1764705882352899</v>
      </c>
      <c r="I2457">
        <f t="shared" si="269"/>
        <v>0.21029990055394274</v>
      </c>
      <c r="J2457">
        <f t="shared" si="270"/>
        <v>-0.10713494106777043</v>
      </c>
      <c r="K2457">
        <f t="shared" si="271"/>
        <v>-0.15226116864625786</v>
      </c>
      <c r="L2457">
        <f t="shared" si="272"/>
        <v>0.20296656722060941</v>
      </c>
    </row>
    <row r="2458" spans="1:12" x14ac:dyDescent="0.25">
      <c r="A2458" s="1">
        <v>43818</v>
      </c>
      <c r="B2458" s="6">
        <v>331.779</v>
      </c>
      <c r="C2458" s="6">
        <v>16.7</v>
      </c>
      <c r="D2458" s="6">
        <v>12018.9</v>
      </c>
      <c r="E2458" s="6">
        <v>0.66</v>
      </c>
      <c r="F2458" s="6">
        <f t="shared" si="266"/>
        <v>7.3333333333333341E-3</v>
      </c>
      <c r="G2458">
        <f t="shared" si="267"/>
        <v>-2.0467849206271915</v>
      </c>
      <c r="H2458">
        <f t="shared" si="268"/>
        <v>-0.59523809523810367</v>
      </c>
      <c r="I2458">
        <f t="shared" si="269"/>
        <v>-0.85420026479796651</v>
      </c>
      <c r="J2458">
        <f t="shared" si="270"/>
        <v>-1.445331334580565</v>
      </c>
      <c r="K2458">
        <f t="shared" si="271"/>
        <v>-2.0541182539605249</v>
      </c>
      <c r="L2458">
        <f t="shared" si="272"/>
        <v>-0.86153359813129982</v>
      </c>
    </row>
    <row r="2459" spans="1:12" x14ac:dyDescent="0.25">
      <c r="A2459" s="1">
        <v>43819</v>
      </c>
      <c r="B2459" s="6">
        <v>325.83670000000001</v>
      </c>
      <c r="C2459" s="6">
        <v>16.7</v>
      </c>
      <c r="D2459" s="6">
        <v>11959.08</v>
      </c>
      <c r="E2459" s="6">
        <v>0.66</v>
      </c>
      <c r="F2459" s="6">
        <f t="shared" si="266"/>
        <v>7.3333333333333341E-3</v>
      </c>
      <c r="G2459">
        <f t="shared" si="267"/>
        <v>-1.7910416271071976</v>
      </c>
      <c r="H2459">
        <f t="shared" si="268"/>
        <v>0</v>
      </c>
      <c r="I2459">
        <f t="shared" si="269"/>
        <v>-0.49771609714699105</v>
      </c>
      <c r="J2459">
        <f t="shared" si="270"/>
        <v>-1.2653836635929794</v>
      </c>
      <c r="K2459">
        <f t="shared" si="271"/>
        <v>-1.798374960440531</v>
      </c>
      <c r="L2459">
        <f t="shared" si="272"/>
        <v>-0.50504943048032436</v>
      </c>
    </row>
    <row r="2460" spans="1:12" x14ac:dyDescent="0.25">
      <c r="A2460" s="1">
        <v>43822</v>
      </c>
      <c r="B2460" s="6">
        <v>330.78859999999997</v>
      </c>
      <c r="C2460" s="6">
        <v>16.55</v>
      </c>
      <c r="D2460" s="6">
        <v>12022.23</v>
      </c>
      <c r="E2460" s="6">
        <v>0.66</v>
      </c>
      <c r="F2460" s="6">
        <f t="shared" si="266"/>
        <v>7.3333333333333341E-3</v>
      </c>
      <c r="G2460">
        <f t="shared" si="267"/>
        <v>1.5197490031049192</v>
      </c>
      <c r="H2460">
        <f t="shared" si="268"/>
        <v>-0.89820359281436279</v>
      </c>
      <c r="I2460">
        <f t="shared" si="269"/>
        <v>0.52805065272579188</v>
      </c>
      <c r="J2460">
        <f t="shared" si="270"/>
        <v>1.0641752266291546</v>
      </c>
      <c r="K2460">
        <f t="shared" si="271"/>
        <v>1.5124156697715858</v>
      </c>
      <c r="L2460">
        <f t="shared" si="272"/>
        <v>0.52071731939245858</v>
      </c>
    </row>
    <row r="2461" spans="1:12" x14ac:dyDescent="0.25">
      <c r="A2461" s="1">
        <v>43823</v>
      </c>
      <c r="B2461" s="6">
        <v>328.80779999999999</v>
      </c>
      <c r="C2461" s="6">
        <v>16.55</v>
      </c>
      <c r="D2461" s="6">
        <v>11976.38</v>
      </c>
      <c r="E2461" s="6">
        <v>0.66</v>
      </c>
      <c r="F2461" s="6">
        <f t="shared" si="266"/>
        <v>7.3333333333333341E-3</v>
      </c>
      <c r="G2461">
        <f t="shared" si="267"/>
        <v>-0.59881144634367334</v>
      </c>
      <c r="H2461">
        <f t="shared" si="268"/>
        <v>0</v>
      </c>
      <c r="I2461">
        <f t="shared" si="269"/>
        <v>-0.38137683275066575</v>
      </c>
      <c r="J2461">
        <f t="shared" si="270"/>
        <v>-0.4264993223590946</v>
      </c>
      <c r="K2461">
        <f t="shared" si="271"/>
        <v>-0.60614477967700664</v>
      </c>
      <c r="L2461">
        <f t="shared" si="272"/>
        <v>-0.38871016608399911</v>
      </c>
    </row>
    <row r="2462" spans="1:12" x14ac:dyDescent="0.25">
      <c r="A2462" s="1">
        <v>43824</v>
      </c>
      <c r="B2462" s="6">
        <v>329.79820000000001</v>
      </c>
      <c r="C2462" s="6">
        <v>16.649999999999999</v>
      </c>
      <c r="D2462" s="6">
        <v>12008.13</v>
      </c>
      <c r="E2462" s="6">
        <v>0.66</v>
      </c>
      <c r="F2462" s="6">
        <f t="shared" si="266"/>
        <v>7.3333333333333341E-3</v>
      </c>
      <c r="G2462">
        <f t="shared" si="267"/>
        <v>0.30120939953371617</v>
      </c>
      <c r="H2462">
        <f t="shared" si="268"/>
        <v>0.60422960725074237</v>
      </c>
      <c r="I2462">
        <f t="shared" si="269"/>
        <v>0.2651051486342284</v>
      </c>
      <c r="J2462">
        <f t="shared" si="270"/>
        <v>0.20677888731271082</v>
      </c>
      <c r="K2462">
        <f t="shared" si="271"/>
        <v>0.29387606620038281</v>
      </c>
      <c r="L2462">
        <f t="shared" si="272"/>
        <v>0.25777181530089505</v>
      </c>
    </row>
    <row r="2463" spans="1:12" x14ac:dyDescent="0.25">
      <c r="A2463" s="1">
        <v>43825</v>
      </c>
      <c r="B2463" s="6">
        <v>329.79820000000001</v>
      </c>
      <c r="C2463" s="6">
        <v>16.55</v>
      </c>
      <c r="D2463" s="6">
        <v>12001.01</v>
      </c>
      <c r="E2463" s="6">
        <v>0.66</v>
      </c>
      <c r="F2463" s="6">
        <f t="shared" si="266"/>
        <v>7.3333333333333341E-3</v>
      </c>
      <c r="G2463">
        <f t="shared" si="267"/>
        <v>0</v>
      </c>
      <c r="H2463">
        <f t="shared" si="268"/>
        <v>-0.60060060060058784</v>
      </c>
      <c r="I2463">
        <f t="shared" si="269"/>
        <v>-5.929316221592356E-2</v>
      </c>
      <c r="J2463">
        <f t="shared" si="270"/>
        <v>-5.1599251567697223E-3</v>
      </c>
      <c r="K2463">
        <f t="shared" si="271"/>
        <v>-7.3333333333333341E-3</v>
      </c>
      <c r="L2463">
        <f t="shared" si="272"/>
        <v>-6.6626495549256898E-2</v>
      </c>
    </row>
    <row r="2464" spans="1:12" x14ac:dyDescent="0.25">
      <c r="A2464" s="1">
        <v>43826</v>
      </c>
      <c r="B2464" s="6">
        <v>334.75009999999997</v>
      </c>
      <c r="C2464" s="6">
        <v>16.7</v>
      </c>
      <c r="D2464" s="6">
        <v>12091.59</v>
      </c>
      <c r="E2464" s="6">
        <v>0.66</v>
      </c>
      <c r="F2464" s="6">
        <f t="shared" si="266"/>
        <v>7.3333333333333341E-3</v>
      </c>
      <c r="G2464">
        <f t="shared" si="267"/>
        <v>1.5014939438723336</v>
      </c>
      <c r="H2464">
        <f t="shared" si="268"/>
        <v>0.90634441087612427</v>
      </c>
      <c r="I2464">
        <f t="shared" si="269"/>
        <v>0.75476980687458739</v>
      </c>
      <c r="J2464">
        <f t="shared" si="270"/>
        <v>1.0513304894419901</v>
      </c>
      <c r="K2464">
        <f t="shared" si="271"/>
        <v>1.4941606105390002</v>
      </c>
      <c r="L2464">
        <f t="shared" si="272"/>
        <v>0.74743647354125409</v>
      </c>
    </row>
    <row r="2465" spans="1:12" x14ac:dyDescent="0.25">
      <c r="A2465" s="1">
        <v>43829</v>
      </c>
      <c r="B2465" s="6">
        <v>331.28379999999999</v>
      </c>
      <c r="C2465" s="6">
        <v>16.55</v>
      </c>
      <c r="D2465" s="6">
        <v>12053.37</v>
      </c>
      <c r="E2465" s="6">
        <v>0.66</v>
      </c>
      <c r="F2465" s="6">
        <f t="shared" si="266"/>
        <v>7.3333333333333341E-3</v>
      </c>
      <c r="G2465">
        <f t="shared" si="267"/>
        <v>-1.0354888616911511</v>
      </c>
      <c r="H2465">
        <f t="shared" si="268"/>
        <v>-0.89820359281436279</v>
      </c>
      <c r="I2465">
        <f t="shared" si="269"/>
        <v>-0.31608746244289909</v>
      </c>
      <c r="J2465">
        <f t="shared" si="270"/>
        <v>-0.73375697429245346</v>
      </c>
      <c r="K2465">
        <f t="shared" si="271"/>
        <v>-1.0428221950244845</v>
      </c>
      <c r="L2465">
        <f t="shared" si="272"/>
        <v>-0.32342079577623245</v>
      </c>
    </row>
    <row r="2466" spans="1:12" x14ac:dyDescent="0.25">
      <c r="A2466" s="1">
        <v>43830</v>
      </c>
      <c r="B2466" s="6">
        <v>327.81740000000002</v>
      </c>
      <c r="C2466" s="6">
        <v>16.45</v>
      </c>
      <c r="D2466" s="6">
        <v>11997.14</v>
      </c>
      <c r="E2466" s="6">
        <v>0.66</v>
      </c>
      <c r="F2466" s="6">
        <f t="shared" si="266"/>
        <v>7.3333333333333341E-3</v>
      </c>
      <c r="G2466">
        <f t="shared" si="267"/>
        <v>-1.0463536098052379</v>
      </c>
      <c r="H2466">
        <f t="shared" si="268"/>
        <v>-0.6042296072507638</v>
      </c>
      <c r="I2466">
        <f t="shared" si="269"/>
        <v>-0.46650853661674185</v>
      </c>
      <c r="J2466">
        <f t="shared" si="270"/>
        <v>-0.74140169526279576</v>
      </c>
      <c r="K2466">
        <f t="shared" si="271"/>
        <v>-1.0536869431385714</v>
      </c>
      <c r="L2466">
        <f t="shared" si="272"/>
        <v>-0.47384186995007521</v>
      </c>
    </row>
    <row r="2467" spans="1:12" x14ac:dyDescent="0.25">
      <c r="E2467" s="6">
        <v>0.66</v>
      </c>
      <c r="F2467" s="6">
        <f t="shared" si="266"/>
        <v>7.3333333333333341E-3</v>
      </c>
      <c r="G2467">
        <f t="shared" si="267"/>
        <v>-100.00000000000001</v>
      </c>
      <c r="H2467">
        <f t="shared" si="268"/>
        <v>-100</v>
      </c>
      <c r="I2467">
        <f t="shared" si="269"/>
        <v>-100</v>
      </c>
      <c r="J2467">
        <f t="shared" si="270"/>
        <v>-70.367775699289353</v>
      </c>
      <c r="K2467">
        <f t="shared" si="271"/>
        <v>-100.00733333333335</v>
      </c>
      <c r="L2467">
        <f t="shared" si="272"/>
        <v>-100.00733333333334</v>
      </c>
    </row>
    <row r="2468" spans="1:12" x14ac:dyDescent="0.25">
      <c r="E2468" s="6">
        <v>0.66</v>
      </c>
      <c r="F2468" s="6">
        <f t="shared" si="266"/>
        <v>7.3333333333333341E-3</v>
      </c>
      <c r="G2468" t="e">
        <f t="shared" si="267"/>
        <v>#DIV/0!</v>
      </c>
      <c r="H2468" t="e">
        <f t="shared" si="268"/>
        <v>#DIV/0!</v>
      </c>
      <c r="I2468" t="e">
        <f t="shared" si="269"/>
        <v>#DIV/0!</v>
      </c>
      <c r="J2468" t="e">
        <f t="shared" si="270"/>
        <v>#DIV/0!</v>
      </c>
      <c r="K2468" t="e">
        <f t="shared" si="271"/>
        <v>#DIV/0!</v>
      </c>
      <c r="L2468" t="e">
        <f t="shared" si="272"/>
        <v>#DIV/0!</v>
      </c>
    </row>
    <row r="2469" spans="1:12" x14ac:dyDescent="0.25">
      <c r="E2469" s="6">
        <v>0.66</v>
      </c>
      <c r="F2469" s="6">
        <f t="shared" si="266"/>
        <v>7.3333333333333341E-3</v>
      </c>
      <c r="G2469" t="e">
        <f t="shared" si="267"/>
        <v>#DIV/0!</v>
      </c>
      <c r="H2469" t="e">
        <f t="shared" si="268"/>
        <v>#DIV/0!</v>
      </c>
      <c r="I2469" t="e">
        <f t="shared" si="269"/>
        <v>#DIV/0!</v>
      </c>
      <c r="J2469" t="e">
        <f t="shared" si="270"/>
        <v>#DIV/0!</v>
      </c>
      <c r="K2469" t="e">
        <f t="shared" si="271"/>
        <v>#DIV/0!</v>
      </c>
      <c r="L2469" t="e">
        <f t="shared" si="272"/>
        <v>#DIV/0!</v>
      </c>
    </row>
    <row r="2470" spans="1:12" x14ac:dyDescent="0.25">
      <c r="E2470" s="6">
        <v>0.66</v>
      </c>
      <c r="F2470" s="6">
        <f t="shared" si="266"/>
        <v>7.3333333333333341E-3</v>
      </c>
      <c r="G2470" t="e">
        <f t="shared" si="267"/>
        <v>#DIV/0!</v>
      </c>
      <c r="H2470" t="e">
        <f t="shared" si="268"/>
        <v>#DIV/0!</v>
      </c>
      <c r="I2470" t="e">
        <f t="shared" si="269"/>
        <v>#DIV/0!</v>
      </c>
      <c r="J2470" t="e">
        <f t="shared" si="270"/>
        <v>#DIV/0!</v>
      </c>
      <c r="K2470" t="e">
        <f t="shared" si="271"/>
        <v>#DIV/0!</v>
      </c>
      <c r="L2470" t="e">
        <f t="shared" si="272"/>
        <v>#DIV/0!</v>
      </c>
    </row>
    <row r="2471" spans="1:12" x14ac:dyDescent="0.25">
      <c r="E2471" s="6">
        <v>0.66</v>
      </c>
      <c r="F2471" s="6">
        <f t="shared" si="266"/>
        <v>7.3333333333333341E-3</v>
      </c>
      <c r="G2471" t="e">
        <f t="shared" si="267"/>
        <v>#DIV/0!</v>
      </c>
      <c r="H2471" t="e">
        <f t="shared" si="268"/>
        <v>#DIV/0!</v>
      </c>
      <c r="I2471" t="e">
        <f t="shared" si="269"/>
        <v>#DIV/0!</v>
      </c>
      <c r="J2471" t="e">
        <f t="shared" si="270"/>
        <v>#DIV/0!</v>
      </c>
      <c r="K2471" t="e">
        <f t="shared" si="271"/>
        <v>#DIV/0!</v>
      </c>
      <c r="L2471" t="e">
        <f t="shared" si="272"/>
        <v>#DIV/0!</v>
      </c>
    </row>
    <row r="2472" spans="1:12" x14ac:dyDescent="0.25">
      <c r="E2472" s="6">
        <v>0.66</v>
      </c>
      <c r="F2472" s="6">
        <f t="shared" si="266"/>
        <v>7.3333333333333341E-3</v>
      </c>
      <c r="G2472" t="e">
        <f t="shared" si="267"/>
        <v>#DIV/0!</v>
      </c>
      <c r="H2472" t="e">
        <f t="shared" si="268"/>
        <v>#DIV/0!</v>
      </c>
      <c r="I2472" t="e">
        <f t="shared" si="269"/>
        <v>#DIV/0!</v>
      </c>
      <c r="J2472" t="e">
        <f t="shared" si="270"/>
        <v>#DIV/0!</v>
      </c>
      <c r="K2472" t="e">
        <f t="shared" si="271"/>
        <v>#DIV/0!</v>
      </c>
      <c r="L2472" t="e">
        <f t="shared" si="272"/>
        <v>#DIV/0!</v>
      </c>
    </row>
    <row r="2473" spans="1:12" x14ac:dyDescent="0.25">
      <c r="E2473" s="6">
        <v>0.66</v>
      </c>
      <c r="F2473" s="6">
        <f t="shared" si="266"/>
        <v>7.3333333333333341E-3</v>
      </c>
      <c r="G2473" t="e">
        <f t="shared" si="267"/>
        <v>#DIV/0!</v>
      </c>
      <c r="H2473" t="e">
        <f t="shared" si="268"/>
        <v>#DIV/0!</v>
      </c>
      <c r="I2473" t="e">
        <f t="shared" si="269"/>
        <v>#DIV/0!</v>
      </c>
      <c r="J2473" t="e">
        <f t="shared" si="270"/>
        <v>#DIV/0!</v>
      </c>
      <c r="K2473" t="e">
        <f t="shared" si="271"/>
        <v>#DIV/0!</v>
      </c>
      <c r="L2473" t="e">
        <f t="shared" si="272"/>
        <v>#DIV/0!</v>
      </c>
    </row>
    <row r="2474" spans="1:12" x14ac:dyDescent="0.25">
      <c r="E2474" s="6">
        <v>0.66</v>
      </c>
      <c r="F2474" s="6">
        <f t="shared" si="266"/>
        <v>7.3333333333333341E-3</v>
      </c>
      <c r="G2474" t="e">
        <f t="shared" si="267"/>
        <v>#DIV/0!</v>
      </c>
      <c r="H2474" t="e">
        <f t="shared" si="268"/>
        <v>#DIV/0!</v>
      </c>
      <c r="I2474" t="e">
        <f t="shared" si="269"/>
        <v>#DIV/0!</v>
      </c>
      <c r="J2474" t="e">
        <f t="shared" si="270"/>
        <v>#DIV/0!</v>
      </c>
      <c r="K2474" t="e">
        <f t="shared" si="271"/>
        <v>#DIV/0!</v>
      </c>
      <c r="L2474" t="e">
        <f t="shared" si="272"/>
        <v>#DIV/0!</v>
      </c>
    </row>
    <row r="2475" spans="1:12" x14ac:dyDescent="0.25">
      <c r="E2475" s="6">
        <v>0.66</v>
      </c>
      <c r="F2475" s="6">
        <f t="shared" si="266"/>
        <v>7.3333333333333341E-3</v>
      </c>
      <c r="G2475" t="e">
        <f t="shared" si="267"/>
        <v>#DIV/0!</v>
      </c>
      <c r="H2475" t="e">
        <f t="shared" si="268"/>
        <v>#DIV/0!</v>
      </c>
      <c r="I2475" t="e">
        <f t="shared" si="269"/>
        <v>#DIV/0!</v>
      </c>
      <c r="J2475" t="e">
        <f t="shared" si="270"/>
        <v>#DIV/0!</v>
      </c>
      <c r="K2475" t="e">
        <f t="shared" si="271"/>
        <v>#DIV/0!</v>
      </c>
      <c r="L2475" t="e">
        <f t="shared" si="272"/>
        <v>#DIV/0!</v>
      </c>
    </row>
    <row r="2476" spans="1:12" x14ac:dyDescent="0.25">
      <c r="E2476" s="6">
        <v>0.66</v>
      </c>
      <c r="F2476" s="6">
        <f t="shared" si="266"/>
        <v>7.3333333333333341E-3</v>
      </c>
      <c r="G2476" t="e">
        <f t="shared" si="267"/>
        <v>#DIV/0!</v>
      </c>
      <c r="H2476" t="e">
        <f t="shared" si="268"/>
        <v>#DIV/0!</v>
      </c>
      <c r="I2476" t="e">
        <f t="shared" si="269"/>
        <v>#DIV/0!</v>
      </c>
      <c r="J2476" t="e">
        <f t="shared" si="270"/>
        <v>#DIV/0!</v>
      </c>
      <c r="K2476" t="e">
        <f t="shared" si="271"/>
        <v>#DIV/0!</v>
      </c>
      <c r="L2476" t="e">
        <f t="shared" si="272"/>
        <v>#DIV/0!</v>
      </c>
    </row>
    <row r="2477" spans="1:12" x14ac:dyDescent="0.25">
      <c r="E2477" s="6">
        <v>0.66</v>
      </c>
      <c r="F2477" s="6">
        <f t="shared" si="266"/>
        <v>7.3333333333333341E-3</v>
      </c>
      <c r="G2477" t="e">
        <f t="shared" si="267"/>
        <v>#DIV/0!</v>
      </c>
      <c r="H2477" t="e">
        <f t="shared" si="268"/>
        <v>#DIV/0!</v>
      </c>
      <c r="I2477" t="e">
        <f t="shared" si="269"/>
        <v>#DIV/0!</v>
      </c>
      <c r="J2477" t="e">
        <f t="shared" si="270"/>
        <v>#DIV/0!</v>
      </c>
      <c r="K2477" t="e">
        <f t="shared" si="271"/>
        <v>#DIV/0!</v>
      </c>
      <c r="L2477" t="e">
        <f t="shared" si="272"/>
        <v>#DIV/0!</v>
      </c>
    </row>
    <row r="2478" spans="1:12" x14ac:dyDescent="0.25">
      <c r="E2478" s="6">
        <v>0.66</v>
      </c>
      <c r="F2478" s="6">
        <f t="shared" si="266"/>
        <v>7.3333333333333341E-3</v>
      </c>
      <c r="G2478" t="e">
        <f t="shared" si="267"/>
        <v>#DIV/0!</v>
      </c>
      <c r="H2478" t="e">
        <f t="shared" si="268"/>
        <v>#DIV/0!</v>
      </c>
      <c r="I2478" t="e">
        <f t="shared" si="269"/>
        <v>#DIV/0!</v>
      </c>
      <c r="J2478" t="e">
        <f t="shared" si="270"/>
        <v>#DIV/0!</v>
      </c>
      <c r="K2478" t="e">
        <f t="shared" si="271"/>
        <v>#DIV/0!</v>
      </c>
      <c r="L2478" t="e">
        <f t="shared" si="272"/>
        <v>#DIV/0!</v>
      </c>
    </row>
    <row r="2479" spans="1:12" x14ac:dyDescent="0.25">
      <c r="E2479" s="6">
        <v>0.66</v>
      </c>
      <c r="F2479" s="6">
        <f t="shared" si="266"/>
        <v>7.3333333333333341E-3</v>
      </c>
      <c r="G2479" t="e">
        <f t="shared" si="267"/>
        <v>#DIV/0!</v>
      </c>
      <c r="H2479" t="e">
        <f t="shared" si="268"/>
        <v>#DIV/0!</v>
      </c>
      <c r="I2479" t="e">
        <f t="shared" si="269"/>
        <v>#DIV/0!</v>
      </c>
      <c r="J2479" t="e">
        <f t="shared" si="270"/>
        <v>#DIV/0!</v>
      </c>
      <c r="K2479" t="e">
        <f t="shared" si="271"/>
        <v>#DIV/0!</v>
      </c>
      <c r="L2479" t="e">
        <f t="shared" si="272"/>
        <v>#DIV/0!</v>
      </c>
    </row>
    <row r="2480" spans="1:12" x14ac:dyDescent="0.25">
      <c r="E2480" s="6">
        <v>0.66</v>
      </c>
      <c r="F2480" s="6">
        <f t="shared" si="266"/>
        <v>7.3333333333333341E-3</v>
      </c>
      <c r="G2480" t="e">
        <f t="shared" si="267"/>
        <v>#DIV/0!</v>
      </c>
      <c r="H2480" t="e">
        <f t="shared" si="268"/>
        <v>#DIV/0!</v>
      </c>
      <c r="I2480" t="e">
        <f t="shared" si="269"/>
        <v>#DIV/0!</v>
      </c>
      <c r="J2480" t="e">
        <f t="shared" si="270"/>
        <v>#DIV/0!</v>
      </c>
      <c r="K2480" t="e">
        <f t="shared" si="271"/>
        <v>#DIV/0!</v>
      </c>
      <c r="L2480" t="e">
        <f t="shared" si="272"/>
        <v>#DIV/0!</v>
      </c>
    </row>
    <row r="2481" spans="5:12" x14ac:dyDescent="0.25">
      <c r="E2481" s="6">
        <v>0.66</v>
      </c>
      <c r="F2481" s="6">
        <f t="shared" si="266"/>
        <v>7.3333333333333341E-3</v>
      </c>
      <c r="G2481" t="e">
        <f t="shared" si="267"/>
        <v>#DIV/0!</v>
      </c>
      <c r="H2481" t="e">
        <f t="shared" si="268"/>
        <v>#DIV/0!</v>
      </c>
      <c r="I2481" t="e">
        <f t="shared" si="269"/>
        <v>#DIV/0!</v>
      </c>
      <c r="J2481" t="e">
        <f t="shared" si="270"/>
        <v>#DIV/0!</v>
      </c>
      <c r="K2481" t="e">
        <f t="shared" si="271"/>
        <v>#DIV/0!</v>
      </c>
      <c r="L2481" t="e">
        <f t="shared" si="272"/>
        <v>#DIV/0!</v>
      </c>
    </row>
    <row r="2482" spans="5:12" x14ac:dyDescent="0.25">
      <c r="E2482" s="6">
        <v>0.66</v>
      </c>
      <c r="F2482" s="6">
        <f t="shared" si="266"/>
        <v>7.3333333333333341E-3</v>
      </c>
      <c r="G2482" t="e">
        <f t="shared" si="267"/>
        <v>#DIV/0!</v>
      </c>
      <c r="H2482" t="e">
        <f t="shared" si="268"/>
        <v>#DIV/0!</v>
      </c>
      <c r="I2482" t="e">
        <f t="shared" si="269"/>
        <v>#DIV/0!</v>
      </c>
      <c r="J2482" t="e">
        <f t="shared" si="270"/>
        <v>#DIV/0!</v>
      </c>
      <c r="K2482" t="e">
        <f t="shared" si="271"/>
        <v>#DIV/0!</v>
      </c>
      <c r="L2482" t="e">
        <f t="shared" si="272"/>
        <v>#DIV/0!</v>
      </c>
    </row>
    <row r="2483" spans="5:12" x14ac:dyDescent="0.25">
      <c r="E2483" s="6">
        <v>0.66</v>
      </c>
      <c r="F2483" s="6">
        <f t="shared" si="266"/>
        <v>7.3333333333333341E-3</v>
      </c>
      <c r="G2483" t="e">
        <f t="shared" si="267"/>
        <v>#DIV/0!</v>
      </c>
      <c r="H2483" t="e">
        <f t="shared" si="268"/>
        <v>#DIV/0!</v>
      </c>
      <c r="I2483" t="e">
        <f t="shared" si="269"/>
        <v>#DIV/0!</v>
      </c>
      <c r="J2483" t="e">
        <f t="shared" si="270"/>
        <v>#DIV/0!</v>
      </c>
      <c r="K2483" t="e">
        <f t="shared" si="271"/>
        <v>#DIV/0!</v>
      </c>
      <c r="L2483" t="e">
        <f t="shared" si="272"/>
        <v>#DIV/0!</v>
      </c>
    </row>
    <row r="2484" spans="5:12" x14ac:dyDescent="0.25">
      <c r="E2484" s="6">
        <v>0.66</v>
      </c>
      <c r="F2484" s="6">
        <f t="shared" si="266"/>
        <v>7.3333333333333341E-3</v>
      </c>
      <c r="G2484" t="e">
        <f t="shared" si="267"/>
        <v>#DIV/0!</v>
      </c>
      <c r="H2484" t="e">
        <f t="shared" si="268"/>
        <v>#DIV/0!</v>
      </c>
      <c r="I2484" t="e">
        <f t="shared" si="269"/>
        <v>#DIV/0!</v>
      </c>
      <c r="J2484" t="e">
        <f t="shared" si="270"/>
        <v>#DIV/0!</v>
      </c>
      <c r="K2484" t="e">
        <f t="shared" si="271"/>
        <v>#DIV/0!</v>
      </c>
      <c r="L2484" t="e">
        <f t="shared" si="272"/>
        <v>#DIV/0!</v>
      </c>
    </row>
    <row r="2485" spans="5:12" x14ac:dyDescent="0.25">
      <c r="E2485" s="6">
        <v>0.66</v>
      </c>
      <c r="F2485" s="6">
        <f t="shared" si="266"/>
        <v>7.3333333333333341E-3</v>
      </c>
      <c r="G2485" t="e">
        <f t="shared" si="267"/>
        <v>#DIV/0!</v>
      </c>
      <c r="H2485" t="e">
        <f t="shared" si="268"/>
        <v>#DIV/0!</v>
      </c>
      <c r="I2485" t="e">
        <f t="shared" si="269"/>
        <v>#DIV/0!</v>
      </c>
      <c r="J2485" t="e">
        <f t="shared" si="270"/>
        <v>#DIV/0!</v>
      </c>
      <c r="K2485" t="e">
        <f t="shared" si="271"/>
        <v>#DIV/0!</v>
      </c>
      <c r="L2485" t="e">
        <f t="shared" si="272"/>
        <v>#DIV/0!</v>
      </c>
    </row>
    <row r="2486" spans="5:12" x14ac:dyDescent="0.25">
      <c r="E2486" s="6">
        <v>0.66</v>
      </c>
      <c r="F2486" s="6">
        <f t="shared" si="266"/>
        <v>7.3333333333333341E-3</v>
      </c>
      <c r="G2486" t="e">
        <f t="shared" si="267"/>
        <v>#DIV/0!</v>
      </c>
      <c r="H2486" t="e">
        <f t="shared" si="268"/>
        <v>#DIV/0!</v>
      </c>
      <c r="I2486" t="e">
        <f t="shared" si="269"/>
        <v>#DIV/0!</v>
      </c>
      <c r="J2486" t="e">
        <f t="shared" si="270"/>
        <v>#DIV/0!</v>
      </c>
      <c r="K2486" t="e">
        <f t="shared" si="271"/>
        <v>#DIV/0!</v>
      </c>
      <c r="L2486" t="e">
        <f t="shared" si="272"/>
        <v>#DIV/0!</v>
      </c>
    </row>
    <row r="2487" spans="5:12" x14ac:dyDescent="0.25">
      <c r="E2487" s="6">
        <v>0.66</v>
      </c>
      <c r="F2487" s="6">
        <f t="shared" si="266"/>
        <v>7.3333333333333341E-3</v>
      </c>
      <c r="G2487" t="e">
        <f t="shared" si="267"/>
        <v>#DIV/0!</v>
      </c>
      <c r="H2487" t="e">
        <f t="shared" si="268"/>
        <v>#DIV/0!</v>
      </c>
      <c r="I2487" t="e">
        <f t="shared" si="269"/>
        <v>#DIV/0!</v>
      </c>
      <c r="J2487" t="e">
        <f t="shared" si="270"/>
        <v>#DIV/0!</v>
      </c>
      <c r="K2487" t="e">
        <f t="shared" si="271"/>
        <v>#DIV/0!</v>
      </c>
      <c r="L2487" t="e">
        <f t="shared" si="272"/>
        <v>#DIV/0!</v>
      </c>
    </row>
    <row r="2488" spans="5:12" x14ac:dyDescent="0.25">
      <c r="E2488" s="6">
        <v>0.66</v>
      </c>
      <c r="F2488" s="6">
        <f t="shared" si="266"/>
        <v>7.3333333333333341E-3</v>
      </c>
      <c r="G2488" t="e">
        <f t="shared" si="267"/>
        <v>#DIV/0!</v>
      </c>
      <c r="H2488" t="e">
        <f t="shared" si="268"/>
        <v>#DIV/0!</v>
      </c>
      <c r="I2488" t="e">
        <f t="shared" si="269"/>
        <v>#DIV/0!</v>
      </c>
      <c r="J2488" t="e">
        <f t="shared" si="270"/>
        <v>#DIV/0!</v>
      </c>
      <c r="K2488" t="e">
        <f t="shared" si="271"/>
        <v>#DIV/0!</v>
      </c>
      <c r="L2488" t="e">
        <f t="shared" si="272"/>
        <v>#DIV/0!</v>
      </c>
    </row>
    <row r="2489" spans="5:12" x14ac:dyDescent="0.25">
      <c r="E2489" s="6">
        <v>0.66</v>
      </c>
      <c r="F2489" s="6">
        <f t="shared" si="266"/>
        <v>7.3333333333333341E-3</v>
      </c>
      <c r="G2489" t="e">
        <f t="shared" si="267"/>
        <v>#DIV/0!</v>
      </c>
      <c r="H2489" t="e">
        <f t="shared" si="268"/>
        <v>#DIV/0!</v>
      </c>
      <c r="I2489" t="e">
        <f t="shared" si="269"/>
        <v>#DIV/0!</v>
      </c>
      <c r="J2489" t="e">
        <f t="shared" si="270"/>
        <v>#DIV/0!</v>
      </c>
      <c r="K2489" t="e">
        <f t="shared" si="271"/>
        <v>#DIV/0!</v>
      </c>
      <c r="L2489" t="e">
        <f t="shared" si="272"/>
        <v>#DIV/0!</v>
      </c>
    </row>
    <row r="2490" spans="5:12" x14ac:dyDescent="0.25">
      <c r="E2490" s="6">
        <v>0.66</v>
      </c>
      <c r="F2490" s="6">
        <f t="shared" si="266"/>
        <v>7.3333333333333341E-3</v>
      </c>
      <c r="G2490" t="e">
        <f t="shared" si="267"/>
        <v>#DIV/0!</v>
      </c>
      <c r="H2490" t="e">
        <f t="shared" si="268"/>
        <v>#DIV/0!</v>
      </c>
      <c r="I2490" t="e">
        <f t="shared" si="269"/>
        <v>#DIV/0!</v>
      </c>
      <c r="J2490" t="e">
        <f t="shared" si="270"/>
        <v>#DIV/0!</v>
      </c>
      <c r="K2490" t="e">
        <f t="shared" si="271"/>
        <v>#DIV/0!</v>
      </c>
      <c r="L2490" t="e">
        <f t="shared" si="272"/>
        <v>#DIV/0!</v>
      </c>
    </row>
    <row r="2491" spans="5:12" x14ac:dyDescent="0.25">
      <c r="E2491" s="6">
        <v>0.66</v>
      </c>
      <c r="F2491" s="6">
        <f t="shared" si="266"/>
        <v>7.3333333333333341E-3</v>
      </c>
      <c r="G2491" t="e">
        <f t="shared" si="267"/>
        <v>#DIV/0!</v>
      </c>
      <c r="H2491" t="e">
        <f t="shared" si="268"/>
        <v>#DIV/0!</v>
      </c>
      <c r="I2491" t="e">
        <f t="shared" si="269"/>
        <v>#DIV/0!</v>
      </c>
      <c r="J2491" t="e">
        <f t="shared" si="270"/>
        <v>#DIV/0!</v>
      </c>
      <c r="K2491" t="e">
        <f t="shared" si="271"/>
        <v>#DIV/0!</v>
      </c>
      <c r="L2491" t="e">
        <f t="shared" si="272"/>
        <v>#DIV/0!</v>
      </c>
    </row>
    <row r="2492" spans="5:12" x14ac:dyDescent="0.25">
      <c r="E2492" s="6">
        <v>0.66</v>
      </c>
      <c r="F2492" s="6">
        <f t="shared" si="266"/>
        <v>7.3333333333333341E-3</v>
      </c>
      <c r="G2492" t="e">
        <f t="shared" si="267"/>
        <v>#DIV/0!</v>
      </c>
      <c r="H2492" t="e">
        <f t="shared" si="268"/>
        <v>#DIV/0!</v>
      </c>
      <c r="I2492" t="e">
        <f t="shared" si="269"/>
        <v>#DIV/0!</v>
      </c>
      <c r="J2492" t="e">
        <f t="shared" si="270"/>
        <v>#DIV/0!</v>
      </c>
      <c r="K2492" t="e">
        <f t="shared" si="271"/>
        <v>#DIV/0!</v>
      </c>
      <c r="L2492" t="e">
        <f t="shared" si="272"/>
        <v>#DIV/0!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工作表1</vt:lpstr>
      <vt:lpstr>工作表3</vt:lpstr>
      <vt:lpstr>工作表2</vt:lpstr>
      <vt:lpstr>工作表4</vt:lpstr>
      <vt:lpstr>data0526</vt:lpstr>
      <vt:lpstr>工作表7</vt:lpstr>
      <vt:lpstr>Risk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2020-05-26T10:31:48Z</dcterms:created>
  <dcterms:modified xsi:type="dcterms:W3CDTF">2020-05-26T13:01:11Z</dcterms:modified>
</cp:coreProperties>
</file>